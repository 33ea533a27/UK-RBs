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8EC8B799-2269-4C64-BA0B-C5D55FDF1DD4}" xr6:coauthVersionLast="47" xr6:coauthVersionMax="47" xr10:uidLastSave="{00000000-0000-0000-0000-000000000000}"/>
  <bookViews>
    <workbookView xWindow="-120" yWindow="-120" windowWidth="29040" windowHeight="15840" xr2:uid="{B70AB83E-9E0D-48C9-B953-EF8FEA63A371}"/>
  </bookViews>
  <sheets>
    <sheet name="Calculations" sheetId="2" r:id="rId1"/>
    <sheet name="ONS - UK Exports by type" sheetId="1" r:id="rId2"/>
  </sheets>
  <externalReferences>
    <externalReference r:id="rId3"/>
    <externalReference r:id="rId4"/>
    <externalReference r:id="rId5"/>
  </externalReferences>
  <definedNames>
    <definedName name="_xlnm._FilterDatabase" localSheetId="1" hidden="1">'ONS - UK Exports by type'!$A$2:$CX$1424</definedName>
    <definedName name="A">#REF!</definedName>
    <definedName name="ag" hidden="1">{#N/A,#N/A,FALSE,"CGBR95C"}</definedName>
    <definedName name="b" hidden="1">{#N/A,#N/A,FALSE,"CGBR95C"}</definedName>
    <definedName name="Data">[2]sheet0!$C$2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>{#N/A,#N/A,FALSE,"CGBR95C"}</definedName>
    <definedName name="SpreadsheetBuilder_1" hidden="1">'[3]BBG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Q32" i="2"/>
  <c r="P32" i="2"/>
  <c r="Q29" i="2"/>
  <c r="P29" i="2"/>
  <c r="Q28" i="2"/>
  <c r="P28" i="2"/>
  <c r="S28" i="2" s="1"/>
  <c r="Q27" i="2"/>
  <c r="P27" i="2"/>
  <c r="Q26" i="2"/>
  <c r="S26" i="2" s="1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S20" i="2" s="1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S13" i="2" s="1"/>
  <c r="P13" i="2"/>
  <c r="Q12" i="2"/>
  <c r="P12" i="2"/>
  <c r="S12" i="2" s="1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P30" i="2" s="1"/>
  <c r="Q2" i="2"/>
  <c r="O32" i="2"/>
  <c r="O2" i="2"/>
  <c r="S32" i="2"/>
  <c r="O29" i="2"/>
  <c r="O28" i="2"/>
  <c r="O27" i="2"/>
  <c r="O26" i="2"/>
  <c r="O25" i="2"/>
  <c r="S25" i="2" s="1"/>
  <c r="O24" i="2"/>
  <c r="O23" i="2"/>
  <c r="O22" i="2"/>
  <c r="O21" i="2"/>
  <c r="O20" i="2"/>
  <c r="O19" i="2"/>
  <c r="O18" i="2"/>
  <c r="O17" i="2"/>
  <c r="S17" i="2" s="1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S21" i="2"/>
  <c r="S29" i="2"/>
  <c r="N32" i="2"/>
  <c r="M3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M2" i="2"/>
  <c r="M3" i="2"/>
  <c r="M30" i="2" s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B1" i="1"/>
  <c r="U28" i="2"/>
  <c r="D29" i="2"/>
  <c r="I29" i="2"/>
  <c r="A29" i="2"/>
  <c r="E29" i="2" s="1"/>
  <c r="A28" i="2"/>
  <c r="I28" i="2" s="1"/>
  <c r="A27" i="2"/>
  <c r="E27" i="2" s="1"/>
  <c r="A26" i="2"/>
  <c r="I26" i="2" s="1"/>
  <c r="A25" i="2"/>
  <c r="E25" i="2" s="1"/>
  <c r="A24" i="2"/>
  <c r="I24" i="2" s="1"/>
  <c r="F10" i="2"/>
  <c r="U16" i="2"/>
  <c r="J19" i="2"/>
  <c r="A23" i="2"/>
  <c r="C23" i="2" s="1"/>
  <c r="A22" i="2"/>
  <c r="G22" i="2" s="1"/>
  <c r="A21" i="2"/>
  <c r="C21" i="2" s="1"/>
  <c r="A19" i="2"/>
  <c r="C19" i="2" s="1"/>
  <c r="A20" i="2"/>
  <c r="G20" i="2" s="1"/>
  <c r="A18" i="2"/>
  <c r="G18" i="2" s="1"/>
  <c r="A17" i="2"/>
  <c r="C17" i="2" s="1"/>
  <c r="A16" i="2"/>
  <c r="G16" i="2" s="1"/>
  <c r="A15" i="2"/>
  <c r="C15" i="2" s="1"/>
  <c r="A14" i="2"/>
  <c r="G14" i="2" s="1"/>
  <c r="A13" i="2"/>
  <c r="C13" i="2" s="1"/>
  <c r="A12" i="2"/>
  <c r="G12" i="2" s="1"/>
  <c r="A11" i="2"/>
  <c r="C11" i="2" s="1"/>
  <c r="A10" i="2"/>
  <c r="G10" i="2" s="1"/>
  <c r="A9" i="2"/>
  <c r="C9" i="2" s="1"/>
  <c r="A7" i="2"/>
  <c r="C7" i="2" s="1"/>
  <c r="A8" i="2"/>
  <c r="G8" i="2" s="1"/>
  <c r="A6" i="2"/>
  <c r="G6" i="2" s="1"/>
  <c r="A5" i="2"/>
  <c r="C5" i="2" s="1"/>
  <c r="A4" i="2"/>
  <c r="G4" i="2" s="1"/>
  <c r="A3" i="2"/>
  <c r="C3" i="2" s="1"/>
  <c r="U32" i="2"/>
  <c r="B35" i="2" s="1"/>
  <c r="C32" i="2"/>
  <c r="D32" i="2"/>
  <c r="E32" i="2"/>
  <c r="F32" i="2"/>
  <c r="G32" i="2"/>
  <c r="H32" i="2"/>
  <c r="I32" i="2"/>
  <c r="J32" i="2"/>
  <c r="K32" i="2"/>
  <c r="L32" i="2"/>
  <c r="I2" i="2"/>
  <c r="J2" i="2"/>
  <c r="K2" i="2"/>
  <c r="L2" i="2"/>
  <c r="C2" i="2"/>
  <c r="D2" i="2"/>
  <c r="E2" i="2"/>
  <c r="F2" i="2"/>
  <c r="G2" i="2"/>
  <c r="H2" i="2"/>
  <c r="B32" i="2"/>
  <c r="B2" i="2"/>
  <c r="S5" i="2" l="1"/>
  <c r="Q30" i="2"/>
  <c r="S18" i="2"/>
  <c r="S11" i="2"/>
  <c r="S19" i="2"/>
  <c r="S27" i="2"/>
  <c r="S9" i="2"/>
  <c r="S3" i="2"/>
  <c r="S10" i="2"/>
  <c r="S6" i="2"/>
  <c r="S14" i="2"/>
  <c r="S22" i="2"/>
  <c r="S7" i="2"/>
  <c r="S15" i="2"/>
  <c r="S23" i="2"/>
  <c r="S8" i="2"/>
  <c r="S16" i="2"/>
  <c r="S24" i="2"/>
  <c r="S4" i="2"/>
  <c r="O30" i="2"/>
  <c r="S30" i="2" s="1"/>
  <c r="N30" i="2"/>
  <c r="I23" i="2"/>
  <c r="H16" i="2"/>
  <c r="I7" i="2"/>
  <c r="H28" i="2"/>
  <c r="F26" i="2"/>
  <c r="G23" i="2"/>
  <c r="E16" i="2"/>
  <c r="G7" i="2"/>
  <c r="F28" i="2"/>
  <c r="U24" i="2"/>
  <c r="E22" i="2"/>
  <c r="F14" i="2"/>
  <c r="B23" i="2"/>
  <c r="J8" i="2"/>
  <c r="F23" i="2"/>
  <c r="D16" i="2"/>
  <c r="F7" i="2"/>
  <c r="L29" i="2"/>
  <c r="E28" i="2"/>
  <c r="H24" i="2"/>
  <c r="B27" i="2"/>
  <c r="J22" i="2"/>
  <c r="F15" i="2"/>
  <c r="F4" i="2"/>
  <c r="J29" i="2"/>
  <c r="L27" i="2"/>
  <c r="F24" i="2"/>
  <c r="J27" i="2"/>
  <c r="E24" i="2"/>
  <c r="I27" i="2"/>
  <c r="B7" i="2"/>
  <c r="F18" i="2"/>
  <c r="K8" i="2"/>
  <c r="B29" i="2"/>
  <c r="D27" i="2"/>
  <c r="B11" i="2"/>
  <c r="J5" i="2"/>
  <c r="H26" i="2"/>
  <c r="L25" i="2"/>
  <c r="D25" i="2"/>
  <c r="B8" i="2"/>
  <c r="H23" i="2"/>
  <c r="F22" i="2"/>
  <c r="U18" i="2"/>
  <c r="F16" i="2"/>
  <c r="U14" i="2"/>
  <c r="U8" i="2"/>
  <c r="H7" i="2"/>
  <c r="U4" i="2"/>
  <c r="K29" i="2"/>
  <c r="C29" i="2"/>
  <c r="G28" i="2"/>
  <c r="K27" i="2"/>
  <c r="C27" i="2"/>
  <c r="G26" i="2"/>
  <c r="K25" i="2"/>
  <c r="C25" i="2"/>
  <c r="G24" i="2"/>
  <c r="I25" i="2"/>
  <c r="B22" i="2"/>
  <c r="E23" i="2"/>
  <c r="C22" i="2"/>
  <c r="L16" i="2"/>
  <c r="C16" i="2"/>
  <c r="U12" i="2"/>
  <c r="F8" i="2"/>
  <c r="E7" i="2"/>
  <c r="H29" i="2"/>
  <c r="L28" i="2"/>
  <c r="D28" i="2"/>
  <c r="H27" i="2"/>
  <c r="L26" i="2"/>
  <c r="D26" i="2"/>
  <c r="H25" i="2"/>
  <c r="L24" i="2"/>
  <c r="D24" i="2"/>
  <c r="D22" i="2"/>
  <c r="B19" i="2"/>
  <c r="B21" i="2"/>
  <c r="U22" i="2"/>
  <c r="J21" i="2"/>
  <c r="K16" i="2"/>
  <c r="U15" i="2"/>
  <c r="F12" i="2"/>
  <c r="U7" i="2"/>
  <c r="D7" i="2"/>
  <c r="G29" i="2"/>
  <c r="K28" i="2"/>
  <c r="C28" i="2"/>
  <c r="G27" i="2"/>
  <c r="K26" i="2"/>
  <c r="C26" i="2"/>
  <c r="G25" i="2"/>
  <c r="K24" i="2"/>
  <c r="C24" i="2"/>
  <c r="J25" i="2"/>
  <c r="B16" i="2"/>
  <c r="U23" i="2"/>
  <c r="L22" i="2"/>
  <c r="U20" i="2"/>
  <c r="J16" i="2"/>
  <c r="J15" i="2"/>
  <c r="J11" i="2"/>
  <c r="L7" i="2"/>
  <c r="U6" i="2"/>
  <c r="F29" i="2"/>
  <c r="J28" i="2"/>
  <c r="B28" i="2"/>
  <c r="F27" i="2"/>
  <c r="J26" i="2"/>
  <c r="B26" i="2"/>
  <c r="F25" i="2"/>
  <c r="J24" i="2"/>
  <c r="B24" i="2"/>
  <c r="B25" i="2"/>
  <c r="J13" i="2"/>
  <c r="J3" i="2"/>
  <c r="U26" i="2"/>
  <c r="E26" i="2"/>
  <c r="B15" i="2"/>
  <c r="J23" i="2"/>
  <c r="K22" i="2"/>
  <c r="F20" i="2"/>
  <c r="I16" i="2"/>
  <c r="G15" i="2"/>
  <c r="U10" i="2"/>
  <c r="J7" i="2"/>
  <c r="F6" i="2"/>
  <c r="U29" i="2"/>
  <c r="U27" i="2"/>
  <c r="U25" i="2"/>
  <c r="I21" i="2"/>
  <c r="E20" i="2"/>
  <c r="I19" i="2"/>
  <c r="E18" i="2"/>
  <c r="I17" i="2"/>
  <c r="I15" i="2"/>
  <c r="E14" i="2"/>
  <c r="I13" i="2"/>
  <c r="E12" i="2"/>
  <c r="I11" i="2"/>
  <c r="E10" i="2"/>
  <c r="I9" i="2"/>
  <c r="E8" i="2"/>
  <c r="E6" i="2"/>
  <c r="I5" i="2"/>
  <c r="E4" i="2"/>
  <c r="I3" i="2"/>
  <c r="J17" i="2"/>
  <c r="H21" i="2"/>
  <c r="L20" i="2"/>
  <c r="D20" i="2"/>
  <c r="H19" i="2"/>
  <c r="L18" i="2"/>
  <c r="D18" i="2"/>
  <c r="H17" i="2"/>
  <c r="H15" i="2"/>
  <c r="L14" i="2"/>
  <c r="D14" i="2"/>
  <c r="H13" i="2"/>
  <c r="L12" i="2"/>
  <c r="D12" i="2"/>
  <c r="H11" i="2"/>
  <c r="L10" i="2"/>
  <c r="D10" i="2"/>
  <c r="H9" i="2"/>
  <c r="L8" i="2"/>
  <c r="D8" i="2"/>
  <c r="L6" i="2"/>
  <c r="D6" i="2"/>
  <c r="H5" i="2"/>
  <c r="L4" i="2"/>
  <c r="D4" i="2"/>
  <c r="H3" i="2"/>
  <c r="G21" i="2"/>
  <c r="K20" i="2"/>
  <c r="C20" i="2"/>
  <c r="G19" i="2"/>
  <c r="K18" i="2"/>
  <c r="C18" i="2"/>
  <c r="G17" i="2"/>
  <c r="K14" i="2"/>
  <c r="C14" i="2"/>
  <c r="G13" i="2"/>
  <c r="K12" i="2"/>
  <c r="C12" i="2"/>
  <c r="G11" i="2"/>
  <c r="K10" i="2"/>
  <c r="C10" i="2"/>
  <c r="G9" i="2"/>
  <c r="C8" i="2"/>
  <c r="K6" i="2"/>
  <c r="C6" i="2"/>
  <c r="G5" i="2"/>
  <c r="K4" i="2"/>
  <c r="C4" i="2"/>
  <c r="G3" i="2"/>
  <c r="B9" i="2"/>
  <c r="F19" i="2"/>
  <c r="J14" i="2"/>
  <c r="U13" i="2"/>
  <c r="F13" i="2"/>
  <c r="J12" i="2"/>
  <c r="U11" i="2"/>
  <c r="F11" i="2"/>
  <c r="J10" i="2"/>
  <c r="U9" i="2"/>
  <c r="F9" i="2"/>
  <c r="J6" i="2"/>
  <c r="U5" i="2"/>
  <c r="F5" i="2"/>
  <c r="J4" i="2"/>
  <c r="U3" i="2"/>
  <c r="F3" i="2"/>
  <c r="J9" i="2"/>
  <c r="U21" i="2"/>
  <c r="U19" i="2"/>
  <c r="E15" i="2"/>
  <c r="I14" i="2"/>
  <c r="E13" i="2"/>
  <c r="I12" i="2"/>
  <c r="E11" i="2"/>
  <c r="I10" i="2"/>
  <c r="E9" i="2"/>
  <c r="I8" i="2"/>
  <c r="I6" i="2"/>
  <c r="E5" i="2"/>
  <c r="I4" i="2"/>
  <c r="E3" i="2"/>
  <c r="B10" i="2"/>
  <c r="F21" i="2"/>
  <c r="B14" i="2"/>
  <c r="B6" i="2"/>
  <c r="D15" i="2"/>
  <c r="L13" i="2"/>
  <c r="D13" i="2"/>
  <c r="L11" i="2"/>
  <c r="D11" i="2"/>
  <c r="H10" i="2"/>
  <c r="L9" i="2"/>
  <c r="D9" i="2"/>
  <c r="H8" i="2"/>
  <c r="D3" i="2"/>
  <c r="B18" i="2"/>
  <c r="B17" i="2"/>
  <c r="B20" i="2"/>
  <c r="J20" i="2"/>
  <c r="J18" i="2"/>
  <c r="U17" i="2"/>
  <c r="F17" i="2"/>
  <c r="I22" i="2"/>
  <c r="E21" i="2"/>
  <c r="I20" i="2"/>
  <c r="E19" i="2"/>
  <c r="I18" i="2"/>
  <c r="E17" i="2"/>
  <c r="B13" i="2"/>
  <c r="B5" i="2"/>
  <c r="L23" i="2"/>
  <c r="D23" i="2"/>
  <c r="H22" i="2"/>
  <c r="L21" i="2"/>
  <c r="D21" i="2"/>
  <c r="H20" i="2"/>
  <c r="L19" i="2"/>
  <c r="D19" i="2"/>
  <c r="H18" i="2"/>
  <c r="L17" i="2"/>
  <c r="D17" i="2"/>
  <c r="L15" i="2"/>
  <c r="H14" i="2"/>
  <c r="H12" i="2"/>
  <c r="H6" i="2"/>
  <c r="L5" i="2"/>
  <c r="D5" i="2"/>
  <c r="H4" i="2"/>
  <c r="L3" i="2"/>
  <c r="B3" i="2"/>
  <c r="B12" i="2"/>
  <c r="B4" i="2"/>
  <c r="K23" i="2"/>
  <c r="K21" i="2"/>
  <c r="K19" i="2"/>
  <c r="K17" i="2"/>
  <c r="K15" i="2"/>
  <c r="K13" i="2"/>
  <c r="K11" i="2"/>
  <c r="K9" i="2"/>
  <c r="K7" i="2"/>
  <c r="K5" i="2"/>
  <c r="K3" i="2"/>
  <c r="C30" i="2" l="1"/>
  <c r="I30" i="2"/>
  <c r="K30" i="2"/>
  <c r="F30" i="2"/>
  <c r="H30" i="2"/>
  <c r="D30" i="2"/>
  <c r="B30" i="2"/>
  <c r="L30" i="2"/>
  <c r="E30" i="2"/>
  <c r="U30" i="2"/>
  <c r="G30" i="2"/>
  <c r="J30" i="2"/>
  <c r="B34" i="2" l="1"/>
  <c r="B39" i="2" l="1"/>
  <c r="B36" i="2"/>
</calcChain>
</file>

<file path=xl/sharedStrings.xml><?xml version="1.0" encoding="utf-8"?>
<sst xmlns="http://schemas.openxmlformats.org/spreadsheetml/2006/main" count="2956" uniqueCount="584">
  <si>
    <t>CountryName</t>
  </si>
  <si>
    <t>CountryId</t>
  </si>
  <si>
    <t>Year</t>
  </si>
  <si>
    <t>Total</t>
  </si>
  <si>
    <t>Live animals</t>
  </si>
  <si>
    <t>Meat &amp; meat preparations</t>
  </si>
  <si>
    <t>Dairy products &amp; eggs</t>
  </si>
  <si>
    <t>Fish and shellfish</t>
  </si>
  <si>
    <t>Cereals</t>
  </si>
  <si>
    <t>Vegetables &amp; fruit</t>
  </si>
  <si>
    <t>Sugar</t>
  </si>
  <si>
    <t>Coffee, tea, cocoa etc</t>
  </si>
  <si>
    <t>Animal feeding stuffs</t>
  </si>
  <si>
    <t>Miscellaneous foods</t>
  </si>
  <si>
    <t>Beverages &amp; tobacco</t>
  </si>
  <si>
    <t>Hides, skins &amp; furskins</t>
  </si>
  <si>
    <t>Oil-seeds &amp; oleaginous fruits</t>
  </si>
  <si>
    <t>Crude rubber</t>
  </si>
  <si>
    <t>Wood &amp; cork</t>
  </si>
  <si>
    <t>Pulp &amp; waste paper</t>
  </si>
  <si>
    <t>Textile fibres</t>
  </si>
  <si>
    <t>Crude minerals &amp; fertilisers</t>
  </si>
  <si>
    <t>Metal ores &amp; scrap</t>
  </si>
  <si>
    <t>Other crude animal &amp; vegetable materials</t>
  </si>
  <si>
    <t>Coal, coke &amp; briquettes</t>
  </si>
  <si>
    <t>Crude oil</t>
  </si>
  <si>
    <t>Refined oil</t>
  </si>
  <si>
    <t>Gas</t>
  </si>
  <si>
    <t>Electricity</t>
  </si>
  <si>
    <t>Animal oils &amp; fats</t>
  </si>
  <si>
    <t>Vegetable oils &amp; fats</t>
  </si>
  <si>
    <t>Processed oils &amp; fats</t>
  </si>
  <si>
    <t>Organic chemicals</t>
  </si>
  <si>
    <t>Inorganic chemicals</t>
  </si>
  <si>
    <t>Dyeing, tanning &amp; colouring materials</t>
  </si>
  <si>
    <t>Medicinal &amp; pharmaceutical products</t>
  </si>
  <si>
    <t>Toilet &amp; cleansing preparations</t>
  </si>
  <si>
    <t>Processed fertilisers</t>
  </si>
  <si>
    <t>Plastics in primary forms</t>
  </si>
  <si>
    <t>Plastics in non-primary forms</t>
  </si>
  <si>
    <t>Other chemicals</t>
  </si>
  <si>
    <t>Leather manufactures</t>
  </si>
  <si>
    <t>Rubber manufactures</t>
  </si>
  <si>
    <t>Wood &amp; cork manufactures</t>
  </si>
  <si>
    <t>Paper &amp; paperboard</t>
  </si>
  <si>
    <t>Textile fabrics</t>
  </si>
  <si>
    <t>Mineral manufactures</t>
  </si>
  <si>
    <t>Iron &amp; steel</t>
  </si>
  <si>
    <t>Non-ferrous metals</t>
  </si>
  <si>
    <t>Miscellaneous metal manufactures</t>
  </si>
  <si>
    <t>Electric motors (intermediate)</t>
  </si>
  <si>
    <t>Electric motors (capital)</t>
  </si>
  <si>
    <t>Mechanical power generators (consumer)</t>
  </si>
  <si>
    <t>Mechanical power generators (intermediate)</t>
  </si>
  <si>
    <t>Mechanical power generators (capital)</t>
  </si>
  <si>
    <t>Specialised machinery (consumer)</t>
  </si>
  <si>
    <t>Specialised machinery (intermediate)</t>
  </si>
  <si>
    <t>Specialised machinery (capital)</t>
  </si>
  <si>
    <t>Metal working machinery (intermediate)</t>
  </si>
  <si>
    <t>Metal working machinery (capital)</t>
  </si>
  <si>
    <t>General industrial machinery (consumer)</t>
  </si>
  <si>
    <t>General industrial machinery (intermediate)</t>
  </si>
  <si>
    <t>General industrial machinery (capital)</t>
  </si>
  <si>
    <t>Office machinery (consumer)</t>
  </si>
  <si>
    <t>Office machinery (intermediate)</t>
  </si>
  <si>
    <t>Office machinery (capital)</t>
  </si>
  <si>
    <t>Telecoms &amp; sound equipment (consumer)</t>
  </si>
  <si>
    <t>Telecoms &amp; sound equipment (intermediate)</t>
  </si>
  <si>
    <t>Telecoms &amp; sound equipment (capital)</t>
  </si>
  <si>
    <t>Miscellaneous electrical goods (consumer)</t>
  </si>
  <si>
    <t>Miscellaneous electrical goods (intermediate)</t>
  </si>
  <si>
    <t>Miscellaneous electrical goods (capital)</t>
  </si>
  <si>
    <t>Road vehicles other than cars (consumer)</t>
  </si>
  <si>
    <t>Road vehicles other than cars (intermediate)</t>
  </si>
  <si>
    <t>Road vehicles other than cars (capital)</t>
  </si>
  <si>
    <t>Cars</t>
  </si>
  <si>
    <t>Railway equipment (intermediate)</t>
  </si>
  <si>
    <t>Railway equipment (capital)</t>
  </si>
  <si>
    <t>Aircraft</t>
  </si>
  <si>
    <t>Ships</t>
  </si>
  <si>
    <t>Plumbing, heating &amp; lighting fixtures (consumer)</t>
  </si>
  <si>
    <t>Plumbing, heating &amp; lighting fixtures (intermediate)</t>
  </si>
  <si>
    <t>Plumbing, heating &amp; lighting fixtures (capital)</t>
  </si>
  <si>
    <t>Furniture (consumer)</t>
  </si>
  <si>
    <t>Furniture (intermediate)</t>
  </si>
  <si>
    <t>Furniture (capital)</t>
  </si>
  <si>
    <t>Travel goods, handbags etc</t>
  </si>
  <si>
    <t>Clothing</t>
  </si>
  <si>
    <t>Footwear</t>
  </si>
  <si>
    <t>Scientific instruments (consumer)</t>
  </si>
  <si>
    <t>Scientific instruments (intermediate)</t>
  </si>
  <si>
    <t>Scientific instruments (capital)</t>
  </si>
  <si>
    <t>Photographic &amp; optical goods &amp; clocks (consumer)</t>
  </si>
  <si>
    <t>Photographic &amp; optical goods &amp; clocks (intermediate)</t>
  </si>
  <si>
    <t>Photographic &amp; optical goods &amp; clocks (capital)</t>
  </si>
  <si>
    <t>Works of art</t>
  </si>
  <si>
    <t>Jewellery</t>
  </si>
  <si>
    <t>Other manufactures (intermediate)</t>
  </si>
  <si>
    <t>Other manufactures (capital)</t>
  </si>
  <si>
    <t>Other manufactures (consumer)</t>
  </si>
  <si>
    <t>Unspecified goods</t>
  </si>
  <si>
    <t>Andorra</t>
  </si>
  <si>
    <t>AD</t>
  </si>
  <si>
    <t>United Arab Emirates</t>
  </si>
  <si>
    <t>AE</t>
  </si>
  <si>
    <t>Afghanistan</t>
  </si>
  <si>
    <t>AF</t>
  </si>
  <si>
    <t>Antigua &amp; Barbuda</t>
  </si>
  <si>
    <t>AG</t>
  </si>
  <si>
    <t>Anguilla</t>
  </si>
  <si>
    <t>AI</t>
  </si>
  <si>
    <t>Albania</t>
  </si>
  <si>
    <t>AL</t>
  </si>
  <si>
    <t>Armenia</t>
  </si>
  <si>
    <t>AM</t>
  </si>
  <si>
    <t>Angola</t>
  </si>
  <si>
    <t>AO</t>
  </si>
  <si>
    <t>Antarctica</t>
  </si>
  <si>
    <t>AQ</t>
  </si>
  <si>
    <t>Argentina</t>
  </si>
  <si>
    <t>AR</t>
  </si>
  <si>
    <t>American Samoa</t>
  </si>
  <si>
    <t>AS</t>
  </si>
  <si>
    <t>Austria</t>
  </si>
  <si>
    <t>AT</t>
  </si>
  <si>
    <t>Australia</t>
  </si>
  <si>
    <t>AU</t>
  </si>
  <si>
    <t>Aruba</t>
  </si>
  <si>
    <t>AW</t>
  </si>
  <si>
    <t>Azerbaijan</t>
  </si>
  <si>
    <t>AZ</t>
  </si>
  <si>
    <t>Bosnia &amp; Herzegovina</t>
  </si>
  <si>
    <t>BA</t>
  </si>
  <si>
    <t>Barbados</t>
  </si>
  <si>
    <t>BB</t>
  </si>
  <si>
    <t>Bangladesh</t>
  </si>
  <si>
    <t>BD</t>
  </si>
  <si>
    <t>Belgium</t>
  </si>
  <si>
    <t>BE</t>
  </si>
  <si>
    <t>Burkina Faso</t>
  </si>
  <si>
    <t>BF</t>
  </si>
  <si>
    <t>Bulgaria</t>
  </si>
  <si>
    <t>BG</t>
  </si>
  <si>
    <t>Bahrain</t>
  </si>
  <si>
    <t>BH</t>
  </si>
  <si>
    <t>Burundi</t>
  </si>
  <si>
    <t>BI</t>
  </si>
  <si>
    <t>Benin</t>
  </si>
  <si>
    <t>BJ</t>
  </si>
  <si>
    <t>Bermuda</t>
  </si>
  <si>
    <t>BM</t>
  </si>
  <si>
    <t>Brunei</t>
  </si>
  <si>
    <t>BN</t>
  </si>
  <si>
    <t>Bolivia</t>
  </si>
  <si>
    <t>BO</t>
  </si>
  <si>
    <t>Bonaire, Sint Eustatius and Saba</t>
  </si>
  <si>
    <t>BQ</t>
  </si>
  <si>
    <t>Brazil</t>
  </si>
  <si>
    <t>BR</t>
  </si>
  <si>
    <t>The Bahamas</t>
  </si>
  <si>
    <t>BS</t>
  </si>
  <si>
    <t>Bhutan</t>
  </si>
  <si>
    <t>BT</t>
  </si>
  <si>
    <t>Bouvet Island</t>
  </si>
  <si>
    <t>BV</t>
  </si>
  <si>
    <t>Botswana</t>
  </si>
  <si>
    <t>BW</t>
  </si>
  <si>
    <t>Belarus</t>
  </si>
  <si>
    <t>BY</t>
  </si>
  <si>
    <t>Belize</t>
  </si>
  <si>
    <t>BZ</t>
  </si>
  <si>
    <t>Canada</t>
  </si>
  <si>
    <t>CA</t>
  </si>
  <si>
    <t>Cocos Islands</t>
  </si>
  <si>
    <t>CC</t>
  </si>
  <si>
    <t>Congo (Democratic Republic)</t>
  </si>
  <si>
    <t>CD</t>
  </si>
  <si>
    <t>Central African Republic</t>
  </si>
  <si>
    <t>CF</t>
  </si>
  <si>
    <t>Congo</t>
  </si>
  <si>
    <t>CG</t>
  </si>
  <si>
    <t>Switzerland</t>
  </si>
  <si>
    <t>CH</t>
  </si>
  <si>
    <t>Ivory Coast</t>
  </si>
  <si>
    <t>CI</t>
  </si>
  <si>
    <t>Cook Islands</t>
  </si>
  <si>
    <t>CK</t>
  </si>
  <si>
    <t>Chile</t>
  </si>
  <si>
    <t>CL</t>
  </si>
  <si>
    <t>Cameroon</t>
  </si>
  <si>
    <t>CM</t>
  </si>
  <si>
    <t>China</t>
  </si>
  <si>
    <t>CN</t>
  </si>
  <si>
    <t>Colombia</t>
  </si>
  <si>
    <t>CO</t>
  </si>
  <si>
    <t>Costa Rica</t>
  </si>
  <si>
    <t>CR</t>
  </si>
  <si>
    <t>Cuba</t>
  </si>
  <si>
    <t>CU</t>
  </si>
  <si>
    <t>Cape Verde</t>
  </si>
  <si>
    <t>CV</t>
  </si>
  <si>
    <t>Curacao</t>
  </si>
  <si>
    <t>CW</t>
  </si>
  <si>
    <t>Christmas Island</t>
  </si>
  <si>
    <t>CX</t>
  </si>
  <si>
    <t>Cyprus</t>
  </si>
  <si>
    <t>CY</t>
  </si>
  <si>
    <t>Czechia</t>
  </si>
  <si>
    <t>CZ</t>
  </si>
  <si>
    <t>Germany</t>
  </si>
  <si>
    <t>DE</t>
  </si>
  <si>
    <t>Djibouti</t>
  </si>
  <si>
    <t>DJ</t>
  </si>
  <si>
    <t>Denmark</t>
  </si>
  <si>
    <t>DK</t>
  </si>
  <si>
    <t>Dominica</t>
  </si>
  <si>
    <t>DM</t>
  </si>
  <si>
    <t>Dominican Republic</t>
  </si>
  <si>
    <t>DO</t>
  </si>
  <si>
    <t>Algeria</t>
  </si>
  <si>
    <t>DZ</t>
  </si>
  <si>
    <t>Ecuador</t>
  </si>
  <si>
    <t>EC</t>
  </si>
  <si>
    <t>Estonia</t>
  </si>
  <si>
    <t>EE</t>
  </si>
  <si>
    <t>Egypt</t>
  </si>
  <si>
    <t>EG</t>
  </si>
  <si>
    <t>Eritrea</t>
  </si>
  <si>
    <t>ER</t>
  </si>
  <si>
    <t>Spain</t>
  </si>
  <si>
    <t>ES</t>
  </si>
  <si>
    <t>Ethiopia</t>
  </si>
  <si>
    <t>ET</t>
  </si>
  <si>
    <t>Finland</t>
  </si>
  <si>
    <t>FI</t>
  </si>
  <si>
    <t>Fiji</t>
  </si>
  <si>
    <t>FJ</t>
  </si>
  <si>
    <t>Falkland Islands</t>
  </si>
  <si>
    <t>FK</t>
  </si>
  <si>
    <t>Micronesia</t>
  </si>
  <si>
    <t>FM</t>
  </si>
  <si>
    <t>Faroe Islands</t>
  </si>
  <si>
    <t>FO</t>
  </si>
  <si>
    <t>France</t>
  </si>
  <si>
    <t>FR</t>
  </si>
  <si>
    <t>Gabon</t>
  </si>
  <si>
    <t>GA</t>
  </si>
  <si>
    <t>Grenada</t>
  </si>
  <si>
    <t>GD</t>
  </si>
  <si>
    <t>Georgia</t>
  </si>
  <si>
    <t>GE</t>
  </si>
  <si>
    <t>Guernsey</t>
  </si>
  <si>
    <t>GG</t>
  </si>
  <si>
    <t>Ghana</t>
  </si>
  <si>
    <t>GH</t>
  </si>
  <si>
    <t>Gibraltar</t>
  </si>
  <si>
    <t>GI</t>
  </si>
  <si>
    <t>Greenland</t>
  </si>
  <si>
    <t>GL</t>
  </si>
  <si>
    <t>The Gambia</t>
  </si>
  <si>
    <t>GM</t>
  </si>
  <si>
    <t>Guinea</t>
  </si>
  <si>
    <t>GN</t>
  </si>
  <si>
    <t>Equatorial Guinea</t>
  </si>
  <si>
    <t>GQ</t>
  </si>
  <si>
    <t>Greece</t>
  </si>
  <si>
    <t>GR</t>
  </si>
  <si>
    <t>South Georgia</t>
  </si>
  <si>
    <t>GS</t>
  </si>
  <si>
    <t>Guatemala</t>
  </si>
  <si>
    <t>GT</t>
  </si>
  <si>
    <t>Guam</t>
  </si>
  <si>
    <t>GU</t>
  </si>
  <si>
    <t>Guinea Bissau</t>
  </si>
  <si>
    <t>GW</t>
  </si>
  <si>
    <t>Guyana</t>
  </si>
  <si>
    <t>GY</t>
  </si>
  <si>
    <t>Hong Kong</t>
  </si>
  <si>
    <t>HK</t>
  </si>
  <si>
    <t>Heard &amp; McDonald Islands</t>
  </si>
  <si>
    <t>HM</t>
  </si>
  <si>
    <t>Honduras</t>
  </si>
  <si>
    <t>HN</t>
  </si>
  <si>
    <t>Croatia</t>
  </si>
  <si>
    <t>HR</t>
  </si>
  <si>
    <t>Haiti</t>
  </si>
  <si>
    <t>HT</t>
  </si>
  <si>
    <t>Hungary</t>
  </si>
  <si>
    <t>HU</t>
  </si>
  <si>
    <t>Indonesia</t>
  </si>
  <si>
    <t>ID</t>
  </si>
  <si>
    <t>Irish Republic</t>
  </si>
  <si>
    <t>IE</t>
  </si>
  <si>
    <t>Israel</t>
  </si>
  <si>
    <t>IL</t>
  </si>
  <si>
    <t>Isle of Man</t>
  </si>
  <si>
    <t>IM</t>
  </si>
  <si>
    <t>India</t>
  </si>
  <si>
    <t>IN</t>
  </si>
  <si>
    <t>British Indian Ocean Territory</t>
  </si>
  <si>
    <t>IO</t>
  </si>
  <si>
    <t>Iraq</t>
  </si>
  <si>
    <t>IQ</t>
  </si>
  <si>
    <t>Iran</t>
  </si>
  <si>
    <t>IR</t>
  </si>
  <si>
    <t>Iceland</t>
  </si>
  <si>
    <t>IS</t>
  </si>
  <si>
    <t>Italy</t>
  </si>
  <si>
    <t>IT</t>
  </si>
  <si>
    <t>Jersey</t>
  </si>
  <si>
    <t>JE</t>
  </si>
  <si>
    <t>Jamaica</t>
  </si>
  <si>
    <t>JM</t>
  </si>
  <si>
    <t>Jordan</t>
  </si>
  <si>
    <t>JO</t>
  </si>
  <si>
    <t>Japan</t>
  </si>
  <si>
    <t>JP</t>
  </si>
  <si>
    <t>Kenya</t>
  </si>
  <si>
    <t>KE</t>
  </si>
  <si>
    <t>Kyrgyzstan</t>
  </si>
  <si>
    <t>KG</t>
  </si>
  <si>
    <t>Cambodia</t>
  </si>
  <si>
    <t>KH</t>
  </si>
  <si>
    <t>Kiribati</t>
  </si>
  <si>
    <t>KI</t>
  </si>
  <si>
    <t>Comoros</t>
  </si>
  <si>
    <t>KM</t>
  </si>
  <si>
    <t>St Kitts &amp; Nevis</t>
  </si>
  <si>
    <t>KN</t>
  </si>
  <si>
    <t>North Korea</t>
  </si>
  <si>
    <t>KP</t>
  </si>
  <si>
    <t>South Korea</t>
  </si>
  <si>
    <t>KR</t>
  </si>
  <si>
    <t>Kuwait</t>
  </si>
  <si>
    <t>KW</t>
  </si>
  <si>
    <t>Cayman Islands</t>
  </si>
  <si>
    <t>KY</t>
  </si>
  <si>
    <t>Kazakhstan</t>
  </si>
  <si>
    <t>KZ</t>
  </si>
  <si>
    <t>Laos</t>
  </si>
  <si>
    <t>LA</t>
  </si>
  <si>
    <t>Lebanon</t>
  </si>
  <si>
    <t>LB</t>
  </si>
  <si>
    <t>St Lucia</t>
  </si>
  <si>
    <t>LC</t>
  </si>
  <si>
    <t>Liechtenstein</t>
  </si>
  <si>
    <t>LI</t>
  </si>
  <si>
    <t>Sri Lanka</t>
  </si>
  <si>
    <t>LK</t>
  </si>
  <si>
    <t>Liberia</t>
  </si>
  <si>
    <t>LR</t>
  </si>
  <si>
    <t>Lesotho</t>
  </si>
  <si>
    <t>LS</t>
  </si>
  <si>
    <t>Lithuania</t>
  </si>
  <si>
    <t>LT</t>
  </si>
  <si>
    <t>Luxembourg</t>
  </si>
  <si>
    <t>LU</t>
  </si>
  <si>
    <t>Latvia</t>
  </si>
  <si>
    <t>LV</t>
  </si>
  <si>
    <t>Libya</t>
  </si>
  <si>
    <t>LY</t>
  </si>
  <si>
    <t>Morocco incl. Western Sahara</t>
  </si>
  <si>
    <t>MA</t>
  </si>
  <si>
    <t>Moldova</t>
  </si>
  <si>
    <t>MD</t>
  </si>
  <si>
    <t>Montenegro</t>
  </si>
  <si>
    <t>ME</t>
  </si>
  <si>
    <t>Madagascar</t>
  </si>
  <si>
    <t>MG</t>
  </si>
  <si>
    <t>Marshall Islands</t>
  </si>
  <si>
    <t>MH</t>
  </si>
  <si>
    <t>North Macedonia</t>
  </si>
  <si>
    <t>MK</t>
  </si>
  <si>
    <t>Mali</t>
  </si>
  <si>
    <t>ML</t>
  </si>
  <si>
    <t>Myanmar (Burma)</t>
  </si>
  <si>
    <t>MM</t>
  </si>
  <si>
    <t>Mongolia</t>
  </si>
  <si>
    <t>MN</t>
  </si>
  <si>
    <t>Macao</t>
  </si>
  <si>
    <t>MO</t>
  </si>
  <si>
    <t>Northern Mariana Islands</t>
  </si>
  <si>
    <t>MP</t>
  </si>
  <si>
    <t>Mauritania</t>
  </si>
  <si>
    <t>MR</t>
  </si>
  <si>
    <t>Montserrat</t>
  </si>
  <si>
    <t>MS</t>
  </si>
  <si>
    <t>Malta</t>
  </si>
  <si>
    <t>MT</t>
  </si>
  <si>
    <t>Mauritius</t>
  </si>
  <si>
    <t>MU</t>
  </si>
  <si>
    <t>Maldives</t>
  </si>
  <si>
    <t>MV</t>
  </si>
  <si>
    <t>Malawi</t>
  </si>
  <si>
    <t>MW</t>
  </si>
  <si>
    <t>Mexico</t>
  </si>
  <si>
    <t>MX</t>
  </si>
  <si>
    <t>Malaysia</t>
  </si>
  <si>
    <t>MY</t>
  </si>
  <si>
    <t>Mozambique</t>
  </si>
  <si>
    <t>MZ</t>
  </si>
  <si>
    <t>Namibia</t>
  </si>
  <si>
    <t>NA</t>
  </si>
  <si>
    <t>New Caledonia</t>
  </si>
  <si>
    <t>NC</t>
  </si>
  <si>
    <t>Niger</t>
  </si>
  <si>
    <t>NE</t>
  </si>
  <si>
    <t>Norfolk Island</t>
  </si>
  <si>
    <t>NF</t>
  </si>
  <si>
    <t>Nigeria</t>
  </si>
  <si>
    <t>NG</t>
  </si>
  <si>
    <t>Nicaragua</t>
  </si>
  <si>
    <t>NI</t>
  </si>
  <si>
    <t>Netherlands</t>
  </si>
  <si>
    <t>NL</t>
  </si>
  <si>
    <t>Norway</t>
  </si>
  <si>
    <t>NO</t>
  </si>
  <si>
    <t>Nepal</t>
  </si>
  <si>
    <t>NP</t>
  </si>
  <si>
    <t>Nauru</t>
  </si>
  <si>
    <t>NR</t>
  </si>
  <si>
    <t>Niue Island</t>
  </si>
  <si>
    <t>NU</t>
  </si>
  <si>
    <t>New Zealand</t>
  </si>
  <si>
    <t>NZ</t>
  </si>
  <si>
    <t>Oman</t>
  </si>
  <si>
    <t>OM</t>
  </si>
  <si>
    <t>Panama</t>
  </si>
  <si>
    <t>PA</t>
  </si>
  <si>
    <t>Peru</t>
  </si>
  <si>
    <t>PE</t>
  </si>
  <si>
    <t>French Polynesia</t>
  </si>
  <si>
    <t>PF</t>
  </si>
  <si>
    <t>Papua New Guinea</t>
  </si>
  <si>
    <t>PG</t>
  </si>
  <si>
    <t>Philippines</t>
  </si>
  <si>
    <t>PH</t>
  </si>
  <si>
    <t>Pakistan</t>
  </si>
  <si>
    <t>PK</t>
  </si>
  <si>
    <t>Poland</t>
  </si>
  <si>
    <t>PL</t>
  </si>
  <si>
    <t>Pitcairn</t>
  </si>
  <si>
    <t>PN</t>
  </si>
  <si>
    <t>Occupied Palestinian Territory</t>
  </si>
  <si>
    <t>PS</t>
  </si>
  <si>
    <t>Portugal</t>
  </si>
  <si>
    <t>PT</t>
  </si>
  <si>
    <t>Palau</t>
  </si>
  <si>
    <t>PW</t>
  </si>
  <si>
    <t>Paraguay</t>
  </si>
  <si>
    <t>PY</t>
  </si>
  <si>
    <t>Qatar</t>
  </si>
  <si>
    <t>QA</t>
  </si>
  <si>
    <t>Romania</t>
  </si>
  <si>
    <t>RO</t>
  </si>
  <si>
    <t>Serbia</t>
  </si>
  <si>
    <t>RS</t>
  </si>
  <si>
    <t>Russia</t>
  </si>
  <si>
    <t>RU</t>
  </si>
  <si>
    <t>Rwanda</t>
  </si>
  <si>
    <t>RW</t>
  </si>
  <si>
    <t>Saudi Arabia</t>
  </si>
  <si>
    <t>SA</t>
  </si>
  <si>
    <t>Solomon Islands</t>
  </si>
  <si>
    <t>SB</t>
  </si>
  <si>
    <t>Seychelles</t>
  </si>
  <si>
    <t>SC</t>
  </si>
  <si>
    <t>Sudan</t>
  </si>
  <si>
    <t>SD</t>
  </si>
  <si>
    <t>Sweden</t>
  </si>
  <si>
    <t>SE</t>
  </si>
  <si>
    <t>Singapore</t>
  </si>
  <si>
    <t>SG</t>
  </si>
  <si>
    <t>St. Helena</t>
  </si>
  <si>
    <t>SH</t>
  </si>
  <si>
    <t>Slovenia</t>
  </si>
  <si>
    <t>SI</t>
  </si>
  <si>
    <t>Slovakia</t>
  </si>
  <si>
    <t>SK</t>
  </si>
  <si>
    <t>Sierra Leone</t>
  </si>
  <si>
    <t>SL</t>
  </si>
  <si>
    <t>San Marino</t>
  </si>
  <si>
    <t>SM</t>
  </si>
  <si>
    <t>Senegal</t>
  </si>
  <si>
    <t>SN</t>
  </si>
  <si>
    <t>Somalia</t>
  </si>
  <si>
    <t>SO</t>
  </si>
  <si>
    <t>Suriname</t>
  </si>
  <si>
    <t>SR</t>
  </si>
  <si>
    <t>South Sudan</t>
  </si>
  <si>
    <t>SS</t>
  </si>
  <si>
    <t>Sao Tome &amp; Principe</t>
  </si>
  <si>
    <t>ST</t>
  </si>
  <si>
    <t>El Salvador</t>
  </si>
  <si>
    <t>SV</t>
  </si>
  <si>
    <t>Sint Maarten</t>
  </si>
  <si>
    <t>SX</t>
  </si>
  <si>
    <t>Syria</t>
  </si>
  <si>
    <t>SY</t>
  </si>
  <si>
    <t>Eswatini</t>
  </si>
  <si>
    <t>SZ</t>
  </si>
  <si>
    <t>Turks &amp; Caicos Islands</t>
  </si>
  <si>
    <t>TC</t>
  </si>
  <si>
    <t>Chad</t>
  </si>
  <si>
    <t>TD</t>
  </si>
  <si>
    <t>French Southern Territories</t>
  </si>
  <si>
    <t>TF</t>
  </si>
  <si>
    <t>Togo</t>
  </si>
  <si>
    <t>TG</t>
  </si>
  <si>
    <t>Thailand</t>
  </si>
  <si>
    <t>TH</t>
  </si>
  <si>
    <t>Tajikistan</t>
  </si>
  <si>
    <t>TJ</t>
  </si>
  <si>
    <t>Tokelau Islands</t>
  </si>
  <si>
    <t>TK</t>
  </si>
  <si>
    <t>East Timor</t>
  </si>
  <si>
    <t>TL</t>
  </si>
  <si>
    <t>Turkmenistan</t>
  </si>
  <si>
    <t>TM</t>
  </si>
  <si>
    <t>Tunisia</t>
  </si>
  <si>
    <t>TN</t>
  </si>
  <si>
    <t>Tonga</t>
  </si>
  <si>
    <t>TO</t>
  </si>
  <si>
    <t>Turkey</t>
  </si>
  <si>
    <t>TR</t>
  </si>
  <si>
    <t>Trinidad &amp; Tobago</t>
  </si>
  <si>
    <t>TT</t>
  </si>
  <si>
    <t>Tuvalu</t>
  </si>
  <si>
    <t>TV</t>
  </si>
  <si>
    <t>Taiwan</t>
  </si>
  <si>
    <t>TW</t>
  </si>
  <si>
    <t>Tanzania</t>
  </si>
  <si>
    <t>TZ</t>
  </si>
  <si>
    <t>Ukraine</t>
  </si>
  <si>
    <t>UA</t>
  </si>
  <si>
    <t>Uganda</t>
  </si>
  <si>
    <t>UG</t>
  </si>
  <si>
    <t>US Minor Outlying Islands</t>
  </si>
  <si>
    <t>UM</t>
  </si>
  <si>
    <t>United States inc Puerto Rico</t>
  </si>
  <si>
    <t>US</t>
  </si>
  <si>
    <t>Uruguay</t>
  </si>
  <si>
    <t>UY</t>
  </si>
  <si>
    <t>Uzbekistan</t>
  </si>
  <si>
    <t>UZ</t>
  </si>
  <si>
    <t>Vatican City</t>
  </si>
  <si>
    <t>VA</t>
  </si>
  <si>
    <t>St Vincent</t>
  </si>
  <si>
    <t>VC</t>
  </si>
  <si>
    <t>Venezuela</t>
  </si>
  <si>
    <t>VE</t>
  </si>
  <si>
    <t>British Virgin Islands</t>
  </si>
  <si>
    <t>VG</t>
  </si>
  <si>
    <t>US Virgin Islands</t>
  </si>
  <si>
    <t>VI</t>
  </si>
  <si>
    <t>Vietnam</t>
  </si>
  <si>
    <t>VN</t>
  </si>
  <si>
    <t>Vanuatu</t>
  </si>
  <si>
    <t>VU</t>
  </si>
  <si>
    <t>Wallis &amp; Futuna</t>
  </si>
  <si>
    <t>WF</t>
  </si>
  <si>
    <t>Samoa</t>
  </si>
  <si>
    <t>WS</t>
  </si>
  <si>
    <t>Kosovo</t>
  </si>
  <si>
    <t>XK</t>
  </si>
  <si>
    <t>Yemen</t>
  </si>
  <si>
    <t>YE</t>
  </si>
  <si>
    <t>South Africa</t>
  </si>
  <si>
    <t>ZA</t>
  </si>
  <si>
    <t>Zambia</t>
  </si>
  <si>
    <t>ZM</t>
  </si>
  <si>
    <t>Zimbabwe</t>
  </si>
  <si>
    <t>ZW</t>
  </si>
  <si>
    <t>Whole World</t>
  </si>
  <si>
    <t>W1</t>
  </si>
  <si>
    <t>World</t>
  </si>
  <si>
    <t>Total exports</t>
  </si>
  <si>
    <t>Agrifood total</t>
  </si>
  <si>
    <t>EU total</t>
  </si>
  <si>
    <t>Agrifood to EU</t>
  </si>
  <si>
    <t>EU agrifood as % of total</t>
  </si>
  <si>
    <t>GDP</t>
  </si>
  <si>
    <t>EU agrifood as % of GDP</t>
  </si>
  <si>
    <t>UK goods exports 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</si>
</sst>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4" fillId="0" borderId="0" xfId="0" applyNumberFormat="1" applyFont="1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UK%20Research%20Briefing\20250403%20RB%20UK%20Liberation%20Day%20-%20Charts.xlsx" TargetMode="External"/><Relationship Id="rId1" Type="http://schemas.openxmlformats.org/officeDocument/2006/relationships/externalLinkPath" Target="20250403%20RB%20UK%20Liberation%20Day%20-%20Char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lobal%20macro%20team/Key%20Charts/PMI/Table_P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 CHARTS"/>
      <sheetName val="Chart - Reliance on US"/>
      <sheetName val="Chart - UK export shares"/>
      <sheetName val="&gt;&gt; DATA"/>
      <sheetName val="Chart Data"/>
      <sheetName val="ONS - UK Exports by type"/>
      <sheetName val="ONS - UK Imports by type"/>
      <sheetName val="ONS Pink Book - 9.3"/>
      <sheetName val="ONS Pink Book - 9.4"/>
      <sheetName val="ONS Pink Book - 9.5"/>
      <sheetName val="ONS Pink Book - 9.11"/>
      <sheetName val="ONS Pink Book - 9.13"/>
      <sheetName val="CPI Import Intensity by Class"/>
      <sheetName val="ONS - CPI weights"/>
      <sheetName val="COMtrade - US goods exports"/>
      <sheetName val="COMtrade - US goods imports"/>
      <sheetName val="COMtrade - US services imports"/>
      <sheetName val="COMtrade - US services exports"/>
      <sheetName val="COMtrade aggregation"/>
      <sheetName val="DataQ"/>
      <sheetName val="DataA"/>
      <sheetName val="GMW"/>
      <sheetName val="&gt;&gt; NOT USED"/>
      <sheetName val="Chart - UK exports to US"/>
      <sheetName val="Chart - GDP scenarios"/>
      <sheetName val="Chart - CPI scenarios"/>
      <sheetName val="Chart - GDP &amp; CPI scenarios"/>
      <sheetName val="Chart - US goods balance"/>
    </sheetNames>
    <sheetDataSet>
      <sheetData sheetId="0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0D4D-F2B1-4865-8568-DFA22D9E1BE2}">
  <dimension ref="A1:V39"/>
  <sheetViews>
    <sheetView tabSelected="1" workbookViewId="0"/>
  </sheetViews>
  <sheetFormatPr defaultRowHeight="15" x14ac:dyDescent="0.25"/>
  <cols>
    <col min="1" max="1" width="22.7109375" customWidth="1"/>
  </cols>
  <sheetData>
    <row r="1" spans="1:21" x14ac:dyDescent="0.25">
      <c r="A1" s="6" t="s">
        <v>583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17</v>
      </c>
      <c r="N1">
        <v>24</v>
      </c>
      <c r="O1">
        <v>30</v>
      </c>
      <c r="P1">
        <v>31</v>
      </c>
      <c r="Q1">
        <v>32</v>
      </c>
      <c r="U1">
        <v>4</v>
      </c>
    </row>
    <row r="2" spans="1:21" x14ac:dyDescent="0.25">
      <c r="B2" t="str">
        <f>'ONS - UK Exports by type'!E2</f>
        <v>Live animals</v>
      </c>
      <c r="C2" t="str">
        <f>'ONS - UK Exports by type'!F2</f>
        <v>Meat &amp; meat preparations</v>
      </c>
      <c r="D2" t="str">
        <f>'ONS - UK Exports by type'!G2</f>
        <v>Dairy products &amp; eggs</v>
      </c>
      <c r="E2" t="str">
        <f>'ONS - UK Exports by type'!H2</f>
        <v>Fish and shellfish</v>
      </c>
      <c r="F2" t="str">
        <f>'ONS - UK Exports by type'!I2</f>
        <v>Cereals</v>
      </c>
      <c r="G2" t="str">
        <f>'ONS - UK Exports by type'!J2</f>
        <v>Vegetables &amp; fruit</v>
      </c>
      <c r="H2" t="str">
        <f>'ONS - UK Exports by type'!K2</f>
        <v>Sugar</v>
      </c>
      <c r="I2" t="str">
        <f>'ONS - UK Exports by type'!L2</f>
        <v>Coffee, tea, cocoa etc</v>
      </c>
      <c r="J2" t="str">
        <f>'ONS - UK Exports by type'!M2</f>
        <v>Animal feeding stuffs</v>
      </c>
      <c r="K2" t="str">
        <f>'ONS - UK Exports by type'!N2</f>
        <v>Miscellaneous foods</v>
      </c>
      <c r="L2" t="str">
        <f>'ONS - UK Exports by type'!O2</f>
        <v>Beverages &amp; tobacco</v>
      </c>
      <c r="M2" t="str">
        <f>'ONS - UK Exports by type'!Q2</f>
        <v>Oil-seeds &amp; oleaginous fruits</v>
      </c>
      <c r="N2" t="str">
        <f>'ONS - UK Exports by type'!X2</f>
        <v>Other crude animal &amp; vegetable materials</v>
      </c>
      <c r="O2" t="str">
        <f>'ONS - UK Exports by type'!AD2</f>
        <v>Animal oils &amp; fats</v>
      </c>
      <c r="P2" t="str">
        <f>'ONS - UK Exports by type'!AE2</f>
        <v>Vegetable oils &amp; fats</v>
      </c>
      <c r="Q2" t="str">
        <f>'ONS - UK Exports by type'!AF2</f>
        <v>Processed oils &amp; fats</v>
      </c>
      <c r="S2" t="s">
        <v>577</v>
      </c>
      <c r="U2" t="s">
        <v>576</v>
      </c>
    </row>
    <row r="3" spans="1:21" x14ac:dyDescent="0.25">
      <c r="A3" t="str">
        <f>'ONS - UK Exports by type'!A1194</f>
        <v>Austria</v>
      </c>
      <c r="B3">
        <f>VLOOKUP($A3,'ONS - UK Exports by type'!$A$1183:$CX$1418,Calculations!B$1,FALSE)</f>
        <v>0</v>
      </c>
      <c r="C3">
        <f>VLOOKUP($A3,'ONS - UK Exports by type'!$A$1183:$CX$1418,Calculations!C$1,FALSE)</f>
        <v>4</v>
      </c>
      <c r="D3">
        <f>VLOOKUP($A3,'ONS - UK Exports by type'!$A$1183:$CX$1418,Calculations!D$1,FALSE)</f>
        <v>5</v>
      </c>
      <c r="E3">
        <f>VLOOKUP($A3,'ONS - UK Exports by type'!$A$1183:$CX$1418,Calculations!E$1,FALSE)</f>
        <v>1</v>
      </c>
      <c r="F3">
        <f>VLOOKUP($A3,'ONS - UK Exports by type'!$A$1183:$CX$1418,Calculations!F$1,FALSE)</f>
        <v>4</v>
      </c>
      <c r="G3">
        <f>VLOOKUP($A3,'ONS - UK Exports by type'!$A$1183:$CX$1418,Calculations!G$1,FALSE)</f>
        <v>1</v>
      </c>
      <c r="H3">
        <f>VLOOKUP($A3,'ONS - UK Exports by type'!$A$1183:$CX$1418,Calculations!H$1,FALSE)</f>
        <v>2</v>
      </c>
      <c r="I3">
        <f>VLOOKUP($A3,'ONS - UK Exports by type'!$A$1183:$CX$1418,Calculations!I$1,FALSE)</f>
        <v>5</v>
      </c>
      <c r="J3">
        <f>VLOOKUP($A3,'ONS - UK Exports by type'!$A$1183:$CX$1418,Calculations!J$1,FALSE)</f>
        <v>1</v>
      </c>
      <c r="K3">
        <f>VLOOKUP($A3,'ONS - UK Exports by type'!$A$1183:$CX$1418,Calculations!K$1,FALSE)</f>
        <v>7</v>
      </c>
      <c r="L3">
        <f>VLOOKUP($A3,'ONS - UK Exports by type'!$A$1183:$CX$1418,Calculations!L$1,FALSE)</f>
        <v>36</v>
      </c>
      <c r="M3">
        <f>VLOOKUP($A3,'ONS - UK Exports by type'!$A$1183:$CX$1418,Calculations!M$1,FALSE)</f>
        <v>0</v>
      </c>
      <c r="N3">
        <f>VLOOKUP($A3,'ONS - UK Exports by type'!$A$1183:$CX$1418,Calculations!N$1,FALSE)</f>
        <v>1</v>
      </c>
      <c r="O3">
        <f>VLOOKUP($A3,'ONS - UK Exports by type'!$A$1183:$CX$1418,Calculations!O$1,FALSE)</f>
        <v>0</v>
      </c>
      <c r="P3">
        <f>VLOOKUP($A3,'ONS - UK Exports by type'!$A$1183:$CX$1418,Calculations!P$1,FALSE)</f>
        <v>0</v>
      </c>
      <c r="Q3">
        <f>VLOOKUP($A3,'ONS - UK Exports by type'!$A$1183:$CX$1418,Calculations!Q$1,FALSE)</f>
        <v>0</v>
      </c>
      <c r="S3">
        <f>SUM(B3:R3)</f>
        <v>67</v>
      </c>
      <c r="U3">
        <f>VLOOKUP($A3,'ONS - UK Exports by type'!$A$1183:$CX$1418,Calculations!U$1,FALSE)</f>
        <v>1722</v>
      </c>
    </row>
    <row r="4" spans="1:21" x14ac:dyDescent="0.25">
      <c r="A4" t="str">
        <f>'ONS - UK Exports by type'!A1201</f>
        <v>Belgium</v>
      </c>
      <c r="B4">
        <f>VLOOKUP($A4,'ONS - UK Exports by type'!$A$1183:$CX$1418,Calculations!B$1,FALSE)</f>
        <v>3</v>
      </c>
      <c r="C4">
        <f>VLOOKUP($A4,'ONS - UK Exports by type'!$A$1183:$CX$1418,Calculations!C$1,FALSE)</f>
        <v>81</v>
      </c>
      <c r="D4">
        <f>VLOOKUP($A4,'ONS - UK Exports by type'!$A$1183:$CX$1418,Calculations!D$1,FALSE)</f>
        <v>163</v>
      </c>
      <c r="E4">
        <f>VLOOKUP($A4,'ONS - UK Exports by type'!$A$1183:$CX$1418,Calculations!E$1,FALSE)</f>
        <v>8</v>
      </c>
      <c r="F4">
        <f>VLOOKUP($A4,'ONS - UK Exports by type'!$A$1183:$CX$1418,Calculations!F$1,FALSE)</f>
        <v>121</v>
      </c>
      <c r="G4">
        <f>VLOOKUP($A4,'ONS - UK Exports by type'!$A$1183:$CX$1418,Calculations!G$1,FALSE)</f>
        <v>28</v>
      </c>
      <c r="H4">
        <f>VLOOKUP($A4,'ONS - UK Exports by type'!$A$1183:$CX$1418,Calculations!H$1,FALSE)</f>
        <v>15</v>
      </c>
      <c r="I4">
        <f>VLOOKUP($A4,'ONS - UK Exports by type'!$A$1183:$CX$1418,Calculations!I$1,FALSE)</f>
        <v>57</v>
      </c>
      <c r="J4">
        <f>VLOOKUP($A4,'ONS - UK Exports by type'!$A$1183:$CX$1418,Calculations!J$1,FALSE)</f>
        <v>45</v>
      </c>
      <c r="K4">
        <f>VLOOKUP($A4,'ONS - UK Exports by type'!$A$1183:$CX$1418,Calculations!K$1,FALSE)</f>
        <v>60</v>
      </c>
      <c r="L4">
        <f>VLOOKUP($A4,'ONS - UK Exports by type'!$A$1183:$CX$1418,Calculations!L$1,FALSE)</f>
        <v>360</v>
      </c>
      <c r="M4">
        <f>VLOOKUP($A4,'ONS - UK Exports by type'!$A$1183:$CX$1418,Calculations!M$1,FALSE)</f>
        <v>5</v>
      </c>
      <c r="N4">
        <f>VLOOKUP($A4,'ONS - UK Exports by type'!$A$1183:$CX$1418,Calculations!N$1,FALSE)</f>
        <v>11</v>
      </c>
      <c r="O4">
        <f>VLOOKUP($A4,'ONS - UK Exports by type'!$A$1183:$CX$1418,Calculations!O$1,FALSE)</f>
        <v>9</v>
      </c>
      <c r="P4">
        <f>VLOOKUP($A4,'ONS - UK Exports by type'!$A$1183:$CX$1418,Calculations!P$1,FALSE)</f>
        <v>22</v>
      </c>
      <c r="Q4">
        <f>VLOOKUP($A4,'ONS - UK Exports by type'!$A$1183:$CX$1418,Calculations!Q$1,FALSE)</f>
        <v>32</v>
      </c>
      <c r="S4">
        <f t="shared" ref="S4:S32" si="0">SUM(B4:R4)</f>
        <v>1020</v>
      </c>
      <c r="U4">
        <f>VLOOKUP($A4,'ONS - UK Exports by type'!$A$1183:$CX$1418,Calculations!U$1,FALSE)</f>
        <v>17637</v>
      </c>
    </row>
    <row r="5" spans="1:21" x14ac:dyDescent="0.25">
      <c r="A5" t="str">
        <f>'ONS - UK Exports by type'!A1203</f>
        <v>Bulgaria</v>
      </c>
      <c r="B5">
        <f>VLOOKUP($A5,'ONS - UK Exports by type'!$A$1183:$CX$1418,Calculations!B$1,FALSE)</f>
        <v>0</v>
      </c>
      <c r="C5">
        <f>VLOOKUP($A5,'ONS - UK Exports by type'!$A$1183:$CX$1418,Calculations!C$1,FALSE)</f>
        <v>0</v>
      </c>
      <c r="D5">
        <f>VLOOKUP($A5,'ONS - UK Exports by type'!$A$1183:$CX$1418,Calculations!D$1,FALSE)</f>
        <v>2</v>
      </c>
      <c r="E5">
        <f>VLOOKUP($A5,'ONS - UK Exports by type'!$A$1183:$CX$1418,Calculations!E$1,FALSE)</f>
        <v>0</v>
      </c>
      <c r="F5">
        <f>VLOOKUP($A5,'ONS - UK Exports by type'!$A$1183:$CX$1418,Calculations!F$1,FALSE)</f>
        <v>3</v>
      </c>
      <c r="G5">
        <f>VLOOKUP($A5,'ONS - UK Exports by type'!$A$1183:$CX$1418,Calculations!G$1,FALSE)</f>
        <v>1</v>
      </c>
      <c r="H5">
        <f>VLOOKUP($A5,'ONS - UK Exports by type'!$A$1183:$CX$1418,Calculations!H$1,FALSE)</f>
        <v>0</v>
      </c>
      <c r="I5">
        <f>VLOOKUP($A5,'ONS - UK Exports by type'!$A$1183:$CX$1418,Calculations!I$1,FALSE)</f>
        <v>5</v>
      </c>
      <c r="J5">
        <f>VLOOKUP($A5,'ONS - UK Exports by type'!$A$1183:$CX$1418,Calculations!J$1,FALSE)</f>
        <v>2</v>
      </c>
      <c r="K5">
        <f>VLOOKUP($A5,'ONS - UK Exports by type'!$A$1183:$CX$1418,Calculations!K$1,FALSE)</f>
        <v>4</v>
      </c>
      <c r="L5">
        <f>VLOOKUP($A5,'ONS - UK Exports by type'!$A$1183:$CX$1418,Calculations!L$1,FALSE)</f>
        <v>45</v>
      </c>
      <c r="M5">
        <f>VLOOKUP($A5,'ONS - UK Exports by type'!$A$1183:$CX$1418,Calculations!M$1,FALSE)</f>
        <v>0</v>
      </c>
      <c r="N5">
        <f>VLOOKUP($A5,'ONS - UK Exports by type'!$A$1183:$CX$1418,Calculations!N$1,FALSE)</f>
        <v>1</v>
      </c>
      <c r="O5">
        <f>VLOOKUP($A5,'ONS - UK Exports by type'!$A$1183:$CX$1418,Calculations!O$1,FALSE)</f>
        <v>0</v>
      </c>
      <c r="P5">
        <f>VLOOKUP($A5,'ONS - UK Exports by type'!$A$1183:$CX$1418,Calculations!P$1,FALSE)</f>
        <v>0</v>
      </c>
      <c r="Q5">
        <f>VLOOKUP($A5,'ONS - UK Exports by type'!$A$1183:$CX$1418,Calculations!Q$1,FALSE)</f>
        <v>0</v>
      </c>
      <c r="S5">
        <f t="shared" si="0"/>
        <v>63</v>
      </c>
      <c r="U5">
        <f>VLOOKUP($A5,'ONS - UK Exports by type'!$A$1183:$CX$1418,Calculations!U$1,FALSE)</f>
        <v>396</v>
      </c>
    </row>
    <row r="6" spans="1:21" x14ac:dyDescent="0.25">
      <c r="A6" t="str">
        <f>'ONS - UK Exports by type'!A1235</f>
        <v>Cyprus</v>
      </c>
      <c r="B6">
        <f>VLOOKUP($A6,'ONS - UK Exports by type'!$A$1183:$CX$1418,Calculations!B$1,FALSE)</f>
        <v>0</v>
      </c>
      <c r="C6">
        <f>VLOOKUP($A6,'ONS - UK Exports by type'!$A$1183:$CX$1418,Calculations!C$1,FALSE)</f>
        <v>1</v>
      </c>
      <c r="D6">
        <f>VLOOKUP($A6,'ONS - UK Exports by type'!$A$1183:$CX$1418,Calculations!D$1,FALSE)</f>
        <v>3</v>
      </c>
      <c r="E6">
        <f>VLOOKUP($A6,'ONS - UK Exports by type'!$A$1183:$CX$1418,Calculations!E$1,FALSE)</f>
        <v>2</v>
      </c>
      <c r="F6">
        <f>VLOOKUP($A6,'ONS - UK Exports by type'!$A$1183:$CX$1418,Calculations!F$1,FALSE)</f>
        <v>11</v>
      </c>
      <c r="G6">
        <f>VLOOKUP($A6,'ONS - UK Exports by type'!$A$1183:$CX$1418,Calculations!G$1,FALSE)</f>
        <v>3</v>
      </c>
      <c r="H6">
        <f>VLOOKUP($A6,'ONS - UK Exports by type'!$A$1183:$CX$1418,Calculations!H$1,FALSE)</f>
        <v>1</v>
      </c>
      <c r="I6">
        <f>VLOOKUP($A6,'ONS - UK Exports by type'!$A$1183:$CX$1418,Calculations!I$1,FALSE)</f>
        <v>7</v>
      </c>
      <c r="J6">
        <f>VLOOKUP($A6,'ONS - UK Exports by type'!$A$1183:$CX$1418,Calculations!J$1,FALSE)</f>
        <v>1</v>
      </c>
      <c r="K6">
        <f>VLOOKUP($A6,'ONS - UK Exports by type'!$A$1183:$CX$1418,Calculations!K$1,FALSE)</f>
        <v>13</v>
      </c>
      <c r="L6">
        <f>VLOOKUP($A6,'ONS - UK Exports by type'!$A$1183:$CX$1418,Calculations!L$1,FALSE)</f>
        <v>23</v>
      </c>
      <c r="M6">
        <f>VLOOKUP($A6,'ONS - UK Exports by type'!$A$1183:$CX$1418,Calculations!M$1,FALSE)</f>
        <v>0</v>
      </c>
      <c r="N6">
        <f>VLOOKUP($A6,'ONS - UK Exports by type'!$A$1183:$CX$1418,Calculations!N$1,FALSE)</f>
        <v>0</v>
      </c>
      <c r="O6">
        <f>VLOOKUP($A6,'ONS - UK Exports by type'!$A$1183:$CX$1418,Calculations!O$1,FALSE)</f>
        <v>0</v>
      </c>
      <c r="P6">
        <f>VLOOKUP($A6,'ONS - UK Exports by type'!$A$1183:$CX$1418,Calculations!P$1,FALSE)</f>
        <v>1</v>
      </c>
      <c r="Q6">
        <f>VLOOKUP($A6,'ONS - UK Exports by type'!$A$1183:$CX$1418,Calculations!Q$1,FALSE)</f>
        <v>0</v>
      </c>
      <c r="S6">
        <f t="shared" si="0"/>
        <v>66</v>
      </c>
      <c r="U6">
        <f>VLOOKUP($A6,'ONS - UK Exports by type'!$A$1183:$CX$1418,Calculations!U$1,FALSE)</f>
        <v>446</v>
      </c>
    </row>
    <row r="7" spans="1:21" x14ac:dyDescent="0.25">
      <c r="A7" t="str">
        <f>'ONS - UK Exports by type'!A1236</f>
        <v>Czechia</v>
      </c>
      <c r="B7">
        <f>VLOOKUP($A7,'ONS - UK Exports by type'!$A$1183:$CX$1418,Calculations!B$1,FALSE)</f>
        <v>1</v>
      </c>
      <c r="C7">
        <f>VLOOKUP($A7,'ONS - UK Exports by type'!$A$1183:$CX$1418,Calculations!C$1,FALSE)</f>
        <v>2</v>
      </c>
      <c r="D7">
        <f>VLOOKUP($A7,'ONS - UK Exports by type'!$A$1183:$CX$1418,Calculations!D$1,FALSE)</f>
        <v>12</v>
      </c>
      <c r="E7">
        <f>VLOOKUP($A7,'ONS - UK Exports by type'!$A$1183:$CX$1418,Calculations!E$1,FALSE)</f>
        <v>0</v>
      </c>
      <c r="F7">
        <f>VLOOKUP($A7,'ONS - UK Exports by type'!$A$1183:$CX$1418,Calculations!F$1,FALSE)</f>
        <v>7</v>
      </c>
      <c r="G7">
        <f>VLOOKUP($A7,'ONS - UK Exports by type'!$A$1183:$CX$1418,Calculations!G$1,FALSE)</f>
        <v>2</v>
      </c>
      <c r="H7">
        <f>VLOOKUP($A7,'ONS - UK Exports by type'!$A$1183:$CX$1418,Calculations!H$1,FALSE)</f>
        <v>4</v>
      </c>
      <c r="I7">
        <f>VLOOKUP($A7,'ONS - UK Exports by type'!$A$1183:$CX$1418,Calculations!I$1,FALSE)</f>
        <v>33</v>
      </c>
      <c r="J7">
        <f>VLOOKUP($A7,'ONS - UK Exports by type'!$A$1183:$CX$1418,Calculations!J$1,FALSE)</f>
        <v>9</v>
      </c>
      <c r="K7">
        <f>VLOOKUP($A7,'ONS - UK Exports by type'!$A$1183:$CX$1418,Calculations!K$1,FALSE)</f>
        <v>12</v>
      </c>
      <c r="L7">
        <f>VLOOKUP($A7,'ONS - UK Exports by type'!$A$1183:$CX$1418,Calculations!L$1,FALSE)</f>
        <v>124</v>
      </c>
      <c r="M7">
        <f>VLOOKUP($A7,'ONS - UK Exports by type'!$A$1183:$CX$1418,Calculations!M$1,FALSE)</f>
        <v>0</v>
      </c>
      <c r="N7">
        <f>VLOOKUP($A7,'ONS - UK Exports by type'!$A$1183:$CX$1418,Calculations!N$1,FALSE)</f>
        <v>3</v>
      </c>
      <c r="O7">
        <f>VLOOKUP($A7,'ONS - UK Exports by type'!$A$1183:$CX$1418,Calculations!O$1,FALSE)</f>
        <v>0</v>
      </c>
      <c r="P7">
        <f>VLOOKUP($A7,'ONS - UK Exports by type'!$A$1183:$CX$1418,Calculations!P$1,FALSE)</f>
        <v>0</v>
      </c>
      <c r="Q7">
        <f>VLOOKUP($A7,'ONS - UK Exports by type'!$A$1183:$CX$1418,Calculations!Q$1,FALSE)</f>
        <v>0</v>
      </c>
      <c r="S7">
        <f t="shared" si="0"/>
        <v>209</v>
      </c>
      <c r="U7">
        <f>VLOOKUP($A7,'ONS - UK Exports by type'!$A$1183:$CX$1418,Calculations!U$1,FALSE)</f>
        <v>2350</v>
      </c>
    </row>
    <row r="8" spans="1:21" x14ac:dyDescent="0.25">
      <c r="A8" t="str">
        <f>'ONS - UK Exports by type'!A1237</f>
        <v>Germany</v>
      </c>
      <c r="B8">
        <f>VLOOKUP($A8,'ONS - UK Exports by type'!$A$1183:$CX$1418,Calculations!B$1,FALSE)</f>
        <v>21</v>
      </c>
      <c r="C8">
        <f>VLOOKUP($A8,'ONS - UK Exports by type'!$A$1183:$CX$1418,Calculations!C$1,FALSE)</f>
        <v>168</v>
      </c>
      <c r="D8">
        <f>VLOOKUP($A8,'ONS - UK Exports by type'!$A$1183:$CX$1418,Calculations!D$1,FALSE)</f>
        <v>58</v>
      </c>
      <c r="E8">
        <f>VLOOKUP($A8,'ONS - UK Exports by type'!$A$1183:$CX$1418,Calculations!E$1,FALSE)</f>
        <v>16</v>
      </c>
      <c r="F8">
        <f>VLOOKUP($A8,'ONS - UK Exports by type'!$A$1183:$CX$1418,Calculations!F$1,FALSE)</f>
        <v>105</v>
      </c>
      <c r="G8">
        <f>VLOOKUP($A8,'ONS - UK Exports by type'!$A$1183:$CX$1418,Calculations!G$1,FALSE)</f>
        <v>30</v>
      </c>
      <c r="H8">
        <f>VLOOKUP($A8,'ONS - UK Exports by type'!$A$1183:$CX$1418,Calculations!H$1,FALSE)</f>
        <v>31</v>
      </c>
      <c r="I8">
        <f>VLOOKUP($A8,'ONS - UK Exports by type'!$A$1183:$CX$1418,Calculations!I$1,FALSE)</f>
        <v>81</v>
      </c>
      <c r="J8">
        <f>VLOOKUP($A8,'ONS - UK Exports by type'!$A$1183:$CX$1418,Calculations!J$1,FALSE)</f>
        <v>42</v>
      </c>
      <c r="K8">
        <f>VLOOKUP($A8,'ONS - UK Exports by type'!$A$1183:$CX$1418,Calculations!K$1,FALSE)</f>
        <v>139</v>
      </c>
      <c r="L8">
        <f>VLOOKUP($A8,'ONS - UK Exports by type'!$A$1183:$CX$1418,Calculations!L$1,FALSE)</f>
        <v>605</v>
      </c>
      <c r="M8">
        <f>VLOOKUP($A8,'ONS - UK Exports by type'!$A$1183:$CX$1418,Calculations!M$1,FALSE)</f>
        <v>8</v>
      </c>
      <c r="N8">
        <f>VLOOKUP($A8,'ONS - UK Exports by type'!$A$1183:$CX$1418,Calculations!N$1,FALSE)</f>
        <v>37</v>
      </c>
      <c r="O8">
        <f>VLOOKUP($A8,'ONS - UK Exports by type'!$A$1183:$CX$1418,Calculations!O$1,FALSE)</f>
        <v>6</v>
      </c>
      <c r="P8">
        <f>VLOOKUP($A8,'ONS - UK Exports by type'!$A$1183:$CX$1418,Calculations!P$1,FALSE)</f>
        <v>15</v>
      </c>
      <c r="Q8">
        <f>VLOOKUP($A8,'ONS - UK Exports by type'!$A$1183:$CX$1418,Calculations!Q$1,FALSE)</f>
        <v>7</v>
      </c>
      <c r="S8">
        <f t="shared" si="0"/>
        <v>1369</v>
      </c>
      <c r="U8">
        <f>VLOOKUP($A8,'ONS - UK Exports by type'!$A$1183:$CX$1418,Calculations!U$1,FALSE)</f>
        <v>33775</v>
      </c>
    </row>
    <row r="9" spans="1:21" x14ac:dyDescent="0.25">
      <c r="A9" t="str">
        <f>'ONS - UK Exports by type'!A1239</f>
        <v>Denmark</v>
      </c>
      <c r="B9">
        <f>VLOOKUP($A9,'ONS - UK Exports by type'!$A$1183:$CX$1418,Calculations!B$1,FALSE)</f>
        <v>3</v>
      </c>
      <c r="C9">
        <f>VLOOKUP($A9,'ONS - UK Exports by type'!$A$1183:$CX$1418,Calculations!C$1,FALSE)</f>
        <v>16</v>
      </c>
      <c r="D9">
        <f>VLOOKUP($A9,'ONS - UK Exports by type'!$A$1183:$CX$1418,Calculations!D$1,FALSE)</f>
        <v>65</v>
      </c>
      <c r="E9">
        <f>VLOOKUP($A9,'ONS - UK Exports by type'!$A$1183:$CX$1418,Calculations!E$1,FALSE)</f>
        <v>13</v>
      </c>
      <c r="F9">
        <f>VLOOKUP($A9,'ONS - UK Exports by type'!$A$1183:$CX$1418,Calculations!F$1,FALSE)</f>
        <v>11</v>
      </c>
      <c r="G9">
        <f>VLOOKUP($A9,'ONS - UK Exports by type'!$A$1183:$CX$1418,Calculations!G$1,FALSE)</f>
        <v>16</v>
      </c>
      <c r="H9">
        <f>VLOOKUP($A9,'ONS - UK Exports by type'!$A$1183:$CX$1418,Calculations!H$1,FALSE)</f>
        <v>8</v>
      </c>
      <c r="I9">
        <f>VLOOKUP($A9,'ONS - UK Exports by type'!$A$1183:$CX$1418,Calculations!I$1,FALSE)</f>
        <v>11</v>
      </c>
      <c r="J9">
        <f>VLOOKUP($A9,'ONS - UK Exports by type'!$A$1183:$CX$1418,Calculations!J$1,FALSE)</f>
        <v>20</v>
      </c>
      <c r="K9">
        <f>VLOOKUP($A9,'ONS - UK Exports by type'!$A$1183:$CX$1418,Calculations!K$1,FALSE)</f>
        <v>27</v>
      </c>
      <c r="L9">
        <f>VLOOKUP($A9,'ONS - UK Exports by type'!$A$1183:$CX$1418,Calculations!L$1,FALSE)</f>
        <v>69</v>
      </c>
      <c r="M9">
        <f>VLOOKUP($A9,'ONS - UK Exports by type'!$A$1183:$CX$1418,Calculations!M$1,FALSE)</f>
        <v>0</v>
      </c>
      <c r="N9">
        <f>VLOOKUP($A9,'ONS - UK Exports by type'!$A$1183:$CX$1418,Calculations!N$1,FALSE)</f>
        <v>9</v>
      </c>
      <c r="O9">
        <f>VLOOKUP($A9,'ONS - UK Exports by type'!$A$1183:$CX$1418,Calculations!O$1,FALSE)</f>
        <v>1</v>
      </c>
      <c r="P9">
        <f>VLOOKUP($A9,'ONS - UK Exports by type'!$A$1183:$CX$1418,Calculations!P$1,FALSE)</f>
        <v>1</v>
      </c>
      <c r="Q9">
        <f>VLOOKUP($A9,'ONS - UK Exports by type'!$A$1183:$CX$1418,Calculations!Q$1,FALSE)</f>
        <v>5</v>
      </c>
      <c r="S9">
        <f t="shared" si="0"/>
        <v>275</v>
      </c>
      <c r="U9">
        <f>VLOOKUP($A9,'ONS - UK Exports by type'!$A$1183:$CX$1418,Calculations!U$1,FALSE)</f>
        <v>2752</v>
      </c>
    </row>
    <row r="10" spans="1:21" x14ac:dyDescent="0.25">
      <c r="A10" t="str">
        <f>'ONS - UK Exports by type'!A1244</f>
        <v>Estonia</v>
      </c>
      <c r="B10">
        <f>VLOOKUP($A10,'ONS - UK Exports by type'!$A$1183:$CX$1418,Calculations!B$1,FALSE)</f>
        <v>0</v>
      </c>
      <c r="C10">
        <f>VLOOKUP($A10,'ONS - UK Exports by type'!$A$1183:$CX$1418,Calculations!C$1,FALSE)</f>
        <v>0</v>
      </c>
      <c r="D10">
        <f>VLOOKUP($A10,'ONS - UK Exports by type'!$A$1183:$CX$1418,Calculations!D$1,FALSE)</f>
        <v>0</v>
      </c>
      <c r="E10">
        <f>VLOOKUP($A10,'ONS - UK Exports by type'!$A$1183:$CX$1418,Calculations!E$1,FALSE)</f>
        <v>0</v>
      </c>
      <c r="F10">
        <f>VLOOKUP($A10,'ONS - UK Exports by type'!$A$1183:$CX$1418,Calculations!F$1,FALSE)</f>
        <v>2</v>
      </c>
      <c r="G10">
        <f>VLOOKUP($A10,'ONS - UK Exports by type'!$A$1183:$CX$1418,Calculations!G$1,FALSE)</f>
        <v>0</v>
      </c>
      <c r="H10">
        <f>VLOOKUP($A10,'ONS - UK Exports by type'!$A$1183:$CX$1418,Calculations!H$1,FALSE)</f>
        <v>0</v>
      </c>
      <c r="I10">
        <f>VLOOKUP($A10,'ONS - UK Exports by type'!$A$1183:$CX$1418,Calculations!I$1,FALSE)</f>
        <v>0</v>
      </c>
      <c r="J10">
        <f>VLOOKUP($A10,'ONS - UK Exports by type'!$A$1183:$CX$1418,Calculations!J$1,FALSE)</f>
        <v>1</v>
      </c>
      <c r="K10">
        <f>VLOOKUP($A10,'ONS - UK Exports by type'!$A$1183:$CX$1418,Calculations!K$1,FALSE)</f>
        <v>3</v>
      </c>
      <c r="L10">
        <f>VLOOKUP($A10,'ONS - UK Exports by type'!$A$1183:$CX$1418,Calculations!L$1,FALSE)</f>
        <v>19</v>
      </c>
      <c r="M10">
        <f>VLOOKUP($A10,'ONS - UK Exports by type'!$A$1183:$CX$1418,Calculations!M$1,FALSE)</f>
        <v>0</v>
      </c>
      <c r="N10">
        <f>VLOOKUP($A10,'ONS - UK Exports by type'!$A$1183:$CX$1418,Calculations!N$1,FALSE)</f>
        <v>0</v>
      </c>
      <c r="O10">
        <f>VLOOKUP($A10,'ONS - UK Exports by type'!$A$1183:$CX$1418,Calculations!O$1,FALSE)</f>
        <v>0</v>
      </c>
      <c r="P10">
        <f>VLOOKUP($A10,'ONS - UK Exports by type'!$A$1183:$CX$1418,Calculations!P$1,FALSE)</f>
        <v>0</v>
      </c>
      <c r="Q10">
        <f>VLOOKUP($A10,'ONS - UK Exports by type'!$A$1183:$CX$1418,Calculations!Q$1,FALSE)</f>
        <v>0</v>
      </c>
      <c r="S10">
        <f t="shared" si="0"/>
        <v>25</v>
      </c>
      <c r="U10">
        <f>VLOOKUP($A10,'ONS - UK Exports by type'!$A$1183:$CX$1418,Calculations!U$1,FALSE)</f>
        <v>333</v>
      </c>
    </row>
    <row r="11" spans="1:21" x14ac:dyDescent="0.25">
      <c r="A11" t="str">
        <f>'ONS - UK Exports by type'!A1247</f>
        <v>Spain</v>
      </c>
      <c r="B11">
        <f>VLOOKUP($A11,'ONS - UK Exports by type'!$A$1183:$CX$1418,Calculations!B$1,FALSE)</f>
        <v>14</v>
      </c>
      <c r="C11">
        <f>VLOOKUP($A11,'ONS - UK Exports by type'!$A$1183:$CX$1418,Calculations!C$1,FALSE)</f>
        <v>22</v>
      </c>
      <c r="D11">
        <f>VLOOKUP($A11,'ONS - UK Exports by type'!$A$1183:$CX$1418,Calculations!D$1,FALSE)</f>
        <v>50</v>
      </c>
      <c r="E11">
        <f>VLOOKUP($A11,'ONS - UK Exports by type'!$A$1183:$CX$1418,Calculations!E$1,FALSE)</f>
        <v>111</v>
      </c>
      <c r="F11">
        <f>VLOOKUP($A11,'ONS - UK Exports by type'!$A$1183:$CX$1418,Calculations!F$1,FALSE)</f>
        <v>294</v>
      </c>
      <c r="G11">
        <f>VLOOKUP($A11,'ONS - UK Exports by type'!$A$1183:$CX$1418,Calculations!G$1,FALSE)</f>
        <v>36</v>
      </c>
      <c r="H11">
        <f>VLOOKUP($A11,'ONS - UK Exports by type'!$A$1183:$CX$1418,Calculations!H$1,FALSE)</f>
        <v>7</v>
      </c>
      <c r="I11">
        <f>VLOOKUP($A11,'ONS - UK Exports by type'!$A$1183:$CX$1418,Calculations!I$1,FALSE)</f>
        <v>19</v>
      </c>
      <c r="J11">
        <f>VLOOKUP($A11,'ONS - UK Exports by type'!$A$1183:$CX$1418,Calculations!J$1,FALSE)</f>
        <v>18</v>
      </c>
      <c r="K11">
        <f>VLOOKUP($A11,'ONS - UK Exports by type'!$A$1183:$CX$1418,Calculations!K$1,FALSE)</f>
        <v>51</v>
      </c>
      <c r="L11">
        <f>VLOOKUP($A11,'ONS - UK Exports by type'!$A$1183:$CX$1418,Calculations!L$1,FALSE)</f>
        <v>403</v>
      </c>
      <c r="M11">
        <f>VLOOKUP($A11,'ONS - UK Exports by type'!$A$1183:$CX$1418,Calculations!M$1,FALSE)</f>
        <v>1</v>
      </c>
      <c r="N11">
        <f>VLOOKUP($A11,'ONS - UK Exports by type'!$A$1183:$CX$1418,Calculations!N$1,FALSE)</f>
        <v>15</v>
      </c>
      <c r="O11">
        <f>VLOOKUP($A11,'ONS - UK Exports by type'!$A$1183:$CX$1418,Calculations!O$1,FALSE)</f>
        <v>2</v>
      </c>
      <c r="P11">
        <f>VLOOKUP($A11,'ONS - UK Exports by type'!$A$1183:$CX$1418,Calculations!P$1,FALSE)</f>
        <v>2</v>
      </c>
      <c r="Q11">
        <f>VLOOKUP($A11,'ONS - UK Exports by type'!$A$1183:$CX$1418,Calculations!Q$1,FALSE)</f>
        <v>2</v>
      </c>
      <c r="S11">
        <f t="shared" si="0"/>
        <v>1047</v>
      </c>
      <c r="U11">
        <f>VLOOKUP($A11,'ONS - UK Exports by type'!$A$1183:$CX$1418,Calculations!U$1,FALSE)</f>
        <v>10110</v>
      </c>
    </row>
    <row r="12" spans="1:21" x14ac:dyDescent="0.25">
      <c r="A12" t="str">
        <f>'ONS - UK Exports by type'!A1249</f>
        <v>Finland</v>
      </c>
      <c r="B12">
        <f>VLOOKUP($A12,'ONS - UK Exports by type'!$A$1183:$CX$1418,Calculations!B$1,FALSE)</f>
        <v>0</v>
      </c>
      <c r="C12">
        <f>VLOOKUP($A12,'ONS - UK Exports by type'!$A$1183:$CX$1418,Calculations!C$1,FALSE)</f>
        <v>0</v>
      </c>
      <c r="D12">
        <f>VLOOKUP($A12,'ONS - UK Exports by type'!$A$1183:$CX$1418,Calculations!D$1,FALSE)</f>
        <v>1</v>
      </c>
      <c r="E12">
        <f>VLOOKUP($A12,'ONS - UK Exports by type'!$A$1183:$CX$1418,Calculations!E$1,FALSE)</f>
        <v>0</v>
      </c>
      <c r="F12">
        <f>VLOOKUP($A12,'ONS - UK Exports by type'!$A$1183:$CX$1418,Calculations!F$1,FALSE)</f>
        <v>11</v>
      </c>
      <c r="G12">
        <f>VLOOKUP($A12,'ONS - UK Exports by type'!$A$1183:$CX$1418,Calculations!G$1,FALSE)</f>
        <v>2</v>
      </c>
      <c r="H12">
        <f>VLOOKUP($A12,'ONS - UK Exports by type'!$A$1183:$CX$1418,Calculations!H$1,FALSE)</f>
        <v>1</v>
      </c>
      <c r="I12">
        <f>VLOOKUP($A12,'ONS - UK Exports by type'!$A$1183:$CX$1418,Calculations!I$1,FALSE)</f>
        <v>2</v>
      </c>
      <c r="J12">
        <f>VLOOKUP($A12,'ONS - UK Exports by type'!$A$1183:$CX$1418,Calculations!J$1,FALSE)</f>
        <v>13</v>
      </c>
      <c r="K12">
        <f>VLOOKUP($A12,'ONS - UK Exports by type'!$A$1183:$CX$1418,Calculations!K$1,FALSE)</f>
        <v>9</v>
      </c>
      <c r="L12">
        <f>VLOOKUP($A12,'ONS - UK Exports by type'!$A$1183:$CX$1418,Calculations!L$1,FALSE)</f>
        <v>22</v>
      </c>
      <c r="M12">
        <f>VLOOKUP($A12,'ONS - UK Exports by type'!$A$1183:$CX$1418,Calculations!M$1,FALSE)</f>
        <v>0</v>
      </c>
      <c r="N12">
        <f>VLOOKUP($A12,'ONS - UK Exports by type'!$A$1183:$CX$1418,Calculations!N$1,FALSE)</f>
        <v>0</v>
      </c>
      <c r="O12">
        <f>VLOOKUP($A12,'ONS - UK Exports by type'!$A$1183:$CX$1418,Calculations!O$1,FALSE)</f>
        <v>0</v>
      </c>
      <c r="P12">
        <f>VLOOKUP($A12,'ONS - UK Exports by type'!$A$1183:$CX$1418,Calculations!P$1,FALSE)</f>
        <v>0</v>
      </c>
      <c r="Q12">
        <f>VLOOKUP($A12,'ONS - UK Exports by type'!$A$1183:$CX$1418,Calculations!Q$1,FALSE)</f>
        <v>0</v>
      </c>
      <c r="S12">
        <f t="shared" si="0"/>
        <v>61</v>
      </c>
      <c r="U12">
        <f>VLOOKUP($A12,'ONS - UK Exports by type'!$A$1183:$CX$1418,Calculations!U$1,FALSE)</f>
        <v>1435</v>
      </c>
    </row>
    <row r="13" spans="1:21" x14ac:dyDescent="0.25">
      <c r="A13" t="str">
        <f>'ONS - UK Exports by type'!A1254</f>
        <v>France</v>
      </c>
      <c r="B13">
        <f>VLOOKUP($A13,'ONS - UK Exports by type'!$A$1183:$CX$1418,Calculations!B$1,FALSE)</f>
        <v>49</v>
      </c>
      <c r="C13">
        <f>VLOOKUP($A13,'ONS - UK Exports by type'!$A$1183:$CX$1418,Calculations!C$1,FALSE)</f>
        <v>582</v>
      </c>
      <c r="D13">
        <f>VLOOKUP($A13,'ONS - UK Exports by type'!$A$1183:$CX$1418,Calculations!D$1,FALSE)</f>
        <v>165</v>
      </c>
      <c r="E13">
        <f>VLOOKUP($A13,'ONS - UK Exports by type'!$A$1183:$CX$1418,Calculations!E$1,FALSE)</f>
        <v>779</v>
      </c>
      <c r="F13">
        <f>VLOOKUP($A13,'ONS - UK Exports by type'!$A$1183:$CX$1418,Calculations!F$1,FALSE)</f>
        <v>181</v>
      </c>
      <c r="G13">
        <f>VLOOKUP($A13,'ONS - UK Exports by type'!$A$1183:$CX$1418,Calculations!G$1,FALSE)</f>
        <v>57</v>
      </c>
      <c r="H13">
        <f>VLOOKUP($A13,'ONS - UK Exports by type'!$A$1183:$CX$1418,Calculations!H$1,FALSE)</f>
        <v>10</v>
      </c>
      <c r="I13">
        <f>VLOOKUP($A13,'ONS - UK Exports by type'!$A$1183:$CX$1418,Calculations!I$1,FALSE)</f>
        <v>92</v>
      </c>
      <c r="J13">
        <f>VLOOKUP($A13,'ONS - UK Exports by type'!$A$1183:$CX$1418,Calculations!J$1,FALSE)</f>
        <v>92</v>
      </c>
      <c r="K13">
        <f>VLOOKUP($A13,'ONS - UK Exports by type'!$A$1183:$CX$1418,Calculations!K$1,FALSE)</f>
        <v>182</v>
      </c>
      <c r="L13">
        <f>VLOOKUP($A13,'ONS - UK Exports by type'!$A$1183:$CX$1418,Calculations!L$1,FALSE)</f>
        <v>747</v>
      </c>
      <c r="M13">
        <f>VLOOKUP($A13,'ONS - UK Exports by type'!$A$1183:$CX$1418,Calculations!M$1,FALSE)</f>
        <v>13</v>
      </c>
      <c r="N13">
        <f>VLOOKUP($A13,'ONS - UK Exports by type'!$A$1183:$CX$1418,Calculations!N$1,FALSE)</f>
        <v>38</v>
      </c>
      <c r="O13">
        <f>VLOOKUP($A13,'ONS - UK Exports by type'!$A$1183:$CX$1418,Calculations!O$1,FALSE)</f>
        <v>3</v>
      </c>
      <c r="P13">
        <f>VLOOKUP($A13,'ONS - UK Exports by type'!$A$1183:$CX$1418,Calculations!P$1,FALSE)</f>
        <v>9</v>
      </c>
      <c r="Q13">
        <f>VLOOKUP($A13,'ONS - UK Exports by type'!$A$1183:$CX$1418,Calculations!Q$1,FALSE)</f>
        <v>4</v>
      </c>
      <c r="S13">
        <f t="shared" si="0"/>
        <v>3003</v>
      </c>
      <c r="U13">
        <f>VLOOKUP($A13,'ONS - UK Exports by type'!$A$1183:$CX$1418,Calculations!U$1,FALSE)</f>
        <v>24802</v>
      </c>
    </row>
    <row r="14" spans="1:21" x14ac:dyDescent="0.25">
      <c r="A14" t="str">
        <f>'ONS - UK Exports by type'!A1265</f>
        <v>Greece</v>
      </c>
      <c r="B14">
        <f>VLOOKUP($A14,'ONS - UK Exports by type'!$A$1183:$CX$1418,Calculations!B$1,FALSE)</f>
        <v>0</v>
      </c>
      <c r="C14">
        <f>VLOOKUP($A14,'ONS - UK Exports by type'!$A$1183:$CX$1418,Calculations!C$1,FALSE)</f>
        <v>1</v>
      </c>
      <c r="D14">
        <f>VLOOKUP($A14,'ONS - UK Exports by type'!$A$1183:$CX$1418,Calculations!D$1,FALSE)</f>
        <v>7</v>
      </c>
      <c r="E14">
        <f>VLOOKUP($A14,'ONS - UK Exports by type'!$A$1183:$CX$1418,Calculations!E$1,FALSE)</f>
        <v>1</v>
      </c>
      <c r="F14">
        <f>VLOOKUP($A14,'ONS - UK Exports by type'!$A$1183:$CX$1418,Calculations!F$1,FALSE)</f>
        <v>12</v>
      </c>
      <c r="G14">
        <f>VLOOKUP($A14,'ONS - UK Exports by type'!$A$1183:$CX$1418,Calculations!G$1,FALSE)</f>
        <v>1</v>
      </c>
      <c r="H14">
        <f>VLOOKUP($A14,'ONS - UK Exports by type'!$A$1183:$CX$1418,Calculations!H$1,FALSE)</f>
        <v>1</v>
      </c>
      <c r="I14">
        <f>VLOOKUP($A14,'ONS - UK Exports by type'!$A$1183:$CX$1418,Calculations!I$1,FALSE)</f>
        <v>8</v>
      </c>
      <c r="J14">
        <f>VLOOKUP($A14,'ONS - UK Exports by type'!$A$1183:$CX$1418,Calculations!J$1,FALSE)</f>
        <v>3</v>
      </c>
      <c r="K14">
        <f>VLOOKUP($A14,'ONS - UK Exports by type'!$A$1183:$CX$1418,Calculations!K$1,FALSE)</f>
        <v>10</v>
      </c>
      <c r="L14">
        <f>VLOOKUP($A14,'ONS - UK Exports by type'!$A$1183:$CX$1418,Calculations!L$1,FALSE)</f>
        <v>110</v>
      </c>
      <c r="M14">
        <f>VLOOKUP($A14,'ONS - UK Exports by type'!$A$1183:$CX$1418,Calculations!M$1,FALSE)</f>
        <v>0</v>
      </c>
      <c r="N14">
        <f>VLOOKUP($A14,'ONS - UK Exports by type'!$A$1183:$CX$1418,Calculations!N$1,FALSE)</f>
        <v>0</v>
      </c>
      <c r="O14">
        <f>VLOOKUP($A14,'ONS - UK Exports by type'!$A$1183:$CX$1418,Calculations!O$1,FALSE)</f>
        <v>0</v>
      </c>
      <c r="P14">
        <f>VLOOKUP($A14,'ONS - UK Exports by type'!$A$1183:$CX$1418,Calculations!P$1,FALSE)</f>
        <v>0</v>
      </c>
      <c r="Q14">
        <f>VLOOKUP($A14,'ONS - UK Exports by type'!$A$1183:$CX$1418,Calculations!Q$1,FALSE)</f>
        <v>0</v>
      </c>
      <c r="S14">
        <f t="shared" si="0"/>
        <v>154</v>
      </c>
      <c r="U14">
        <f>VLOOKUP($A14,'ONS - UK Exports by type'!$A$1183:$CX$1418,Calculations!U$1,FALSE)</f>
        <v>1266</v>
      </c>
    </row>
    <row r="15" spans="1:21" x14ac:dyDescent="0.25">
      <c r="A15" t="str">
        <f>'ONS - UK Exports by type'!A1274</f>
        <v>Croatia</v>
      </c>
      <c r="B15">
        <f>VLOOKUP($A15,'ONS - UK Exports by type'!$A$1183:$CX$1418,Calculations!B$1,FALSE)</f>
        <v>0</v>
      </c>
      <c r="C15">
        <f>VLOOKUP($A15,'ONS - UK Exports by type'!$A$1183:$CX$1418,Calculations!C$1,FALSE)</f>
        <v>0</v>
      </c>
      <c r="D15">
        <f>VLOOKUP($A15,'ONS - UK Exports by type'!$A$1183:$CX$1418,Calculations!D$1,FALSE)</f>
        <v>2</v>
      </c>
      <c r="E15">
        <f>VLOOKUP($A15,'ONS - UK Exports by type'!$A$1183:$CX$1418,Calculations!E$1,FALSE)</f>
        <v>3</v>
      </c>
      <c r="F15">
        <f>VLOOKUP($A15,'ONS - UK Exports by type'!$A$1183:$CX$1418,Calculations!F$1,FALSE)</f>
        <v>1</v>
      </c>
      <c r="G15">
        <f>VLOOKUP($A15,'ONS - UK Exports by type'!$A$1183:$CX$1418,Calculations!G$1,FALSE)</f>
        <v>0</v>
      </c>
      <c r="H15">
        <f>VLOOKUP($A15,'ONS - UK Exports by type'!$A$1183:$CX$1418,Calculations!H$1,FALSE)</f>
        <v>0</v>
      </c>
      <c r="I15">
        <f>VLOOKUP($A15,'ONS - UK Exports by type'!$A$1183:$CX$1418,Calculations!I$1,FALSE)</f>
        <v>3</v>
      </c>
      <c r="J15">
        <f>VLOOKUP($A15,'ONS - UK Exports by type'!$A$1183:$CX$1418,Calculations!J$1,FALSE)</f>
        <v>0</v>
      </c>
      <c r="K15">
        <f>VLOOKUP($A15,'ONS - UK Exports by type'!$A$1183:$CX$1418,Calculations!K$1,FALSE)</f>
        <v>2</v>
      </c>
      <c r="L15">
        <f>VLOOKUP($A15,'ONS - UK Exports by type'!$A$1183:$CX$1418,Calculations!L$1,FALSE)</f>
        <v>20</v>
      </c>
      <c r="M15">
        <f>VLOOKUP($A15,'ONS - UK Exports by type'!$A$1183:$CX$1418,Calculations!M$1,FALSE)</f>
        <v>0</v>
      </c>
      <c r="N15">
        <f>VLOOKUP($A15,'ONS - UK Exports by type'!$A$1183:$CX$1418,Calculations!N$1,FALSE)</f>
        <v>0</v>
      </c>
      <c r="O15">
        <f>VLOOKUP($A15,'ONS - UK Exports by type'!$A$1183:$CX$1418,Calculations!O$1,FALSE)</f>
        <v>0</v>
      </c>
      <c r="P15">
        <f>VLOOKUP($A15,'ONS - UK Exports by type'!$A$1183:$CX$1418,Calculations!P$1,FALSE)</f>
        <v>1</v>
      </c>
      <c r="Q15">
        <f>VLOOKUP($A15,'ONS - UK Exports by type'!$A$1183:$CX$1418,Calculations!Q$1,FALSE)</f>
        <v>0</v>
      </c>
      <c r="S15">
        <f t="shared" si="0"/>
        <v>32</v>
      </c>
      <c r="U15">
        <f>VLOOKUP($A15,'ONS - UK Exports by type'!$A$1183:$CX$1418,Calculations!U$1,FALSE)</f>
        <v>182</v>
      </c>
    </row>
    <row r="16" spans="1:21" x14ac:dyDescent="0.25">
      <c r="A16" t="str">
        <f>'ONS - UK Exports by type'!A1276</f>
        <v>Hungary</v>
      </c>
      <c r="B16">
        <f>VLOOKUP($A16,'ONS - UK Exports by type'!$A$1183:$CX$1418,Calculations!B$1,FALSE)</f>
        <v>17</v>
      </c>
      <c r="C16">
        <f>VLOOKUP($A16,'ONS - UK Exports by type'!$A$1183:$CX$1418,Calculations!C$1,FALSE)</f>
        <v>0</v>
      </c>
      <c r="D16">
        <f>VLOOKUP($A16,'ONS - UK Exports by type'!$A$1183:$CX$1418,Calculations!D$1,FALSE)</f>
        <v>3</v>
      </c>
      <c r="E16">
        <f>VLOOKUP($A16,'ONS - UK Exports by type'!$A$1183:$CX$1418,Calculations!E$1,FALSE)</f>
        <v>0</v>
      </c>
      <c r="F16">
        <f>VLOOKUP($A16,'ONS - UK Exports by type'!$A$1183:$CX$1418,Calculations!F$1,FALSE)</f>
        <v>3</v>
      </c>
      <c r="G16">
        <f>VLOOKUP($A16,'ONS - UK Exports by type'!$A$1183:$CX$1418,Calculations!G$1,FALSE)</f>
        <v>1</v>
      </c>
      <c r="H16">
        <f>VLOOKUP($A16,'ONS - UK Exports by type'!$A$1183:$CX$1418,Calculations!H$1,FALSE)</f>
        <v>1</v>
      </c>
      <c r="I16">
        <f>VLOOKUP($A16,'ONS - UK Exports by type'!$A$1183:$CX$1418,Calculations!I$1,FALSE)</f>
        <v>3</v>
      </c>
      <c r="J16">
        <f>VLOOKUP($A16,'ONS - UK Exports by type'!$A$1183:$CX$1418,Calculations!J$1,FALSE)</f>
        <v>5</v>
      </c>
      <c r="K16">
        <f>VLOOKUP($A16,'ONS - UK Exports by type'!$A$1183:$CX$1418,Calculations!K$1,FALSE)</f>
        <v>10</v>
      </c>
      <c r="L16">
        <f>VLOOKUP($A16,'ONS - UK Exports by type'!$A$1183:$CX$1418,Calculations!L$1,FALSE)</f>
        <v>116</v>
      </c>
      <c r="M16">
        <f>VLOOKUP($A16,'ONS - UK Exports by type'!$A$1183:$CX$1418,Calculations!M$1,FALSE)</f>
        <v>0</v>
      </c>
      <c r="N16">
        <f>VLOOKUP($A16,'ONS - UK Exports by type'!$A$1183:$CX$1418,Calculations!N$1,FALSE)</f>
        <v>2</v>
      </c>
      <c r="O16">
        <f>VLOOKUP($A16,'ONS - UK Exports by type'!$A$1183:$CX$1418,Calculations!O$1,FALSE)</f>
        <v>0</v>
      </c>
      <c r="P16">
        <f>VLOOKUP($A16,'ONS - UK Exports by type'!$A$1183:$CX$1418,Calculations!P$1,FALSE)</f>
        <v>1</v>
      </c>
      <c r="Q16">
        <f>VLOOKUP($A16,'ONS - UK Exports by type'!$A$1183:$CX$1418,Calculations!Q$1,FALSE)</f>
        <v>0</v>
      </c>
      <c r="S16">
        <f t="shared" si="0"/>
        <v>162</v>
      </c>
      <c r="U16">
        <f>VLOOKUP($A16,'ONS - UK Exports by type'!$A$1183:$CX$1418,Calculations!U$1,FALSE)</f>
        <v>1509</v>
      </c>
    </row>
    <row r="17" spans="1:22" x14ac:dyDescent="0.25">
      <c r="A17" t="str">
        <f>'ONS - UK Exports by type'!A1278</f>
        <v>Irish Republic</v>
      </c>
      <c r="B17">
        <f>VLOOKUP($A17,'ONS - UK Exports by type'!$A$1183:$CX$1418,Calculations!B$1,FALSE)</f>
        <v>204</v>
      </c>
      <c r="C17">
        <f>VLOOKUP($A17,'ONS - UK Exports by type'!$A$1183:$CX$1418,Calculations!C$1,FALSE)</f>
        <v>456</v>
      </c>
      <c r="D17">
        <f>VLOOKUP($A17,'ONS - UK Exports by type'!$A$1183:$CX$1418,Calculations!D$1,FALSE)</f>
        <v>601</v>
      </c>
      <c r="E17">
        <f>VLOOKUP($A17,'ONS - UK Exports by type'!$A$1183:$CX$1418,Calculations!E$1,FALSE)</f>
        <v>66</v>
      </c>
      <c r="F17">
        <f>VLOOKUP($A17,'ONS - UK Exports by type'!$A$1183:$CX$1418,Calculations!F$1,FALSE)</f>
        <v>808</v>
      </c>
      <c r="G17">
        <f>VLOOKUP($A17,'ONS - UK Exports by type'!$A$1183:$CX$1418,Calculations!G$1,FALSE)</f>
        <v>372</v>
      </c>
      <c r="H17">
        <f>VLOOKUP($A17,'ONS - UK Exports by type'!$A$1183:$CX$1418,Calculations!H$1,FALSE)</f>
        <v>129</v>
      </c>
      <c r="I17">
        <f>VLOOKUP($A17,'ONS - UK Exports by type'!$A$1183:$CX$1418,Calculations!I$1,FALSE)</f>
        <v>312</v>
      </c>
      <c r="J17">
        <f>VLOOKUP($A17,'ONS - UK Exports by type'!$A$1183:$CX$1418,Calculations!J$1,FALSE)</f>
        <v>333</v>
      </c>
      <c r="K17">
        <f>VLOOKUP($A17,'ONS - UK Exports by type'!$A$1183:$CX$1418,Calculations!K$1,FALSE)</f>
        <v>339</v>
      </c>
      <c r="L17">
        <f>VLOOKUP($A17,'ONS - UK Exports by type'!$A$1183:$CX$1418,Calculations!L$1,FALSE)</f>
        <v>538</v>
      </c>
      <c r="M17">
        <f>VLOOKUP($A17,'ONS - UK Exports by type'!$A$1183:$CX$1418,Calculations!M$1,FALSE)</f>
        <v>7</v>
      </c>
      <c r="N17">
        <f>VLOOKUP($A17,'ONS - UK Exports by type'!$A$1183:$CX$1418,Calculations!N$1,FALSE)</f>
        <v>48</v>
      </c>
      <c r="O17">
        <f>VLOOKUP($A17,'ONS - UK Exports by type'!$A$1183:$CX$1418,Calculations!O$1,FALSE)</f>
        <v>23</v>
      </c>
      <c r="P17">
        <f>VLOOKUP($A17,'ONS - UK Exports by type'!$A$1183:$CX$1418,Calculations!P$1,FALSE)</f>
        <v>80</v>
      </c>
      <c r="Q17">
        <f>VLOOKUP($A17,'ONS - UK Exports by type'!$A$1183:$CX$1418,Calculations!Q$1,FALSE)</f>
        <v>6</v>
      </c>
      <c r="S17">
        <f t="shared" si="0"/>
        <v>4322</v>
      </c>
      <c r="U17">
        <f>VLOOKUP($A17,'ONS - UK Exports by type'!$A$1183:$CX$1418,Calculations!U$1,FALSE)</f>
        <v>28092</v>
      </c>
    </row>
    <row r="18" spans="1:22" x14ac:dyDescent="0.25">
      <c r="A18" t="str">
        <f>'ONS - UK Exports by type'!A1286</f>
        <v>Italy</v>
      </c>
      <c r="B18">
        <f>VLOOKUP($A18,'ONS - UK Exports by type'!$A$1183:$CX$1418,Calculations!B$1,FALSE)</f>
        <v>4</v>
      </c>
      <c r="C18">
        <f>VLOOKUP($A18,'ONS - UK Exports by type'!$A$1183:$CX$1418,Calculations!C$1,FALSE)</f>
        <v>47</v>
      </c>
      <c r="D18">
        <f>VLOOKUP($A18,'ONS - UK Exports by type'!$A$1183:$CX$1418,Calculations!D$1,FALSE)</f>
        <v>56</v>
      </c>
      <c r="E18">
        <f>VLOOKUP($A18,'ONS - UK Exports by type'!$A$1183:$CX$1418,Calculations!E$1,FALSE)</f>
        <v>49</v>
      </c>
      <c r="F18">
        <f>VLOOKUP($A18,'ONS - UK Exports by type'!$A$1183:$CX$1418,Calculations!F$1,FALSE)</f>
        <v>49</v>
      </c>
      <c r="G18">
        <f>VLOOKUP($A18,'ONS - UK Exports by type'!$A$1183:$CX$1418,Calculations!G$1,FALSE)</f>
        <v>29</v>
      </c>
      <c r="H18">
        <f>VLOOKUP($A18,'ONS - UK Exports by type'!$A$1183:$CX$1418,Calculations!H$1,FALSE)</f>
        <v>7</v>
      </c>
      <c r="I18">
        <f>VLOOKUP($A18,'ONS - UK Exports by type'!$A$1183:$CX$1418,Calculations!I$1,FALSE)</f>
        <v>18</v>
      </c>
      <c r="J18">
        <f>VLOOKUP($A18,'ONS - UK Exports by type'!$A$1183:$CX$1418,Calculations!J$1,FALSE)</f>
        <v>23</v>
      </c>
      <c r="K18">
        <f>VLOOKUP($A18,'ONS - UK Exports by type'!$A$1183:$CX$1418,Calculations!K$1,FALSE)</f>
        <v>24</v>
      </c>
      <c r="L18">
        <f>VLOOKUP($A18,'ONS - UK Exports by type'!$A$1183:$CX$1418,Calculations!L$1,FALSE)</f>
        <v>240</v>
      </c>
      <c r="M18">
        <f>VLOOKUP($A18,'ONS - UK Exports by type'!$A$1183:$CX$1418,Calculations!M$1,FALSE)</f>
        <v>1</v>
      </c>
      <c r="N18">
        <f>VLOOKUP($A18,'ONS - UK Exports by type'!$A$1183:$CX$1418,Calculations!N$1,FALSE)</f>
        <v>9</v>
      </c>
      <c r="O18">
        <f>VLOOKUP($A18,'ONS - UK Exports by type'!$A$1183:$CX$1418,Calculations!O$1,FALSE)</f>
        <v>1</v>
      </c>
      <c r="P18">
        <f>VLOOKUP($A18,'ONS - UK Exports by type'!$A$1183:$CX$1418,Calculations!P$1,FALSE)</f>
        <v>1</v>
      </c>
      <c r="Q18">
        <f>VLOOKUP($A18,'ONS - UK Exports by type'!$A$1183:$CX$1418,Calculations!Q$1,FALSE)</f>
        <v>1</v>
      </c>
      <c r="S18">
        <f t="shared" si="0"/>
        <v>559</v>
      </c>
      <c r="U18">
        <f>VLOOKUP($A18,'ONS - UK Exports by type'!$A$1183:$CX$1418,Calculations!U$1,FALSE)</f>
        <v>10385</v>
      </c>
    </row>
    <row r="19" spans="1:22" x14ac:dyDescent="0.25">
      <c r="A19" t="str">
        <f>'ONS - UK Exports by type'!A1309</f>
        <v>Lithuania</v>
      </c>
      <c r="B19">
        <f>VLOOKUP($A19,'ONS - UK Exports by type'!$A$1183:$CX$1418,Calculations!B$1,FALSE)</f>
        <v>0</v>
      </c>
      <c r="C19">
        <f>VLOOKUP($A19,'ONS - UK Exports by type'!$A$1183:$CX$1418,Calculations!C$1,FALSE)</f>
        <v>1</v>
      </c>
      <c r="D19">
        <f>VLOOKUP($A19,'ONS - UK Exports by type'!$A$1183:$CX$1418,Calculations!D$1,FALSE)</f>
        <v>3</v>
      </c>
      <c r="E19">
        <f>VLOOKUP($A19,'ONS - UK Exports by type'!$A$1183:$CX$1418,Calculations!E$1,FALSE)</f>
        <v>22</v>
      </c>
      <c r="F19">
        <f>VLOOKUP($A19,'ONS - UK Exports by type'!$A$1183:$CX$1418,Calculations!F$1,FALSE)</f>
        <v>1</v>
      </c>
      <c r="G19">
        <f>VLOOKUP($A19,'ONS - UK Exports by type'!$A$1183:$CX$1418,Calculations!G$1,FALSE)</f>
        <v>1</v>
      </c>
      <c r="H19">
        <f>VLOOKUP($A19,'ONS - UK Exports by type'!$A$1183:$CX$1418,Calculations!H$1,FALSE)</f>
        <v>0</v>
      </c>
      <c r="I19">
        <f>VLOOKUP($A19,'ONS - UK Exports by type'!$A$1183:$CX$1418,Calculations!I$1,FALSE)</f>
        <v>4</v>
      </c>
      <c r="J19">
        <f>VLOOKUP($A19,'ONS - UK Exports by type'!$A$1183:$CX$1418,Calculations!J$1,FALSE)</f>
        <v>4</v>
      </c>
      <c r="K19">
        <f>VLOOKUP($A19,'ONS - UK Exports by type'!$A$1183:$CX$1418,Calculations!K$1,FALSE)</f>
        <v>10</v>
      </c>
      <c r="L19">
        <f>VLOOKUP($A19,'ONS - UK Exports by type'!$A$1183:$CX$1418,Calculations!L$1,FALSE)</f>
        <v>75</v>
      </c>
      <c r="M19">
        <f>VLOOKUP($A19,'ONS - UK Exports by type'!$A$1183:$CX$1418,Calculations!M$1,FALSE)</f>
        <v>0</v>
      </c>
      <c r="N19">
        <f>VLOOKUP($A19,'ONS - UK Exports by type'!$A$1183:$CX$1418,Calculations!N$1,FALSE)</f>
        <v>1</v>
      </c>
      <c r="O19">
        <f>VLOOKUP($A19,'ONS - UK Exports by type'!$A$1183:$CX$1418,Calculations!O$1,FALSE)</f>
        <v>0</v>
      </c>
      <c r="P19">
        <f>VLOOKUP($A19,'ONS - UK Exports by type'!$A$1183:$CX$1418,Calculations!P$1,FALSE)</f>
        <v>0</v>
      </c>
      <c r="Q19">
        <f>VLOOKUP($A19,'ONS - UK Exports by type'!$A$1183:$CX$1418,Calculations!Q$1,FALSE)</f>
        <v>0</v>
      </c>
      <c r="S19">
        <f t="shared" si="0"/>
        <v>122</v>
      </c>
      <c r="U19">
        <f>VLOOKUP($A19,'ONS - UK Exports by type'!$A$1183:$CX$1418,Calculations!U$1,FALSE)</f>
        <v>805</v>
      </c>
    </row>
    <row r="20" spans="1:22" x14ac:dyDescent="0.25">
      <c r="A20" t="str">
        <f>'ONS - UK Exports by type'!A1310</f>
        <v>Luxembourg</v>
      </c>
      <c r="B20">
        <f>VLOOKUP($A20,'ONS - UK Exports by type'!$A$1183:$CX$1418,Calculations!B$1,FALSE)</f>
        <v>0</v>
      </c>
      <c r="C20">
        <f>VLOOKUP($A20,'ONS - UK Exports by type'!$A$1183:$CX$1418,Calculations!C$1,FALSE)</f>
        <v>0</v>
      </c>
      <c r="D20">
        <f>VLOOKUP($A20,'ONS - UK Exports by type'!$A$1183:$CX$1418,Calculations!D$1,FALSE)</f>
        <v>7</v>
      </c>
      <c r="E20">
        <f>VLOOKUP($A20,'ONS - UK Exports by type'!$A$1183:$CX$1418,Calculations!E$1,FALSE)</f>
        <v>0</v>
      </c>
      <c r="F20">
        <f>VLOOKUP($A20,'ONS - UK Exports by type'!$A$1183:$CX$1418,Calculations!F$1,FALSE)</f>
        <v>0</v>
      </c>
      <c r="G20">
        <f>VLOOKUP($A20,'ONS - UK Exports by type'!$A$1183:$CX$1418,Calculations!G$1,FALSE)</f>
        <v>0</v>
      </c>
      <c r="H20">
        <f>VLOOKUP($A20,'ONS - UK Exports by type'!$A$1183:$CX$1418,Calculations!H$1,FALSE)</f>
        <v>0</v>
      </c>
      <c r="I20">
        <f>VLOOKUP($A20,'ONS - UK Exports by type'!$A$1183:$CX$1418,Calculations!I$1,FALSE)</f>
        <v>1</v>
      </c>
      <c r="J20">
        <f>VLOOKUP($A20,'ONS - UK Exports by type'!$A$1183:$CX$1418,Calculations!J$1,FALSE)</f>
        <v>0</v>
      </c>
      <c r="K20">
        <f>VLOOKUP($A20,'ONS - UK Exports by type'!$A$1183:$CX$1418,Calculations!K$1,FALSE)</f>
        <v>4</v>
      </c>
      <c r="L20">
        <f>VLOOKUP($A20,'ONS - UK Exports by type'!$A$1183:$CX$1418,Calculations!L$1,FALSE)</f>
        <v>45</v>
      </c>
      <c r="M20">
        <f>VLOOKUP($A20,'ONS - UK Exports by type'!$A$1183:$CX$1418,Calculations!M$1,FALSE)</f>
        <v>0</v>
      </c>
      <c r="N20">
        <f>VLOOKUP($A20,'ONS - UK Exports by type'!$A$1183:$CX$1418,Calculations!N$1,FALSE)</f>
        <v>0</v>
      </c>
      <c r="O20">
        <f>VLOOKUP($A20,'ONS - UK Exports by type'!$A$1183:$CX$1418,Calculations!O$1,FALSE)</f>
        <v>0</v>
      </c>
      <c r="P20">
        <f>VLOOKUP($A20,'ONS - UK Exports by type'!$A$1183:$CX$1418,Calculations!P$1,FALSE)</f>
        <v>0</v>
      </c>
      <c r="Q20">
        <f>VLOOKUP($A20,'ONS - UK Exports by type'!$A$1183:$CX$1418,Calculations!Q$1,FALSE)</f>
        <v>0</v>
      </c>
      <c r="S20">
        <f t="shared" si="0"/>
        <v>57</v>
      </c>
      <c r="U20">
        <f>VLOOKUP($A20,'ONS - UK Exports by type'!$A$1183:$CX$1418,Calculations!U$1,FALSE)</f>
        <v>602</v>
      </c>
    </row>
    <row r="21" spans="1:22" x14ac:dyDescent="0.25">
      <c r="A21" t="str">
        <f>'ONS - UK Exports by type'!A1311</f>
        <v>Latvia</v>
      </c>
      <c r="B21">
        <f>VLOOKUP($A21,'ONS - UK Exports by type'!$A$1183:$CX$1418,Calculations!B$1,FALSE)</f>
        <v>0</v>
      </c>
      <c r="C21">
        <f>VLOOKUP($A21,'ONS - UK Exports by type'!$A$1183:$CX$1418,Calculations!C$1,FALSE)</f>
        <v>0</v>
      </c>
      <c r="D21">
        <f>VLOOKUP($A21,'ONS - UK Exports by type'!$A$1183:$CX$1418,Calculations!D$1,FALSE)</f>
        <v>1</v>
      </c>
      <c r="E21">
        <f>VLOOKUP($A21,'ONS - UK Exports by type'!$A$1183:$CX$1418,Calculations!E$1,FALSE)</f>
        <v>8</v>
      </c>
      <c r="F21">
        <f>VLOOKUP($A21,'ONS - UK Exports by type'!$A$1183:$CX$1418,Calculations!F$1,FALSE)</f>
        <v>1</v>
      </c>
      <c r="G21">
        <f>VLOOKUP($A21,'ONS - UK Exports by type'!$A$1183:$CX$1418,Calculations!G$1,FALSE)</f>
        <v>0</v>
      </c>
      <c r="H21">
        <f>VLOOKUP($A21,'ONS - UK Exports by type'!$A$1183:$CX$1418,Calculations!H$1,FALSE)</f>
        <v>0</v>
      </c>
      <c r="I21">
        <f>VLOOKUP($A21,'ONS - UK Exports by type'!$A$1183:$CX$1418,Calculations!I$1,FALSE)</f>
        <v>0</v>
      </c>
      <c r="J21">
        <f>VLOOKUP($A21,'ONS - UK Exports by type'!$A$1183:$CX$1418,Calculations!J$1,FALSE)</f>
        <v>0</v>
      </c>
      <c r="K21">
        <f>VLOOKUP($A21,'ONS - UK Exports by type'!$A$1183:$CX$1418,Calculations!K$1,FALSE)</f>
        <v>3</v>
      </c>
      <c r="L21">
        <f>VLOOKUP($A21,'ONS - UK Exports by type'!$A$1183:$CX$1418,Calculations!L$1,FALSE)</f>
        <v>135</v>
      </c>
      <c r="M21">
        <f>VLOOKUP($A21,'ONS - UK Exports by type'!$A$1183:$CX$1418,Calculations!M$1,FALSE)</f>
        <v>0</v>
      </c>
      <c r="N21">
        <f>VLOOKUP($A21,'ONS - UK Exports by type'!$A$1183:$CX$1418,Calculations!N$1,FALSE)</f>
        <v>3</v>
      </c>
      <c r="O21">
        <f>VLOOKUP($A21,'ONS - UK Exports by type'!$A$1183:$CX$1418,Calculations!O$1,FALSE)</f>
        <v>0</v>
      </c>
      <c r="P21">
        <f>VLOOKUP($A21,'ONS - UK Exports by type'!$A$1183:$CX$1418,Calculations!P$1,FALSE)</f>
        <v>0</v>
      </c>
      <c r="Q21">
        <f>VLOOKUP($A21,'ONS - UK Exports by type'!$A$1183:$CX$1418,Calculations!Q$1,FALSE)</f>
        <v>0</v>
      </c>
      <c r="S21">
        <f t="shared" si="0"/>
        <v>151</v>
      </c>
      <c r="U21">
        <f>VLOOKUP($A21,'ONS - UK Exports by type'!$A$1183:$CX$1418,Calculations!U$1,FALSE)</f>
        <v>376</v>
      </c>
    </row>
    <row r="22" spans="1:22" x14ac:dyDescent="0.25">
      <c r="A22" t="str">
        <f>'ONS - UK Exports by type'!A1326</f>
        <v>Malta</v>
      </c>
      <c r="B22">
        <f>VLOOKUP($A22,'ONS - UK Exports by type'!$A$1183:$CX$1418,Calculations!B$1,FALSE)</f>
        <v>0</v>
      </c>
      <c r="C22">
        <f>VLOOKUP($A22,'ONS - UK Exports by type'!$A$1183:$CX$1418,Calculations!C$1,FALSE)</f>
        <v>3</v>
      </c>
      <c r="D22">
        <f>VLOOKUP($A22,'ONS - UK Exports by type'!$A$1183:$CX$1418,Calculations!D$1,FALSE)</f>
        <v>2</v>
      </c>
      <c r="E22">
        <f>VLOOKUP($A22,'ONS - UK Exports by type'!$A$1183:$CX$1418,Calculations!E$1,FALSE)</f>
        <v>1</v>
      </c>
      <c r="F22">
        <f>VLOOKUP($A22,'ONS - UK Exports by type'!$A$1183:$CX$1418,Calculations!F$1,FALSE)</f>
        <v>9</v>
      </c>
      <c r="G22">
        <f>VLOOKUP($A22,'ONS - UK Exports by type'!$A$1183:$CX$1418,Calculations!G$1,FALSE)</f>
        <v>3</v>
      </c>
      <c r="H22">
        <f>VLOOKUP($A22,'ONS - UK Exports by type'!$A$1183:$CX$1418,Calculations!H$1,FALSE)</f>
        <v>2</v>
      </c>
      <c r="I22">
        <f>VLOOKUP($A22,'ONS - UK Exports by type'!$A$1183:$CX$1418,Calculations!I$1,FALSE)</f>
        <v>6</v>
      </c>
      <c r="J22">
        <f>VLOOKUP($A22,'ONS - UK Exports by type'!$A$1183:$CX$1418,Calculations!J$1,FALSE)</f>
        <v>3</v>
      </c>
      <c r="K22">
        <f>VLOOKUP($A22,'ONS - UK Exports by type'!$A$1183:$CX$1418,Calculations!K$1,FALSE)</f>
        <v>8</v>
      </c>
      <c r="L22">
        <f>VLOOKUP($A22,'ONS - UK Exports by type'!$A$1183:$CX$1418,Calculations!L$1,FALSE)</f>
        <v>14</v>
      </c>
      <c r="M22">
        <f>VLOOKUP($A22,'ONS - UK Exports by type'!$A$1183:$CX$1418,Calculations!M$1,FALSE)</f>
        <v>0</v>
      </c>
      <c r="N22">
        <f>VLOOKUP($A22,'ONS - UK Exports by type'!$A$1183:$CX$1418,Calculations!N$1,FALSE)</f>
        <v>0</v>
      </c>
      <c r="O22">
        <f>VLOOKUP($A22,'ONS - UK Exports by type'!$A$1183:$CX$1418,Calculations!O$1,FALSE)</f>
        <v>0</v>
      </c>
      <c r="P22">
        <f>VLOOKUP($A22,'ONS - UK Exports by type'!$A$1183:$CX$1418,Calculations!P$1,FALSE)</f>
        <v>0</v>
      </c>
      <c r="Q22">
        <f>VLOOKUP($A22,'ONS - UK Exports by type'!$A$1183:$CX$1418,Calculations!Q$1,FALSE)</f>
        <v>0</v>
      </c>
      <c r="S22">
        <f t="shared" si="0"/>
        <v>51</v>
      </c>
      <c r="U22">
        <f>VLOOKUP($A22,'ONS - UK Exports by type'!$A$1183:$CX$1418,Calculations!U$1,FALSE)</f>
        <v>386</v>
      </c>
    </row>
    <row r="23" spans="1:22" x14ac:dyDescent="0.25">
      <c r="A23" t="str">
        <f>'ONS - UK Exports by type'!A1339</f>
        <v>Netherlands</v>
      </c>
      <c r="B23">
        <f>VLOOKUP($A23,'ONS - UK Exports by type'!$A$1183:$CX$1418,Calculations!B$1,FALSE)</f>
        <v>22</v>
      </c>
      <c r="C23">
        <f>VLOOKUP($A23,'ONS - UK Exports by type'!$A$1183:$CX$1418,Calculations!C$1,FALSE)</f>
        <v>174</v>
      </c>
      <c r="D23">
        <f>VLOOKUP($A23,'ONS - UK Exports by type'!$A$1183:$CX$1418,Calculations!D$1,FALSE)</f>
        <v>223</v>
      </c>
      <c r="E23">
        <f>VLOOKUP($A23,'ONS - UK Exports by type'!$A$1183:$CX$1418,Calculations!E$1,FALSE)</f>
        <v>93</v>
      </c>
      <c r="F23">
        <f>VLOOKUP($A23,'ONS - UK Exports by type'!$A$1183:$CX$1418,Calculations!F$1,FALSE)</f>
        <v>270</v>
      </c>
      <c r="G23">
        <f>VLOOKUP($A23,'ONS - UK Exports by type'!$A$1183:$CX$1418,Calculations!G$1,FALSE)</f>
        <v>103</v>
      </c>
      <c r="H23">
        <f>VLOOKUP($A23,'ONS - UK Exports by type'!$A$1183:$CX$1418,Calculations!H$1,FALSE)</f>
        <v>40</v>
      </c>
      <c r="I23">
        <f>VLOOKUP($A23,'ONS - UK Exports by type'!$A$1183:$CX$1418,Calculations!I$1,FALSE)</f>
        <v>275</v>
      </c>
      <c r="J23">
        <f>VLOOKUP($A23,'ONS - UK Exports by type'!$A$1183:$CX$1418,Calculations!J$1,FALSE)</f>
        <v>70</v>
      </c>
      <c r="K23">
        <f>VLOOKUP($A23,'ONS - UK Exports by type'!$A$1183:$CX$1418,Calculations!K$1,FALSE)</f>
        <v>252</v>
      </c>
      <c r="L23">
        <f>VLOOKUP($A23,'ONS - UK Exports by type'!$A$1183:$CX$1418,Calculations!L$1,FALSE)</f>
        <v>363</v>
      </c>
      <c r="M23">
        <f>VLOOKUP($A23,'ONS - UK Exports by type'!$A$1183:$CX$1418,Calculations!M$1,FALSE)</f>
        <v>6</v>
      </c>
      <c r="N23">
        <f>VLOOKUP($A23,'ONS - UK Exports by type'!$A$1183:$CX$1418,Calculations!N$1,FALSE)</f>
        <v>72</v>
      </c>
      <c r="O23">
        <f>VLOOKUP($A23,'ONS - UK Exports by type'!$A$1183:$CX$1418,Calculations!O$1,FALSE)</f>
        <v>28</v>
      </c>
      <c r="P23">
        <f>VLOOKUP($A23,'ONS - UK Exports by type'!$A$1183:$CX$1418,Calculations!P$1,FALSE)</f>
        <v>67</v>
      </c>
      <c r="Q23">
        <f>VLOOKUP($A23,'ONS - UK Exports by type'!$A$1183:$CX$1418,Calculations!Q$1,FALSE)</f>
        <v>163</v>
      </c>
      <c r="S23">
        <f t="shared" si="0"/>
        <v>2221</v>
      </c>
      <c r="U23">
        <f>VLOOKUP($A23,'ONS - UK Exports by type'!$A$1183:$CX$1418,Calculations!U$1,FALSE)</f>
        <v>30943</v>
      </c>
    </row>
    <row r="24" spans="1:22" x14ac:dyDescent="0.25">
      <c r="A24" t="str">
        <f>'ONS - UK Exports by type'!A1352</f>
        <v>Poland</v>
      </c>
      <c r="B24">
        <f>VLOOKUP($A24,'ONS - UK Exports by type'!$A$1183:$CX$1418,Calculations!B$1,FALSE)</f>
        <v>10</v>
      </c>
      <c r="C24">
        <f>VLOOKUP($A24,'ONS - UK Exports by type'!$A$1183:$CX$1418,Calculations!C$1,FALSE)</f>
        <v>11</v>
      </c>
      <c r="D24">
        <f>VLOOKUP($A24,'ONS - UK Exports by type'!$A$1183:$CX$1418,Calculations!D$1,FALSE)</f>
        <v>42</v>
      </c>
      <c r="E24">
        <f>VLOOKUP($A24,'ONS - UK Exports by type'!$A$1183:$CX$1418,Calculations!E$1,FALSE)</f>
        <v>59</v>
      </c>
      <c r="F24">
        <f>VLOOKUP($A24,'ONS - UK Exports by type'!$A$1183:$CX$1418,Calculations!F$1,FALSE)</f>
        <v>32</v>
      </c>
      <c r="G24">
        <f>VLOOKUP($A24,'ONS - UK Exports by type'!$A$1183:$CX$1418,Calculations!G$1,FALSE)</f>
        <v>17</v>
      </c>
      <c r="H24">
        <f>VLOOKUP($A24,'ONS - UK Exports by type'!$A$1183:$CX$1418,Calculations!H$1,FALSE)</f>
        <v>18</v>
      </c>
      <c r="I24">
        <f>VLOOKUP($A24,'ONS - UK Exports by type'!$A$1183:$CX$1418,Calculations!I$1,FALSE)</f>
        <v>65</v>
      </c>
      <c r="J24">
        <f>VLOOKUP($A24,'ONS - UK Exports by type'!$A$1183:$CX$1418,Calculations!J$1,FALSE)</f>
        <v>29</v>
      </c>
      <c r="K24">
        <f>VLOOKUP($A24,'ONS - UK Exports by type'!$A$1183:$CX$1418,Calculations!K$1,FALSE)</f>
        <v>45</v>
      </c>
      <c r="L24">
        <f>VLOOKUP($A24,'ONS - UK Exports by type'!$A$1183:$CX$1418,Calculations!L$1,FALSE)</f>
        <v>462</v>
      </c>
      <c r="M24">
        <f>VLOOKUP($A24,'ONS - UK Exports by type'!$A$1183:$CX$1418,Calculations!M$1,FALSE)</f>
        <v>0</v>
      </c>
      <c r="N24">
        <f>VLOOKUP($A24,'ONS - UK Exports by type'!$A$1183:$CX$1418,Calculations!N$1,FALSE)</f>
        <v>13</v>
      </c>
      <c r="O24">
        <f>VLOOKUP($A24,'ONS - UK Exports by type'!$A$1183:$CX$1418,Calculations!O$1,FALSE)</f>
        <v>3</v>
      </c>
      <c r="P24">
        <f>VLOOKUP($A24,'ONS - UK Exports by type'!$A$1183:$CX$1418,Calculations!P$1,FALSE)</f>
        <v>3</v>
      </c>
      <c r="Q24">
        <f>VLOOKUP($A24,'ONS - UK Exports by type'!$A$1183:$CX$1418,Calculations!Q$1,FALSE)</f>
        <v>2</v>
      </c>
      <c r="S24">
        <f t="shared" si="0"/>
        <v>811</v>
      </c>
      <c r="U24">
        <f>VLOOKUP($A24,'ONS - UK Exports by type'!$A$1183:$CX$1418,Calculations!U$1,FALSE)</f>
        <v>7157</v>
      </c>
    </row>
    <row r="25" spans="1:22" x14ac:dyDescent="0.25">
      <c r="A25" t="str">
        <f>'ONS - UK Exports by type'!A1355</f>
        <v>Portugal</v>
      </c>
      <c r="B25">
        <f>VLOOKUP($A25,'ONS - UK Exports by type'!$A$1183:$CX$1418,Calculations!B$1,FALSE)</f>
        <v>2</v>
      </c>
      <c r="C25">
        <f>VLOOKUP($A25,'ONS - UK Exports by type'!$A$1183:$CX$1418,Calculations!C$1,FALSE)</f>
        <v>14</v>
      </c>
      <c r="D25">
        <f>VLOOKUP($A25,'ONS - UK Exports by type'!$A$1183:$CX$1418,Calculations!D$1,FALSE)</f>
        <v>5</v>
      </c>
      <c r="E25">
        <f>VLOOKUP($A25,'ONS - UK Exports by type'!$A$1183:$CX$1418,Calculations!E$1,FALSE)</f>
        <v>10</v>
      </c>
      <c r="F25">
        <f>VLOOKUP($A25,'ONS - UK Exports by type'!$A$1183:$CX$1418,Calculations!F$1,FALSE)</f>
        <v>45</v>
      </c>
      <c r="G25">
        <f>VLOOKUP($A25,'ONS - UK Exports by type'!$A$1183:$CX$1418,Calculations!G$1,FALSE)</f>
        <v>7</v>
      </c>
      <c r="H25">
        <f>VLOOKUP($A25,'ONS - UK Exports by type'!$A$1183:$CX$1418,Calculations!H$1,FALSE)</f>
        <v>1</v>
      </c>
      <c r="I25">
        <f>VLOOKUP($A25,'ONS - UK Exports by type'!$A$1183:$CX$1418,Calculations!I$1,FALSE)</f>
        <v>4</v>
      </c>
      <c r="J25">
        <f>VLOOKUP($A25,'ONS - UK Exports by type'!$A$1183:$CX$1418,Calculations!J$1,FALSE)</f>
        <v>2</v>
      </c>
      <c r="K25">
        <f>VLOOKUP($A25,'ONS - UK Exports by type'!$A$1183:$CX$1418,Calculations!K$1,FALSE)</f>
        <v>14</v>
      </c>
      <c r="L25">
        <f>VLOOKUP($A25,'ONS - UK Exports by type'!$A$1183:$CX$1418,Calculations!L$1,FALSE)</f>
        <v>103</v>
      </c>
      <c r="M25">
        <f>VLOOKUP($A25,'ONS - UK Exports by type'!$A$1183:$CX$1418,Calculations!M$1,FALSE)</f>
        <v>0</v>
      </c>
      <c r="N25">
        <f>VLOOKUP($A25,'ONS - UK Exports by type'!$A$1183:$CX$1418,Calculations!N$1,FALSE)</f>
        <v>2</v>
      </c>
      <c r="O25">
        <f>VLOOKUP($A25,'ONS - UK Exports by type'!$A$1183:$CX$1418,Calculations!O$1,FALSE)</f>
        <v>0</v>
      </c>
      <c r="P25">
        <f>VLOOKUP($A25,'ONS - UK Exports by type'!$A$1183:$CX$1418,Calculations!P$1,FALSE)</f>
        <v>0</v>
      </c>
      <c r="Q25">
        <f>VLOOKUP($A25,'ONS - UK Exports by type'!$A$1183:$CX$1418,Calculations!Q$1,FALSE)</f>
        <v>0</v>
      </c>
      <c r="S25">
        <f t="shared" si="0"/>
        <v>209</v>
      </c>
      <c r="U25">
        <f>VLOOKUP($A25,'ONS - UK Exports by type'!$A$1183:$CX$1418,Calculations!U$1,FALSE)</f>
        <v>1426</v>
      </c>
    </row>
    <row r="26" spans="1:22" x14ac:dyDescent="0.25">
      <c r="A26" t="str">
        <f>'ONS - UK Exports by type'!A1359</f>
        <v>Romania</v>
      </c>
      <c r="B26">
        <f>VLOOKUP($A26,'ONS - UK Exports by type'!$A$1183:$CX$1418,Calculations!B$1,FALSE)</f>
        <v>0</v>
      </c>
      <c r="C26">
        <f>VLOOKUP($A26,'ONS - UK Exports by type'!$A$1183:$CX$1418,Calculations!C$1,FALSE)</f>
        <v>4</v>
      </c>
      <c r="D26">
        <f>VLOOKUP($A26,'ONS - UK Exports by type'!$A$1183:$CX$1418,Calculations!D$1,FALSE)</f>
        <v>5</v>
      </c>
      <c r="E26">
        <f>VLOOKUP($A26,'ONS - UK Exports by type'!$A$1183:$CX$1418,Calculations!E$1,FALSE)</f>
        <v>1</v>
      </c>
      <c r="F26">
        <f>VLOOKUP($A26,'ONS - UK Exports by type'!$A$1183:$CX$1418,Calculations!F$1,FALSE)</f>
        <v>4</v>
      </c>
      <c r="G26">
        <f>VLOOKUP($A26,'ONS - UK Exports by type'!$A$1183:$CX$1418,Calculations!G$1,FALSE)</f>
        <v>1</v>
      </c>
      <c r="H26">
        <f>VLOOKUP($A26,'ONS - UK Exports by type'!$A$1183:$CX$1418,Calculations!H$1,FALSE)</f>
        <v>3</v>
      </c>
      <c r="I26">
        <f>VLOOKUP($A26,'ONS - UK Exports by type'!$A$1183:$CX$1418,Calculations!I$1,FALSE)</f>
        <v>4</v>
      </c>
      <c r="J26">
        <f>VLOOKUP($A26,'ONS - UK Exports by type'!$A$1183:$CX$1418,Calculations!J$1,FALSE)</f>
        <v>2</v>
      </c>
      <c r="K26">
        <f>VLOOKUP($A26,'ONS - UK Exports by type'!$A$1183:$CX$1418,Calculations!K$1,FALSE)</f>
        <v>14</v>
      </c>
      <c r="L26">
        <f>VLOOKUP($A26,'ONS - UK Exports by type'!$A$1183:$CX$1418,Calculations!L$1,FALSE)</f>
        <v>207</v>
      </c>
      <c r="M26">
        <f>VLOOKUP($A26,'ONS - UK Exports by type'!$A$1183:$CX$1418,Calculations!M$1,FALSE)</f>
        <v>0</v>
      </c>
      <c r="N26">
        <f>VLOOKUP($A26,'ONS - UK Exports by type'!$A$1183:$CX$1418,Calculations!N$1,FALSE)</f>
        <v>1</v>
      </c>
      <c r="O26">
        <f>VLOOKUP($A26,'ONS - UK Exports by type'!$A$1183:$CX$1418,Calculations!O$1,FALSE)</f>
        <v>0</v>
      </c>
      <c r="P26">
        <f>VLOOKUP($A26,'ONS - UK Exports by type'!$A$1183:$CX$1418,Calculations!P$1,FALSE)</f>
        <v>0</v>
      </c>
      <c r="Q26">
        <f>VLOOKUP($A26,'ONS - UK Exports by type'!$A$1183:$CX$1418,Calculations!Q$1,FALSE)</f>
        <v>0</v>
      </c>
      <c r="S26">
        <f t="shared" si="0"/>
        <v>246</v>
      </c>
      <c r="U26">
        <f>VLOOKUP($A26,'ONS - UK Exports by type'!$A$1183:$CX$1418,Calculations!U$1,FALSE)</f>
        <v>1316</v>
      </c>
    </row>
    <row r="27" spans="1:22" x14ac:dyDescent="0.25">
      <c r="A27" t="str">
        <f>'ONS - UK Exports by type'!A1367</f>
        <v>Sweden</v>
      </c>
      <c r="B27">
        <f>VLOOKUP($A27,'ONS - UK Exports by type'!$A$1183:$CX$1418,Calculations!B$1,FALSE)</f>
        <v>7</v>
      </c>
      <c r="C27">
        <f>VLOOKUP($A27,'ONS - UK Exports by type'!$A$1183:$CX$1418,Calculations!C$1,FALSE)</f>
        <v>6</v>
      </c>
      <c r="D27">
        <f>VLOOKUP($A27,'ONS - UK Exports by type'!$A$1183:$CX$1418,Calculations!D$1,FALSE)</f>
        <v>17</v>
      </c>
      <c r="E27">
        <f>VLOOKUP($A27,'ONS - UK Exports by type'!$A$1183:$CX$1418,Calculations!E$1,FALSE)</f>
        <v>10</v>
      </c>
      <c r="F27">
        <f>VLOOKUP($A27,'ONS - UK Exports by type'!$A$1183:$CX$1418,Calculations!F$1,FALSE)</f>
        <v>35</v>
      </c>
      <c r="G27">
        <f>VLOOKUP($A27,'ONS - UK Exports by type'!$A$1183:$CX$1418,Calculations!G$1,FALSE)</f>
        <v>5</v>
      </c>
      <c r="H27">
        <f>VLOOKUP($A27,'ONS - UK Exports by type'!$A$1183:$CX$1418,Calculations!H$1,FALSE)</f>
        <v>10</v>
      </c>
      <c r="I27">
        <f>VLOOKUP($A27,'ONS - UK Exports by type'!$A$1183:$CX$1418,Calculations!I$1,FALSE)</f>
        <v>14</v>
      </c>
      <c r="J27">
        <f>VLOOKUP($A27,'ONS - UK Exports by type'!$A$1183:$CX$1418,Calculations!J$1,FALSE)</f>
        <v>19</v>
      </c>
      <c r="K27">
        <f>VLOOKUP($A27,'ONS - UK Exports by type'!$A$1183:$CX$1418,Calculations!K$1,FALSE)</f>
        <v>40</v>
      </c>
      <c r="L27">
        <f>VLOOKUP($A27,'ONS - UK Exports by type'!$A$1183:$CX$1418,Calculations!L$1,FALSE)</f>
        <v>89</v>
      </c>
      <c r="M27">
        <f>VLOOKUP($A27,'ONS - UK Exports by type'!$A$1183:$CX$1418,Calculations!M$1,FALSE)</f>
        <v>10</v>
      </c>
      <c r="N27">
        <f>VLOOKUP($A27,'ONS - UK Exports by type'!$A$1183:$CX$1418,Calculations!N$1,FALSE)</f>
        <v>3</v>
      </c>
      <c r="O27">
        <f>VLOOKUP($A27,'ONS - UK Exports by type'!$A$1183:$CX$1418,Calculations!O$1,FALSE)</f>
        <v>0</v>
      </c>
      <c r="P27">
        <f>VLOOKUP($A27,'ONS - UK Exports by type'!$A$1183:$CX$1418,Calculations!P$1,FALSE)</f>
        <v>2</v>
      </c>
      <c r="Q27">
        <f>VLOOKUP($A27,'ONS - UK Exports by type'!$A$1183:$CX$1418,Calculations!Q$1,FALSE)</f>
        <v>3</v>
      </c>
      <c r="S27">
        <f t="shared" si="0"/>
        <v>270</v>
      </c>
      <c r="U27">
        <f>VLOOKUP($A27,'ONS - UK Exports by type'!$A$1183:$CX$1418,Calculations!U$1,FALSE)</f>
        <v>4969</v>
      </c>
    </row>
    <row r="28" spans="1:22" x14ac:dyDescent="0.25">
      <c r="A28" t="str">
        <f>'ONS - UK Exports by type'!A1370</f>
        <v>Slovenia</v>
      </c>
      <c r="B28">
        <f>VLOOKUP($A28,'ONS - UK Exports by type'!$A$1183:$CX$1418,Calculations!B$1,FALSE)</f>
        <v>0</v>
      </c>
      <c r="C28">
        <f>VLOOKUP($A28,'ONS - UK Exports by type'!$A$1183:$CX$1418,Calculations!C$1,FALSE)</f>
        <v>0</v>
      </c>
      <c r="D28">
        <f>VLOOKUP($A28,'ONS - UK Exports by type'!$A$1183:$CX$1418,Calculations!D$1,FALSE)</f>
        <v>0</v>
      </c>
      <c r="E28">
        <f>VLOOKUP($A28,'ONS - UK Exports by type'!$A$1183:$CX$1418,Calculations!E$1,FALSE)</f>
        <v>0</v>
      </c>
      <c r="F28">
        <f>VLOOKUP($A28,'ONS - UK Exports by type'!$A$1183:$CX$1418,Calculations!F$1,FALSE)</f>
        <v>1</v>
      </c>
      <c r="G28">
        <f>VLOOKUP($A28,'ONS - UK Exports by type'!$A$1183:$CX$1418,Calculations!G$1,FALSE)</f>
        <v>0</v>
      </c>
      <c r="H28">
        <f>VLOOKUP($A28,'ONS - UK Exports by type'!$A$1183:$CX$1418,Calculations!H$1,FALSE)</f>
        <v>1</v>
      </c>
      <c r="I28">
        <f>VLOOKUP($A28,'ONS - UK Exports by type'!$A$1183:$CX$1418,Calculations!I$1,FALSE)</f>
        <v>0</v>
      </c>
      <c r="J28">
        <f>VLOOKUP($A28,'ONS - UK Exports by type'!$A$1183:$CX$1418,Calculations!J$1,FALSE)</f>
        <v>0</v>
      </c>
      <c r="K28">
        <f>VLOOKUP($A28,'ONS - UK Exports by type'!$A$1183:$CX$1418,Calculations!K$1,FALSE)</f>
        <v>7</v>
      </c>
      <c r="L28">
        <f>VLOOKUP($A28,'ONS - UK Exports by type'!$A$1183:$CX$1418,Calculations!L$1,FALSE)</f>
        <v>10</v>
      </c>
      <c r="M28">
        <f>VLOOKUP($A28,'ONS - UK Exports by type'!$A$1183:$CX$1418,Calculations!M$1,FALSE)</f>
        <v>0</v>
      </c>
      <c r="N28">
        <f>VLOOKUP($A28,'ONS - UK Exports by type'!$A$1183:$CX$1418,Calculations!N$1,FALSE)</f>
        <v>0</v>
      </c>
      <c r="O28">
        <f>VLOOKUP($A28,'ONS - UK Exports by type'!$A$1183:$CX$1418,Calculations!O$1,FALSE)</f>
        <v>0</v>
      </c>
      <c r="P28">
        <f>VLOOKUP($A28,'ONS - UK Exports by type'!$A$1183:$CX$1418,Calculations!P$1,FALSE)</f>
        <v>0</v>
      </c>
      <c r="Q28">
        <f>VLOOKUP($A28,'ONS - UK Exports by type'!$A$1183:$CX$1418,Calculations!Q$1,FALSE)</f>
        <v>0</v>
      </c>
      <c r="S28">
        <f t="shared" si="0"/>
        <v>19</v>
      </c>
      <c r="U28">
        <f>VLOOKUP($A28,'ONS - UK Exports by type'!$A$1183:$CX$1418,Calculations!U$1,FALSE)</f>
        <v>254</v>
      </c>
    </row>
    <row r="29" spans="1:22" x14ac:dyDescent="0.25">
      <c r="A29" t="str">
        <f>'ONS - UK Exports by type'!A1371</f>
        <v>Slovakia</v>
      </c>
      <c r="B29">
        <f>VLOOKUP($A29,'ONS - UK Exports by type'!$A$1183:$CX$1418,Calculations!B$1,FALSE)</f>
        <v>1</v>
      </c>
      <c r="C29">
        <f>VLOOKUP($A29,'ONS - UK Exports by type'!$A$1183:$CX$1418,Calculations!C$1,FALSE)</f>
        <v>0</v>
      </c>
      <c r="D29">
        <f>VLOOKUP($A29,'ONS - UK Exports by type'!$A$1183:$CX$1418,Calculations!D$1,FALSE)</f>
        <v>1</v>
      </c>
      <c r="E29">
        <f>VLOOKUP($A29,'ONS - UK Exports by type'!$A$1183:$CX$1418,Calculations!E$1,FALSE)</f>
        <v>0</v>
      </c>
      <c r="F29">
        <f>VLOOKUP($A29,'ONS - UK Exports by type'!$A$1183:$CX$1418,Calculations!F$1,FALSE)</f>
        <v>1</v>
      </c>
      <c r="G29">
        <f>VLOOKUP($A29,'ONS - UK Exports by type'!$A$1183:$CX$1418,Calculations!G$1,FALSE)</f>
        <v>0</v>
      </c>
      <c r="H29">
        <f>VLOOKUP($A29,'ONS - UK Exports by type'!$A$1183:$CX$1418,Calculations!H$1,FALSE)</f>
        <v>0</v>
      </c>
      <c r="I29">
        <f>VLOOKUP($A29,'ONS - UK Exports by type'!$A$1183:$CX$1418,Calculations!I$1,FALSE)</f>
        <v>7</v>
      </c>
      <c r="J29">
        <f>VLOOKUP($A29,'ONS - UK Exports by type'!$A$1183:$CX$1418,Calculations!J$1,FALSE)</f>
        <v>0</v>
      </c>
      <c r="K29">
        <f>VLOOKUP($A29,'ONS - UK Exports by type'!$A$1183:$CX$1418,Calculations!K$1,FALSE)</f>
        <v>4</v>
      </c>
      <c r="L29">
        <f>VLOOKUP($A29,'ONS - UK Exports by type'!$A$1183:$CX$1418,Calculations!L$1,FALSE)</f>
        <v>17</v>
      </c>
      <c r="M29">
        <f>VLOOKUP($A29,'ONS - UK Exports by type'!$A$1183:$CX$1418,Calculations!M$1,FALSE)</f>
        <v>0</v>
      </c>
      <c r="N29">
        <f>VLOOKUP($A29,'ONS - UK Exports by type'!$A$1183:$CX$1418,Calculations!N$1,FALSE)</f>
        <v>0</v>
      </c>
      <c r="O29">
        <f>VLOOKUP($A29,'ONS - UK Exports by type'!$A$1183:$CX$1418,Calculations!O$1,FALSE)</f>
        <v>0</v>
      </c>
      <c r="P29">
        <f>VLOOKUP($A29,'ONS - UK Exports by type'!$A$1183:$CX$1418,Calculations!P$1,FALSE)</f>
        <v>0</v>
      </c>
      <c r="Q29">
        <f>VLOOKUP($A29,'ONS - UK Exports by type'!$A$1183:$CX$1418,Calculations!Q$1,FALSE)</f>
        <v>0</v>
      </c>
      <c r="S29">
        <f t="shared" si="0"/>
        <v>31</v>
      </c>
      <c r="U29">
        <f>VLOOKUP($A29,'ONS - UK Exports by type'!$A$1183:$CX$1418,Calculations!U$1,FALSE)</f>
        <v>937</v>
      </c>
    </row>
    <row r="30" spans="1:22" x14ac:dyDescent="0.25">
      <c r="A30" t="s">
        <v>578</v>
      </c>
      <c r="B30">
        <f>SUM(B3:B29)</f>
        <v>358</v>
      </c>
      <c r="C30">
        <f t="shared" ref="C30:U30" si="1">SUM(C3:C29)</f>
        <v>1593</v>
      </c>
      <c r="D30">
        <f t="shared" si="1"/>
        <v>1499</v>
      </c>
      <c r="E30">
        <f t="shared" si="1"/>
        <v>1253</v>
      </c>
      <c r="F30">
        <f t="shared" si="1"/>
        <v>2022</v>
      </c>
      <c r="G30">
        <f t="shared" si="1"/>
        <v>716</v>
      </c>
      <c r="H30">
        <f t="shared" si="1"/>
        <v>292</v>
      </c>
      <c r="I30">
        <f t="shared" si="1"/>
        <v>1036</v>
      </c>
      <c r="J30">
        <f t="shared" si="1"/>
        <v>737</v>
      </c>
      <c r="K30">
        <f t="shared" si="1"/>
        <v>1293</v>
      </c>
      <c r="L30">
        <f t="shared" si="1"/>
        <v>4997</v>
      </c>
      <c r="M30">
        <f t="shared" si="1"/>
        <v>51</v>
      </c>
      <c r="N30">
        <f t="shared" si="1"/>
        <v>269</v>
      </c>
      <c r="O30">
        <f t="shared" si="1"/>
        <v>76</v>
      </c>
      <c r="P30">
        <f t="shared" ref="P30" si="2">SUM(P3:P29)</f>
        <v>205</v>
      </c>
      <c r="Q30">
        <f t="shared" ref="Q30" si="3">SUM(Q3:Q29)</f>
        <v>225</v>
      </c>
      <c r="S30">
        <f t="shared" si="0"/>
        <v>16622</v>
      </c>
      <c r="U30">
        <f t="shared" si="1"/>
        <v>186363</v>
      </c>
    </row>
    <row r="32" spans="1:22" x14ac:dyDescent="0.25">
      <c r="A32" t="s">
        <v>575</v>
      </c>
      <c r="B32">
        <f>'ONS - UK Exports by type'!E1424</f>
        <v>618</v>
      </c>
      <c r="C32">
        <f>'ONS - UK Exports by type'!F1424</f>
        <v>2065</v>
      </c>
      <c r="D32">
        <f>'ONS - UK Exports by type'!G1424</f>
        <v>2154</v>
      </c>
      <c r="E32">
        <f>'ONS - UK Exports by type'!H1424</f>
        <v>1806</v>
      </c>
      <c r="F32">
        <f>'ONS - UK Exports by type'!I1424</f>
        <v>2954</v>
      </c>
      <c r="G32">
        <f>'ONS - UK Exports by type'!J1424</f>
        <v>1047</v>
      </c>
      <c r="H32">
        <f>'ONS - UK Exports by type'!K1424</f>
        <v>604</v>
      </c>
      <c r="I32">
        <f>'ONS - UK Exports by type'!L1424</f>
        <v>2115</v>
      </c>
      <c r="J32">
        <f>'ONS - UK Exports by type'!M1424</f>
        <v>1272</v>
      </c>
      <c r="K32">
        <f>'ONS - UK Exports by type'!N1424</f>
        <v>2421</v>
      </c>
      <c r="L32">
        <f>'ONS - UK Exports by type'!O1424</f>
        <v>12048</v>
      </c>
      <c r="M32">
        <f>'ONS - UK Exports by type'!Q1424</f>
        <v>58</v>
      </c>
      <c r="N32">
        <f>'ONS - UK Exports by type'!X1424</f>
        <v>403</v>
      </c>
      <c r="O32">
        <f>'ONS - UK Exports by type'!AD1424</f>
        <v>126</v>
      </c>
      <c r="P32">
        <f>'ONS - UK Exports by type'!AE1424</f>
        <v>261</v>
      </c>
      <c r="Q32">
        <f>'ONS - UK Exports by type'!AF1424</f>
        <v>246</v>
      </c>
      <c r="S32">
        <f t="shared" si="0"/>
        <v>30198</v>
      </c>
      <c r="U32">
        <f>'ONS - UK Exports by type'!D1424</f>
        <v>393516</v>
      </c>
      <c r="V32" s="7"/>
    </row>
    <row r="34" spans="1:2" x14ac:dyDescent="0.25">
      <c r="A34" t="s">
        <v>579</v>
      </c>
      <c r="B34">
        <f>S30</f>
        <v>16622</v>
      </c>
    </row>
    <row r="35" spans="1:2" x14ac:dyDescent="0.25">
      <c r="A35" t="s">
        <v>576</v>
      </c>
      <c r="B35">
        <f>U32</f>
        <v>393516</v>
      </c>
    </row>
    <row r="36" spans="1:2" x14ac:dyDescent="0.25">
      <c r="A36" t="s">
        <v>580</v>
      </c>
      <c r="B36" s="8">
        <f>100*(B34/B35)</f>
        <v>4.223970562823367</v>
      </c>
    </row>
    <row r="38" spans="1:2" x14ac:dyDescent="0.25">
      <c r="A38" t="s">
        <v>581</v>
      </c>
      <c r="B38">
        <v>2711185</v>
      </c>
    </row>
    <row r="39" spans="1:2" x14ac:dyDescent="0.25">
      <c r="A39" t="s">
        <v>582</v>
      </c>
      <c r="B39" s="8">
        <f>100*(B34/B38)</f>
        <v>0.6130898481660233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31F5-8FCB-4AEA-A579-A7C4E8DA79A7}">
  <dimension ref="A1:CX1425"/>
  <sheetViews>
    <sheetView zoomScaleNormal="100" workbookViewId="0">
      <pane xSplit="4" ySplit="2" topLeftCell="CB3" activePane="bottomRight" state="frozen"/>
      <selection pane="topRight" activeCell="E1" sqref="E1"/>
      <selection pane="bottomLeft" activeCell="A2" sqref="A2"/>
      <selection pane="bottomRight" activeCell="CY2" sqref="CY2"/>
    </sheetView>
  </sheetViews>
  <sheetFormatPr defaultColWidth="8.7109375" defaultRowHeight="15" x14ac:dyDescent="0.2"/>
  <cols>
    <col min="1" max="1" width="11" style="3" customWidth="1"/>
    <col min="2" max="2" width="10.42578125" style="3" bestFit="1" customWidth="1"/>
    <col min="3" max="3" width="8.7109375" style="3"/>
    <col min="4" max="4" width="8.7109375" style="3" bestFit="1" customWidth="1"/>
    <col min="5" max="5" width="10.5703125" style="3" bestFit="1" customWidth="1"/>
    <col min="6" max="15" width="8.85546875" style="3" bestFit="1" customWidth="1"/>
    <col min="16" max="16" width="9.28515625" style="3" bestFit="1" customWidth="1"/>
    <col min="17" max="26" width="8.85546875" style="3" bestFit="1" customWidth="1"/>
    <col min="27" max="29" width="9.28515625" style="3" bestFit="1" customWidth="1"/>
    <col min="30" max="33" width="8.85546875" style="3" bestFit="1" customWidth="1"/>
    <col min="34" max="34" width="9.28515625" style="3" bestFit="1" customWidth="1"/>
    <col min="35" max="36" width="8.85546875" style="3" bestFit="1" customWidth="1"/>
    <col min="37" max="37" width="9.28515625" style="3" bestFit="1" customWidth="1"/>
    <col min="38" max="52" width="8.85546875" style="3" bestFit="1" customWidth="1"/>
    <col min="53" max="53" width="9.28515625" style="3" bestFit="1" customWidth="1"/>
    <col min="54" max="54" width="8.85546875" style="3" bestFit="1" customWidth="1"/>
    <col min="55" max="55" width="9.28515625" style="3" bestFit="1" customWidth="1"/>
    <col min="56" max="61" width="8.85546875" style="3" bestFit="1" customWidth="1"/>
    <col min="62" max="62" width="9.28515625" style="3" bestFit="1" customWidth="1"/>
    <col min="63" max="74" width="8.85546875" style="3" bestFit="1" customWidth="1"/>
    <col min="75" max="75" width="9.28515625" style="3" bestFit="1" customWidth="1"/>
    <col min="76" max="76" width="8.85546875" style="3" bestFit="1" customWidth="1"/>
    <col min="77" max="78" width="9.28515625" style="3" bestFit="1" customWidth="1"/>
    <col min="79" max="79" width="8.85546875" style="3" bestFit="1" customWidth="1"/>
    <col min="80" max="80" width="9.28515625" style="3" bestFit="1" customWidth="1"/>
    <col min="81" max="92" width="8.85546875" style="3" bestFit="1" customWidth="1"/>
    <col min="93" max="93" width="9.28515625" style="3" bestFit="1" customWidth="1"/>
    <col min="94" max="101" width="8.85546875" style="3" bestFit="1" customWidth="1"/>
    <col min="102" max="102" width="9.28515625" style="3" bestFit="1" customWidth="1"/>
    <col min="103" max="16384" width="8.7109375" style="3"/>
  </cols>
  <sheetData>
    <row r="1" spans="1:102" x14ac:dyDescent="0.2">
      <c r="A1" s="3">
        <v>1</v>
      </c>
      <c r="B1" s="3">
        <f>+A1+1</f>
        <v>2</v>
      </c>
      <c r="C1" s="3">
        <f t="shared" ref="C1:BN1" si="0">+B1+1</f>
        <v>3</v>
      </c>
      <c r="D1" s="3">
        <f t="shared" si="0"/>
        <v>4</v>
      </c>
      <c r="E1" s="3">
        <f t="shared" si="0"/>
        <v>5</v>
      </c>
      <c r="F1" s="3">
        <f t="shared" si="0"/>
        <v>6</v>
      </c>
      <c r="G1" s="3">
        <f t="shared" si="0"/>
        <v>7</v>
      </c>
      <c r="H1" s="3">
        <f t="shared" si="0"/>
        <v>8</v>
      </c>
      <c r="I1" s="3">
        <f t="shared" si="0"/>
        <v>9</v>
      </c>
      <c r="J1" s="3">
        <f t="shared" si="0"/>
        <v>10</v>
      </c>
      <c r="K1" s="3">
        <f t="shared" si="0"/>
        <v>11</v>
      </c>
      <c r="L1" s="3">
        <f t="shared" si="0"/>
        <v>12</v>
      </c>
      <c r="M1" s="3">
        <f t="shared" si="0"/>
        <v>13</v>
      </c>
      <c r="N1" s="3">
        <f t="shared" si="0"/>
        <v>14</v>
      </c>
      <c r="O1" s="3">
        <f t="shared" si="0"/>
        <v>15</v>
      </c>
      <c r="P1" s="3">
        <f t="shared" si="0"/>
        <v>16</v>
      </c>
      <c r="Q1" s="3">
        <f t="shared" si="0"/>
        <v>17</v>
      </c>
      <c r="R1" s="3">
        <f t="shared" si="0"/>
        <v>18</v>
      </c>
      <c r="S1" s="3">
        <f t="shared" si="0"/>
        <v>19</v>
      </c>
      <c r="T1" s="3">
        <f t="shared" si="0"/>
        <v>20</v>
      </c>
      <c r="U1" s="3">
        <f t="shared" si="0"/>
        <v>21</v>
      </c>
      <c r="V1" s="3">
        <f t="shared" si="0"/>
        <v>22</v>
      </c>
      <c r="W1" s="3">
        <f t="shared" si="0"/>
        <v>23</v>
      </c>
      <c r="X1" s="3">
        <f t="shared" si="0"/>
        <v>24</v>
      </c>
      <c r="Y1" s="3">
        <f t="shared" si="0"/>
        <v>25</v>
      </c>
      <c r="Z1" s="3">
        <f t="shared" si="0"/>
        <v>26</v>
      </c>
      <c r="AA1" s="3">
        <f t="shared" si="0"/>
        <v>27</v>
      </c>
      <c r="AB1" s="3">
        <f t="shared" si="0"/>
        <v>28</v>
      </c>
      <c r="AC1" s="3">
        <f t="shared" si="0"/>
        <v>29</v>
      </c>
      <c r="AD1" s="3">
        <f t="shared" si="0"/>
        <v>30</v>
      </c>
      <c r="AE1" s="3">
        <f t="shared" si="0"/>
        <v>31</v>
      </c>
      <c r="AF1" s="3">
        <f t="shared" si="0"/>
        <v>32</v>
      </c>
      <c r="AG1" s="3">
        <f t="shared" si="0"/>
        <v>33</v>
      </c>
      <c r="AH1" s="3">
        <f t="shared" si="0"/>
        <v>34</v>
      </c>
      <c r="AI1" s="3">
        <f t="shared" si="0"/>
        <v>35</v>
      </c>
      <c r="AJ1" s="3">
        <f t="shared" si="0"/>
        <v>36</v>
      </c>
      <c r="AK1" s="3">
        <f t="shared" si="0"/>
        <v>37</v>
      </c>
      <c r="AL1" s="3">
        <f t="shared" si="0"/>
        <v>38</v>
      </c>
      <c r="AM1" s="3">
        <f t="shared" si="0"/>
        <v>39</v>
      </c>
      <c r="AN1" s="3">
        <f t="shared" si="0"/>
        <v>40</v>
      </c>
      <c r="AO1" s="3">
        <f t="shared" si="0"/>
        <v>41</v>
      </c>
      <c r="AP1" s="3">
        <f t="shared" si="0"/>
        <v>42</v>
      </c>
      <c r="AQ1" s="3">
        <f t="shared" si="0"/>
        <v>43</v>
      </c>
      <c r="AR1" s="3">
        <f t="shared" si="0"/>
        <v>44</v>
      </c>
      <c r="AS1" s="3">
        <f t="shared" si="0"/>
        <v>45</v>
      </c>
      <c r="AT1" s="3">
        <f t="shared" si="0"/>
        <v>46</v>
      </c>
      <c r="AU1" s="3">
        <f t="shared" si="0"/>
        <v>47</v>
      </c>
      <c r="AV1" s="3">
        <f t="shared" si="0"/>
        <v>48</v>
      </c>
      <c r="AW1" s="3">
        <f t="shared" si="0"/>
        <v>49</v>
      </c>
      <c r="AX1" s="3">
        <f t="shared" si="0"/>
        <v>50</v>
      </c>
      <c r="AY1" s="3">
        <f t="shared" si="0"/>
        <v>51</v>
      </c>
      <c r="AZ1" s="3">
        <f t="shared" si="0"/>
        <v>52</v>
      </c>
      <c r="BA1" s="3">
        <f t="shared" si="0"/>
        <v>53</v>
      </c>
      <c r="BB1" s="3">
        <f t="shared" si="0"/>
        <v>54</v>
      </c>
      <c r="BC1" s="3">
        <f t="shared" si="0"/>
        <v>55</v>
      </c>
      <c r="BD1" s="3">
        <f t="shared" si="0"/>
        <v>56</v>
      </c>
      <c r="BE1" s="3">
        <f t="shared" si="0"/>
        <v>57</v>
      </c>
      <c r="BF1" s="3">
        <f t="shared" si="0"/>
        <v>58</v>
      </c>
      <c r="BG1" s="3">
        <f t="shared" si="0"/>
        <v>59</v>
      </c>
      <c r="BH1" s="3">
        <f t="shared" si="0"/>
        <v>60</v>
      </c>
      <c r="BI1" s="3">
        <f t="shared" si="0"/>
        <v>61</v>
      </c>
      <c r="BJ1" s="3">
        <f t="shared" si="0"/>
        <v>62</v>
      </c>
      <c r="BK1" s="3">
        <f t="shared" si="0"/>
        <v>63</v>
      </c>
      <c r="BL1" s="3">
        <f t="shared" si="0"/>
        <v>64</v>
      </c>
      <c r="BM1" s="3">
        <f t="shared" si="0"/>
        <v>65</v>
      </c>
      <c r="BN1" s="3">
        <f t="shared" si="0"/>
        <v>66</v>
      </c>
      <c r="BO1" s="3">
        <f t="shared" ref="BO1:CX1" si="1">+BN1+1</f>
        <v>67</v>
      </c>
      <c r="BP1" s="3">
        <f t="shared" si="1"/>
        <v>68</v>
      </c>
      <c r="BQ1" s="3">
        <f t="shared" si="1"/>
        <v>69</v>
      </c>
      <c r="BR1" s="3">
        <f t="shared" si="1"/>
        <v>70</v>
      </c>
      <c r="BS1" s="3">
        <f t="shared" si="1"/>
        <v>71</v>
      </c>
      <c r="BT1" s="3">
        <f t="shared" si="1"/>
        <v>72</v>
      </c>
      <c r="BU1" s="3">
        <f t="shared" si="1"/>
        <v>73</v>
      </c>
      <c r="BV1" s="3">
        <f t="shared" si="1"/>
        <v>74</v>
      </c>
      <c r="BW1" s="3">
        <f t="shared" si="1"/>
        <v>75</v>
      </c>
      <c r="BX1" s="3">
        <f t="shared" si="1"/>
        <v>76</v>
      </c>
      <c r="BY1" s="3">
        <f t="shared" si="1"/>
        <v>77</v>
      </c>
      <c r="BZ1" s="3">
        <f t="shared" si="1"/>
        <v>78</v>
      </c>
      <c r="CA1" s="3">
        <f t="shared" si="1"/>
        <v>79</v>
      </c>
      <c r="CB1" s="3">
        <f t="shared" si="1"/>
        <v>80</v>
      </c>
      <c r="CC1" s="3">
        <f t="shared" si="1"/>
        <v>81</v>
      </c>
      <c r="CD1" s="3">
        <f t="shared" si="1"/>
        <v>82</v>
      </c>
      <c r="CE1" s="3">
        <f t="shared" si="1"/>
        <v>83</v>
      </c>
      <c r="CF1" s="3">
        <f t="shared" si="1"/>
        <v>84</v>
      </c>
      <c r="CG1" s="3">
        <f t="shared" si="1"/>
        <v>85</v>
      </c>
      <c r="CH1" s="3">
        <f t="shared" si="1"/>
        <v>86</v>
      </c>
      <c r="CI1" s="3">
        <f t="shared" si="1"/>
        <v>87</v>
      </c>
      <c r="CJ1" s="3">
        <f t="shared" si="1"/>
        <v>88</v>
      </c>
      <c r="CK1" s="3">
        <f t="shared" si="1"/>
        <v>89</v>
      </c>
      <c r="CL1" s="3">
        <f t="shared" si="1"/>
        <v>90</v>
      </c>
      <c r="CM1" s="3">
        <f t="shared" si="1"/>
        <v>91</v>
      </c>
      <c r="CN1" s="3">
        <f t="shared" si="1"/>
        <v>92</v>
      </c>
      <c r="CO1" s="3">
        <f t="shared" si="1"/>
        <v>93</v>
      </c>
      <c r="CP1" s="3">
        <f t="shared" si="1"/>
        <v>94</v>
      </c>
      <c r="CQ1" s="3">
        <f t="shared" si="1"/>
        <v>95</v>
      </c>
      <c r="CR1" s="3">
        <f t="shared" si="1"/>
        <v>96</v>
      </c>
      <c r="CS1" s="3">
        <f t="shared" si="1"/>
        <v>97</v>
      </c>
      <c r="CT1" s="3">
        <f t="shared" si="1"/>
        <v>98</v>
      </c>
      <c r="CU1" s="3">
        <f t="shared" si="1"/>
        <v>99</v>
      </c>
      <c r="CV1" s="3">
        <f t="shared" si="1"/>
        <v>100</v>
      </c>
      <c r="CW1" s="3">
        <f t="shared" si="1"/>
        <v>101</v>
      </c>
      <c r="CX1" s="3">
        <f t="shared" si="1"/>
        <v>102</v>
      </c>
    </row>
    <row r="2" spans="1:102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3" t="s">
        <v>100</v>
      </c>
    </row>
    <row r="3" spans="1:102" ht="15.75" x14ac:dyDescent="0.25">
      <c r="A3" s="4" t="s">
        <v>101</v>
      </c>
      <c r="B3" s="4" t="s">
        <v>102</v>
      </c>
      <c r="C3" s="4">
        <v>2018</v>
      </c>
      <c r="D3" s="4">
        <v>9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1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3">
        <v>0</v>
      </c>
    </row>
    <row r="4" spans="1:102" ht="15.75" x14ac:dyDescent="0.25">
      <c r="A4" s="4" t="s">
        <v>103</v>
      </c>
      <c r="B4" s="4" t="s">
        <v>104</v>
      </c>
      <c r="C4" s="4">
        <v>2018</v>
      </c>
      <c r="D4" s="4">
        <v>6458</v>
      </c>
      <c r="E4" s="4">
        <v>16</v>
      </c>
      <c r="F4" s="4">
        <v>1</v>
      </c>
      <c r="G4" s="4">
        <v>21</v>
      </c>
      <c r="H4" s="4">
        <v>8</v>
      </c>
      <c r="I4" s="4">
        <v>57</v>
      </c>
      <c r="J4" s="4">
        <v>26</v>
      </c>
      <c r="K4" s="4">
        <v>8</v>
      </c>
      <c r="L4" s="4">
        <v>33</v>
      </c>
      <c r="M4" s="4">
        <v>8</v>
      </c>
      <c r="N4" s="4">
        <v>39</v>
      </c>
      <c r="O4" s="4">
        <v>187</v>
      </c>
      <c r="P4" s="4">
        <v>0</v>
      </c>
      <c r="Q4" s="4">
        <v>1</v>
      </c>
      <c r="R4" s="4">
        <v>1</v>
      </c>
      <c r="S4" s="4">
        <v>2</v>
      </c>
      <c r="T4" s="4">
        <v>0</v>
      </c>
      <c r="U4" s="4">
        <v>21</v>
      </c>
      <c r="V4" s="4">
        <v>5</v>
      </c>
      <c r="W4" s="4">
        <v>4</v>
      </c>
      <c r="X4" s="4">
        <v>1</v>
      </c>
      <c r="Y4" s="4">
        <v>0</v>
      </c>
      <c r="Z4" s="4">
        <v>0</v>
      </c>
      <c r="AA4" s="4">
        <v>6</v>
      </c>
      <c r="AB4" s="4">
        <v>0</v>
      </c>
      <c r="AC4" s="4">
        <v>0</v>
      </c>
      <c r="AD4" s="4">
        <v>0</v>
      </c>
      <c r="AE4" s="4">
        <v>1</v>
      </c>
      <c r="AF4" s="4">
        <v>0</v>
      </c>
      <c r="AG4" s="4">
        <v>19</v>
      </c>
      <c r="AH4" s="4">
        <v>2</v>
      </c>
      <c r="AI4" s="4">
        <v>36</v>
      </c>
      <c r="AJ4" s="4">
        <v>180</v>
      </c>
      <c r="AK4" s="4">
        <v>127</v>
      </c>
      <c r="AL4" s="4">
        <v>0</v>
      </c>
      <c r="AM4" s="4">
        <v>14</v>
      </c>
      <c r="AN4" s="4">
        <v>28</v>
      </c>
      <c r="AO4" s="4">
        <v>41</v>
      </c>
      <c r="AP4" s="4">
        <v>4</v>
      </c>
      <c r="AQ4" s="4">
        <v>26</v>
      </c>
      <c r="AR4" s="4">
        <v>4</v>
      </c>
      <c r="AS4" s="4">
        <v>75</v>
      </c>
      <c r="AT4" s="4">
        <v>29</v>
      </c>
      <c r="AU4" s="4">
        <v>36</v>
      </c>
      <c r="AV4" s="4">
        <v>51</v>
      </c>
      <c r="AW4" s="4">
        <v>66</v>
      </c>
      <c r="AX4" s="4">
        <v>86</v>
      </c>
      <c r="AY4" s="4">
        <v>25</v>
      </c>
      <c r="AZ4" s="4">
        <v>75</v>
      </c>
      <c r="BA4" s="4">
        <v>0</v>
      </c>
      <c r="BB4" s="4">
        <v>2267</v>
      </c>
      <c r="BC4" s="4">
        <v>53</v>
      </c>
      <c r="BD4" s="4">
        <v>0</v>
      </c>
      <c r="BE4" s="4">
        <v>35</v>
      </c>
      <c r="BF4" s="4">
        <v>47</v>
      </c>
      <c r="BG4" s="4">
        <v>4</v>
      </c>
      <c r="BH4" s="4">
        <v>4</v>
      </c>
      <c r="BI4" s="4">
        <v>5</v>
      </c>
      <c r="BJ4" s="4">
        <v>167</v>
      </c>
      <c r="BK4" s="4">
        <v>123</v>
      </c>
      <c r="BL4" s="4">
        <v>0</v>
      </c>
      <c r="BM4" s="4">
        <v>7</v>
      </c>
      <c r="BN4" s="4">
        <v>84</v>
      </c>
      <c r="BO4" s="4">
        <v>2</v>
      </c>
      <c r="BP4" s="4">
        <v>20</v>
      </c>
      <c r="BQ4" s="4">
        <v>163</v>
      </c>
      <c r="BR4" s="4">
        <v>9</v>
      </c>
      <c r="BS4" s="4">
        <v>170</v>
      </c>
      <c r="BT4" s="4">
        <v>69</v>
      </c>
      <c r="BU4" s="4">
        <v>1</v>
      </c>
      <c r="BV4" s="4">
        <v>34</v>
      </c>
      <c r="BW4" s="4">
        <v>6</v>
      </c>
      <c r="BX4" s="4">
        <v>617</v>
      </c>
      <c r="BY4" s="4">
        <v>1</v>
      </c>
      <c r="BZ4" s="4">
        <v>0</v>
      </c>
      <c r="CA4" s="4">
        <v>148</v>
      </c>
      <c r="CB4" s="4">
        <v>28</v>
      </c>
      <c r="CC4" s="4">
        <v>1</v>
      </c>
      <c r="CD4" s="4">
        <v>31</v>
      </c>
      <c r="CE4" s="4">
        <v>1</v>
      </c>
      <c r="CF4" s="4">
        <v>19</v>
      </c>
      <c r="CG4" s="4">
        <v>17</v>
      </c>
      <c r="CH4" s="4">
        <v>14</v>
      </c>
      <c r="CI4" s="4">
        <v>10</v>
      </c>
      <c r="CJ4" s="4">
        <v>81</v>
      </c>
      <c r="CK4" s="4">
        <v>10</v>
      </c>
      <c r="CL4" s="4">
        <v>0</v>
      </c>
      <c r="CM4" s="4">
        <v>44</v>
      </c>
      <c r="CN4" s="4">
        <v>194</v>
      </c>
      <c r="CO4" s="4">
        <v>28</v>
      </c>
      <c r="CP4" s="4">
        <v>5</v>
      </c>
      <c r="CQ4" s="4">
        <v>0</v>
      </c>
      <c r="CR4" s="4">
        <v>95</v>
      </c>
      <c r="CS4" s="4">
        <v>90</v>
      </c>
      <c r="CT4" s="4">
        <v>25</v>
      </c>
      <c r="CU4" s="4">
        <v>9</v>
      </c>
      <c r="CV4" s="4">
        <v>233</v>
      </c>
      <c r="CW4" s="4">
        <v>121</v>
      </c>
      <c r="CX4" s="3">
        <v>121</v>
      </c>
    </row>
    <row r="5" spans="1:102" ht="15.75" x14ac:dyDescent="0.25">
      <c r="A5" s="4" t="s">
        <v>105</v>
      </c>
      <c r="B5" s="4" t="s">
        <v>106</v>
      </c>
      <c r="C5" s="4">
        <v>2018</v>
      </c>
      <c r="D5" s="4">
        <v>111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79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1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3</v>
      </c>
      <c r="BA5" s="4">
        <v>0</v>
      </c>
      <c r="BB5" s="4">
        <v>1</v>
      </c>
      <c r="BC5" s="4">
        <v>0</v>
      </c>
      <c r="BD5" s="4">
        <v>0</v>
      </c>
      <c r="BE5" s="4">
        <v>0</v>
      </c>
      <c r="BF5" s="4">
        <v>2</v>
      </c>
      <c r="BG5" s="4">
        <v>0</v>
      </c>
      <c r="BH5" s="4">
        <v>0</v>
      </c>
      <c r="BI5" s="4">
        <v>0</v>
      </c>
      <c r="BJ5" s="4">
        <v>0</v>
      </c>
      <c r="BK5" s="4">
        <v>1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8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5</v>
      </c>
      <c r="BY5" s="4">
        <v>0</v>
      </c>
      <c r="BZ5" s="4">
        <v>0</v>
      </c>
      <c r="CA5" s="4">
        <v>2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2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3">
        <v>0</v>
      </c>
    </row>
    <row r="6" spans="1:102" ht="15.75" x14ac:dyDescent="0.25">
      <c r="A6" s="4" t="s">
        <v>107</v>
      </c>
      <c r="B6" s="4" t="s">
        <v>108</v>
      </c>
      <c r="C6" s="4">
        <v>2018</v>
      </c>
      <c r="D6" s="4">
        <v>18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1</v>
      </c>
      <c r="AU6" s="4">
        <v>1</v>
      </c>
      <c r="AV6" s="4">
        <v>0</v>
      </c>
      <c r="AW6" s="4">
        <v>0</v>
      </c>
      <c r="AX6" s="4">
        <v>1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3</v>
      </c>
      <c r="CC6" s="4">
        <v>0</v>
      </c>
      <c r="CD6" s="4">
        <v>0</v>
      </c>
      <c r="CE6" s="4">
        <v>0</v>
      </c>
      <c r="CF6" s="4">
        <v>1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1</v>
      </c>
      <c r="CW6" s="4">
        <v>0</v>
      </c>
      <c r="CX6" s="3">
        <v>0</v>
      </c>
    </row>
    <row r="7" spans="1:102" ht="15.75" x14ac:dyDescent="0.25">
      <c r="A7" s="4" t="s">
        <v>109</v>
      </c>
      <c r="B7" s="4" t="s">
        <v>110</v>
      </c>
      <c r="C7" s="4">
        <v>2018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3">
        <v>0</v>
      </c>
    </row>
    <row r="8" spans="1:102" ht="15.75" x14ac:dyDescent="0.25">
      <c r="A8" s="4" t="s">
        <v>111</v>
      </c>
      <c r="B8" s="4" t="s">
        <v>112</v>
      </c>
      <c r="C8" s="4">
        <v>2018</v>
      </c>
      <c r="D8" s="4">
        <v>18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1</v>
      </c>
      <c r="AJ8" s="4">
        <v>1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1</v>
      </c>
      <c r="AV8" s="4">
        <v>0</v>
      </c>
      <c r="AW8" s="4">
        <v>0</v>
      </c>
      <c r="AX8" s="4">
        <v>1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3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1</v>
      </c>
      <c r="BT8" s="4">
        <v>0</v>
      </c>
      <c r="BU8" s="4">
        <v>0</v>
      </c>
      <c r="BV8" s="4">
        <v>1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1</v>
      </c>
      <c r="CW8" s="4">
        <v>0</v>
      </c>
      <c r="CX8" s="3">
        <v>0</v>
      </c>
    </row>
    <row r="9" spans="1:102" ht="15.75" x14ac:dyDescent="0.25">
      <c r="A9" s="4" t="s">
        <v>113</v>
      </c>
      <c r="B9" s="4" t="s">
        <v>114</v>
      </c>
      <c r="C9" s="4">
        <v>2018</v>
      </c>
      <c r="D9" s="4">
        <v>17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2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2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1</v>
      </c>
      <c r="BF9" s="4">
        <v>4</v>
      </c>
      <c r="BG9" s="4">
        <v>0</v>
      </c>
      <c r="BH9" s="4">
        <v>0</v>
      </c>
      <c r="BI9" s="4">
        <v>0</v>
      </c>
      <c r="BJ9" s="4">
        <v>1</v>
      </c>
      <c r="BK9" s="4">
        <v>1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1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1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3">
        <v>0</v>
      </c>
    </row>
    <row r="10" spans="1:102" ht="15.75" x14ac:dyDescent="0.25">
      <c r="A10" s="4" t="s">
        <v>115</v>
      </c>
      <c r="B10" s="4" t="s">
        <v>116</v>
      </c>
      <c r="C10" s="4">
        <v>2018</v>
      </c>
      <c r="D10" s="4">
        <v>209</v>
      </c>
      <c r="E10" s="4">
        <v>0</v>
      </c>
      <c r="F10" s="4">
        <v>7</v>
      </c>
      <c r="G10" s="4">
        <v>4</v>
      </c>
      <c r="H10" s="4">
        <v>0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6</v>
      </c>
      <c r="AH10" s="4">
        <v>2</v>
      </c>
      <c r="AI10" s="4">
        <v>9</v>
      </c>
      <c r="AJ10" s="4">
        <v>0</v>
      </c>
      <c r="AK10" s="4">
        <v>1</v>
      </c>
      <c r="AL10" s="4">
        <v>0</v>
      </c>
      <c r="AM10" s="4">
        <v>2</v>
      </c>
      <c r="AN10" s="4">
        <v>0</v>
      </c>
      <c r="AO10" s="4">
        <v>16</v>
      </c>
      <c r="AP10" s="4">
        <v>0</v>
      </c>
      <c r="AQ10" s="4">
        <v>6</v>
      </c>
      <c r="AR10" s="4">
        <v>0</v>
      </c>
      <c r="AS10" s="4">
        <v>0</v>
      </c>
      <c r="AT10" s="4">
        <v>1</v>
      </c>
      <c r="AU10" s="4">
        <v>1</v>
      </c>
      <c r="AV10" s="4">
        <v>4</v>
      </c>
      <c r="AW10" s="4">
        <v>0</v>
      </c>
      <c r="AX10" s="4">
        <v>8</v>
      </c>
      <c r="AY10" s="4">
        <v>1</v>
      </c>
      <c r="AZ10" s="4">
        <v>1</v>
      </c>
      <c r="BA10" s="4">
        <v>0</v>
      </c>
      <c r="BB10" s="4">
        <v>50</v>
      </c>
      <c r="BC10" s="4">
        <v>1</v>
      </c>
      <c r="BD10" s="4">
        <v>0</v>
      </c>
      <c r="BE10" s="4">
        <v>6</v>
      </c>
      <c r="BF10" s="4">
        <v>6</v>
      </c>
      <c r="BG10" s="4">
        <v>0</v>
      </c>
      <c r="BH10" s="4">
        <v>0</v>
      </c>
      <c r="BI10" s="4">
        <v>0</v>
      </c>
      <c r="BJ10" s="4">
        <v>14</v>
      </c>
      <c r="BK10" s="4">
        <v>10</v>
      </c>
      <c r="BL10" s="4">
        <v>0</v>
      </c>
      <c r="BM10" s="4">
        <v>0</v>
      </c>
      <c r="BN10" s="4">
        <v>2</v>
      </c>
      <c r="BO10" s="4">
        <v>0</v>
      </c>
      <c r="BP10" s="4">
        <v>0</v>
      </c>
      <c r="BQ10" s="4">
        <v>3</v>
      </c>
      <c r="BR10" s="4">
        <v>0</v>
      </c>
      <c r="BS10" s="4">
        <v>12</v>
      </c>
      <c r="BT10" s="4">
        <v>2</v>
      </c>
      <c r="BU10" s="4">
        <v>0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2</v>
      </c>
      <c r="CN10" s="4">
        <v>11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4</v>
      </c>
      <c r="CU10" s="4">
        <v>0</v>
      </c>
      <c r="CV10" s="4">
        <v>1</v>
      </c>
      <c r="CW10" s="4">
        <v>2</v>
      </c>
      <c r="CX10" s="3">
        <v>2</v>
      </c>
    </row>
    <row r="11" spans="1:102" ht="15.75" x14ac:dyDescent="0.25">
      <c r="A11" s="4" t="s">
        <v>117</v>
      </c>
      <c r="B11" s="4" t="s">
        <v>118</v>
      </c>
      <c r="C11" s="4">
        <v>2018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3">
        <v>0</v>
      </c>
    </row>
    <row r="12" spans="1:102" ht="15.75" x14ac:dyDescent="0.25">
      <c r="A12" s="4" t="s">
        <v>119</v>
      </c>
      <c r="B12" s="4" t="s">
        <v>120</v>
      </c>
      <c r="C12" s="4">
        <v>2018</v>
      </c>
      <c r="D12" s="4">
        <v>386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3</v>
      </c>
      <c r="M12" s="4">
        <v>1</v>
      </c>
      <c r="N12" s="4">
        <v>2</v>
      </c>
      <c r="O12" s="4">
        <v>16</v>
      </c>
      <c r="P12" s="4">
        <v>1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4">
        <v>2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11</v>
      </c>
      <c r="AH12" s="4">
        <v>2</v>
      </c>
      <c r="AI12" s="4">
        <v>4</v>
      </c>
      <c r="AJ12" s="4">
        <v>99</v>
      </c>
      <c r="AK12" s="4">
        <v>21</v>
      </c>
      <c r="AL12" s="4">
        <v>1</v>
      </c>
      <c r="AM12" s="4">
        <v>5</v>
      </c>
      <c r="AN12" s="4">
        <v>4</v>
      </c>
      <c r="AO12" s="4">
        <v>17</v>
      </c>
      <c r="AP12" s="4">
        <v>0</v>
      </c>
      <c r="AQ12" s="4">
        <v>1</v>
      </c>
      <c r="AR12" s="4">
        <v>0</v>
      </c>
      <c r="AS12" s="4">
        <v>2</v>
      </c>
      <c r="AT12" s="4">
        <v>1</v>
      </c>
      <c r="AU12" s="4">
        <v>3</v>
      </c>
      <c r="AV12" s="4">
        <v>3</v>
      </c>
      <c r="AW12" s="4">
        <v>57</v>
      </c>
      <c r="AX12" s="4">
        <v>7</v>
      </c>
      <c r="AY12" s="4">
        <v>0</v>
      </c>
      <c r="AZ12" s="4">
        <v>3</v>
      </c>
      <c r="BA12" s="4">
        <v>0</v>
      </c>
      <c r="BB12" s="4">
        <v>7</v>
      </c>
      <c r="BC12" s="4">
        <v>2</v>
      </c>
      <c r="BD12" s="4">
        <v>0</v>
      </c>
      <c r="BE12" s="4">
        <v>4</v>
      </c>
      <c r="BF12" s="4">
        <v>13</v>
      </c>
      <c r="BG12" s="4">
        <v>0</v>
      </c>
      <c r="BH12" s="4">
        <v>0</v>
      </c>
      <c r="BI12" s="4">
        <v>0</v>
      </c>
      <c r="BJ12" s="4">
        <v>10</v>
      </c>
      <c r="BK12" s="4">
        <v>10</v>
      </c>
      <c r="BL12" s="4">
        <v>0</v>
      </c>
      <c r="BM12" s="4">
        <v>0</v>
      </c>
      <c r="BN12" s="4">
        <v>1</v>
      </c>
      <c r="BO12" s="4">
        <v>0</v>
      </c>
      <c r="BP12" s="4">
        <v>0</v>
      </c>
      <c r="BQ12" s="4">
        <v>3</v>
      </c>
      <c r="BR12" s="4">
        <v>1</v>
      </c>
      <c r="BS12" s="4">
        <v>6</v>
      </c>
      <c r="BT12" s="4">
        <v>7</v>
      </c>
      <c r="BU12" s="4">
        <v>0</v>
      </c>
      <c r="BV12" s="4">
        <v>4</v>
      </c>
      <c r="BW12" s="4">
        <v>1</v>
      </c>
      <c r="BX12" s="4">
        <v>5</v>
      </c>
      <c r="BY12" s="4">
        <v>2</v>
      </c>
      <c r="BZ12" s="4">
        <v>0</v>
      </c>
      <c r="CA12" s="4">
        <v>1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3</v>
      </c>
      <c r="CN12" s="4">
        <v>15</v>
      </c>
      <c r="CO12" s="4">
        <v>0</v>
      </c>
      <c r="CP12" s="4">
        <v>0</v>
      </c>
      <c r="CQ12" s="4">
        <v>0</v>
      </c>
      <c r="CR12" s="4">
        <v>3</v>
      </c>
      <c r="CS12" s="4">
        <v>0</v>
      </c>
      <c r="CT12" s="4">
        <v>2</v>
      </c>
      <c r="CU12" s="4">
        <v>0</v>
      </c>
      <c r="CV12" s="4">
        <v>13</v>
      </c>
      <c r="CW12" s="4">
        <v>2</v>
      </c>
      <c r="CX12" s="3">
        <v>2</v>
      </c>
    </row>
    <row r="13" spans="1:102" ht="15.75" x14ac:dyDescent="0.25">
      <c r="A13" s="4" t="s">
        <v>121</v>
      </c>
      <c r="B13" s="4" t="s">
        <v>122</v>
      </c>
      <c r="C13" s="4">
        <v>2018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3">
        <v>0</v>
      </c>
    </row>
    <row r="14" spans="1:102" ht="15.75" x14ac:dyDescent="0.25">
      <c r="A14" s="4" t="s">
        <v>123</v>
      </c>
      <c r="B14" s="4" t="s">
        <v>124</v>
      </c>
      <c r="C14" s="4">
        <v>2018</v>
      </c>
      <c r="D14" s="4">
        <v>2069</v>
      </c>
      <c r="E14" s="4">
        <v>0</v>
      </c>
      <c r="F14" s="4">
        <v>11</v>
      </c>
      <c r="G14" s="4">
        <v>2</v>
      </c>
      <c r="H14" s="4">
        <v>2</v>
      </c>
      <c r="I14" s="4">
        <v>6</v>
      </c>
      <c r="J14" s="4">
        <v>7</v>
      </c>
      <c r="K14" s="4">
        <v>4</v>
      </c>
      <c r="L14" s="4">
        <v>7</v>
      </c>
      <c r="M14" s="4">
        <v>6</v>
      </c>
      <c r="N14" s="4">
        <v>16</v>
      </c>
      <c r="O14" s="4">
        <v>30</v>
      </c>
      <c r="P14" s="4">
        <v>0</v>
      </c>
      <c r="Q14" s="4">
        <v>0</v>
      </c>
      <c r="R14" s="4">
        <v>0</v>
      </c>
      <c r="S14" s="4">
        <v>0</v>
      </c>
      <c r="T14" s="4">
        <v>5</v>
      </c>
      <c r="U14" s="4">
        <v>1</v>
      </c>
      <c r="V14" s="4">
        <v>2</v>
      </c>
      <c r="W14" s="4">
        <v>18</v>
      </c>
      <c r="X14" s="4">
        <v>1</v>
      </c>
      <c r="Y14" s="4">
        <v>0</v>
      </c>
      <c r="Z14" s="4">
        <v>0</v>
      </c>
      <c r="AA14" s="4">
        <v>17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21</v>
      </c>
      <c r="AH14" s="4">
        <v>4</v>
      </c>
      <c r="AI14" s="4">
        <v>40</v>
      </c>
      <c r="AJ14" s="4">
        <v>200</v>
      </c>
      <c r="AK14" s="4">
        <v>18</v>
      </c>
      <c r="AL14" s="4">
        <v>1</v>
      </c>
      <c r="AM14" s="4">
        <v>36</v>
      </c>
      <c r="AN14" s="4">
        <v>22</v>
      </c>
      <c r="AO14" s="4">
        <v>37</v>
      </c>
      <c r="AP14" s="4">
        <v>1</v>
      </c>
      <c r="AQ14" s="4">
        <v>17</v>
      </c>
      <c r="AR14" s="4">
        <v>1</v>
      </c>
      <c r="AS14" s="4">
        <v>14</v>
      </c>
      <c r="AT14" s="4">
        <v>27</v>
      </c>
      <c r="AU14" s="4">
        <v>42</v>
      </c>
      <c r="AV14" s="4">
        <v>23</v>
      </c>
      <c r="AW14" s="4">
        <v>77</v>
      </c>
      <c r="AX14" s="4">
        <v>57</v>
      </c>
      <c r="AY14" s="4">
        <v>0</v>
      </c>
      <c r="AZ14" s="4">
        <v>9</v>
      </c>
      <c r="BA14" s="4">
        <v>0</v>
      </c>
      <c r="BB14" s="4">
        <v>183</v>
      </c>
      <c r="BC14" s="4">
        <v>19</v>
      </c>
      <c r="BD14" s="4">
        <v>0</v>
      </c>
      <c r="BE14" s="4">
        <v>18</v>
      </c>
      <c r="BF14" s="4">
        <v>60</v>
      </c>
      <c r="BG14" s="4">
        <v>2</v>
      </c>
      <c r="BH14" s="4">
        <v>3</v>
      </c>
      <c r="BI14" s="4">
        <v>1</v>
      </c>
      <c r="BJ14" s="4">
        <v>32</v>
      </c>
      <c r="BK14" s="4">
        <v>61</v>
      </c>
      <c r="BL14" s="4">
        <v>0</v>
      </c>
      <c r="BM14" s="4">
        <v>5</v>
      </c>
      <c r="BN14" s="4">
        <v>34</v>
      </c>
      <c r="BO14" s="4">
        <v>3</v>
      </c>
      <c r="BP14" s="4">
        <v>8</v>
      </c>
      <c r="BQ14" s="4">
        <v>36</v>
      </c>
      <c r="BR14" s="4">
        <v>3</v>
      </c>
      <c r="BS14" s="4">
        <v>88</v>
      </c>
      <c r="BT14" s="4">
        <v>46</v>
      </c>
      <c r="BU14" s="4">
        <v>2</v>
      </c>
      <c r="BV14" s="4">
        <v>90</v>
      </c>
      <c r="BW14" s="4">
        <v>11</v>
      </c>
      <c r="BX14" s="4">
        <v>246</v>
      </c>
      <c r="BY14" s="4">
        <v>2</v>
      </c>
      <c r="BZ14" s="4">
        <v>0</v>
      </c>
      <c r="CA14" s="4">
        <v>9</v>
      </c>
      <c r="CB14" s="4">
        <v>3</v>
      </c>
      <c r="CC14" s="4">
        <v>0</v>
      </c>
      <c r="CD14" s="4">
        <v>5</v>
      </c>
      <c r="CE14" s="4">
        <v>0</v>
      </c>
      <c r="CF14" s="4">
        <v>3</v>
      </c>
      <c r="CG14" s="4">
        <v>3</v>
      </c>
      <c r="CH14" s="4">
        <v>8</v>
      </c>
      <c r="CI14" s="4">
        <v>10</v>
      </c>
      <c r="CJ14" s="4">
        <v>87</v>
      </c>
      <c r="CK14" s="4">
        <v>22</v>
      </c>
      <c r="CL14" s="4">
        <v>0</v>
      </c>
      <c r="CM14" s="4">
        <v>4</v>
      </c>
      <c r="CN14" s="4">
        <v>46</v>
      </c>
      <c r="CO14" s="4">
        <v>6</v>
      </c>
      <c r="CP14" s="4">
        <v>7</v>
      </c>
      <c r="CQ14" s="4">
        <v>0</v>
      </c>
      <c r="CR14" s="4">
        <v>9</v>
      </c>
      <c r="CS14" s="4">
        <v>4</v>
      </c>
      <c r="CT14" s="4">
        <v>17</v>
      </c>
      <c r="CU14" s="4">
        <v>22</v>
      </c>
      <c r="CV14" s="4">
        <v>73</v>
      </c>
      <c r="CW14" s="4">
        <v>2</v>
      </c>
      <c r="CX14" s="3">
        <v>2</v>
      </c>
    </row>
    <row r="15" spans="1:102" ht="15.75" x14ac:dyDescent="0.25">
      <c r="A15" s="4" t="s">
        <v>125</v>
      </c>
      <c r="B15" s="4" t="s">
        <v>126</v>
      </c>
      <c r="C15" s="4">
        <v>2018</v>
      </c>
      <c r="D15" s="4">
        <v>4722</v>
      </c>
      <c r="E15" s="4">
        <v>19</v>
      </c>
      <c r="F15" s="4">
        <v>3</v>
      </c>
      <c r="G15" s="4">
        <v>14</v>
      </c>
      <c r="H15" s="4">
        <v>7</v>
      </c>
      <c r="I15" s="4">
        <v>75</v>
      </c>
      <c r="J15" s="4">
        <v>12</v>
      </c>
      <c r="K15" s="4">
        <v>12</v>
      </c>
      <c r="L15" s="4">
        <v>48</v>
      </c>
      <c r="M15" s="4">
        <v>49</v>
      </c>
      <c r="N15" s="4">
        <v>61</v>
      </c>
      <c r="O15" s="4">
        <v>197</v>
      </c>
      <c r="P15" s="4">
        <v>0</v>
      </c>
      <c r="Q15" s="4">
        <v>0</v>
      </c>
      <c r="R15" s="4">
        <v>2</v>
      </c>
      <c r="S15" s="4">
        <v>0</v>
      </c>
      <c r="T15" s="4">
        <v>0</v>
      </c>
      <c r="U15" s="4">
        <v>3</v>
      </c>
      <c r="V15" s="4">
        <v>4</v>
      </c>
      <c r="W15" s="4">
        <v>6</v>
      </c>
      <c r="X15" s="4">
        <v>3</v>
      </c>
      <c r="Y15" s="4">
        <v>0</v>
      </c>
      <c r="Z15" s="4">
        <v>0</v>
      </c>
      <c r="AA15" s="4">
        <v>160</v>
      </c>
      <c r="AB15" s="4">
        <v>0</v>
      </c>
      <c r="AC15" s="4">
        <v>0</v>
      </c>
      <c r="AD15" s="4">
        <v>0</v>
      </c>
      <c r="AE15" s="4">
        <v>2</v>
      </c>
      <c r="AF15" s="4">
        <v>0</v>
      </c>
      <c r="AG15" s="4">
        <v>37</v>
      </c>
      <c r="AH15" s="4">
        <v>3</v>
      </c>
      <c r="AI15" s="4">
        <v>26</v>
      </c>
      <c r="AJ15" s="4">
        <v>437</v>
      </c>
      <c r="AK15" s="4">
        <v>87</v>
      </c>
      <c r="AL15" s="4">
        <v>2</v>
      </c>
      <c r="AM15" s="4">
        <v>21</v>
      </c>
      <c r="AN15" s="4">
        <v>62</v>
      </c>
      <c r="AO15" s="4">
        <v>75</v>
      </c>
      <c r="AP15" s="4">
        <v>2</v>
      </c>
      <c r="AQ15" s="4">
        <v>21</v>
      </c>
      <c r="AR15" s="4">
        <v>2</v>
      </c>
      <c r="AS15" s="4">
        <v>31</v>
      </c>
      <c r="AT15" s="4">
        <v>27</v>
      </c>
      <c r="AU15" s="4">
        <v>54</v>
      </c>
      <c r="AV15" s="4">
        <v>20</v>
      </c>
      <c r="AW15" s="4">
        <v>29</v>
      </c>
      <c r="AX15" s="4">
        <v>105</v>
      </c>
      <c r="AY15" s="4">
        <v>2</v>
      </c>
      <c r="AZ15" s="4">
        <v>55</v>
      </c>
      <c r="BA15" s="4">
        <v>0</v>
      </c>
      <c r="BB15" s="4">
        <v>120</v>
      </c>
      <c r="BC15" s="4">
        <v>19</v>
      </c>
      <c r="BD15" s="4">
        <v>1</v>
      </c>
      <c r="BE15" s="4">
        <v>46</v>
      </c>
      <c r="BF15" s="4">
        <v>190</v>
      </c>
      <c r="BG15" s="4">
        <v>3</v>
      </c>
      <c r="BH15" s="4">
        <v>7</v>
      </c>
      <c r="BI15" s="4">
        <v>1</v>
      </c>
      <c r="BJ15" s="4">
        <v>108</v>
      </c>
      <c r="BK15" s="4">
        <v>175</v>
      </c>
      <c r="BL15" s="4">
        <v>0</v>
      </c>
      <c r="BM15" s="4">
        <v>5</v>
      </c>
      <c r="BN15" s="4">
        <v>30</v>
      </c>
      <c r="BO15" s="4">
        <v>1</v>
      </c>
      <c r="BP15" s="4">
        <v>14</v>
      </c>
      <c r="BQ15" s="4">
        <v>66</v>
      </c>
      <c r="BR15" s="4">
        <v>8</v>
      </c>
      <c r="BS15" s="4">
        <v>137</v>
      </c>
      <c r="BT15" s="4">
        <v>85</v>
      </c>
      <c r="BU15" s="4">
        <v>8</v>
      </c>
      <c r="BV15" s="4">
        <v>85</v>
      </c>
      <c r="BW15" s="4">
        <v>120</v>
      </c>
      <c r="BX15" s="4">
        <v>643</v>
      </c>
      <c r="BY15" s="4">
        <v>8</v>
      </c>
      <c r="BZ15" s="4">
        <v>0</v>
      </c>
      <c r="CA15" s="4">
        <v>74</v>
      </c>
      <c r="CB15" s="4">
        <v>13</v>
      </c>
      <c r="CC15" s="4">
        <v>0</v>
      </c>
      <c r="CD15" s="4">
        <v>14</v>
      </c>
      <c r="CE15" s="4">
        <v>2</v>
      </c>
      <c r="CF15" s="4">
        <v>11</v>
      </c>
      <c r="CG15" s="4">
        <v>5</v>
      </c>
      <c r="CH15" s="4">
        <v>6</v>
      </c>
      <c r="CI15" s="4">
        <v>11</v>
      </c>
      <c r="CJ15" s="4">
        <v>164</v>
      </c>
      <c r="CK15" s="4">
        <v>12</v>
      </c>
      <c r="CL15" s="4">
        <v>0</v>
      </c>
      <c r="CM15" s="4">
        <v>26</v>
      </c>
      <c r="CN15" s="4">
        <v>154</v>
      </c>
      <c r="CO15" s="4">
        <v>14</v>
      </c>
      <c r="CP15" s="4">
        <v>10</v>
      </c>
      <c r="CQ15" s="4">
        <v>0</v>
      </c>
      <c r="CR15" s="4">
        <v>40</v>
      </c>
      <c r="CS15" s="4">
        <v>7</v>
      </c>
      <c r="CT15" s="4">
        <v>34</v>
      </c>
      <c r="CU15" s="4">
        <v>25</v>
      </c>
      <c r="CV15" s="4">
        <v>399</v>
      </c>
      <c r="CW15" s="4">
        <v>43</v>
      </c>
      <c r="CX15" s="3">
        <v>43</v>
      </c>
    </row>
    <row r="16" spans="1:102" ht="15.75" x14ac:dyDescent="0.25">
      <c r="A16" s="4" t="s">
        <v>127</v>
      </c>
      <c r="B16" s="4" t="s">
        <v>128</v>
      </c>
      <c r="C16" s="4">
        <v>2018</v>
      </c>
      <c r="D16" s="4">
        <v>17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13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3">
        <v>0</v>
      </c>
    </row>
    <row r="17" spans="1:102" ht="15.75" x14ac:dyDescent="0.25">
      <c r="A17" s="4" t="s">
        <v>129</v>
      </c>
      <c r="B17" s="4" t="s">
        <v>130</v>
      </c>
      <c r="C17" s="4">
        <v>2018</v>
      </c>
      <c r="D17" s="4">
        <v>377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12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</v>
      </c>
      <c r="AH17" s="4">
        <v>0</v>
      </c>
      <c r="AI17" s="4">
        <v>1</v>
      </c>
      <c r="AJ17" s="4">
        <v>0</v>
      </c>
      <c r="AK17" s="4">
        <v>2</v>
      </c>
      <c r="AL17" s="4">
        <v>0</v>
      </c>
      <c r="AM17" s="4">
        <v>1</v>
      </c>
      <c r="AN17" s="4">
        <v>1</v>
      </c>
      <c r="AO17" s="4">
        <v>3</v>
      </c>
      <c r="AP17" s="4">
        <v>0</v>
      </c>
      <c r="AQ17" s="4">
        <v>4</v>
      </c>
      <c r="AR17" s="4">
        <v>0</v>
      </c>
      <c r="AS17" s="4">
        <v>0</v>
      </c>
      <c r="AT17" s="4">
        <v>1</v>
      </c>
      <c r="AU17" s="4">
        <v>1</v>
      </c>
      <c r="AV17" s="4">
        <v>47</v>
      </c>
      <c r="AW17" s="4">
        <v>0</v>
      </c>
      <c r="AX17" s="4">
        <v>11</v>
      </c>
      <c r="AY17" s="4">
        <v>0</v>
      </c>
      <c r="AZ17" s="4">
        <v>1</v>
      </c>
      <c r="BA17" s="4">
        <v>0</v>
      </c>
      <c r="BB17" s="4">
        <v>131</v>
      </c>
      <c r="BC17" s="4">
        <v>2</v>
      </c>
      <c r="BD17" s="4">
        <v>0</v>
      </c>
      <c r="BE17" s="4">
        <v>7</v>
      </c>
      <c r="BF17" s="4">
        <v>15</v>
      </c>
      <c r="BG17" s="4">
        <v>0</v>
      </c>
      <c r="BH17" s="4">
        <v>0</v>
      </c>
      <c r="BI17" s="4">
        <v>0</v>
      </c>
      <c r="BJ17" s="4">
        <v>26</v>
      </c>
      <c r="BK17" s="4">
        <v>13</v>
      </c>
      <c r="BL17" s="4">
        <v>0</v>
      </c>
      <c r="BM17" s="4">
        <v>0</v>
      </c>
      <c r="BN17" s="4">
        <v>2</v>
      </c>
      <c r="BO17" s="4">
        <v>0</v>
      </c>
      <c r="BP17" s="4">
        <v>0</v>
      </c>
      <c r="BQ17" s="4">
        <v>6</v>
      </c>
      <c r="BR17" s="4">
        <v>0</v>
      </c>
      <c r="BS17" s="4">
        <v>9</v>
      </c>
      <c r="BT17" s="4">
        <v>2</v>
      </c>
      <c r="BU17" s="4">
        <v>0</v>
      </c>
      <c r="BV17" s="4">
        <v>0</v>
      </c>
      <c r="BW17" s="4">
        <v>1</v>
      </c>
      <c r="BX17" s="4">
        <v>6</v>
      </c>
      <c r="BY17" s="4">
        <v>0</v>
      </c>
      <c r="BZ17" s="4">
        <v>0</v>
      </c>
      <c r="CA17" s="4">
        <v>3</v>
      </c>
      <c r="CB17" s="4">
        <v>0</v>
      </c>
      <c r="CC17" s="4">
        <v>0</v>
      </c>
      <c r="CD17" s="4">
        <v>1</v>
      </c>
      <c r="CE17" s="4">
        <v>0</v>
      </c>
      <c r="CF17" s="4">
        <v>1</v>
      </c>
      <c r="CG17" s="4">
        <v>0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4</v>
      </c>
      <c r="CN17" s="4">
        <v>9</v>
      </c>
      <c r="CO17" s="4">
        <v>1</v>
      </c>
      <c r="CP17" s="4">
        <v>0</v>
      </c>
      <c r="CQ17" s="4">
        <v>0</v>
      </c>
      <c r="CR17" s="4">
        <v>3</v>
      </c>
      <c r="CS17" s="4">
        <v>34</v>
      </c>
      <c r="CT17" s="4">
        <v>1</v>
      </c>
      <c r="CU17" s="4">
        <v>0</v>
      </c>
      <c r="CV17" s="4">
        <v>2</v>
      </c>
      <c r="CW17" s="4">
        <v>2</v>
      </c>
      <c r="CX17" s="3">
        <v>2</v>
      </c>
    </row>
    <row r="18" spans="1:102" ht="15.75" x14ac:dyDescent="0.25">
      <c r="A18" s="4" t="s">
        <v>131</v>
      </c>
      <c r="B18" s="4" t="s">
        <v>132</v>
      </c>
      <c r="C18" s="4">
        <v>2018</v>
      </c>
      <c r="D18" s="4">
        <v>27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2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3</v>
      </c>
      <c r="AK18" s="4">
        <v>0</v>
      </c>
      <c r="AL18" s="4">
        <v>0</v>
      </c>
      <c r="AM18" s="4">
        <v>4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1</v>
      </c>
      <c r="AT18" s="4">
        <v>1</v>
      </c>
      <c r="AU18" s="4">
        <v>0</v>
      </c>
      <c r="AV18" s="4">
        <v>0</v>
      </c>
      <c r="AW18" s="4">
        <v>3</v>
      </c>
      <c r="AX18" s="4">
        <v>0</v>
      </c>
      <c r="AY18" s="4">
        <v>0</v>
      </c>
      <c r="AZ18" s="4">
        <v>0</v>
      </c>
      <c r="BA18" s="4">
        <v>0</v>
      </c>
      <c r="BB18" s="4">
        <v>1</v>
      </c>
      <c r="BC18" s="4">
        <v>0</v>
      </c>
      <c r="BD18" s="4">
        <v>0</v>
      </c>
      <c r="BE18" s="4">
        <v>0</v>
      </c>
      <c r="BF18" s="4">
        <v>2</v>
      </c>
      <c r="BG18" s="4">
        <v>0</v>
      </c>
      <c r="BH18" s="4">
        <v>0</v>
      </c>
      <c r="BI18" s="4">
        <v>0</v>
      </c>
      <c r="BJ18" s="4">
        <v>1</v>
      </c>
      <c r="BK18" s="4">
        <v>0</v>
      </c>
      <c r="BL18" s="4">
        <v>0</v>
      </c>
      <c r="BM18" s="4">
        <v>0</v>
      </c>
      <c r="BN18" s="4">
        <v>1</v>
      </c>
      <c r="BO18" s="4">
        <v>0</v>
      </c>
      <c r="BP18" s="4">
        <v>0</v>
      </c>
      <c r="BQ18" s="4">
        <v>0</v>
      </c>
      <c r="BR18" s="4">
        <v>0</v>
      </c>
      <c r="BS18" s="4">
        <v>1</v>
      </c>
      <c r="BT18" s="4">
        <v>0</v>
      </c>
      <c r="BU18" s="4">
        <v>0</v>
      </c>
      <c r="BV18" s="4">
        <v>1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1</v>
      </c>
      <c r="CW18" s="4">
        <v>0</v>
      </c>
      <c r="CX18" s="3">
        <v>0</v>
      </c>
    </row>
    <row r="19" spans="1:102" ht="15.75" x14ac:dyDescent="0.25">
      <c r="A19" s="4" t="s">
        <v>133</v>
      </c>
      <c r="B19" s="4" t="s">
        <v>134</v>
      </c>
      <c r="C19" s="4">
        <v>2018</v>
      </c>
      <c r="D19" s="4">
        <v>41</v>
      </c>
      <c r="E19" s="4">
        <v>0</v>
      </c>
      <c r="F19" s="4">
        <v>1</v>
      </c>
      <c r="G19" s="4">
        <v>2</v>
      </c>
      <c r="H19" s="4">
        <v>0</v>
      </c>
      <c r="I19" s="4">
        <v>1</v>
      </c>
      <c r="J19" s="4">
        <v>1</v>
      </c>
      <c r="K19" s="4">
        <v>2</v>
      </c>
      <c r="L19" s="4">
        <v>0</v>
      </c>
      <c r="M19" s="4">
        <v>0</v>
      </c>
      <c r="N19" s="4">
        <v>1</v>
      </c>
      <c r="O19" s="4">
        <v>2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2</v>
      </c>
      <c r="AK19" s="4">
        <v>2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</v>
      </c>
      <c r="AU19" s="4">
        <v>1</v>
      </c>
      <c r="AV19" s="4">
        <v>1</v>
      </c>
      <c r="AW19" s="4">
        <v>0</v>
      </c>
      <c r="AX19" s="4">
        <v>1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1</v>
      </c>
      <c r="BT19" s="4">
        <v>1</v>
      </c>
      <c r="BU19" s="4">
        <v>0</v>
      </c>
      <c r="BV19" s="4">
        <v>1</v>
      </c>
      <c r="BW19" s="4">
        <v>2</v>
      </c>
      <c r="BX19" s="4">
        <v>2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1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1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1</v>
      </c>
      <c r="CU19" s="4">
        <v>1</v>
      </c>
      <c r="CV19" s="4">
        <v>3</v>
      </c>
      <c r="CW19" s="4">
        <v>1</v>
      </c>
      <c r="CX19" s="3">
        <v>1</v>
      </c>
    </row>
    <row r="20" spans="1:102" ht="15.75" x14ac:dyDescent="0.25">
      <c r="A20" s="4" t="s">
        <v>135</v>
      </c>
      <c r="B20" s="4" t="s">
        <v>136</v>
      </c>
      <c r="C20" s="4">
        <v>2018</v>
      </c>
      <c r="D20" s="4">
        <v>319</v>
      </c>
      <c r="E20" s="4">
        <v>2</v>
      </c>
      <c r="F20" s="4">
        <v>0</v>
      </c>
      <c r="G20" s="4">
        <v>1</v>
      </c>
      <c r="H20" s="4">
        <v>0</v>
      </c>
      <c r="I20" s="4">
        <v>0</v>
      </c>
      <c r="J20" s="4">
        <v>2</v>
      </c>
      <c r="K20" s="4">
        <v>0</v>
      </c>
      <c r="L20" s="4">
        <v>0</v>
      </c>
      <c r="M20" s="4">
        <v>2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1</v>
      </c>
      <c r="U20" s="4">
        <v>1</v>
      </c>
      <c r="V20" s="4">
        <v>2</v>
      </c>
      <c r="W20" s="4">
        <v>159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3</v>
      </c>
      <c r="AH20" s="4">
        <v>0</v>
      </c>
      <c r="AI20" s="4">
        <v>2</v>
      </c>
      <c r="AJ20" s="4">
        <v>3</v>
      </c>
      <c r="AK20" s="4">
        <v>2</v>
      </c>
      <c r="AL20" s="4">
        <v>0</v>
      </c>
      <c r="AM20" s="4">
        <v>3</v>
      </c>
      <c r="AN20" s="4">
        <v>1</v>
      </c>
      <c r="AO20" s="4">
        <v>3</v>
      </c>
      <c r="AP20" s="4">
        <v>0</v>
      </c>
      <c r="AQ20" s="4">
        <v>0</v>
      </c>
      <c r="AR20" s="4">
        <v>0</v>
      </c>
      <c r="AS20" s="4">
        <v>1</v>
      </c>
      <c r="AT20" s="4">
        <v>4</v>
      </c>
      <c r="AU20" s="4">
        <v>1</v>
      </c>
      <c r="AV20" s="4">
        <v>3</v>
      </c>
      <c r="AW20" s="4">
        <v>0</v>
      </c>
      <c r="AX20" s="4">
        <v>5</v>
      </c>
      <c r="AY20" s="4">
        <v>0</v>
      </c>
      <c r="AZ20" s="4">
        <v>26</v>
      </c>
      <c r="BA20" s="4">
        <v>0</v>
      </c>
      <c r="BB20" s="4">
        <v>5</v>
      </c>
      <c r="BC20" s="4">
        <v>4</v>
      </c>
      <c r="BD20" s="4">
        <v>0</v>
      </c>
      <c r="BE20" s="4">
        <v>5</v>
      </c>
      <c r="BF20" s="4">
        <v>7</v>
      </c>
      <c r="BG20" s="4">
        <v>0</v>
      </c>
      <c r="BH20" s="4">
        <v>0</v>
      </c>
      <c r="BI20" s="4">
        <v>0</v>
      </c>
      <c r="BJ20" s="4">
        <v>6</v>
      </c>
      <c r="BK20" s="4">
        <v>12</v>
      </c>
      <c r="BL20" s="4">
        <v>0</v>
      </c>
      <c r="BM20" s="4">
        <v>0</v>
      </c>
      <c r="BN20" s="4">
        <v>2</v>
      </c>
      <c r="BO20" s="4">
        <v>0</v>
      </c>
      <c r="BP20" s="4">
        <v>0</v>
      </c>
      <c r="BQ20" s="4">
        <v>3</v>
      </c>
      <c r="BR20" s="4">
        <v>0</v>
      </c>
      <c r="BS20" s="4">
        <v>5</v>
      </c>
      <c r="BT20" s="4">
        <v>4</v>
      </c>
      <c r="BU20" s="4">
        <v>0</v>
      </c>
      <c r="BV20" s="4">
        <v>1</v>
      </c>
      <c r="BW20" s="4">
        <v>1</v>
      </c>
      <c r="BX20" s="4">
        <v>7</v>
      </c>
      <c r="BY20" s="4">
        <v>0</v>
      </c>
      <c r="BZ20" s="4">
        <v>0</v>
      </c>
      <c r="CA20" s="4">
        <v>1</v>
      </c>
      <c r="CB20" s="4">
        <v>6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1</v>
      </c>
      <c r="CN20" s="4">
        <v>11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2</v>
      </c>
      <c r="CU20" s="4">
        <v>0</v>
      </c>
      <c r="CV20" s="4">
        <v>2</v>
      </c>
      <c r="CW20" s="4">
        <v>2</v>
      </c>
      <c r="CX20" s="3">
        <v>2</v>
      </c>
    </row>
    <row r="21" spans="1:102" ht="15.75" x14ac:dyDescent="0.25">
      <c r="A21" s="4" t="s">
        <v>137</v>
      </c>
      <c r="B21" s="4" t="s">
        <v>138</v>
      </c>
      <c r="C21" s="4">
        <v>2018</v>
      </c>
      <c r="D21" s="4">
        <v>14562</v>
      </c>
      <c r="E21" s="4">
        <v>3</v>
      </c>
      <c r="F21" s="4">
        <v>79</v>
      </c>
      <c r="G21" s="4">
        <v>132</v>
      </c>
      <c r="H21" s="4">
        <v>30</v>
      </c>
      <c r="I21" s="4">
        <v>93</v>
      </c>
      <c r="J21" s="4">
        <v>45</v>
      </c>
      <c r="K21" s="4">
        <v>15</v>
      </c>
      <c r="L21" s="4">
        <v>64</v>
      </c>
      <c r="M21" s="4">
        <v>24</v>
      </c>
      <c r="N21" s="4">
        <v>41</v>
      </c>
      <c r="O21" s="4">
        <v>287</v>
      </c>
      <c r="P21" s="4">
        <v>0</v>
      </c>
      <c r="Q21" s="4">
        <v>2</v>
      </c>
      <c r="R21" s="4">
        <v>65</v>
      </c>
      <c r="S21" s="4">
        <v>1</v>
      </c>
      <c r="T21" s="4">
        <v>3</v>
      </c>
      <c r="U21" s="4">
        <v>7</v>
      </c>
      <c r="V21" s="4">
        <v>22</v>
      </c>
      <c r="W21" s="4">
        <v>175</v>
      </c>
      <c r="X21" s="4">
        <v>10</v>
      </c>
      <c r="Y21" s="4">
        <v>8</v>
      </c>
      <c r="Z21" s="4">
        <v>37</v>
      </c>
      <c r="AA21" s="4">
        <v>1843</v>
      </c>
      <c r="AB21" s="4">
        <v>1142</v>
      </c>
      <c r="AC21" s="4">
        <v>0</v>
      </c>
      <c r="AD21" s="4">
        <v>14</v>
      </c>
      <c r="AE21" s="4">
        <v>39</v>
      </c>
      <c r="AF21" s="4">
        <v>12</v>
      </c>
      <c r="AG21" s="4">
        <v>1112</v>
      </c>
      <c r="AH21" s="4">
        <v>51</v>
      </c>
      <c r="AI21" s="4">
        <v>146</v>
      </c>
      <c r="AJ21" s="4">
        <v>661</v>
      </c>
      <c r="AK21" s="4">
        <v>452</v>
      </c>
      <c r="AL21" s="4">
        <v>10</v>
      </c>
      <c r="AM21" s="4">
        <v>406</v>
      </c>
      <c r="AN21" s="4">
        <v>94</v>
      </c>
      <c r="AO21" s="4">
        <v>212</v>
      </c>
      <c r="AP21" s="4">
        <v>3</v>
      </c>
      <c r="AQ21" s="4">
        <v>168</v>
      </c>
      <c r="AR21" s="4">
        <v>20</v>
      </c>
      <c r="AS21" s="4">
        <v>68</v>
      </c>
      <c r="AT21" s="4">
        <v>113</v>
      </c>
      <c r="AU21" s="4">
        <v>1101</v>
      </c>
      <c r="AV21" s="4">
        <v>193</v>
      </c>
      <c r="AW21" s="4">
        <v>148</v>
      </c>
      <c r="AX21" s="4">
        <v>169</v>
      </c>
      <c r="AY21" s="4">
        <v>4</v>
      </c>
      <c r="AZ21" s="4">
        <v>35</v>
      </c>
      <c r="BA21" s="4">
        <v>0</v>
      </c>
      <c r="BB21" s="4">
        <v>82</v>
      </c>
      <c r="BC21" s="4">
        <v>18</v>
      </c>
      <c r="BD21" s="4">
        <v>2</v>
      </c>
      <c r="BE21" s="4">
        <v>56</v>
      </c>
      <c r="BF21" s="4">
        <v>130</v>
      </c>
      <c r="BG21" s="4">
        <v>7</v>
      </c>
      <c r="BH21" s="4">
        <v>85</v>
      </c>
      <c r="BI21" s="4">
        <v>3</v>
      </c>
      <c r="BJ21" s="4">
        <v>221</v>
      </c>
      <c r="BK21" s="4">
        <v>328</v>
      </c>
      <c r="BL21" s="4">
        <v>0</v>
      </c>
      <c r="BM21" s="4">
        <v>17</v>
      </c>
      <c r="BN21" s="4">
        <v>84</v>
      </c>
      <c r="BO21" s="4">
        <v>3</v>
      </c>
      <c r="BP21" s="4">
        <v>12</v>
      </c>
      <c r="BQ21" s="4">
        <v>106</v>
      </c>
      <c r="BR21" s="4">
        <v>8</v>
      </c>
      <c r="BS21" s="4">
        <v>178</v>
      </c>
      <c r="BT21" s="4">
        <v>73</v>
      </c>
      <c r="BU21" s="4">
        <v>15</v>
      </c>
      <c r="BV21" s="4">
        <v>183</v>
      </c>
      <c r="BW21" s="4">
        <v>147</v>
      </c>
      <c r="BX21" s="4">
        <v>2325</v>
      </c>
      <c r="BY21" s="4">
        <v>1</v>
      </c>
      <c r="BZ21" s="4">
        <v>0</v>
      </c>
      <c r="CA21" s="4">
        <v>14</v>
      </c>
      <c r="CB21" s="4">
        <v>2</v>
      </c>
      <c r="CC21" s="4">
        <v>1</v>
      </c>
      <c r="CD21" s="4">
        <v>19</v>
      </c>
      <c r="CE21" s="4">
        <v>4</v>
      </c>
      <c r="CF21" s="4">
        <v>14</v>
      </c>
      <c r="CG21" s="4">
        <v>15</v>
      </c>
      <c r="CH21" s="4">
        <v>13</v>
      </c>
      <c r="CI21" s="4">
        <v>19</v>
      </c>
      <c r="CJ21" s="4">
        <v>173</v>
      </c>
      <c r="CK21" s="4">
        <v>82</v>
      </c>
      <c r="CL21" s="4">
        <v>0</v>
      </c>
      <c r="CM21" s="4">
        <v>16</v>
      </c>
      <c r="CN21" s="4">
        <v>326</v>
      </c>
      <c r="CO21" s="4">
        <v>64</v>
      </c>
      <c r="CP21" s="4">
        <v>8</v>
      </c>
      <c r="CQ21" s="4">
        <v>1</v>
      </c>
      <c r="CR21" s="4">
        <v>24</v>
      </c>
      <c r="CS21" s="4">
        <v>9</v>
      </c>
      <c r="CT21" s="4">
        <v>81</v>
      </c>
      <c r="CU21" s="4">
        <v>12</v>
      </c>
      <c r="CV21" s="4">
        <v>213</v>
      </c>
      <c r="CW21" s="4">
        <v>9</v>
      </c>
      <c r="CX21" s="3">
        <v>9</v>
      </c>
    </row>
    <row r="22" spans="1:102" ht="15.75" x14ac:dyDescent="0.25">
      <c r="A22" s="4" t="s">
        <v>139</v>
      </c>
      <c r="B22" s="4" t="s">
        <v>140</v>
      </c>
      <c r="C22" s="4">
        <v>2018</v>
      </c>
      <c r="D22" s="4">
        <v>18</v>
      </c>
      <c r="E22" s="4">
        <v>0</v>
      </c>
      <c r="F22" s="4">
        <v>0</v>
      </c>
      <c r="G22" s="4">
        <v>3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2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3</v>
      </c>
      <c r="BR22" s="4">
        <v>0</v>
      </c>
      <c r="BS22" s="4">
        <v>1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2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1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1</v>
      </c>
      <c r="CX22" s="3">
        <v>1</v>
      </c>
    </row>
    <row r="23" spans="1:102" ht="15.75" x14ac:dyDescent="0.25">
      <c r="A23" s="4" t="s">
        <v>141</v>
      </c>
      <c r="B23" s="4" t="s">
        <v>142</v>
      </c>
      <c r="C23" s="4">
        <v>2018</v>
      </c>
      <c r="D23" s="4">
        <v>463</v>
      </c>
      <c r="E23" s="4">
        <v>0</v>
      </c>
      <c r="F23" s="4">
        <v>4</v>
      </c>
      <c r="G23" s="4">
        <v>3</v>
      </c>
      <c r="H23" s="4">
        <v>1</v>
      </c>
      <c r="I23" s="4">
        <v>1</v>
      </c>
      <c r="J23" s="4">
        <v>1</v>
      </c>
      <c r="K23" s="4">
        <v>1</v>
      </c>
      <c r="L23" s="4">
        <v>4</v>
      </c>
      <c r="M23" s="4">
        <v>4</v>
      </c>
      <c r="N23" s="4">
        <v>4</v>
      </c>
      <c r="O23" s="4">
        <v>42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</v>
      </c>
      <c r="V23" s="4">
        <v>2</v>
      </c>
      <c r="W23" s="4">
        <v>1</v>
      </c>
      <c r="X23" s="4">
        <v>3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3</v>
      </c>
      <c r="AH23" s="4">
        <v>2</v>
      </c>
      <c r="AI23" s="4">
        <v>6</v>
      </c>
      <c r="AJ23" s="4">
        <v>32</v>
      </c>
      <c r="AK23" s="4">
        <v>12</v>
      </c>
      <c r="AL23" s="4">
        <v>2</v>
      </c>
      <c r="AM23" s="4">
        <v>4</v>
      </c>
      <c r="AN23" s="4">
        <v>4</v>
      </c>
      <c r="AO23" s="4">
        <v>11</v>
      </c>
      <c r="AP23" s="4">
        <v>1</v>
      </c>
      <c r="AQ23" s="4">
        <v>2</v>
      </c>
      <c r="AR23" s="4">
        <v>0</v>
      </c>
      <c r="AS23" s="4">
        <v>2</v>
      </c>
      <c r="AT23" s="4">
        <v>13</v>
      </c>
      <c r="AU23" s="4">
        <v>3</v>
      </c>
      <c r="AV23" s="4">
        <v>6</v>
      </c>
      <c r="AW23" s="4">
        <v>4</v>
      </c>
      <c r="AX23" s="4">
        <v>7</v>
      </c>
      <c r="AY23" s="4">
        <v>0</v>
      </c>
      <c r="AZ23" s="4">
        <v>2</v>
      </c>
      <c r="BA23" s="4">
        <v>0</v>
      </c>
      <c r="BB23" s="4">
        <v>1</v>
      </c>
      <c r="BC23" s="4">
        <v>2</v>
      </c>
      <c r="BD23" s="4">
        <v>0</v>
      </c>
      <c r="BE23" s="4">
        <v>5</v>
      </c>
      <c r="BF23" s="4">
        <v>32</v>
      </c>
      <c r="BG23" s="4">
        <v>1</v>
      </c>
      <c r="BH23" s="4">
        <v>1</v>
      </c>
      <c r="BI23" s="4">
        <v>0</v>
      </c>
      <c r="BJ23" s="4">
        <v>7</v>
      </c>
      <c r="BK23" s="4">
        <v>21</v>
      </c>
      <c r="BL23" s="4">
        <v>0</v>
      </c>
      <c r="BM23" s="4">
        <v>1</v>
      </c>
      <c r="BN23" s="4">
        <v>10</v>
      </c>
      <c r="BO23" s="4">
        <v>0</v>
      </c>
      <c r="BP23" s="4">
        <v>1</v>
      </c>
      <c r="BQ23" s="4">
        <v>16</v>
      </c>
      <c r="BR23" s="4">
        <v>1</v>
      </c>
      <c r="BS23" s="4">
        <v>25</v>
      </c>
      <c r="BT23" s="4">
        <v>6</v>
      </c>
      <c r="BU23" s="4">
        <v>0</v>
      </c>
      <c r="BV23" s="4">
        <v>8</v>
      </c>
      <c r="BW23" s="4">
        <v>7</v>
      </c>
      <c r="BX23" s="4">
        <v>21</v>
      </c>
      <c r="BY23" s="4">
        <v>0</v>
      </c>
      <c r="BZ23" s="4">
        <v>0</v>
      </c>
      <c r="CA23" s="4">
        <v>8</v>
      </c>
      <c r="CB23" s="4">
        <v>1</v>
      </c>
      <c r="CC23" s="4">
        <v>0</v>
      </c>
      <c r="CD23" s="4">
        <v>2</v>
      </c>
      <c r="CE23" s="4">
        <v>0</v>
      </c>
      <c r="CF23" s="4">
        <v>1</v>
      </c>
      <c r="CG23" s="4">
        <v>0</v>
      </c>
      <c r="CH23" s="4">
        <v>1</v>
      </c>
      <c r="CI23" s="4">
        <v>2</v>
      </c>
      <c r="CJ23" s="4">
        <v>38</v>
      </c>
      <c r="CK23" s="4">
        <v>18</v>
      </c>
      <c r="CL23" s="4">
        <v>0</v>
      </c>
      <c r="CM23" s="4">
        <v>1</v>
      </c>
      <c r="CN23" s="4">
        <v>12</v>
      </c>
      <c r="CO23" s="4">
        <v>2</v>
      </c>
      <c r="CP23" s="4">
        <v>1</v>
      </c>
      <c r="CQ23" s="4">
        <v>0</v>
      </c>
      <c r="CR23" s="4">
        <v>0</v>
      </c>
      <c r="CS23" s="4">
        <v>0</v>
      </c>
      <c r="CT23" s="4">
        <v>5</v>
      </c>
      <c r="CU23" s="4">
        <v>2</v>
      </c>
      <c r="CV23" s="4">
        <v>12</v>
      </c>
      <c r="CW23" s="4">
        <v>0</v>
      </c>
      <c r="CX23" s="3">
        <v>0</v>
      </c>
    </row>
    <row r="24" spans="1:102" ht="15.75" x14ac:dyDescent="0.25">
      <c r="A24" s="4" t="s">
        <v>143</v>
      </c>
      <c r="B24" s="4" t="s">
        <v>144</v>
      </c>
      <c r="C24" s="4">
        <v>2018</v>
      </c>
      <c r="D24" s="4">
        <v>515</v>
      </c>
      <c r="E24" s="4">
        <v>1</v>
      </c>
      <c r="F24" s="4">
        <v>0</v>
      </c>
      <c r="G24" s="4">
        <v>4</v>
      </c>
      <c r="H24" s="4">
        <v>1</v>
      </c>
      <c r="I24" s="4">
        <v>8</v>
      </c>
      <c r="J24" s="4">
        <v>3</v>
      </c>
      <c r="K24" s="4">
        <v>0</v>
      </c>
      <c r="L24" s="4">
        <v>3</v>
      </c>
      <c r="M24" s="4">
        <v>1</v>
      </c>
      <c r="N24" s="4">
        <v>4</v>
      </c>
      <c r="O24" s="4">
        <v>7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1</v>
      </c>
      <c r="AJ24" s="4">
        <v>3</v>
      </c>
      <c r="AK24" s="4">
        <v>4</v>
      </c>
      <c r="AL24" s="4">
        <v>0</v>
      </c>
      <c r="AM24" s="4">
        <v>0</v>
      </c>
      <c r="AN24" s="4">
        <v>4</v>
      </c>
      <c r="AO24" s="4">
        <v>3</v>
      </c>
      <c r="AP24" s="4">
        <v>0</v>
      </c>
      <c r="AQ24" s="4">
        <v>1</v>
      </c>
      <c r="AR24" s="4">
        <v>1</v>
      </c>
      <c r="AS24" s="4">
        <v>1</v>
      </c>
      <c r="AT24" s="4">
        <v>1</v>
      </c>
      <c r="AU24" s="4">
        <v>3</v>
      </c>
      <c r="AV24" s="4">
        <v>2</v>
      </c>
      <c r="AW24" s="4">
        <v>3</v>
      </c>
      <c r="AX24" s="4">
        <v>8</v>
      </c>
      <c r="AY24" s="4">
        <v>0</v>
      </c>
      <c r="AZ24" s="4">
        <v>3</v>
      </c>
      <c r="BA24" s="4">
        <v>0</v>
      </c>
      <c r="BB24" s="4">
        <v>131</v>
      </c>
      <c r="BC24" s="4">
        <v>1</v>
      </c>
      <c r="BD24" s="4">
        <v>0</v>
      </c>
      <c r="BE24" s="4">
        <v>7</v>
      </c>
      <c r="BF24" s="4">
        <v>10</v>
      </c>
      <c r="BG24" s="4">
        <v>1</v>
      </c>
      <c r="BH24" s="4">
        <v>2</v>
      </c>
      <c r="BI24" s="4">
        <v>1</v>
      </c>
      <c r="BJ24" s="4">
        <v>10</v>
      </c>
      <c r="BK24" s="4">
        <v>16</v>
      </c>
      <c r="BL24" s="4">
        <v>0</v>
      </c>
      <c r="BM24" s="4">
        <v>0</v>
      </c>
      <c r="BN24" s="4">
        <v>3</v>
      </c>
      <c r="BO24" s="4">
        <v>0</v>
      </c>
      <c r="BP24" s="4">
        <v>0</v>
      </c>
      <c r="BQ24" s="4">
        <v>2</v>
      </c>
      <c r="BR24" s="4">
        <v>1</v>
      </c>
      <c r="BS24" s="4">
        <v>21</v>
      </c>
      <c r="BT24" s="4">
        <v>6</v>
      </c>
      <c r="BU24" s="4">
        <v>0</v>
      </c>
      <c r="BV24" s="4">
        <v>2</v>
      </c>
      <c r="BW24" s="4">
        <v>1</v>
      </c>
      <c r="BX24" s="4">
        <v>59</v>
      </c>
      <c r="BY24" s="4">
        <v>1</v>
      </c>
      <c r="BZ24" s="4">
        <v>0</v>
      </c>
      <c r="CA24" s="4">
        <v>77</v>
      </c>
      <c r="CB24" s="4">
        <v>0</v>
      </c>
      <c r="CC24" s="4">
        <v>0</v>
      </c>
      <c r="CD24" s="4">
        <v>3</v>
      </c>
      <c r="CE24" s="4">
        <v>0</v>
      </c>
      <c r="CF24" s="4">
        <v>1</v>
      </c>
      <c r="CG24" s="4">
        <v>1</v>
      </c>
      <c r="CH24" s="4">
        <v>1</v>
      </c>
      <c r="CI24" s="4">
        <v>0</v>
      </c>
      <c r="CJ24" s="4">
        <v>5</v>
      </c>
      <c r="CK24" s="4">
        <v>0</v>
      </c>
      <c r="CL24" s="4">
        <v>0</v>
      </c>
      <c r="CM24" s="4">
        <v>3</v>
      </c>
      <c r="CN24" s="4">
        <v>7</v>
      </c>
      <c r="CO24" s="4">
        <v>1</v>
      </c>
      <c r="CP24" s="4">
        <v>0</v>
      </c>
      <c r="CQ24" s="4">
        <v>0</v>
      </c>
      <c r="CR24" s="4">
        <v>2</v>
      </c>
      <c r="CS24" s="4">
        <v>51</v>
      </c>
      <c r="CT24" s="4">
        <v>5</v>
      </c>
      <c r="CU24" s="4">
        <v>0</v>
      </c>
      <c r="CV24" s="4">
        <v>7</v>
      </c>
      <c r="CW24" s="4">
        <v>3</v>
      </c>
      <c r="CX24" s="3">
        <v>3</v>
      </c>
    </row>
    <row r="25" spans="1:102" ht="15.75" x14ac:dyDescent="0.25">
      <c r="A25" s="4" t="s">
        <v>145</v>
      </c>
      <c r="B25" s="4" t="s">
        <v>146</v>
      </c>
      <c r="C25" s="4">
        <v>2018</v>
      </c>
      <c r="D25" s="4">
        <v>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3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3">
        <v>0</v>
      </c>
    </row>
    <row r="26" spans="1:102" ht="15.75" x14ac:dyDescent="0.25">
      <c r="A26" s="4" t="s">
        <v>147</v>
      </c>
      <c r="B26" s="4" t="s">
        <v>148</v>
      </c>
      <c r="C26" s="4">
        <v>2018</v>
      </c>
      <c r="D26" s="4">
        <v>18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10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1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1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1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3">
        <v>0</v>
      </c>
    </row>
    <row r="27" spans="1:102" ht="15.75" x14ac:dyDescent="0.25">
      <c r="A27" s="4" t="s">
        <v>149</v>
      </c>
      <c r="B27" s="4" t="s">
        <v>150</v>
      </c>
      <c r="C27" s="4">
        <v>2018</v>
      </c>
      <c r="D27" s="4">
        <v>60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2</v>
      </c>
      <c r="O27" s="4">
        <v>2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6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1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1</v>
      </c>
      <c r="BT27" s="4">
        <v>0</v>
      </c>
      <c r="BU27" s="4">
        <v>0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>
        <v>0</v>
      </c>
      <c r="CR27" s="4">
        <v>35</v>
      </c>
      <c r="CS27" s="4">
        <v>0</v>
      </c>
      <c r="CT27" s="4">
        <v>0</v>
      </c>
      <c r="CU27" s="4">
        <v>0</v>
      </c>
      <c r="CV27" s="4">
        <v>1</v>
      </c>
      <c r="CW27" s="4">
        <v>0</v>
      </c>
      <c r="CX27" s="3">
        <v>0</v>
      </c>
    </row>
    <row r="28" spans="1:102" ht="15.75" x14ac:dyDescent="0.25">
      <c r="A28" s="4" t="s">
        <v>151</v>
      </c>
      <c r="B28" s="4" t="s">
        <v>152</v>
      </c>
      <c r="C28" s="4">
        <v>2018</v>
      </c>
      <c r="D28" s="4">
        <v>50</v>
      </c>
      <c r="E28" s="4">
        <v>0</v>
      </c>
      <c r="F28" s="4">
        <v>4</v>
      </c>
      <c r="G28" s="4">
        <v>0</v>
      </c>
      <c r="H28" s="4">
        <v>0</v>
      </c>
      <c r="I28" s="4">
        <v>1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1</v>
      </c>
      <c r="AK28" s="4">
        <v>0</v>
      </c>
      <c r="AL28" s="4">
        <v>0</v>
      </c>
      <c r="AM28" s="4">
        <v>0</v>
      </c>
      <c r="AN28" s="4">
        <v>0</v>
      </c>
      <c r="AO28" s="4">
        <v>2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1</v>
      </c>
      <c r="AW28" s="4">
        <v>1</v>
      </c>
      <c r="AX28" s="4">
        <v>1</v>
      </c>
      <c r="AY28" s="4">
        <v>1</v>
      </c>
      <c r="AZ28" s="4">
        <v>0</v>
      </c>
      <c r="BA28" s="4">
        <v>0</v>
      </c>
      <c r="BB28" s="4">
        <v>3</v>
      </c>
      <c r="BC28" s="4">
        <v>0</v>
      </c>
      <c r="BD28" s="4">
        <v>0</v>
      </c>
      <c r="BE28" s="4">
        <v>1</v>
      </c>
      <c r="BF28" s="4">
        <v>1</v>
      </c>
      <c r="BG28" s="4">
        <v>0</v>
      </c>
      <c r="BH28" s="4">
        <v>0</v>
      </c>
      <c r="BI28" s="4">
        <v>0</v>
      </c>
      <c r="BJ28" s="4">
        <v>4</v>
      </c>
      <c r="BK28" s="4">
        <v>3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2</v>
      </c>
      <c r="BT28" s="4">
        <v>0</v>
      </c>
      <c r="BU28" s="4">
        <v>0</v>
      </c>
      <c r="BV28" s="4">
        <v>0</v>
      </c>
      <c r="BW28" s="4">
        <v>0</v>
      </c>
      <c r="BX28" s="4">
        <v>3</v>
      </c>
      <c r="BY28" s="4">
        <v>0</v>
      </c>
      <c r="BZ28" s="4">
        <v>0</v>
      </c>
      <c r="CA28" s="4">
        <v>1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1</v>
      </c>
      <c r="CN28" s="4">
        <v>3</v>
      </c>
      <c r="CO28" s="4">
        <v>9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1</v>
      </c>
      <c r="CW28" s="4">
        <v>0</v>
      </c>
      <c r="CX28" s="3">
        <v>0</v>
      </c>
    </row>
    <row r="29" spans="1:102" ht="15.75" x14ac:dyDescent="0.25">
      <c r="A29" s="4" t="s">
        <v>153</v>
      </c>
      <c r="B29" s="4" t="s">
        <v>154</v>
      </c>
      <c r="C29" s="4">
        <v>2018</v>
      </c>
      <c r="D29" s="4">
        <v>42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4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1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1</v>
      </c>
      <c r="BK29" s="4">
        <v>1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21</v>
      </c>
      <c r="BR29" s="4">
        <v>0</v>
      </c>
      <c r="BS29" s="4">
        <v>0</v>
      </c>
      <c r="BT29" s="4">
        <v>3</v>
      </c>
      <c r="BU29" s="4">
        <v>0</v>
      </c>
      <c r="BV29" s="4">
        <v>1</v>
      </c>
      <c r="BW29" s="4">
        <v>0</v>
      </c>
      <c r="BX29" s="4">
        <v>3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1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3">
        <v>0</v>
      </c>
    </row>
    <row r="30" spans="1:102" ht="15.75" x14ac:dyDescent="0.25">
      <c r="A30" s="4" t="s">
        <v>155</v>
      </c>
      <c r="B30" s="4" t="s">
        <v>156</v>
      </c>
      <c r="C30" s="4">
        <v>2018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1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1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3">
        <v>0</v>
      </c>
    </row>
    <row r="31" spans="1:102" ht="15.75" x14ac:dyDescent="0.25">
      <c r="A31" s="4" t="s">
        <v>157</v>
      </c>
      <c r="B31" s="4" t="s">
        <v>158</v>
      </c>
      <c r="C31" s="4">
        <v>2018</v>
      </c>
      <c r="D31" s="4">
        <v>2030</v>
      </c>
      <c r="E31" s="4">
        <v>0</v>
      </c>
      <c r="F31" s="4">
        <v>0</v>
      </c>
      <c r="G31" s="4">
        <v>1</v>
      </c>
      <c r="H31" s="4">
        <v>0</v>
      </c>
      <c r="I31" s="4">
        <v>1</v>
      </c>
      <c r="J31" s="4">
        <v>5</v>
      </c>
      <c r="K31" s="4">
        <v>0</v>
      </c>
      <c r="L31" s="4">
        <v>5</v>
      </c>
      <c r="M31" s="4">
        <v>2</v>
      </c>
      <c r="N31" s="4">
        <v>10</v>
      </c>
      <c r="O31" s="4">
        <v>77</v>
      </c>
      <c r="P31" s="4">
        <v>0</v>
      </c>
      <c r="Q31" s="4">
        <v>0</v>
      </c>
      <c r="R31" s="4">
        <v>3</v>
      </c>
      <c r="S31" s="4">
        <v>0</v>
      </c>
      <c r="T31" s="4">
        <v>0</v>
      </c>
      <c r="U31" s="4">
        <v>1</v>
      </c>
      <c r="V31" s="4">
        <v>2</v>
      </c>
      <c r="W31" s="4">
        <v>20</v>
      </c>
      <c r="X31" s="4">
        <v>1</v>
      </c>
      <c r="Y31" s="4">
        <v>0</v>
      </c>
      <c r="Z31" s="4">
        <v>0</v>
      </c>
      <c r="AA31" s="4">
        <v>5</v>
      </c>
      <c r="AB31" s="4">
        <v>0</v>
      </c>
      <c r="AC31" s="4">
        <v>0</v>
      </c>
      <c r="AD31" s="4">
        <v>1</v>
      </c>
      <c r="AE31" s="4">
        <v>0</v>
      </c>
      <c r="AF31" s="4">
        <v>0</v>
      </c>
      <c r="AG31" s="4">
        <v>95</v>
      </c>
      <c r="AH31" s="4">
        <v>12</v>
      </c>
      <c r="AI31" s="4">
        <v>16</v>
      </c>
      <c r="AJ31" s="4">
        <v>255</v>
      </c>
      <c r="AK31" s="4">
        <v>20</v>
      </c>
      <c r="AL31" s="4">
        <v>13</v>
      </c>
      <c r="AM31" s="4">
        <v>31</v>
      </c>
      <c r="AN31" s="4">
        <v>23</v>
      </c>
      <c r="AO31" s="4">
        <v>87</v>
      </c>
      <c r="AP31" s="4">
        <v>0</v>
      </c>
      <c r="AQ31" s="4">
        <v>10</v>
      </c>
      <c r="AR31" s="4">
        <v>0</v>
      </c>
      <c r="AS31" s="4">
        <v>12</v>
      </c>
      <c r="AT31" s="4">
        <v>5</v>
      </c>
      <c r="AU31" s="4">
        <v>11</v>
      </c>
      <c r="AV31" s="4">
        <v>41</v>
      </c>
      <c r="AW31" s="4">
        <v>16</v>
      </c>
      <c r="AX31" s="4">
        <v>104</v>
      </c>
      <c r="AY31" s="4">
        <v>2</v>
      </c>
      <c r="AZ31" s="4">
        <v>6</v>
      </c>
      <c r="BA31" s="4">
        <v>0</v>
      </c>
      <c r="BB31" s="4">
        <v>347</v>
      </c>
      <c r="BC31" s="4">
        <v>40</v>
      </c>
      <c r="BD31" s="4">
        <v>0</v>
      </c>
      <c r="BE31" s="4">
        <v>30</v>
      </c>
      <c r="BF31" s="4">
        <v>34</v>
      </c>
      <c r="BG31" s="4">
        <v>4</v>
      </c>
      <c r="BH31" s="4">
        <v>2</v>
      </c>
      <c r="BI31" s="4">
        <v>0</v>
      </c>
      <c r="BJ31" s="4">
        <v>58</v>
      </c>
      <c r="BK31" s="4">
        <v>49</v>
      </c>
      <c r="BL31" s="4">
        <v>0</v>
      </c>
      <c r="BM31" s="4">
        <v>3</v>
      </c>
      <c r="BN31" s="4">
        <v>5</v>
      </c>
      <c r="BO31" s="4">
        <v>0</v>
      </c>
      <c r="BP31" s="4">
        <v>3</v>
      </c>
      <c r="BQ31" s="4">
        <v>14</v>
      </c>
      <c r="BR31" s="4">
        <v>1</v>
      </c>
      <c r="BS31" s="4">
        <v>39</v>
      </c>
      <c r="BT31" s="4">
        <v>25</v>
      </c>
      <c r="BU31" s="4">
        <v>7</v>
      </c>
      <c r="BV31" s="4">
        <v>44</v>
      </c>
      <c r="BW31" s="4">
        <v>11</v>
      </c>
      <c r="BX31" s="4">
        <v>99</v>
      </c>
      <c r="BY31" s="4">
        <v>0</v>
      </c>
      <c r="BZ31" s="4">
        <v>0</v>
      </c>
      <c r="CA31" s="4">
        <v>113</v>
      </c>
      <c r="CB31" s="4">
        <v>51</v>
      </c>
      <c r="CC31" s="4">
        <v>0</v>
      </c>
      <c r="CD31" s="4">
        <v>1</v>
      </c>
      <c r="CE31" s="4">
        <v>0</v>
      </c>
      <c r="CF31" s="4">
        <v>1</v>
      </c>
      <c r="CG31" s="4">
        <v>1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11</v>
      </c>
      <c r="CN31" s="4">
        <v>43</v>
      </c>
      <c r="CO31" s="4">
        <v>3</v>
      </c>
      <c r="CP31" s="4">
        <v>1</v>
      </c>
      <c r="CQ31" s="4">
        <v>0</v>
      </c>
      <c r="CR31" s="4">
        <v>20</v>
      </c>
      <c r="CS31" s="4">
        <v>1</v>
      </c>
      <c r="CT31" s="4">
        <v>7</v>
      </c>
      <c r="CU31" s="4">
        <v>2</v>
      </c>
      <c r="CV31" s="4">
        <v>29</v>
      </c>
      <c r="CW31" s="4">
        <v>34</v>
      </c>
      <c r="CX31" s="3">
        <v>34</v>
      </c>
    </row>
    <row r="32" spans="1:102" ht="15.75" x14ac:dyDescent="0.25">
      <c r="A32" s="4" t="s">
        <v>159</v>
      </c>
      <c r="B32" s="4" t="s">
        <v>160</v>
      </c>
      <c r="C32" s="4">
        <v>2018</v>
      </c>
      <c r="D32" s="4">
        <v>55</v>
      </c>
      <c r="E32" s="4">
        <v>0</v>
      </c>
      <c r="F32" s="4">
        <v>0</v>
      </c>
      <c r="G32" s="4">
        <v>0</v>
      </c>
      <c r="H32" s="4">
        <v>0</v>
      </c>
      <c r="I32" s="4">
        <v>2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16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3</v>
      </c>
      <c r="AK32" s="4">
        <v>2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4">
        <v>1</v>
      </c>
      <c r="AV32" s="4">
        <v>0</v>
      </c>
      <c r="AW32" s="4">
        <v>0</v>
      </c>
      <c r="AX32" s="4">
        <v>1</v>
      </c>
      <c r="AY32" s="4">
        <v>0</v>
      </c>
      <c r="AZ32" s="4">
        <v>0</v>
      </c>
      <c r="BA32" s="4">
        <v>0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1</v>
      </c>
      <c r="BT32" s="4">
        <v>0</v>
      </c>
      <c r="BU32" s="4">
        <v>0</v>
      </c>
      <c r="BV32" s="4">
        <v>0</v>
      </c>
      <c r="BW32" s="4">
        <v>0</v>
      </c>
      <c r="BX32" s="4">
        <v>1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2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11</v>
      </c>
      <c r="CS32" s="4">
        <v>1</v>
      </c>
      <c r="CT32" s="4">
        <v>1</v>
      </c>
      <c r="CU32" s="4">
        <v>0</v>
      </c>
      <c r="CV32" s="4">
        <v>1</v>
      </c>
      <c r="CW32" s="4">
        <v>0</v>
      </c>
      <c r="CX32" s="3">
        <v>0</v>
      </c>
    </row>
    <row r="33" spans="1:102" ht="15.75" x14ac:dyDescent="0.25">
      <c r="A33" s="4" t="s">
        <v>161</v>
      </c>
      <c r="B33" s="4" t="s">
        <v>162</v>
      </c>
      <c r="C33" s="4">
        <v>2018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3">
        <v>0</v>
      </c>
    </row>
    <row r="34" spans="1:102" ht="15.75" x14ac:dyDescent="0.25">
      <c r="A34" s="4" t="s">
        <v>163</v>
      </c>
      <c r="B34" s="4" t="s">
        <v>164</v>
      </c>
      <c r="C34" s="4">
        <v>2018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3">
        <v>0</v>
      </c>
    </row>
    <row r="35" spans="1:102" ht="15.75" x14ac:dyDescent="0.25">
      <c r="A35" s="4" t="s">
        <v>165</v>
      </c>
      <c r="B35" s="4" t="s">
        <v>166</v>
      </c>
      <c r="C35" s="4">
        <v>2018</v>
      </c>
      <c r="D35" s="4">
        <v>35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1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12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1</v>
      </c>
      <c r="BO35" s="4">
        <v>0</v>
      </c>
      <c r="BP35" s="4">
        <v>0</v>
      </c>
      <c r="BQ35" s="4">
        <v>1</v>
      </c>
      <c r="BR35" s="4">
        <v>0</v>
      </c>
      <c r="BS35" s="4">
        <v>1</v>
      </c>
      <c r="BT35" s="4">
        <v>0</v>
      </c>
      <c r="BU35" s="4">
        <v>0</v>
      </c>
      <c r="BV35" s="4">
        <v>0</v>
      </c>
      <c r="BW35" s="4">
        <v>5</v>
      </c>
      <c r="BX35" s="4">
        <v>2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6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1</v>
      </c>
      <c r="CU35" s="4">
        <v>0</v>
      </c>
      <c r="CV35" s="4">
        <v>1</v>
      </c>
      <c r="CW35" s="4">
        <v>0</v>
      </c>
      <c r="CX35" s="3">
        <v>0</v>
      </c>
    </row>
    <row r="36" spans="1:102" ht="15.75" x14ac:dyDescent="0.25">
      <c r="A36" s="4" t="s">
        <v>167</v>
      </c>
      <c r="B36" s="4" t="s">
        <v>168</v>
      </c>
      <c r="C36" s="4">
        <v>2018</v>
      </c>
      <c r="D36" s="4">
        <v>167</v>
      </c>
      <c r="E36" s="4">
        <v>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</v>
      </c>
      <c r="AH36" s="4">
        <v>0</v>
      </c>
      <c r="AI36" s="4">
        <v>1</v>
      </c>
      <c r="AJ36" s="4">
        <v>4</v>
      </c>
      <c r="AK36" s="4">
        <v>1</v>
      </c>
      <c r="AL36" s="4">
        <v>0</v>
      </c>
      <c r="AM36" s="4">
        <v>1</v>
      </c>
      <c r="AN36" s="4">
        <v>1</v>
      </c>
      <c r="AO36" s="4">
        <v>3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5</v>
      </c>
      <c r="BC36" s="4">
        <v>122</v>
      </c>
      <c r="BD36" s="4">
        <v>0</v>
      </c>
      <c r="BE36" s="4">
        <v>1</v>
      </c>
      <c r="BF36" s="4">
        <v>2</v>
      </c>
      <c r="BG36" s="4">
        <v>0</v>
      </c>
      <c r="BH36" s="4">
        <v>0</v>
      </c>
      <c r="BI36" s="4">
        <v>0</v>
      </c>
      <c r="BJ36" s="4">
        <v>1</v>
      </c>
      <c r="BK36" s="4">
        <v>3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1</v>
      </c>
      <c r="BR36" s="4">
        <v>0</v>
      </c>
      <c r="BS36" s="4">
        <v>1</v>
      </c>
      <c r="BT36" s="4">
        <v>2</v>
      </c>
      <c r="BU36" s="4">
        <v>0</v>
      </c>
      <c r="BV36" s="4">
        <v>2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2</v>
      </c>
      <c r="CO36" s="4">
        <v>1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3">
        <v>0</v>
      </c>
    </row>
    <row r="37" spans="1:102" ht="15.75" x14ac:dyDescent="0.25">
      <c r="A37" s="4" t="s">
        <v>169</v>
      </c>
      <c r="B37" s="4" t="s">
        <v>170</v>
      </c>
      <c r="C37" s="4">
        <v>2018</v>
      </c>
      <c r="D37" s="4">
        <v>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1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2</v>
      </c>
      <c r="CW37" s="4">
        <v>0</v>
      </c>
      <c r="CX37" s="3">
        <v>0</v>
      </c>
    </row>
    <row r="38" spans="1:102" ht="15.75" x14ac:dyDescent="0.25">
      <c r="A38" s="4" t="s">
        <v>171</v>
      </c>
      <c r="B38" s="4" t="s">
        <v>172</v>
      </c>
      <c r="C38" s="4">
        <v>2018</v>
      </c>
      <c r="D38" s="4">
        <v>5973</v>
      </c>
      <c r="E38" s="4">
        <v>2</v>
      </c>
      <c r="F38" s="4">
        <v>4</v>
      </c>
      <c r="G38" s="4">
        <v>12</v>
      </c>
      <c r="H38" s="4">
        <v>10</v>
      </c>
      <c r="I38" s="4">
        <v>39</v>
      </c>
      <c r="J38" s="4">
        <v>6</v>
      </c>
      <c r="K38" s="4">
        <v>13</v>
      </c>
      <c r="L38" s="4">
        <v>52</v>
      </c>
      <c r="M38" s="4">
        <v>4</v>
      </c>
      <c r="N38" s="4">
        <v>24</v>
      </c>
      <c r="O38" s="4">
        <v>179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1</v>
      </c>
      <c r="V38" s="4">
        <v>2</v>
      </c>
      <c r="W38" s="4">
        <v>106</v>
      </c>
      <c r="X38" s="4">
        <v>3</v>
      </c>
      <c r="Y38" s="4">
        <v>3</v>
      </c>
      <c r="Z38" s="4">
        <v>329</v>
      </c>
      <c r="AA38" s="4">
        <v>359</v>
      </c>
      <c r="AB38" s="4">
        <v>0</v>
      </c>
      <c r="AC38" s="4">
        <v>0</v>
      </c>
      <c r="AD38" s="4">
        <v>1</v>
      </c>
      <c r="AE38" s="4">
        <v>3</v>
      </c>
      <c r="AF38" s="4">
        <v>0</v>
      </c>
      <c r="AG38" s="4">
        <v>50</v>
      </c>
      <c r="AH38" s="4">
        <v>6</v>
      </c>
      <c r="AI38" s="4">
        <v>11</v>
      </c>
      <c r="AJ38" s="4">
        <v>1029</v>
      </c>
      <c r="AK38" s="4">
        <v>74</v>
      </c>
      <c r="AL38" s="4">
        <v>4</v>
      </c>
      <c r="AM38" s="4">
        <v>25</v>
      </c>
      <c r="AN38" s="4">
        <v>22</v>
      </c>
      <c r="AO38" s="4">
        <v>78</v>
      </c>
      <c r="AP38" s="4">
        <v>1</v>
      </c>
      <c r="AQ38" s="4">
        <v>27</v>
      </c>
      <c r="AR38" s="4">
        <v>1</v>
      </c>
      <c r="AS38" s="4">
        <v>22</v>
      </c>
      <c r="AT38" s="4">
        <v>20</v>
      </c>
      <c r="AU38" s="4">
        <v>25</v>
      </c>
      <c r="AV38" s="4">
        <v>88</v>
      </c>
      <c r="AW38" s="4">
        <v>67</v>
      </c>
      <c r="AX38" s="4">
        <v>92</v>
      </c>
      <c r="AY38" s="4">
        <v>6</v>
      </c>
      <c r="AZ38" s="4">
        <v>15</v>
      </c>
      <c r="BA38" s="4">
        <v>0</v>
      </c>
      <c r="BB38" s="4">
        <v>531</v>
      </c>
      <c r="BC38" s="4">
        <v>39</v>
      </c>
      <c r="BD38" s="4">
        <v>1</v>
      </c>
      <c r="BE38" s="4">
        <v>41</v>
      </c>
      <c r="BF38" s="4">
        <v>107</v>
      </c>
      <c r="BG38" s="4">
        <v>7</v>
      </c>
      <c r="BH38" s="4">
        <v>10</v>
      </c>
      <c r="BI38" s="4">
        <v>0</v>
      </c>
      <c r="BJ38" s="4">
        <v>174</v>
      </c>
      <c r="BK38" s="4">
        <v>89</v>
      </c>
      <c r="BL38" s="4">
        <v>0</v>
      </c>
      <c r="BM38" s="4">
        <v>9</v>
      </c>
      <c r="BN38" s="4">
        <v>52</v>
      </c>
      <c r="BO38" s="4">
        <v>1</v>
      </c>
      <c r="BP38" s="4">
        <v>19</v>
      </c>
      <c r="BQ38" s="4">
        <v>62</v>
      </c>
      <c r="BR38" s="4">
        <v>5</v>
      </c>
      <c r="BS38" s="4">
        <v>84</v>
      </c>
      <c r="BT38" s="4">
        <v>76</v>
      </c>
      <c r="BU38" s="4">
        <v>3</v>
      </c>
      <c r="BV38" s="4">
        <v>45</v>
      </c>
      <c r="BW38" s="4">
        <v>26</v>
      </c>
      <c r="BX38" s="4">
        <v>664</v>
      </c>
      <c r="BY38" s="4">
        <v>3</v>
      </c>
      <c r="BZ38" s="4">
        <v>0</v>
      </c>
      <c r="CA38" s="4">
        <v>696</v>
      </c>
      <c r="CB38" s="4">
        <v>16</v>
      </c>
      <c r="CC38" s="4">
        <v>0</v>
      </c>
      <c r="CD38" s="4">
        <v>2</v>
      </c>
      <c r="CE38" s="4">
        <v>1</v>
      </c>
      <c r="CF38" s="4">
        <v>5</v>
      </c>
      <c r="CG38" s="4">
        <v>11</v>
      </c>
      <c r="CH38" s="4">
        <v>2</v>
      </c>
      <c r="CI38" s="4">
        <v>9</v>
      </c>
      <c r="CJ38" s="4">
        <v>44</v>
      </c>
      <c r="CK38" s="4">
        <v>5</v>
      </c>
      <c r="CL38" s="4">
        <v>0</v>
      </c>
      <c r="CM38" s="4">
        <v>20</v>
      </c>
      <c r="CN38" s="4">
        <v>130</v>
      </c>
      <c r="CO38" s="4">
        <v>9</v>
      </c>
      <c r="CP38" s="4">
        <v>9</v>
      </c>
      <c r="CQ38" s="4">
        <v>0</v>
      </c>
      <c r="CR38" s="4">
        <v>20</v>
      </c>
      <c r="CS38" s="4">
        <v>13</v>
      </c>
      <c r="CT38" s="4">
        <v>16</v>
      </c>
      <c r="CU38" s="4">
        <v>4</v>
      </c>
      <c r="CV38" s="4">
        <v>70</v>
      </c>
      <c r="CW38" s="4">
        <v>32</v>
      </c>
      <c r="CX38" s="3">
        <v>32</v>
      </c>
    </row>
    <row r="39" spans="1:102" ht="15.75" x14ac:dyDescent="0.25">
      <c r="A39" s="4" t="s">
        <v>173</v>
      </c>
      <c r="B39" s="4" t="s">
        <v>174</v>
      </c>
      <c r="C39" s="4">
        <v>2018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3">
        <v>0</v>
      </c>
    </row>
    <row r="40" spans="1:102" ht="15.75" x14ac:dyDescent="0.25">
      <c r="A40" s="4" t="s">
        <v>175</v>
      </c>
      <c r="B40" s="4" t="s">
        <v>176</v>
      </c>
      <c r="C40" s="4">
        <v>2018</v>
      </c>
      <c r="D40" s="4">
        <v>29</v>
      </c>
      <c r="E40" s="4">
        <v>0</v>
      </c>
      <c r="F40" s="4">
        <v>1</v>
      </c>
      <c r="G40" s="4">
        <v>0</v>
      </c>
      <c r="H40" s="4">
        <v>0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</v>
      </c>
      <c r="AH40" s="4">
        <v>0</v>
      </c>
      <c r="AI40" s="4">
        <v>1</v>
      </c>
      <c r="AJ40" s="4">
        <v>0</v>
      </c>
      <c r="AK40" s="4">
        <v>2</v>
      </c>
      <c r="AL40" s="4">
        <v>0</v>
      </c>
      <c r="AM40" s="4">
        <v>6</v>
      </c>
      <c r="AN40" s="4">
        <v>0</v>
      </c>
      <c r="AO40" s="4">
        <v>2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1</v>
      </c>
      <c r="BK40" s="4">
        <v>1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7</v>
      </c>
      <c r="BX40" s="4">
        <v>3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3">
        <v>0</v>
      </c>
    </row>
    <row r="41" spans="1:102" ht="15.75" x14ac:dyDescent="0.25">
      <c r="A41" s="4" t="s">
        <v>177</v>
      </c>
      <c r="B41" s="4" t="s">
        <v>178</v>
      </c>
      <c r="C41" s="4">
        <v>2018</v>
      </c>
      <c r="D41" s="4">
        <v>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3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1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3">
        <v>0</v>
      </c>
    </row>
    <row r="42" spans="1:102" ht="15.75" x14ac:dyDescent="0.25">
      <c r="A42" s="4" t="s">
        <v>179</v>
      </c>
      <c r="B42" s="4" t="s">
        <v>180</v>
      </c>
      <c r="C42" s="4">
        <v>2018</v>
      </c>
      <c r="D42" s="4">
        <v>32</v>
      </c>
      <c r="E42" s="4">
        <v>0</v>
      </c>
      <c r="F42" s="4">
        <v>2</v>
      </c>
      <c r="G42" s="4">
        <v>2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1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3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</v>
      </c>
      <c r="AX42" s="4">
        <v>1</v>
      </c>
      <c r="AY42" s="4">
        <v>0</v>
      </c>
      <c r="AZ42" s="4">
        <v>0</v>
      </c>
      <c r="BA42" s="4">
        <v>0</v>
      </c>
      <c r="BB42" s="4">
        <v>1</v>
      </c>
      <c r="BC42" s="4">
        <v>0</v>
      </c>
      <c r="BD42" s="4">
        <v>0</v>
      </c>
      <c r="BE42" s="4">
        <v>2</v>
      </c>
      <c r="BF42" s="4">
        <v>2</v>
      </c>
      <c r="BG42" s="4">
        <v>0</v>
      </c>
      <c r="BH42" s="4">
        <v>0</v>
      </c>
      <c r="BI42" s="4">
        <v>0</v>
      </c>
      <c r="BJ42" s="4">
        <v>3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1</v>
      </c>
      <c r="BR42" s="4">
        <v>0</v>
      </c>
      <c r="BS42" s="4">
        <v>1</v>
      </c>
      <c r="BT42" s="4">
        <v>0</v>
      </c>
      <c r="BU42" s="4">
        <v>0</v>
      </c>
      <c r="BV42" s="4">
        <v>0</v>
      </c>
      <c r="BW42" s="4">
        <v>1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1</v>
      </c>
      <c r="CN42" s="4">
        <v>5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1</v>
      </c>
      <c r="CW42" s="4">
        <v>0</v>
      </c>
      <c r="CX42" s="3">
        <v>0</v>
      </c>
    </row>
    <row r="43" spans="1:102" ht="15.75" x14ac:dyDescent="0.25">
      <c r="A43" s="4" t="s">
        <v>181</v>
      </c>
      <c r="B43" s="4" t="s">
        <v>182</v>
      </c>
      <c r="C43" s="4">
        <v>2018</v>
      </c>
      <c r="D43" s="4">
        <v>7091</v>
      </c>
      <c r="E43" s="4">
        <v>1</v>
      </c>
      <c r="F43" s="4">
        <v>12</v>
      </c>
      <c r="G43" s="4">
        <v>3</v>
      </c>
      <c r="H43" s="4">
        <v>5</v>
      </c>
      <c r="I43" s="4">
        <v>11</v>
      </c>
      <c r="J43" s="4">
        <v>5</v>
      </c>
      <c r="K43" s="4">
        <v>4</v>
      </c>
      <c r="L43" s="4">
        <v>14</v>
      </c>
      <c r="M43" s="4">
        <v>5</v>
      </c>
      <c r="N43" s="4">
        <v>22</v>
      </c>
      <c r="O43" s="4">
        <v>123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3</v>
      </c>
      <c r="V43" s="4">
        <v>3</v>
      </c>
      <c r="W43" s="4">
        <v>32</v>
      </c>
      <c r="X43" s="4">
        <v>2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0</v>
      </c>
      <c r="AE43" s="4">
        <v>1</v>
      </c>
      <c r="AF43" s="4">
        <v>0</v>
      </c>
      <c r="AG43" s="4">
        <v>386</v>
      </c>
      <c r="AH43" s="4">
        <v>10</v>
      </c>
      <c r="AI43" s="4">
        <v>27</v>
      </c>
      <c r="AJ43" s="4">
        <v>411</v>
      </c>
      <c r="AK43" s="4">
        <v>113</v>
      </c>
      <c r="AL43" s="4">
        <v>1</v>
      </c>
      <c r="AM43" s="4">
        <v>32</v>
      </c>
      <c r="AN43" s="4">
        <v>50</v>
      </c>
      <c r="AO43" s="4">
        <v>99</v>
      </c>
      <c r="AP43" s="4">
        <v>1</v>
      </c>
      <c r="AQ43" s="4">
        <v>14</v>
      </c>
      <c r="AR43" s="4">
        <v>2</v>
      </c>
      <c r="AS43" s="4">
        <v>22</v>
      </c>
      <c r="AT43" s="4">
        <v>26</v>
      </c>
      <c r="AU43" s="4">
        <v>122</v>
      </c>
      <c r="AV43" s="4">
        <v>16</v>
      </c>
      <c r="AW43" s="4">
        <v>428</v>
      </c>
      <c r="AX43" s="4">
        <v>52</v>
      </c>
      <c r="AY43" s="4">
        <v>3</v>
      </c>
      <c r="AZ43" s="4">
        <v>19</v>
      </c>
      <c r="BA43" s="4">
        <v>0</v>
      </c>
      <c r="BB43" s="4">
        <v>175</v>
      </c>
      <c r="BC43" s="4">
        <v>7</v>
      </c>
      <c r="BD43" s="4">
        <v>0</v>
      </c>
      <c r="BE43" s="4">
        <v>16</v>
      </c>
      <c r="BF43" s="4">
        <v>47</v>
      </c>
      <c r="BG43" s="4">
        <v>11</v>
      </c>
      <c r="BH43" s="4">
        <v>4</v>
      </c>
      <c r="BI43" s="4">
        <v>1</v>
      </c>
      <c r="BJ43" s="4">
        <v>60</v>
      </c>
      <c r="BK43" s="4">
        <v>113</v>
      </c>
      <c r="BL43" s="4">
        <v>0</v>
      </c>
      <c r="BM43" s="4">
        <v>17</v>
      </c>
      <c r="BN43" s="4">
        <v>64</v>
      </c>
      <c r="BO43" s="4">
        <v>2</v>
      </c>
      <c r="BP43" s="4">
        <v>8</v>
      </c>
      <c r="BQ43" s="4">
        <v>121</v>
      </c>
      <c r="BR43" s="4">
        <v>4</v>
      </c>
      <c r="BS43" s="4">
        <v>117</v>
      </c>
      <c r="BT43" s="4">
        <v>52</v>
      </c>
      <c r="BU43" s="4">
        <v>15</v>
      </c>
      <c r="BV43" s="4">
        <v>28</v>
      </c>
      <c r="BW43" s="4">
        <v>9</v>
      </c>
      <c r="BX43" s="4">
        <v>420</v>
      </c>
      <c r="BY43" s="4">
        <v>3</v>
      </c>
      <c r="BZ43" s="4">
        <v>0</v>
      </c>
      <c r="CA43" s="4">
        <v>189</v>
      </c>
      <c r="CB43" s="4">
        <v>99</v>
      </c>
      <c r="CC43" s="4">
        <v>1</v>
      </c>
      <c r="CD43" s="4">
        <v>7</v>
      </c>
      <c r="CE43" s="4">
        <v>0</v>
      </c>
      <c r="CF43" s="4">
        <v>15</v>
      </c>
      <c r="CG43" s="4">
        <v>7</v>
      </c>
      <c r="CH43" s="4">
        <v>7</v>
      </c>
      <c r="CI43" s="4">
        <v>9</v>
      </c>
      <c r="CJ43" s="4">
        <v>66</v>
      </c>
      <c r="CK43" s="4">
        <v>8</v>
      </c>
      <c r="CL43" s="4">
        <v>0</v>
      </c>
      <c r="CM43" s="4">
        <v>22</v>
      </c>
      <c r="CN43" s="4">
        <v>153</v>
      </c>
      <c r="CO43" s="4">
        <v>217</v>
      </c>
      <c r="CP43" s="4">
        <v>11</v>
      </c>
      <c r="CQ43" s="4">
        <v>0</v>
      </c>
      <c r="CR43" s="4">
        <v>786</v>
      </c>
      <c r="CS43" s="4">
        <v>867</v>
      </c>
      <c r="CT43" s="4">
        <v>28</v>
      </c>
      <c r="CU43" s="4">
        <v>3</v>
      </c>
      <c r="CV43" s="4">
        <v>149</v>
      </c>
      <c r="CW43" s="4">
        <v>1074</v>
      </c>
      <c r="CX43" s="3">
        <v>1074</v>
      </c>
    </row>
    <row r="44" spans="1:102" ht="15.75" x14ac:dyDescent="0.25">
      <c r="A44" s="4" t="s">
        <v>183</v>
      </c>
      <c r="B44" s="4" t="s">
        <v>184</v>
      </c>
      <c r="C44" s="4">
        <v>2018</v>
      </c>
      <c r="D44" s="4">
        <v>96</v>
      </c>
      <c r="E44" s="4">
        <v>0</v>
      </c>
      <c r="F44" s="4">
        <v>4</v>
      </c>
      <c r="G44" s="4">
        <v>8</v>
      </c>
      <c r="H44" s="4">
        <v>0</v>
      </c>
      <c r="I44" s="4">
        <v>1</v>
      </c>
      <c r="J44" s="4">
        <v>1</v>
      </c>
      <c r="K44" s="4">
        <v>0</v>
      </c>
      <c r="L44" s="4">
        <v>0</v>
      </c>
      <c r="M44" s="4">
        <v>0</v>
      </c>
      <c r="N44" s="4">
        <v>1</v>
      </c>
      <c r="O44" s="4">
        <v>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2</v>
      </c>
      <c r="AH44" s="4">
        <v>0</v>
      </c>
      <c r="AI44" s="4">
        <v>1</v>
      </c>
      <c r="AJ44" s="4">
        <v>0</v>
      </c>
      <c r="AK44" s="4">
        <v>1</v>
      </c>
      <c r="AL44" s="4">
        <v>0</v>
      </c>
      <c r="AM44" s="4">
        <v>1</v>
      </c>
      <c r="AN44" s="4">
        <v>0</v>
      </c>
      <c r="AO44" s="4">
        <v>3</v>
      </c>
      <c r="AP44" s="4">
        <v>0</v>
      </c>
      <c r="AQ44" s="4">
        <v>1</v>
      </c>
      <c r="AR44" s="4">
        <v>0</v>
      </c>
      <c r="AS44" s="4">
        <v>0</v>
      </c>
      <c r="AT44" s="4">
        <v>0</v>
      </c>
      <c r="AU44" s="4">
        <v>2</v>
      </c>
      <c r="AV44" s="4">
        <v>4</v>
      </c>
      <c r="AW44" s="4">
        <v>0</v>
      </c>
      <c r="AX44" s="4">
        <v>5</v>
      </c>
      <c r="AY44" s="4">
        <v>0</v>
      </c>
      <c r="AZ44" s="4">
        <v>1</v>
      </c>
      <c r="BA44" s="4">
        <v>0</v>
      </c>
      <c r="BB44" s="4">
        <v>1</v>
      </c>
      <c r="BC44" s="4">
        <v>0</v>
      </c>
      <c r="BD44" s="4">
        <v>0</v>
      </c>
      <c r="BE44" s="4">
        <v>3</v>
      </c>
      <c r="BF44" s="4">
        <v>2</v>
      </c>
      <c r="BG44" s="4">
        <v>0</v>
      </c>
      <c r="BH44" s="4">
        <v>0</v>
      </c>
      <c r="BI44" s="4">
        <v>0</v>
      </c>
      <c r="BJ44" s="4">
        <v>4</v>
      </c>
      <c r="BK44" s="4">
        <v>12</v>
      </c>
      <c r="BL44" s="4">
        <v>0</v>
      </c>
      <c r="BM44" s="4">
        <v>0</v>
      </c>
      <c r="BN44" s="4">
        <v>1</v>
      </c>
      <c r="BO44" s="4">
        <v>0</v>
      </c>
      <c r="BP44" s="4">
        <v>0</v>
      </c>
      <c r="BQ44" s="4">
        <v>3</v>
      </c>
      <c r="BR44" s="4">
        <v>0</v>
      </c>
      <c r="BS44" s="4">
        <v>1</v>
      </c>
      <c r="BT44" s="4">
        <v>1</v>
      </c>
      <c r="BU44" s="4">
        <v>0</v>
      </c>
      <c r="BV44" s="4">
        <v>1</v>
      </c>
      <c r="BW44" s="4">
        <v>4</v>
      </c>
      <c r="BX44" s="4">
        <v>9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1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2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2</v>
      </c>
      <c r="CW44" s="4">
        <v>1</v>
      </c>
      <c r="CX44" s="3">
        <v>1</v>
      </c>
    </row>
    <row r="45" spans="1:102" ht="15.75" x14ac:dyDescent="0.25">
      <c r="A45" s="4" t="s">
        <v>185</v>
      </c>
      <c r="B45" s="4" t="s">
        <v>186</v>
      </c>
      <c r="C45" s="4">
        <v>2018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3">
        <v>0</v>
      </c>
    </row>
    <row r="46" spans="1:102" ht="15.75" x14ac:dyDescent="0.25">
      <c r="A46" s="4" t="s">
        <v>187</v>
      </c>
      <c r="B46" s="4" t="s">
        <v>188</v>
      </c>
      <c r="C46" s="4">
        <v>2018</v>
      </c>
      <c r="D46" s="4">
        <v>613</v>
      </c>
      <c r="E46" s="4">
        <v>0</v>
      </c>
      <c r="F46" s="4">
        <v>0</v>
      </c>
      <c r="G46" s="4">
        <v>1</v>
      </c>
      <c r="H46" s="4">
        <v>0</v>
      </c>
      <c r="I46" s="4">
        <v>1</v>
      </c>
      <c r="J46" s="4">
        <v>0</v>
      </c>
      <c r="K46" s="4">
        <v>0</v>
      </c>
      <c r="L46" s="4">
        <v>13</v>
      </c>
      <c r="M46" s="4">
        <v>8</v>
      </c>
      <c r="N46" s="4">
        <v>2</v>
      </c>
      <c r="O46" s="4">
        <v>37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3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3</v>
      </c>
      <c r="AH46" s="4">
        <v>1</v>
      </c>
      <c r="AI46" s="4">
        <v>3</v>
      </c>
      <c r="AJ46" s="4">
        <v>29</v>
      </c>
      <c r="AK46" s="4">
        <v>9</v>
      </c>
      <c r="AL46" s="4">
        <v>2</v>
      </c>
      <c r="AM46" s="4">
        <v>9</v>
      </c>
      <c r="AN46" s="4">
        <v>6</v>
      </c>
      <c r="AO46" s="4">
        <v>14</v>
      </c>
      <c r="AP46" s="4">
        <v>0</v>
      </c>
      <c r="AQ46" s="4">
        <v>2</v>
      </c>
      <c r="AR46" s="4">
        <v>0</v>
      </c>
      <c r="AS46" s="4">
        <v>5</v>
      </c>
      <c r="AT46" s="4">
        <v>2</v>
      </c>
      <c r="AU46" s="4">
        <v>4</v>
      </c>
      <c r="AV46" s="4">
        <v>2</v>
      </c>
      <c r="AW46" s="4">
        <v>4</v>
      </c>
      <c r="AX46" s="4">
        <v>8</v>
      </c>
      <c r="AY46" s="4">
        <v>0</v>
      </c>
      <c r="AZ46" s="4">
        <v>6</v>
      </c>
      <c r="BA46" s="4">
        <v>0</v>
      </c>
      <c r="BB46" s="4">
        <v>181</v>
      </c>
      <c r="BC46" s="4">
        <v>8</v>
      </c>
      <c r="BD46" s="4">
        <v>0</v>
      </c>
      <c r="BE46" s="4">
        <v>8</v>
      </c>
      <c r="BF46" s="4">
        <v>27</v>
      </c>
      <c r="BG46" s="4">
        <v>0</v>
      </c>
      <c r="BH46" s="4">
        <v>0</v>
      </c>
      <c r="BI46" s="4">
        <v>0</v>
      </c>
      <c r="BJ46" s="4">
        <v>12</v>
      </c>
      <c r="BK46" s="4">
        <v>18</v>
      </c>
      <c r="BL46" s="4">
        <v>0</v>
      </c>
      <c r="BM46" s="4">
        <v>1</v>
      </c>
      <c r="BN46" s="4">
        <v>1</v>
      </c>
      <c r="BO46" s="4">
        <v>0</v>
      </c>
      <c r="BP46" s="4">
        <v>1</v>
      </c>
      <c r="BQ46" s="4">
        <v>3</v>
      </c>
      <c r="BR46" s="4">
        <v>1</v>
      </c>
      <c r="BS46" s="4">
        <v>7</v>
      </c>
      <c r="BT46" s="4">
        <v>4</v>
      </c>
      <c r="BU46" s="4">
        <v>2</v>
      </c>
      <c r="BV46" s="4">
        <v>4</v>
      </c>
      <c r="BW46" s="4">
        <v>7</v>
      </c>
      <c r="BX46" s="4">
        <v>102</v>
      </c>
      <c r="BY46" s="4">
        <v>0</v>
      </c>
      <c r="BZ46" s="4">
        <v>0</v>
      </c>
      <c r="CA46" s="4">
        <v>3</v>
      </c>
      <c r="CB46" s="4">
        <v>2</v>
      </c>
      <c r="CC46" s="4">
        <v>0</v>
      </c>
      <c r="CD46" s="4">
        <v>0</v>
      </c>
      <c r="CE46" s="4">
        <v>0</v>
      </c>
      <c r="CF46" s="4">
        <v>1</v>
      </c>
      <c r="CG46" s="4">
        <v>1</v>
      </c>
      <c r="CH46" s="4">
        <v>0</v>
      </c>
      <c r="CI46" s="4">
        <v>0</v>
      </c>
      <c r="CJ46" s="4">
        <v>4</v>
      </c>
      <c r="CK46" s="4">
        <v>1</v>
      </c>
      <c r="CL46" s="4">
        <v>0</v>
      </c>
      <c r="CM46" s="4">
        <v>1</v>
      </c>
      <c r="CN46" s="4">
        <v>15</v>
      </c>
      <c r="CO46" s="4">
        <v>1</v>
      </c>
      <c r="CP46" s="4">
        <v>0</v>
      </c>
      <c r="CQ46" s="4">
        <v>0</v>
      </c>
      <c r="CR46" s="4">
        <v>2</v>
      </c>
      <c r="CS46" s="4">
        <v>0</v>
      </c>
      <c r="CT46" s="4">
        <v>2</v>
      </c>
      <c r="CU46" s="4">
        <v>4</v>
      </c>
      <c r="CV46" s="4">
        <v>10</v>
      </c>
      <c r="CW46" s="4">
        <v>3</v>
      </c>
      <c r="CX46" s="3">
        <v>3</v>
      </c>
    </row>
    <row r="47" spans="1:102" ht="15.75" x14ac:dyDescent="0.25">
      <c r="A47" s="4" t="s">
        <v>189</v>
      </c>
      <c r="B47" s="4" t="s">
        <v>190</v>
      </c>
      <c r="C47" s="4">
        <v>2018</v>
      </c>
      <c r="D47" s="4">
        <v>45</v>
      </c>
      <c r="E47" s="4">
        <v>0</v>
      </c>
      <c r="F47" s="4">
        <v>0</v>
      </c>
      <c r="G47" s="4">
        <v>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4">
        <v>0</v>
      </c>
      <c r="X47" s="4">
        <v>1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2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2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3</v>
      </c>
      <c r="AW47" s="4">
        <v>0</v>
      </c>
      <c r="AX47" s="4">
        <v>2</v>
      </c>
      <c r="AY47" s="4">
        <v>0</v>
      </c>
      <c r="AZ47" s="4">
        <v>0</v>
      </c>
      <c r="BA47" s="4">
        <v>0</v>
      </c>
      <c r="BB47" s="4">
        <v>1</v>
      </c>
      <c r="BC47" s="4">
        <v>0</v>
      </c>
      <c r="BD47" s="4">
        <v>0</v>
      </c>
      <c r="BE47" s="4">
        <v>2</v>
      </c>
      <c r="BF47" s="4">
        <v>2</v>
      </c>
      <c r="BG47" s="4">
        <v>0</v>
      </c>
      <c r="BH47" s="4">
        <v>0</v>
      </c>
      <c r="BI47" s="4">
        <v>0</v>
      </c>
      <c r="BJ47" s="4">
        <v>4</v>
      </c>
      <c r="BK47" s="4">
        <v>1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1</v>
      </c>
      <c r="BR47" s="4">
        <v>1</v>
      </c>
      <c r="BS47" s="4">
        <v>1</v>
      </c>
      <c r="BT47" s="4">
        <v>0</v>
      </c>
      <c r="BU47" s="4">
        <v>0</v>
      </c>
      <c r="BV47" s="4">
        <v>0</v>
      </c>
      <c r="BW47" s="4">
        <v>1</v>
      </c>
      <c r="BX47" s="4">
        <v>2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1</v>
      </c>
      <c r="CE47" s="4">
        <v>0</v>
      </c>
      <c r="CF47" s="4">
        <v>1</v>
      </c>
      <c r="CG47" s="4">
        <v>0</v>
      </c>
      <c r="CH47" s="4">
        <v>1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1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1</v>
      </c>
      <c r="CU47" s="4">
        <v>0</v>
      </c>
      <c r="CV47" s="4">
        <v>1</v>
      </c>
      <c r="CW47" s="4">
        <v>1</v>
      </c>
      <c r="CX47" s="3">
        <v>1</v>
      </c>
    </row>
    <row r="48" spans="1:102" ht="15.75" x14ac:dyDescent="0.25">
      <c r="A48" s="4" t="s">
        <v>191</v>
      </c>
      <c r="B48" s="4" t="s">
        <v>192</v>
      </c>
      <c r="C48" s="4">
        <v>2018</v>
      </c>
      <c r="D48" s="4">
        <v>18735</v>
      </c>
      <c r="E48" s="4">
        <v>0</v>
      </c>
      <c r="F48" s="4">
        <v>83</v>
      </c>
      <c r="G48" s="4">
        <v>86</v>
      </c>
      <c r="H48" s="4">
        <v>149</v>
      </c>
      <c r="I48" s="4">
        <v>8</v>
      </c>
      <c r="J48" s="4">
        <v>7</v>
      </c>
      <c r="K48" s="4">
        <v>2</v>
      </c>
      <c r="L48" s="4">
        <v>16</v>
      </c>
      <c r="M48" s="4">
        <v>34</v>
      </c>
      <c r="N48" s="4">
        <v>103</v>
      </c>
      <c r="O48" s="4">
        <v>183</v>
      </c>
      <c r="P48" s="4">
        <v>42</v>
      </c>
      <c r="Q48" s="4">
        <v>0</v>
      </c>
      <c r="R48" s="4">
        <v>14</v>
      </c>
      <c r="S48" s="4">
        <v>0</v>
      </c>
      <c r="T48" s="4">
        <v>261</v>
      </c>
      <c r="U48" s="4">
        <v>67</v>
      </c>
      <c r="V48" s="4">
        <v>15</v>
      </c>
      <c r="W48" s="4">
        <v>522</v>
      </c>
      <c r="X48" s="4">
        <v>5</v>
      </c>
      <c r="Y48" s="4">
        <v>0</v>
      </c>
      <c r="Z48" s="4">
        <v>4884</v>
      </c>
      <c r="AA48" s="4">
        <v>303</v>
      </c>
      <c r="AB48" s="4">
        <v>0</v>
      </c>
      <c r="AC48" s="4">
        <v>0</v>
      </c>
      <c r="AD48" s="4">
        <v>7</v>
      </c>
      <c r="AE48" s="4">
        <v>7</v>
      </c>
      <c r="AF48" s="4">
        <v>0</v>
      </c>
      <c r="AG48" s="4">
        <v>264</v>
      </c>
      <c r="AH48" s="4">
        <v>44</v>
      </c>
      <c r="AI48" s="4">
        <v>85</v>
      </c>
      <c r="AJ48" s="4">
        <v>1113</v>
      </c>
      <c r="AK48" s="4">
        <v>87</v>
      </c>
      <c r="AL48" s="4">
        <v>11</v>
      </c>
      <c r="AM48" s="4">
        <v>91</v>
      </c>
      <c r="AN48" s="4">
        <v>121</v>
      </c>
      <c r="AO48" s="4">
        <v>229</v>
      </c>
      <c r="AP48" s="4">
        <v>4</v>
      </c>
      <c r="AQ48" s="4">
        <v>70</v>
      </c>
      <c r="AR48" s="4">
        <v>2</v>
      </c>
      <c r="AS48" s="4">
        <v>28</v>
      </c>
      <c r="AT48" s="4">
        <v>77</v>
      </c>
      <c r="AU48" s="4">
        <v>82</v>
      </c>
      <c r="AV48" s="4">
        <v>63</v>
      </c>
      <c r="AW48" s="4">
        <v>357</v>
      </c>
      <c r="AX48" s="4">
        <v>174</v>
      </c>
      <c r="AY48" s="4">
        <v>14</v>
      </c>
      <c r="AZ48" s="4">
        <v>79</v>
      </c>
      <c r="BA48" s="4">
        <v>0</v>
      </c>
      <c r="BB48" s="4">
        <v>499</v>
      </c>
      <c r="BC48" s="4">
        <v>241</v>
      </c>
      <c r="BD48" s="4">
        <v>0</v>
      </c>
      <c r="BE48" s="4">
        <v>76</v>
      </c>
      <c r="BF48" s="4">
        <v>235</v>
      </c>
      <c r="BG48" s="4">
        <v>27</v>
      </c>
      <c r="BH48" s="4">
        <v>50</v>
      </c>
      <c r="BI48" s="4">
        <v>1</v>
      </c>
      <c r="BJ48" s="4">
        <v>310</v>
      </c>
      <c r="BK48" s="4">
        <v>291</v>
      </c>
      <c r="BL48" s="4">
        <v>0</v>
      </c>
      <c r="BM48" s="4">
        <v>19</v>
      </c>
      <c r="BN48" s="4">
        <v>63</v>
      </c>
      <c r="BO48" s="4">
        <v>1</v>
      </c>
      <c r="BP48" s="4">
        <v>33</v>
      </c>
      <c r="BQ48" s="4">
        <v>92</v>
      </c>
      <c r="BR48" s="4">
        <v>5</v>
      </c>
      <c r="BS48" s="4">
        <v>555</v>
      </c>
      <c r="BT48" s="4">
        <v>200</v>
      </c>
      <c r="BU48" s="4">
        <v>1</v>
      </c>
      <c r="BV48" s="4">
        <v>391</v>
      </c>
      <c r="BW48" s="4">
        <v>8</v>
      </c>
      <c r="BX48" s="4">
        <v>3642</v>
      </c>
      <c r="BY48" s="4">
        <v>39</v>
      </c>
      <c r="BZ48" s="4">
        <v>2</v>
      </c>
      <c r="CA48" s="4">
        <v>199</v>
      </c>
      <c r="CB48" s="4">
        <v>402</v>
      </c>
      <c r="CC48" s="4">
        <v>0</v>
      </c>
      <c r="CD48" s="4">
        <v>7</v>
      </c>
      <c r="CE48" s="4">
        <v>1</v>
      </c>
      <c r="CF48" s="4">
        <v>12</v>
      </c>
      <c r="CG48" s="4">
        <v>101</v>
      </c>
      <c r="CH48" s="4">
        <v>3</v>
      </c>
      <c r="CI48" s="4">
        <v>6</v>
      </c>
      <c r="CJ48" s="4">
        <v>29</v>
      </c>
      <c r="CK48" s="4">
        <v>14</v>
      </c>
      <c r="CL48" s="4">
        <v>0</v>
      </c>
      <c r="CM48" s="4">
        <v>54</v>
      </c>
      <c r="CN48" s="4">
        <v>593</v>
      </c>
      <c r="CO48" s="4">
        <v>39</v>
      </c>
      <c r="CP48" s="4">
        <v>12</v>
      </c>
      <c r="CQ48" s="4">
        <v>0</v>
      </c>
      <c r="CR48" s="4">
        <v>67</v>
      </c>
      <c r="CS48" s="4">
        <v>20</v>
      </c>
      <c r="CT48" s="4">
        <v>29</v>
      </c>
      <c r="CU48" s="4">
        <v>20</v>
      </c>
      <c r="CV48" s="4">
        <v>153</v>
      </c>
      <c r="CW48" s="4">
        <v>405</v>
      </c>
      <c r="CX48" s="3">
        <v>405</v>
      </c>
    </row>
    <row r="49" spans="1:102" ht="15.75" x14ac:dyDescent="0.25">
      <c r="A49" s="4" t="s">
        <v>193</v>
      </c>
      <c r="B49" s="4" t="s">
        <v>194</v>
      </c>
      <c r="C49" s="4">
        <v>2018</v>
      </c>
      <c r="D49" s="4">
        <v>414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</v>
      </c>
      <c r="M49" s="4">
        <v>12</v>
      </c>
      <c r="N49" s="4">
        <v>2</v>
      </c>
      <c r="O49" s="4">
        <v>35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2</v>
      </c>
      <c r="W49" s="4">
        <v>0</v>
      </c>
      <c r="X49" s="4">
        <v>0</v>
      </c>
      <c r="Y49" s="4">
        <v>0</v>
      </c>
      <c r="Z49" s="4">
        <v>0</v>
      </c>
      <c r="AA49" s="4">
        <v>92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11</v>
      </c>
      <c r="AH49" s="4">
        <v>1</v>
      </c>
      <c r="AI49" s="4">
        <v>5</v>
      </c>
      <c r="AJ49" s="4">
        <v>40</v>
      </c>
      <c r="AK49" s="4">
        <v>12</v>
      </c>
      <c r="AL49" s="4">
        <v>2</v>
      </c>
      <c r="AM49" s="4">
        <v>4</v>
      </c>
      <c r="AN49" s="4">
        <v>2</v>
      </c>
      <c r="AO49" s="4">
        <v>22</v>
      </c>
      <c r="AP49" s="4">
        <v>0</v>
      </c>
      <c r="AQ49" s="4">
        <v>1</v>
      </c>
      <c r="AR49" s="4">
        <v>0</v>
      </c>
      <c r="AS49" s="4">
        <v>2</v>
      </c>
      <c r="AT49" s="4">
        <v>1</v>
      </c>
      <c r="AU49" s="4">
        <v>1</v>
      </c>
      <c r="AV49" s="4">
        <v>2</v>
      </c>
      <c r="AW49" s="4">
        <v>1</v>
      </c>
      <c r="AX49" s="4">
        <v>4</v>
      </c>
      <c r="AY49" s="4">
        <v>0</v>
      </c>
      <c r="AZ49" s="4">
        <v>4</v>
      </c>
      <c r="BA49" s="4">
        <v>0</v>
      </c>
      <c r="BB49" s="4">
        <v>39</v>
      </c>
      <c r="BC49" s="4">
        <v>3</v>
      </c>
      <c r="BD49" s="4">
        <v>0</v>
      </c>
      <c r="BE49" s="4">
        <v>5</v>
      </c>
      <c r="BF49" s="4">
        <v>6</v>
      </c>
      <c r="BG49" s="4">
        <v>0</v>
      </c>
      <c r="BH49" s="4">
        <v>0</v>
      </c>
      <c r="BI49" s="4">
        <v>0</v>
      </c>
      <c r="BJ49" s="4">
        <v>3</v>
      </c>
      <c r="BK49" s="4">
        <v>6</v>
      </c>
      <c r="BL49" s="4">
        <v>0</v>
      </c>
      <c r="BM49" s="4">
        <v>1</v>
      </c>
      <c r="BN49" s="4">
        <v>1</v>
      </c>
      <c r="BO49" s="4">
        <v>0</v>
      </c>
      <c r="BP49" s="4">
        <v>0</v>
      </c>
      <c r="BQ49" s="4">
        <v>1</v>
      </c>
      <c r="BR49" s="4">
        <v>0</v>
      </c>
      <c r="BS49" s="4">
        <v>3</v>
      </c>
      <c r="BT49" s="4">
        <v>6</v>
      </c>
      <c r="BU49" s="4">
        <v>0</v>
      </c>
      <c r="BV49" s="4">
        <v>4</v>
      </c>
      <c r="BW49" s="4">
        <v>0</v>
      </c>
      <c r="BX49" s="4">
        <v>43</v>
      </c>
      <c r="BY49" s="4">
        <v>0</v>
      </c>
      <c r="BZ49" s="4">
        <v>0</v>
      </c>
      <c r="CA49" s="4">
        <v>2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7</v>
      </c>
      <c r="CN49" s="4">
        <v>11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4</v>
      </c>
      <c r="CU49" s="4">
        <v>0</v>
      </c>
      <c r="CV49" s="4">
        <v>6</v>
      </c>
      <c r="CW49" s="4">
        <v>1</v>
      </c>
      <c r="CX49" s="3">
        <v>1</v>
      </c>
    </row>
    <row r="50" spans="1:102" ht="15.75" x14ac:dyDescent="0.25">
      <c r="A50" s="4" t="s">
        <v>195</v>
      </c>
      <c r="B50" s="4" t="s">
        <v>196</v>
      </c>
      <c r="C50" s="4">
        <v>2018</v>
      </c>
      <c r="D50" s="4">
        <v>70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1</v>
      </c>
      <c r="M50" s="4">
        <v>0</v>
      </c>
      <c r="N50" s="4">
        <v>0</v>
      </c>
      <c r="O50" s="4">
        <v>2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  <c r="AJ50" s="4">
        <v>1</v>
      </c>
      <c r="AK50" s="4">
        <v>2</v>
      </c>
      <c r="AL50" s="4">
        <v>1</v>
      </c>
      <c r="AM50" s="4">
        <v>1</v>
      </c>
      <c r="AN50" s="4">
        <v>2</v>
      </c>
      <c r="AO50" s="4">
        <v>4</v>
      </c>
      <c r="AP50" s="4">
        <v>0</v>
      </c>
      <c r="AQ50" s="4">
        <v>0</v>
      </c>
      <c r="AR50" s="4">
        <v>0</v>
      </c>
      <c r="AS50" s="4">
        <v>0</v>
      </c>
      <c r="AT50" s="4">
        <v>1</v>
      </c>
      <c r="AU50" s="4">
        <v>0</v>
      </c>
      <c r="AV50" s="4">
        <v>0</v>
      </c>
      <c r="AW50" s="4">
        <v>1</v>
      </c>
      <c r="AX50" s="4">
        <v>3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1</v>
      </c>
      <c r="BF50" s="4">
        <v>5</v>
      </c>
      <c r="BG50" s="4">
        <v>0</v>
      </c>
      <c r="BH50" s="4">
        <v>0</v>
      </c>
      <c r="BI50" s="4">
        <v>0</v>
      </c>
      <c r="BJ50" s="4">
        <v>1</v>
      </c>
      <c r="BK50" s="4">
        <v>2</v>
      </c>
      <c r="BL50" s="4">
        <v>0</v>
      </c>
      <c r="BM50" s="4">
        <v>0</v>
      </c>
      <c r="BN50" s="4">
        <v>2</v>
      </c>
      <c r="BO50" s="4">
        <v>0</v>
      </c>
      <c r="BP50" s="4">
        <v>0</v>
      </c>
      <c r="BQ50" s="4">
        <v>1</v>
      </c>
      <c r="BR50" s="4">
        <v>0</v>
      </c>
      <c r="BS50" s="4">
        <v>1</v>
      </c>
      <c r="BT50" s="4">
        <v>0</v>
      </c>
      <c r="BU50" s="4">
        <v>0</v>
      </c>
      <c r="BV50" s="4">
        <v>1</v>
      </c>
      <c r="BW50" s="4">
        <v>0</v>
      </c>
      <c r="BX50" s="4">
        <v>25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1</v>
      </c>
      <c r="CN50" s="4">
        <v>1</v>
      </c>
      <c r="CO50" s="4">
        <v>0</v>
      </c>
      <c r="CP50" s="4">
        <v>2</v>
      </c>
      <c r="CQ50" s="4">
        <v>0</v>
      </c>
      <c r="CR50" s="4">
        <v>0</v>
      </c>
      <c r="CS50" s="4">
        <v>0</v>
      </c>
      <c r="CT50" s="4">
        <v>2</v>
      </c>
      <c r="CU50" s="4">
        <v>0</v>
      </c>
      <c r="CV50" s="4">
        <v>1</v>
      </c>
      <c r="CW50" s="4">
        <v>1</v>
      </c>
      <c r="CX50" s="3">
        <v>1</v>
      </c>
    </row>
    <row r="51" spans="1:102" ht="15.75" x14ac:dyDescent="0.25">
      <c r="A51" s="4" t="s">
        <v>197</v>
      </c>
      <c r="B51" s="4" t="s">
        <v>198</v>
      </c>
      <c r="C51" s="4">
        <v>2018</v>
      </c>
      <c r="D51" s="4">
        <v>12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</v>
      </c>
      <c r="AS51" s="4">
        <v>1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1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1</v>
      </c>
      <c r="CU51" s="4">
        <v>0</v>
      </c>
      <c r="CV51" s="4">
        <v>1</v>
      </c>
      <c r="CW51" s="4">
        <v>0</v>
      </c>
      <c r="CX51" s="3">
        <v>0</v>
      </c>
    </row>
    <row r="52" spans="1:102" ht="15.75" x14ac:dyDescent="0.25">
      <c r="A52" s="4" t="s">
        <v>199</v>
      </c>
      <c r="B52" s="4" t="s">
        <v>200</v>
      </c>
      <c r="C52" s="4">
        <v>2018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3">
        <v>0</v>
      </c>
    </row>
    <row r="53" spans="1:102" ht="15.75" x14ac:dyDescent="0.25">
      <c r="A53" s="4" t="s">
        <v>201</v>
      </c>
      <c r="B53" s="4" t="s">
        <v>202</v>
      </c>
      <c r="C53" s="4">
        <v>2018</v>
      </c>
      <c r="D53" s="4">
        <v>13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6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1</v>
      </c>
      <c r="BU53" s="4">
        <v>0</v>
      </c>
      <c r="BV53" s="4">
        <v>0</v>
      </c>
      <c r="BW53" s="4">
        <v>0</v>
      </c>
      <c r="BX53" s="4">
        <v>1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3">
        <v>0</v>
      </c>
    </row>
    <row r="54" spans="1:102" ht="15.75" x14ac:dyDescent="0.25">
      <c r="A54" s="4" t="s">
        <v>203</v>
      </c>
      <c r="B54" s="4" t="s">
        <v>204</v>
      </c>
      <c r="C54" s="4">
        <v>2018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3">
        <v>0</v>
      </c>
    </row>
    <row r="55" spans="1:102" ht="15.75" x14ac:dyDescent="0.25">
      <c r="A55" s="4" t="s">
        <v>205</v>
      </c>
      <c r="B55" s="4" t="s">
        <v>206</v>
      </c>
      <c r="C55" s="4">
        <v>2018</v>
      </c>
      <c r="D55" s="4">
        <v>398</v>
      </c>
      <c r="E55" s="4">
        <v>0</v>
      </c>
      <c r="F55" s="4">
        <v>4</v>
      </c>
      <c r="G55" s="4">
        <v>5</v>
      </c>
      <c r="H55" s="4">
        <v>3</v>
      </c>
      <c r="I55" s="4">
        <v>14</v>
      </c>
      <c r="J55" s="4">
        <v>4</v>
      </c>
      <c r="K55" s="4">
        <v>2</v>
      </c>
      <c r="L55" s="4">
        <v>7</v>
      </c>
      <c r="M55" s="4">
        <v>5</v>
      </c>
      <c r="N55" s="4">
        <v>12</v>
      </c>
      <c r="O55" s="4">
        <v>25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12</v>
      </c>
      <c r="AB55" s="4">
        <v>0</v>
      </c>
      <c r="AC55" s="4">
        <v>0</v>
      </c>
      <c r="AD55" s="4">
        <v>0</v>
      </c>
      <c r="AE55" s="4">
        <v>1</v>
      </c>
      <c r="AF55" s="4">
        <v>0</v>
      </c>
      <c r="AG55" s="4">
        <v>1</v>
      </c>
      <c r="AH55" s="4">
        <v>1</v>
      </c>
      <c r="AI55" s="4">
        <v>3</v>
      </c>
      <c r="AJ55" s="4">
        <v>16</v>
      </c>
      <c r="AK55" s="4">
        <v>11</v>
      </c>
      <c r="AL55" s="4">
        <v>0</v>
      </c>
      <c r="AM55" s="4">
        <v>1</v>
      </c>
      <c r="AN55" s="4">
        <v>2</v>
      </c>
      <c r="AO55" s="4">
        <v>4</v>
      </c>
      <c r="AP55" s="4">
        <v>0</v>
      </c>
      <c r="AQ55" s="4">
        <v>1</v>
      </c>
      <c r="AR55" s="4">
        <v>0</v>
      </c>
      <c r="AS55" s="4">
        <v>3</v>
      </c>
      <c r="AT55" s="4">
        <v>3</v>
      </c>
      <c r="AU55" s="4">
        <v>2</v>
      </c>
      <c r="AV55" s="4">
        <v>1</v>
      </c>
      <c r="AW55" s="4">
        <v>2</v>
      </c>
      <c r="AX55" s="4">
        <v>6</v>
      </c>
      <c r="AY55" s="4">
        <v>0</v>
      </c>
      <c r="AZ55" s="4">
        <v>1</v>
      </c>
      <c r="BA55" s="4">
        <v>0</v>
      </c>
      <c r="BB55" s="4">
        <v>2</v>
      </c>
      <c r="BC55" s="4">
        <v>1</v>
      </c>
      <c r="BD55" s="4">
        <v>0</v>
      </c>
      <c r="BE55" s="4">
        <v>2</v>
      </c>
      <c r="BF55" s="4">
        <v>6</v>
      </c>
      <c r="BG55" s="4">
        <v>0</v>
      </c>
      <c r="BH55" s="4">
        <v>0</v>
      </c>
      <c r="BI55" s="4">
        <v>0</v>
      </c>
      <c r="BJ55" s="4">
        <v>4</v>
      </c>
      <c r="BK55" s="4">
        <v>8</v>
      </c>
      <c r="BL55" s="4">
        <v>0</v>
      </c>
      <c r="BM55" s="4">
        <v>1</v>
      </c>
      <c r="BN55" s="4">
        <v>4</v>
      </c>
      <c r="BO55" s="4">
        <v>0</v>
      </c>
      <c r="BP55" s="4">
        <v>0</v>
      </c>
      <c r="BQ55" s="4">
        <v>10</v>
      </c>
      <c r="BR55" s="4">
        <v>3</v>
      </c>
      <c r="BS55" s="4">
        <v>10</v>
      </c>
      <c r="BT55" s="4">
        <v>5</v>
      </c>
      <c r="BU55" s="4">
        <v>0</v>
      </c>
      <c r="BV55" s="4">
        <v>8</v>
      </c>
      <c r="BW55" s="4">
        <v>19</v>
      </c>
      <c r="BX55" s="4">
        <v>69</v>
      </c>
      <c r="BY55" s="4">
        <v>0</v>
      </c>
      <c r="BZ55" s="4">
        <v>0</v>
      </c>
      <c r="CA55" s="4">
        <v>3</v>
      </c>
      <c r="CB55" s="4">
        <v>14</v>
      </c>
      <c r="CC55" s="4">
        <v>0</v>
      </c>
      <c r="CD55" s="4">
        <v>1</v>
      </c>
      <c r="CE55" s="4">
        <v>0</v>
      </c>
      <c r="CF55" s="4">
        <v>1</v>
      </c>
      <c r="CG55" s="4">
        <v>0</v>
      </c>
      <c r="CH55" s="4">
        <v>1</v>
      </c>
      <c r="CI55" s="4">
        <v>2</v>
      </c>
      <c r="CJ55" s="4">
        <v>34</v>
      </c>
      <c r="CK55" s="4">
        <v>5</v>
      </c>
      <c r="CL55" s="4">
        <v>0</v>
      </c>
      <c r="CM55" s="4">
        <v>1</v>
      </c>
      <c r="CN55" s="4">
        <v>3</v>
      </c>
      <c r="CO55" s="4">
        <v>6</v>
      </c>
      <c r="CP55" s="4">
        <v>0</v>
      </c>
      <c r="CQ55" s="4">
        <v>0</v>
      </c>
      <c r="CR55" s="4">
        <v>0</v>
      </c>
      <c r="CS55" s="4">
        <v>1</v>
      </c>
      <c r="CT55" s="4">
        <v>2</v>
      </c>
      <c r="CU55" s="4">
        <v>3</v>
      </c>
      <c r="CV55" s="4">
        <v>16</v>
      </c>
      <c r="CW55" s="4">
        <v>0</v>
      </c>
      <c r="CX55" s="3">
        <v>0</v>
      </c>
    </row>
    <row r="56" spans="1:102" ht="15.75" x14ac:dyDescent="0.25">
      <c r="A56" s="4" t="s">
        <v>207</v>
      </c>
      <c r="B56" s="4" t="s">
        <v>208</v>
      </c>
      <c r="C56" s="4">
        <v>2018</v>
      </c>
      <c r="D56" s="4">
        <v>2373</v>
      </c>
      <c r="E56" s="4">
        <v>0</v>
      </c>
      <c r="F56" s="4">
        <v>7</v>
      </c>
      <c r="G56" s="4">
        <v>6</v>
      </c>
      <c r="H56" s="4">
        <v>2</v>
      </c>
      <c r="I56" s="4">
        <v>8</v>
      </c>
      <c r="J56" s="4">
        <v>8</v>
      </c>
      <c r="K56" s="4">
        <v>4</v>
      </c>
      <c r="L56" s="4">
        <v>37</v>
      </c>
      <c r="M56" s="4">
        <v>15</v>
      </c>
      <c r="N56" s="4">
        <v>15</v>
      </c>
      <c r="O56" s="4">
        <v>89</v>
      </c>
      <c r="P56" s="4">
        <v>1</v>
      </c>
      <c r="Q56" s="4">
        <v>9</v>
      </c>
      <c r="R56" s="4">
        <v>0</v>
      </c>
      <c r="S56" s="4">
        <v>0</v>
      </c>
      <c r="T56" s="4">
        <v>0</v>
      </c>
      <c r="U56" s="4">
        <v>10</v>
      </c>
      <c r="V56" s="4">
        <v>2</v>
      </c>
      <c r="W56" s="4">
        <v>2</v>
      </c>
      <c r="X56" s="4">
        <v>2</v>
      </c>
      <c r="Y56" s="4">
        <v>0</v>
      </c>
      <c r="Z56" s="4">
        <v>0</v>
      </c>
      <c r="AA56" s="4">
        <v>13</v>
      </c>
      <c r="AB56" s="4">
        <v>0</v>
      </c>
      <c r="AC56" s="4">
        <v>0</v>
      </c>
      <c r="AD56" s="4">
        <v>1</v>
      </c>
      <c r="AE56" s="4">
        <v>1</v>
      </c>
      <c r="AF56" s="4">
        <v>0</v>
      </c>
      <c r="AG56" s="4">
        <v>19</v>
      </c>
      <c r="AH56" s="4">
        <v>14</v>
      </c>
      <c r="AI56" s="4">
        <v>22</v>
      </c>
      <c r="AJ56" s="4">
        <v>135</v>
      </c>
      <c r="AK56" s="4">
        <v>64</v>
      </c>
      <c r="AL56" s="4">
        <v>2</v>
      </c>
      <c r="AM56" s="4">
        <v>52</v>
      </c>
      <c r="AN56" s="4">
        <v>53</v>
      </c>
      <c r="AO56" s="4">
        <v>88</v>
      </c>
      <c r="AP56" s="4">
        <v>14</v>
      </c>
      <c r="AQ56" s="4">
        <v>21</v>
      </c>
      <c r="AR56" s="4">
        <v>1</v>
      </c>
      <c r="AS56" s="4">
        <v>22</v>
      </c>
      <c r="AT56" s="4">
        <v>49</v>
      </c>
      <c r="AU56" s="4">
        <v>22</v>
      </c>
      <c r="AV56" s="4">
        <v>62</v>
      </c>
      <c r="AW56" s="4">
        <v>46</v>
      </c>
      <c r="AX56" s="4">
        <v>94</v>
      </c>
      <c r="AY56" s="4">
        <v>1</v>
      </c>
      <c r="AZ56" s="4">
        <v>5</v>
      </c>
      <c r="BA56" s="4">
        <v>0</v>
      </c>
      <c r="BB56" s="4">
        <v>16</v>
      </c>
      <c r="BC56" s="4">
        <v>9</v>
      </c>
      <c r="BD56" s="4">
        <v>3</v>
      </c>
      <c r="BE56" s="4">
        <v>29</v>
      </c>
      <c r="BF56" s="4">
        <v>71</v>
      </c>
      <c r="BG56" s="4">
        <v>6</v>
      </c>
      <c r="BH56" s="4">
        <v>7</v>
      </c>
      <c r="BI56" s="4">
        <v>1</v>
      </c>
      <c r="BJ56" s="4">
        <v>71</v>
      </c>
      <c r="BK56" s="4">
        <v>123</v>
      </c>
      <c r="BL56" s="4">
        <v>0</v>
      </c>
      <c r="BM56" s="4">
        <v>26</v>
      </c>
      <c r="BN56" s="4">
        <v>73</v>
      </c>
      <c r="BO56" s="4">
        <v>1</v>
      </c>
      <c r="BP56" s="4">
        <v>9</v>
      </c>
      <c r="BQ56" s="4">
        <v>71</v>
      </c>
      <c r="BR56" s="4">
        <v>7</v>
      </c>
      <c r="BS56" s="4">
        <v>156</v>
      </c>
      <c r="BT56" s="4">
        <v>67</v>
      </c>
      <c r="BU56" s="4">
        <v>4</v>
      </c>
      <c r="BV56" s="4">
        <v>105</v>
      </c>
      <c r="BW56" s="4">
        <v>19</v>
      </c>
      <c r="BX56" s="4">
        <v>72</v>
      </c>
      <c r="BY56" s="4">
        <v>2</v>
      </c>
      <c r="BZ56" s="4">
        <v>0</v>
      </c>
      <c r="CA56" s="4">
        <v>9</v>
      </c>
      <c r="CB56" s="4">
        <v>1</v>
      </c>
      <c r="CC56" s="4">
        <v>0</v>
      </c>
      <c r="CD56" s="4">
        <v>3</v>
      </c>
      <c r="CE56" s="4">
        <v>0</v>
      </c>
      <c r="CF56" s="4">
        <v>5</v>
      </c>
      <c r="CG56" s="4">
        <v>2</v>
      </c>
      <c r="CH56" s="4">
        <v>17</v>
      </c>
      <c r="CI56" s="4">
        <v>8</v>
      </c>
      <c r="CJ56" s="4">
        <v>74</v>
      </c>
      <c r="CK56" s="4">
        <v>21</v>
      </c>
      <c r="CL56" s="4">
        <v>1</v>
      </c>
      <c r="CM56" s="4">
        <v>12</v>
      </c>
      <c r="CN56" s="4">
        <v>58</v>
      </c>
      <c r="CO56" s="4">
        <v>8</v>
      </c>
      <c r="CP56" s="4">
        <v>7</v>
      </c>
      <c r="CQ56" s="4">
        <v>0</v>
      </c>
      <c r="CR56" s="4">
        <v>0</v>
      </c>
      <c r="CS56" s="4">
        <v>18</v>
      </c>
      <c r="CT56" s="4">
        <v>27</v>
      </c>
      <c r="CU56" s="4">
        <v>6</v>
      </c>
      <c r="CV56" s="4">
        <v>124</v>
      </c>
      <c r="CW56" s="4">
        <v>3</v>
      </c>
      <c r="CX56" s="3">
        <v>3</v>
      </c>
    </row>
    <row r="57" spans="1:102" ht="15.75" x14ac:dyDescent="0.25">
      <c r="A57" s="4" t="s">
        <v>209</v>
      </c>
      <c r="B57" s="4" t="s">
        <v>210</v>
      </c>
      <c r="C57" s="4">
        <v>2018</v>
      </c>
      <c r="D57" s="4">
        <v>36469</v>
      </c>
      <c r="E57" s="4">
        <v>16</v>
      </c>
      <c r="F57" s="4">
        <v>158</v>
      </c>
      <c r="G57" s="4">
        <v>96</v>
      </c>
      <c r="H57" s="4">
        <v>62</v>
      </c>
      <c r="I57" s="4">
        <v>94</v>
      </c>
      <c r="J57" s="4">
        <v>67</v>
      </c>
      <c r="K57" s="4">
        <v>33</v>
      </c>
      <c r="L57" s="4">
        <v>114</v>
      </c>
      <c r="M57" s="4">
        <v>106</v>
      </c>
      <c r="N57" s="4">
        <v>245</v>
      </c>
      <c r="O57" s="4">
        <v>627</v>
      </c>
      <c r="P57" s="4">
        <v>3</v>
      </c>
      <c r="Q57" s="4">
        <v>27</v>
      </c>
      <c r="R57" s="4">
        <v>13</v>
      </c>
      <c r="S57" s="4">
        <v>4</v>
      </c>
      <c r="T57" s="4">
        <v>36</v>
      </c>
      <c r="U57" s="4">
        <v>20</v>
      </c>
      <c r="V57" s="4">
        <v>61</v>
      </c>
      <c r="W57" s="4">
        <v>282</v>
      </c>
      <c r="X57" s="4">
        <v>36</v>
      </c>
      <c r="Y57" s="4">
        <v>1</v>
      </c>
      <c r="Z57" s="4">
        <v>2219</v>
      </c>
      <c r="AA57" s="4">
        <v>356</v>
      </c>
      <c r="AB57" s="4">
        <v>55</v>
      </c>
      <c r="AC57" s="4">
        <v>0</v>
      </c>
      <c r="AD57" s="4">
        <v>6</v>
      </c>
      <c r="AE57" s="4">
        <v>35</v>
      </c>
      <c r="AF57" s="4">
        <v>12</v>
      </c>
      <c r="AG57" s="4">
        <v>799</v>
      </c>
      <c r="AH57" s="4">
        <v>186</v>
      </c>
      <c r="AI57" s="4">
        <v>266</v>
      </c>
      <c r="AJ57" s="4">
        <v>3034</v>
      </c>
      <c r="AK57" s="4">
        <v>445</v>
      </c>
      <c r="AL57" s="4">
        <v>8</v>
      </c>
      <c r="AM57" s="4">
        <v>568</v>
      </c>
      <c r="AN57" s="4">
        <v>405</v>
      </c>
      <c r="AO57" s="4">
        <v>776</v>
      </c>
      <c r="AP57" s="4">
        <v>25</v>
      </c>
      <c r="AQ57" s="4">
        <v>239</v>
      </c>
      <c r="AR57" s="4">
        <v>17</v>
      </c>
      <c r="AS57" s="4">
        <v>268</v>
      </c>
      <c r="AT57" s="4">
        <v>342</v>
      </c>
      <c r="AU57" s="4">
        <v>349</v>
      </c>
      <c r="AV57" s="4">
        <v>537</v>
      </c>
      <c r="AW57" s="4">
        <v>1720</v>
      </c>
      <c r="AX57" s="4">
        <v>679</v>
      </c>
      <c r="AY57" s="4">
        <v>12</v>
      </c>
      <c r="AZ57" s="4">
        <v>88</v>
      </c>
      <c r="BA57" s="4">
        <v>0</v>
      </c>
      <c r="BB57" s="4">
        <v>1781</v>
      </c>
      <c r="BC57" s="4">
        <v>134</v>
      </c>
      <c r="BD57" s="4">
        <v>115</v>
      </c>
      <c r="BE57" s="4">
        <v>181</v>
      </c>
      <c r="BF57" s="4">
        <v>530</v>
      </c>
      <c r="BG57" s="4">
        <v>33</v>
      </c>
      <c r="BH57" s="4">
        <v>51</v>
      </c>
      <c r="BI57" s="4">
        <v>4</v>
      </c>
      <c r="BJ57" s="4">
        <v>604</v>
      </c>
      <c r="BK57" s="4">
        <v>980</v>
      </c>
      <c r="BL57" s="4">
        <v>1</v>
      </c>
      <c r="BM57" s="4">
        <v>83</v>
      </c>
      <c r="BN57" s="4">
        <v>573</v>
      </c>
      <c r="BO57" s="4">
        <v>11</v>
      </c>
      <c r="BP57" s="4">
        <v>67</v>
      </c>
      <c r="BQ57" s="4">
        <v>639</v>
      </c>
      <c r="BR57" s="4">
        <v>110</v>
      </c>
      <c r="BS57" s="4">
        <v>985</v>
      </c>
      <c r="BT57" s="4">
        <v>754</v>
      </c>
      <c r="BU57" s="4">
        <v>50</v>
      </c>
      <c r="BV57" s="4">
        <v>1145</v>
      </c>
      <c r="BW57" s="4">
        <v>98</v>
      </c>
      <c r="BX57" s="4">
        <v>2231</v>
      </c>
      <c r="BY57" s="4">
        <v>29</v>
      </c>
      <c r="BZ57" s="4">
        <v>1</v>
      </c>
      <c r="CA57" s="4">
        <v>4163</v>
      </c>
      <c r="CB57" s="4">
        <v>228</v>
      </c>
      <c r="CC57" s="4">
        <v>5</v>
      </c>
      <c r="CD57" s="4">
        <v>48</v>
      </c>
      <c r="CE57" s="4">
        <v>72</v>
      </c>
      <c r="CF57" s="4">
        <v>55</v>
      </c>
      <c r="CG57" s="4">
        <v>89</v>
      </c>
      <c r="CH57" s="4">
        <v>80</v>
      </c>
      <c r="CI57" s="4">
        <v>108</v>
      </c>
      <c r="CJ57" s="4">
        <v>1534</v>
      </c>
      <c r="CK57" s="4">
        <v>377</v>
      </c>
      <c r="CL57" s="4">
        <v>1</v>
      </c>
      <c r="CM57" s="4">
        <v>143</v>
      </c>
      <c r="CN57" s="4">
        <v>860</v>
      </c>
      <c r="CO57" s="4">
        <v>93</v>
      </c>
      <c r="CP57" s="4">
        <v>75</v>
      </c>
      <c r="CQ57" s="4">
        <v>1</v>
      </c>
      <c r="CR57" s="4">
        <v>22</v>
      </c>
      <c r="CS57" s="4">
        <v>61</v>
      </c>
      <c r="CT57" s="4">
        <v>528</v>
      </c>
      <c r="CU57" s="4">
        <v>32</v>
      </c>
      <c r="CV57" s="4">
        <v>1028</v>
      </c>
      <c r="CW57" s="4">
        <v>125</v>
      </c>
      <c r="CX57" s="3">
        <v>125</v>
      </c>
    </row>
    <row r="58" spans="1:102" ht="15.75" x14ac:dyDescent="0.25">
      <c r="A58" s="4" t="s">
        <v>211</v>
      </c>
      <c r="B58" s="4" t="s">
        <v>212</v>
      </c>
      <c r="C58" s="4">
        <v>2018</v>
      </c>
      <c r="D58" s="4">
        <v>11</v>
      </c>
      <c r="E58" s="4">
        <v>0</v>
      </c>
      <c r="F58" s="4">
        <v>0</v>
      </c>
      <c r="G58" s="4">
        <v>0</v>
      </c>
      <c r="H58" s="4">
        <v>0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1</v>
      </c>
      <c r="AY58" s="4">
        <v>0</v>
      </c>
      <c r="AZ58" s="4">
        <v>2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1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2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3">
        <v>0</v>
      </c>
    </row>
    <row r="59" spans="1:102" ht="15.75" x14ac:dyDescent="0.25">
      <c r="A59" s="4" t="s">
        <v>213</v>
      </c>
      <c r="B59" s="4" t="s">
        <v>214</v>
      </c>
      <c r="C59" s="4">
        <v>2018</v>
      </c>
      <c r="D59" s="4">
        <v>2799</v>
      </c>
      <c r="E59" s="4">
        <v>3</v>
      </c>
      <c r="F59" s="4">
        <v>53</v>
      </c>
      <c r="G59" s="4">
        <v>49</v>
      </c>
      <c r="H59" s="4">
        <v>42</v>
      </c>
      <c r="I59" s="4">
        <v>22</v>
      </c>
      <c r="J59" s="4">
        <v>12</v>
      </c>
      <c r="K59" s="4">
        <v>8</v>
      </c>
      <c r="L59" s="4">
        <v>15</v>
      </c>
      <c r="M59" s="4">
        <v>24</v>
      </c>
      <c r="N59" s="4">
        <v>28</v>
      </c>
      <c r="O59" s="4">
        <v>74</v>
      </c>
      <c r="P59" s="4">
        <v>0</v>
      </c>
      <c r="Q59" s="4">
        <v>3</v>
      </c>
      <c r="R59" s="4">
        <v>0</v>
      </c>
      <c r="S59" s="4">
        <v>4</v>
      </c>
      <c r="T59" s="4">
        <v>0</v>
      </c>
      <c r="U59" s="4">
        <v>3</v>
      </c>
      <c r="V59" s="4">
        <v>8</v>
      </c>
      <c r="W59" s="4">
        <v>2</v>
      </c>
      <c r="X59" s="4">
        <v>12</v>
      </c>
      <c r="Y59" s="4">
        <v>0</v>
      </c>
      <c r="Z59" s="4">
        <v>71</v>
      </c>
      <c r="AA59" s="4">
        <v>105</v>
      </c>
      <c r="AB59" s="4">
        <v>5</v>
      </c>
      <c r="AC59" s="4">
        <v>0</v>
      </c>
      <c r="AD59" s="4">
        <v>2</v>
      </c>
      <c r="AE59" s="4">
        <v>2</v>
      </c>
      <c r="AF59" s="4">
        <v>1</v>
      </c>
      <c r="AG59" s="4">
        <v>47</v>
      </c>
      <c r="AH59" s="4">
        <v>13</v>
      </c>
      <c r="AI59" s="4">
        <v>27</v>
      </c>
      <c r="AJ59" s="4">
        <v>107</v>
      </c>
      <c r="AK59" s="4">
        <v>73</v>
      </c>
      <c r="AL59" s="4">
        <v>1</v>
      </c>
      <c r="AM59" s="4">
        <v>43</v>
      </c>
      <c r="AN59" s="4">
        <v>51</v>
      </c>
      <c r="AO59" s="4">
        <v>70</v>
      </c>
      <c r="AP59" s="4">
        <v>2</v>
      </c>
      <c r="AQ59" s="4">
        <v>15</v>
      </c>
      <c r="AR59" s="4">
        <v>7</v>
      </c>
      <c r="AS59" s="4">
        <v>13</v>
      </c>
      <c r="AT59" s="4">
        <v>56</v>
      </c>
      <c r="AU59" s="4">
        <v>77</v>
      </c>
      <c r="AV59" s="4">
        <v>47</v>
      </c>
      <c r="AW59" s="4">
        <v>19</v>
      </c>
      <c r="AX59" s="4">
        <v>100</v>
      </c>
      <c r="AY59" s="4">
        <v>4</v>
      </c>
      <c r="AZ59" s="4">
        <v>13</v>
      </c>
      <c r="BA59" s="4">
        <v>0</v>
      </c>
      <c r="BB59" s="4">
        <v>27</v>
      </c>
      <c r="BC59" s="4">
        <v>5</v>
      </c>
      <c r="BD59" s="4">
        <v>1</v>
      </c>
      <c r="BE59" s="4">
        <v>21</v>
      </c>
      <c r="BF59" s="4">
        <v>83</v>
      </c>
      <c r="BG59" s="4">
        <v>2</v>
      </c>
      <c r="BH59" s="4">
        <v>4</v>
      </c>
      <c r="BI59" s="4">
        <v>1</v>
      </c>
      <c r="BJ59" s="4">
        <v>67</v>
      </c>
      <c r="BK59" s="4">
        <v>93</v>
      </c>
      <c r="BL59" s="4">
        <v>1</v>
      </c>
      <c r="BM59" s="4">
        <v>12</v>
      </c>
      <c r="BN59" s="4">
        <v>57</v>
      </c>
      <c r="BO59" s="4">
        <v>1</v>
      </c>
      <c r="BP59" s="4">
        <v>12</v>
      </c>
      <c r="BQ59" s="4">
        <v>137</v>
      </c>
      <c r="BR59" s="4">
        <v>5</v>
      </c>
      <c r="BS59" s="4">
        <v>99</v>
      </c>
      <c r="BT59" s="4">
        <v>58</v>
      </c>
      <c r="BU59" s="4">
        <v>2</v>
      </c>
      <c r="BV59" s="4">
        <v>39</v>
      </c>
      <c r="BW59" s="4">
        <v>32</v>
      </c>
      <c r="BX59" s="4">
        <v>194</v>
      </c>
      <c r="BY59" s="4">
        <v>2</v>
      </c>
      <c r="BZ59" s="4">
        <v>0</v>
      </c>
      <c r="CA59" s="4">
        <v>20</v>
      </c>
      <c r="CB59" s="4">
        <v>24</v>
      </c>
      <c r="CC59" s="4">
        <v>1</v>
      </c>
      <c r="CD59" s="4">
        <v>7</v>
      </c>
      <c r="CE59" s="4">
        <v>0</v>
      </c>
      <c r="CF59" s="4">
        <v>4</v>
      </c>
      <c r="CG59" s="4">
        <v>3</v>
      </c>
      <c r="CH59" s="4">
        <v>6</v>
      </c>
      <c r="CI59" s="4">
        <v>11</v>
      </c>
      <c r="CJ59" s="4">
        <v>82</v>
      </c>
      <c r="CK59" s="4">
        <v>17</v>
      </c>
      <c r="CL59" s="4">
        <v>0</v>
      </c>
      <c r="CM59" s="4">
        <v>10</v>
      </c>
      <c r="CN59" s="4">
        <v>115</v>
      </c>
      <c r="CO59" s="4">
        <v>18</v>
      </c>
      <c r="CP59" s="4">
        <v>18</v>
      </c>
      <c r="CQ59" s="4">
        <v>0</v>
      </c>
      <c r="CR59" s="4">
        <v>1</v>
      </c>
      <c r="CS59" s="4">
        <v>1</v>
      </c>
      <c r="CT59" s="4">
        <v>36</v>
      </c>
      <c r="CU59" s="4">
        <v>7</v>
      </c>
      <c r="CV59" s="4">
        <v>119</v>
      </c>
      <c r="CW59" s="4">
        <v>7</v>
      </c>
      <c r="CX59" s="3">
        <v>7</v>
      </c>
    </row>
    <row r="60" spans="1:102" ht="15.75" x14ac:dyDescent="0.25">
      <c r="A60" s="4" t="s">
        <v>215</v>
      </c>
      <c r="B60" s="4" t="s">
        <v>216</v>
      </c>
      <c r="C60" s="4">
        <v>2018</v>
      </c>
      <c r="D60" s="4">
        <v>11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1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1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1</v>
      </c>
      <c r="CW60" s="4">
        <v>0</v>
      </c>
      <c r="CX60" s="3">
        <v>0</v>
      </c>
    </row>
    <row r="61" spans="1:102" ht="15.75" x14ac:dyDescent="0.25">
      <c r="A61" s="4" t="s">
        <v>217</v>
      </c>
      <c r="B61" s="4" t="s">
        <v>218</v>
      </c>
      <c r="C61" s="4">
        <v>2018</v>
      </c>
      <c r="D61" s="4">
        <v>109</v>
      </c>
      <c r="E61" s="4">
        <v>0</v>
      </c>
      <c r="F61" s="4">
        <v>1</v>
      </c>
      <c r="G61" s="4">
        <v>6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1</v>
      </c>
      <c r="O61" s="4">
        <v>41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</v>
      </c>
      <c r="AH61" s="4">
        <v>0</v>
      </c>
      <c r="AI61" s="4">
        <v>5</v>
      </c>
      <c r="AJ61" s="4">
        <v>6</v>
      </c>
      <c r="AK61" s="4">
        <v>0</v>
      </c>
      <c r="AL61" s="4">
        <v>0</v>
      </c>
      <c r="AM61" s="4">
        <v>1</v>
      </c>
      <c r="AN61" s="4">
        <v>5</v>
      </c>
      <c r="AO61" s="4">
        <v>1</v>
      </c>
      <c r="AP61" s="4">
        <v>0</v>
      </c>
      <c r="AQ61" s="4">
        <v>0</v>
      </c>
      <c r="AR61" s="4">
        <v>0</v>
      </c>
      <c r="AS61" s="4">
        <v>2</v>
      </c>
      <c r="AT61" s="4">
        <v>2</v>
      </c>
      <c r="AU61" s="4">
        <v>7</v>
      </c>
      <c r="AV61" s="4">
        <v>0</v>
      </c>
      <c r="AW61" s="4">
        <v>0</v>
      </c>
      <c r="AX61" s="4">
        <v>1</v>
      </c>
      <c r="AY61" s="4">
        <v>0</v>
      </c>
      <c r="AZ61" s="4">
        <v>2</v>
      </c>
      <c r="BA61" s="4">
        <v>0</v>
      </c>
      <c r="BB61" s="4">
        <v>2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2</v>
      </c>
      <c r="BK61" s="4">
        <v>3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1</v>
      </c>
      <c r="BR61" s="4">
        <v>0</v>
      </c>
      <c r="BS61" s="4">
        <v>1</v>
      </c>
      <c r="BT61" s="4">
        <v>0</v>
      </c>
      <c r="BU61" s="4">
        <v>0</v>
      </c>
      <c r="BV61" s="4">
        <v>0</v>
      </c>
      <c r="BW61" s="4">
        <v>2</v>
      </c>
      <c r="BX61" s="4">
        <v>4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1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5</v>
      </c>
      <c r="CU61" s="4">
        <v>0</v>
      </c>
      <c r="CV61" s="4">
        <v>1</v>
      </c>
      <c r="CW61" s="4">
        <v>0</v>
      </c>
      <c r="CX61" s="3">
        <v>0</v>
      </c>
    </row>
    <row r="62" spans="1:102" ht="15.75" x14ac:dyDescent="0.25">
      <c r="A62" s="4" t="s">
        <v>219</v>
      </c>
      <c r="B62" s="4" t="s">
        <v>220</v>
      </c>
      <c r="C62" s="4">
        <v>2018</v>
      </c>
      <c r="D62" s="4">
        <v>460</v>
      </c>
      <c r="E62" s="4">
        <v>0</v>
      </c>
      <c r="F62" s="4">
        <v>0</v>
      </c>
      <c r="G62" s="4">
        <v>7</v>
      </c>
      <c r="H62" s="4">
        <v>0</v>
      </c>
      <c r="I62" s="4">
        <v>8</v>
      </c>
      <c r="J62" s="4">
        <v>0</v>
      </c>
      <c r="K62" s="4">
        <v>0</v>
      </c>
      <c r="L62" s="4">
        <v>0</v>
      </c>
      <c r="M62" s="4">
        <v>0</v>
      </c>
      <c r="N62" s="4">
        <v>1</v>
      </c>
      <c r="O62" s="4">
        <v>100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3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1</v>
      </c>
      <c r="AH62" s="4">
        <v>1</v>
      </c>
      <c r="AI62" s="4">
        <v>4</v>
      </c>
      <c r="AJ62" s="4">
        <v>83</v>
      </c>
      <c r="AK62" s="4">
        <v>5</v>
      </c>
      <c r="AL62" s="4">
        <v>1</v>
      </c>
      <c r="AM62" s="4">
        <v>1</v>
      </c>
      <c r="AN62" s="4">
        <v>3</v>
      </c>
      <c r="AO62" s="4">
        <v>35</v>
      </c>
      <c r="AP62" s="4">
        <v>0</v>
      </c>
      <c r="AQ62" s="4">
        <v>2</v>
      </c>
      <c r="AR62" s="4">
        <v>0</v>
      </c>
      <c r="AS62" s="4">
        <v>3</v>
      </c>
      <c r="AT62" s="4">
        <v>1</v>
      </c>
      <c r="AU62" s="4">
        <v>1</v>
      </c>
      <c r="AV62" s="4">
        <v>4</v>
      </c>
      <c r="AW62" s="4">
        <v>1</v>
      </c>
      <c r="AX62" s="4">
        <v>15</v>
      </c>
      <c r="AY62" s="4">
        <v>0</v>
      </c>
      <c r="AZ62" s="4">
        <v>5</v>
      </c>
      <c r="BA62" s="4">
        <v>0</v>
      </c>
      <c r="BB62" s="4">
        <v>15</v>
      </c>
      <c r="BC62" s="4">
        <v>0</v>
      </c>
      <c r="BD62" s="4">
        <v>0</v>
      </c>
      <c r="BE62" s="4">
        <v>6</v>
      </c>
      <c r="BF62" s="4">
        <v>9</v>
      </c>
      <c r="BG62" s="4">
        <v>0</v>
      </c>
      <c r="BH62" s="4">
        <v>0</v>
      </c>
      <c r="BI62" s="4">
        <v>0</v>
      </c>
      <c r="BJ62" s="4">
        <v>23</v>
      </c>
      <c r="BK62" s="4">
        <v>28</v>
      </c>
      <c r="BL62" s="4">
        <v>0</v>
      </c>
      <c r="BM62" s="4">
        <v>0</v>
      </c>
      <c r="BN62" s="4">
        <v>6</v>
      </c>
      <c r="BO62" s="4">
        <v>0</v>
      </c>
      <c r="BP62" s="4">
        <v>1</v>
      </c>
      <c r="BQ62" s="4">
        <v>14</v>
      </c>
      <c r="BR62" s="4">
        <v>0</v>
      </c>
      <c r="BS62" s="4">
        <v>8</v>
      </c>
      <c r="BT62" s="4">
        <v>5</v>
      </c>
      <c r="BU62" s="4">
        <v>0</v>
      </c>
      <c r="BV62" s="4">
        <v>5</v>
      </c>
      <c r="BW62" s="4">
        <v>13</v>
      </c>
      <c r="BX62" s="4">
        <v>0</v>
      </c>
      <c r="BY62" s="4">
        <v>0</v>
      </c>
      <c r="BZ62" s="4">
        <v>0</v>
      </c>
      <c r="CA62" s="4">
        <v>8</v>
      </c>
      <c r="CB62" s="4">
        <v>0</v>
      </c>
      <c r="CC62" s="4">
        <v>0</v>
      </c>
      <c r="CD62" s="4">
        <v>2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3</v>
      </c>
      <c r="CK62" s="4">
        <v>1</v>
      </c>
      <c r="CL62" s="4">
        <v>0</v>
      </c>
      <c r="CM62" s="4">
        <v>3</v>
      </c>
      <c r="CN62" s="4">
        <v>16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1</v>
      </c>
      <c r="CU62" s="4">
        <v>1</v>
      </c>
      <c r="CV62" s="4">
        <v>2</v>
      </c>
      <c r="CW62" s="4">
        <v>4</v>
      </c>
      <c r="CX62" s="3">
        <v>4</v>
      </c>
    </row>
    <row r="63" spans="1:102" ht="15.75" x14ac:dyDescent="0.25">
      <c r="A63" s="4" t="s">
        <v>221</v>
      </c>
      <c r="B63" s="4" t="s">
        <v>222</v>
      </c>
      <c r="C63" s="4">
        <v>2018</v>
      </c>
      <c r="D63" s="4">
        <v>100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</v>
      </c>
      <c r="M63" s="4">
        <v>0</v>
      </c>
      <c r="N63" s="4">
        <v>2</v>
      </c>
      <c r="O63" s="4">
        <v>19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2</v>
      </c>
      <c r="AH63" s="4">
        <v>0</v>
      </c>
      <c r="AI63" s="4">
        <v>1</v>
      </c>
      <c r="AJ63" s="4">
        <v>16</v>
      </c>
      <c r="AK63" s="4">
        <v>1</v>
      </c>
      <c r="AL63" s="4">
        <v>0</v>
      </c>
      <c r="AM63" s="4">
        <v>1</v>
      </c>
      <c r="AN63" s="4">
        <v>1</v>
      </c>
      <c r="AO63" s="4">
        <v>3</v>
      </c>
      <c r="AP63" s="4">
        <v>0</v>
      </c>
      <c r="AQ63" s="4">
        <v>1</v>
      </c>
      <c r="AR63" s="4">
        <v>0</v>
      </c>
      <c r="AS63" s="4">
        <v>1</v>
      </c>
      <c r="AT63" s="4">
        <v>0</v>
      </c>
      <c r="AU63" s="4">
        <v>0</v>
      </c>
      <c r="AV63" s="4">
        <v>0</v>
      </c>
      <c r="AW63" s="4">
        <v>0</v>
      </c>
      <c r="AX63" s="4">
        <v>1</v>
      </c>
      <c r="AY63" s="4">
        <v>0</v>
      </c>
      <c r="AZ63" s="4">
        <v>0</v>
      </c>
      <c r="BA63" s="4">
        <v>0</v>
      </c>
      <c r="BB63" s="4">
        <v>1</v>
      </c>
      <c r="BC63" s="4">
        <v>0</v>
      </c>
      <c r="BD63" s="4">
        <v>0</v>
      </c>
      <c r="BE63" s="4">
        <v>2</v>
      </c>
      <c r="BF63" s="4">
        <v>3</v>
      </c>
      <c r="BG63" s="4">
        <v>0</v>
      </c>
      <c r="BH63" s="4">
        <v>0</v>
      </c>
      <c r="BI63" s="4">
        <v>0</v>
      </c>
      <c r="BJ63" s="4">
        <v>1</v>
      </c>
      <c r="BK63" s="4">
        <v>1</v>
      </c>
      <c r="BL63" s="4">
        <v>0</v>
      </c>
      <c r="BM63" s="4">
        <v>0</v>
      </c>
      <c r="BN63" s="4">
        <v>1</v>
      </c>
      <c r="BO63" s="4">
        <v>0</v>
      </c>
      <c r="BP63" s="4">
        <v>0</v>
      </c>
      <c r="BQ63" s="4">
        <v>0</v>
      </c>
      <c r="BR63" s="4">
        <v>0</v>
      </c>
      <c r="BS63" s="4">
        <v>1</v>
      </c>
      <c r="BT63" s="4">
        <v>2</v>
      </c>
      <c r="BU63" s="4">
        <v>0</v>
      </c>
      <c r="BV63" s="4">
        <v>1</v>
      </c>
      <c r="BW63" s="4">
        <v>1</v>
      </c>
      <c r="BX63" s="4">
        <v>21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1</v>
      </c>
      <c r="CN63" s="4">
        <v>3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3</v>
      </c>
      <c r="CW63" s="4">
        <v>0</v>
      </c>
      <c r="CX63" s="3">
        <v>0</v>
      </c>
    </row>
    <row r="64" spans="1:102" ht="15.75" x14ac:dyDescent="0.25">
      <c r="A64" s="4" t="s">
        <v>223</v>
      </c>
      <c r="B64" s="4" t="s">
        <v>224</v>
      </c>
      <c r="C64" s="4">
        <v>2018</v>
      </c>
      <c r="D64" s="4">
        <v>274</v>
      </c>
      <c r="E64" s="4">
        <v>0</v>
      </c>
      <c r="F64" s="4">
        <v>0</v>
      </c>
      <c r="G64" s="4">
        <v>0</v>
      </c>
      <c r="H64" s="4">
        <v>3</v>
      </c>
      <c r="I64" s="4">
        <v>2</v>
      </c>
      <c r="J64" s="4">
        <v>1</v>
      </c>
      <c r="K64" s="4">
        <v>1</v>
      </c>
      <c r="L64" s="4">
        <v>1</v>
      </c>
      <c r="M64" s="4">
        <v>2</v>
      </c>
      <c r="N64" s="4">
        <v>4</v>
      </c>
      <c r="O64" s="4">
        <v>13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23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1</v>
      </c>
      <c r="AH64" s="4">
        <v>0</v>
      </c>
      <c r="AI64" s="4">
        <v>5</v>
      </c>
      <c r="AJ64" s="4">
        <v>4</v>
      </c>
      <c r="AK64" s="4">
        <v>7</v>
      </c>
      <c r="AL64" s="4">
        <v>2</v>
      </c>
      <c r="AM64" s="4">
        <v>5</v>
      </c>
      <c r="AN64" s="4">
        <v>4</v>
      </c>
      <c r="AO64" s="4">
        <v>10</v>
      </c>
      <c r="AP64" s="4">
        <v>0</v>
      </c>
      <c r="AQ64" s="4">
        <v>2</v>
      </c>
      <c r="AR64" s="4">
        <v>0</v>
      </c>
      <c r="AS64" s="4">
        <v>2</v>
      </c>
      <c r="AT64" s="4">
        <v>10</v>
      </c>
      <c r="AU64" s="4">
        <v>3</v>
      </c>
      <c r="AV64" s="4">
        <v>1</v>
      </c>
      <c r="AW64" s="4">
        <v>0</v>
      </c>
      <c r="AX64" s="4">
        <v>5</v>
      </c>
      <c r="AY64" s="4">
        <v>0</v>
      </c>
      <c r="AZ64" s="4">
        <v>2</v>
      </c>
      <c r="BA64" s="4">
        <v>0</v>
      </c>
      <c r="BB64" s="4">
        <v>2</v>
      </c>
      <c r="BC64" s="4">
        <v>0</v>
      </c>
      <c r="BD64" s="4">
        <v>0</v>
      </c>
      <c r="BE64" s="4">
        <v>3</v>
      </c>
      <c r="BF64" s="4">
        <v>26</v>
      </c>
      <c r="BG64" s="4">
        <v>0</v>
      </c>
      <c r="BH64" s="4">
        <v>1</v>
      </c>
      <c r="BI64" s="4">
        <v>0</v>
      </c>
      <c r="BJ64" s="4">
        <v>4</v>
      </c>
      <c r="BK64" s="4">
        <v>8</v>
      </c>
      <c r="BL64" s="4">
        <v>0</v>
      </c>
      <c r="BM64" s="4">
        <v>1</v>
      </c>
      <c r="BN64" s="4">
        <v>7</v>
      </c>
      <c r="BO64" s="4">
        <v>0</v>
      </c>
      <c r="BP64" s="4">
        <v>2</v>
      </c>
      <c r="BQ64" s="4">
        <v>12</v>
      </c>
      <c r="BR64" s="4">
        <v>1</v>
      </c>
      <c r="BS64" s="4">
        <v>13</v>
      </c>
      <c r="BT64" s="4">
        <v>13</v>
      </c>
      <c r="BU64" s="4">
        <v>0</v>
      </c>
      <c r="BV64" s="4">
        <v>4</v>
      </c>
      <c r="BW64" s="4">
        <v>1</v>
      </c>
      <c r="BX64" s="4">
        <v>8</v>
      </c>
      <c r="BY64" s="4">
        <v>0</v>
      </c>
      <c r="BZ64" s="4">
        <v>0</v>
      </c>
      <c r="CA64" s="4">
        <v>2</v>
      </c>
      <c r="CB64" s="4">
        <v>2</v>
      </c>
      <c r="CC64" s="4">
        <v>0</v>
      </c>
      <c r="CD64" s="4">
        <v>1</v>
      </c>
      <c r="CE64" s="4">
        <v>0</v>
      </c>
      <c r="CF64" s="4">
        <v>1</v>
      </c>
      <c r="CG64" s="4">
        <v>0</v>
      </c>
      <c r="CH64" s="4">
        <v>1</v>
      </c>
      <c r="CI64" s="4">
        <v>1</v>
      </c>
      <c r="CJ64" s="4">
        <v>13</v>
      </c>
      <c r="CK64" s="4">
        <v>3</v>
      </c>
      <c r="CL64" s="4">
        <v>0</v>
      </c>
      <c r="CM64" s="4">
        <v>0</v>
      </c>
      <c r="CN64" s="4">
        <v>6</v>
      </c>
      <c r="CO64" s="4">
        <v>2</v>
      </c>
      <c r="CP64" s="4">
        <v>3</v>
      </c>
      <c r="CQ64" s="4">
        <v>0</v>
      </c>
      <c r="CR64" s="4">
        <v>0</v>
      </c>
      <c r="CS64" s="4">
        <v>0</v>
      </c>
      <c r="CT64" s="4">
        <v>2</v>
      </c>
      <c r="CU64" s="4">
        <v>0</v>
      </c>
      <c r="CV64" s="4">
        <v>12</v>
      </c>
      <c r="CW64" s="4">
        <v>0</v>
      </c>
      <c r="CX64" s="3">
        <v>0</v>
      </c>
    </row>
    <row r="65" spans="1:102" ht="15.75" x14ac:dyDescent="0.25">
      <c r="A65" s="4" t="s">
        <v>225</v>
      </c>
      <c r="B65" s="4" t="s">
        <v>226</v>
      </c>
      <c r="C65" s="4">
        <v>2018</v>
      </c>
      <c r="D65" s="4">
        <v>1316</v>
      </c>
      <c r="E65" s="4">
        <v>5</v>
      </c>
      <c r="F65" s="4">
        <v>0</v>
      </c>
      <c r="G65" s="4">
        <v>5</v>
      </c>
      <c r="H65" s="4">
        <v>3</v>
      </c>
      <c r="I65" s="4">
        <v>1</v>
      </c>
      <c r="J65" s="4">
        <v>57</v>
      </c>
      <c r="K65" s="4">
        <v>1</v>
      </c>
      <c r="L65" s="4">
        <v>7</v>
      </c>
      <c r="M65" s="4">
        <v>2</v>
      </c>
      <c r="N65" s="4">
        <v>3</v>
      </c>
      <c r="O65" s="4">
        <v>102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13</v>
      </c>
      <c r="W65" s="4">
        <v>223</v>
      </c>
      <c r="X65" s="4">
        <v>2</v>
      </c>
      <c r="Y65" s="4">
        <v>0</v>
      </c>
      <c r="Z65" s="4">
        <v>0</v>
      </c>
      <c r="AA65" s="4">
        <v>34</v>
      </c>
      <c r="AB65" s="4">
        <v>4</v>
      </c>
      <c r="AC65" s="4">
        <v>0</v>
      </c>
      <c r="AD65" s="4">
        <v>0</v>
      </c>
      <c r="AE65" s="4">
        <v>0</v>
      </c>
      <c r="AF65" s="4">
        <v>0</v>
      </c>
      <c r="AG65" s="4">
        <v>16</v>
      </c>
      <c r="AH65" s="4">
        <v>2</v>
      </c>
      <c r="AI65" s="4">
        <v>16</v>
      </c>
      <c r="AJ65" s="4">
        <v>78</v>
      </c>
      <c r="AK65" s="4">
        <v>22</v>
      </c>
      <c r="AL65" s="4">
        <v>2</v>
      </c>
      <c r="AM65" s="4">
        <v>11</v>
      </c>
      <c r="AN65" s="4">
        <v>18</v>
      </c>
      <c r="AO65" s="4">
        <v>37</v>
      </c>
      <c r="AP65" s="4">
        <v>0</v>
      </c>
      <c r="AQ65" s="4">
        <v>7</v>
      </c>
      <c r="AR65" s="4">
        <v>0</v>
      </c>
      <c r="AS65" s="4">
        <v>19</v>
      </c>
      <c r="AT65" s="4">
        <v>5</v>
      </c>
      <c r="AU65" s="4">
        <v>3</v>
      </c>
      <c r="AV65" s="4">
        <v>23</v>
      </c>
      <c r="AW65" s="4">
        <v>11</v>
      </c>
      <c r="AX65" s="4">
        <v>27</v>
      </c>
      <c r="AY65" s="4">
        <v>0</v>
      </c>
      <c r="AZ65" s="4">
        <v>46</v>
      </c>
      <c r="BA65" s="4">
        <v>0</v>
      </c>
      <c r="BB65" s="4">
        <v>44</v>
      </c>
      <c r="BC65" s="4">
        <v>5</v>
      </c>
      <c r="BD65" s="4">
        <v>0</v>
      </c>
      <c r="BE65" s="4">
        <v>20</v>
      </c>
      <c r="BF65" s="4">
        <v>39</v>
      </c>
      <c r="BG65" s="4">
        <v>2</v>
      </c>
      <c r="BH65" s="4">
        <v>3</v>
      </c>
      <c r="BI65" s="4">
        <v>1</v>
      </c>
      <c r="BJ65" s="4">
        <v>46</v>
      </c>
      <c r="BK65" s="4">
        <v>27</v>
      </c>
      <c r="BL65" s="4">
        <v>0</v>
      </c>
      <c r="BM65" s="4">
        <v>1</v>
      </c>
      <c r="BN65" s="4">
        <v>19</v>
      </c>
      <c r="BO65" s="4">
        <v>0</v>
      </c>
      <c r="BP65" s="4">
        <v>2</v>
      </c>
      <c r="BQ65" s="4">
        <v>28</v>
      </c>
      <c r="BR65" s="4">
        <v>2</v>
      </c>
      <c r="BS65" s="4">
        <v>30</v>
      </c>
      <c r="BT65" s="4">
        <v>27</v>
      </c>
      <c r="BU65" s="4">
        <v>0</v>
      </c>
      <c r="BV65" s="4">
        <v>5</v>
      </c>
      <c r="BW65" s="4">
        <v>9</v>
      </c>
      <c r="BX65" s="4">
        <v>81</v>
      </c>
      <c r="BY65" s="4">
        <v>1</v>
      </c>
      <c r="BZ65" s="4">
        <v>0</v>
      </c>
      <c r="CA65" s="4">
        <v>10</v>
      </c>
      <c r="CB65" s="4">
        <v>8</v>
      </c>
      <c r="CC65" s="4">
        <v>0</v>
      </c>
      <c r="CD65" s="4">
        <v>4</v>
      </c>
      <c r="CE65" s="4">
        <v>0</v>
      </c>
      <c r="CF65" s="4">
        <v>1</v>
      </c>
      <c r="CG65" s="4">
        <v>1</v>
      </c>
      <c r="CH65" s="4">
        <v>0</v>
      </c>
      <c r="CI65" s="4">
        <v>0</v>
      </c>
      <c r="CJ65" s="4">
        <v>3</v>
      </c>
      <c r="CK65" s="4">
        <v>0</v>
      </c>
      <c r="CL65" s="4">
        <v>0</v>
      </c>
      <c r="CM65" s="4">
        <v>7</v>
      </c>
      <c r="CN65" s="4">
        <v>36</v>
      </c>
      <c r="CO65" s="4">
        <v>1</v>
      </c>
      <c r="CP65" s="4">
        <v>1</v>
      </c>
      <c r="CQ65" s="4">
        <v>0</v>
      </c>
      <c r="CR65" s="4">
        <v>0</v>
      </c>
      <c r="CS65" s="4">
        <v>1</v>
      </c>
      <c r="CT65" s="4">
        <v>12</v>
      </c>
      <c r="CU65" s="4">
        <v>2</v>
      </c>
      <c r="CV65" s="4">
        <v>28</v>
      </c>
      <c r="CW65" s="4">
        <v>7</v>
      </c>
      <c r="CX65" s="3">
        <v>7</v>
      </c>
    </row>
    <row r="66" spans="1:102" ht="15.75" x14ac:dyDescent="0.25">
      <c r="A66" s="4" t="s">
        <v>227</v>
      </c>
      <c r="B66" s="4" t="s">
        <v>228</v>
      </c>
      <c r="C66" s="4">
        <v>2018</v>
      </c>
      <c r="D66" s="4">
        <v>3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1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3">
        <v>0</v>
      </c>
    </row>
    <row r="67" spans="1:102" ht="15.75" x14ac:dyDescent="0.25">
      <c r="A67" s="4" t="s">
        <v>229</v>
      </c>
      <c r="B67" s="4" t="s">
        <v>230</v>
      </c>
      <c r="C67" s="4">
        <v>2018</v>
      </c>
      <c r="D67" s="4">
        <v>10392</v>
      </c>
      <c r="E67" s="4">
        <v>13</v>
      </c>
      <c r="F67" s="4">
        <v>47</v>
      </c>
      <c r="G67" s="4">
        <v>48</v>
      </c>
      <c r="H67" s="4">
        <v>198</v>
      </c>
      <c r="I67" s="4">
        <v>80</v>
      </c>
      <c r="J67" s="4">
        <v>62</v>
      </c>
      <c r="K67" s="4">
        <v>27</v>
      </c>
      <c r="L67" s="4">
        <v>39</v>
      </c>
      <c r="M67" s="4">
        <v>45</v>
      </c>
      <c r="N67" s="4">
        <v>77</v>
      </c>
      <c r="O67" s="4">
        <v>430</v>
      </c>
      <c r="P67" s="4">
        <v>2</v>
      </c>
      <c r="Q67" s="4">
        <v>2</v>
      </c>
      <c r="R67" s="4">
        <v>4</v>
      </c>
      <c r="S67" s="4">
        <v>1</v>
      </c>
      <c r="T67" s="4">
        <v>5</v>
      </c>
      <c r="U67" s="4">
        <v>12</v>
      </c>
      <c r="V67" s="4">
        <v>19</v>
      </c>
      <c r="W67" s="4">
        <v>251</v>
      </c>
      <c r="X67" s="4">
        <v>13</v>
      </c>
      <c r="Y67" s="4">
        <v>10</v>
      </c>
      <c r="Z67" s="4">
        <v>202</v>
      </c>
      <c r="AA67" s="4">
        <v>272</v>
      </c>
      <c r="AB67" s="4">
        <v>23</v>
      </c>
      <c r="AC67" s="4">
        <v>0</v>
      </c>
      <c r="AD67" s="4">
        <v>2</v>
      </c>
      <c r="AE67" s="4">
        <v>7</v>
      </c>
      <c r="AF67" s="4">
        <v>1</v>
      </c>
      <c r="AG67" s="4">
        <v>211</v>
      </c>
      <c r="AH67" s="4">
        <v>216</v>
      </c>
      <c r="AI67" s="4">
        <v>109</v>
      </c>
      <c r="AJ67" s="4">
        <v>867</v>
      </c>
      <c r="AK67" s="4">
        <v>209</v>
      </c>
      <c r="AL67" s="4">
        <v>9</v>
      </c>
      <c r="AM67" s="4">
        <v>127</v>
      </c>
      <c r="AN67" s="4">
        <v>127</v>
      </c>
      <c r="AO67" s="4">
        <v>152</v>
      </c>
      <c r="AP67" s="4">
        <v>4</v>
      </c>
      <c r="AQ67" s="4">
        <v>60</v>
      </c>
      <c r="AR67" s="4">
        <v>5</v>
      </c>
      <c r="AS67" s="4">
        <v>54</v>
      </c>
      <c r="AT67" s="4">
        <v>85</v>
      </c>
      <c r="AU67" s="4">
        <v>82</v>
      </c>
      <c r="AV67" s="4">
        <v>292</v>
      </c>
      <c r="AW67" s="4">
        <v>86</v>
      </c>
      <c r="AX67" s="4">
        <v>218</v>
      </c>
      <c r="AY67" s="4">
        <v>4</v>
      </c>
      <c r="AZ67" s="4">
        <v>41</v>
      </c>
      <c r="BA67" s="4">
        <v>0</v>
      </c>
      <c r="BB67" s="4">
        <v>555</v>
      </c>
      <c r="BC67" s="4">
        <v>29</v>
      </c>
      <c r="BD67" s="4">
        <v>3</v>
      </c>
      <c r="BE67" s="4">
        <v>43</v>
      </c>
      <c r="BF67" s="4">
        <v>168</v>
      </c>
      <c r="BG67" s="4">
        <v>16</v>
      </c>
      <c r="BH67" s="4">
        <v>37</v>
      </c>
      <c r="BI67" s="4">
        <v>2</v>
      </c>
      <c r="BJ67" s="4">
        <v>203</v>
      </c>
      <c r="BK67" s="4">
        <v>234</v>
      </c>
      <c r="BL67" s="4">
        <v>2</v>
      </c>
      <c r="BM67" s="4">
        <v>23</v>
      </c>
      <c r="BN67" s="4">
        <v>138</v>
      </c>
      <c r="BO67" s="4">
        <v>2</v>
      </c>
      <c r="BP67" s="4">
        <v>28</v>
      </c>
      <c r="BQ67" s="4">
        <v>198</v>
      </c>
      <c r="BR67" s="4">
        <v>34</v>
      </c>
      <c r="BS67" s="4">
        <v>239</v>
      </c>
      <c r="BT67" s="4">
        <v>112</v>
      </c>
      <c r="BU67" s="4">
        <v>22</v>
      </c>
      <c r="BV67" s="4">
        <v>354</v>
      </c>
      <c r="BW67" s="4">
        <v>37</v>
      </c>
      <c r="BX67" s="4">
        <v>1377</v>
      </c>
      <c r="BY67" s="4">
        <v>10</v>
      </c>
      <c r="BZ67" s="4">
        <v>0</v>
      </c>
      <c r="CA67" s="4">
        <v>183</v>
      </c>
      <c r="CB67" s="4">
        <v>95</v>
      </c>
      <c r="CC67" s="4">
        <v>1</v>
      </c>
      <c r="CD67" s="4">
        <v>18</v>
      </c>
      <c r="CE67" s="4">
        <v>9</v>
      </c>
      <c r="CF67" s="4">
        <v>19</v>
      </c>
      <c r="CG67" s="4">
        <v>8</v>
      </c>
      <c r="CH67" s="4">
        <v>17</v>
      </c>
      <c r="CI67" s="4">
        <v>34</v>
      </c>
      <c r="CJ67" s="4">
        <v>286</v>
      </c>
      <c r="CK67" s="4">
        <v>90</v>
      </c>
      <c r="CL67" s="4">
        <v>0</v>
      </c>
      <c r="CM67" s="4">
        <v>24</v>
      </c>
      <c r="CN67" s="4">
        <v>222</v>
      </c>
      <c r="CO67" s="4">
        <v>78</v>
      </c>
      <c r="CP67" s="4">
        <v>11</v>
      </c>
      <c r="CQ67" s="4">
        <v>0</v>
      </c>
      <c r="CR67" s="4">
        <v>4</v>
      </c>
      <c r="CS67" s="4">
        <v>43</v>
      </c>
      <c r="CT67" s="4">
        <v>102</v>
      </c>
      <c r="CU67" s="4">
        <v>24</v>
      </c>
      <c r="CV67" s="4">
        <v>358</v>
      </c>
      <c r="CW67" s="4">
        <v>52</v>
      </c>
      <c r="CX67" s="3">
        <v>52</v>
      </c>
    </row>
    <row r="68" spans="1:102" ht="15.75" x14ac:dyDescent="0.25">
      <c r="A68" s="4" t="s">
        <v>231</v>
      </c>
      <c r="B68" s="4" t="s">
        <v>232</v>
      </c>
      <c r="C68" s="4">
        <v>2018</v>
      </c>
      <c r="D68" s="4">
        <v>286</v>
      </c>
      <c r="E68" s="4">
        <v>0</v>
      </c>
      <c r="F68" s="4">
        <v>0</v>
      </c>
      <c r="G68" s="4">
        <v>0</v>
      </c>
      <c r="H68" s="4">
        <v>0</v>
      </c>
      <c r="I68" s="4">
        <v>1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1</v>
      </c>
      <c r="AJ68" s="4">
        <v>1</v>
      </c>
      <c r="AK68" s="4">
        <v>2</v>
      </c>
      <c r="AL68" s="4">
        <v>0</v>
      </c>
      <c r="AM68" s="4">
        <v>0</v>
      </c>
      <c r="AN68" s="4">
        <v>0</v>
      </c>
      <c r="AO68" s="4">
        <v>5</v>
      </c>
      <c r="AP68" s="4">
        <v>0</v>
      </c>
      <c r="AQ68" s="4">
        <v>1</v>
      </c>
      <c r="AR68" s="4">
        <v>0</v>
      </c>
      <c r="AS68" s="4">
        <v>0</v>
      </c>
      <c r="AT68" s="4">
        <v>0</v>
      </c>
      <c r="AU68" s="4">
        <v>1</v>
      </c>
      <c r="AV68" s="4">
        <v>0</v>
      </c>
      <c r="AW68" s="4">
        <v>0</v>
      </c>
      <c r="AX68" s="4">
        <v>1</v>
      </c>
      <c r="AY68" s="4">
        <v>0</v>
      </c>
      <c r="AZ68" s="4">
        <v>5</v>
      </c>
      <c r="BA68" s="4">
        <v>0</v>
      </c>
      <c r="BB68" s="4">
        <v>108</v>
      </c>
      <c r="BC68" s="4">
        <v>4</v>
      </c>
      <c r="BD68" s="4">
        <v>0</v>
      </c>
      <c r="BE68" s="4">
        <v>1</v>
      </c>
      <c r="BF68" s="4">
        <v>3</v>
      </c>
      <c r="BG68" s="4">
        <v>0</v>
      </c>
      <c r="BH68" s="4">
        <v>0</v>
      </c>
      <c r="BI68" s="4">
        <v>0</v>
      </c>
      <c r="BJ68" s="4">
        <v>4</v>
      </c>
      <c r="BK68" s="4">
        <v>51</v>
      </c>
      <c r="BL68" s="4">
        <v>0</v>
      </c>
      <c r="BM68" s="4">
        <v>1</v>
      </c>
      <c r="BN68" s="4">
        <v>2</v>
      </c>
      <c r="BO68" s="4">
        <v>0</v>
      </c>
      <c r="BP68" s="4">
        <v>0</v>
      </c>
      <c r="BQ68" s="4">
        <v>6</v>
      </c>
      <c r="BR68" s="4">
        <v>0</v>
      </c>
      <c r="BS68" s="4">
        <v>17</v>
      </c>
      <c r="BT68" s="4">
        <v>6</v>
      </c>
      <c r="BU68" s="4">
        <v>0</v>
      </c>
      <c r="BV68" s="4">
        <v>0</v>
      </c>
      <c r="BW68" s="4">
        <v>2</v>
      </c>
      <c r="BX68" s="4">
        <v>0</v>
      </c>
      <c r="BY68" s="4">
        <v>0</v>
      </c>
      <c r="BZ68" s="4">
        <v>0</v>
      </c>
      <c r="CA68" s="4">
        <v>29</v>
      </c>
      <c r="CB68" s="4">
        <v>0</v>
      </c>
      <c r="CC68" s="4">
        <v>0</v>
      </c>
      <c r="CD68" s="4">
        <v>1</v>
      </c>
      <c r="CE68" s="4">
        <v>0</v>
      </c>
      <c r="CF68" s="4">
        <v>0</v>
      </c>
      <c r="CG68" s="4">
        <v>2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1</v>
      </c>
      <c r="CN68" s="4">
        <v>10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3</v>
      </c>
      <c r="CW68" s="4">
        <v>1</v>
      </c>
      <c r="CX68" s="3">
        <v>1</v>
      </c>
    </row>
    <row r="69" spans="1:102" ht="15.75" x14ac:dyDescent="0.25">
      <c r="A69" s="4" t="s">
        <v>233</v>
      </c>
      <c r="B69" s="4" t="s">
        <v>234</v>
      </c>
      <c r="C69" s="4">
        <v>2018</v>
      </c>
      <c r="D69" s="4">
        <v>1433</v>
      </c>
      <c r="E69" s="4">
        <v>0</v>
      </c>
      <c r="F69" s="4">
        <v>1</v>
      </c>
      <c r="G69" s="4">
        <v>2</v>
      </c>
      <c r="H69" s="4">
        <v>0</v>
      </c>
      <c r="I69" s="4">
        <v>12</v>
      </c>
      <c r="J69" s="4">
        <v>5</v>
      </c>
      <c r="K69" s="4">
        <v>2</v>
      </c>
      <c r="L69" s="4">
        <v>7</v>
      </c>
      <c r="M69" s="4">
        <v>16</v>
      </c>
      <c r="N69" s="4">
        <v>13</v>
      </c>
      <c r="O69" s="4">
        <v>29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2</v>
      </c>
      <c r="V69" s="4">
        <v>15</v>
      </c>
      <c r="W69" s="4">
        <v>7</v>
      </c>
      <c r="X69" s="4">
        <v>4</v>
      </c>
      <c r="Y69" s="4">
        <v>18</v>
      </c>
      <c r="Z69" s="4">
        <v>25</v>
      </c>
      <c r="AA69" s="4">
        <v>24</v>
      </c>
      <c r="AB69" s="4">
        <v>0</v>
      </c>
      <c r="AC69" s="4">
        <v>0</v>
      </c>
      <c r="AD69" s="4">
        <v>0</v>
      </c>
      <c r="AE69" s="4">
        <v>1</v>
      </c>
      <c r="AF69" s="4">
        <v>4</v>
      </c>
      <c r="AG69" s="4">
        <v>40</v>
      </c>
      <c r="AH69" s="4">
        <v>16</v>
      </c>
      <c r="AI69" s="4">
        <v>20</v>
      </c>
      <c r="AJ69" s="4">
        <v>42</v>
      </c>
      <c r="AK69" s="4">
        <v>21</v>
      </c>
      <c r="AL69" s="4">
        <v>2</v>
      </c>
      <c r="AM69" s="4">
        <v>26</v>
      </c>
      <c r="AN69" s="4">
        <v>27</v>
      </c>
      <c r="AO69" s="4">
        <v>21</v>
      </c>
      <c r="AP69" s="4">
        <v>1</v>
      </c>
      <c r="AQ69" s="4">
        <v>10</v>
      </c>
      <c r="AR69" s="4">
        <v>1</v>
      </c>
      <c r="AS69" s="4">
        <v>51</v>
      </c>
      <c r="AT69" s="4">
        <v>26</v>
      </c>
      <c r="AU69" s="4">
        <v>22</v>
      </c>
      <c r="AV69" s="4">
        <v>62</v>
      </c>
      <c r="AW69" s="4">
        <v>11</v>
      </c>
      <c r="AX69" s="4">
        <v>26</v>
      </c>
      <c r="AY69" s="4">
        <v>0</v>
      </c>
      <c r="AZ69" s="4">
        <v>6</v>
      </c>
      <c r="BA69" s="4">
        <v>0</v>
      </c>
      <c r="BB69" s="4">
        <v>25</v>
      </c>
      <c r="BC69" s="4">
        <v>12</v>
      </c>
      <c r="BD69" s="4">
        <v>1</v>
      </c>
      <c r="BE69" s="4">
        <v>29</v>
      </c>
      <c r="BF69" s="4">
        <v>64</v>
      </c>
      <c r="BG69" s="4">
        <v>2</v>
      </c>
      <c r="BH69" s="4">
        <v>3</v>
      </c>
      <c r="BI69" s="4">
        <v>2</v>
      </c>
      <c r="BJ69" s="4">
        <v>37</v>
      </c>
      <c r="BK69" s="4">
        <v>50</v>
      </c>
      <c r="BL69" s="4">
        <v>0</v>
      </c>
      <c r="BM69" s="4">
        <v>3</v>
      </c>
      <c r="BN69" s="4">
        <v>37</v>
      </c>
      <c r="BO69" s="4">
        <v>0</v>
      </c>
      <c r="BP69" s="4">
        <v>4</v>
      </c>
      <c r="BQ69" s="4">
        <v>28</v>
      </c>
      <c r="BR69" s="4">
        <v>3</v>
      </c>
      <c r="BS69" s="4">
        <v>51</v>
      </c>
      <c r="BT69" s="4">
        <v>30</v>
      </c>
      <c r="BU69" s="4">
        <v>1</v>
      </c>
      <c r="BV69" s="4">
        <v>30</v>
      </c>
      <c r="BW69" s="4">
        <v>13</v>
      </c>
      <c r="BX69" s="4">
        <v>137</v>
      </c>
      <c r="BY69" s="4">
        <v>0</v>
      </c>
      <c r="BZ69" s="4">
        <v>0</v>
      </c>
      <c r="CA69" s="4">
        <v>3</v>
      </c>
      <c r="CB69" s="4">
        <v>12</v>
      </c>
      <c r="CC69" s="4">
        <v>0</v>
      </c>
      <c r="CD69" s="4">
        <v>3</v>
      </c>
      <c r="CE69" s="4">
        <v>0</v>
      </c>
      <c r="CF69" s="4">
        <v>3</v>
      </c>
      <c r="CG69" s="4">
        <v>7</v>
      </c>
      <c r="CH69" s="4">
        <v>2</v>
      </c>
      <c r="CI69" s="4">
        <v>5</v>
      </c>
      <c r="CJ69" s="4">
        <v>49</v>
      </c>
      <c r="CK69" s="4">
        <v>9</v>
      </c>
      <c r="CL69" s="4">
        <v>0</v>
      </c>
      <c r="CM69" s="4">
        <v>6</v>
      </c>
      <c r="CN69" s="4">
        <v>63</v>
      </c>
      <c r="CO69" s="4">
        <v>4</v>
      </c>
      <c r="CP69" s="4">
        <v>4</v>
      </c>
      <c r="CQ69" s="4">
        <v>0</v>
      </c>
      <c r="CR69" s="4">
        <v>0</v>
      </c>
      <c r="CS69" s="4">
        <v>1</v>
      </c>
      <c r="CT69" s="4">
        <v>15</v>
      </c>
      <c r="CU69" s="4">
        <v>7</v>
      </c>
      <c r="CV69" s="4">
        <v>54</v>
      </c>
      <c r="CW69" s="4">
        <v>2</v>
      </c>
      <c r="CX69" s="3">
        <v>2</v>
      </c>
    </row>
    <row r="70" spans="1:102" ht="15.75" x14ac:dyDescent="0.25">
      <c r="A70" s="4" t="s">
        <v>235</v>
      </c>
      <c r="B70" s="4" t="s">
        <v>236</v>
      </c>
      <c r="C70" s="4">
        <v>2018</v>
      </c>
      <c r="D70" s="4">
        <v>18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1</v>
      </c>
      <c r="AU70" s="4">
        <v>0</v>
      </c>
      <c r="AV70" s="4">
        <v>0</v>
      </c>
      <c r="AW70" s="4">
        <v>0</v>
      </c>
      <c r="AX70" s="4">
        <v>1</v>
      </c>
      <c r="AY70" s="4">
        <v>0</v>
      </c>
      <c r="AZ70" s="4">
        <v>0</v>
      </c>
      <c r="BA70" s="4">
        <v>0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1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1</v>
      </c>
      <c r="BR70" s="4">
        <v>0</v>
      </c>
      <c r="BS70" s="4">
        <v>1</v>
      </c>
      <c r="BT70" s="4">
        <v>1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2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3</v>
      </c>
      <c r="CU70" s="4">
        <v>0</v>
      </c>
      <c r="CV70" s="4">
        <v>0</v>
      </c>
      <c r="CW70" s="4">
        <v>0</v>
      </c>
      <c r="CX70" s="3">
        <v>0</v>
      </c>
    </row>
    <row r="71" spans="1:102" ht="15.75" x14ac:dyDescent="0.25">
      <c r="A71" s="4" t="s">
        <v>237</v>
      </c>
      <c r="B71" s="4" t="s">
        <v>238</v>
      </c>
      <c r="C71" s="4">
        <v>2018</v>
      </c>
      <c r="D71" s="4">
        <v>56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2</v>
      </c>
      <c r="M71" s="4">
        <v>0</v>
      </c>
      <c r="N71" s="4">
        <v>2</v>
      </c>
      <c r="O71" s="4">
        <v>1</v>
      </c>
      <c r="P71" s="4">
        <v>0</v>
      </c>
      <c r="Q71" s="4">
        <v>0</v>
      </c>
      <c r="R71" s="4">
        <v>0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1</v>
      </c>
      <c r="AK71" s="4">
        <v>0</v>
      </c>
      <c r="AL71" s="4">
        <v>0</v>
      </c>
      <c r="AM71" s="4">
        <v>0</v>
      </c>
      <c r="AN71" s="4">
        <v>1</v>
      </c>
      <c r="AO71" s="4">
        <v>0</v>
      </c>
      <c r="AP71" s="4">
        <v>0</v>
      </c>
      <c r="AQ71" s="4">
        <v>0</v>
      </c>
      <c r="AR71" s="4">
        <v>2</v>
      </c>
      <c r="AS71" s="4">
        <v>0</v>
      </c>
      <c r="AT71" s="4">
        <v>0</v>
      </c>
      <c r="AU71" s="4">
        <v>2</v>
      </c>
      <c r="AV71" s="4">
        <v>6</v>
      </c>
      <c r="AW71" s="4">
        <v>0</v>
      </c>
      <c r="AX71" s="4">
        <v>5</v>
      </c>
      <c r="AY71" s="4">
        <v>0</v>
      </c>
      <c r="AZ71" s="4">
        <v>4</v>
      </c>
      <c r="BA71" s="4">
        <v>0</v>
      </c>
      <c r="BB71" s="4">
        <v>1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2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3</v>
      </c>
      <c r="BT71" s="4">
        <v>0</v>
      </c>
      <c r="BU71" s="4">
        <v>0</v>
      </c>
      <c r="BV71" s="4">
        <v>2</v>
      </c>
      <c r="BW71" s="4">
        <v>2</v>
      </c>
      <c r="BX71" s="4">
        <v>1</v>
      </c>
      <c r="BY71" s="4">
        <v>0</v>
      </c>
      <c r="BZ71" s="4">
        <v>0</v>
      </c>
      <c r="CA71" s="4">
        <v>1</v>
      </c>
      <c r="CB71" s="4">
        <v>0</v>
      </c>
      <c r="CC71" s="4">
        <v>0</v>
      </c>
      <c r="CD71" s="4">
        <v>1</v>
      </c>
      <c r="CE71" s="4">
        <v>0</v>
      </c>
      <c r="CF71" s="4">
        <v>1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3</v>
      </c>
      <c r="CW71" s="4">
        <v>2</v>
      </c>
      <c r="CX71" s="3">
        <v>2</v>
      </c>
    </row>
    <row r="72" spans="1:102" ht="15.75" x14ac:dyDescent="0.25">
      <c r="A72" s="4" t="s">
        <v>239</v>
      </c>
      <c r="B72" s="4" t="s">
        <v>240</v>
      </c>
      <c r="C72" s="4">
        <v>2018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3">
        <v>0</v>
      </c>
    </row>
    <row r="73" spans="1:102" ht="15.75" x14ac:dyDescent="0.25">
      <c r="A73" s="4" t="s">
        <v>241</v>
      </c>
      <c r="B73" s="4" t="s">
        <v>242</v>
      </c>
      <c r="C73" s="4">
        <v>2018</v>
      </c>
      <c r="D73" s="4">
        <v>34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</v>
      </c>
      <c r="M73" s="4">
        <v>2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21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2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1</v>
      </c>
      <c r="CX73" s="3">
        <v>1</v>
      </c>
    </row>
    <row r="74" spans="1:102" ht="15.75" x14ac:dyDescent="0.25">
      <c r="A74" s="4" t="s">
        <v>243</v>
      </c>
      <c r="B74" s="4" t="s">
        <v>244</v>
      </c>
      <c r="C74" s="4">
        <v>2018</v>
      </c>
      <c r="D74" s="4">
        <v>24088</v>
      </c>
      <c r="E74" s="4">
        <v>66</v>
      </c>
      <c r="F74" s="4">
        <v>295</v>
      </c>
      <c r="G74" s="4">
        <v>151</v>
      </c>
      <c r="H74" s="4">
        <v>480</v>
      </c>
      <c r="I74" s="4">
        <v>152</v>
      </c>
      <c r="J74" s="4">
        <v>111</v>
      </c>
      <c r="K74" s="4">
        <v>22</v>
      </c>
      <c r="L74" s="4">
        <v>110</v>
      </c>
      <c r="M74" s="4">
        <v>87</v>
      </c>
      <c r="N74" s="4">
        <v>111</v>
      </c>
      <c r="O74" s="4">
        <v>705</v>
      </c>
      <c r="P74" s="4">
        <v>2</v>
      </c>
      <c r="Q74" s="4">
        <v>9</v>
      </c>
      <c r="R74" s="4">
        <v>8</v>
      </c>
      <c r="S74" s="4">
        <v>7</v>
      </c>
      <c r="T74" s="4">
        <v>20</v>
      </c>
      <c r="U74" s="4">
        <v>9</v>
      </c>
      <c r="V74" s="4">
        <v>24</v>
      </c>
      <c r="W74" s="4">
        <v>53</v>
      </c>
      <c r="X74" s="4">
        <v>24</v>
      </c>
      <c r="Y74" s="4">
        <v>7</v>
      </c>
      <c r="Z74" s="4">
        <v>1002</v>
      </c>
      <c r="AA74" s="4">
        <v>394</v>
      </c>
      <c r="AB74" s="4">
        <v>253</v>
      </c>
      <c r="AC74" s="4">
        <v>24</v>
      </c>
      <c r="AD74" s="4">
        <v>8</v>
      </c>
      <c r="AE74" s="4">
        <v>17</v>
      </c>
      <c r="AF74" s="4">
        <v>5</v>
      </c>
      <c r="AG74" s="4">
        <v>420</v>
      </c>
      <c r="AH74" s="4">
        <v>201</v>
      </c>
      <c r="AI74" s="4">
        <v>161</v>
      </c>
      <c r="AJ74" s="4">
        <v>1257</v>
      </c>
      <c r="AK74" s="4">
        <v>334</v>
      </c>
      <c r="AL74" s="4">
        <v>7</v>
      </c>
      <c r="AM74" s="4">
        <v>371</v>
      </c>
      <c r="AN74" s="4">
        <v>286</v>
      </c>
      <c r="AO74" s="4">
        <v>426</v>
      </c>
      <c r="AP74" s="4">
        <v>9</v>
      </c>
      <c r="AQ74" s="4">
        <v>171</v>
      </c>
      <c r="AR74" s="4">
        <v>33</v>
      </c>
      <c r="AS74" s="4">
        <v>228</v>
      </c>
      <c r="AT74" s="4">
        <v>184</v>
      </c>
      <c r="AU74" s="4">
        <v>245</v>
      </c>
      <c r="AV74" s="4">
        <v>412</v>
      </c>
      <c r="AW74" s="4">
        <v>345</v>
      </c>
      <c r="AX74" s="4">
        <v>548</v>
      </c>
      <c r="AY74" s="4">
        <v>8</v>
      </c>
      <c r="AZ74" s="4">
        <v>76</v>
      </c>
      <c r="BA74" s="4">
        <v>0</v>
      </c>
      <c r="BB74" s="4">
        <v>1490</v>
      </c>
      <c r="BC74" s="4">
        <v>98</v>
      </c>
      <c r="BD74" s="4">
        <v>3</v>
      </c>
      <c r="BE74" s="4">
        <v>126</v>
      </c>
      <c r="BF74" s="4">
        <v>459</v>
      </c>
      <c r="BG74" s="4">
        <v>20</v>
      </c>
      <c r="BH74" s="4">
        <v>25</v>
      </c>
      <c r="BI74" s="4">
        <v>6</v>
      </c>
      <c r="BJ74" s="4">
        <v>374</v>
      </c>
      <c r="BK74" s="4">
        <v>613</v>
      </c>
      <c r="BL74" s="4">
        <v>1</v>
      </c>
      <c r="BM74" s="4">
        <v>92</v>
      </c>
      <c r="BN74" s="4">
        <v>308</v>
      </c>
      <c r="BO74" s="4">
        <v>7</v>
      </c>
      <c r="BP74" s="4">
        <v>70</v>
      </c>
      <c r="BQ74" s="4">
        <v>444</v>
      </c>
      <c r="BR74" s="4">
        <v>90</v>
      </c>
      <c r="BS74" s="4">
        <v>560</v>
      </c>
      <c r="BT74" s="4">
        <v>262</v>
      </c>
      <c r="BU74" s="4">
        <v>77</v>
      </c>
      <c r="BV74" s="4">
        <v>639</v>
      </c>
      <c r="BW74" s="4">
        <v>63</v>
      </c>
      <c r="BX74" s="4">
        <v>835</v>
      </c>
      <c r="BY74" s="4">
        <v>10</v>
      </c>
      <c r="BZ74" s="4">
        <v>0</v>
      </c>
      <c r="CA74" s="4">
        <v>3718</v>
      </c>
      <c r="CB74" s="4">
        <v>96</v>
      </c>
      <c r="CC74" s="4">
        <v>4</v>
      </c>
      <c r="CD74" s="4">
        <v>77</v>
      </c>
      <c r="CE74" s="4">
        <v>27</v>
      </c>
      <c r="CF74" s="4">
        <v>65</v>
      </c>
      <c r="CG74" s="4">
        <v>121</v>
      </c>
      <c r="CH74" s="4">
        <v>51</v>
      </c>
      <c r="CI74" s="4">
        <v>80</v>
      </c>
      <c r="CJ74" s="4">
        <v>669</v>
      </c>
      <c r="CK74" s="4">
        <v>224</v>
      </c>
      <c r="CL74" s="4">
        <v>0</v>
      </c>
      <c r="CM74" s="4">
        <v>79</v>
      </c>
      <c r="CN74" s="4">
        <v>537</v>
      </c>
      <c r="CO74" s="4">
        <v>125</v>
      </c>
      <c r="CP74" s="4">
        <v>46</v>
      </c>
      <c r="CQ74" s="4">
        <v>1</v>
      </c>
      <c r="CR74" s="4">
        <v>64</v>
      </c>
      <c r="CS74" s="4">
        <v>514</v>
      </c>
      <c r="CT74" s="4">
        <v>255</v>
      </c>
      <c r="CU74" s="4">
        <v>40</v>
      </c>
      <c r="CV74" s="4">
        <v>705</v>
      </c>
      <c r="CW74" s="4">
        <v>39</v>
      </c>
      <c r="CX74" s="3">
        <v>39</v>
      </c>
    </row>
    <row r="75" spans="1:102" ht="15.75" x14ac:dyDescent="0.25">
      <c r="A75" s="4" t="s">
        <v>245</v>
      </c>
      <c r="B75" s="4" t="s">
        <v>246</v>
      </c>
      <c r="C75" s="4">
        <v>2018</v>
      </c>
      <c r="D75" s="4">
        <v>31</v>
      </c>
      <c r="E75" s="4">
        <v>0</v>
      </c>
      <c r="F75" s="4">
        <v>5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2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1</v>
      </c>
      <c r="AW75" s="4">
        <v>0</v>
      </c>
      <c r="AX75" s="4">
        <v>1</v>
      </c>
      <c r="AY75" s="4">
        <v>0</v>
      </c>
      <c r="AZ75" s="4">
        <v>0</v>
      </c>
      <c r="BA75" s="4">
        <v>0</v>
      </c>
      <c r="BB75" s="4">
        <v>1</v>
      </c>
      <c r="BC75" s="4">
        <v>0</v>
      </c>
      <c r="BD75" s="4">
        <v>0</v>
      </c>
      <c r="BE75" s="4">
        <v>2</v>
      </c>
      <c r="BF75" s="4">
        <v>1</v>
      </c>
      <c r="BG75" s="4">
        <v>0</v>
      </c>
      <c r="BH75" s="4">
        <v>0</v>
      </c>
      <c r="BI75" s="4">
        <v>0</v>
      </c>
      <c r="BJ75" s="4">
        <v>4</v>
      </c>
      <c r="BK75" s="4">
        <v>1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1</v>
      </c>
      <c r="BR75" s="4">
        <v>0</v>
      </c>
      <c r="BS75" s="4">
        <v>1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1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3">
        <v>0</v>
      </c>
    </row>
    <row r="76" spans="1:102" ht="15.75" x14ac:dyDescent="0.25">
      <c r="A76" s="4" t="s">
        <v>247</v>
      </c>
      <c r="B76" s="4" t="s">
        <v>248</v>
      </c>
      <c r="C76" s="4">
        <v>2018</v>
      </c>
      <c r="D76" s="4">
        <v>14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1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1</v>
      </c>
      <c r="AY76" s="4">
        <v>0</v>
      </c>
      <c r="AZ76" s="4">
        <v>1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1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2</v>
      </c>
      <c r="BT76" s="4">
        <v>0</v>
      </c>
      <c r="BU76" s="4">
        <v>0</v>
      </c>
      <c r="BV76" s="4">
        <v>0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1</v>
      </c>
      <c r="CW76" s="4">
        <v>0</v>
      </c>
      <c r="CX76" s="3">
        <v>0</v>
      </c>
    </row>
    <row r="77" spans="1:102" ht="15.75" x14ac:dyDescent="0.25">
      <c r="A77" s="4" t="s">
        <v>249</v>
      </c>
      <c r="B77" s="4" t="s">
        <v>250</v>
      </c>
      <c r="C77" s="4">
        <v>2018</v>
      </c>
      <c r="D77" s="4">
        <v>76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1</v>
      </c>
      <c r="O77" s="4">
        <v>17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</v>
      </c>
      <c r="AH77" s="4">
        <v>0</v>
      </c>
      <c r="AI77" s="4">
        <v>1</v>
      </c>
      <c r="AJ77" s="4">
        <v>8</v>
      </c>
      <c r="AK77" s="4">
        <v>1</v>
      </c>
      <c r="AL77" s="4">
        <v>0</v>
      </c>
      <c r="AM77" s="4">
        <v>1</v>
      </c>
      <c r="AN77" s="4">
        <v>0</v>
      </c>
      <c r="AO77" s="4">
        <v>1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1</v>
      </c>
      <c r="AW77" s="4">
        <v>2</v>
      </c>
      <c r="AX77" s="4">
        <v>1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4</v>
      </c>
      <c r="BG77" s="4">
        <v>0</v>
      </c>
      <c r="BH77" s="4">
        <v>0</v>
      </c>
      <c r="BI77" s="4">
        <v>0</v>
      </c>
      <c r="BJ77" s="4">
        <v>1</v>
      </c>
      <c r="BK77" s="4">
        <v>1</v>
      </c>
      <c r="BL77" s="4">
        <v>0</v>
      </c>
      <c r="BM77" s="4">
        <v>0</v>
      </c>
      <c r="BN77" s="4">
        <v>1</v>
      </c>
      <c r="BO77" s="4">
        <v>0</v>
      </c>
      <c r="BP77" s="4">
        <v>0</v>
      </c>
      <c r="BQ77" s="4">
        <v>1</v>
      </c>
      <c r="BR77" s="4">
        <v>0</v>
      </c>
      <c r="BS77" s="4">
        <v>2</v>
      </c>
      <c r="BT77" s="4">
        <v>0</v>
      </c>
      <c r="BU77" s="4">
        <v>0</v>
      </c>
      <c r="BV77" s="4">
        <v>3</v>
      </c>
      <c r="BW77" s="4">
        <v>0</v>
      </c>
      <c r="BX77" s="4">
        <v>11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2</v>
      </c>
      <c r="CK77" s="4">
        <v>0</v>
      </c>
      <c r="CL77" s="4">
        <v>0</v>
      </c>
      <c r="CM77" s="4">
        <v>0</v>
      </c>
      <c r="CN77" s="4">
        <v>2</v>
      </c>
      <c r="CO77" s="4">
        <v>1</v>
      </c>
      <c r="CP77" s="4">
        <v>0</v>
      </c>
      <c r="CQ77" s="4">
        <v>0</v>
      </c>
      <c r="CR77" s="4">
        <v>0</v>
      </c>
      <c r="CS77" s="4">
        <v>0</v>
      </c>
      <c r="CT77" s="4">
        <v>1</v>
      </c>
      <c r="CU77" s="4">
        <v>3</v>
      </c>
      <c r="CV77" s="4">
        <v>2</v>
      </c>
      <c r="CW77" s="4">
        <v>1</v>
      </c>
      <c r="CX77" s="3">
        <v>1</v>
      </c>
    </row>
    <row r="78" spans="1:102" ht="15.75" x14ac:dyDescent="0.25">
      <c r="A78" s="4" t="s">
        <v>251</v>
      </c>
      <c r="B78" s="4" t="s">
        <v>252</v>
      </c>
      <c r="C78" s="4">
        <v>2018</v>
      </c>
      <c r="D78" s="4">
        <v>340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13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48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1</v>
      </c>
      <c r="AK78" s="4">
        <v>1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12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1</v>
      </c>
      <c r="BO78" s="4">
        <v>0</v>
      </c>
      <c r="BP78" s="4">
        <v>0</v>
      </c>
      <c r="BQ78" s="4">
        <v>1</v>
      </c>
      <c r="BR78" s="4">
        <v>0</v>
      </c>
      <c r="BS78" s="4">
        <v>0</v>
      </c>
      <c r="BT78" s="4">
        <v>1</v>
      </c>
      <c r="BU78" s="4">
        <v>0</v>
      </c>
      <c r="BV78" s="4">
        <v>0</v>
      </c>
      <c r="BW78" s="4">
        <v>0</v>
      </c>
      <c r="BX78" s="4">
        <v>3</v>
      </c>
      <c r="BY78" s="4">
        <v>0</v>
      </c>
      <c r="BZ78" s="4">
        <v>0</v>
      </c>
      <c r="CA78" s="4">
        <v>119</v>
      </c>
      <c r="CB78" s="4">
        <v>121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2</v>
      </c>
      <c r="CL78" s="4">
        <v>0</v>
      </c>
      <c r="CM78" s="4">
        <v>0</v>
      </c>
      <c r="CN78" s="4">
        <v>1</v>
      </c>
      <c r="CO78" s="4">
        <v>1</v>
      </c>
      <c r="CP78" s="4">
        <v>0</v>
      </c>
      <c r="CQ78" s="4">
        <v>0</v>
      </c>
      <c r="CR78" s="4">
        <v>5</v>
      </c>
      <c r="CS78" s="4">
        <v>6</v>
      </c>
      <c r="CT78" s="4">
        <v>0</v>
      </c>
      <c r="CU78" s="4">
        <v>0</v>
      </c>
      <c r="CV78" s="4">
        <v>3</v>
      </c>
      <c r="CW78" s="4">
        <v>0</v>
      </c>
      <c r="CX78" s="3">
        <v>0</v>
      </c>
    </row>
    <row r="79" spans="1:102" ht="15.75" x14ac:dyDescent="0.25">
      <c r="A79" s="4" t="s">
        <v>253</v>
      </c>
      <c r="B79" s="4" t="s">
        <v>254</v>
      </c>
      <c r="C79" s="4">
        <v>2018</v>
      </c>
      <c r="D79" s="4">
        <v>380</v>
      </c>
      <c r="E79" s="4">
        <v>0</v>
      </c>
      <c r="F79" s="4">
        <v>5</v>
      </c>
      <c r="G79" s="4">
        <v>3</v>
      </c>
      <c r="H79" s="4">
        <v>1</v>
      </c>
      <c r="I79" s="4">
        <v>4</v>
      </c>
      <c r="J79" s="4">
        <v>3</v>
      </c>
      <c r="K79" s="4">
        <v>4</v>
      </c>
      <c r="L79" s="4">
        <v>1</v>
      </c>
      <c r="M79" s="4">
        <v>1</v>
      </c>
      <c r="N79" s="4">
        <v>6</v>
      </c>
      <c r="O79" s="4">
        <v>4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80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3</v>
      </c>
      <c r="AH79" s="4">
        <v>1</v>
      </c>
      <c r="AI79" s="4">
        <v>9</v>
      </c>
      <c r="AJ79" s="4">
        <v>17</v>
      </c>
      <c r="AK79" s="4">
        <v>12</v>
      </c>
      <c r="AL79" s="4">
        <v>0</v>
      </c>
      <c r="AM79" s="4">
        <v>1</v>
      </c>
      <c r="AN79" s="4">
        <v>2</v>
      </c>
      <c r="AO79" s="4">
        <v>22</v>
      </c>
      <c r="AP79" s="4">
        <v>0</v>
      </c>
      <c r="AQ79" s="4">
        <v>3</v>
      </c>
      <c r="AR79" s="4">
        <v>0</v>
      </c>
      <c r="AS79" s="4">
        <v>1</v>
      </c>
      <c r="AT79" s="4">
        <v>2</v>
      </c>
      <c r="AU79" s="4">
        <v>1</v>
      </c>
      <c r="AV79" s="4">
        <v>7</v>
      </c>
      <c r="AW79" s="4">
        <v>1</v>
      </c>
      <c r="AX79" s="4">
        <v>14</v>
      </c>
      <c r="AY79" s="4">
        <v>1</v>
      </c>
      <c r="AZ79" s="4">
        <v>4</v>
      </c>
      <c r="BA79" s="4">
        <v>0</v>
      </c>
      <c r="BB79" s="4">
        <v>2</v>
      </c>
      <c r="BC79" s="4">
        <v>3</v>
      </c>
      <c r="BD79" s="4">
        <v>0</v>
      </c>
      <c r="BE79" s="4">
        <v>10</v>
      </c>
      <c r="BF79" s="4">
        <v>10</v>
      </c>
      <c r="BG79" s="4">
        <v>0</v>
      </c>
      <c r="BH79" s="4">
        <v>1</v>
      </c>
      <c r="BI79" s="4">
        <v>0</v>
      </c>
      <c r="BJ79" s="4">
        <v>30</v>
      </c>
      <c r="BK79" s="4">
        <v>9</v>
      </c>
      <c r="BL79" s="4">
        <v>0</v>
      </c>
      <c r="BM79" s="4">
        <v>1</v>
      </c>
      <c r="BN79" s="4">
        <v>3</v>
      </c>
      <c r="BO79" s="4">
        <v>0</v>
      </c>
      <c r="BP79" s="4">
        <v>0</v>
      </c>
      <c r="BQ79" s="4">
        <v>4</v>
      </c>
      <c r="BR79" s="4">
        <v>1</v>
      </c>
      <c r="BS79" s="4">
        <v>10</v>
      </c>
      <c r="BT79" s="4">
        <v>2</v>
      </c>
      <c r="BU79" s="4">
        <v>0</v>
      </c>
      <c r="BV79" s="4">
        <v>7</v>
      </c>
      <c r="BW79" s="4">
        <v>12</v>
      </c>
      <c r="BX79" s="4">
        <v>8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2</v>
      </c>
      <c r="CE79" s="4">
        <v>0</v>
      </c>
      <c r="CF79" s="4">
        <v>9</v>
      </c>
      <c r="CG79" s="4">
        <v>0</v>
      </c>
      <c r="CH79" s="4">
        <v>1</v>
      </c>
      <c r="CI79" s="4">
        <v>0</v>
      </c>
      <c r="CJ79" s="4">
        <v>2</v>
      </c>
      <c r="CK79" s="4">
        <v>0</v>
      </c>
      <c r="CL79" s="4">
        <v>0</v>
      </c>
      <c r="CM79" s="4">
        <v>1</v>
      </c>
      <c r="CN79" s="4">
        <v>9</v>
      </c>
      <c r="CO79" s="4">
        <v>0</v>
      </c>
      <c r="CP79" s="4">
        <v>1</v>
      </c>
      <c r="CQ79" s="4">
        <v>0</v>
      </c>
      <c r="CR79" s="4">
        <v>0</v>
      </c>
      <c r="CS79" s="4">
        <v>0</v>
      </c>
      <c r="CT79" s="4">
        <v>8</v>
      </c>
      <c r="CU79" s="4">
        <v>0</v>
      </c>
      <c r="CV79" s="4">
        <v>15</v>
      </c>
      <c r="CW79" s="4">
        <v>3</v>
      </c>
      <c r="CX79" s="3">
        <v>3</v>
      </c>
    </row>
    <row r="80" spans="1:102" ht="15.75" x14ac:dyDescent="0.25">
      <c r="A80" s="4" t="s">
        <v>255</v>
      </c>
      <c r="B80" s="4" t="s">
        <v>256</v>
      </c>
      <c r="C80" s="4">
        <v>2018</v>
      </c>
      <c r="D80" s="4">
        <v>386</v>
      </c>
      <c r="E80" s="4">
        <v>0</v>
      </c>
      <c r="F80" s="4">
        <v>3</v>
      </c>
      <c r="G80" s="4">
        <v>1</v>
      </c>
      <c r="H80" s="4">
        <v>1</v>
      </c>
      <c r="I80" s="4">
        <v>3</v>
      </c>
      <c r="J80" s="4">
        <v>2</v>
      </c>
      <c r="K80" s="4">
        <v>1</v>
      </c>
      <c r="L80" s="4">
        <v>2</v>
      </c>
      <c r="M80" s="4">
        <v>1</v>
      </c>
      <c r="N80" s="4">
        <v>9</v>
      </c>
      <c r="O80" s="4">
        <v>4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47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2</v>
      </c>
      <c r="AJ80" s="4">
        <v>14</v>
      </c>
      <c r="AK80" s="4">
        <v>5</v>
      </c>
      <c r="AL80" s="4">
        <v>0</v>
      </c>
      <c r="AM80" s="4">
        <v>0</v>
      </c>
      <c r="AN80" s="4">
        <v>1</v>
      </c>
      <c r="AO80" s="4">
        <v>0</v>
      </c>
      <c r="AP80" s="4">
        <v>0</v>
      </c>
      <c r="AQ80" s="4">
        <v>1</v>
      </c>
      <c r="AR80" s="4">
        <v>1</v>
      </c>
      <c r="AS80" s="4">
        <v>1</v>
      </c>
      <c r="AT80" s="4">
        <v>1</v>
      </c>
      <c r="AU80" s="4">
        <v>2</v>
      </c>
      <c r="AV80" s="4">
        <v>1</v>
      </c>
      <c r="AW80" s="4">
        <v>0</v>
      </c>
      <c r="AX80" s="4">
        <v>4</v>
      </c>
      <c r="AY80" s="4">
        <v>0</v>
      </c>
      <c r="AZ80" s="4">
        <v>0</v>
      </c>
      <c r="BA80" s="4">
        <v>0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1</v>
      </c>
      <c r="BK80" s="4">
        <v>2</v>
      </c>
      <c r="BL80" s="4">
        <v>0</v>
      </c>
      <c r="BM80" s="4">
        <v>2</v>
      </c>
      <c r="BN80" s="4">
        <v>5</v>
      </c>
      <c r="BO80" s="4">
        <v>0</v>
      </c>
      <c r="BP80" s="4">
        <v>1</v>
      </c>
      <c r="BQ80" s="4">
        <v>5</v>
      </c>
      <c r="BR80" s="4">
        <v>1</v>
      </c>
      <c r="BS80" s="4">
        <v>5</v>
      </c>
      <c r="BT80" s="4">
        <v>2</v>
      </c>
      <c r="BU80" s="4">
        <v>0</v>
      </c>
      <c r="BV80" s="4">
        <v>3</v>
      </c>
      <c r="BW80" s="4">
        <v>0</v>
      </c>
      <c r="BX80" s="4">
        <v>141</v>
      </c>
      <c r="BY80" s="4">
        <v>0</v>
      </c>
      <c r="BZ80" s="4">
        <v>0</v>
      </c>
      <c r="CA80" s="4">
        <v>0</v>
      </c>
      <c r="CB80" s="4">
        <v>78</v>
      </c>
      <c r="CC80" s="4">
        <v>0</v>
      </c>
      <c r="CD80" s="4">
        <v>1</v>
      </c>
      <c r="CE80" s="4">
        <v>0</v>
      </c>
      <c r="CF80" s="4">
        <v>1</v>
      </c>
      <c r="CG80" s="4">
        <v>0</v>
      </c>
      <c r="CH80" s="4">
        <v>2</v>
      </c>
      <c r="CI80" s="4">
        <v>0</v>
      </c>
      <c r="CJ80" s="4">
        <v>6</v>
      </c>
      <c r="CK80" s="4">
        <v>0</v>
      </c>
      <c r="CL80" s="4">
        <v>0</v>
      </c>
      <c r="CM80" s="4">
        <v>0</v>
      </c>
      <c r="CN80" s="4">
        <v>4</v>
      </c>
      <c r="CO80" s="4">
        <v>1</v>
      </c>
      <c r="CP80" s="4">
        <v>0</v>
      </c>
      <c r="CQ80" s="4">
        <v>0</v>
      </c>
      <c r="CR80" s="4">
        <v>1</v>
      </c>
      <c r="CS80" s="4">
        <v>1</v>
      </c>
      <c r="CT80" s="4">
        <v>1</v>
      </c>
      <c r="CU80" s="4">
        <v>0</v>
      </c>
      <c r="CV80" s="4">
        <v>5</v>
      </c>
      <c r="CW80" s="4">
        <v>2</v>
      </c>
      <c r="CX80" s="3">
        <v>2</v>
      </c>
    </row>
    <row r="81" spans="1:102" ht="15.75" x14ac:dyDescent="0.25">
      <c r="A81" s="4" t="s">
        <v>257</v>
      </c>
      <c r="B81" s="4" t="s">
        <v>258</v>
      </c>
      <c r="C81" s="4">
        <v>2018</v>
      </c>
      <c r="D81" s="4">
        <v>1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3">
        <v>0</v>
      </c>
    </row>
    <row r="82" spans="1:102" ht="15.75" x14ac:dyDescent="0.25">
      <c r="A82" s="4" t="s">
        <v>259</v>
      </c>
      <c r="B82" s="4" t="s">
        <v>260</v>
      </c>
      <c r="C82" s="4">
        <v>2018</v>
      </c>
      <c r="D82" s="4">
        <v>30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v>1</v>
      </c>
      <c r="K82" s="4">
        <v>0</v>
      </c>
      <c r="L82" s="4">
        <v>0</v>
      </c>
      <c r="M82" s="4">
        <v>0</v>
      </c>
      <c r="N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2</v>
      </c>
      <c r="AK82" s="4">
        <v>1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1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1</v>
      </c>
      <c r="BR82" s="4">
        <v>0</v>
      </c>
      <c r="BS82" s="4">
        <v>1</v>
      </c>
      <c r="BT82" s="4">
        <v>0</v>
      </c>
      <c r="BU82" s="4">
        <v>0</v>
      </c>
      <c r="BV82" s="4">
        <v>0</v>
      </c>
      <c r="BW82" s="4">
        <v>1</v>
      </c>
      <c r="BX82" s="4">
        <v>4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4</v>
      </c>
      <c r="CG82" s="4">
        <v>0</v>
      </c>
      <c r="CH82" s="4">
        <v>1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2</v>
      </c>
      <c r="CW82" s="4">
        <v>0</v>
      </c>
      <c r="CX82" s="3">
        <v>0</v>
      </c>
    </row>
    <row r="83" spans="1:102" ht="15.75" x14ac:dyDescent="0.25">
      <c r="A83" s="4" t="s">
        <v>261</v>
      </c>
      <c r="B83" s="4" t="s">
        <v>262</v>
      </c>
      <c r="C83" s="4">
        <v>2018</v>
      </c>
      <c r="D83" s="4">
        <v>22</v>
      </c>
      <c r="E83" s="4">
        <v>0</v>
      </c>
      <c r="F83" s="4">
        <v>2</v>
      </c>
      <c r="G83" s="4">
        <v>4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3</v>
      </c>
      <c r="AW83" s="4">
        <v>0</v>
      </c>
      <c r="AX83" s="4">
        <v>0</v>
      </c>
      <c r="AY83" s="4">
        <v>0</v>
      </c>
      <c r="AZ83" s="4">
        <v>1</v>
      </c>
      <c r="BA83" s="4">
        <v>0</v>
      </c>
      <c r="BB83" s="4">
        <v>1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1</v>
      </c>
      <c r="BK83" s="4">
        <v>2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1</v>
      </c>
      <c r="BT83" s="4">
        <v>1</v>
      </c>
      <c r="BU83" s="4">
        <v>0</v>
      </c>
      <c r="BV83" s="4">
        <v>0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1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1</v>
      </c>
      <c r="CW83" s="4">
        <v>0</v>
      </c>
      <c r="CX83" s="3">
        <v>0</v>
      </c>
    </row>
    <row r="84" spans="1:102" ht="15.75" x14ac:dyDescent="0.25">
      <c r="A84" s="4" t="s">
        <v>263</v>
      </c>
      <c r="B84" s="4" t="s">
        <v>264</v>
      </c>
      <c r="C84" s="4">
        <v>2018</v>
      </c>
      <c r="D84" s="4">
        <v>29</v>
      </c>
      <c r="E84" s="4">
        <v>0</v>
      </c>
      <c r="F84" s="4">
        <v>4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3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3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1</v>
      </c>
      <c r="AY84" s="4">
        <v>0</v>
      </c>
      <c r="AZ84" s="4">
        <v>0</v>
      </c>
      <c r="BA84" s="4">
        <v>0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3</v>
      </c>
      <c r="BK84" s="4">
        <v>2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1</v>
      </c>
      <c r="BT84" s="4">
        <v>0</v>
      </c>
      <c r="BU84" s="4">
        <v>0</v>
      </c>
      <c r="BV84" s="4">
        <v>0</v>
      </c>
      <c r="BW84" s="4">
        <v>1</v>
      </c>
      <c r="BX84" s="4">
        <v>2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1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3">
        <v>0</v>
      </c>
    </row>
    <row r="85" spans="1:102" ht="15.75" x14ac:dyDescent="0.25">
      <c r="A85" s="4" t="s">
        <v>265</v>
      </c>
      <c r="B85" s="4" t="s">
        <v>266</v>
      </c>
      <c r="C85" s="4">
        <v>2018</v>
      </c>
      <c r="D85" s="4">
        <v>1695</v>
      </c>
      <c r="E85" s="4">
        <v>1</v>
      </c>
      <c r="F85" s="4">
        <v>4</v>
      </c>
      <c r="G85" s="4">
        <v>9</v>
      </c>
      <c r="H85" s="4">
        <v>5</v>
      </c>
      <c r="I85" s="4">
        <v>18</v>
      </c>
      <c r="J85" s="4">
        <v>7</v>
      </c>
      <c r="K85" s="4">
        <v>1</v>
      </c>
      <c r="L85" s="4">
        <v>9</v>
      </c>
      <c r="M85" s="4">
        <v>4</v>
      </c>
      <c r="N85" s="4">
        <v>16</v>
      </c>
      <c r="O85" s="4">
        <v>122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4">
        <v>34</v>
      </c>
      <c r="X85" s="4">
        <v>1</v>
      </c>
      <c r="Y85" s="4">
        <v>0</v>
      </c>
      <c r="Z85" s="4">
        <v>103</v>
      </c>
      <c r="AA85" s="4">
        <v>64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7</v>
      </c>
      <c r="AH85" s="4">
        <v>2</v>
      </c>
      <c r="AI85" s="4">
        <v>26</v>
      </c>
      <c r="AJ85" s="4">
        <v>126</v>
      </c>
      <c r="AK85" s="4">
        <v>37</v>
      </c>
      <c r="AL85" s="4">
        <v>1</v>
      </c>
      <c r="AM85" s="4">
        <v>19</v>
      </c>
      <c r="AN85" s="4">
        <v>7</v>
      </c>
      <c r="AO85" s="4">
        <v>31</v>
      </c>
      <c r="AP85" s="4">
        <v>1</v>
      </c>
      <c r="AQ85" s="4">
        <v>5</v>
      </c>
      <c r="AR85" s="4">
        <v>1</v>
      </c>
      <c r="AS85" s="4">
        <v>5</v>
      </c>
      <c r="AT85" s="4">
        <v>7</v>
      </c>
      <c r="AU85" s="4">
        <v>7</v>
      </c>
      <c r="AV85" s="4">
        <v>11</v>
      </c>
      <c r="AW85" s="4">
        <v>35</v>
      </c>
      <c r="AX85" s="4">
        <v>14</v>
      </c>
      <c r="AY85" s="4">
        <v>0</v>
      </c>
      <c r="AZ85" s="4">
        <v>8</v>
      </c>
      <c r="BA85" s="4">
        <v>0</v>
      </c>
      <c r="BB85" s="4">
        <v>7</v>
      </c>
      <c r="BC85" s="4">
        <v>0</v>
      </c>
      <c r="BD85" s="4">
        <v>0</v>
      </c>
      <c r="BE85" s="4">
        <v>6</v>
      </c>
      <c r="BF85" s="4">
        <v>12</v>
      </c>
      <c r="BG85" s="4">
        <v>1</v>
      </c>
      <c r="BH85" s="4">
        <v>1</v>
      </c>
      <c r="BI85" s="4">
        <v>1</v>
      </c>
      <c r="BJ85" s="4">
        <v>17</v>
      </c>
      <c r="BK85" s="4">
        <v>18</v>
      </c>
      <c r="BL85" s="4">
        <v>0</v>
      </c>
      <c r="BM85" s="4">
        <v>3</v>
      </c>
      <c r="BN85" s="4">
        <v>21</v>
      </c>
      <c r="BO85" s="4">
        <v>0</v>
      </c>
      <c r="BP85" s="4">
        <v>2</v>
      </c>
      <c r="BQ85" s="4">
        <v>50</v>
      </c>
      <c r="BR85" s="4">
        <v>2</v>
      </c>
      <c r="BS85" s="4">
        <v>23</v>
      </c>
      <c r="BT85" s="4">
        <v>15</v>
      </c>
      <c r="BU85" s="4">
        <v>3</v>
      </c>
      <c r="BV85" s="4">
        <v>10</v>
      </c>
      <c r="BW85" s="4">
        <v>5</v>
      </c>
      <c r="BX85" s="4">
        <v>66</v>
      </c>
      <c r="BY85" s="4">
        <v>0</v>
      </c>
      <c r="BZ85" s="4">
        <v>0</v>
      </c>
      <c r="CA85" s="4">
        <v>4</v>
      </c>
      <c r="CB85" s="4">
        <v>480</v>
      </c>
      <c r="CC85" s="4">
        <v>0</v>
      </c>
      <c r="CD85" s="4">
        <v>6</v>
      </c>
      <c r="CE85" s="4">
        <v>0</v>
      </c>
      <c r="CF85" s="4">
        <v>2</v>
      </c>
      <c r="CG85" s="4">
        <v>1</v>
      </c>
      <c r="CH85" s="4">
        <v>1</v>
      </c>
      <c r="CI85" s="4">
        <v>5</v>
      </c>
      <c r="CJ85" s="4">
        <v>67</v>
      </c>
      <c r="CK85" s="4">
        <v>19</v>
      </c>
      <c r="CL85" s="4">
        <v>0</v>
      </c>
      <c r="CM85" s="4">
        <v>2</v>
      </c>
      <c r="CN85" s="4">
        <v>14</v>
      </c>
      <c r="CO85" s="4">
        <v>7</v>
      </c>
      <c r="CP85" s="4">
        <v>2</v>
      </c>
      <c r="CQ85" s="4">
        <v>0</v>
      </c>
      <c r="CR85" s="4">
        <v>2</v>
      </c>
      <c r="CS85" s="4">
        <v>2</v>
      </c>
      <c r="CT85" s="4">
        <v>13</v>
      </c>
      <c r="CU85" s="4">
        <v>2</v>
      </c>
      <c r="CV85" s="4">
        <v>56</v>
      </c>
      <c r="CW85" s="4">
        <v>1</v>
      </c>
      <c r="CX85" s="3">
        <v>1</v>
      </c>
    </row>
    <row r="86" spans="1:102" ht="15.75" x14ac:dyDescent="0.25">
      <c r="A86" s="4" t="s">
        <v>267</v>
      </c>
      <c r="B86" s="4" t="s">
        <v>268</v>
      </c>
      <c r="C86" s="4">
        <v>2018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3">
        <v>0</v>
      </c>
    </row>
    <row r="87" spans="1:102" ht="15.75" x14ac:dyDescent="0.25">
      <c r="A87" s="4" t="s">
        <v>269</v>
      </c>
      <c r="B87" s="4" t="s">
        <v>270</v>
      </c>
      <c r="C87" s="4">
        <v>2018</v>
      </c>
      <c r="D87" s="4">
        <v>36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1</v>
      </c>
      <c r="M87" s="4">
        <v>0</v>
      </c>
      <c r="N87" s="4">
        <v>1</v>
      </c>
      <c r="O87" s="4">
        <v>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2</v>
      </c>
      <c r="AK87" s="4">
        <v>1</v>
      </c>
      <c r="AL87" s="4">
        <v>0</v>
      </c>
      <c r="AM87" s="4">
        <v>1</v>
      </c>
      <c r="AN87" s="4">
        <v>0</v>
      </c>
      <c r="AO87" s="4">
        <v>2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1</v>
      </c>
      <c r="AV87" s="4">
        <v>1</v>
      </c>
      <c r="AW87" s="4">
        <v>0</v>
      </c>
      <c r="AX87" s="4">
        <v>2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1</v>
      </c>
      <c r="BF87" s="4">
        <v>2</v>
      </c>
      <c r="BG87" s="4">
        <v>0</v>
      </c>
      <c r="BH87" s="4">
        <v>0</v>
      </c>
      <c r="BI87" s="4">
        <v>0</v>
      </c>
      <c r="BJ87" s="4">
        <v>1</v>
      </c>
      <c r="BK87" s="4">
        <v>1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1</v>
      </c>
      <c r="BW87" s="4">
        <v>0</v>
      </c>
      <c r="BX87" s="4">
        <v>8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1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1</v>
      </c>
      <c r="CU87" s="4">
        <v>0</v>
      </c>
      <c r="CV87" s="4">
        <v>1</v>
      </c>
      <c r="CW87" s="4">
        <v>1</v>
      </c>
      <c r="CX87" s="3">
        <v>1</v>
      </c>
    </row>
    <row r="88" spans="1:102" ht="15.75" x14ac:dyDescent="0.25">
      <c r="A88" s="4" t="s">
        <v>271</v>
      </c>
      <c r="B88" s="4" t="s">
        <v>272</v>
      </c>
      <c r="C88" s="4">
        <v>2018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3">
        <v>0</v>
      </c>
    </row>
    <row r="89" spans="1:102" ht="15.75" x14ac:dyDescent="0.25">
      <c r="A89" s="4" t="s">
        <v>273</v>
      </c>
      <c r="B89" s="4" t="s">
        <v>274</v>
      </c>
      <c r="C89" s="4">
        <v>2018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3">
        <v>0</v>
      </c>
    </row>
    <row r="90" spans="1:102" ht="15.75" x14ac:dyDescent="0.25">
      <c r="A90" s="4" t="s">
        <v>275</v>
      </c>
      <c r="B90" s="4" t="s">
        <v>276</v>
      </c>
      <c r="C90" s="4">
        <v>2018</v>
      </c>
      <c r="D90" s="4">
        <v>29</v>
      </c>
      <c r="E90" s="4">
        <v>0</v>
      </c>
      <c r="F90" s="4">
        <v>0</v>
      </c>
      <c r="G90" s="4">
        <v>1</v>
      </c>
      <c r="H90" s="4">
        <v>0</v>
      </c>
      <c r="I90" s="4">
        <v>1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1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1</v>
      </c>
      <c r="AY90" s="4">
        <v>0</v>
      </c>
      <c r="AZ90" s="4">
        <v>1</v>
      </c>
      <c r="BA90" s="4">
        <v>0</v>
      </c>
      <c r="BB90" s="4">
        <v>1</v>
      </c>
      <c r="BC90" s="4">
        <v>0</v>
      </c>
      <c r="BD90" s="4">
        <v>0</v>
      </c>
      <c r="BE90" s="4">
        <v>1</v>
      </c>
      <c r="BF90" s="4">
        <v>3</v>
      </c>
      <c r="BG90" s="4">
        <v>0</v>
      </c>
      <c r="BH90" s="4">
        <v>0</v>
      </c>
      <c r="BI90" s="4">
        <v>0</v>
      </c>
      <c r="BJ90" s="4">
        <v>1</v>
      </c>
      <c r="BK90" s="4">
        <v>1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1</v>
      </c>
      <c r="BT90" s="4">
        <v>0</v>
      </c>
      <c r="BU90" s="4">
        <v>0</v>
      </c>
      <c r="BV90" s="4">
        <v>1</v>
      </c>
      <c r="BW90" s="4">
        <v>7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1</v>
      </c>
      <c r="CV90" s="4">
        <v>2</v>
      </c>
      <c r="CW90" s="4">
        <v>0</v>
      </c>
      <c r="CX90" s="3">
        <v>0</v>
      </c>
    </row>
    <row r="91" spans="1:102" ht="15.75" x14ac:dyDescent="0.25">
      <c r="A91" s="4" t="s">
        <v>277</v>
      </c>
      <c r="B91" s="4" t="s">
        <v>278</v>
      </c>
      <c r="C91" s="4">
        <v>2018</v>
      </c>
      <c r="D91" s="4">
        <v>7766</v>
      </c>
      <c r="E91" s="4">
        <v>48</v>
      </c>
      <c r="F91" s="4">
        <v>95</v>
      </c>
      <c r="G91" s="4">
        <v>15</v>
      </c>
      <c r="H91" s="4">
        <v>13</v>
      </c>
      <c r="I91" s="4">
        <v>26</v>
      </c>
      <c r="J91" s="4">
        <v>10</v>
      </c>
      <c r="K91" s="4">
        <v>11</v>
      </c>
      <c r="L91" s="4">
        <v>17</v>
      </c>
      <c r="M91" s="4">
        <v>4</v>
      </c>
      <c r="N91" s="4">
        <v>23</v>
      </c>
      <c r="O91" s="4">
        <v>239</v>
      </c>
      <c r="P91" s="4">
        <v>0</v>
      </c>
      <c r="Q91" s="4">
        <v>0</v>
      </c>
      <c r="R91" s="4">
        <v>1</v>
      </c>
      <c r="S91" s="4">
        <v>2</v>
      </c>
      <c r="T91" s="4">
        <v>5</v>
      </c>
      <c r="U91" s="4">
        <v>1</v>
      </c>
      <c r="V91" s="4">
        <v>1</v>
      </c>
      <c r="W91" s="4">
        <v>33</v>
      </c>
      <c r="X91" s="4">
        <v>2</v>
      </c>
      <c r="Y91" s="4">
        <v>0</v>
      </c>
      <c r="Z91" s="4">
        <v>0</v>
      </c>
      <c r="AA91" s="4">
        <v>3</v>
      </c>
      <c r="AB91" s="4">
        <v>0</v>
      </c>
      <c r="AC91" s="4">
        <v>0</v>
      </c>
      <c r="AD91" s="4">
        <v>0</v>
      </c>
      <c r="AE91" s="4">
        <v>1</v>
      </c>
      <c r="AF91" s="4">
        <v>0</v>
      </c>
      <c r="AG91" s="4">
        <v>7</v>
      </c>
      <c r="AH91" s="4">
        <v>6</v>
      </c>
      <c r="AI91" s="4">
        <v>20</v>
      </c>
      <c r="AJ91" s="4">
        <v>74</v>
      </c>
      <c r="AK91" s="4">
        <v>106</v>
      </c>
      <c r="AL91" s="4">
        <v>0</v>
      </c>
      <c r="AM91" s="4">
        <v>30</v>
      </c>
      <c r="AN91" s="4">
        <v>35</v>
      </c>
      <c r="AO91" s="4">
        <v>19</v>
      </c>
      <c r="AP91" s="4">
        <v>17</v>
      </c>
      <c r="AQ91" s="4">
        <v>13</v>
      </c>
      <c r="AR91" s="4">
        <v>2</v>
      </c>
      <c r="AS91" s="4">
        <v>15</v>
      </c>
      <c r="AT91" s="4">
        <v>35</v>
      </c>
      <c r="AU91" s="4">
        <v>116</v>
      </c>
      <c r="AV91" s="4">
        <v>17</v>
      </c>
      <c r="AW91" s="4">
        <v>1299</v>
      </c>
      <c r="AX91" s="4">
        <v>70</v>
      </c>
      <c r="AY91" s="4">
        <v>5</v>
      </c>
      <c r="AZ91" s="4">
        <v>17</v>
      </c>
      <c r="BA91" s="4">
        <v>0</v>
      </c>
      <c r="BB91" s="4">
        <v>1675</v>
      </c>
      <c r="BC91" s="4">
        <v>13</v>
      </c>
      <c r="BD91" s="4">
        <v>0</v>
      </c>
      <c r="BE91" s="4">
        <v>15</v>
      </c>
      <c r="BF91" s="4">
        <v>33</v>
      </c>
      <c r="BG91" s="4">
        <v>3</v>
      </c>
      <c r="BH91" s="4">
        <v>2</v>
      </c>
      <c r="BI91" s="4">
        <v>3</v>
      </c>
      <c r="BJ91" s="4">
        <v>158</v>
      </c>
      <c r="BK91" s="4">
        <v>35</v>
      </c>
      <c r="BL91" s="4">
        <v>0</v>
      </c>
      <c r="BM91" s="4">
        <v>17</v>
      </c>
      <c r="BN91" s="4">
        <v>76</v>
      </c>
      <c r="BO91" s="4">
        <v>2</v>
      </c>
      <c r="BP91" s="4">
        <v>28</v>
      </c>
      <c r="BQ91" s="4">
        <v>244</v>
      </c>
      <c r="BR91" s="4">
        <v>18</v>
      </c>
      <c r="BS91" s="4">
        <v>289</v>
      </c>
      <c r="BT91" s="4">
        <v>79</v>
      </c>
      <c r="BU91" s="4">
        <v>2</v>
      </c>
      <c r="BV91" s="4">
        <v>51</v>
      </c>
      <c r="BW91" s="4">
        <v>4</v>
      </c>
      <c r="BX91" s="4">
        <v>154</v>
      </c>
      <c r="BY91" s="4">
        <v>4</v>
      </c>
      <c r="BZ91" s="4">
        <v>0</v>
      </c>
      <c r="CA91" s="4">
        <v>45</v>
      </c>
      <c r="CB91" s="4">
        <v>48</v>
      </c>
      <c r="CC91" s="4">
        <v>0</v>
      </c>
      <c r="CD91" s="4">
        <v>6</v>
      </c>
      <c r="CE91" s="4">
        <v>0</v>
      </c>
      <c r="CF91" s="4">
        <v>14</v>
      </c>
      <c r="CG91" s="4">
        <v>36</v>
      </c>
      <c r="CH91" s="4">
        <v>4</v>
      </c>
      <c r="CI91" s="4">
        <v>58</v>
      </c>
      <c r="CJ91" s="4">
        <v>138</v>
      </c>
      <c r="CK91" s="4">
        <v>32</v>
      </c>
      <c r="CL91" s="4">
        <v>0</v>
      </c>
      <c r="CM91" s="4">
        <v>87</v>
      </c>
      <c r="CN91" s="4">
        <v>215</v>
      </c>
      <c r="CO91" s="4">
        <v>143</v>
      </c>
      <c r="CP91" s="4">
        <v>23</v>
      </c>
      <c r="CQ91" s="4">
        <v>0</v>
      </c>
      <c r="CR91" s="4">
        <v>810</v>
      </c>
      <c r="CS91" s="4">
        <v>583</v>
      </c>
      <c r="CT91" s="4">
        <v>21</v>
      </c>
      <c r="CU91" s="4">
        <v>12</v>
      </c>
      <c r="CV91" s="4">
        <v>72</v>
      </c>
      <c r="CW91" s="4">
        <v>65</v>
      </c>
      <c r="CX91" s="3">
        <v>65</v>
      </c>
    </row>
    <row r="92" spans="1:102" ht="15.75" x14ac:dyDescent="0.25">
      <c r="A92" s="4" t="s">
        <v>279</v>
      </c>
      <c r="B92" s="4" t="s">
        <v>280</v>
      </c>
      <c r="C92" s="4">
        <v>2018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3">
        <v>0</v>
      </c>
    </row>
    <row r="93" spans="1:102" ht="15.75" x14ac:dyDescent="0.25">
      <c r="A93" s="4" t="s">
        <v>281</v>
      </c>
      <c r="B93" s="4" t="s">
        <v>282</v>
      </c>
      <c r="C93" s="4">
        <v>2018</v>
      </c>
      <c r="D93" s="4">
        <v>13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1</v>
      </c>
      <c r="AJ93" s="4">
        <v>0</v>
      </c>
      <c r="AK93" s="4">
        <v>1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1</v>
      </c>
      <c r="AU93" s="4">
        <v>0</v>
      </c>
      <c r="AV93" s="4">
        <v>0</v>
      </c>
      <c r="AW93" s="4">
        <v>0</v>
      </c>
      <c r="AX93" s="4">
        <v>1</v>
      </c>
      <c r="AY93" s="4">
        <v>0</v>
      </c>
      <c r="AZ93" s="4">
        <v>1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1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1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1</v>
      </c>
      <c r="CW93" s="4">
        <v>0</v>
      </c>
      <c r="CX93" s="3">
        <v>0</v>
      </c>
    </row>
    <row r="94" spans="1:102" ht="15.75" x14ac:dyDescent="0.25">
      <c r="A94" s="4" t="s">
        <v>283</v>
      </c>
      <c r="B94" s="4" t="s">
        <v>284</v>
      </c>
      <c r="C94" s="4">
        <v>2018</v>
      </c>
      <c r="D94" s="4">
        <v>277</v>
      </c>
      <c r="E94" s="4">
        <v>0</v>
      </c>
      <c r="F94" s="4">
        <v>0</v>
      </c>
      <c r="G94" s="4">
        <v>0</v>
      </c>
      <c r="H94" s="4">
        <v>3</v>
      </c>
      <c r="I94" s="4">
        <v>1</v>
      </c>
      <c r="J94" s="4">
        <v>1</v>
      </c>
      <c r="K94" s="4">
        <v>0</v>
      </c>
      <c r="L94" s="4">
        <v>4</v>
      </c>
      <c r="M94" s="4">
        <v>1</v>
      </c>
      <c r="N94" s="4">
        <v>5</v>
      </c>
      <c r="O94" s="4">
        <v>33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38</v>
      </c>
      <c r="AA94" s="4">
        <v>1</v>
      </c>
      <c r="AB94" s="4">
        <v>0</v>
      </c>
      <c r="AC94" s="4">
        <v>0</v>
      </c>
      <c r="AD94" s="4">
        <v>0</v>
      </c>
      <c r="AE94" s="4">
        <v>1</v>
      </c>
      <c r="AF94" s="4">
        <v>0</v>
      </c>
      <c r="AG94" s="4">
        <v>1</v>
      </c>
      <c r="AH94" s="4">
        <v>0</v>
      </c>
      <c r="AI94" s="4">
        <v>4</v>
      </c>
      <c r="AJ94" s="4">
        <v>7</v>
      </c>
      <c r="AK94" s="4">
        <v>9</v>
      </c>
      <c r="AL94" s="4">
        <v>0</v>
      </c>
      <c r="AM94" s="4">
        <v>6</v>
      </c>
      <c r="AN94" s="4">
        <v>4</v>
      </c>
      <c r="AO94" s="4">
        <v>5</v>
      </c>
      <c r="AP94" s="4">
        <v>0</v>
      </c>
      <c r="AQ94" s="4">
        <v>1</v>
      </c>
      <c r="AR94" s="4">
        <v>0</v>
      </c>
      <c r="AS94" s="4">
        <v>2</v>
      </c>
      <c r="AT94" s="4">
        <v>3</v>
      </c>
      <c r="AU94" s="4">
        <v>1</v>
      </c>
      <c r="AV94" s="4">
        <v>2</v>
      </c>
      <c r="AW94" s="4">
        <v>2</v>
      </c>
      <c r="AX94" s="4">
        <v>8</v>
      </c>
      <c r="AY94" s="4">
        <v>0</v>
      </c>
      <c r="AZ94" s="4">
        <v>1</v>
      </c>
      <c r="BA94" s="4">
        <v>0</v>
      </c>
      <c r="BB94" s="4">
        <v>1</v>
      </c>
      <c r="BC94" s="4">
        <v>0</v>
      </c>
      <c r="BD94" s="4">
        <v>0</v>
      </c>
      <c r="BE94" s="4">
        <v>1</v>
      </c>
      <c r="BF94" s="4">
        <v>14</v>
      </c>
      <c r="BG94" s="4">
        <v>0</v>
      </c>
      <c r="BH94" s="4">
        <v>0</v>
      </c>
      <c r="BI94" s="4">
        <v>0</v>
      </c>
      <c r="BJ94" s="4">
        <v>4</v>
      </c>
      <c r="BK94" s="4">
        <v>6</v>
      </c>
      <c r="BL94" s="4">
        <v>0</v>
      </c>
      <c r="BM94" s="4">
        <v>1</v>
      </c>
      <c r="BN94" s="4">
        <v>6</v>
      </c>
      <c r="BO94" s="4">
        <v>0</v>
      </c>
      <c r="BP94" s="4">
        <v>1</v>
      </c>
      <c r="BQ94" s="4">
        <v>11</v>
      </c>
      <c r="BR94" s="4">
        <v>1</v>
      </c>
      <c r="BS94" s="4">
        <v>5</v>
      </c>
      <c r="BT94" s="4">
        <v>5</v>
      </c>
      <c r="BU94" s="4">
        <v>0</v>
      </c>
      <c r="BV94" s="4">
        <v>2</v>
      </c>
      <c r="BW94" s="4">
        <v>1</v>
      </c>
      <c r="BX94" s="4">
        <v>5</v>
      </c>
      <c r="BY94" s="4">
        <v>0</v>
      </c>
      <c r="BZ94" s="4">
        <v>0</v>
      </c>
      <c r="CA94" s="4">
        <v>1</v>
      </c>
      <c r="CB94" s="4">
        <v>13</v>
      </c>
      <c r="CC94" s="4">
        <v>0</v>
      </c>
      <c r="CD94" s="4">
        <v>0</v>
      </c>
      <c r="CE94" s="4">
        <v>0</v>
      </c>
      <c r="CF94" s="4">
        <v>1</v>
      </c>
      <c r="CG94" s="4">
        <v>0</v>
      </c>
      <c r="CH94" s="4">
        <v>0</v>
      </c>
      <c r="CI94" s="4">
        <v>1</v>
      </c>
      <c r="CJ94" s="4">
        <v>13</v>
      </c>
      <c r="CK94" s="4">
        <v>5</v>
      </c>
      <c r="CL94" s="4">
        <v>0</v>
      </c>
      <c r="CM94" s="4">
        <v>1</v>
      </c>
      <c r="CN94" s="4">
        <v>7</v>
      </c>
      <c r="CO94" s="4">
        <v>3</v>
      </c>
      <c r="CP94" s="4">
        <v>0</v>
      </c>
      <c r="CQ94" s="4">
        <v>0</v>
      </c>
      <c r="CR94" s="4">
        <v>0</v>
      </c>
      <c r="CS94" s="4">
        <v>0</v>
      </c>
      <c r="CT94" s="4">
        <v>2</v>
      </c>
      <c r="CU94" s="4">
        <v>1</v>
      </c>
      <c r="CV94" s="4">
        <v>16</v>
      </c>
      <c r="CW94" s="4">
        <v>0</v>
      </c>
      <c r="CX94" s="3">
        <v>0</v>
      </c>
    </row>
    <row r="95" spans="1:102" ht="15.75" x14ac:dyDescent="0.25">
      <c r="A95" s="4" t="s">
        <v>285</v>
      </c>
      <c r="B95" s="4" t="s">
        <v>286</v>
      </c>
      <c r="C95" s="4">
        <v>2018</v>
      </c>
      <c r="D95" s="4">
        <v>13</v>
      </c>
      <c r="E95" s="4">
        <v>0</v>
      </c>
      <c r="F95" s="4">
        <v>5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1</v>
      </c>
      <c r="AZ95" s="4">
        <v>2</v>
      </c>
      <c r="BA95" s="4">
        <v>0</v>
      </c>
      <c r="BB95" s="4">
        <v>0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3">
        <v>0</v>
      </c>
    </row>
    <row r="96" spans="1:102" ht="15.75" x14ac:dyDescent="0.25">
      <c r="A96" s="4" t="s">
        <v>287</v>
      </c>
      <c r="B96" s="4" t="s">
        <v>288</v>
      </c>
      <c r="C96" s="4">
        <v>2018</v>
      </c>
      <c r="D96" s="4">
        <v>1541</v>
      </c>
      <c r="E96" s="4">
        <v>9</v>
      </c>
      <c r="F96" s="4">
        <v>3</v>
      </c>
      <c r="G96" s="4">
        <v>3</v>
      </c>
      <c r="H96" s="4">
        <v>1</v>
      </c>
      <c r="I96" s="4">
        <v>3</v>
      </c>
      <c r="J96" s="4">
        <v>2</v>
      </c>
      <c r="K96" s="4">
        <v>1</v>
      </c>
      <c r="L96" s="4">
        <v>8</v>
      </c>
      <c r="M96" s="4">
        <v>4</v>
      </c>
      <c r="N96" s="4">
        <v>10</v>
      </c>
      <c r="O96" s="4">
        <v>67</v>
      </c>
      <c r="P96" s="4">
        <v>0</v>
      </c>
      <c r="Q96" s="4">
        <v>0</v>
      </c>
      <c r="R96" s="4">
        <v>6</v>
      </c>
      <c r="S96" s="4">
        <v>0</v>
      </c>
      <c r="T96" s="4">
        <v>0</v>
      </c>
      <c r="U96" s="4">
        <v>22</v>
      </c>
      <c r="V96" s="4">
        <v>2</v>
      </c>
      <c r="W96" s="4">
        <v>1</v>
      </c>
      <c r="X96" s="4">
        <v>2</v>
      </c>
      <c r="Y96" s="4">
        <v>0</v>
      </c>
      <c r="Z96" s="4">
        <v>0</v>
      </c>
      <c r="AA96" s="4">
        <v>9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36</v>
      </c>
      <c r="AH96" s="4">
        <v>3</v>
      </c>
      <c r="AI96" s="4">
        <v>18</v>
      </c>
      <c r="AJ96" s="4">
        <v>217</v>
      </c>
      <c r="AK96" s="4">
        <v>34</v>
      </c>
      <c r="AL96" s="4">
        <v>3</v>
      </c>
      <c r="AM96" s="4">
        <v>27</v>
      </c>
      <c r="AN96" s="4">
        <v>25</v>
      </c>
      <c r="AO96" s="4">
        <v>51</v>
      </c>
      <c r="AP96" s="4">
        <v>3</v>
      </c>
      <c r="AQ96" s="4">
        <v>10</v>
      </c>
      <c r="AR96" s="4">
        <v>1</v>
      </c>
      <c r="AS96" s="4">
        <v>11</v>
      </c>
      <c r="AT96" s="4">
        <v>13</v>
      </c>
      <c r="AU96" s="4">
        <v>12</v>
      </c>
      <c r="AV96" s="4">
        <v>17</v>
      </c>
      <c r="AW96" s="4">
        <v>12</v>
      </c>
      <c r="AX96" s="4">
        <v>27</v>
      </c>
      <c r="AY96" s="4">
        <v>2</v>
      </c>
      <c r="AZ96" s="4">
        <v>4</v>
      </c>
      <c r="BA96" s="4">
        <v>0</v>
      </c>
      <c r="BB96" s="4">
        <v>69</v>
      </c>
      <c r="BC96" s="4">
        <v>1</v>
      </c>
      <c r="BD96" s="4">
        <v>0</v>
      </c>
      <c r="BE96" s="4">
        <v>17</v>
      </c>
      <c r="BF96" s="4">
        <v>50</v>
      </c>
      <c r="BG96" s="4">
        <v>3</v>
      </c>
      <c r="BH96" s="4">
        <v>6</v>
      </c>
      <c r="BI96" s="4">
        <v>1</v>
      </c>
      <c r="BJ96" s="4">
        <v>27</v>
      </c>
      <c r="BK96" s="4">
        <v>39</v>
      </c>
      <c r="BL96" s="4">
        <v>0</v>
      </c>
      <c r="BM96" s="4">
        <v>5</v>
      </c>
      <c r="BN96" s="4">
        <v>47</v>
      </c>
      <c r="BO96" s="4">
        <v>1</v>
      </c>
      <c r="BP96" s="4">
        <v>10</v>
      </c>
      <c r="BQ96" s="4">
        <v>38</v>
      </c>
      <c r="BR96" s="4">
        <v>8</v>
      </c>
      <c r="BS96" s="4">
        <v>92</v>
      </c>
      <c r="BT96" s="4">
        <v>32</v>
      </c>
      <c r="BU96" s="4">
        <v>1</v>
      </c>
      <c r="BV96" s="4">
        <v>24</v>
      </c>
      <c r="BW96" s="4">
        <v>6</v>
      </c>
      <c r="BX96" s="4">
        <v>136</v>
      </c>
      <c r="BY96" s="4">
        <v>2</v>
      </c>
      <c r="BZ96" s="4">
        <v>0</v>
      </c>
      <c r="CA96" s="4">
        <v>4</v>
      </c>
      <c r="CB96" s="4">
        <v>0</v>
      </c>
      <c r="CC96" s="4">
        <v>0</v>
      </c>
      <c r="CD96" s="4">
        <v>2</v>
      </c>
      <c r="CE96" s="4">
        <v>0</v>
      </c>
      <c r="CF96" s="4">
        <v>2</v>
      </c>
      <c r="CG96" s="4">
        <v>1</v>
      </c>
      <c r="CH96" s="4">
        <v>9</v>
      </c>
      <c r="CI96" s="4">
        <v>2</v>
      </c>
      <c r="CJ96" s="4">
        <v>52</v>
      </c>
      <c r="CK96" s="4">
        <v>10</v>
      </c>
      <c r="CL96" s="4">
        <v>0</v>
      </c>
      <c r="CM96" s="4">
        <v>8</v>
      </c>
      <c r="CN96" s="4">
        <v>57</v>
      </c>
      <c r="CO96" s="4">
        <v>12</v>
      </c>
      <c r="CP96" s="4">
        <v>13</v>
      </c>
      <c r="CQ96" s="4">
        <v>0</v>
      </c>
      <c r="CR96" s="4">
        <v>0</v>
      </c>
      <c r="CS96" s="4">
        <v>1</v>
      </c>
      <c r="CT96" s="4">
        <v>21</v>
      </c>
      <c r="CU96" s="4">
        <v>5</v>
      </c>
      <c r="CV96" s="4">
        <v>44</v>
      </c>
      <c r="CW96" s="4">
        <v>1</v>
      </c>
      <c r="CX96" s="3">
        <v>1</v>
      </c>
    </row>
    <row r="97" spans="1:102" ht="15.75" x14ac:dyDescent="0.25">
      <c r="A97" s="4" t="s">
        <v>289</v>
      </c>
      <c r="B97" s="4" t="s">
        <v>290</v>
      </c>
      <c r="C97" s="4">
        <v>2018</v>
      </c>
      <c r="D97" s="4">
        <v>773</v>
      </c>
      <c r="E97" s="4">
        <v>0</v>
      </c>
      <c r="F97" s="4">
        <v>0</v>
      </c>
      <c r="G97" s="4">
        <v>0</v>
      </c>
      <c r="H97" s="4">
        <v>1</v>
      </c>
      <c r="I97" s="4">
        <v>1</v>
      </c>
      <c r="J97" s="4">
        <v>2</v>
      </c>
      <c r="K97" s="4">
        <v>0</v>
      </c>
      <c r="L97" s="4">
        <v>1</v>
      </c>
      <c r="M97" s="4">
        <v>1</v>
      </c>
      <c r="N97" s="4">
        <v>8</v>
      </c>
      <c r="O97" s="4">
        <v>53</v>
      </c>
      <c r="P97" s="4">
        <v>0</v>
      </c>
      <c r="Q97" s="4">
        <v>0</v>
      </c>
      <c r="R97" s="4">
        <v>1</v>
      </c>
      <c r="S97" s="4">
        <v>0</v>
      </c>
      <c r="T97" s="4">
        <v>35</v>
      </c>
      <c r="U97" s="4">
        <v>0</v>
      </c>
      <c r="V97" s="4">
        <v>4</v>
      </c>
      <c r="W97" s="4">
        <v>140</v>
      </c>
      <c r="X97" s="4">
        <v>1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8</v>
      </c>
      <c r="AH97" s="4">
        <v>2</v>
      </c>
      <c r="AI97" s="4">
        <v>10</v>
      </c>
      <c r="AJ97" s="4">
        <v>49</v>
      </c>
      <c r="AK97" s="4">
        <v>38</v>
      </c>
      <c r="AL97" s="4">
        <v>0</v>
      </c>
      <c r="AM97" s="4">
        <v>15</v>
      </c>
      <c r="AN97" s="4">
        <v>14</v>
      </c>
      <c r="AO97" s="4">
        <v>13</v>
      </c>
      <c r="AP97" s="4">
        <v>2</v>
      </c>
      <c r="AQ97" s="4">
        <v>3</v>
      </c>
      <c r="AR97" s="4">
        <v>0</v>
      </c>
      <c r="AS97" s="4">
        <v>5</v>
      </c>
      <c r="AT97" s="4">
        <v>6</v>
      </c>
      <c r="AU97" s="4">
        <v>4</v>
      </c>
      <c r="AV97" s="4">
        <v>7</v>
      </c>
      <c r="AW97" s="4">
        <v>6</v>
      </c>
      <c r="AX97" s="4">
        <v>17</v>
      </c>
      <c r="AY97" s="4">
        <v>0</v>
      </c>
      <c r="AZ97" s="4">
        <v>5</v>
      </c>
      <c r="BA97" s="4">
        <v>0</v>
      </c>
      <c r="BB97" s="4">
        <v>13</v>
      </c>
      <c r="BC97" s="4">
        <v>5</v>
      </c>
      <c r="BD97" s="4">
        <v>0</v>
      </c>
      <c r="BE97" s="4">
        <v>12</v>
      </c>
      <c r="BF97" s="4">
        <v>22</v>
      </c>
      <c r="BG97" s="4">
        <v>2</v>
      </c>
      <c r="BH97" s="4">
        <v>2</v>
      </c>
      <c r="BI97" s="4">
        <v>0</v>
      </c>
      <c r="BJ97" s="4">
        <v>25</v>
      </c>
      <c r="BK97" s="4">
        <v>28</v>
      </c>
      <c r="BL97" s="4">
        <v>0</v>
      </c>
      <c r="BM97" s="4">
        <v>1</v>
      </c>
      <c r="BN97" s="4">
        <v>5</v>
      </c>
      <c r="BO97" s="4">
        <v>0</v>
      </c>
      <c r="BP97" s="4">
        <v>2</v>
      </c>
      <c r="BQ97" s="4">
        <v>8</v>
      </c>
      <c r="BR97" s="4">
        <v>0</v>
      </c>
      <c r="BS97" s="4">
        <v>24</v>
      </c>
      <c r="BT97" s="4">
        <v>10</v>
      </c>
      <c r="BU97" s="4">
        <v>0</v>
      </c>
      <c r="BV97" s="4">
        <v>1</v>
      </c>
      <c r="BW97" s="4">
        <v>48</v>
      </c>
      <c r="BX97" s="4">
        <v>15</v>
      </c>
      <c r="BY97" s="4">
        <v>0</v>
      </c>
      <c r="BZ97" s="4">
        <v>0</v>
      </c>
      <c r="CA97" s="4">
        <v>14</v>
      </c>
      <c r="CB97" s="4">
        <v>6</v>
      </c>
      <c r="CC97" s="4">
        <v>0</v>
      </c>
      <c r="CD97" s="4">
        <v>5</v>
      </c>
      <c r="CE97" s="4">
        <v>0</v>
      </c>
      <c r="CF97" s="4">
        <v>1</v>
      </c>
      <c r="CG97" s="4">
        <v>1</v>
      </c>
      <c r="CH97" s="4">
        <v>0</v>
      </c>
      <c r="CI97" s="4">
        <v>0</v>
      </c>
      <c r="CJ97" s="4">
        <v>3</v>
      </c>
      <c r="CK97" s="4">
        <v>0</v>
      </c>
      <c r="CL97" s="4">
        <v>1</v>
      </c>
      <c r="CM97" s="4">
        <v>7</v>
      </c>
      <c r="CN97" s="4">
        <v>35</v>
      </c>
      <c r="CO97" s="4">
        <v>1</v>
      </c>
      <c r="CP97" s="4">
        <v>0</v>
      </c>
      <c r="CQ97" s="4">
        <v>0</v>
      </c>
      <c r="CR97" s="4">
        <v>0</v>
      </c>
      <c r="CS97" s="4">
        <v>0</v>
      </c>
      <c r="CT97" s="4">
        <v>3</v>
      </c>
      <c r="CU97" s="4">
        <v>4</v>
      </c>
      <c r="CV97" s="4">
        <v>7</v>
      </c>
      <c r="CW97" s="4">
        <v>6</v>
      </c>
      <c r="CX97" s="3">
        <v>6</v>
      </c>
    </row>
    <row r="98" spans="1:102" ht="15.75" x14ac:dyDescent="0.25">
      <c r="A98" s="4" t="s">
        <v>291</v>
      </c>
      <c r="B98" s="4" t="s">
        <v>292</v>
      </c>
      <c r="C98" s="4">
        <v>2018</v>
      </c>
      <c r="D98" s="4">
        <v>21183</v>
      </c>
      <c r="E98" s="4">
        <v>196</v>
      </c>
      <c r="F98" s="4">
        <v>526</v>
      </c>
      <c r="G98" s="4">
        <v>588</v>
      </c>
      <c r="H98" s="4">
        <v>172</v>
      </c>
      <c r="I98" s="4">
        <v>707</v>
      </c>
      <c r="J98" s="4">
        <v>416</v>
      </c>
      <c r="K98" s="4">
        <v>123</v>
      </c>
      <c r="L98" s="4">
        <v>351</v>
      </c>
      <c r="M98" s="4">
        <v>270</v>
      </c>
      <c r="N98" s="4">
        <v>294</v>
      </c>
      <c r="O98" s="4">
        <v>433</v>
      </c>
      <c r="P98" s="4">
        <v>9</v>
      </c>
      <c r="Q98" s="4">
        <v>10</v>
      </c>
      <c r="R98" s="4">
        <v>1</v>
      </c>
      <c r="S98" s="4">
        <v>96</v>
      </c>
      <c r="T98" s="4">
        <v>1</v>
      </c>
      <c r="U98" s="4">
        <v>3</v>
      </c>
      <c r="V98" s="4">
        <v>70</v>
      </c>
      <c r="W98" s="4">
        <v>23</v>
      </c>
      <c r="X98" s="4">
        <v>67</v>
      </c>
      <c r="Y98" s="4">
        <v>49</v>
      </c>
      <c r="Z98" s="4">
        <v>381</v>
      </c>
      <c r="AA98" s="4">
        <v>1667</v>
      </c>
      <c r="AB98" s="4">
        <v>546</v>
      </c>
      <c r="AC98" s="4">
        <v>92</v>
      </c>
      <c r="AD98" s="4">
        <v>14</v>
      </c>
      <c r="AE98" s="4">
        <v>62</v>
      </c>
      <c r="AF98" s="4">
        <v>6</v>
      </c>
      <c r="AG98" s="4">
        <v>133</v>
      </c>
      <c r="AH98" s="4">
        <v>55</v>
      </c>
      <c r="AI98" s="4">
        <v>139</v>
      </c>
      <c r="AJ98" s="4">
        <v>1024</v>
      </c>
      <c r="AK98" s="4">
        <v>690</v>
      </c>
      <c r="AL98" s="4">
        <v>52</v>
      </c>
      <c r="AM98" s="4">
        <v>234</v>
      </c>
      <c r="AN98" s="4">
        <v>271</v>
      </c>
      <c r="AO98" s="4">
        <v>334</v>
      </c>
      <c r="AP98" s="4">
        <v>6</v>
      </c>
      <c r="AQ98" s="4">
        <v>132</v>
      </c>
      <c r="AR98" s="4">
        <v>143</v>
      </c>
      <c r="AS98" s="4">
        <v>573</v>
      </c>
      <c r="AT98" s="4">
        <v>228</v>
      </c>
      <c r="AU98" s="4">
        <v>318</v>
      </c>
      <c r="AV98" s="4">
        <v>394</v>
      </c>
      <c r="AW98" s="4">
        <v>228</v>
      </c>
      <c r="AX98" s="4">
        <v>614</v>
      </c>
      <c r="AY98" s="4">
        <v>10</v>
      </c>
      <c r="AZ98" s="4">
        <v>50</v>
      </c>
      <c r="BA98" s="4">
        <v>0</v>
      </c>
      <c r="BB98" s="4">
        <v>46</v>
      </c>
      <c r="BC98" s="4">
        <v>24</v>
      </c>
      <c r="BD98" s="4">
        <v>15</v>
      </c>
      <c r="BE98" s="4">
        <v>100</v>
      </c>
      <c r="BF98" s="4">
        <v>470</v>
      </c>
      <c r="BG98" s="4">
        <v>13</v>
      </c>
      <c r="BH98" s="4">
        <v>46</v>
      </c>
      <c r="BI98" s="4">
        <v>13</v>
      </c>
      <c r="BJ98" s="4">
        <v>236</v>
      </c>
      <c r="BK98" s="4">
        <v>377</v>
      </c>
      <c r="BL98" s="4">
        <v>3</v>
      </c>
      <c r="BM98" s="4">
        <v>79</v>
      </c>
      <c r="BN98" s="4">
        <v>638</v>
      </c>
      <c r="BO98" s="4">
        <v>135</v>
      </c>
      <c r="BP98" s="4">
        <v>22</v>
      </c>
      <c r="BQ98" s="4">
        <v>577</v>
      </c>
      <c r="BR98" s="4">
        <v>253</v>
      </c>
      <c r="BS98" s="4">
        <v>384</v>
      </c>
      <c r="BT98" s="4">
        <v>170</v>
      </c>
      <c r="BU98" s="4">
        <v>44</v>
      </c>
      <c r="BV98" s="4">
        <v>226</v>
      </c>
      <c r="BW98" s="4">
        <v>321</v>
      </c>
      <c r="BX98" s="4">
        <v>397</v>
      </c>
      <c r="BY98" s="4">
        <v>8</v>
      </c>
      <c r="BZ98" s="4">
        <v>0</v>
      </c>
      <c r="CA98" s="4">
        <v>20</v>
      </c>
      <c r="CB98" s="4">
        <v>7</v>
      </c>
      <c r="CC98" s="4">
        <v>9</v>
      </c>
      <c r="CD98" s="4">
        <v>112</v>
      </c>
      <c r="CE98" s="4">
        <v>55</v>
      </c>
      <c r="CF98" s="4">
        <v>225</v>
      </c>
      <c r="CG98" s="4">
        <v>22</v>
      </c>
      <c r="CH98" s="4">
        <v>91</v>
      </c>
      <c r="CI98" s="4">
        <v>70</v>
      </c>
      <c r="CJ98" s="4">
        <v>1026</v>
      </c>
      <c r="CK98" s="4">
        <v>256</v>
      </c>
      <c r="CL98" s="4">
        <v>1</v>
      </c>
      <c r="CM98" s="4">
        <v>64</v>
      </c>
      <c r="CN98" s="4">
        <v>262</v>
      </c>
      <c r="CO98" s="4">
        <v>63</v>
      </c>
      <c r="CP98" s="4">
        <v>36</v>
      </c>
      <c r="CQ98" s="4">
        <v>7</v>
      </c>
      <c r="CR98" s="4">
        <v>5</v>
      </c>
      <c r="CS98" s="4">
        <v>52</v>
      </c>
      <c r="CT98" s="4">
        <v>345</v>
      </c>
      <c r="CU98" s="4">
        <v>24</v>
      </c>
      <c r="CV98" s="4">
        <v>1001</v>
      </c>
      <c r="CW98" s="4">
        <v>30</v>
      </c>
      <c r="CX98" s="3">
        <v>30</v>
      </c>
    </row>
    <row r="99" spans="1:102" ht="15.75" x14ac:dyDescent="0.25">
      <c r="A99" s="4" t="s">
        <v>293</v>
      </c>
      <c r="B99" s="4" t="s">
        <v>294</v>
      </c>
      <c r="C99" s="4">
        <v>2018</v>
      </c>
      <c r="D99" s="4">
        <v>1240</v>
      </c>
      <c r="E99" s="4">
        <v>3</v>
      </c>
      <c r="F99" s="4">
        <v>0</v>
      </c>
      <c r="G99" s="4">
        <v>2</v>
      </c>
      <c r="H99" s="4">
        <v>1</v>
      </c>
      <c r="I99" s="4">
        <v>12</v>
      </c>
      <c r="J99" s="4">
        <v>2</v>
      </c>
      <c r="K99" s="4">
        <v>13</v>
      </c>
      <c r="L99" s="4">
        <v>8</v>
      </c>
      <c r="M99" s="4">
        <v>1</v>
      </c>
      <c r="N99" s="4">
        <v>8</v>
      </c>
      <c r="O99" s="4">
        <v>124</v>
      </c>
      <c r="P99" s="4">
        <v>0</v>
      </c>
      <c r="Q99" s="4">
        <v>0</v>
      </c>
      <c r="R99" s="4">
        <v>1</v>
      </c>
      <c r="S99" s="4">
        <v>0</v>
      </c>
      <c r="T99" s="4">
        <v>0</v>
      </c>
      <c r="U99" s="4">
        <v>5</v>
      </c>
      <c r="V99" s="4">
        <v>2</v>
      </c>
      <c r="W99" s="4">
        <v>0</v>
      </c>
      <c r="X99" s="4">
        <v>1</v>
      </c>
      <c r="Y99" s="4">
        <v>0</v>
      </c>
      <c r="Z99" s="4">
        <v>0</v>
      </c>
      <c r="AA99" s="4">
        <v>12</v>
      </c>
      <c r="AB99" s="4">
        <v>0</v>
      </c>
      <c r="AC99" s="4">
        <v>0</v>
      </c>
      <c r="AD99" s="4">
        <v>1</v>
      </c>
      <c r="AE99" s="4">
        <v>4</v>
      </c>
      <c r="AF99" s="4">
        <v>0</v>
      </c>
      <c r="AG99" s="4">
        <v>8</v>
      </c>
      <c r="AH99" s="4">
        <v>4</v>
      </c>
      <c r="AI99" s="4">
        <v>11</v>
      </c>
      <c r="AJ99" s="4">
        <v>161</v>
      </c>
      <c r="AK99" s="4">
        <v>27</v>
      </c>
      <c r="AL99" s="4">
        <v>0</v>
      </c>
      <c r="AM99" s="4">
        <v>14</v>
      </c>
      <c r="AN99" s="4">
        <v>17</v>
      </c>
      <c r="AO99" s="4">
        <v>34</v>
      </c>
      <c r="AP99" s="4">
        <v>0</v>
      </c>
      <c r="AQ99" s="4">
        <v>4</v>
      </c>
      <c r="AR99" s="4">
        <v>0</v>
      </c>
      <c r="AS99" s="4">
        <v>8</v>
      </c>
      <c r="AT99" s="4">
        <v>10</v>
      </c>
      <c r="AU99" s="4">
        <v>31</v>
      </c>
      <c r="AV99" s="4">
        <v>12</v>
      </c>
      <c r="AW99" s="4">
        <v>11</v>
      </c>
      <c r="AX99" s="4">
        <v>23</v>
      </c>
      <c r="AY99" s="4">
        <v>1</v>
      </c>
      <c r="AZ99" s="4">
        <v>14</v>
      </c>
      <c r="BA99" s="4">
        <v>0</v>
      </c>
      <c r="BB99" s="4">
        <v>10</v>
      </c>
      <c r="BC99" s="4">
        <v>2</v>
      </c>
      <c r="BD99" s="4">
        <v>0</v>
      </c>
      <c r="BE99" s="4">
        <v>15</v>
      </c>
      <c r="BF99" s="4">
        <v>53</v>
      </c>
      <c r="BG99" s="4">
        <v>2</v>
      </c>
      <c r="BH99" s="4">
        <v>2</v>
      </c>
      <c r="BI99" s="4">
        <v>0</v>
      </c>
      <c r="BJ99" s="4">
        <v>26</v>
      </c>
      <c r="BK99" s="4">
        <v>43</v>
      </c>
      <c r="BL99" s="4">
        <v>0</v>
      </c>
      <c r="BM99" s="4">
        <v>4</v>
      </c>
      <c r="BN99" s="4">
        <v>26</v>
      </c>
      <c r="BO99" s="4">
        <v>0</v>
      </c>
      <c r="BP99" s="4">
        <v>5</v>
      </c>
      <c r="BQ99" s="4">
        <v>28</v>
      </c>
      <c r="BR99" s="4">
        <v>4</v>
      </c>
      <c r="BS99" s="4">
        <v>40</v>
      </c>
      <c r="BT99" s="4">
        <v>27</v>
      </c>
      <c r="BU99" s="4">
        <v>1</v>
      </c>
      <c r="BV99" s="4">
        <v>7</v>
      </c>
      <c r="BW99" s="4">
        <v>31</v>
      </c>
      <c r="BX99" s="4">
        <v>122</v>
      </c>
      <c r="BY99" s="4">
        <v>1</v>
      </c>
      <c r="BZ99" s="4">
        <v>0</v>
      </c>
      <c r="CA99" s="4">
        <v>36</v>
      </c>
      <c r="CB99" s="4">
        <v>17</v>
      </c>
      <c r="CC99" s="4">
        <v>0</v>
      </c>
      <c r="CD99" s="4">
        <v>2</v>
      </c>
      <c r="CE99" s="4">
        <v>0</v>
      </c>
      <c r="CF99" s="4">
        <v>3</v>
      </c>
      <c r="CG99" s="4">
        <v>1</v>
      </c>
      <c r="CH99" s="4">
        <v>2</v>
      </c>
      <c r="CI99" s="4">
        <v>1</v>
      </c>
      <c r="CJ99" s="4">
        <v>7</v>
      </c>
      <c r="CK99" s="4">
        <v>1</v>
      </c>
      <c r="CL99" s="4">
        <v>0</v>
      </c>
      <c r="CM99" s="4">
        <v>10</v>
      </c>
      <c r="CN99" s="4">
        <v>51</v>
      </c>
      <c r="CO99" s="4">
        <v>11</v>
      </c>
      <c r="CP99" s="4">
        <v>4</v>
      </c>
      <c r="CQ99" s="4">
        <v>0</v>
      </c>
      <c r="CR99" s="4">
        <v>6</v>
      </c>
      <c r="CS99" s="4">
        <v>2</v>
      </c>
      <c r="CT99" s="4">
        <v>6</v>
      </c>
      <c r="CU99" s="4">
        <v>4</v>
      </c>
      <c r="CV99" s="4">
        <v>32</v>
      </c>
      <c r="CW99" s="4">
        <v>6</v>
      </c>
      <c r="CX99" s="3">
        <v>6</v>
      </c>
    </row>
    <row r="100" spans="1:102" ht="15.75" x14ac:dyDescent="0.25">
      <c r="A100" s="4" t="s">
        <v>295</v>
      </c>
      <c r="B100" s="4" t="s">
        <v>296</v>
      </c>
      <c r="C100" s="4">
        <v>2018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3">
        <v>0</v>
      </c>
    </row>
    <row r="101" spans="1:102" ht="15.75" x14ac:dyDescent="0.25">
      <c r="A101" s="4" t="s">
        <v>297</v>
      </c>
      <c r="B101" s="4" t="s">
        <v>298</v>
      </c>
      <c r="C101" s="4">
        <v>2018</v>
      </c>
      <c r="D101" s="4">
        <v>5207</v>
      </c>
      <c r="E101" s="4">
        <v>1</v>
      </c>
      <c r="F101" s="4">
        <v>0</v>
      </c>
      <c r="G101" s="4">
        <v>2</v>
      </c>
      <c r="H101" s="4">
        <v>2</v>
      </c>
      <c r="I101" s="4">
        <v>3</v>
      </c>
      <c r="J101" s="4">
        <v>3</v>
      </c>
      <c r="K101" s="4">
        <v>1</v>
      </c>
      <c r="L101" s="4">
        <v>2</v>
      </c>
      <c r="M101" s="4">
        <v>4</v>
      </c>
      <c r="N101" s="4">
        <v>5</v>
      </c>
      <c r="O101" s="4">
        <v>149</v>
      </c>
      <c r="P101" s="4">
        <v>0</v>
      </c>
      <c r="Q101" s="4">
        <v>0</v>
      </c>
      <c r="R101" s="4">
        <v>32</v>
      </c>
      <c r="S101" s="4">
        <v>9</v>
      </c>
      <c r="T101" s="4">
        <v>95</v>
      </c>
      <c r="U101" s="4">
        <v>14</v>
      </c>
      <c r="V101" s="4">
        <v>16</v>
      </c>
      <c r="W101" s="4">
        <v>491</v>
      </c>
      <c r="X101" s="4">
        <v>1</v>
      </c>
      <c r="Y101" s="4">
        <v>1</v>
      </c>
      <c r="Z101" s="4">
        <v>51</v>
      </c>
      <c r="AA101" s="4">
        <v>179</v>
      </c>
      <c r="AB101" s="4">
        <v>0</v>
      </c>
      <c r="AC101" s="4">
        <v>0</v>
      </c>
      <c r="AD101" s="4">
        <v>1</v>
      </c>
      <c r="AE101" s="4">
        <v>0</v>
      </c>
      <c r="AF101" s="4">
        <v>0</v>
      </c>
      <c r="AG101" s="4">
        <v>66</v>
      </c>
      <c r="AH101" s="4">
        <v>63</v>
      </c>
      <c r="AI101" s="4">
        <v>36</v>
      </c>
      <c r="AJ101" s="4">
        <v>90</v>
      </c>
      <c r="AK101" s="4">
        <v>32</v>
      </c>
      <c r="AL101" s="4">
        <v>5</v>
      </c>
      <c r="AM101" s="4">
        <v>38</v>
      </c>
      <c r="AN101" s="4">
        <v>26</v>
      </c>
      <c r="AO101" s="4">
        <v>62</v>
      </c>
      <c r="AP101" s="4">
        <v>7</v>
      </c>
      <c r="AQ101" s="4">
        <v>40</v>
      </c>
      <c r="AR101" s="4">
        <v>2</v>
      </c>
      <c r="AS101" s="4">
        <v>21</v>
      </c>
      <c r="AT101" s="4">
        <v>24</v>
      </c>
      <c r="AU101" s="4">
        <v>40</v>
      </c>
      <c r="AV101" s="4">
        <v>50</v>
      </c>
      <c r="AW101" s="4">
        <v>1014</v>
      </c>
      <c r="AX101" s="4">
        <v>99</v>
      </c>
      <c r="AY101" s="4">
        <v>7</v>
      </c>
      <c r="AZ101" s="4">
        <v>23</v>
      </c>
      <c r="BA101" s="4">
        <v>0</v>
      </c>
      <c r="BB101" s="4">
        <v>688</v>
      </c>
      <c r="BC101" s="4">
        <v>15</v>
      </c>
      <c r="BD101" s="4">
        <v>0</v>
      </c>
      <c r="BE101" s="4">
        <v>40</v>
      </c>
      <c r="BF101" s="4">
        <v>67</v>
      </c>
      <c r="BG101" s="4">
        <v>12</v>
      </c>
      <c r="BH101" s="4">
        <v>33</v>
      </c>
      <c r="BI101" s="4">
        <v>1</v>
      </c>
      <c r="BJ101" s="4">
        <v>143</v>
      </c>
      <c r="BK101" s="4">
        <v>168</v>
      </c>
      <c r="BL101" s="4">
        <v>0</v>
      </c>
      <c r="BM101" s="4">
        <v>18</v>
      </c>
      <c r="BN101" s="4">
        <v>41</v>
      </c>
      <c r="BO101" s="4">
        <v>0</v>
      </c>
      <c r="BP101" s="4">
        <v>9</v>
      </c>
      <c r="BQ101" s="4">
        <v>44</v>
      </c>
      <c r="BR101" s="4">
        <v>2</v>
      </c>
      <c r="BS101" s="4">
        <v>149</v>
      </c>
      <c r="BT101" s="4">
        <v>114</v>
      </c>
      <c r="BU101" s="4">
        <v>0</v>
      </c>
      <c r="BV101" s="4">
        <v>70</v>
      </c>
      <c r="BW101" s="4">
        <v>3</v>
      </c>
      <c r="BX101" s="4">
        <v>48</v>
      </c>
      <c r="BY101" s="4">
        <v>9</v>
      </c>
      <c r="BZ101" s="4">
        <v>0</v>
      </c>
      <c r="CA101" s="4">
        <v>223</v>
      </c>
      <c r="CB101" s="4">
        <v>113</v>
      </c>
      <c r="CC101" s="4">
        <v>0</v>
      </c>
      <c r="CD101" s="4">
        <v>7</v>
      </c>
      <c r="CE101" s="4">
        <v>0</v>
      </c>
      <c r="CF101" s="4">
        <v>5</v>
      </c>
      <c r="CG101" s="4">
        <v>13</v>
      </c>
      <c r="CH101" s="4">
        <v>3</v>
      </c>
      <c r="CI101" s="4">
        <v>1</v>
      </c>
      <c r="CJ101" s="4">
        <v>15</v>
      </c>
      <c r="CK101" s="4">
        <v>2</v>
      </c>
      <c r="CL101" s="4">
        <v>0</v>
      </c>
      <c r="CM101" s="4">
        <v>36</v>
      </c>
      <c r="CN101" s="4">
        <v>156</v>
      </c>
      <c r="CO101" s="4">
        <v>7</v>
      </c>
      <c r="CP101" s="4">
        <v>7</v>
      </c>
      <c r="CQ101" s="4">
        <v>0</v>
      </c>
      <c r="CR101" s="4">
        <v>12</v>
      </c>
      <c r="CS101" s="4">
        <v>13</v>
      </c>
      <c r="CT101" s="4">
        <v>12</v>
      </c>
      <c r="CU101" s="4">
        <v>4</v>
      </c>
      <c r="CV101" s="4">
        <v>72</v>
      </c>
      <c r="CW101" s="4">
        <v>23</v>
      </c>
      <c r="CX101" s="3">
        <v>23</v>
      </c>
    </row>
    <row r="102" spans="1:102" ht="15.75" x14ac:dyDescent="0.25">
      <c r="A102" s="4" t="s">
        <v>299</v>
      </c>
      <c r="B102" s="4" t="s">
        <v>300</v>
      </c>
      <c r="C102" s="4">
        <v>2018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3">
        <v>0</v>
      </c>
    </row>
    <row r="103" spans="1:102" ht="15.75" x14ac:dyDescent="0.25">
      <c r="A103" s="4" t="s">
        <v>301</v>
      </c>
      <c r="B103" s="4" t="s">
        <v>302</v>
      </c>
      <c r="C103" s="4">
        <v>2018</v>
      </c>
      <c r="D103" s="4">
        <v>376</v>
      </c>
      <c r="E103" s="4">
        <v>0</v>
      </c>
      <c r="F103" s="4">
        <v>0</v>
      </c>
      <c r="G103" s="4">
        <v>2</v>
      </c>
      <c r="H103" s="4">
        <v>0</v>
      </c>
      <c r="I103" s="4">
        <v>2</v>
      </c>
      <c r="J103" s="4">
        <v>1</v>
      </c>
      <c r="K103" s="4">
        <v>0</v>
      </c>
      <c r="L103" s="4">
        <v>2</v>
      </c>
      <c r="M103" s="4">
        <v>0</v>
      </c>
      <c r="N103" s="4">
        <v>8</v>
      </c>
      <c r="O103" s="4">
        <v>24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10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</v>
      </c>
      <c r="AH103" s="4">
        <v>0</v>
      </c>
      <c r="AI103" s="4">
        <v>3</v>
      </c>
      <c r="AJ103" s="4">
        <v>109</v>
      </c>
      <c r="AK103" s="4">
        <v>9</v>
      </c>
      <c r="AL103" s="4">
        <v>0</v>
      </c>
      <c r="AM103" s="4">
        <v>8</v>
      </c>
      <c r="AN103" s="4">
        <v>0</v>
      </c>
      <c r="AO103" s="4">
        <v>4</v>
      </c>
      <c r="AP103" s="4">
        <v>0</v>
      </c>
      <c r="AQ103" s="4">
        <v>1</v>
      </c>
      <c r="AR103" s="4">
        <v>0</v>
      </c>
      <c r="AS103" s="4">
        <v>0</v>
      </c>
      <c r="AT103" s="4">
        <v>1</v>
      </c>
      <c r="AU103" s="4">
        <v>1</v>
      </c>
      <c r="AV103" s="4">
        <v>1</v>
      </c>
      <c r="AW103" s="4">
        <v>1</v>
      </c>
      <c r="AX103" s="4">
        <v>10</v>
      </c>
      <c r="AY103" s="4">
        <v>1</v>
      </c>
      <c r="AZ103" s="4">
        <v>14</v>
      </c>
      <c r="BA103" s="4">
        <v>0</v>
      </c>
      <c r="BB103" s="4">
        <v>3</v>
      </c>
      <c r="BC103" s="4">
        <v>1</v>
      </c>
      <c r="BD103" s="4">
        <v>0</v>
      </c>
      <c r="BE103" s="4">
        <v>1</v>
      </c>
      <c r="BF103" s="4">
        <v>5</v>
      </c>
      <c r="BG103" s="4">
        <v>1</v>
      </c>
      <c r="BH103" s="4">
        <v>0</v>
      </c>
      <c r="BI103" s="4">
        <v>0</v>
      </c>
      <c r="BJ103" s="4">
        <v>19</v>
      </c>
      <c r="BK103" s="4">
        <v>12</v>
      </c>
      <c r="BL103" s="4">
        <v>0</v>
      </c>
      <c r="BM103" s="4">
        <v>0</v>
      </c>
      <c r="BN103" s="4">
        <v>3</v>
      </c>
      <c r="BO103" s="4">
        <v>0</v>
      </c>
      <c r="BP103" s="4">
        <v>4</v>
      </c>
      <c r="BQ103" s="4">
        <v>8</v>
      </c>
      <c r="BR103" s="4">
        <v>1</v>
      </c>
      <c r="BS103" s="4">
        <v>9</v>
      </c>
      <c r="BT103" s="4">
        <v>9</v>
      </c>
      <c r="BU103" s="4">
        <v>0</v>
      </c>
      <c r="BV103" s="4">
        <v>5</v>
      </c>
      <c r="BW103" s="4">
        <v>2</v>
      </c>
      <c r="BX103" s="4">
        <v>40</v>
      </c>
      <c r="BY103" s="4">
        <v>0</v>
      </c>
      <c r="BZ103" s="4">
        <v>0</v>
      </c>
      <c r="CA103" s="4">
        <v>5</v>
      </c>
      <c r="CB103" s="4">
        <v>0</v>
      </c>
      <c r="CC103" s="4">
        <v>0</v>
      </c>
      <c r="CD103" s="4">
        <v>1</v>
      </c>
      <c r="CE103" s="4">
        <v>0</v>
      </c>
      <c r="CF103" s="4">
        <v>1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2</v>
      </c>
      <c r="CN103" s="4">
        <v>12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1</v>
      </c>
      <c r="CU103" s="4">
        <v>0</v>
      </c>
      <c r="CV103" s="4">
        <v>11</v>
      </c>
      <c r="CW103" s="4">
        <v>2</v>
      </c>
      <c r="CX103" s="3">
        <v>2</v>
      </c>
    </row>
    <row r="104" spans="1:102" ht="15.75" x14ac:dyDescent="0.25">
      <c r="A104" s="4" t="s">
        <v>303</v>
      </c>
      <c r="B104" s="4" t="s">
        <v>304</v>
      </c>
      <c r="C104" s="4">
        <v>2018</v>
      </c>
      <c r="D104" s="4">
        <v>173</v>
      </c>
      <c r="E104" s="4">
        <v>5</v>
      </c>
      <c r="F104" s="4">
        <v>0</v>
      </c>
      <c r="G104" s="4">
        <v>0</v>
      </c>
      <c r="H104" s="4">
        <v>0</v>
      </c>
      <c r="I104" s="4">
        <v>0</v>
      </c>
      <c r="J104" s="4">
        <v>2</v>
      </c>
      <c r="K104" s="4">
        <v>0</v>
      </c>
      <c r="L104" s="4">
        <v>0</v>
      </c>
      <c r="M104" s="4">
        <v>1</v>
      </c>
      <c r="N104" s="4">
        <v>7</v>
      </c>
      <c r="O104" s="4">
        <v>0</v>
      </c>
      <c r="P104" s="4">
        <v>0</v>
      </c>
      <c r="Q104" s="4">
        <v>0</v>
      </c>
      <c r="R104" s="4">
        <v>2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1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2</v>
      </c>
      <c r="AH104" s="4">
        <v>1</v>
      </c>
      <c r="AI104" s="4">
        <v>2</v>
      </c>
      <c r="AJ104" s="4">
        <v>24</v>
      </c>
      <c r="AK104" s="4">
        <v>3</v>
      </c>
      <c r="AL104" s="4">
        <v>0</v>
      </c>
      <c r="AM104" s="4">
        <v>2</v>
      </c>
      <c r="AN104" s="4">
        <v>1</v>
      </c>
      <c r="AO104" s="4">
        <v>10</v>
      </c>
      <c r="AP104" s="4">
        <v>0</v>
      </c>
      <c r="AQ104" s="4">
        <v>2</v>
      </c>
      <c r="AR104" s="4">
        <v>0</v>
      </c>
      <c r="AS104" s="4">
        <v>0</v>
      </c>
      <c r="AT104" s="4">
        <v>0</v>
      </c>
      <c r="AU104" s="4">
        <v>2</v>
      </c>
      <c r="AV104" s="4">
        <v>2</v>
      </c>
      <c r="AW104" s="4">
        <v>0</v>
      </c>
      <c r="AX104" s="4">
        <v>1</v>
      </c>
      <c r="AY104" s="4">
        <v>0</v>
      </c>
      <c r="AZ104" s="4">
        <v>4</v>
      </c>
      <c r="BA104" s="4">
        <v>0</v>
      </c>
      <c r="BB104" s="4">
        <v>19</v>
      </c>
      <c r="BC104" s="4">
        <v>3</v>
      </c>
      <c r="BD104" s="4">
        <v>0</v>
      </c>
      <c r="BE104" s="4">
        <v>2</v>
      </c>
      <c r="BF104" s="4">
        <v>13</v>
      </c>
      <c r="BG104" s="4">
        <v>1</v>
      </c>
      <c r="BH104" s="4">
        <v>1</v>
      </c>
      <c r="BI104" s="4">
        <v>0</v>
      </c>
      <c r="BJ104" s="4">
        <v>10</v>
      </c>
      <c r="BK104" s="4">
        <v>12</v>
      </c>
      <c r="BL104" s="4">
        <v>0</v>
      </c>
      <c r="BM104" s="4">
        <v>0</v>
      </c>
      <c r="BN104" s="4">
        <v>1</v>
      </c>
      <c r="BO104" s="4">
        <v>0</v>
      </c>
      <c r="BP104" s="4">
        <v>0</v>
      </c>
      <c r="BQ104" s="4">
        <v>1</v>
      </c>
      <c r="BR104" s="4">
        <v>0</v>
      </c>
      <c r="BS104" s="4">
        <v>2</v>
      </c>
      <c r="BT104" s="4">
        <v>3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2</v>
      </c>
      <c r="CN104" s="4">
        <v>10</v>
      </c>
      <c r="CO104" s="4">
        <v>1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13</v>
      </c>
      <c r="CW104" s="4">
        <v>1</v>
      </c>
      <c r="CX104" s="3">
        <v>1</v>
      </c>
    </row>
    <row r="105" spans="1:102" ht="15.75" x14ac:dyDescent="0.25">
      <c r="A105" s="4" t="s">
        <v>305</v>
      </c>
      <c r="B105" s="4" t="s">
        <v>306</v>
      </c>
      <c r="C105" s="4">
        <v>2018</v>
      </c>
      <c r="D105" s="4">
        <v>343</v>
      </c>
      <c r="E105" s="4">
        <v>0</v>
      </c>
      <c r="F105" s="4">
        <v>2</v>
      </c>
      <c r="G105" s="4">
        <v>1</v>
      </c>
      <c r="H105" s="4">
        <v>5</v>
      </c>
      <c r="I105" s="4">
        <v>12</v>
      </c>
      <c r="J105" s="4">
        <v>9</v>
      </c>
      <c r="K105" s="4">
        <v>2</v>
      </c>
      <c r="L105" s="4">
        <v>6</v>
      </c>
      <c r="M105" s="4">
        <v>3</v>
      </c>
      <c r="N105" s="4">
        <v>7</v>
      </c>
      <c r="O105" s="4">
        <v>9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0</v>
      </c>
      <c r="AE105" s="4">
        <v>1</v>
      </c>
      <c r="AF105" s="4">
        <v>0</v>
      </c>
      <c r="AG105" s="4">
        <v>1</v>
      </c>
      <c r="AH105" s="4">
        <v>0</v>
      </c>
      <c r="AI105" s="4">
        <v>2</v>
      </c>
      <c r="AJ105" s="4">
        <v>5</v>
      </c>
      <c r="AK105" s="4">
        <v>8</v>
      </c>
      <c r="AL105" s="4">
        <v>3</v>
      </c>
      <c r="AM105" s="4">
        <v>1</v>
      </c>
      <c r="AN105" s="4">
        <v>3</v>
      </c>
      <c r="AO105" s="4">
        <v>4</v>
      </c>
      <c r="AP105" s="4">
        <v>0</v>
      </c>
      <c r="AQ105" s="4">
        <v>2</v>
      </c>
      <c r="AR105" s="4">
        <v>1</v>
      </c>
      <c r="AS105" s="4">
        <v>7</v>
      </c>
      <c r="AT105" s="4">
        <v>3</v>
      </c>
      <c r="AU105" s="4">
        <v>5</v>
      </c>
      <c r="AV105" s="4">
        <v>1</v>
      </c>
      <c r="AW105" s="4">
        <v>2</v>
      </c>
      <c r="AX105" s="4">
        <v>15</v>
      </c>
      <c r="AY105" s="4">
        <v>0</v>
      </c>
      <c r="AZ105" s="4">
        <v>1</v>
      </c>
      <c r="BA105" s="4">
        <v>0</v>
      </c>
      <c r="BB105" s="4">
        <v>8</v>
      </c>
      <c r="BC105" s="4">
        <v>0</v>
      </c>
      <c r="BD105" s="4">
        <v>0</v>
      </c>
      <c r="BE105" s="4">
        <v>2</v>
      </c>
      <c r="BF105" s="4">
        <v>18</v>
      </c>
      <c r="BG105" s="4">
        <v>0</v>
      </c>
      <c r="BH105" s="4">
        <v>0</v>
      </c>
      <c r="BI105" s="4">
        <v>0</v>
      </c>
      <c r="BJ105" s="4">
        <v>4</v>
      </c>
      <c r="BK105" s="4">
        <v>7</v>
      </c>
      <c r="BL105" s="4">
        <v>0</v>
      </c>
      <c r="BM105" s="4">
        <v>0</v>
      </c>
      <c r="BN105" s="4">
        <v>36</v>
      </c>
      <c r="BO105" s="4">
        <v>0</v>
      </c>
      <c r="BP105" s="4">
        <v>1</v>
      </c>
      <c r="BQ105" s="4">
        <v>9</v>
      </c>
      <c r="BR105" s="4">
        <v>1</v>
      </c>
      <c r="BS105" s="4">
        <v>9</v>
      </c>
      <c r="BT105" s="4">
        <v>4</v>
      </c>
      <c r="BU105" s="4">
        <v>0</v>
      </c>
      <c r="BV105" s="4">
        <v>4</v>
      </c>
      <c r="BW105" s="4">
        <v>8</v>
      </c>
      <c r="BX105" s="4">
        <v>40</v>
      </c>
      <c r="BY105" s="4">
        <v>0</v>
      </c>
      <c r="BZ105" s="4">
        <v>0</v>
      </c>
      <c r="CA105" s="4">
        <v>6</v>
      </c>
      <c r="CB105" s="4">
        <v>1</v>
      </c>
      <c r="CC105" s="4">
        <v>0</v>
      </c>
      <c r="CD105" s="4">
        <v>1</v>
      </c>
      <c r="CE105" s="4">
        <v>1</v>
      </c>
      <c r="CF105" s="4">
        <v>2</v>
      </c>
      <c r="CG105" s="4">
        <v>1</v>
      </c>
      <c r="CH105" s="4">
        <v>1</v>
      </c>
      <c r="CI105" s="4">
        <v>1</v>
      </c>
      <c r="CJ105" s="4">
        <v>11</v>
      </c>
      <c r="CK105" s="4">
        <v>2</v>
      </c>
      <c r="CL105" s="4">
        <v>0</v>
      </c>
      <c r="CM105" s="4">
        <v>0</v>
      </c>
      <c r="CN105" s="4">
        <v>7</v>
      </c>
      <c r="CO105" s="4">
        <v>1</v>
      </c>
      <c r="CP105" s="4">
        <v>0</v>
      </c>
      <c r="CQ105" s="4">
        <v>0</v>
      </c>
      <c r="CR105" s="4">
        <v>4</v>
      </c>
      <c r="CS105" s="4">
        <v>0</v>
      </c>
      <c r="CT105" s="4">
        <v>5</v>
      </c>
      <c r="CU105" s="4">
        <v>1</v>
      </c>
      <c r="CV105" s="4">
        <v>14</v>
      </c>
      <c r="CW105" s="4">
        <v>5</v>
      </c>
      <c r="CX105" s="3">
        <v>5</v>
      </c>
    </row>
    <row r="106" spans="1:102" ht="15.75" x14ac:dyDescent="0.25">
      <c r="A106" s="4" t="s">
        <v>307</v>
      </c>
      <c r="B106" s="4" t="s">
        <v>308</v>
      </c>
      <c r="C106" s="4">
        <v>2018</v>
      </c>
      <c r="D106" s="4">
        <v>10732</v>
      </c>
      <c r="E106" s="4">
        <v>6</v>
      </c>
      <c r="F106" s="4">
        <v>62</v>
      </c>
      <c r="G106" s="4">
        <v>43</v>
      </c>
      <c r="H106" s="4">
        <v>108</v>
      </c>
      <c r="I106" s="4">
        <v>60</v>
      </c>
      <c r="J106" s="4">
        <v>32</v>
      </c>
      <c r="K106" s="4">
        <v>25</v>
      </c>
      <c r="L106" s="4">
        <v>21</v>
      </c>
      <c r="M106" s="4">
        <v>27</v>
      </c>
      <c r="N106" s="4">
        <v>46</v>
      </c>
      <c r="O106" s="4">
        <v>181</v>
      </c>
      <c r="P106" s="4">
        <v>60</v>
      </c>
      <c r="Q106" s="4">
        <v>1</v>
      </c>
      <c r="R106" s="4">
        <v>10</v>
      </c>
      <c r="S106" s="4">
        <v>0</v>
      </c>
      <c r="T106" s="4">
        <v>1</v>
      </c>
      <c r="U106" s="4">
        <v>43</v>
      </c>
      <c r="V106" s="4">
        <v>22</v>
      </c>
      <c r="W106" s="4">
        <v>128</v>
      </c>
      <c r="X106" s="4">
        <v>13</v>
      </c>
      <c r="Y106" s="4">
        <v>0</v>
      </c>
      <c r="Z106" s="4">
        <v>352</v>
      </c>
      <c r="AA106" s="4">
        <v>163</v>
      </c>
      <c r="AB106" s="4">
        <v>0</v>
      </c>
      <c r="AC106" s="4">
        <v>0</v>
      </c>
      <c r="AD106" s="4">
        <v>3</v>
      </c>
      <c r="AE106" s="4">
        <v>2</v>
      </c>
      <c r="AF106" s="4">
        <v>2</v>
      </c>
      <c r="AG106" s="4">
        <v>277</v>
      </c>
      <c r="AH106" s="4">
        <v>39</v>
      </c>
      <c r="AI106" s="4">
        <v>151</v>
      </c>
      <c r="AJ106" s="4">
        <v>818</v>
      </c>
      <c r="AK106" s="4">
        <v>138</v>
      </c>
      <c r="AL106" s="4">
        <v>3</v>
      </c>
      <c r="AM106" s="4">
        <v>194</v>
      </c>
      <c r="AN106" s="4">
        <v>137</v>
      </c>
      <c r="AO106" s="4">
        <v>183</v>
      </c>
      <c r="AP106" s="4">
        <v>30</v>
      </c>
      <c r="AQ106" s="4">
        <v>66</v>
      </c>
      <c r="AR106" s="4">
        <v>6</v>
      </c>
      <c r="AS106" s="4">
        <v>76</v>
      </c>
      <c r="AT106" s="4">
        <v>155</v>
      </c>
      <c r="AU106" s="4">
        <v>124</v>
      </c>
      <c r="AV106" s="4">
        <v>263</v>
      </c>
      <c r="AW106" s="4">
        <v>285</v>
      </c>
      <c r="AX106" s="4">
        <v>209</v>
      </c>
      <c r="AY106" s="4">
        <v>3</v>
      </c>
      <c r="AZ106" s="4">
        <v>70</v>
      </c>
      <c r="BA106" s="4">
        <v>0</v>
      </c>
      <c r="BB106" s="4">
        <v>166</v>
      </c>
      <c r="BC106" s="4">
        <v>79</v>
      </c>
      <c r="BD106" s="4">
        <v>2</v>
      </c>
      <c r="BE106" s="4">
        <v>62</v>
      </c>
      <c r="BF106" s="4">
        <v>202</v>
      </c>
      <c r="BG106" s="4">
        <v>10</v>
      </c>
      <c r="BH106" s="4">
        <v>25</v>
      </c>
      <c r="BI106" s="4">
        <v>3</v>
      </c>
      <c r="BJ106" s="4">
        <v>262</v>
      </c>
      <c r="BK106" s="4">
        <v>300</v>
      </c>
      <c r="BL106" s="4">
        <v>3</v>
      </c>
      <c r="BM106" s="4">
        <v>54</v>
      </c>
      <c r="BN106" s="4">
        <v>153</v>
      </c>
      <c r="BO106" s="4">
        <v>3</v>
      </c>
      <c r="BP106" s="4">
        <v>30</v>
      </c>
      <c r="BQ106" s="4">
        <v>217</v>
      </c>
      <c r="BR106" s="4">
        <v>31</v>
      </c>
      <c r="BS106" s="4">
        <v>320</v>
      </c>
      <c r="BT106" s="4">
        <v>137</v>
      </c>
      <c r="BU106" s="4">
        <v>30</v>
      </c>
      <c r="BV106" s="4">
        <v>252</v>
      </c>
      <c r="BW106" s="4">
        <v>30</v>
      </c>
      <c r="BX106" s="4">
        <v>1636</v>
      </c>
      <c r="BY106" s="4">
        <v>22</v>
      </c>
      <c r="BZ106" s="4">
        <v>0</v>
      </c>
      <c r="CA106" s="4">
        <v>225</v>
      </c>
      <c r="CB106" s="4">
        <v>70</v>
      </c>
      <c r="CC106" s="4">
        <v>1</v>
      </c>
      <c r="CD106" s="4">
        <v>18</v>
      </c>
      <c r="CE106" s="4">
        <v>10</v>
      </c>
      <c r="CF106" s="4">
        <v>14</v>
      </c>
      <c r="CG106" s="4">
        <v>11</v>
      </c>
      <c r="CH106" s="4">
        <v>19</v>
      </c>
      <c r="CI106" s="4">
        <v>84</v>
      </c>
      <c r="CJ106" s="4">
        <v>450</v>
      </c>
      <c r="CK106" s="4">
        <v>132</v>
      </c>
      <c r="CL106" s="4">
        <v>0</v>
      </c>
      <c r="CM106" s="4">
        <v>33</v>
      </c>
      <c r="CN106" s="4">
        <v>266</v>
      </c>
      <c r="CO106" s="4">
        <v>70</v>
      </c>
      <c r="CP106" s="4">
        <v>28</v>
      </c>
      <c r="CQ106" s="4">
        <v>0</v>
      </c>
      <c r="CR106" s="4">
        <v>21</v>
      </c>
      <c r="CS106" s="4">
        <v>90</v>
      </c>
      <c r="CT106" s="4">
        <v>132</v>
      </c>
      <c r="CU106" s="4">
        <v>12</v>
      </c>
      <c r="CV106" s="4">
        <v>359</v>
      </c>
      <c r="CW106" s="4">
        <v>16</v>
      </c>
      <c r="CX106" s="3">
        <v>16</v>
      </c>
    </row>
    <row r="107" spans="1:102" ht="15.75" x14ac:dyDescent="0.25">
      <c r="A107" s="4" t="s">
        <v>309</v>
      </c>
      <c r="B107" s="4" t="s">
        <v>310</v>
      </c>
      <c r="C107" s="4">
        <v>2018</v>
      </c>
      <c r="D107" s="4">
        <v>172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29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62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1</v>
      </c>
      <c r="AK107" s="4">
        <v>1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1</v>
      </c>
      <c r="BO107" s="4">
        <v>0</v>
      </c>
      <c r="BP107" s="4">
        <v>0</v>
      </c>
      <c r="BQ107" s="4">
        <v>2</v>
      </c>
      <c r="BR107" s="4">
        <v>0</v>
      </c>
      <c r="BS107" s="4">
        <v>1</v>
      </c>
      <c r="BT107" s="4">
        <v>0</v>
      </c>
      <c r="BU107" s="4">
        <v>0</v>
      </c>
      <c r="BV107" s="4">
        <v>0</v>
      </c>
      <c r="BW107" s="4">
        <v>0</v>
      </c>
      <c r="BX107" s="4">
        <v>1</v>
      </c>
      <c r="BY107" s="4">
        <v>0</v>
      </c>
      <c r="BZ107" s="4">
        <v>0</v>
      </c>
      <c r="CA107" s="4">
        <v>16</v>
      </c>
      <c r="CB107" s="4">
        <v>37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6</v>
      </c>
      <c r="CL107" s="4">
        <v>0</v>
      </c>
      <c r="CM107" s="4">
        <v>0</v>
      </c>
      <c r="CN107" s="4">
        <v>2</v>
      </c>
      <c r="CO107" s="4">
        <v>2</v>
      </c>
      <c r="CP107" s="4">
        <v>0</v>
      </c>
      <c r="CQ107" s="4">
        <v>0</v>
      </c>
      <c r="CR107" s="4">
        <v>2</v>
      </c>
      <c r="CS107" s="4">
        <v>0</v>
      </c>
      <c r="CT107" s="4">
        <v>0</v>
      </c>
      <c r="CU107" s="4">
        <v>0</v>
      </c>
      <c r="CV107" s="4">
        <v>2</v>
      </c>
      <c r="CW107" s="4">
        <v>0</v>
      </c>
      <c r="CX107" s="3">
        <v>0</v>
      </c>
    </row>
    <row r="108" spans="1:102" ht="15.75" x14ac:dyDescent="0.25">
      <c r="A108" s="4" t="s">
        <v>311</v>
      </c>
      <c r="B108" s="4" t="s">
        <v>312</v>
      </c>
      <c r="C108" s="4">
        <v>2018</v>
      </c>
      <c r="D108" s="4">
        <v>51</v>
      </c>
      <c r="E108" s="4">
        <v>0</v>
      </c>
      <c r="F108" s="4">
        <v>0</v>
      </c>
      <c r="G108" s="4">
        <v>1</v>
      </c>
      <c r="H108" s="4">
        <v>0</v>
      </c>
      <c r="I108" s="4">
        <v>1</v>
      </c>
      <c r="J108" s="4">
        <v>0</v>
      </c>
      <c r="K108" s="4">
        <v>1</v>
      </c>
      <c r="L108" s="4">
        <v>1</v>
      </c>
      <c r="M108" s="4">
        <v>2</v>
      </c>
      <c r="N108" s="4">
        <v>1</v>
      </c>
      <c r="O108" s="4">
        <v>1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2</v>
      </c>
      <c r="AK108" s="4">
        <v>1</v>
      </c>
      <c r="AL108" s="4">
        <v>0</v>
      </c>
      <c r="AM108" s="4">
        <v>1</v>
      </c>
      <c r="AN108" s="4">
        <v>0</v>
      </c>
      <c r="AO108" s="4">
        <v>1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2</v>
      </c>
      <c r="AY108" s="4">
        <v>0</v>
      </c>
      <c r="AZ108" s="4">
        <v>1</v>
      </c>
      <c r="BA108" s="4">
        <v>0</v>
      </c>
      <c r="BB108" s="4">
        <v>0</v>
      </c>
      <c r="BC108" s="4">
        <v>0</v>
      </c>
      <c r="BD108" s="4">
        <v>0</v>
      </c>
      <c r="BE108" s="4">
        <v>1</v>
      </c>
      <c r="BF108" s="4">
        <v>5</v>
      </c>
      <c r="BG108" s="4">
        <v>0</v>
      </c>
      <c r="BH108" s="4">
        <v>0</v>
      </c>
      <c r="BI108" s="4">
        <v>0</v>
      </c>
      <c r="BJ108" s="4">
        <v>2</v>
      </c>
      <c r="BK108" s="4">
        <v>1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1</v>
      </c>
      <c r="BR108" s="4">
        <v>0</v>
      </c>
      <c r="BS108" s="4">
        <v>1</v>
      </c>
      <c r="BT108" s="4">
        <v>0</v>
      </c>
      <c r="BU108" s="4">
        <v>0</v>
      </c>
      <c r="BV108" s="4">
        <v>1</v>
      </c>
      <c r="BW108" s="4">
        <v>1</v>
      </c>
      <c r="BX108" s="4">
        <v>7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3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4</v>
      </c>
      <c r="CU108" s="4">
        <v>0</v>
      </c>
      <c r="CV108" s="4">
        <v>5</v>
      </c>
      <c r="CW108" s="4">
        <v>1</v>
      </c>
      <c r="CX108" s="3">
        <v>1</v>
      </c>
    </row>
    <row r="109" spans="1:102" ht="15.75" x14ac:dyDescent="0.25">
      <c r="A109" s="4" t="s">
        <v>313</v>
      </c>
      <c r="B109" s="4" t="s">
        <v>314</v>
      </c>
      <c r="C109" s="4">
        <v>2018</v>
      </c>
      <c r="D109" s="4">
        <v>256</v>
      </c>
      <c r="E109" s="4">
        <v>6</v>
      </c>
      <c r="F109" s="4">
        <v>2</v>
      </c>
      <c r="G109" s="4">
        <v>4</v>
      </c>
      <c r="H109" s="4">
        <v>0</v>
      </c>
      <c r="I109" s="4">
        <v>4</v>
      </c>
      <c r="J109" s="4">
        <v>1</v>
      </c>
      <c r="K109" s="4">
        <v>1</v>
      </c>
      <c r="L109" s="4">
        <v>12</v>
      </c>
      <c r="M109" s="4">
        <v>1</v>
      </c>
      <c r="N109" s="4">
        <v>9</v>
      </c>
      <c r="O109" s="4">
        <v>4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3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</v>
      </c>
      <c r="AH109" s="4">
        <v>0</v>
      </c>
      <c r="AI109" s="4">
        <v>5</v>
      </c>
      <c r="AJ109" s="4">
        <v>29</v>
      </c>
      <c r="AK109" s="4">
        <v>7</v>
      </c>
      <c r="AL109" s="4">
        <v>0</v>
      </c>
      <c r="AM109" s="4">
        <v>2</v>
      </c>
      <c r="AN109" s="4">
        <v>2</v>
      </c>
      <c r="AO109" s="4">
        <v>3</v>
      </c>
      <c r="AP109" s="4">
        <v>0</v>
      </c>
      <c r="AQ109" s="4">
        <v>1</v>
      </c>
      <c r="AR109" s="4">
        <v>0</v>
      </c>
      <c r="AS109" s="4">
        <v>1</v>
      </c>
      <c r="AT109" s="4">
        <v>1</v>
      </c>
      <c r="AU109" s="4">
        <v>1</v>
      </c>
      <c r="AV109" s="4">
        <v>1</v>
      </c>
      <c r="AW109" s="4">
        <v>1</v>
      </c>
      <c r="AX109" s="4">
        <v>3</v>
      </c>
      <c r="AY109" s="4">
        <v>0</v>
      </c>
      <c r="AZ109" s="4">
        <v>2</v>
      </c>
      <c r="BA109" s="4">
        <v>0</v>
      </c>
      <c r="BB109" s="4">
        <v>4</v>
      </c>
      <c r="BC109" s="4">
        <v>1</v>
      </c>
      <c r="BD109" s="4">
        <v>0</v>
      </c>
      <c r="BE109" s="4">
        <v>2</v>
      </c>
      <c r="BF109" s="4">
        <v>6</v>
      </c>
      <c r="BG109" s="4">
        <v>2</v>
      </c>
      <c r="BH109" s="4">
        <v>2</v>
      </c>
      <c r="BI109" s="4">
        <v>0</v>
      </c>
      <c r="BJ109" s="4">
        <v>5</v>
      </c>
      <c r="BK109" s="4">
        <v>23</v>
      </c>
      <c r="BL109" s="4">
        <v>0</v>
      </c>
      <c r="BM109" s="4">
        <v>0</v>
      </c>
      <c r="BN109" s="4">
        <v>4</v>
      </c>
      <c r="BO109" s="4">
        <v>0</v>
      </c>
      <c r="BP109" s="4">
        <v>3</v>
      </c>
      <c r="BQ109" s="4">
        <v>7</v>
      </c>
      <c r="BR109" s="4">
        <v>0</v>
      </c>
      <c r="BS109" s="4">
        <v>9</v>
      </c>
      <c r="BT109" s="4">
        <v>5</v>
      </c>
      <c r="BU109" s="4">
        <v>0</v>
      </c>
      <c r="BV109" s="4">
        <v>3</v>
      </c>
      <c r="BW109" s="4">
        <v>5</v>
      </c>
      <c r="BX109" s="4">
        <v>33</v>
      </c>
      <c r="BY109" s="4">
        <v>0</v>
      </c>
      <c r="BZ109" s="4">
        <v>0</v>
      </c>
      <c r="CA109" s="4">
        <v>5</v>
      </c>
      <c r="CB109" s="4">
        <v>0</v>
      </c>
      <c r="CC109" s="4">
        <v>0</v>
      </c>
      <c r="CD109" s="4">
        <v>1</v>
      </c>
      <c r="CE109" s="4">
        <v>0</v>
      </c>
      <c r="CF109" s="4">
        <v>2</v>
      </c>
      <c r="CG109" s="4">
        <v>2</v>
      </c>
      <c r="CH109" s="4">
        <v>1</v>
      </c>
      <c r="CI109" s="4">
        <v>0</v>
      </c>
      <c r="CJ109" s="4">
        <v>1</v>
      </c>
      <c r="CK109" s="4">
        <v>0</v>
      </c>
      <c r="CL109" s="4">
        <v>0</v>
      </c>
      <c r="CM109" s="4">
        <v>1</v>
      </c>
      <c r="CN109" s="4">
        <v>8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5</v>
      </c>
      <c r="CU109" s="4">
        <v>0</v>
      </c>
      <c r="CV109" s="4">
        <v>10</v>
      </c>
      <c r="CW109" s="4">
        <v>1</v>
      </c>
      <c r="CX109" s="3">
        <v>1</v>
      </c>
    </row>
    <row r="110" spans="1:102" ht="15.75" x14ac:dyDescent="0.25">
      <c r="A110" s="4" t="s">
        <v>315</v>
      </c>
      <c r="B110" s="4" t="s">
        <v>316</v>
      </c>
      <c r="C110" s="4">
        <v>2018</v>
      </c>
      <c r="D110" s="4">
        <v>6908</v>
      </c>
      <c r="E110" s="4">
        <v>23</v>
      </c>
      <c r="F110" s="4">
        <v>3</v>
      </c>
      <c r="G110" s="4">
        <v>2</v>
      </c>
      <c r="H110" s="4">
        <v>11</v>
      </c>
      <c r="I110" s="4">
        <v>42</v>
      </c>
      <c r="J110" s="4">
        <v>9</v>
      </c>
      <c r="K110" s="4">
        <v>1</v>
      </c>
      <c r="L110" s="4">
        <v>32</v>
      </c>
      <c r="M110" s="4">
        <v>18</v>
      </c>
      <c r="N110" s="4">
        <v>8</v>
      </c>
      <c r="O110" s="4">
        <v>168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4</v>
      </c>
      <c r="V110" s="4">
        <v>7</v>
      </c>
      <c r="W110" s="4">
        <v>31</v>
      </c>
      <c r="X110" s="4">
        <v>3</v>
      </c>
      <c r="Y110" s="4">
        <v>0</v>
      </c>
      <c r="Z110" s="4">
        <v>0</v>
      </c>
      <c r="AA110" s="4">
        <v>13</v>
      </c>
      <c r="AB110" s="4">
        <v>0</v>
      </c>
      <c r="AC110" s="4">
        <v>0</v>
      </c>
      <c r="AD110" s="4">
        <v>2</v>
      </c>
      <c r="AE110" s="4">
        <v>2</v>
      </c>
      <c r="AF110" s="4">
        <v>0</v>
      </c>
      <c r="AG110" s="4">
        <v>96</v>
      </c>
      <c r="AH110" s="4">
        <v>18</v>
      </c>
      <c r="AI110" s="4">
        <v>30</v>
      </c>
      <c r="AJ110" s="4">
        <v>765</v>
      </c>
      <c r="AK110" s="4">
        <v>63</v>
      </c>
      <c r="AL110" s="4">
        <v>0</v>
      </c>
      <c r="AM110" s="4">
        <v>36</v>
      </c>
      <c r="AN110" s="4">
        <v>25</v>
      </c>
      <c r="AO110" s="4">
        <v>241</v>
      </c>
      <c r="AP110" s="4">
        <v>5</v>
      </c>
      <c r="AQ110" s="4">
        <v>13</v>
      </c>
      <c r="AR110" s="4">
        <v>4</v>
      </c>
      <c r="AS110" s="4">
        <v>19</v>
      </c>
      <c r="AT110" s="4">
        <v>40</v>
      </c>
      <c r="AU110" s="4">
        <v>48</v>
      </c>
      <c r="AV110" s="4">
        <v>19</v>
      </c>
      <c r="AW110" s="4">
        <v>304</v>
      </c>
      <c r="AX110" s="4">
        <v>130</v>
      </c>
      <c r="AY110" s="4">
        <v>1</v>
      </c>
      <c r="AZ110" s="4">
        <v>31</v>
      </c>
      <c r="BA110" s="4">
        <v>0</v>
      </c>
      <c r="BB110" s="4">
        <v>1078</v>
      </c>
      <c r="BC110" s="4">
        <v>172</v>
      </c>
      <c r="BD110" s="4">
        <v>1</v>
      </c>
      <c r="BE110" s="4">
        <v>24</v>
      </c>
      <c r="BF110" s="4">
        <v>128</v>
      </c>
      <c r="BG110" s="4">
        <v>9</v>
      </c>
      <c r="BH110" s="4">
        <v>6</v>
      </c>
      <c r="BI110" s="4">
        <v>0</v>
      </c>
      <c r="BJ110" s="4">
        <v>132</v>
      </c>
      <c r="BK110" s="4">
        <v>137</v>
      </c>
      <c r="BL110" s="4">
        <v>0</v>
      </c>
      <c r="BM110" s="4">
        <v>7</v>
      </c>
      <c r="BN110" s="4">
        <v>30</v>
      </c>
      <c r="BO110" s="4">
        <v>1</v>
      </c>
      <c r="BP110" s="4">
        <v>9</v>
      </c>
      <c r="BQ110" s="4">
        <v>39</v>
      </c>
      <c r="BR110" s="4">
        <v>4</v>
      </c>
      <c r="BS110" s="4">
        <v>247</v>
      </c>
      <c r="BT110" s="4">
        <v>267</v>
      </c>
      <c r="BU110" s="4">
        <v>8</v>
      </c>
      <c r="BV110" s="4">
        <v>75</v>
      </c>
      <c r="BW110" s="4">
        <v>26</v>
      </c>
      <c r="BX110" s="4">
        <v>1140</v>
      </c>
      <c r="BY110" s="4">
        <v>28</v>
      </c>
      <c r="BZ110" s="4">
        <v>1</v>
      </c>
      <c r="CA110" s="4">
        <v>98</v>
      </c>
      <c r="CB110" s="4">
        <v>8</v>
      </c>
      <c r="CC110" s="4">
        <v>0</v>
      </c>
      <c r="CD110" s="4">
        <v>5</v>
      </c>
      <c r="CE110" s="4">
        <v>0</v>
      </c>
      <c r="CF110" s="4">
        <v>9</v>
      </c>
      <c r="CG110" s="4">
        <v>11</v>
      </c>
      <c r="CH110" s="4">
        <v>2</v>
      </c>
      <c r="CI110" s="4">
        <v>18</v>
      </c>
      <c r="CJ110" s="4">
        <v>78</v>
      </c>
      <c r="CK110" s="4">
        <v>21</v>
      </c>
      <c r="CL110" s="4">
        <v>0</v>
      </c>
      <c r="CM110" s="4">
        <v>91</v>
      </c>
      <c r="CN110" s="4">
        <v>292</v>
      </c>
      <c r="CO110" s="4">
        <v>53</v>
      </c>
      <c r="CP110" s="4">
        <v>98</v>
      </c>
      <c r="CQ110" s="4">
        <v>0</v>
      </c>
      <c r="CR110" s="4">
        <v>36</v>
      </c>
      <c r="CS110" s="4">
        <v>28</v>
      </c>
      <c r="CT110" s="4">
        <v>59</v>
      </c>
      <c r="CU110" s="4">
        <v>12</v>
      </c>
      <c r="CV110" s="4">
        <v>101</v>
      </c>
      <c r="CW110" s="4">
        <v>57</v>
      </c>
      <c r="CX110" s="3">
        <v>57</v>
      </c>
    </row>
    <row r="111" spans="1:102" ht="15.75" x14ac:dyDescent="0.25">
      <c r="A111" s="4" t="s">
        <v>317</v>
      </c>
      <c r="B111" s="4" t="s">
        <v>318</v>
      </c>
      <c r="C111" s="4">
        <v>2018</v>
      </c>
      <c r="D111" s="4">
        <v>399</v>
      </c>
      <c r="E111" s="4">
        <v>1</v>
      </c>
      <c r="F111" s="4">
        <v>0</v>
      </c>
      <c r="G111" s="4">
        <v>1</v>
      </c>
      <c r="H111" s="4">
        <v>0</v>
      </c>
      <c r="I111" s="4">
        <v>3</v>
      </c>
      <c r="J111" s="4">
        <v>2</v>
      </c>
      <c r="K111" s="4">
        <v>3</v>
      </c>
      <c r="L111" s="4">
        <v>0</v>
      </c>
      <c r="M111" s="4">
        <v>4</v>
      </c>
      <c r="N111" s="4">
        <v>4</v>
      </c>
      <c r="O111" s="4">
        <v>10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14</v>
      </c>
      <c r="V111" s="4">
        <v>1</v>
      </c>
      <c r="W111" s="4">
        <v>1</v>
      </c>
      <c r="X111" s="4">
        <v>1</v>
      </c>
      <c r="Y111" s="4">
        <v>0</v>
      </c>
      <c r="Z111" s="4">
        <v>0</v>
      </c>
      <c r="AA111" s="4">
        <v>5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2</v>
      </c>
      <c r="AH111" s="4">
        <v>1</v>
      </c>
      <c r="AI111" s="4">
        <v>2</v>
      </c>
      <c r="AJ111" s="4">
        <v>26</v>
      </c>
      <c r="AK111" s="4">
        <v>4</v>
      </c>
      <c r="AL111" s="4">
        <v>0</v>
      </c>
      <c r="AM111" s="4">
        <v>2</v>
      </c>
      <c r="AN111" s="4">
        <v>2</v>
      </c>
      <c r="AO111" s="4">
        <v>9</v>
      </c>
      <c r="AP111" s="4">
        <v>0</v>
      </c>
      <c r="AQ111" s="4">
        <v>2</v>
      </c>
      <c r="AR111" s="4">
        <v>0</v>
      </c>
      <c r="AS111" s="4">
        <v>13</v>
      </c>
      <c r="AT111" s="4">
        <v>1</v>
      </c>
      <c r="AU111" s="4">
        <v>1</v>
      </c>
      <c r="AV111" s="4">
        <v>1</v>
      </c>
      <c r="AW111" s="4">
        <v>1</v>
      </c>
      <c r="AX111" s="4">
        <v>5</v>
      </c>
      <c r="AY111" s="4">
        <v>0</v>
      </c>
      <c r="AZ111" s="4">
        <v>3</v>
      </c>
      <c r="BA111" s="4">
        <v>0</v>
      </c>
      <c r="BB111" s="4">
        <v>105</v>
      </c>
      <c r="BC111" s="4">
        <v>1</v>
      </c>
      <c r="BD111" s="4">
        <v>0</v>
      </c>
      <c r="BE111" s="4">
        <v>3</v>
      </c>
      <c r="BF111" s="4">
        <v>12</v>
      </c>
      <c r="BG111" s="4">
        <v>0</v>
      </c>
      <c r="BH111" s="4">
        <v>1</v>
      </c>
      <c r="BI111" s="4">
        <v>0</v>
      </c>
      <c r="BJ111" s="4">
        <v>4</v>
      </c>
      <c r="BK111" s="4">
        <v>9</v>
      </c>
      <c r="BL111" s="4">
        <v>0</v>
      </c>
      <c r="BM111" s="4">
        <v>1</v>
      </c>
      <c r="BN111" s="4">
        <v>7</v>
      </c>
      <c r="BO111" s="4">
        <v>0</v>
      </c>
      <c r="BP111" s="4">
        <v>0</v>
      </c>
      <c r="BQ111" s="4">
        <v>24</v>
      </c>
      <c r="BR111" s="4">
        <v>1</v>
      </c>
      <c r="BS111" s="4">
        <v>6</v>
      </c>
      <c r="BT111" s="4">
        <v>2</v>
      </c>
      <c r="BU111" s="4">
        <v>0</v>
      </c>
      <c r="BV111" s="4">
        <v>5</v>
      </c>
      <c r="BW111" s="4">
        <v>25</v>
      </c>
      <c r="BX111" s="4">
        <v>33</v>
      </c>
      <c r="BY111" s="4">
        <v>0</v>
      </c>
      <c r="BZ111" s="4">
        <v>0</v>
      </c>
      <c r="CA111" s="4">
        <v>5</v>
      </c>
      <c r="CB111" s="4">
        <v>0</v>
      </c>
      <c r="CC111" s="4">
        <v>0</v>
      </c>
      <c r="CD111" s="4">
        <v>1</v>
      </c>
      <c r="CE111" s="4">
        <v>0</v>
      </c>
      <c r="CF111" s="4">
        <v>3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4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9</v>
      </c>
      <c r="CU111" s="4">
        <v>0</v>
      </c>
      <c r="CV111" s="4">
        <v>7</v>
      </c>
      <c r="CW111" s="4">
        <v>2</v>
      </c>
      <c r="CX111" s="3">
        <v>2</v>
      </c>
    </row>
    <row r="112" spans="1:102" ht="15.75" x14ac:dyDescent="0.25">
      <c r="A112" s="4" t="s">
        <v>319</v>
      </c>
      <c r="B112" s="4" t="s">
        <v>320</v>
      </c>
      <c r="C112" s="4">
        <v>2018</v>
      </c>
      <c r="D112" s="4">
        <v>4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1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3">
        <v>0</v>
      </c>
    </row>
    <row r="113" spans="1:102" ht="15.75" x14ac:dyDescent="0.25">
      <c r="A113" s="4" t="s">
        <v>321</v>
      </c>
      <c r="B113" s="4" t="s">
        <v>322</v>
      </c>
      <c r="C113" s="4">
        <v>2018</v>
      </c>
      <c r="D113" s="4">
        <v>42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2</v>
      </c>
      <c r="N113" s="4">
        <v>1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2</v>
      </c>
      <c r="AK113" s="4">
        <v>1</v>
      </c>
      <c r="AL113" s="4">
        <v>0</v>
      </c>
      <c r="AM113" s="4">
        <v>1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3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1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3</v>
      </c>
      <c r="BH113" s="4">
        <v>5</v>
      </c>
      <c r="BI113" s="4">
        <v>0</v>
      </c>
      <c r="BJ113" s="4">
        <v>1</v>
      </c>
      <c r="BK113" s="4">
        <v>1</v>
      </c>
      <c r="BL113" s="4">
        <v>0</v>
      </c>
      <c r="BM113" s="4">
        <v>0</v>
      </c>
      <c r="BN113" s="4">
        <v>1</v>
      </c>
      <c r="BO113" s="4">
        <v>0</v>
      </c>
      <c r="BP113" s="4">
        <v>0</v>
      </c>
      <c r="BQ113" s="4">
        <v>0</v>
      </c>
      <c r="BR113" s="4">
        <v>0</v>
      </c>
      <c r="BS113" s="4">
        <v>1</v>
      </c>
      <c r="BT113" s="4">
        <v>0</v>
      </c>
      <c r="BU113" s="4">
        <v>0</v>
      </c>
      <c r="BV113" s="4">
        <v>0</v>
      </c>
      <c r="BW113" s="4">
        <v>0</v>
      </c>
      <c r="BX113" s="4">
        <v>11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1</v>
      </c>
      <c r="CO113" s="4">
        <v>1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3">
        <v>0</v>
      </c>
    </row>
    <row r="114" spans="1:102" ht="15.75" x14ac:dyDescent="0.25">
      <c r="A114" s="4" t="s">
        <v>323</v>
      </c>
      <c r="B114" s="4" t="s">
        <v>324</v>
      </c>
      <c r="C114" s="4">
        <v>2018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3">
        <v>0</v>
      </c>
    </row>
    <row r="115" spans="1:102" ht="15.75" x14ac:dyDescent="0.25">
      <c r="A115" s="4" t="s">
        <v>325</v>
      </c>
      <c r="B115" s="4" t="s">
        <v>326</v>
      </c>
      <c r="C115" s="4">
        <v>2018</v>
      </c>
      <c r="D115" s="4">
        <v>0</v>
      </c>
      <c r="E115" s="4">
        <v>0</v>
      </c>
      <c r="F115" s="4">
        <v>1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3">
        <v>0</v>
      </c>
    </row>
    <row r="116" spans="1:102" ht="15.75" x14ac:dyDescent="0.25">
      <c r="A116" s="4" t="s">
        <v>327</v>
      </c>
      <c r="B116" s="4" t="s">
        <v>328</v>
      </c>
      <c r="C116" s="4">
        <v>2018</v>
      </c>
      <c r="D116" s="4">
        <v>4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1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3">
        <v>0</v>
      </c>
    </row>
    <row r="117" spans="1:102" ht="15.75" x14ac:dyDescent="0.25">
      <c r="A117" s="4" t="s">
        <v>329</v>
      </c>
      <c r="B117" s="4" t="s">
        <v>330</v>
      </c>
      <c r="C117" s="4">
        <v>2018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3">
        <v>0</v>
      </c>
    </row>
    <row r="118" spans="1:102" ht="15.75" x14ac:dyDescent="0.25">
      <c r="A118" s="4" t="s">
        <v>331</v>
      </c>
      <c r="B118" s="4" t="s">
        <v>332</v>
      </c>
      <c r="C118" s="4">
        <v>2018</v>
      </c>
      <c r="D118" s="4">
        <v>6789</v>
      </c>
      <c r="E118" s="4">
        <v>3</v>
      </c>
      <c r="F118" s="4">
        <v>4</v>
      </c>
      <c r="G118" s="4">
        <v>5</v>
      </c>
      <c r="H118" s="4">
        <v>39</v>
      </c>
      <c r="I118" s="4">
        <v>3</v>
      </c>
      <c r="J118" s="4">
        <v>2</v>
      </c>
      <c r="K118" s="4">
        <v>1</v>
      </c>
      <c r="L118" s="4">
        <v>11</v>
      </c>
      <c r="M118" s="4">
        <v>8</v>
      </c>
      <c r="N118" s="4">
        <v>15</v>
      </c>
      <c r="O118" s="4">
        <v>118</v>
      </c>
      <c r="P118" s="4">
        <v>0</v>
      </c>
      <c r="Q118" s="4">
        <v>0</v>
      </c>
      <c r="R118" s="4">
        <v>1</v>
      </c>
      <c r="S118" s="4">
        <v>0</v>
      </c>
      <c r="T118" s="4">
        <v>0</v>
      </c>
      <c r="U118" s="4">
        <v>6</v>
      </c>
      <c r="V118" s="4">
        <v>4</v>
      </c>
      <c r="W118" s="4">
        <v>69</v>
      </c>
      <c r="X118" s="4">
        <v>2</v>
      </c>
      <c r="Y118" s="4">
        <v>0</v>
      </c>
      <c r="Z118" s="4">
        <v>2634</v>
      </c>
      <c r="AA118" s="4">
        <v>4</v>
      </c>
      <c r="AB118" s="4">
        <v>28</v>
      </c>
      <c r="AC118" s="4">
        <v>0</v>
      </c>
      <c r="AD118" s="4">
        <v>0</v>
      </c>
      <c r="AE118" s="4">
        <v>1</v>
      </c>
      <c r="AF118" s="4">
        <v>0</v>
      </c>
      <c r="AG118" s="4">
        <v>124</v>
      </c>
      <c r="AH118" s="4">
        <v>27</v>
      </c>
      <c r="AI118" s="4">
        <v>29</v>
      </c>
      <c r="AJ118" s="4">
        <v>164</v>
      </c>
      <c r="AK118" s="4">
        <v>36</v>
      </c>
      <c r="AL118" s="4">
        <v>0</v>
      </c>
      <c r="AM118" s="4">
        <v>92</v>
      </c>
      <c r="AN118" s="4">
        <v>16</v>
      </c>
      <c r="AO118" s="4">
        <v>61</v>
      </c>
      <c r="AP118" s="4">
        <v>3</v>
      </c>
      <c r="AQ118" s="4">
        <v>12</v>
      </c>
      <c r="AR118" s="4">
        <v>1</v>
      </c>
      <c r="AS118" s="4">
        <v>24</v>
      </c>
      <c r="AT118" s="4">
        <v>13</v>
      </c>
      <c r="AU118" s="4">
        <v>32</v>
      </c>
      <c r="AV118" s="4">
        <v>37</v>
      </c>
      <c r="AW118" s="4">
        <v>57</v>
      </c>
      <c r="AX118" s="4">
        <v>40</v>
      </c>
      <c r="AY118" s="4">
        <v>2</v>
      </c>
      <c r="AZ118" s="4">
        <v>16</v>
      </c>
      <c r="BA118" s="4">
        <v>0</v>
      </c>
      <c r="BB118" s="4">
        <v>547</v>
      </c>
      <c r="BC118" s="4">
        <v>96</v>
      </c>
      <c r="BD118" s="4">
        <v>1</v>
      </c>
      <c r="BE118" s="4">
        <v>24</v>
      </c>
      <c r="BF118" s="4">
        <v>52</v>
      </c>
      <c r="BG118" s="4">
        <v>3</v>
      </c>
      <c r="BH118" s="4">
        <v>5</v>
      </c>
      <c r="BI118" s="4">
        <v>0</v>
      </c>
      <c r="BJ118" s="4">
        <v>94</v>
      </c>
      <c r="BK118" s="4">
        <v>105</v>
      </c>
      <c r="BL118" s="4">
        <v>0</v>
      </c>
      <c r="BM118" s="4">
        <v>7</v>
      </c>
      <c r="BN118" s="4">
        <v>193</v>
      </c>
      <c r="BO118" s="4">
        <v>1</v>
      </c>
      <c r="BP118" s="4">
        <v>9</v>
      </c>
      <c r="BQ118" s="4">
        <v>26</v>
      </c>
      <c r="BR118" s="4">
        <v>4</v>
      </c>
      <c r="BS118" s="4">
        <v>138</v>
      </c>
      <c r="BT118" s="4">
        <v>58</v>
      </c>
      <c r="BU118" s="4">
        <v>16</v>
      </c>
      <c r="BV118" s="4">
        <v>36</v>
      </c>
      <c r="BW118" s="4">
        <v>3</v>
      </c>
      <c r="BX118" s="4">
        <v>972</v>
      </c>
      <c r="BY118" s="4">
        <v>1</v>
      </c>
      <c r="BZ118" s="4">
        <v>0</v>
      </c>
      <c r="CA118" s="4">
        <v>63</v>
      </c>
      <c r="CB118" s="4">
        <v>111</v>
      </c>
      <c r="CC118" s="4">
        <v>0</v>
      </c>
      <c r="CD118" s="4">
        <v>4</v>
      </c>
      <c r="CE118" s="4">
        <v>0</v>
      </c>
      <c r="CF118" s="4">
        <v>5</v>
      </c>
      <c r="CG118" s="4">
        <v>3</v>
      </c>
      <c r="CH118" s="4">
        <v>1</v>
      </c>
      <c r="CI118" s="4">
        <v>34</v>
      </c>
      <c r="CJ118" s="4">
        <v>47</v>
      </c>
      <c r="CK118" s="4">
        <v>10</v>
      </c>
      <c r="CL118" s="4">
        <v>0</v>
      </c>
      <c r="CM118" s="4">
        <v>23</v>
      </c>
      <c r="CN118" s="4">
        <v>190</v>
      </c>
      <c r="CO118" s="4">
        <v>17</v>
      </c>
      <c r="CP118" s="4">
        <v>4</v>
      </c>
      <c r="CQ118" s="4">
        <v>0</v>
      </c>
      <c r="CR118" s="4">
        <v>33</v>
      </c>
      <c r="CS118" s="4">
        <v>4</v>
      </c>
      <c r="CT118" s="4">
        <v>8</v>
      </c>
      <c r="CU118" s="4">
        <v>17</v>
      </c>
      <c r="CV118" s="4">
        <v>66</v>
      </c>
      <c r="CW118" s="4">
        <v>14</v>
      </c>
      <c r="CX118" s="3">
        <v>14</v>
      </c>
    </row>
    <row r="119" spans="1:102" ht="15.75" x14ac:dyDescent="0.25">
      <c r="A119" s="4" t="s">
        <v>333</v>
      </c>
      <c r="B119" s="4" t="s">
        <v>334</v>
      </c>
      <c r="C119" s="4">
        <v>2018</v>
      </c>
      <c r="D119" s="4">
        <v>583</v>
      </c>
      <c r="E119" s="4">
        <v>2</v>
      </c>
      <c r="F119" s="4">
        <v>0</v>
      </c>
      <c r="G119" s="4">
        <v>2</v>
      </c>
      <c r="H119" s="4">
        <v>0</v>
      </c>
      <c r="I119" s="4">
        <v>17</v>
      </c>
      <c r="J119" s="4">
        <v>3</v>
      </c>
      <c r="K119" s="4">
        <v>1</v>
      </c>
      <c r="L119" s="4">
        <v>10</v>
      </c>
      <c r="M119" s="4">
        <v>2</v>
      </c>
      <c r="N119" s="4">
        <v>7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1</v>
      </c>
      <c r="W119" s="4">
        <v>17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4</v>
      </c>
      <c r="AH119" s="4">
        <v>1</v>
      </c>
      <c r="AI119" s="4">
        <v>4</v>
      </c>
      <c r="AJ119" s="4">
        <v>18</v>
      </c>
      <c r="AK119" s="4">
        <v>19</v>
      </c>
      <c r="AL119" s="4">
        <v>0</v>
      </c>
      <c r="AM119" s="4">
        <v>3</v>
      </c>
      <c r="AN119" s="4">
        <v>8</v>
      </c>
      <c r="AO119" s="4">
        <v>12</v>
      </c>
      <c r="AP119" s="4">
        <v>0</v>
      </c>
      <c r="AQ119" s="4">
        <v>2</v>
      </c>
      <c r="AR119" s="4">
        <v>0</v>
      </c>
      <c r="AS119" s="4">
        <v>3</v>
      </c>
      <c r="AT119" s="4">
        <v>7</v>
      </c>
      <c r="AU119" s="4">
        <v>3</v>
      </c>
      <c r="AV119" s="4">
        <v>5</v>
      </c>
      <c r="AW119" s="4">
        <v>4</v>
      </c>
      <c r="AX119" s="4">
        <v>21</v>
      </c>
      <c r="AY119" s="4">
        <v>0</v>
      </c>
      <c r="AZ119" s="4">
        <v>13</v>
      </c>
      <c r="BA119" s="4">
        <v>0</v>
      </c>
      <c r="BB119" s="4">
        <v>3</v>
      </c>
      <c r="BC119" s="4">
        <v>1</v>
      </c>
      <c r="BD119" s="4">
        <v>0</v>
      </c>
      <c r="BE119" s="4">
        <v>3</v>
      </c>
      <c r="BF119" s="4">
        <v>10</v>
      </c>
      <c r="BG119" s="4">
        <v>0</v>
      </c>
      <c r="BH119" s="4">
        <v>1</v>
      </c>
      <c r="BI119" s="4">
        <v>1</v>
      </c>
      <c r="BJ119" s="4">
        <v>18</v>
      </c>
      <c r="BK119" s="4">
        <v>21</v>
      </c>
      <c r="BL119" s="4">
        <v>0</v>
      </c>
      <c r="BM119" s="4">
        <v>1</v>
      </c>
      <c r="BN119" s="4">
        <v>3</v>
      </c>
      <c r="BO119" s="4">
        <v>1</v>
      </c>
      <c r="BP119" s="4">
        <v>1</v>
      </c>
      <c r="BQ119" s="4">
        <v>5</v>
      </c>
      <c r="BR119" s="4">
        <v>1</v>
      </c>
      <c r="BS119" s="4">
        <v>26</v>
      </c>
      <c r="BT119" s="4">
        <v>6</v>
      </c>
      <c r="BU119" s="4">
        <v>0</v>
      </c>
      <c r="BV119" s="4">
        <v>3</v>
      </c>
      <c r="BW119" s="4">
        <v>1</v>
      </c>
      <c r="BX119" s="4">
        <v>172</v>
      </c>
      <c r="BY119" s="4">
        <v>0</v>
      </c>
      <c r="BZ119" s="4">
        <v>0</v>
      </c>
      <c r="CA119" s="4">
        <v>8</v>
      </c>
      <c r="CB119" s="4">
        <v>0</v>
      </c>
      <c r="CC119" s="4">
        <v>0</v>
      </c>
      <c r="CD119" s="4">
        <v>6</v>
      </c>
      <c r="CE119" s="4">
        <v>0</v>
      </c>
      <c r="CF119" s="4">
        <v>6</v>
      </c>
      <c r="CG119" s="4">
        <v>0</v>
      </c>
      <c r="CH119" s="4">
        <v>2</v>
      </c>
      <c r="CI119" s="4">
        <v>3</v>
      </c>
      <c r="CJ119" s="4">
        <v>20</v>
      </c>
      <c r="CK119" s="4">
        <v>2</v>
      </c>
      <c r="CL119" s="4">
        <v>0</v>
      </c>
      <c r="CM119" s="4">
        <v>6</v>
      </c>
      <c r="CN119" s="4">
        <v>19</v>
      </c>
      <c r="CO119" s="4">
        <v>5</v>
      </c>
      <c r="CP119" s="4">
        <v>0</v>
      </c>
      <c r="CQ119" s="4">
        <v>0</v>
      </c>
      <c r="CR119" s="4">
        <v>2</v>
      </c>
      <c r="CS119" s="4">
        <v>8</v>
      </c>
      <c r="CT119" s="4">
        <v>5</v>
      </c>
      <c r="CU119" s="4">
        <v>1</v>
      </c>
      <c r="CV119" s="4">
        <v>13</v>
      </c>
      <c r="CW119" s="4">
        <v>5</v>
      </c>
      <c r="CX119" s="3">
        <v>5</v>
      </c>
    </row>
    <row r="120" spans="1:102" ht="15.75" x14ac:dyDescent="0.25">
      <c r="A120" s="4" t="s">
        <v>335</v>
      </c>
      <c r="B120" s="4" t="s">
        <v>336</v>
      </c>
      <c r="C120" s="4">
        <v>2018</v>
      </c>
      <c r="D120" s="4">
        <v>16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4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1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1</v>
      </c>
      <c r="CW120" s="4">
        <v>0</v>
      </c>
      <c r="CX120" s="3">
        <v>0</v>
      </c>
    </row>
    <row r="121" spans="1:102" ht="15.75" x14ac:dyDescent="0.25">
      <c r="A121" s="4" t="s">
        <v>337</v>
      </c>
      <c r="B121" s="4" t="s">
        <v>338</v>
      </c>
      <c r="C121" s="4">
        <v>2018</v>
      </c>
      <c r="D121" s="4">
        <v>353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31</v>
      </c>
      <c r="P121" s="4">
        <v>0</v>
      </c>
      <c r="Q121" s="4">
        <v>0</v>
      </c>
      <c r="R121" s="4">
        <v>1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2</v>
      </c>
      <c r="AJ121" s="4">
        <v>25</v>
      </c>
      <c r="AK121" s="4">
        <v>0</v>
      </c>
      <c r="AL121" s="4">
        <v>0</v>
      </c>
      <c r="AM121" s="4">
        <v>3</v>
      </c>
      <c r="AN121" s="4">
        <v>1</v>
      </c>
      <c r="AO121" s="4">
        <v>7</v>
      </c>
      <c r="AP121" s="4">
        <v>0</v>
      </c>
      <c r="AQ121" s="4">
        <v>1</v>
      </c>
      <c r="AR121" s="4">
        <v>0</v>
      </c>
      <c r="AS121" s="4">
        <v>8</v>
      </c>
      <c r="AT121" s="4">
        <v>1</v>
      </c>
      <c r="AU121" s="4">
        <v>2</v>
      </c>
      <c r="AV121" s="4">
        <v>13</v>
      </c>
      <c r="AW121" s="4">
        <v>1</v>
      </c>
      <c r="AX121" s="4">
        <v>19</v>
      </c>
      <c r="AY121" s="4">
        <v>0</v>
      </c>
      <c r="AZ121" s="4">
        <v>8</v>
      </c>
      <c r="BA121" s="4">
        <v>0</v>
      </c>
      <c r="BB121" s="4">
        <v>22</v>
      </c>
      <c r="BC121" s="4">
        <v>5</v>
      </c>
      <c r="BD121" s="4">
        <v>0</v>
      </c>
      <c r="BE121" s="4">
        <v>3</v>
      </c>
      <c r="BF121" s="4">
        <v>14</v>
      </c>
      <c r="BG121" s="4">
        <v>0</v>
      </c>
      <c r="BH121" s="4">
        <v>1</v>
      </c>
      <c r="BI121" s="4">
        <v>0</v>
      </c>
      <c r="BJ121" s="4">
        <v>29</v>
      </c>
      <c r="BK121" s="4">
        <v>18</v>
      </c>
      <c r="BL121" s="4">
        <v>0</v>
      </c>
      <c r="BM121" s="4">
        <v>0</v>
      </c>
      <c r="BN121" s="4">
        <v>3</v>
      </c>
      <c r="BO121" s="4">
        <v>0</v>
      </c>
      <c r="BP121" s="4">
        <v>0</v>
      </c>
      <c r="BQ121" s="4">
        <v>6</v>
      </c>
      <c r="BR121" s="4">
        <v>1</v>
      </c>
      <c r="BS121" s="4">
        <v>14</v>
      </c>
      <c r="BT121" s="4">
        <v>8</v>
      </c>
      <c r="BU121" s="4">
        <v>0</v>
      </c>
      <c r="BV121" s="4">
        <v>0</v>
      </c>
      <c r="BW121" s="4">
        <v>0</v>
      </c>
      <c r="BX121" s="4">
        <v>2</v>
      </c>
      <c r="BY121" s="4">
        <v>0</v>
      </c>
      <c r="BZ121" s="4">
        <v>0</v>
      </c>
      <c r="CA121" s="4">
        <v>11</v>
      </c>
      <c r="CB121" s="4">
        <v>0</v>
      </c>
      <c r="CC121" s="4">
        <v>0</v>
      </c>
      <c r="CD121" s="4">
        <v>35</v>
      </c>
      <c r="CE121" s="4">
        <v>0</v>
      </c>
      <c r="CF121" s="4">
        <v>0</v>
      </c>
      <c r="CG121" s="4">
        <v>0</v>
      </c>
      <c r="CH121" s="4">
        <v>1</v>
      </c>
      <c r="CI121" s="4">
        <v>0</v>
      </c>
      <c r="CJ121" s="4">
        <v>2</v>
      </c>
      <c r="CK121" s="4">
        <v>0</v>
      </c>
      <c r="CL121" s="4">
        <v>0</v>
      </c>
      <c r="CM121" s="4">
        <v>3</v>
      </c>
      <c r="CN121" s="4">
        <v>15</v>
      </c>
      <c r="CO121" s="4">
        <v>2</v>
      </c>
      <c r="CP121" s="4">
        <v>0</v>
      </c>
      <c r="CQ121" s="4">
        <v>0</v>
      </c>
      <c r="CR121" s="4">
        <v>0</v>
      </c>
      <c r="CS121" s="4">
        <v>11</v>
      </c>
      <c r="CT121" s="4">
        <v>0</v>
      </c>
      <c r="CU121" s="4">
        <v>0</v>
      </c>
      <c r="CV121" s="4">
        <v>6</v>
      </c>
      <c r="CW121" s="4">
        <v>14</v>
      </c>
      <c r="CX121" s="3">
        <v>14</v>
      </c>
    </row>
    <row r="122" spans="1:102" ht="15.75" x14ac:dyDescent="0.25">
      <c r="A122" s="4" t="s">
        <v>339</v>
      </c>
      <c r="B122" s="4" t="s">
        <v>340</v>
      </c>
      <c r="C122" s="4">
        <v>2018</v>
      </c>
      <c r="D122" s="4">
        <v>9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1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7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3">
        <v>0</v>
      </c>
    </row>
    <row r="123" spans="1:102" ht="15.75" x14ac:dyDescent="0.25">
      <c r="A123" s="4" t="s">
        <v>341</v>
      </c>
      <c r="B123" s="4" t="s">
        <v>342</v>
      </c>
      <c r="C123" s="4">
        <v>2018</v>
      </c>
      <c r="D123" s="4">
        <v>392</v>
      </c>
      <c r="E123" s="4">
        <v>0</v>
      </c>
      <c r="F123" s="4">
        <v>1</v>
      </c>
      <c r="G123" s="4">
        <v>16</v>
      </c>
      <c r="H123" s="4">
        <v>5</v>
      </c>
      <c r="I123" s="4">
        <v>5</v>
      </c>
      <c r="J123" s="4">
        <v>2</v>
      </c>
      <c r="K123" s="4">
        <v>5</v>
      </c>
      <c r="L123" s="4">
        <v>8</v>
      </c>
      <c r="M123" s="4">
        <v>1</v>
      </c>
      <c r="N123" s="4">
        <v>6</v>
      </c>
      <c r="O123" s="4">
        <v>69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</v>
      </c>
      <c r="AH123" s="4">
        <v>0</v>
      </c>
      <c r="AI123" s="4">
        <v>5</v>
      </c>
      <c r="AJ123" s="4">
        <v>58</v>
      </c>
      <c r="AK123" s="4">
        <v>7</v>
      </c>
      <c r="AL123" s="4">
        <v>1</v>
      </c>
      <c r="AM123" s="4">
        <v>1</v>
      </c>
      <c r="AN123" s="4">
        <v>1</v>
      </c>
      <c r="AO123" s="4">
        <v>3</v>
      </c>
      <c r="AP123" s="4">
        <v>0</v>
      </c>
      <c r="AQ123" s="4">
        <v>2</v>
      </c>
      <c r="AR123" s="4">
        <v>0</v>
      </c>
      <c r="AS123" s="4">
        <v>2</v>
      </c>
      <c r="AT123" s="4">
        <v>2</v>
      </c>
      <c r="AU123" s="4">
        <v>2</v>
      </c>
      <c r="AV123" s="4">
        <v>0</v>
      </c>
      <c r="AW123" s="4">
        <v>1</v>
      </c>
      <c r="AX123" s="4">
        <v>2</v>
      </c>
      <c r="AY123" s="4">
        <v>0</v>
      </c>
      <c r="AZ123" s="4">
        <v>10</v>
      </c>
      <c r="BA123" s="4">
        <v>0</v>
      </c>
      <c r="BB123" s="4">
        <v>4</v>
      </c>
      <c r="BC123" s="4">
        <v>31</v>
      </c>
      <c r="BD123" s="4">
        <v>0</v>
      </c>
      <c r="BE123" s="4">
        <v>1</v>
      </c>
      <c r="BF123" s="4">
        <v>3</v>
      </c>
      <c r="BG123" s="4">
        <v>0</v>
      </c>
      <c r="BH123" s="4">
        <v>0</v>
      </c>
      <c r="BI123" s="4">
        <v>0</v>
      </c>
      <c r="BJ123" s="4">
        <v>4</v>
      </c>
      <c r="BK123" s="4">
        <v>6</v>
      </c>
      <c r="BL123" s="4">
        <v>0</v>
      </c>
      <c r="BM123" s="4">
        <v>0</v>
      </c>
      <c r="BN123" s="4">
        <v>5</v>
      </c>
      <c r="BO123" s="4">
        <v>0</v>
      </c>
      <c r="BP123" s="4">
        <v>2</v>
      </c>
      <c r="BQ123" s="4">
        <v>4</v>
      </c>
      <c r="BR123" s="4">
        <v>3</v>
      </c>
      <c r="BS123" s="4">
        <v>6</v>
      </c>
      <c r="BT123" s="4">
        <v>4</v>
      </c>
      <c r="BU123" s="4">
        <v>0</v>
      </c>
      <c r="BV123" s="4">
        <v>4</v>
      </c>
      <c r="BW123" s="4">
        <v>1</v>
      </c>
      <c r="BX123" s="4">
        <v>50</v>
      </c>
      <c r="BY123" s="4">
        <v>0</v>
      </c>
      <c r="BZ123" s="4">
        <v>0</v>
      </c>
      <c r="CA123" s="4">
        <v>1</v>
      </c>
      <c r="CB123" s="4">
        <v>3</v>
      </c>
      <c r="CC123" s="4">
        <v>0</v>
      </c>
      <c r="CD123" s="4">
        <v>1</v>
      </c>
      <c r="CE123" s="4">
        <v>0</v>
      </c>
      <c r="CF123" s="4">
        <v>1</v>
      </c>
      <c r="CG123" s="4">
        <v>0</v>
      </c>
      <c r="CH123" s="4">
        <v>0</v>
      </c>
      <c r="CI123" s="4">
        <v>0</v>
      </c>
      <c r="CJ123" s="4">
        <v>4</v>
      </c>
      <c r="CK123" s="4">
        <v>0</v>
      </c>
      <c r="CL123" s="4">
        <v>0</v>
      </c>
      <c r="CM123" s="4">
        <v>1</v>
      </c>
      <c r="CN123" s="4">
        <v>5</v>
      </c>
      <c r="CO123" s="4">
        <v>2</v>
      </c>
      <c r="CP123" s="4">
        <v>1</v>
      </c>
      <c r="CQ123" s="4">
        <v>0</v>
      </c>
      <c r="CR123" s="4">
        <v>8</v>
      </c>
      <c r="CS123" s="4">
        <v>3</v>
      </c>
      <c r="CT123" s="4">
        <v>1</v>
      </c>
      <c r="CU123" s="4">
        <v>0</v>
      </c>
      <c r="CV123" s="4">
        <v>11</v>
      </c>
      <c r="CW123" s="4">
        <v>1</v>
      </c>
      <c r="CX123" s="3">
        <v>1</v>
      </c>
    </row>
    <row r="124" spans="1:102" ht="15.75" x14ac:dyDescent="0.25">
      <c r="A124" s="4" t="s">
        <v>343</v>
      </c>
      <c r="B124" s="4" t="s">
        <v>344</v>
      </c>
      <c r="C124" s="4">
        <v>2018</v>
      </c>
      <c r="D124" s="4">
        <v>21</v>
      </c>
      <c r="E124" s="4">
        <v>0</v>
      </c>
      <c r="F124" s="4">
        <v>2</v>
      </c>
      <c r="G124" s="4">
        <v>2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1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1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2</v>
      </c>
      <c r="BT124" s="4">
        <v>0</v>
      </c>
      <c r="BU124" s="4">
        <v>0</v>
      </c>
      <c r="BV124" s="4">
        <v>0</v>
      </c>
      <c r="BW124" s="4">
        <v>0</v>
      </c>
      <c r="BX124" s="4">
        <v>1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1</v>
      </c>
      <c r="CU124" s="4">
        <v>0</v>
      </c>
      <c r="CV124" s="4">
        <v>1</v>
      </c>
      <c r="CW124" s="4">
        <v>0</v>
      </c>
      <c r="CX124" s="3">
        <v>0</v>
      </c>
    </row>
    <row r="125" spans="1:102" ht="15.75" x14ac:dyDescent="0.25">
      <c r="A125" s="4" t="s">
        <v>345</v>
      </c>
      <c r="B125" s="4" t="s">
        <v>346</v>
      </c>
      <c r="C125" s="4">
        <v>2018</v>
      </c>
      <c r="D125" s="4">
        <v>21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1</v>
      </c>
      <c r="BO125" s="4">
        <v>0</v>
      </c>
      <c r="BP125" s="4">
        <v>0</v>
      </c>
      <c r="BQ125" s="4">
        <v>0</v>
      </c>
      <c r="BR125" s="4">
        <v>0</v>
      </c>
      <c r="BS125" s="4">
        <v>14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1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3">
        <v>0</v>
      </c>
    </row>
    <row r="126" spans="1:102" ht="15.75" x14ac:dyDescent="0.25">
      <c r="A126" s="4" t="s">
        <v>347</v>
      </c>
      <c r="B126" s="4" t="s">
        <v>348</v>
      </c>
      <c r="C126" s="4">
        <v>2018</v>
      </c>
      <c r="D126" s="4">
        <v>309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3</v>
      </c>
      <c r="N126" s="4">
        <v>3</v>
      </c>
      <c r="O126" s="4">
        <v>12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2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</v>
      </c>
      <c r="AH126" s="4">
        <v>2</v>
      </c>
      <c r="AI126" s="4">
        <v>4</v>
      </c>
      <c r="AJ126" s="4">
        <v>13</v>
      </c>
      <c r="AK126" s="4">
        <v>2</v>
      </c>
      <c r="AL126" s="4">
        <v>0</v>
      </c>
      <c r="AM126" s="4">
        <v>2</v>
      </c>
      <c r="AN126" s="4">
        <v>1</v>
      </c>
      <c r="AO126" s="4">
        <v>6</v>
      </c>
      <c r="AP126" s="4">
        <v>0</v>
      </c>
      <c r="AQ126" s="4">
        <v>0</v>
      </c>
      <c r="AR126" s="4">
        <v>0</v>
      </c>
      <c r="AS126" s="4">
        <v>16</v>
      </c>
      <c r="AT126" s="4">
        <v>6</v>
      </c>
      <c r="AU126" s="4">
        <v>2</v>
      </c>
      <c r="AV126" s="4">
        <v>2</v>
      </c>
      <c r="AW126" s="4">
        <v>1</v>
      </c>
      <c r="AX126" s="4">
        <v>7</v>
      </c>
      <c r="AY126" s="4">
        <v>0</v>
      </c>
      <c r="AZ126" s="4">
        <v>7</v>
      </c>
      <c r="BA126" s="4">
        <v>0</v>
      </c>
      <c r="BB126" s="4">
        <v>2</v>
      </c>
      <c r="BC126" s="4">
        <v>0</v>
      </c>
      <c r="BD126" s="4">
        <v>0</v>
      </c>
      <c r="BE126" s="4">
        <v>8</v>
      </c>
      <c r="BF126" s="4">
        <v>11</v>
      </c>
      <c r="BG126" s="4">
        <v>0</v>
      </c>
      <c r="BH126" s="4">
        <v>0</v>
      </c>
      <c r="BI126" s="4">
        <v>0</v>
      </c>
      <c r="BJ126" s="4">
        <v>3</v>
      </c>
      <c r="BK126" s="4">
        <v>3</v>
      </c>
      <c r="BL126" s="4">
        <v>0</v>
      </c>
      <c r="BM126" s="4">
        <v>0</v>
      </c>
      <c r="BN126" s="4">
        <v>1</v>
      </c>
      <c r="BO126" s="4">
        <v>0</v>
      </c>
      <c r="BP126" s="4">
        <v>0</v>
      </c>
      <c r="BQ126" s="4">
        <v>1</v>
      </c>
      <c r="BR126" s="4">
        <v>0</v>
      </c>
      <c r="BS126" s="4">
        <v>8</v>
      </c>
      <c r="BT126" s="4">
        <v>2</v>
      </c>
      <c r="BU126" s="4">
        <v>0</v>
      </c>
      <c r="BV126" s="4">
        <v>1</v>
      </c>
      <c r="BW126" s="4">
        <v>3</v>
      </c>
      <c r="BX126" s="4">
        <v>142</v>
      </c>
      <c r="BY126" s="4">
        <v>1</v>
      </c>
      <c r="BZ126" s="4">
        <v>0</v>
      </c>
      <c r="CA126" s="4">
        <v>1</v>
      </c>
      <c r="CB126" s="4">
        <v>0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7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4</v>
      </c>
      <c r="CU126" s="4">
        <v>0</v>
      </c>
      <c r="CV126" s="4">
        <v>7</v>
      </c>
      <c r="CW126" s="4">
        <v>2</v>
      </c>
      <c r="CX126" s="3">
        <v>2</v>
      </c>
    </row>
    <row r="127" spans="1:102" ht="15.75" x14ac:dyDescent="0.25">
      <c r="A127" s="4" t="s">
        <v>349</v>
      </c>
      <c r="B127" s="4" t="s">
        <v>350</v>
      </c>
      <c r="C127" s="4">
        <v>2018</v>
      </c>
      <c r="D127" s="4">
        <v>15</v>
      </c>
      <c r="E127" s="4">
        <v>0</v>
      </c>
      <c r="F127" s="4">
        <v>3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1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1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1</v>
      </c>
      <c r="BK127" s="4">
        <v>3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1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3">
        <v>0</v>
      </c>
    </row>
    <row r="128" spans="1:102" ht="15.75" x14ac:dyDescent="0.25">
      <c r="A128" s="4" t="s">
        <v>351</v>
      </c>
      <c r="B128" s="4" t="s">
        <v>352</v>
      </c>
      <c r="C128" s="4">
        <v>2018</v>
      </c>
      <c r="D128" s="4">
        <v>1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1</v>
      </c>
      <c r="CW128" s="4">
        <v>0</v>
      </c>
      <c r="CX128" s="3">
        <v>0</v>
      </c>
    </row>
    <row r="129" spans="1:102" ht="15.75" x14ac:dyDescent="0.25">
      <c r="A129" s="4" t="s">
        <v>353</v>
      </c>
      <c r="B129" s="4" t="s">
        <v>354</v>
      </c>
      <c r="C129" s="4">
        <v>2018</v>
      </c>
      <c r="D129" s="4">
        <v>533</v>
      </c>
      <c r="E129" s="4">
        <v>0</v>
      </c>
      <c r="F129" s="4">
        <v>1</v>
      </c>
      <c r="G129" s="4">
        <v>2</v>
      </c>
      <c r="H129" s="4">
        <v>7</v>
      </c>
      <c r="I129" s="4">
        <v>3</v>
      </c>
      <c r="J129" s="4">
        <v>1</v>
      </c>
      <c r="K129" s="4">
        <v>1</v>
      </c>
      <c r="L129" s="4">
        <v>3</v>
      </c>
      <c r="M129" s="4">
        <v>1</v>
      </c>
      <c r="N129" s="4">
        <v>5</v>
      </c>
      <c r="O129" s="4">
        <v>55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26</v>
      </c>
      <c r="V129" s="4">
        <v>0</v>
      </c>
      <c r="W129" s="4">
        <v>6</v>
      </c>
      <c r="X129" s="4">
        <v>1</v>
      </c>
      <c r="Y129" s="4">
        <v>0</v>
      </c>
      <c r="Z129" s="4">
        <v>0</v>
      </c>
      <c r="AA129" s="4">
        <v>32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8</v>
      </c>
      <c r="AH129" s="4">
        <v>0</v>
      </c>
      <c r="AI129" s="4">
        <v>3</v>
      </c>
      <c r="AJ129" s="4">
        <v>10</v>
      </c>
      <c r="AK129" s="4">
        <v>11</v>
      </c>
      <c r="AL129" s="4">
        <v>7</v>
      </c>
      <c r="AM129" s="4">
        <v>21</v>
      </c>
      <c r="AN129" s="4">
        <v>11</v>
      </c>
      <c r="AO129" s="4">
        <v>17</v>
      </c>
      <c r="AP129" s="4">
        <v>0</v>
      </c>
      <c r="AQ129" s="4">
        <v>3</v>
      </c>
      <c r="AR129" s="4">
        <v>0</v>
      </c>
      <c r="AS129" s="4">
        <v>3</v>
      </c>
      <c r="AT129" s="4">
        <v>28</v>
      </c>
      <c r="AU129" s="4">
        <v>3</v>
      </c>
      <c r="AV129" s="4">
        <v>3</v>
      </c>
      <c r="AW129" s="4">
        <v>6</v>
      </c>
      <c r="AX129" s="4">
        <v>6</v>
      </c>
      <c r="AY129" s="4">
        <v>0</v>
      </c>
      <c r="AZ129" s="4">
        <v>0</v>
      </c>
      <c r="BA129" s="4">
        <v>0</v>
      </c>
      <c r="BB129" s="4">
        <v>5</v>
      </c>
      <c r="BC129" s="4">
        <v>0</v>
      </c>
      <c r="BD129" s="4">
        <v>0</v>
      </c>
      <c r="BE129" s="4">
        <v>4</v>
      </c>
      <c r="BF129" s="4">
        <v>18</v>
      </c>
      <c r="BG129" s="4">
        <v>0</v>
      </c>
      <c r="BH129" s="4">
        <v>0</v>
      </c>
      <c r="BI129" s="4">
        <v>0</v>
      </c>
      <c r="BJ129" s="4">
        <v>6</v>
      </c>
      <c r="BK129" s="4">
        <v>14</v>
      </c>
      <c r="BL129" s="4">
        <v>0</v>
      </c>
      <c r="BM129" s="4">
        <v>14</v>
      </c>
      <c r="BN129" s="4">
        <v>43</v>
      </c>
      <c r="BO129" s="4">
        <v>1</v>
      </c>
      <c r="BP129" s="4">
        <v>3</v>
      </c>
      <c r="BQ129" s="4">
        <v>6</v>
      </c>
      <c r="BR129" s="4">
        <v>1</v>
      </c>
      <c r="BS129" s="4">
        <v>19</v>
      </c>
      <c r="BT129" s="4">
        <v>6</v>
      </c>
      <c r="BU129" s="4">
        <v>1</v>
      </c>
      <c r="BV129" s="4">
        <v>8</v>
      </c>
      <c r="BW129" s="4">
        <v>5</v>
      </c>
      <c r="BX129" s="4">
        <v>6</v>
      </c>
      <c r="BY129" s="4">
        <v>0</v>
      </c>
      <c r="BZ129" s="4">
        <v>0</v>
      </c>
      <c r="CA129" s="4">
        <v>5</v>
      </c>
      <c r="CB129" s="4">
        <v>0</v>
      </c>
      <c r="CC129" s="4">
        <v>0</v>
      </c>
      <c r="CD129" s="4">
        <v>1</v>
      </c>
      <c r="CE129" s="4">
        <v>0</v>
      </c>
      <c r="CF129" s="4">
        <v>1</v>
      </c>
      <c r="CG129" s="4">
        <v>0</v>
      </c>
      <c r="CH129" s="4">
        <v>1</v>
      </c>
      <c r="CI129" s="4">
        <v>1</v>
      </c>
      <c r="CJ129" s="4">
        <v>13</v>
      </c>
      <c r="CK129" s="4">
        <v>3</v>
      </c>
      <c r="CL129" s="4">
        <v>0</v>
      </c>
      <c r="CM129" s="4">
        <v>1</v>
      </c>
      <c r="CN129" s="4">
        <v>25</v>
      </c>
      <c r="CO129" s="4">
        <v>2</v>
      </c>
      <c r="CP129" s="4">
        <v>1</v>
      </c>
      <c r="CQ129" s="4">
        <v>0</v>
      </c>
      <c r="CR129" s="4">
        <v>0</v>
      </c>
      <c r="CS129" s="4">
        <v>0</v>
      </c>
      <c r="CT129" s="4">
        <v>9</v>
      </c>
      <c r="CU129" s="4">
        <v>0</v>
      </c>
      <c r="CV129" s="4">
        <v>23</v>
      </c>
      <c r="CW129" s="4">
        <v>0</v>
      </c>
      <c r="CX129" s="3">
        <v>0</v>
      </c>
    </row>
    <row r="130" spans="1:102" ht="15.75" x14ac:dyDescent="0.25">
      <c r="A130" s="4" t="s">
        <v>355</v>
      </c>
      <c r="B130" s="4" t="s">
        <v>356</v>
      </c>
      <c r="C130" s="4">
        <v>2018</v>
      </c>
      <c r="D130" s="4">
        <v>271</v>
      </c>
      <c r="E130" s="4">
        <v>0</v>
      </c>
      <c r="F130" s="4">
        <v>0</v>
      </c>
      <c r="G130" s="4">
        <v>0</v>
      </c>
      <c r="H130" s="4">
        <v>5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1</v>
      </c>
      <c r="O130" s="4">
        <v>1</v>
      </c>
      <c r="P130" s="4">
        <v>0</v>
      </c>
      <c r="Q130" s="4">
        <v>0</v>
      </c>
      <c r="R130" s="4">
        <v>0</v>
      </c>
      <c r="S130" s="4">
        <v>1</v>
      </c>
      <c r="T130" s="4">
        <v>0</v>
      </c>
      <c r="U130" s="4">
        <v>0</v>
      </c>
      <c r="V130" s="4">
        <v>1</v>
      </c>
      <c r="W130" s="4">
        <v>12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</v>
      </c>
      <c r="AH130" s="4">
        <v>1</v>
      </c>
      <c r="AI130" s="4">
        <v>7</v>
      </c>
      <c r="AJ130" s="4">
        <v>1</v>
      </c>
      <c r="AK130" s="4">
        <v>2</v>
      </c>
      <c r="AL130" s="4">
        <v>0</v>
      </c>
      <c r="AM130" s="4">
        <v>12</v>
      </c>
      <c r="AN130" s="4">
        <v>23</v>
      </c>
      <c r="AO130" s="4">
        <v>2</v>
      </c>
      <c r="AP130" s="4">
        <v>0</v>
      </c>
      <c r="AQ130" s="4">
        <v>7</v>
      </c>
      <c r="AR130" s="4">
        <v>1</v>
      </c>
      <c r="AS130" s="4">
        <v>10</v>
      </c>
      <c r="AT130" s="4">
        <v>4</v>
      </c>
      <c r="AU130" s="4">
        <v>4</v>
      </c>
      <c r="AV130" s="4">
        <v>4</v>
      </c>
      <c r="AW130" s="4">
        <v>4</v>
      </c>
      <c r="AX130" s="4">
        <v>3</v>
      </c>
      <c r="AY130" s="4">
        <v>0</v>
      </c>
      <c r="AZ130" s="4">
        <v>0</v>
      </c>
      <c r="BA130" s="4">
        <v>0</v>
      </c>
      <c r="BB130" s="4">
        <v>1</v>
      </c>
      <c r="BC130" s="4">
        <v>0</v>
      </c>
      <c r="BD130" s="4">
        <v>0</v>
      </c>
      <c r="BE130" s="4">
        <v>2</v>
      </c>
      <c r="BF130" s="4">
        <v>8</v>
      </c>
      <c r="BG130" s="4">
        <v>1</v>
      </c>
      <c r="BH130" s="4">
        <v>0</v>
      </c>
      <c r="BI130" s="4">
        <v>0</v>
      </c>
      <c r="BJ130" s="4">
        <v>4</v>
      </c>
      <c r="BK130" s="4">
        <v>3</v>
      </c>
      <c r="BL130" s="4">
        <v>0</v>
      </c>
      <c r="BM130" s="4">
        <v>0</v>
      </c>
      <c r="BN130" s="4">
        <v>6</v>
      </c>
      <c r="BO130" s="4">
        <v>0</v>
      </c>
      <c r="BP130" s="4">
        <v>1</v>
      </c>
      <c r="BQ130" s="4">
        <v>10</v>
      </c>
      <c r="BR130" s="4">
        <v>0</v>
      </c>
      <c r="BS130" s="4">
        <v>6</v>
      </c>
      <c r="BT130" s="4">
        <v>3</v>
      </c>
      <c r="BU130" s="4">
        <v>0</v>
      </c>
      <c r="BV130" s="4">
        <v>2</v>
      </c>
      <c r="BW130" s="4">
        <v>1</v>
      </c>
      <c r="BX130" s="4">
        <v>12</v>
      </c>
      <c r="BY130" s="4">
        <v>0</v>
      </c>
      <c r="BZ130" s="4">
        <v>0</v>
      </c>
      <c r="CA130" s="4">
        <v>3</v>
      </c>
      <c r="CB130" s="4">
        <v>25</v>
      </c>
      <c r="CC130" s="4">
        <v>0</v>
      </c>
      <c r="CD130" s="4">
        <v>0</v>
      </c>
      <c r="CE130" s="4">
        <v>0</v>
      </c>
      <c r="CF130" s="4">
        <v>1</v>
      </c>
      <c r="CG130" s="4">
        <v>0</v>
      </c>
      <c r="CH130" s="4">
        <v>3</v>
      </c>
      <c r="CI130" s="4">
        <v>2</v>
      </c>
      <c r="CJ130" s="4">
        <v>10</v>
      </c>
      <c r="CK130" s="4">
        <v>3</v>
      </c>
      <c r="CL130" s="4">
        <v>0</v>
      </c>
      <c r="CM130" s="4">
        <v>0</v>
      </c>
      <c r="CN130" s="4">
        <v>4</v>
      </c>
      <c r="CO130" s="4">
        <v>2</v>
      </c>
      <c r="CP130" s="4">
        <v>0</v>
      </c>
      <c r="CQ130" s="4">
        <v>0</v>
      </c>
      <c r="CR130" s="4">
        <v>20</v>
      </c>
      <c r="CS130" s="4">
        <v>1</v>
      </c>
      <c r="CT130" s="4">
        <v>2</v>
      </c>
      <c r="CU130" s="4">
        <v>1</v>
      </c>
      <c r="CV130" s="4">
        <v>20</v>
      </c>
      <c r="CW130" s="4">
        <v>0</v>
      </c>
      <c r="CX130" s="3">
        <v>0</v>
      </c>
    </row>
    <row r="131" spans="1:102" ht="15.75" x14ac:dyDescent="0.25">
      <c r="A131" s="4" t="s">
        <v>357</v>
      </c>
      <c r="B131" s="4" t="s">
        <v>358</v>
      </c>
      <c r="C131" s="4">
        <v>2018</v>
      </c>
      <c r="D131" s="4">
        <v>398</v>
      </c>
      <c r="E131" s="4">
        <v>0</v>
      </c>
      <c r="F131" s="4">
        <v>2</v>
      </c>
      <c r="G131" s="4">
        <v>0</v>
      </c>
      <c r="H131" s="4">
        <v>4</v>
      </c>
      <c r="I131" s="4">
        <v>1</v>
      </c>
      <c r="J131" s="4">
        <v>2</v>
      </c>
      <c r="K131" s="4">
        <v>0</v>
      </c>
      <c r="L131" s="4">
        <v>2</v>
      </c>
      <c r="M131" s="4">
        <v>1</v>
      </c>
      <c r="N131" s="4">
        <v>5</v>
      </c>
      <c r="O131" s="4">
        <v>163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13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9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</v>
      </c>
      <c r="AH131" s="4">
        <v>0</v>
      </c>
      <c r="AI131" s="4">
        <v>2</v>
      </c>
      <c r="AJ131" s="4">
        <v>2</v>
      </c>
      <c r="AK131" s="4">
        <v>7</v>
      </c>
      <c r="AL131" s="4">
        <v>3</v>
      </c>
      <c r="AM131" s="4">
        <v>2</v>
      </c>
      <c r="AN131" s="4">
        <v>3</v>
      </c>
      <c r="AO131" s="4">
        <v>8</v>
      </c>
      <c r="AP131" s="4">
        <v>0</v>
      </c>
      <c r="AQ131" s="4">
        <v>1</v>
      </c>
      <c r="AR131" s="4">
        <v>0</v>
      </c>
      <c r="AS131" s="4">
        <v>4</v>
      </c>
      <c r="AT131" s="4">
        <v>6</v>
      </c>
      <c r="AU131" s="4">
        <v>2</v>
      </c>
      <c r="AV131" s="4">
        <v>2</v>
      </c>
      <c r="AW131" s="4">
        <v>0</v>
      </c>
      <c r="AX131" s="4">
        <v>5</v>
      </c>
      <c r="AY131" s="4">
        <v>0</v>
      </c>
      <c r="AZ131" s="4">
        <v>1</v>
      </c>
      <c r="BA131" s="4">
        <v>0</v>
      </c>
      <c r="BB131" s="4">
        <v>1</v>
      </c>
      <c r="BC131" s="4">
        <v>0</v>
      </c>
      <c r="BD131" s="4">
        <v>0</v>
      </c>
      <c r="BE131" s="4">
        <v>4</v>
      </c>
      <c r="BF131" s="4">
        <v>9</v>
      </c>
      <c r="BG131" s="4">
        <v>0</v>
      </c>
      <c r="BH131" s="4">
        <v>0</v>
      </c>
      <c r="BI131" s="4">
        <v>0</v>
      </c>
      <c r="BJ131" s="4">
        <v>5</v>
      </c>
      <c r="BK131" s="4">
        <v>6</v>
      </c>
      <c r="BL131" s="4">
        <v>0</v>
      </c>
      <c r="BM131" s="4">
        <v>2</v>
      </c>
      <c r="BN131" s="4">
        <v>14</v>
      </c>
      <c r="BO131" s="4">
        <v>0</v>
      </c>
      <c r="BP131" s="4">
        <v>0</v>
      </c>
      <c r="BQ131" s="4">
        <v>19</v>
      </c>
      <c r="BR131" s="4">
        <v>1</v>
      </c>
      <c r="BS131" s="4">
        <v>9</v>
      </c>
      <c r="BT131" s="4">
        <v>4</v>
      </c>
      <c r="BU131" s="4">
        <v>0</v>
      </c>
      <c r="BV131" s="4">
        <v>4</v>
      </c>
      <c r="BW131" s="4">
        <v>0</v>
      </c>
      <c r="BX131" s="4">
        <v>16</v>
      </c>
      <c r="BY131" s="4">
        <v>0</v>
      </c>
      <c r="BZ131" s="4">
        <v>0</v>
      </c>
      <c r="CA131" s="4">
        <v>1</v>
      </c>
      <c r="CB131" s="4">
        <v>2</v>
      </c>
      <c r="CC131" s="4">
        <v>0</v>
      </c>
      <c r="CD131" s="4">
        <v>0</v>
      </c>
      <c r="CE131" s="4">
        <v>0</v>
      </c>
      <c r="CF131" s="4">
        <v>1</v>
      </c>
      <c r="CG131" s="4">
        <v>0</v>
      </c>
      <c r="CH131" s="4">
        <v>0</v>
      </c>
      <c r="CI131" s="4">
        <v>1</v>
      </c>
      <c r="CJ131" s="4">
        <v>13</v>
      </c>
      <c r="CK131" s="4">
        <v>4</v>
      </c>
      <c r="CL131" s="4">
        <v>0</v>
      </c>
      <c r="CM131" s="4">
        <v>0</v>
      </c>
      <c r="CN131" s="4">
        <v>7</v>
      </c>
      <c r="CO131" s="4">
        <v>1</v>
      </c>
      <c r="CP131" s="4">
        <v>1</v>
      </c>
      <c r="CQ131" s="4">
        <v>0</v>
      </c>
      <c r="CR131" s="4">
        <v>0</v>
      </c>
      <c r="CS131" s="4">
        <v>0</v>
      </c>
      <c r="CT131" s="4">
        <v>3</v>
      </c>
      <c r="CU131" s="4">
        <v>1</v>
      </c>
      <c r="CV131" s="4">
        <v>11</v>
      </c>
      <c r="CW131" s="4">
        <v>1</v>
      </c>
      <c r="CX131" s="3">
        <v>1</v>
      </c>
    </row>
    <row r="132" spans="1:102" ht="15.75" x14ac:dyDescent="0.25">
      <c r="A132" s="4" t="s">
        <v>359</v>
      </c>
      <c r="B132" s="4" t="s">
        <v>360</v>
      </c>
      <c r="C132" s="4">
        <v>2018</v>
      </c>
      <c r="D132" s="4">
        <v>154</v>
      </c>
      <c r="E132" s="4">
        <v>0</v>
      </c>
      <c r="F132" s="4">
        <v>0</v>
      </c>
      <c r="G132" s="4">
        <v>3</v>
      </c>
      <c r="H132" s="4">
        <v>0</v>
      </c>
      <c r="I132" s="4">
        <v>8</v>
      </c>
      <c r="J132" s="4">
        <v>1</v>
      </c>
      <c r="K132" s="4">
        <v>0</v>
      </c>
      <c r="L132" s="4">
        <v>2</v>
      </c>
      <c r="M132" s="4">
        <v>0</v>
      </c>
      <c r="N132" s="4">
        <v>5</v>
      </c>
      <c r="O132" s="4">
        <v>18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1</v>
      </c>
      <c r="AJ132" s="4">
        <v>25</v>
      </c>
      <c r="AK132" s="4">
        <v>4</v>
      </c>
      <c r="AL132" s="4">
        <v>0</v>
      </c>
      <c r="AM132" s="4">
        <v>0</v>
      </c>
      <c r="AN132" s="4">
        <v>0</v>
      </c>
      <c r="AO132" s="4">
        <v>5</v>
      </c>
      <c r="AP132" s="4">
        <v>0</v>
      </c>
      <c r="AQ132" s="4">
        <v>2</v>
      </c>
      <c r="AR132" s="4">
        <v>0</v>
      </c>
      <c r="AS132" s="4">
        <v>0</v>
      </c>
      <c r="AT132" s="4">
        <v>0</v>
      </c>
      <c r="AU132" s="4">
        <v>0</v>
      </c>
      <c r="AV132" s="4">
        <v>2</v>
      </c>
      <c r="AW132" s="4">
        <v>0</v>
      </c>
      <c r="AX132" s="4">
        <v>2</v>
      </c>
      <c r="AY132" s="4">
        <v>0</v>
      </c>
      <c r="AZ132" s="4">
        <v>1</v>
      </c>
      <c r="BA132" s="4">
        <v>0</v>
      </c>
      <c r="BB132" s="4">
        <v>4</v>
      </c>
      <c r="BC132" s="4">
        <v>0</v>
      </c>
      <c r="BD132" s="4">
        <v>0</v>
      </c>
      <c r="BE132" s="4">
        <v>2</v>
      </c>
      <c r="BF132" s="4">
        <v>3</v>
      </c>
      <c r="BG132" s="4">
        <v>0</v>
      </c>
      <c r="BH132" s="4">
        <v>1</v>
      </c>
      <c r="BI132" s="4">
        <v>0</v>
      </c>
      <c r="BJ132" s="4">
        <v>5</v>
      </c>
      <c r="BK132" s="4">
        <v>8</v>
      </c>
      <c r="BL132" s="4">
        <v>0</v>
      </c>
      <c r="BM132" s="4">
        <v>0</v>
      </c>
      <c r="BN132" s="4">
        <v>1</v>
      </c>
      <c r="BO132" s="4">
        <v>0</v>
      </c>
      <c r="BP132" s="4">
        <v>0</v>
      </c>
      <c r="BQ132" s="4">
        <v>2</v>
      </c>
      <c r="BR132" s="4">
        <v>1</v>
      </c>
      <c r="BS132" s="4">
        <v>2</v>
      </c>
      <c r="BT132" s="4">
        <v>1</v>
      </c>
      <c r="BU132" s="4">
        <v>0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3</v>
      </c>
      <c r="CK132" s="4">
        <v>0</v>
      </c>
      <c r="CL132" s="4">
        <v>0</v>
      </c>
      <c r="CM132" s="4">
        <v>0</v>
      </c>
      <c r="CN132" s="4">
        <v>3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17</v>
      </c>
      <c r="CU132" s="4">
        <v>0</v>
      </c>
      <c r="CV132" s="4">
        <v>4</v>
      </c>
      <c r="CW132" s="4">
        <v>1</v>
      </c>
      <c r="CX132" s="3">
        <v>1</v>
      </c>
    </row>
    <row r="133" spans="1:102" ht="15.75" x14ac:dyDescent="0.25">
      <c r="A133" s="4" t="s">
        <v>361</v>
      </c>
      <c r="B133" s="4" t="s">
        <v>362</v>
      </c>
      <c r="C133" s="4">
        <v>2018</v>
      </c>
      <c r="D133" s="4">
        <v>741</v>
      </c>
      <c r="E133" s="4">
        <v>0</v>
      </c>
      <c r="F133" s="4">
        <v>0</v>
      </c>
      <c r="G133" s="4">
        <v>3</v>
      </c>
      <c r="H133" s="4">
        <v>0</v>
      </c>
      <c r="I133" s="4">
        <v>0</v>
      </c>
      <c r="J133" s="4">
        <v>6</v>
      </c>
      <c r="K133" s="4">
        <v>0</v>
      </c>
      <c r="L133" s="4">
        <v>0</v>
      </c>
      <c r="M133" s="4">
        <v>1</v>
      </c>
      <c r="N133" s="4">
        <v>1</v>
      </c>
      <c r="O133" s="4">
        <v>19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1</v>
      </c>
      <c r="V133" s="4">
        <v>3</v>
      </c>
      <c r="W133" s="4">
        <v>26</v>
      </c>
      <c r="X133" s="4">
        <v>1</v>
      </c>
      <c r="Y133" s="4">
        <v>3</v>
      </c>
      <c r="Z133" s="4">
        <v>0</v>
      </c>
      <c r="AA133" s="4">
        <v>4</v>
      </c>
      <c r="AB133" s="4">
        <v>147</v>
      </c>
      <c r="AC133" s="4">
        <v>0</v>
      </c>
      <c r="AD133" s="4">
        <v>0</v>
      </c>
      <c r="AE133" s="4">
        <v>0</v>
      </c>
      <c r="AF133" s="4">
        <v>0</v>
      </c>
      <c r="AG133" s="4">
        <v>3</v>
      </c>
      <c r="AH133" s="4">
        <v>1</v>
      </c>
      <c r="AI133" s="4">
        <v>3</v>
      </c>
      <c r="AJ133" s="4">
        <v>18</v>
      </c>
      <c r="AK133" s="4">
        <v>7</v>
      </c>
      <c r="AL133" s="4">
        <v>1</v>
      </c>
      <c r="AM133" s="4">
        <v>3</v>
      </c>
      <c r="AN133" s="4">
        <v>5</v>
      </c>
      <c r="AO133" s="4">
        <v>11</v>
      </c>
      <c r="AP133" s="4">
        <v>0</v>
      </c>
      <c r="AQ133" s="4">
        <v>3</v>
      </c>
      <c r="AR133" s="4">
        <v>0</v>
      </c>
      <c r="AS133" s="4">
        <v>2</v>
      </c>
      <c r="AT133" s="4">
        <v>54</v>
      </c>
      <c r="AU133" s="4">
        <v>3</v>
      </c>
      <c r="AV133" s="4">
        <v>11</v>
      </c>
      <c r="AW133" s="4">
        <v>0</v>
      </c>
      <c r="AX133" s="4">
        <v>6</v>
      </c>
      <c r="AY133" s="4">
        <v>0</v>
      </c>
      <c r="AZ133" s="4">
        <v>1</v>
      </c>
      <c r="BA133" s="4">
        <v>0</v>
      </c>
      <c r="BB133" s="4">
        <v>12</v>
      </c>
      <c r="BC133" s="4">
        <v>2</v>
      </c>
      <c r="BD133" s="4">
        <v>0</v>
      </c>
      <c r="BE133" s="4">
        <v>2</v>
      </c>
      <c r="BF133" s="4">
        <v>7</v>
      </c>
      <c r="BG133" s="4">
        <v>2</v>
      </c>
      <c r="BH133" s="4">
        <v>1</v>
      </c>
      <c r="BI133" s="4">
        <v>0</v>
      </c>
      <c r="BJ133" s="4">
        <v>6</v>
      </c>
      <c r="BK133" s="4">
        <v>10</v>
      </c>
      <c r="BL133" s="4">
        <v>0</v>
      </c>
      <c r="BM133" s="4">
        <v>1</v>
      </c>
      <c r="BN133" s="4">
        <v>3</v>
      </c>
      <c r="BO133" s="4">
        <v>0</v>
      </c>
      <c r="BP133" s="4">
        <v>0</v>
      </c>
      <c r="BQ133" s="4">
        <v>19</v>
      </c>
      <c r="BR133" s="4">
        <v>1</v>
      </c>
      <c r="BS133" s="4">
        <v>19</v>
      </c>
      <c r="BT133" s="4">
        <v>3</v>
      </c>
      <c r="BU133" s="4">
        <v>0</v>
      </c>
      <c r="BV133" s="4">
        <v>5</v>
      </c>
      <c r="BW133" s="4">
        <v>2</v>
      </c>
      <c r="BX133" s="4">
        <v>165</v>
      </c>
      <c r="BY133" s="4">
        <v>0</v>
      </c>
      <c r="BZ133" s="4">
        <v>0</v>
      </c>
      <c r="CA133" s="4">
        <v>106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3</v>
      </c>
      <c r="CK133" s="4">
        <v>0</v>
      </c>
      <c r="CL133" s="4">
        <v>0</v>
      </c>
      <c r="CM133" s="4">
        <v>0</v>
      </c>
      <c r="CN133" s="4">
        <v>4</v>
      </c>
      <c r="CO133" s="4">
        <v>1</v>
      </c>
      <c r="CP133" s="4">
        <v>0</v>
      </c>
      <c r="CQ133" s="4">
        <v>0</v>
      </c>
      <c r="CR133" s="4">
        <v>0</v>
      </c>
      <c r="CS133" s="4">
        <v>0</v>
      </c>
      <c r="CT133" s="4">
        <v>6</v>
      </c>
      <c r="CU133" s="4">
        <v>0</v>
      </c>
      <c r="CV133" s="4">
        <v>8</v>
      </c>
      <c r="CW133" s="4">
        <v>2</v>
      </c>
      <c r="CX133" s="3">
        <v>2</v>
      </c>
    </row>
    <row r="134" spans="1:102" ht="15.75" x14ac:dyDescent="0.25">
      <c r="A134" s="4" t="s">
        <v>363</v>
      </c>
      <c r="B134" s="4" t="s">
        <v>364</v>
      </c>
      <c r="C134" s="4">
        <v>2018</v>
      </c>
      <c r="D134" s="4">
        <v>41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1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15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3</v>
      </c>
      <c r="BG134" s="4">
        <v>0</v>
      </c>
      <c r="BH134" s="4">
        <v>0</v>
      </c>
      <c r="BI134" s="4">
        <v>0</v>
      </c>
      <c r="BJ134" s="4">
        <v>0</v>
      </c>
      <c r="BK134" s="4">
        <v>1</v>
      </c>
      <c r="BL134" s="4">
        <v>0</v>
      </c>
      <c r="BM134" s="4">
        <v>0</v>
      </c>
      <c r="BN134" s="4">
        <v>1</v>
      </c>
      <c r="BO134" s="4">
        <v>0</v>
      </c>
      <c r="BP134" s="4">
        <v>0</v>
      </c>
      <c r="BQ134" s="4">
        <v>1</v>
      </c>
      <c r="BR134" s="4">
        <v>0</v>
      </c>
      <c r="BS134" s="4">
        <v>0</v>
      </c>
      <c r="BT134" s="4">
        <v>0</v>
      </c>
      <c r="BU134" s="4">
        <v>0</v>
      </c>
      <c r="BV134" s="4">
        <v>1</v>
      </c>
      <c r="BW134" s="4">
        <v>2</v>
      </c>
      <c r="BX134" s="4">
        <v>8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2</v>
      </c>
      <c r="CU134" s="4">
        <v>0</v>
      </c>
      <c r="CV134" s="4">
        <v>1</v>
      </c>
      <c r="CW134" s="4">
        <v>0</v>
      </c>
      <c r="CX134" s="3">
        <v>0</v>
      </c>
    </row>
    <row r="135" spans="1:102" ht="15.75" x14ac:dyDescent="0.25">
      <c r="A135" s="4" t="s">
        <v>365</v>
      </c>
      <c r="B135" s="4" t="s">
        <v>366</v>
      </c>
      <c r="C135" s="4">
        <v>2018</v>
      </c>
      <c r="D135" s="4">
        <v>16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5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1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5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3">
        <v>0</v>
      </c>
    </row>
    <row r="136" spans="1:102" ht="15.75" x14ac:dyDescent="0.25">
      <c r="A136" s="4" t="s">
        <v>367</v>
      </c>
      <c r="B136" s="4" t="s">
        <v>368</v>
      </c>
      <c r="C136" s="4">
        <v>2018</v>
      </c>
      <c r="D136" s="4">
        <v>13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0</v>
      </c>
      <c r="AQ136" s="4">
        <v>0</v>
      </c>
      <c r="AR136" s="4">
        <v>0</v>
      </c>
      <c r="AS136" s="4">
        <v>0</v>
      </c>
      <c r="AT136" s="4">
        <v>4</v>
      </c>
      <c r="AU136" s="4">
        <v>0</v>
      </c>
      <c r="AV136" s="4">
        <v>0</v>
      </c>
      <c r="AW136" s="4">
        <v>0</v>
      </c>
      <c r="AX136" s="4">
        <v>1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1</v>
      </c>
      <c r="BK136" s="4">
        <v>1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1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3">
        <v>0</v>
      </c>
    </row>
    <row r="137" spans="1:102" ht="15.75" x14ac:dyDescent="0.25">
      <c r="A137" s="4" t="s">
        <v>369</v>
      </c>
      <c r="B137" s="4" t="s">
        <v>370</v>
      </c>
      <c r="C137" s="4">
        <v>2018</v>
      </c>
      <c r="D137" s="4">
        <v>2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1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1</v>
      </c>
      <c r="CW137" s="4">
        <v>0</v>
      </c>
      <c r="CX137" s="3">
        <v>0</v>
      </c>
    </row>
    <row r="138" spans="1:102" ht="15.75" x14ac:dyDescent="0.25">
      <c r="A138" s="4" t="s">
        <v>371</v>
      </c>
      <c r="B138" s="4" t="s">
        <v>372</v>
      </c>
      <c r="C138" s="4">
        <v>2018</v>
      </c>
      <c r="D138" s="4">
        <v>882</v>
      </c>
      <c r="E138" s="4">
        <v>0</v>
      </c>
      <c r="F138" s="4">
        <v>1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6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2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37</v>
      </c>
      <c r="AI138" s="4">
        <v>0</v>
      </c>
      <c r="AJ138" s="4">
        <v>1</v>
      </c>
      <c r="AK138" s="4">
        <v>1</v>
      </c>
      <c r="AL138" s="4">
        <v>0</v>
      </c>
      <c r="AM138" s="4">
        <v>0</v>
      </c>
      <c r="AN138" s="4">
        <v>1</v>
      </c>
      <c r="AO138" s="4">
        <v>1</v>
      </c>
      <c r="AP138" s="4">
        <v>0</v>
      </c>
      <c r="AQ138" s="4">
        <v>0</v>
      </c>
      <c r="AR138" s="4">
        <v>0</v>
      </c>
      <c r="AS138" s="4">
        <v>0</v>
      </c>
      <c r="AT138" s="4">
        <v>10</v>
      </c>
      <c r="AU138" s="4">
        <v>0</v>
      </c>
      <c r="AV138" s="4">
        <v>0</v>
      </c>
      <c r="AW138" s="4">
        <v>804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1</v>
      </c>
      <c r="BF138" s="4">
        <v>1</v>
      </c>
      <c r="BG138" s="4">
        <v>0</v>
      </c>
      <c r="BH138" s="4">
        <v>0</v>
      </c>
      <c r="BI138" s="4">
        <v>0</v>
      </c>
      <c r="BJ138" s="4">
        <v>1</v>
      </c>
      <c r="BK138" s="4">
        <v>2</v>
      </c>
      <c r="BL138" s="4">
        <v>0</v>
      </c>
      <c r="BM138" s="4">
        <v>0</v>
      </c>
      <c r="BN138" s="4">
        <v>1</v>
      </c>
      <c r="BO138" s="4">
        <v>0</v>
      </c>
      <c r="BP138" s="4">
        <v>0</v>
      </c>
      <c r="BQ138" s="4">
        <v>0</v>
      </c>
      <c r="BR138" s="4">
        <v>0</v>
      </c>
      <c r="BS138" s="4">
        <v>1</v>
      </c>
      <c r="BT138" s="4">
        <v>1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1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5</v>
      </c>
      <c r="CU138" s="4">
        <v>0</v>
      </c>
      <c r="CV138" s="4">
        <v>1</v>
      </c>
      <c r="CW138" s="4">
        <v>0</v>
      </c>
      <c r="CX138" s="3">
        <v>0</v>
      </c>
    </row>
    <row r="139" spans="1:102" ht="15.75" x14ac:dyDescent="0.25">
      <c r="A139" s="4" t="s">
        <v>373</v>
      </c>
      <c r="B139" s="4" t="s">
        <v>374</v>
      </c>
      <c r="C139" s="4">
        <v>2018</v>
      </c>
      <c r="D139" s="4">
        <v>55</v>
      </c>
      <c r="E139" s="4">
        <v>0</v>
      </c>
      <c r="F139" s="4">
        <v>0</v>
      </c>
      <c r="G139" s="4">
        <v>3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1</v>
      </c>
      <c r="AY139" s="4">
        <v>0</v>
      </c>
      <c r="AZ139" s="4">
        <v>0</v>
      </c>
      <c r="BA139" s="4">
        <v>0</v>
      </c>
      <c r="BB139" s="4">
        <v>1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1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1</v>
      </c>
      <c r="BR139" s="4">
        <v>0</v>
      </c>
      <c r="BS139" s="4">
        <v>1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41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3">
        <v>0</v>
      </c>
    </row>
    <row r="140" spans="1:102" ht="15.75" x14ac:dyDescent="0.25">
      <c r="A140" s="4" t="s">
        <v>375</v>
      </c>
      <c r="B140" s="4" t="s">
        <v>376</v>
      </c>
      <c r="C140" s="4">
        <v>2018</v>
      </c>
      <c r="D140" s="4">
        <v>39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3</v>
      </c>
      <c r="N140" s="4">
        <v>1</v>
      </c>
      <c r="O140" s="4">
        <v>3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2</v>
      </c>
      <c r="AK140" s="4">
        <v>1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1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7</v>
      </c>
      <c r="BH140" s="4">
        <v>2</v>
      </c>
      <c r="BI140" s="4">
        <v>0</v>
      </c>
      <c r="BJ140" s="4">
        <v>1</v>
      </c>
      <c r="BK140" s="4">
        <v>1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2</v>
      </c>
      <c r="BX140" s="4">
        <v>3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2</v>
      </c>
      <c r="CN140" s="4">
        <v>4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3">
        <v>0</v>
      </c>
    </row>
    <row r="141" spans="1:102" ht="15.75" x14ac:dyDescent="0.25">
      <c r="A141" s="4" t="s">
        <v>377</v>
      </c>
      <c r="B141" s="4" t="s">
        <v>378</v>
      </c>
      <c r="C141" s="4">
        <v>2018</v>
      </c>
      <c r="D141" s="4">
        <v>21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1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1</v>
      </c>
      <c r="BC141" s="4">
        <v>1</v>
      </c>
      <c r="BD141" s="4">
        <v>0</v>
      </c>
      <c r="BE141" s="4">
        <v>0</v>
      </c>
      <c r="BF141" s="4">
        <v>2</v>
      </c>
      <c r="BG141" s="4">
        <v>0</v>
      </c>
      <c r="BH141" s="4">
        <v>0</v>
      </c>
      <c r="BI141" s="4">
        <v>0</v>
      </c>
      <c r="BJ141" s="4">
        <v>0</v>
      </c>
      <c r="BK141" s="4">
        <v>1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2</v>
      </c>
      <c r="BW141" s="4">
        <v>1</v>
      </c>
      <c r="BX141" s="4">
        <v>5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1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3">
        <v>0</v>
      </c>
    </row>
    <row r="142" spans="1:102" ht="15.75" x14ac:dyDescent="0.25">
      <c r="A142" s="4" t="s">
        <v>379</v>
      </c>
      <c r="B142" s="4" t="s">
        <v>380</v>
      </c>
      <c r="C142" s="4">
        <v>2018</v>
      </c>
      <c r="D142" s="4">
        <v>65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9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2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1</v>
      </c>
      <c r="AR142" s="4">
        <v>0</v>
      </c>
      <c r="AS142" s="4">
        <v>0</v>
      </c>
      <c r="AT142" s="4">
        <v>2</v>
      </c>
      <c r="AU142" s="4">
        <v>0</v>
      </c>
      <c r="AV142" s="4">
        <v>0</v>
      </c>
      <c r="AW142" s="4">
        <v>0</v>
      </c>
      <c r="AX142" s="4">
        <v>1</v>
      </c>
      <c r="AY142" s="4">
        <v>0</v>
      </c>
      <c r="AZ142" s="4">
        <v>0</v>
      </c>
      <c r="BA142" s="4">
        <v>0</v>
      </c>
      <c r="BB142" s="4">
        <v>10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2</v>
      </c>
      <c r="BK142" s="4">
        <v>2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1</v>
      </c>
      <c r="BR142" s="4">
        <v>0</v>
      </c>
      <c r="BS142" s="4">
        <v>1</v>
      </c>
      <c r="BT142" s="4">
        <v>1</v>
      </c>
      <c r="BU142" s="4">
        <v>0</v>
      </c>
      <c r="BV142" s="4">
        <v>1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9</v>
      </c>
      <c r="CJ142" s="4">
        <v>10</v>
      </c>
      <c r="CK142" s="4">
        <v>4</v>
      </c>
      <c r="CL142" s="4">
        <v>0</v>
      </c>
      <c r="CM142" s="4">
        <v>0</v>
      </c>
      <c r="CN142" s="4">
        <v>1</v>
      </c>
      <c r="CO142" s="4">
        <v>1</v>
      </c>
      <c r="CP142" s="4">
        <v>0</v>
      </c>
      <c r="CQ142" s="4">
        <v>0</v>
      </c>
      <c r="CR142" s="4">
        <v>0</v>
      </c>
      <c r="CS142" s="4">
        <v>1</v>
      </c>
      <c r="CT142" s="4">
        <v>0</v>
      </c>
      <c r="CU142" s="4">
        <v>0</v>
      </c>
      <c r="CV142" s="4">
        <v>1</v>
      </c>
      <c r="CW142" s="4">
        <v>1</v>
      </c>
      <c r="CX142" s="3">
        <v>1</v>
      </c>
    </row>
    <row r="143" spans="1:102" ht="15.75" x14ac:dyDescent="0.25">
      <c r="A143" s="4" t="s">
        <v>381</v>
      </c>
      <c r="B143" s="4" t="s">
        <v>382</v>
      </c>
      <c r="C143" s="4">
        <v>2018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3">
        <v>0</v>
      </c>
    </row>
    <row r="144" spans="1:102" ht="15.75" x14ac:dyDescent="0.25">
      <c r="A144" s="4" t="s">
        <v>383</v>
      </c>
      <c r="B144" s="4" t="s">
        <v>384</v>
      </c>
      <c r="C144" s="4">
        <v>2018</v>
      </c>
      <c r="D144" s="4">
        <v>8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1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1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3">
        <v>0</v>
      </c>
    </row>
    <row r="145" spans="1:102" ht="15.75" x14ac:dyDescent="0.25">
      <c r="A145" s="4" t="s">
        <v>385</v>
      </c>
      <c r="B145" s="4" t="s">
        <v>386</v>
      </c>
      <c r="C145" s="4">
        <v>2018</v>
      </c>
      <c r="D145" s="4">
        <v>1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1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3">
        <v>0</v>
      </c>
    </row>
    <row r="146" spans="1:102" ht="15.75" x14ac:dyDescent="0.25">
      <c r="A146" s="4" t="s">
        <v>387</v>
      </c>
      <c r="B146" s="4" t="s">
        <v>388</v>
      </c>
      <c r="C146" s="4">
        <v>2018</v>
      </c>
      <c r="D146" s="4">
        <v>591</v>
      </c>
      <c r="E146" s="4">
        <v>0</v>
      </c>
      <c r="F146" s="4">
        <v>4</v>
      </c>
      <c r="G146" s="4">
        <v>3</v>
      </c>
      <c r="H146" s="4">
        <v>5</v>
      </c>
      <c r="I146" s="4">
        <v>10</v>
      </c>
      <c r="J146" s="4">
        <v>6</v>
      </c>
      <c r="K146" s="4">
        <v>4</v>
      </c>
      <c r="L146" s="4">
        <v>9</v>
      </c>
      <c r="M146" s="4">
        <v>3</v>
      </c>
      <c r="N146" s="4">
        <v>8</v>
      </c>
      <c r="O146" s="4">
        <v>12</v>
      </c>
      <c r="P146" s="4">
        <v>0</v>
      </c>
      <c r="Q146" s="4">
        <v>0</v>
      </c>
      <c r="R146" s="4">
        <v>0</v>
      </c>
      <c r="S146" s="4">
        <v>1</v>
      </c>
      <c r="T146" s="4">
        <v>0</v>
      </c>
      <c r="U146" s="4">
        <v>4</v>
      </c>
      <c r="V146" s="4">
        <v>0</v>
      </c>
      <c r="W146" s="4">
        <v>0</v>
      </c>
      <c r="X146" s="4">
        <v>0</v>
      </c>
      <c r="Y146" s="4">
        <v>3</v>
      </c>
      <c r="Z146" s="4">
        <v>0</v>
      </c>
      <c r="AA146" s="4">
        <v>63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</v>
      </c>
      <c r="AH146" s="4">
        <v>0</v>
      </c>
      <c r="AI146" s="4">
        <v>5</v>
      </c>
      <c r="AJ146" s="4">
        <v>39</v>
      </c>
      <c r="AK146" s="4">
        <v>13</v>
      </c>
      <c r="AL146" s="4">
        <v>0</v>
      </c>
      <c r="AM146" s="4">
        <v>2</v>
      </c>
      <c r="AN146" s="4">
        <v>3</v>
      </c>
      <c r="AO146" s="4">
        <v>6</v>
      </c>
      <c r="AP146" s="4">
        <v>0</v>
      </c>
      <c r="AQ146" s="4">
        <v>2</v>
      </c>
      <c r="AR146" s="4">
        <v>0</v>
      </c>
      <c r="AS146" s="4">
        <v>28</v>
      </c>
      <c r="AT146" s="4">
        <v>5</v>
      </c>
      <c r="AU146" s="4">
        <v>3</v>
      </c>
      <c r="AV146" s="4">
        <v>3</v>
      </c>
      <c r="AW146" s="4">
        <v>4</v>
      </c>
      <c r="AX146" s="4">
        <v>9</v>
      </c>
      <c r="AY146" s="4">
        <v>0</v>
      </c>
      <c r="AZ146" s="4">
        <v>2</v>
      </c>
      <c r="BA146" s="4">
        <v>0</v>
      </c>
      <c r="BB146" s="4">
        <v>9</v>
      </c>
      <c r="BC146" s="4">
        <v>10</v>
      </c>
      <c r="BD146" s="4">
        <v>0</v>
      </c>
      <c r="BE146" s="4">
        <v>2</v>
      </c>
      <c r="BF146" s="4">
        <v>7</v>
      </c>
      <c r="BG146" s="4">
        <v>0</v>
      </c>
      <c r="BH146" s="4">
        <v>0</v>
      </c>
      <c r="BI146" s="4">
        <v>0</v>
      </c>
      <c r="BJ146" s="4">
        <v>7</v>
      </c>
      <c r="BK146" s="4">
        <v>7</v>
      </c>
      <c r="BL146" s="4">
        <v>0</v>
      </c>
      <c r="BM146" s="4">
        <v>1</v>
      </c>
      <c r="BN146" s="4">
        <v>17</v>
      </c>
      <c r="BO146" s="4">
        <v>0</v>
      </c>
      <c r="BP146" s="4">
        <v>2</v>
      </c>
      <c r="BQ146" s="4">
        <v>10</v>
      </c>
      <c r="BR146" s="4">
        <v>2</v>
      </c>
      <c r="BS146" s="4">
        <v>14</v>
      </c>
      <c r="BT146" s="4">
        <v>5</v>
      </c>
      <c r="BU146" s="4">
        <v>0</v>
      </c>
      <c r="BV146" s="4">
        <v>4</v>
      </c>
      <c r="BW146" s="4">
        <v>9</v>
      </c>
      <c r="BX146" s="4">
        <v>41</v>
      </c>
      <c r="BY146" s="4">
        <v>0</v>
      </c>
      <c r="BZ146" s="4">
        <v>0</v>
      </c>
      <c r="CA146" s="4">
        <v>20</v>
      </c>
      <c r="CB146" s="4">
        <v>71</v>
      </c>
      <c r="CC146" s="4">
        <v>0</v>
      </c>
      <c r="CD146" s="4">
        <v>1</v>
      </c>
      <c r="CE146" s="4">
        <v>0</v>
      </c>
      <c r="CF146" s="4">
        <v>2</v>
      </c>
      <c r="CG146" s="4">
        <v>1</v>
      </c>
      <c r="CH146" s="4">
        <v>3</v>
      </c>
      <c r="CI146" s="4">
        <v>2</v>
      </c>
      <c r="CJ146" s="4">
        <v>32</v>
      </c>
      <c r="CK146" s="4">
        <v>7</v>
      </c>
      <c r="CL146" s="4">
        <v>0</v>
      </c>
      <c r="CM146" s="4">
        <v>0</v>
      </c>
      <c r="CN146" s="4">
        <v>10</v>
      </c>
      <c r="CO146" s="4">
        <v>1</v>
      </c>
      <c r="CP146" s="4">
        <v>0</v>
      </c>
      <c r="CQ146" s="4">
        <v>0</v>
      </c>
      <c r="CR146" s="4">
        <v>2</v>
      </c>
      <c r="CS146" s="4">
        <v>1</v>
      </c>
      <c r="CT146" s="4">
        <v>7</v>
      </c>
      <c r="CU146" s="4">
        <v>1</v>
      </c>
      <c r="CV146" s="4">
        <v>22</v>
      </c>
      <c r="CW146" s="4">
        <v>1</v>
      </c>
      <c r="CX146" s="3">
        <v>1</v>
      </c>
    </row>
    <row r="147" spans="1:102" ht="15.75" x14ac:dyDescent="0.25">
      <c r="A147" s="4" t="s">
        <v>389</v>
      </c>
      <c r="B147" s="4" t="s">
        <v>390</v>
      </c>
      <c r="C147" s="4">
        <v>2018</v>
      </c>
      <c r="D147" s="4">
        <v>81</v>
      </c>
      <c r="E147" s="4">
        <v>0</v>
      </c>
      <c r="F147" s="4">
        <v>0</v>
      </c>
      <c r="G147" s="4">
        <v>1</v>
      </c>
      <c r="H147" s="4">
        <v>0</v>
      </c>
      <c r="I147" s="4">
        <v>4</v>
      </c>
      <c r="J147" s="4">
        <v>0</v>
      </c>
      <c r="K147" s="4">
        <v>0</v>
      </c>
      <c r="L147" s="4">
        <v>0</v>
      </c>
      <c r="M147" s="4">
        <v>0</v>
      </c>
      <c r="N147" s="4">
        <v>1</v>
      </c>
      <c r="O147" s="4">
        <v>5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5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1</v>
      </c>
      <c r="AJ147" s="4">
        <v>8</v>
      </c>
      <c r="AK147" s="4">
        <v>1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4">
        <v>0</v>
      </c>
      <c r="AS147" s="4">
        <v>1</v>
      </c>
      <c r="AT147" s="4">
        <v>4</v>
      </c>
      <c r="AU147" s="4">
        <v>1</v>
      </c>
      <c r="AV147" s="4">
        <v>0</v>
      </c>
      <c r="AW147" s="4">
        <v>0</v>
      </c>
      <c r="AX147" s="4">
        <v>2</v>
      </c>
      <c r="AY147" s="4">
        <v>0</v>
      </c>
      <c r="AZ147" s="4">
        <v>0</v>
      </c>
      <c r="BA147" s="4">
        <v>0</v>
      </c>
      <c r="BB147" s="4">
        <v>1</v>
      </c>
      <c r="BC147" s="4">
        <v>0</v>
      </c>
      <c r="BD147" s="4">
        <v>0</v>
      </c>
      <c r="BE147" s="4">
        <v>1</v>
      </c>
      <c r="BF147" s="4">
        <v>3</v>
      </c>
      <c r="BG147" s="4">
        <v>0</v>
      </c>
      <c r="BH147" s="4">
        <v>0</v>
      </c>
      <c r="BI147" s="4">
        <v>0</v>
      </c>
      <c r="BJ147" s="4">
        <v>1</v>
      </c>
      <c r="BK147" s="4">
        <v>2</v>
      </c>
      <c r="BL147" s="4">
        <v>0</v>
      </c>
      <c r="BM147" s="4">
        <v>0</v>
      </c>
      <c r="BN147" s="4">
        <v>1</v>
      </c>
      <c r="BO147" s="4">
        <v>0</v>
      </c>
      <c r="BP147" s="4">
        <v>0</v>
      </c>
      <c r="BQ147" s="4">
        <v>6</v>
      </c>
      <c r="BR147" s="4">
        <v>0</v>
      </c>
      <c r="BS147" s="4">
        <v>3</v>
      </c>
      <c r="BT147" s="4">
        <v>4</v>
      </c>
      <c r="BU147" s="4">
        <v>0</v>
      </c>
      <c r="BV147" s="4">
        <v>1</v>
      </c>
      <c r="BW147" s="4">
        <v>3</v>
      </c>
      <c r="BX147" s="4">
        <v>5</v>
      </c>
      <c r="BY147" s="4">
        <v>0</v>
      </c>
      <c r="BZ147" s="4">
        <v>0</v>
      </c>
      <c r="CA147" s="4">
        <v>1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1</v>
      </c>
      <c r="CN147" s="4">
        <v>1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1</v>
      </c>
      <c r="CU147" s="4">
        <v>0</v>
      </c>
      <c r="CV147" s="4">
        <v>3</v>
      </c>
      <c r="CW147" s="4">
        <v>1</v>
      </c>
      <c r="CX147" s="3">
        <v>1</v>
      </c>
    </row>
    <row r="148" spans="1:102" ht="15.75" x14ac:dyDescent="0.25">
      <c r="A148" s="4" t="s">
        <v>391</v>
      </c>
      <c r="B148" s="4" t="s">
        <v>392</v>
      </c>
      <c r="C148" s="4">
        <v>2018</v>
      </c>
      <c r="D148" s="4">
        <v>18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1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1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1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1</v>
      </c>
      <c r="BK148" s="4">
        <v>1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1</v>
      </c>
      <c r="BR148" s="4">
        <v>0</v>
      </c>
      <c r="BS148" s="4">
        <v>1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1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1</v>
      </c>
      <c r="CU148" s="4">
        <v>0</v>
      </c>
      <c r="CV148" s="4">
        <v>1</v>
      </c>
      <c r="CW148" s="4">
        <v>0</v>
      </c>
      <c r="CX148" s="3">
        <v>0</v>
      </c>
    </row>
    <row r="149" spans="1:102" ht="15.75" x14ac:dyDescent="0.25">
      <c r="A149" s="4" t="s">
        <v>393</v>
      </c>
      <c r="B149" s="4" t="s">
        <v>394</v>
      </c>
      <c r="C149" s="4">
        <v>2018</v>
      </c>
      <c r="D149" s="4">
        <v>15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1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1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1</v>
      </c>
      <c r="BN149" s="4">
        <v>1</v>
      </c>
      <c r="BO149" s="4">
        <v>0</v>
      </c>
      <c r="BP149" s="4">
        <v>0</v>
      </c>
      <c r="BQ149" s="4">
        <v>1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5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1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1</v>
      </c>
      <c r="CW149" s="4">
        <v>0</v>
      </c>
      <c r="CX149" s="3">
        <v>0</v>
      </c>
    </row>
    <row r="150" spans="1:102" ht="15.75" x14ac:dyDescent="0.25">
      <c r="A150" s="4" t="s">
        <v>395</v>
      </c>
      <c r="B150" s="4" t="s">
        <v>396</v>
      </c>
      <c r="C150" s="4">
        <v>2018</v>
      </c>
      <c r="D150" s="4">
        <v>1728</v>
      </c>
      <c r="E150" s="4">
        <v>0</v>
      </c>
      <c r="F150" s="4">
        <v>0</v>
      </c>
      <c r="G150" s="4">
        <v>2</v>
      </c>
      <c r="H150" s="4">
        <v>0</v>
      </c>
      <c r="I150" s="4">
        <v>1</v>
      </c>
      <c r="J150" s="4">
        <v>0</v>
      </c>
      <c r="K150" s="4">
        <v>0</v>
      </c>
      <c r="L150" s="4">
        <v>11</v>
      </c>
      <c r="M150" s="4">
        <v>2</v>
      </c>
      <c r="N150" s="4">
        <v>3</v>
      </c>
      <c r="O150" s="4">
        <v>290</v>
      </c>
      <c r="P150" s="4">
        <v>0</v>
      </c>
      <c r="Q150" s="4">
        <v>0</v>
      </c>
      <c r="R150" s="4">
        <v>0</v>
      </c>
      <c r="S150" s="4">
        <v>0</v>
      </c>
      <c r="T150" s="4">
        <v>2</v>
      </c>
      <c r="U150" s="4">
        <v>0</v>
      </c>
      <c r="V150" s="4">
        <v>2</v>
      </c>
      <c r="W150" s="4">
        <v>12</v>
      </c>
      <c r="X150" s="4">
        <v>1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68</v>
      </c>
      <c r="AH150" s="4">
        <v>6</v>
      </c>
      <c r="AI150" s="4">
        <v>8</v>
      </c>
      <c r="AJ150" s="4">
        <v>162</v>
      </c>
      <c r="AK150" s="4">
        <v>30</v>
      </c>
      <c r="AL150" s="4">
        <v>2</v>
      </c>
      <c r="AM150" s="4">
        <v>15</v>
      </c>
      <c r="AN150" s="4">
        <v>15</v>
      </c>
      <c r="AO150" s="4">
        <v>33</v>
      </c>
      <c r="AP150" s="4">
        <v>1</v>
      </c>
      <c r="AQ150" s="4">
        <v>15</v>
      </c>
      <c r="AR150" s="4">
        <v>0</v>
      </c>
      <c r="AS150" s="4">
        <v>11</v>
      </c>
      <c r="AT150" s="4">
        <v>7</v>
      </c>
      <c r="AU150" s="4">
        <v>12</v>
      </c>
      <c r="AV150" s="4">
        <v>69</v>
      </c>
      <c r="AW150" s="4">
        <v>14</v>
      </c>
      <c r="AX150" s="4">
        <v>35</v>
      </c>
      <c r="AY150" s="4">
        <v>0</v>
      </c>
      <c r="AZ150" s="4">
        <v>9</v>
      </c>
      <c r="BA150" s="4">
        <v>0</v>
      </c>
      <c r="BB150" s="4">
        <v>230</v>
      </c>
      <c r="BC150" s="4">
        <v>7</v>
      </c>
      <c r="BD150" s="4">
        <v>0</v>
      </c>
      <c r="BE150" s="4">
        <v>12</v>
      </c>
      <c r="BF150" s="4">
        <v>45</v>
      </c>
      <c r="BG150" s="4">
        <v>10</v>
      </c>
      <c r="BH150" s="4">
        <v>11</v>
      </c>
      <c r="BI150" s="4">
        <v>0</v>
      </c>
      <c r="BJ150" s="4">
        <v>40</v>
      </c>
      <c r="BK150" s="4">
        <v>34</v>
      </c>
      <c r="BL150" s="4">
        <v>0</v>
      </c>
      <c r="BM150" s="4">
        <v>3</v>
      </c>
      <c r="BN150" s="4">
        <v>10</v>
      </c>
      <c r="BO150" s="4">
        <v>0</v>
      </c>
      <c r="BP150" s="4">
        <v>1</v>
      </c>
      <c r="BQ150" s="4">
        <v>9</v>
      </c>
      <c r="BR150" s="4">
        <v>1</v>
      </c>
      <c r="BS150" s="4">
        <v>40</v>
      </c>
      <c r="BT150" s="4">
        <v>17</v>
      </c>
      <c r="BU150" s="4">
        <v>2</v>
      </c>
      <c r="BV150" s="4">
        <v>18</v>
      </c>
      <c r="BW150" s="4">
        <v>20</v>
      </c>
      <c r="BX150" s="4">
        <v>142</v>
      </c>
      <c r="BY150" s="4">
        <v>1</v>
      </c>
      <c r="BZ150" s="4">
        <v>0</v>
      </c>
      <c r="CA150" s="4">
        <v>76</v>
      </c>
      <c r="CB150" s="4">
        <v>6</v>
      </c>
      <c r="CC150" s="4">
        <v>0</v>
      </c>
      <c r="CD150" s="4">
        <v>2</v>
      </c>
      <c r="CE150" s="4">
        <v>0</v>
      </c>
      <c r="CF150" s="4">
        <v>1</v>
      </c>
      <c r="CG150" s="4">
        <v>1</v>
      </c>
      <c r="CH150" s="4">
        <v>1</v>
      </c>
      <c r="CI150" s="4">
        <v>1</v>
      </c>
      <c r="CJ150" s="4">
        <v>4</v>
      </c>
      <c r="CK150" s="4">
        <v>0</v>
      </c>
      <c r="CL150" s="4">
        <v>0</v>
      </c>
      <c r="CM150" s="4">
        <v>8</v>
      </c>
      <c r="CN150" s="4">
        <v>57</v>
      </c>
      <c r="CO150" s="4">
        <v>1</v>
      </c>
      <c r="CP150" s="4">
        <v>1</v>
      </c>
      <c r="CQ150" s="4">
        <v>0</v>
      </c>
      <c r="CR150" s="4">
        <v>15</v>
      </c>
      <c r="CS150" s="4">
        <v>1</v>
      </c>
      <c r="CT150" s="4">
        <v>9</v>
      </c>
      <c r="CU150" s="4">
        <v>0</v>
      </c>
      <c r="CV150" s="4">
        <v>43</v>
      </c>
      <c r="CW150" s="4">
        <v>7</v>
      </c>
      <c r="CX150" s="3">
        <v>7</v>
      </c>
    </row>
    <row r="151" spans="1:102" ht="15.75" x14ac:dyDescent="0.25">
      <c r="A151" s="4" t="s">
        <v>397</v>
      </c>
      <c r="B151" s="4" t="s">
        <v>398</v>
      </c>
      <c r="C151" s="4">
        <v>2018</v>
      </c>
      <c r="D151" s="4">
        <v>1349</v>
      </c>
      <c r="E151" s="4">
        <v>3</v>
      </c>
      <c r="F151" s="4">
        <v>0</v>
      </c>
      <c r="G151" s="4">
        <v>8</v>
      </c>
      <c r="H151" s="4">
        <v>1</v>
      </c>
      <c r="I151" s="4">
        <v>7</v>
      </c>
      <c r="J151" s="4">
        <v>3</v>
      </c>
      <c r="K151" s="4">
        <v>2</v>
      </c>
      <c r="L151" s="4">
        <v>3</v>
      </c>
      <c r="M151" s="4">
        <v>8</v>
      </c>
      <c r="N151" s="4">
        <v>12</v>
      </c>
      <c r="O151" s="4">
        <v>22</v>
      </c>
      <c r="P151" s="4">
        <v>0</v>
      </c>
      <c r="Q151" s="4">
        <v>0</v>
      </c>
      <c r="R151" s="4">
        <v>1</v>
      </c>
      <c r="S151" s="4">
        <v>0</v>
      </c>
      <c r="T151" s="4">
        <v>3</v>
      </c>
      <c r="U151" s="4">
        <v>0</v>
      </c>
      <c r="V151" s="4">
        <v>5</v>
      </c>
      <c r="W151" s="4">
        <v>60</v>
      </c>
      <c r="X151" s="4">
        <v>1</v>
      </c>
      <c r="Y151" s="4">
        <v>4</v>
      </c>
      <c r="Z151" s="4">
        <v>0</v>
      </c>
      <c r="AA151" s="4">
        <v>2</v>
      </c>
      <c r="AB151" s="4">
        <v>0</v>
      </c>
      <c r="AC151" s="4">
        <v>0</v>
      </c>
      <c r="AD151" s="4">
        <v>0</v>
      </c>
      <c r="AE151" s="4">
        <v>1</v>
      </c>
      <c r="AF151" s="4">
        <v>0</v>
      </c>
      <c r="AG151" s="4">
        <v>9</v>
      </c>
      <c r="AH151" s="4">
        <v>8</v>
      </c>
      <c r="AI151" s="4">
        <v>13</v>
      </c>
      <c r="AJ151" s="4">
        <v>28</v>
      </c>
      <c r="AK151" s="4">
        <v>22</v>
      </c>
      <c r="AL151" s="4">
        <v>0</v>
      </c>
      <c r="AM151" s="4">
        <v>32</v>
      </c>
      <c r="AN151" s="4">
        <v>20</v>
      </c>
      <c r="AO151" s="4">
        <v>36</v>
      </c>
      <c r="AP151" s="4">
        <v>1</v>
      </c>
      <c r="AQ151" s="4">
        <v>11</v>
      </c>
      <c r="AR151" s="4">
        <v>0</v>
      </c>
      <c r="AS151" s="4">
        <v>10</v>
      </c>
      <c r="AT151" s="4">
        <v>14</v>
      </c>
      <c r="AU151" s="4">
        <v>32</v>
      </c>
      <c r="AV151" s="4">
        <v>16</v>
      </c>
      <c r="AW151" s="4">
        <v>15</v>
      </c>
      <c r="AX151" s="4">
        <v>29</v>
      </c>
      <c r="AY151" s="4">
        <v>1</v>
      </c>
      <c r="AZ151" s="4">
        <v>11</v>
      </c>
      <c r="BA151" s="4">
        <v>0</v>
      </c>
      <c r="BB151" s="4">
        <v>116</v>
      </c>
      <c r="BC151" s="4">
        <v>10</v>
      </c>
      <c r="BD151" s="4">
        <v>0</v>
      </c>
      <c r="BE151" s="4">
        <v>13</v>
      </c>
      <c r="BF151" s="4">
        <v>43</v>
      </c>
      <c r="BG151" s="4">
        <v>2</v>
      </c>
      <c r="BH151" s="4">
        <v>3</v>
      </c>
      <c r="BI151" s="4">
        <v>0</v>
      </c>
      <c r="BJ151" s="4">
        <v>73</v>
      </c>
      <c r="BK151" s="4">
        <v>55</v>
      </c>
      <c r="BL151" s="4">
        <v>0</v>
      </c>
      <c r="BM151" s="4">
        <v>4</v>
      </c>
      <c r="BN151" s="4">
        <v>8</v>
      </c>
      <c r="BO151" s="4">
        <v>0</v>
      </c>
      <c r="BP151" s="4">
        <v>5</v>
      </c>
      <c r="BQ151" s="4">
        <v>22</v>
      </c>
      <c r="BR151" s="4">
        <v>2</v>
      </c>
      <c r="BS151" s="4">
        <v>110</v>
      </c>
      <c r="BT151" s="4">
        <v>36</v>
      </c>
      <c r="BU151" s="4">
        <v>0</v>
      </c>
      <c r="BV151" s="4">
        <v>25</v>
      </c>
      <c r="BW151" s="4">
        <v>9</v>
      </c>
      <c r="BX151" s="4">
        <v>129</v>
      </c>
      <c r="BY151" s="4">
        <v>5</v>
      </c>
      <c r="BZ151" s="4">
        <v>0</v>
      </c>
      <c r="CA151" s="4">
        <v>38</v>
      </c>
      <c r="CB151" s="4">
        <v>7</v>
      </c>
      <c r="CC151" s="4">
        <v>0</v>
      </c>
      <c r="CD151" s="4">
        <v>3</v>
      </c>
      <c r="CE151" s="4">
        <v>0</v>
      </c>
      <c r="CF151" s="4">
        <v>1</v>
      </c>
      <c r="CG151" s="4">
        <v>3</v>
      </c>
      <c r="CH151" s="4">
        <v>0</v>
      </c>
      <c r="CI151" s="4">
        <v>4</v>
      </c>
      <c r="CJ151" s="4">
        <v>13</v>
      </c>
      <c r="CK151" s="4">
        <v>3</v>
      </c>
      <c r="CL151" s="4">
        <v>0</v>
      </c>
      <c r="CM151" s="4">
        <v>17</v>
      </c>
      <c r="CN151" s="4">
        <v>63</v>
      </c>
      <c r="CO151" s="4">
        <v>8</v>
      </c>
      <c r="CP151" s="4">
        <v>2</v>
      </c>
      <c r="CQ151" s="4">
        <v>0</v>
      </c>
      <c r="CR151" s="4">
        <v>9</v>
      </c>
      <c r="CS151" s="4">
        <v>5</v>
      </c>
      <c r="CT151" s="4">
        <v>10</v>
      </c>
      <c r="CU151" s="4">
        <v>1</v>
      </c>
      <c r="CV151" s="4">
        <v>27</v>
      </c>
      <c r="CW151" s="4">
        <v>8</v>
      </c>
      <c r="CX151" s="3">
        <v>8</v>
      </c>
    </row>
    <row r="152" spans="1:102" ht="15.75" x14ac:dyDescent="0.25">
      <c r="A152" s="4" t="s">
        <v>399</v>
      </c>
      <c r="B152" s="4" t="s">
        <v>400</v>
      </c>
      <c r="C152" s="4">
        <v>2018</v>
      </c>
      <c r="D152" s="4">
        <v>26</v>
      </c>
      <c r="E152" s="4">
        <v>0</v>
      </c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1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1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1</v>
      </c>
      <c r="BG152" s="4">
        <v>1</v>
      </c>
      <c r="BH152" s="4">
        <v>0</v>
      </c>
      <c r="BI152" s="4">
        <v>0</v>
      </c>
      <c r="BJ152" s="4">
        <v>2</v>
      </c>
      <c r="BK152" s="4">
        <v>3</v>
      </c>
      <c r="BL152" s="4">
        <v>0</v>
      </c>
      <c r="BM152" s="4">
        <v>0</v>
      </c>
      <c r="BN152" s="4">
        <v>1</v>
      </c>
      <c r="BO152" s="4">
        <v>0</v>
      </c>
      <c r="BP152" s="4">
        <v>0</v>
      </c>
      <c r="BQ152" s="4">
        <v>2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3</v>
      </c>
      <c r="BX152" s="4">
        <v>1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1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2</v>
      </c>
      <c r="CU152" s="4">
        <v>0</v>
      </c>
      <c r="CV152" s="4">
        <v>0</v>
      </c>
      <c r="CW152" s="4">
        <v>0</v>
      </c>
      <c r="CX152" s="3">
        <v>0</v>
      </c>
    </row>
    <row r="153" spans="1:102" ht="15.75" x14ac:dyDescent="0.25">
      <c r="A153" s="4" t="s">
        <v>401</v>
      </c>
      <c r="B153" s="4" t="s">
        <v>402</v>
      </c>
      <c r="C153" s="4">
        <v>2018</v>
      </c>
      <c r="D153" s="4">
        <v>47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2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1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2</v>
      </c>
      <c r="AW153" s="4">
        <v>0</v>
      </c>
      <c r="AX153" s="4">
        <v>4</v>
      </c>
      <c r="AY153" s="4">
        <v>0</v>
      </c>
      <c r="AZ153" s="4">
        <v>0</v>
      </c>
      <c r="BA153" s="4">
        <v>0</v>
      </c>
      <c r="BB153" s="4">
        <v>1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1</v>
      </c>
      <c r="BK153" s="4">
        <v>1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1</v>
      </c>
      <c r="BW153" s="4">
        <v>18</v>
      </c>
      <c r="BX153" s="4">
        <v>9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1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1</v>
      </c>
      <c r="CW153" s="4">
        <v>1</v>
      </c>
      <c r="CX153" s="3">
        <v>1</v>
      </c>
    </row>
    <row r="154" spans="1:102" ht="15.75" x14ac:dyDescent="0.25">
      <c r="A154" s="4" t="s">
        <v>403</v>
      </c>
      <c r="B154" s="4" t="s">
        <v>404</v>
      </c>
      <c r="C154" s="4">
        <v>2018</v>
      </c>
      <c r="D154" s="4">
        <v>18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2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2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2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2</v>
      </c>
      <c r="BX154" s="4">
        <v>8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3">
        <v>0</v>
      </c>
    </row>
    <row r="155" spans="1:102" ht="15.75" x14ac:dyDescent="0.25">
      <c r="A155" s="4" t="s">
        <v>405</v>
      </c>
      <c r="B155" s="4" t="s">
        <v>406</v>
      </c>
      <c r="C155" s="4">
        <v>2018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3">
        <v>0</v>
      </c>
    </row>
    <row r="156" spans="1:102" ht="15.75" x14ac:dyDescent="0.25">
      <c r="A156" s="4" t="s">
        <v>407</v>
      </c>
      <c r="B156" s="4" t="s">
        <v>408</v>
      </c>
      <c r="C156" s="4">
        <v>2018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3">
        <v>0</v>
      </c>
    </row>
    <row r="157" spans="1:102" ht="15.75" x14ac:dyDescent="0.25">
      <c r="A157" s="4" t="s">
        <v>409</v>
      </c>
      <c r="B157" s="4" t="s">
        <v>410</v>
      </c>
      <c r="C157" s="4">
        <v>2018</v>
      </c>
      <c r="D157" s="4">
        <v>1590</v>
      </c>
      <c r="E157" s="4">
        <v>0</v>
      </c>
      <c r="F157" s="4">
        <v>0</v>
      </c>
      <c r="G157" s="4">
        <v>2</v>
      </c>
      <c r="H157" s="4">
        <v>7</v>
      </c>
      <c r="I157" s="4">
        <v>9</v>
      </c>
      <c r="J157" s="4">
        <v>25</v>
      </c>
      <c r="K157" s="4">
        <v>2</v>
      </c>
      <c r="L157" s="4">
        <v>1</v>
      </c>
      <c r="M157" s="4">
        <v>7</v>
      </c>
      <c r="N157" s="4">
        <v>22</v>
      </c>
      <c r="O157" s="4">
        <v>18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40</v>
      </c>
      <c r="V157" s="4">
        <v>1</v>
      </c>
      <c r="W157" s="4">
        <v>0</v>
      </c>
      <c r="X157" s="4">
        <v>4</v>
      </c>
      <c r="Y157" s="4">
        <v>0</v>
      </c>
      <c r="Z157" s="4">
        <v>0</v>
      </c>
      <c r="AA157" s="4">
        <v>813</v>
      </c>
      <c r="AB157" s="4">
        <v>5</v>
      </c>
      <c r="AC157" s="4">
        <v>0</v>
      </c>
      <c r="AD157" s="4">
        <v>0</v>
      </c>
      <c r="AE157" s="4">
        <v>0</v>
      </c>
      <c r="AF157" s="4">
        <v>0</v>
      </c>
      <c r="AG157" s="4">
        <v>4</v>
      </c>
      <c r="AH157" s="4">
        <v>1</v>
      </c>
      <c r="AI157" s="4">
        <v>11</v>
      </c>
      <c r="AJ157" s="4">
        <v>41</v>
      </c>
      <c r="AK157" s="4">
        <v>49</v>
      </c>
      <c r="AL157" s="4">
        <v>0</v>
      </c>
      <c r="AM157" s="4">
        <v>2</v>
      </c>
      <c r="AN157" s="4">
        <v>9</v>
      </c>
      <c r="AO157" s="4">
        <v>11</v>
      </c>
      <c r="AP157" s="4">
        <v>0</v>
      </c>
      <c r="AQ157" s="4">
        <v>5</v>
      </c>
      <c r="AR157" s="4">
        <v>1</v>
      </c>
      <c r="AS157" s="4">
        <v>9</v>
      </c>
      <c r="AT157" s="4">
        <v>32</v>
      </c>
      <c r="AU157" s="4">
        <v>7</v>
      </c>
      <c r="AV157" s="4">
        <v>9</v>
      </c>
      <c r="AW157" s="4">
        <v>3</v>
      </c>
      <c r="AX157" s="4">
        <v>18</v>
      </c>
      <c r="AY157" s="4">
        <v>3</v>
      </c>
      <c r="AZ157" s="4">
        <v>36</v>
      </c>
      <c r="BA157" s="4">
        <v>0</v>
      </c>
      <c r="BB157" s="4">
        <v>36</v>
      </c>
      <c r="BC157" s="4">
        <v>17</v>
      </c>
      <c r="BD157" s="4">
        <v>0</v>
      </c>
      <c r="BE157" s="4">
        <v>15</v>
      </c>
      <c r="BF157" s="4">
        <v>24</v>
      </c>
      <c r="BG157" s="4">
        <v>2</v>
      </c>
      <c r="BH157" s="4">
        <v>1</v>
      </c>
      <c r="BI157" s="4">
        <v>0</v>
      </c>
      <c r="BJ157" s="4">
        <v>34</v>
      </c>
      <c r="BK157" s="4">
        <v>36</v>
      </c>
      <c r="BL157" s="4">
        <v>0</v>
      </c>
      <c r="BM157" s="4">
        <v>2</v>
      </c>
      <c r="BN157" s="4">
        <v>12</v>
      </c>
      <c r="BO157" s="4">
        <v>0</v>
      </c>
      <c r="BP157" s="4">
        <v>3</v>
      </c>
      <c r="BQ157" s="4">
        <v>15</v>
      </c>
      <c r="BR157" s="4">
        <v>2</v>
      </c>
      <c r="BS157" s="4">
        <v>22</v>
      </c>
      <c r="BT157" s="4">
        <v>9</v>
      </c>
      <c r="BU157" s="4">
        <v>1</v>
      </c>
      <c r="BV157" s="4">
        <v>13</v>
      </c>
      <c r="BW157" s="4">
        <v>12</v>
      </c>
      <c r="BX157" s="4">
        <v>29</v>
      </c>
      <c r="BY157" s="4">
        <v>0</v>
      </c>
      <c r="BZ157" s="4">
        <v>0</v>
      </c>
      <c r="CA157" s="4">
        <v>7</v>
      </c>
      <c r="CB157" s="4">
        <v>12</v>
      </c>
      <c r="CC157" s="4">
        <v>0</v>
      </c>
      <c r="CD157" s="4">
        <v>3</v>
      </c>
      <c r="CE157" s="4">
        <v>0</v>
      </c>
      <c r="CF157" s="4">
        <v>7</v>
      </c>
      <c r="CG157" s="4">
        <v>0</v>
      </c>
      <c r="CH157" s="4">
        <v>1</v>
      </c>
      <c r="CI157" s="4">
        <v>1</v>
      </c>
      <c r="CJ157" s="4">
        <v>5</v>
      </c>
      <c r="CK157" s="4">
        <v>1</v>
      </c>
      <c r="CL157" s="4">
        <v>0</v>
      </c>
      <c r="CM157" s="4">
        <v>5</v>
      </c>
      <c r="CN157" s="4">
        <v>21</v>
      </c>
      <c r="CO157" s="4">
        <v>6</v>
      </c>
      <c r="CP157" s="4">
        <v>1</v>
      </c>
      <c r="CQ157" s="4">
        <v>0</v>
      </c>
      <c r="CR157" s="4">
        <v>1</v>
      </c>
      <c r="CS157" s="4">
        <v>3</v>
      </c>
      <c r="CT157" s="4">
        <v>4</v>
      </c>
      <c r="CU157" s="4">
        <v>0</v>
      </c>
      <c r="CV157" s="4">
        <v>14</v>
      </c>
      <c r="CW157" s="4">
        <v>5</v>
      </c>
      <c r="CX157" s="3">
        <v>5</v>
      </c>
    </row>
    <row r="158" spans="1:102" ht="15.75" x14ac:dyDescent="0.25">
      <c r="A158" s="4" t="s">
        <v>411</v>
      </c>
      <c r="B158" s="4" t="s">
        <v>412</v>
      </c>
      <c r="C158" s="4">
        <v>2018</v>
      </c>
      <c r="D158" s="4">
        <v>4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1</v>
      </c>
      <c r="AL158" s="4">
        <v>0</v>
      </c>
      <c r="AM158" s="4">
        <v>0</v>
      </c>
      <c r="AN158" s="4">
        <v>1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1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3">
        <v>0</v>
      </c>
    </row>
    <row r="159" spans="1:102" ht="15.75" x14ac:dyDescent="0.25">
      <c r="A159" s="4" t="s">
        <v>413</v>
      </c>
      <c r="B159" s="4" t="s">
        <v>414</v>
      </c>
      <c r="C159" s="4">
        <v>2018</v>
      </c>
      <c r="D159" s="4">
        <v>27012</v>
      </c>
      <c r="E159" s="4">
        <v>13</v>
      </c>
      <c r="F159" s="4">
        <v>197</v>
      </c>
      <c r="G159" s="4">
        <v>221</v>
      </c>
      <c r="H159" s="4">
        <v>82</v>
      </c>
      <c r="I159" s="4">
        <v>141</v>
      </c>
      <c r="J159" s="4">
        <v>139</v>
      </c>
      <c r="K159" s="4">
        <v>44</v>
      </c>
      <c r="L159" s="4">
        <v>181</v>
      </c>
      <c r="M159" s="4">
        <v>93</v>
      </c>
      <c r="N159" s="4">
        <v>152</v>
      </c>
      <c r="O159" s="4">
        <v>297</v>
      </c>
      <c r="P159" s="4">
        <v>4</v>
      </c>
      <c r="Q159" s="4">
        <v>4</v>
      </c>
      <c r="R159" s="4">
        <v>5</v>
      </c>
      <c r="S159" s="4">
        <v>2</v>
      </c>
      <c r="T159" s="4">
        <v>38</v>
      </c>
      <c r="U159" s="4">
        <v>6</v>
      </c>
      <c r="V159" s="4">
        <v>29</v>
      </c>
      <c r="W159" s="4">
        <v>71</v>
      </c>
      <c r="X159" s="4">
        <v>59</v>
      </c>
      <c r="Y159" s="4">
        <v>1</v>
      </c>
      <c r="Z159" s="4">
        <v>8528</v>
      </c>
      <c r="AA159" s="4">
        <v>2964</v>
      </c>
      <c r="AB159" s="4">
        <v>631</v>
      </c>
      <c r="AC159" s="4">
        <v>11</v>
      </c>
      <c r="AD159" s="4">
        <v>64</v>
      </c>
      <c r="AE159" s="4">
        <v>100</v>
      </c>
      <c r="AF159" s="4">
        <v>27</v>
      </c>
      <c r="AG159" s="4">
        <v>1207</v>
      </c>
      <c r="AH159" s="4">
        <v>70</v>
      </c>
      <c r="AI159" s="4">
        <v>179</v>
      </c>
      <c r="AJ159" s="4">
        <v>1658</v>
      </c>
      <c r="AK159" s="4">
        <v>275</v>
      </c>
      <c r="AL159" s="4">
        <v>23</v>
      </c>
      <c r="AM159" s="4">
        <v>247</v>
      </c>
      <c r="AN159" s="4">
        <v>182</v>
      </c>
      <c r="AO159" s="4">
        <v>352</v>
      </c>
      <c r="AP159" s="4">
        <v>8</v>
      </c>
      <c r="AQ159" s="4">
        <v>113</v>
      </c>
      <c r="AR159" s="4">
        <v>25</v>
      </c>
      <c r="AS159" s="4">
        <v>133</v>
      </c>
      <c r="AT159" s="4">
        <v>268</v>
      </c>
      <c r="AU159" s="4">
        <v>103</v>
      </c>
      <c r="AV159" s="4">
        <v>330</v>
      </c>
      <c r="AW159" s="4">
        <v>159</v>
      </c>
      <c r="AX159" s="4">
        <v>359</v>
      </c>
      <c r="AY159" s="4">
        <v>4</v>
      </c>
      <c r="AZ159" s="4">
        <v>42</v>
      </c>
      <c r="BA159" s="4">
        <v>0</v>
      </c>
      <c r="BB159" s="4">
        <v>485</v>
      </c>
      <c r="BC159" s="4">
        <v>37</v>
      </c>
      <c r="BD159" s="4">
        <v>3</v>
      </c>
      <c r="BE159" s="4">
        <v>75</v>
      </c>
      <c r="BF159" s="4">
        <v>200</v>
      </c>
      <c r="BG159" s="4">
        <v>11</v>
      </c>
      <c r="BH159" s="4">
        <v>10</v>
      </c>
      <c r="BI159" s="4">
        <v>2</v>
      </c>
      <c r="BJ159" s="4">
        <v>285</v>
      </c>
      <c r="BK159" s="4">
        <v>421</v>
      </c>
      <c r="BL159" s="4">
        <v>0</v>
      </c>
      <c r="BM159" s="4">
        <v>439</v>
      </c>
      <c r="BN159" s="4">
        <v>353</v>
      </c>
      <c r="BO159" s="4">
        <v>9</v>
      </c>
      <c r="BP159" s="4">
        <v>31</v>
      </c>
      <c r="BQ159" s="4">
        <v>556</v>
      </c>
      <c r="BR159" s="4">
        <v>51</v>
      </c>
      <c r="BS159" s="4">
        <v>377</v>
      </c>
      <c r="BT159" s="4">
        <v>228</v>
      </c>
      <c r="BU159" s="4">
        <v>41</v>
      </c>
      <c r="BV159" s="4">
        <v>214</v>
      </c>
      <c r="BW159" s="4">
        <v>111</v>
      </c>
      <c r="BX159" s="4">
        <v>1172</v>
      </c>
      <c r="BY159" s="4">
        <v>1</v>
      </c>
      <c r="BZ159" s="4">
        <v>0</v>
      </c>
      <c r="CA159" s="4">
        <v>76</v>
      </c>
      <c r="CB159" s="4">
        <v>24</v>
      </c>
      <c r="CC159" s="4">
        <v>2</v>
      </c>
      <c r="CD159" s="4">
        <v>79</v>
      </c>
      <c r="CE159" s="4">
        <v>7</v>
      </c>
      <c r="CF159" s="4">
        <v>32</v>
      </c>
      <c r="CG159" s="4">
        <v>21</v>
      </c>
      <c r="CH159" s="4">
        <v>35</v>
      </c>
      <c r="CI159" s="4">
        <v>31</v>
      </c>
      <c r="CJ159" s="4">
        <v>276</v>
      </c>
      <c r="CK159" s="4">
        <v>96</v>
      </c>
      <c r="CL159" s="4">
        <v>1</v>
      </c>
      <c r="CM159" s="4">
        <v>27</v>
      </c>
      <c r="CN159" s="4">
        <v>363</v>
      </c>
      <c r="CO159" s="4">
        <v>33</v>
      </c>
      <c r="CP159" s="4">
        <v>40</v>
      </c>
      <c r="CQ159" s="4">
        <v>1</v>
      </c>
      <c r="CR159" s="4">
        <v>16</v>
      </c>
      <c r="CS159" s="4">
        <v>13</v>
      </c>
      <c r="CT159" s="4">
        <v>293</v>
      </c>
      <c r="CU159" s="4">
        <v>26</v>
      </c>
      <c r="CV159" s="4">
        <v>550</v>
      </c>
      <c r="CW159" s="4">
        <v>16</v>
      </c>
      <c r="CX159" s="3">
        <v>16</v>
      </c>
    </row>
    <row r="160" spans="1:102" ht="15.75" x14ac:dyDescent="0.25">
      <c r="A160" s="4" t="s">
        <v>415</v>
      </c>
      <c r="B160" s="4" t="s">
        <v>416</v>
      </c>
      <c r="C160" s="4">
        <v>2018</v>
      </c>
      <c r="D160" s="4">
        <v>3662</v>
      </c>
      <c r="E160" s="4">
        <v>2</v>
      </c>
      <c r="F160" s="4">
        <v>1</v>
      </c>
      <c r="G160" s="4">
        <v>2</v>
      </c>
      <c r="H160" s="4">
        <v>5</v>
      </c>
      <c r="I160" s="4">
        <v>9</v>
      </c>
      <c r="J160" s="4">
        <v>17</v>
      </c>
      <c r="K160" s="4">
        <v>16</v>
      </c>
      <c r="L160" s="4">
        <v>13</v>
      </c>
      <c r="M160" s="4">
        <v>45</v>
      </c>
      <c r="N160" s="4">
        <v>26</v>
      </c>
      <c r="O160" s="4">
        <v>50</v>
      </c>
      <c r="P160" s="4">
        <v>0</v>
      </c>
      <c r="Q160" s="4">
        <v>0</v>
      </c>
      <c r="R160" s="4">
        <v>1</v>
      </c>
      <c r="S160" s="4">
        <v>2</v>
      </c>
      <c r="T160" s="4">
        <v>1</v>
      </c>
      <c r="U160" s="4">
        <v>1</v>
      </c>
      <c r="V160" s="4">
        <v>11</v>
      </c>
      <c r="W160" s="4">
        <v>11</v>
      </c>
      <c r="X160" s="4">
        <v>2</v>
      </c>
      <c r="Y160" s="4">
        <v>9</v>
      </c>
      <c r="Z160" s="4">
        <v>477</v>
      </c>
      <c r="AA160" s="4">
        <v>60</v>
      </c>
      <c r="AB160" s="4">
        <v>27</v>
      </c>
      <c r="AC160" s="4">
        <v>0</v>
      </c>
      <c r="AD160" s="4">
        <v>0</v>
      </c>
      <c r="AE160" s="4">
        <v>12</v>
      </c>
      <c r="AF160" s="4">
        <v>10</v>
      </c>
      <c r="AG160" s="4">
        <v>14</v>
      </c>
      <c r="AH160" s="4">
        <v>9</v>
      </c>
      <c r="AI160" s="4">
        <v>36</v>
      </c>
      <c r="AJ160" s="4">
        <v>58</v>
      </c>
      <c r="AK160" s="4">
        <v>44</v>
      </c>
      <c r="AL160" s="4">
        <v>1</v>
      </c>
      <c r="AM160" s="4">
        <v>25</v>
      </c>
      <c r="AN160" s="4">
        <v>28</v>
      </c>
      <c r="AO160" s="4">
        <v>74</v>
      </c>
      <c r="AP160" s="4">
        <v>1</v>
      </c>
      <c r="AQ160" s="4">
        <v>25</v>
      </c>
      <c r="AR160" s="4">
        <v>7</v>
      </c>
      <c r="AS160" s="4">
        <v>11</v>
      </c>
      <c r="AT160" s="4">
        <v>22</v>
      </c>
      <c r="AU160" s="4">
        <v>22</v>
      </c>
      <c r="AV160" s="4">
        <v>126</v>
      </c>
      <c r="AW160" s="4">
        <v>41</v>
      </c>
      <c r="AX160" s="4">
        <v>121</v>
      </c>
      <c r="AY160" s="4">
        <v>3</v>
      </c>
      <c r="AZ160" s="4">
        <v>13</v>
      </c>
      <c r="BA160" s="4">
        <v>0</v>
      </c>
      <c r="BB160" s="4">
        <v>114</v>
      </c>
      <c r="BC160" s="4">
        <v>12</v>
      </c>
      <c r="BD160" s="4">
        <v>1</v>
      </c>
      <c r="BE160" s="4">
        <v>81</v>
      </c>
      <c r="BF160" s="4">
        <v>133</v>
      </c>
      <c r="BG160" s="4">
        <v>4</v>
      </c>
      <c r="BH160" s="4">
        <v>7</v>
      </c>
      <c r="BI160" s="4">
        <v>1</v>
      </c>
      <c r="BJ160" s="4">
        <v>180</v>
      </c>
      <c r="BK160" s="4">
        <v>96</v>
      </c>
      <c r="BL160" s="4">
        <v>0</v>
      </c>
      <c r="BM160" s="4">
        <v>5</v>
      </c>
      <c r="BN160" s="4">
        <v>38</v>
      </c>
      <c r="BO160" s="4">
        <v>1</v>
      </c>
      <c r="BP160" s="4">
        <v>7</v>
      </c>
      <c r="BQ160" s="4">
        <v>73</v>
      </c>
      <c r="BR160" s="4">
        <v>4</v>
      </c>
      <c r="BS160" s="4">
        <v>94</v>
      </c>
      <c r="BT160" s="4">
        <v>35</v>
      </c>
      <c r="BU160" s="4">
        <v>7</v>
      </c>
      <c r="BV160" s="4">
        <v>14</v>
      </c>
      <c r="BW160" s="4">
        <v>94</v>
      </c>
      <c r="BX160" s="4">
        <v>394</v>
      </c>
      <c r="BY160" s="4">
        <v>1</v>
      </c>
      <c r="BZ160" s="4">
        <v>0</v>
      </c>
      <c r="CA160" s="4">
        <v>367</v>
      </c>
      <c r="CB160" s="4">
        <v>11</v>
      </c>
      <c r="CC160" s="4">
        <v>0</v>
      </c>
      <c r="CD160" s="4">
        <v>11</v>
      </c>
      <c r="CE160" s="4">
        <v>0</v>
      </c>
      <c r="CF160" s="4">
        <v>8</v>
      </c>
      <c r="CG160" s="4">
        <v>1</v>
      </c>
      <c r="CH160" s="4">
        <v>3</v>
      </c>
      <c r="CI160" s="4">
        <v>6</v>
      </c>
      <c r="CJ160" s="4">
        <v>28</v>
      </c>
      <c r="CK160" s="4">
        <v>3</v>
      </c>
      <c r="CL160" s="4">
        <v>0</v>
      </c>
      <c r="CM160" s="4">
        <v>31</v>
      </c>
      <c r="CN160" s="4">
        <v>132</v>
      </c>
      <c r="CO160" s="4">
        <v>22</v>
      </c>
      <c r="CP160" s="4">
        <v>2</v>
      </c>
      <c r="CQ160" s="4">
        <v>0</v>
      </c>
      <c r="CR160" s="4">
        <v>9</v>
      </c>
      <c r="CS160" s="4">
        <v>1</v>
      </c>
      <c r="CT160" s="4">
        <v>23</v>
      </c>
      <c r="CU160" s="4">
        <v>2</v>
      </c>
      <c r="CV160" s="4">
        <v>78</v>
      </c>
      <c r="CW160" s="4">
        <v>40</v>
      </c>
      <c r="CX160" s="3">
        <v>40</v>
      </c>
    </row>
    <row r="161" spans="1:102" ht="15.75" x14ac:dyDescent="0.25">
      <c r="A161" s="4" t="s">
        <v>417</v>
      </c>
      <c r="B161" s="4" t="s">
        <v>418</v>
      </c>
      <c r="C161" s="4">
        <v>2018</v>
      </c>
      <c r="D161" s="4">
        <v>15</v>
      </c>
      <c r="E161" s="4">
        <v>0</v>
      </c>
      <c r="F161" s="4">
        <v>0</v>
      </c>
      <c r="G161" s="4">
        <v>0</v>
      </c>
      <c r="H161" s="4">
        <v>0</v>
      </c>
      <c r="I161" s="4">
        <v>1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1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1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1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1</v>
      </c>
      <c r="BX161" s="4">
        <v>0</v>
      </c>
      <c r="BY161" s="4">
        <v>0</v>
      </c>
      <c r="BZ161" s="4">
        <v>0</v>
      </c>
      <c r="CA161" s="4">
        <v>2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1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3">
        <v>0</v>
      </c>
    </row>
    <row r="162" spans="1:102" ht="15.75" x14ac:dyDescent="0.25">
      <c r="A162" s="4" t="s">
        <v>419</v>
      </c>
      <c r="B162" s="4" t="s">
        <v>420</v>
      </c>
      <c r="C162" s="4">
        <v>2018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3">
        <v>0</v>
      </c>
    </row>
    <row r="163" spans="1:102" ht="15.75" x14ac:dyDescent="0.25">
      <c r="A163" s="4" t="s">
        <v>421</v>
      </c>
      <c r="B163" s="4" t="s">
        <v>422</v>
      </c>
      <c r="C163" s="4">
        <v>2018</v>
      </c>
      <c r="D163" s="4">
        <v>4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4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3">
        <v>0</v>
      </c>
    </row>
    <row r="164" spans="1:102" ht="15.75" x14ac:dyDescent="0.25">
      <c r="A164" s="4" t="s">
        <v>423</v>
      </c>
      <c r="B164" s="4" t="s">
        <v>424</v>
      </c>
      <c r="C164" s="4">
        <v>2018</v>
      </c>
      <c r="D164" s="4">
        <v>953</v>
      </c>
      <c r="E164" s="4">
        <v>1</v>
      </c>
      <c r="F164" s="4">
        <v>1</v>
      </c>
      <c r="G164" s="4">
        <v>3</v>
      </c>
      <c r="H164" s="4">
        <v>0</v>
      </c>
      <c r="I164" s="4">
        <v>7</v>
      </c>
      <c r="J164" s="4">
        <v>1</v>
      </c>
      <c r="K164" s="4">
        <v>1</v>
      </c>
      <c r="L164" s="4">
        <v>10</v>
      </c>
      <c r="M164" s="4">
        <v>7</v>
      </c>
      <c r="N164" s="4">
        <v>6</v>
      </c>
      <c r="O164" s="4">
        <v>16</v>
      </c>
      <c r="P164" s="4">
        <v>0</v>
      </c>
      <c r="Q164" s="4">
        <v>0</v>
      </c>
      <c r="R164" s="4">
        <v>1</v>
      </c>
      <c r="S164" s="4">
        <v>0</v>
      </c>
      <c r="T164" s="4">
        <v>0</v>
      </c>
      <c r="U164" s="4">
        <v>0</v>
      </c>
      <c r="V164" s="4">
        <v>1</v>
      </c>
      <c r="W164" s="4">
        <v>1</v>
      </c>
      <c r="X164" s="4">
        <v>1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0</v>
      </c>
      <c r="AE164" s="4">
        <v>0</v>
      </c>
      <c r="AF164" s="4">
        <v>1</v>
      </c>
      <c r="AG164" s="4">
        <v>3</v>
      </c>
      <c r="AH164" s="4">
        <v>1</v>
      </c>
      <c r="AI164" s="4">
        <v>6</v>
      </c>
      <c r="AJ164" s="4">
        <v>40</v>
      </c>
      <c r="AK164" s="4">
        <v>12</v>
      </c>
      <c r="AL164" s="4">
        <v>1</v>
      </c>
      <c r="AM164" s="4">
        <v>3</v>
      </c>
      <c r="AN164" s="4">
        <v>13</v>
      </c>
      <c r="AO164" s="4">
        <v>20</v>
      </c>
      <c r="AP164" s="4">
        <v>1</v>
      </c>
      <c r="AQ164" s="4">
        <v>3</v>
      </c>
      <c r="AR164" s="4">
        <v>1</v>
      </c>
      <c r="AS164" s="4">
        <v>9</v>
      </c>
      <c r="AT164" s="4">
        <v>7</v>
      </c>
      <c r="AU164" s="4">
        <v>16</v>
      </c>
      <c r="AV164" s="4">
        <v>4</v>
      </c>
      <c r="AW164" s="4">
        <v>2</v>
      </c>
      <c r="AX164" s="4">
        <v>19</v>
      </c>
      <c r="AY164" s="4">
        <v>0</v>
      </c>
      <c r="AZ164" s="4">
        <v>4</v>
      </c>
      <c r="BA164" s="4">
        <v>0</v>
      </c>
      <c r="BB164" s="4">
        <v>35</v>
      </c>
      <c r="BC164" s="4">
        <v>4</v>
      </c>
      <c r="BD164" s="4">
        <v>1</v>
      </c>
      <c r="BE164" s="4">
        <v>11</v>
      </c>
      <c r="BF164" s="4">
        <v>53</v>
      </c>
      <c r="BG164" s="4">
        <v>1</v>
      </c>
      <c r="BH164" s="4">
        <v>1</v>
      </c>
      <c r="BI164" s="4">
        <v>1</v>
      </c>
      <c r="BJ164" s="4">
        <v>13</v>
      </c>
      <c r="BK164" s="4">
        <v>27</v>
      </c>
      <c r="BL164" s="4">
        <v>0</v>
      </c>
      <c r="BM164" s="4">
        <v>1</v>
      </c>
      <c r="BN164" s="4">
        <v>3</v>
      </c>
      <c r="BO164" s="4">
        <v>0</v>
      </c>
      <c r="BP164" s="4">
        <v>2</v>
      </c>
      <c r="BQ164" s="4">
        <v>10</v>
      </c>
      <c r="BR164" s="4">
        <v>3</v>
      </c>
      <c r="BS164" s="4">
        <v>16</v>
      </c>
      <c r="BT164" s="4">
        <v>10</v>
      </c>
      <c r="BU164" s="4">
        <v>26</v>
      </c>
      <c r="BV164" s="4">
        <v>15</v>
      </c>
      <c r="BW164" s="4">
        <v>77</v>
      </c>
      <c r="BX164" s="4">
        <v>207</v>
      </c>
      <c r="BY164" s="4">
        <v>0</v>
      </c>
      <c r="BZ164" s="4">
        <v>0</v>
      </c>
      <c r="CA164" s="4">
        <v>92</v>
      </c>
      <c r="CB164" s="4">
        <v>2</v>
      </c>
      <c r="CC164" s="4">
        <v>0</v>
      </c>
      <c r="CD164" s="4">
        <v>3</v>
      </c>
      <c r="CE164" s="4">
        <v>0</v>
      </c>
      <c r="CF164" s="4">
        <v>4</v>
      </c>
      <c r="CG164" s="4">
        <v>1</v>
      </c>
      <c r="CH164" s="4">
        <v>1</v>
      </c>
      <c r="CI164" s="4">
        <v>1</v>
      </c>
      <c r="CJ164" s="4">
        <v>28</v>
      </c>
      <c r="CK164" s="4">
        <v>2</v>
      </c>
      <c r="CL164" s="4">
        <v>0</v>
      </c>
      <c r="CM164" s="4">
        <v>3</v>
      </c>
      <c r="CN164" s="4">
        <v>21</v>
      </c>
      <c r="CO164" s="4">
        <v>1</v>
      </c>
      <c r="CP164" s="4">
        <v>1</v>
      </c>
      <c r="CQ164" s="4">
        <v>0</v>
      </c>
      <c r="CR164" s="4">
        <v>2</v>
      </c>
      <c r="CS164" s="4">
        <v>2</v>
      </c>
      <c r="CT164" s="4">
        <v>7</v>
      </c>
      <c r="CU164" s="4">
        <v>1</v>
      </c>
      <c r="CV164" s="4">
        <v>29</v>
      </c>
      <c r="CW164" s="4">
        <v>10</v>
      </c>
      <c r="CX164" s="3">
        <v>10</v>
      </c>
    </row>
    <row r="165" spans="1:102" ht="15.75" x14ac:dyDescent="0.25">
      <c r="A165" s="4" t="s">
        <v>425</v>
      </c>
      <c r="B165" s="4" t="s">
        <v>426</v>
      </c>
      <c r="C165" s="4">
        <v>2018</v>
      </c>
      <c r="D165" s="4">
        <v>1071</v>
      </c>
      <c r="E165" s="4">
        <v>0</v>
      </c>
      <c r="F165" s="4">
        <v>0</v>
      </c>
      <c r="G165" s="4">
        <v>1</v>
      </c>
      <c r="H165" s="4">
        <v>0</v>
      </c>
      <c r="I165" s="4">
        <v>7</v>
      </c>
      <c r="J165" s="4">
        <v>1</v>
      </c>
      <c r="K165" s="4">
        <v>0</v>
      </c>
      <c r="L165" s="4">
        <v>2</v>
      </c>
      <c r="M165" s="4">
        <v>0</v>
      </c>
      <c r="N165" s="4">
        <v>3</v>
      </c>
      <c r="O165" s="4">
        <v>8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3</v>
      </c>
      <c r="X165" s="4">
        <v>0</v>
      </c>
      <c r="Y165" s="4">
        <v>0</v>
      </c>
      <c r="Z165" s="4">
        <v>0</v>
      </c>
      <c r="AA165" s="4">
        <v>28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</v>
      </c>
      <c r="AH165" s="4">
        <v>1</v>
      </c>
      <c r="AI165" s="4">
        <v>3</v>
      </c>
      <c r="AJ165" s="4">
        <v>21</v>
      </c>
      <c r="AK165" s="4">
        <v>5</v>
      </c>
      <c r="AL165" s="4">
        <v>0</v>
      </c>
      <c r="AM165" s="4">
        <v>3</v>
      </c>
      <c r="AN165" s="4">
        <v>2</v>
      </c>
      <c r="AO165" s="4">
        <v>22</v>
      </c>
      <c r="AP165" s="4">
        <v>0</v>
      </c>
      <c r="AQ165" s="4">
        <v>4</v>
      </c>
      <c r="AR165" s="4">
        <v>1</v>
      </c>
      <c r="AS165" s="4">
        <v>2</v>
      </c>
      <c r="AT165" s="4">
        <v>4</v>
      </c>
      <c r="AU165" s="4">
        <v>3</v>
      </c>
      <c r="AV165" s="4">
        <v>9</v>
      </c>
      <c r="AW165" s="4">
        <v>7</v>
      </c>
      <c r="AX165" s="4">
        <v>22</v>
      </c>
      <c r="AY165" s="4">
        <v>1</v>
      </c>
      <c r="AZ165" s="4">
        <v>11</v>
      </c>
      <c r="BA165" s="4">
        <v>0</v>
      </c>
      <c r="BB165" s="4">
        <v>52</v>
      </c>
      <c r="BC165" s="4">
        <v>3</v>
      </c>
      <c r="BD165" s="4">
        <v>0</v>
      </c>
      <c r="BE165" s="4">
        <v>5</v>
      </c>
      <c r="BF165" s="4">
        <v>15</v>
      </c>
      <c r="BG165" s="4">
        <v>2</v>
      </c>
      <c r="BH165" s="4">
        <v>2</v>
      </c>
      <c r="BI165" s="4">
        <v>0</v>
      </c>
      <c r="BJ165" s="4">
        <v>23</v>
      </c>
      <c r="BK165" s="4">
        <v>37</v>
      </c>
      <c r="BL165" s="4">
        <v>0</v>
      </c>
      <c r="BM165" s="4">
        <v>3</v>
      </c>
      <c r="BN165" s="4">
        <v>7</v>
      </c>
      <c r="BO165" s="4">
        <v>0</v>
      </c>
      <c r="BP165" s="4">
        <v>8</v>
      </c>
      <c r="BQ165" s="4">
        <v>35</v>
      </c>
      <c r="BR165" s="4">
        <v>1</v>
      </c>
      <c r="BS165" s="4">
        <v>30</v>
      </c>
      <c r="BT165" s="4">
        <v>27</v>
      </c>
      <c r="BU165" s="4">
        <v>0</v>
      </c>
      <c r="BV165" s="4">
        <v>1</v>
      </c>
      <c r="BW165" s="4">
        <v>2</v>
      </c>
      <c r="BX165" s="4">
        <v>45</v>
      </c>
      <c r="BY165" s="4">
        <v>1</v>
      </c>
      <c r="BZ165" s="4">
        <v>0</v>
      </c>
      <c r="CA165" s="4">
        <v>496</v>
      </c>
      <c r="CB165" s="4">
        <v>2</v>
      </c>
      <c r="CC165" s="4">
        <v>0</v>
      </c>
      <c r="CD165" s="4">
        <v>9</v>
      </c>
      <c r="CE165" s="4">
        <v>0</v>
      </c>
      <c r="CF165" s="4">
        <v>2</v>
      </c>
      <c r="CG165" s="4">
        <v>2</v>
      </c>
      <c r="CH165" s="4">
        <v>1</v>
      </c>
      <c r="CI165" s="4">
        <v>0</v>
      </c>
      <c r="CJ165" s="4">
        <v>4</v>
      </c>
      <c r="CK165" s="4">
        <v>1</v>
      </c>
      <c r="CL165" s="4">
        <v>0</v>
      </c>
      <c r="CM165" s="4">
        <v>12</v>
      </c>
      <c r="CN165" s="4">
        <v>38</v>
      </c>
      <c r="CO165" s="4">
        <v>1</v>
      </c>
      <c r="CP165" s="4">
        <v>0</v>
      </c>
      <c r="CQ165" s="4">
        <v>0</v>
      </c>
      <c r="CR165" s="4">
        <v>2</v>
      </c>
      <c r="CS165" s="4">
        <v>3</v>
      </c>
      <c r="CT165" s="4">
        <v>2</v>
      </c>
      <c r="CU165" s="4">
        <v>0</v>
      </c>
      <c r="CV165" s="4">
        <v>10</v>
      </c>
      <c r="CW165" s="4">
        <v>9</v>
      </c>
      <c r="CX165" s="3">
        <v>9</v>
      </c>
    </row>
    <row r="166" spans="1:102" ht="15.75" x14ac:dyDescent="0.25">
      <c r="A166" s="4" t="s">
        <v>427</v>
      </c>
      <c r="B166" s="4" t="s">
        <v>428</v>
      </c>
      <c r="C166" s="4">
        <v>2018</v>
      </c>
      <c r="D166" s="4">
        <v>175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2</v>
      </c>
      <c r="O166" s="4">
        <v>58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1</v>
      </c>
      <c r="AJ166" s="4">
        <v>31</v>
      </c>
      <c r="AK166" s="4">
        <v>2</v>
      </c>
      <c r="AL166" s="4">
        <v>0</v>
      </c>
      <c r="AM166" s="4">
        <v>0</v>
      </c>
      <c r="AN166" s="4">
        <v>0</v>
      </c>
      <c r="AO166" s="4">
        <v>1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1</v>
      </c>
      <c r="AW166" s="4">
        <v>0</v>
      </c>
      <c r="AX166" s="4">
        <v>2</v>
      </c>
      <c r="AY166" s="4">
        <v>1</v>
      </c>
      <c r="AZ166" s="4">
        <v>9</v>
      </c>
      <c r="BA166" s="4">
        <v>0</v>
      </c>
      <c r="BB166" s="4">
        <v>2</v>
      </c>
      <c r="BC166" s="4">
        <v>0</v>
      </c>
      <c r="BD166" s="4">
        <v>0</v>
      </c>
      <c r="BE166" s="4">
        <v>1</v>
      </c>
      <c r="BF166" s="4">
        <v>1</v>
      </c>
      <c r="BG166" s="4">
        <v>1</v>
      </c>
      <c r="BH166" s="4">
        <v>0</v>
      </c>
      <c r="BI166" s="4">
        <v>0</v>
      </c>
      <c r="BJ166" s="4">
        <v>3</v>
      </c>
      <c r="BK166" s="4">
        <v>7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1</v>
      </c>
      <c r="BR166" s="4">
        <v>0</v>
      </c>
      <c r="BS166" s="4">
        <v>3</v>
      </c>
      <c r="BT166" s="4">
        <v>7</v>
      </c>
      <c r="BU166" s="4">
        <v>0</v>
      </c>
      <c r="BV166" s="4">
        <v>1</v>
      </c>
      <c r="BW166" s="4">
        <v>11</v>
      </c>
      <c r="BX166" s="4">
        <v>19</v>
      </c>
      <c r="BY166" s="4">
        <v>0</v>
      </c>
      <c r="BZ166" s="4">
        <v>0</v>
      </c>
      <c r="CA166" s="4">
        <v>0</v>
      </c>
      <c r="CB166" s="4">
        <v>3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2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1</v>
      </c>
      <c r="CU166" s="4">
        <v>0</v>
      </c>
      <c r="CV166" s="4">
        <v>2</v>
      </c>
      <c r="CW166" s="4">
        <v>1</v>
      </c>
      <c r="CX166" s="3">
        <v>1</v>
      </c>
    </row>
    <row r="167" spans="1:102" ht="15.75" x14ac:dyDescent="0.25">
      <c r="A167" s="4" t="s">
        <v>429</v>
      </c>
      <c r="B167" s="4" t="s">
        <v>430</v>
      </c>
      <c r="C167" s="4">
        <v>2018</v>
      </c>
      <c r="D167" s="4">
        <v>182</v>
      </c>
      <c r="E167" s="4">
        <v>0</v>
      </c>
      <c r="F167" s="4">
        <v>0</v>
      </c>
      <c r="G167" s="4">
        <v>2</v>
      </c>
      <c r="H167" s="4">
        <v>0</v>
      </c>
      <c r="I167" s="4">
        <v>0</v>
      </c>
      <c r="J167" s="4">
        <v>0</v>
      </c>
      <c r="K167" s="4">
        <v>0</v>
      </c>
      <c r="L167" s="4">
        <v>1</v>
      </c>
      <c r="M167" s="4">
        <v>0</v>
      </c>
      <c r="N167" s="4">
        <v>1</v>
      </c>
      <c r="O167" s="4">
        <v>33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</v>
      </c>
      <c r="AH167" s="4">
        <v>1</v>
      </c>
      <c r="AI167" s="4">
        <v>2</v>
      </c>
      <c r="AJ167" s="4">
        <v>24</v>
      </c>
      <c r="AK167" s="4">
        <v>4</v>
      </c>
      <c r="AL167" s="4">
        <v>0</v>
      </c>
      <c r="AM167" s="4">
        <v>4</v>
      </c>
      <c r="AN167" s="4">
        <v>1</v>
      </c>
      <c r="AO167" s="4">
        <v>4</v>
      </c>
      <c r="AP167" s="4">
        <v>0</v>
      </c>
      <c r="AQ167" s="4">
        <v>1</v>
      </c>
      <c r="AR167" s="4">
        <v>0</v>
      </c>
      <c r="AS167" s="4">
        <v>1</v>
      </c>
      <c r="AT167" s="4">
        <v>1</v>
      </c>
      <c r="AU167" s="4">
        <v>2</v>
      </c>
      <c r="AV167" s="4">
        <v>2</v>
      </c>
      <c r="AW167" s="4">
        <v>1</v>
      </c>
      <c r="AX167" s="4">
        <v>4</v>
      </c>
      <c r="AY167" s="4">
        <v>0</v>
      </c>
      <c r="AZ167" s="4">
        <v>2</v>
      </c>
      <c r="BA167" s="4">
        <v>0</v>
      </c>
      <c r="BB167" s="4">
        <v>6</v>
      </c>
      <c r="BC167" s="4">
        <v>9</v>
      </c>
      <c r="BD167" s="4">
        <v>0</v>
      </c>
      <c r="BE167" s="4">
        <v>3</v>
      </c>
      <c r="BF167" s="4">
        <v>9</v>
      </c>
      <c r="BG167" s="4">
        <v>0</v>
      </c>
      <c r="BH167" s="4">
        <v>0</v>
      </c>
      <c r="BI167" s="4">
        <v>0</v>
      </c>
      <c r="BJ167" s="4">
        <v>5</v>
      </c>
      <c r="BK167" s="4">
        <v>6</v>
      </c>
      <c r="BL167" s="4">
        <v>0</v>
      </c>
      <c r="BM167" s="4">
        <v>1</v>
      </c>
      <c r="BN167" s="4">
        <v>1</v>
      </c>
      <c r="BO167" s="4">
        <v>0</v>
      </c>
      <c r="BP167" s="4">
        <v>0</v>
      </c>
      <c r="BQ167" s="4">
        <v>2</v>
      </c>
      <c r="BR167" s="4">
        <v>0</v>
      </c>
      <c r="BS167" s="4">
        <v>3</v>
      </c>
      <c r="BT167" s="4">
        <v>1</v>
      </c>
      <c r="BU167" s="4">
        <v>0</v>
      </c>
      <c r="BV167" s="4">
        <v>2</v>
      </c>
      <c r="BW167" s="4">
        <v>0</v>
      </c>
      <c r="BX167" s="4">
        <v>23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5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1</v>
      </c>
      <c r="CU167" s="4">
        <v>0</v>
      </c>
      <c r="CV167" s="4">
        <v>6</v>
      </c>
      <c r="CW167" s="4">
        <v>1</v>
      </c>
      <c r="CX167" s="3">
        <v>1</v>
      </c>
    </row>
    <row r="168" spans="1:102" ht="15.75" x14ac:dyDescent="0.25">
      <c r="A168" s="4" t="s">
        <v>431</v>
      </c>
      <c r="B168" s="4" t="s">
        <v>432</v>
      </c>
      <c r="C168" s="4">
        <v>2018</v>
      </c>
      <c r="D168" s="4">
        <v>8</v>
      </c>
      <c r="E168" s="4">
        <v>0</v>
      </c>
      <c r="F168" s="4">
        <v>1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1</v>
      </c>
      <c r="BG168" s="4">
        <v>0</v>
      </c>
      <c r="BH168" s="4">
        <v>0</v>
      </c>
      <c r="BI168" s="4">
        <v>0</v>
      </c>
      <c r="BJ168" s="4">
        <v>1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2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3">
        <v>0</v>
      </c>
    </row>
    <row r="169" spans="1:102" ht="15.75" x14ac:dyDescent="0.25">
      <c r="A169" s="4" t="s">
        <v>433</v>
      </c>
      <c r="B169" s="4" t="s">
        <v>434</v>
      </c>
      <c r="C169" s="4">
        <v>2018</v>
      </c>
      <c r="D169" s="4">
        <v>10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1</v>
      </c>
      <c r="BK169" s="4">
        <v>1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2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1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3">
        <v>0</v>
      </c>
    </row>
    <row r="170" spans="1:102" ht="15.75" x14ac:dyDescent="0.25">
      <c r="A170" s="4" t="s">
        <v>435</v>
      </c>
      <c r="B170" s="4" t="s">
        <v>436</v>
      </c>
      <c r="C170" s="4">
        <v>2018</v>
      </c>
      <c r="D170" s="4">
        <v>561</v>
      </c>
      <c r="E170" s="4">
        <v>4</v>
      </c>
      <c r="F170" s="4">
        <v>19</v>
      </c>
      <c r="G170" s="4">
        <v>5</v>
      </c>
      <c r="H170" s="4">
        <v>5</v>
      </c>
      <c r="I170" s="4">
        <v>5</v>
      </c>
      <c r="J170" s="4">
        <v>1</v>
      </c>
      <c r="K170" s="4">
        <v>1</v>
      </c>
      <c r="L170" s="4">
        <v>3</v>
      </c>
      <c r="M170" s="4">
        <v>5</v>
      </c>
      <c r="N170" s="4">
        <v>3</v>
      </c>
      <c r="O170" s="4">
        <v>12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0</v>
      </c>
      <c r="AE170" s="4">
        <v>1</v>
      </c>
      <c r="AF170" s="4">
        <v>0</v>
      </c>
      <c r="AG170" s="4">
        <v>9</v>
      </c>
      <c r="AH170" s="4">
        <v>0</v>
      </c>
      <c r="AI170" s="4">
        <v>8</v>
      </c>
      <c r="AJ170" s="4">
        <v>35</v>
      </c>
      <c r="AK170" s="4">
        <v>29</v>
      </c>
      <c r="AL170" s="4">
        <v>1</v>
      </c>
      <c r="AM170" s="4">
        <v>6</v>
      </c>
      <c r="AN170" s="4">
        <v>3</v>
      </c>
      <c r="AO170" s="4">
        <v>10</v>
      </c>
      <c r="AP170" s="4">
        <v>0</v>
      </c>
      <c r="AQ170" s="4">
        <v>1</v>
      </c>
      <c r="AR170" s="4">
        <v>0</v>
      </c>
      <c r="AS170" s="4">
        <v>8</v>
      </c>
      <c r="AT170" s="4">
        <v>7</v>
      </c>
      <c r="AU170" s="4">
        <v>4</v>
      </c>
      <c r="AV170" s="4">
        <v>4</v>
      </c>
      <c r="AW170" s="4">
        <v>1</v>
      </c>
      <c r="AX170" s="4">
        <v>7</v>
      </c>
      <c r="AY170" s="4">
        <v>1</v>
      </c>
      <c r="AZ170" s="4">
        <v>13</v>
      </c>
      <c r="BA170" s="4">
        <v>0</v>
      </c>
      <c r="BB170" s="4">
        <v>45</v>
      </c>
      <c r="BC170" s="4">
        <v>1</v>
      </c>
      <c r="BD170" s="4">
        <v>0</v>
      </c>
      <c r="BE170" s="4">
        <v>8</v>
      </c>
      <c r="BF170" s="4">
        <v>16</v>
      </c>
      <c r="BG170" s="4">
        <v>1</v>
      </c>
      <c r="BH170" s="4">
        <v>1</v>
      </c>
      <c r="BI170" s="4">
        <v>0</v>
      </c>
      <c r="BJ170" s="4">
        <v>21</v>
      </c>
      <c r="BK170" s="4">
        <v>19</v>
      </c>
      <c r="BL170" s="4">
        <v>0</v>
      </c>
      <c r="BM170" s="4">
        <v>1</v>
      </c>
      <c r="BN170" s="4">
        <v>4</v>
      </c>
      <c r="BO170" s="4">
        <v>0</v>
      </c>
      <c r="BP170" s="4">
        <v>3</v>
      </c>
      <c r="BQ170" s="4">
        <v>14</v>
      </c>
      <c r="BR170" s="4">
        <v>1</v>
      </c>
      <c r="BS170" s="4">
        <v>88</v>
      </c>
      <c r="BT170" s="4">
        <v>22</v>
      </c>
      <c r="BU170" s="4">
        <v>0</v>
      </c>
      <c r="BV170" s="4">
        <v>1</v>
      </c>
      <c r="BW170" s="4">
        <v>3</v>
      </c>
      <c r="BX170" s="4">
        <v>12</v>
      </c>
      <c r="BY170" s="4">
        <v>0</v>
      </c>
      <c r="BZ170" s="4">
        <v>0</v>
      </c>
      <c r="CA170" s="4">
        <v>36</v>
      </c>
      <c r="CB170" s="4">
        <v>1</v>
      </c>
      <c r="CC170" s="4">
        <v>0</v>
      </c>
      <c r="CD170" s="4">
        <v>1</v>
      </c>
      <c r="CE170" s="4">
        <v>0</v>
      </c>
      <c r="CF170" s="4">
        <v>1</v>
      </c>
      <c r="CG170" s="4">
        <v>9</v>
      </c>
      <c r="CH170" s="4">
        <v>0</v>
      </c>
      <c r="CI170" s="4">
        <v>0</v>
      </c>
      <c r="CJ170" s="4">
        <v>2</v>
      </c>
      <c r="CK170" s="4">
        <v>0</v>
      </c>
      <c r="CL170" s="4">
        <v>0</v>
      </c>
      <c r="CM170" s="4">
        <v>2</v>
      </c>
      <c r="CN170" s="4">
        <v>17</v>
      </c>
      <c r="CO170" s="4">
        <v>1</v>
      </c>
      <c r="CP170" s="4">
        <v>0</v>
      </c>
      <c r="CQ170" s="4">
        <v>0</v>
      </c>
      <c r="CR170" s="4">
        <v>1</v>
      </c>
      <c r="CS170" s="4">
        <v>0</v>
      </c>
      <c r="CT170" s="4">
        <v>2</v>
      </c>
      <c r="CU170" s="4">
        <v>2</v>
      </c>
      <c r="CV170" s="4">
        <v>7</v>
      </c>
      <c r="CW170" s="4">
        <v>3</v>
      </c>
      <c r="CX170" s="3">
        <v>3</v>
      </c>
    </row>
    <row r="171" spans="1:102" ht="15.75" x14ac:dyDescent="0.25">
      <c r="A171" s="4" t="s">
        <v>437</v>
      </c>
      <c r="B171" s="4" t="s">
        <v>438</v>
      </c>
      <c r="C171" s="4">
        <v>2018</v>
      </c>
      <c r="D171" s="4">
        <v>781</v>
      </c>
      <c r="E171" s="4">
        <v>4</v>
      </c>
      <c r="F171" s="4">
        <v>0</v>
      </c>
      <c r="G171" s="4">
        <v>9</v>
      </c>
      <c r="H171" s="4">
        <v>0</v>
      </c>
      <c r="I171" s="4">
        <v>5</v>
      </c>
      <c r="J171" s="4">
        <v>4</v>
      </c>
      <c r="K171" s="4">
        <v>1</v>
      </c>
      <c r="L171" s="4">
        <v>2</v>
      </c>
      <c r="M171" s="4">
        <v>2</v>
      </c>
      <c r="N171" s="4">
        <v>5</v>
      </c>
      <c r="O171" s="4">
        <v>1</v>
      </c>
      <c r="P171" s="4">
        <v>0</v>
      </c>
      <c r="Q171" s="4">
        <v>0</v>
      </c>
      <c r="R171" s="4">
        <v>3</v>
      </c>
      <c r="S171" s="4">
        <v>1</v>
      </c>
      <c r="T171" s="4">
        <v>6</v>
      </c>
      <c r="U171" s="4">
        <v>59</v>
      </c>
      <c r="V171" s="4">
        <v>2</v>
      </c>
      <c r="W171" s="4">
        <v>315</v>
      </c>
      <c r="X171" s="4">
        <v>0</v>
      </c>
      <c r="Y171" s="4">
        <v>0</v>
      </c>
      <c r="Z171" s="4">
        <v>0</v>
      </c>
      <c r="AA171" s="4">
        <v>1</v>
      </c>
      <c r="AB171" s="4">
        <v>21</v>
      </c>
      <c r="AC171" s="4">
        <v>0</v>
      </c>
      <c r="AD171" s="4">
        <v>0</v>
      </c>
      <c r="AE171" s="4">
        <v>0</v>
      </c>
      <c r="AF171" s="4">
        <v>0</v>
      </c>
      <c r="AG171" s="4">
        <v>8</v>
      </c>
      <c r="AH171" s="4">
        <v>1</v>
      </c>
      <c r="AI171" s="4">
        <v>9</v>
      </c>
      <c r="AJ171" s="4">
        <v>30</v>
      </c>
      <c r="AK171" s="4">
        <v>16</v>
      </c>
      <c r="AL171" s="4">
        <v>0</v>
      </c>
      <c r="AM171" s="4">
        <v>7</v>
      </c>
      <c r="AN171" s="4">
        <v>2</v>
      </c>
      <c r="AO171" s="4">
        <v>26</v>
      </c>
      <c r="AP171" s="4">
        <v>0</v>
      </c>
      <c r="AQ171" s="4">
        <v>4</v>
      </c>
      <c r="AR171" s="4">
        <v>0</v>
      </c>
      <c r="AS171" s="4">
        <v>9</v>
      </c>
      <c r="AT171" s="4">
        <v>4</v>
      </c>
      <c r="AU171" s="4">
        <v>1</v>
      </c>
      <c r="AV171" s="4">
        <v>7</v>
      </c>
      <c r="AW171" s="4">
        <v>11</v>
      </c>
      <c r="AX171" s="4">
        <v>6</v>
      </c>
      <c r="AY171" s="4">
        <v>0</v>
      </c>
      <c r="AZ171" s="4">
        <v>8</v>
      </c>
      <c r="BA171" s="4">
        <v>0</v>
      </c>
      <c r="BB171" s="4">
        <v>21</v>
      </c>
      <c r="BC171" s="4">
        <v>2</v>
      </c>
      <c r="BD171" s="4">
        <v>0</v>
      </c>
      <c r="BE171" s="4">
        <v>6</v>
      </c>
      <c r="BF171" s="4">
        <v>13</v>
      </c>
      <c r="BG171" s="4">
        <v>1</v>
      </c>
      <c r="BH171" s="4">
        <v>1</v>
      </c>
      <c r="BI171" s="4">
        <v>0</v>
      </c>
      <c r="BJ171" s="4">
        <v>15</v>
      </c>
      <c r="BK171" s="4">
        <v>20</v>
      </c>
      <c r="BL171" s="4">
        <v>0</v>
      </c>
      <c r="BM171" s="4">
        <v>3</v>
      </c>
      <c r="BN171" s="4">
        <v>12</v>
      </c>
      <c r="BO171" s="4">
        <v>0</v>
      </c>
      <c r="BP171" s="4">
        <v>1</v>
      </c>
      <c r="BQ171" s="4">
        <v>2</v>
      </c>
      <c r="BR171" s="4">
        <v>0</v>
      </c>
      <c r="BS171" s="4">
        <v>8</v>
      </c>
      <c r="BT171" s="4">
        <v>6</v>
      </c>
      <c r="BU171" s="4">
        <v>0</v>
      </c>
      <c r="BV171" s="4">
        <v>6</v>
      </c>
      <c r="BW171" s="4">
        <v>2</v>
      </c>
      <c r="BX171" s="4">
        <v>7</v>
      </c>
      <c r="BY171" s="4">
        <v>0</v>
      </c>
      <c r="BZ171" s="4">
        <v>0</v>
      </c>
      <c r="CA171" s="4">
        <v>24</v>
      </c>
      <c r="CB171" s="4">
        <v>0</v>
      </c>
      <c r="CC171" s="4">
        <v>0</v>
      </c>
      <c r="CD171" s="4">
        <v>3</v>
      </c>
      <c r="CE171" s="4">
        <v>0</v>
      </c>
      <c r="CF171" s="4">
        <v>1</v>
      </c>
      <c r="CG171" s="4">
        <v>0</v>
      </c>
      <c r="CH171" s="4">
        <v>0</v>
      </c>
      <c r="CI171" s="4">
        <v>0</v>
      </c>
      <c r="CJ171" s="4">
        <v>2</v>
      </c>
      <c r="CK171" s="4">
        <v>0</v>
      </c>
      <c r="CL171" s="4">
        <v>0</v>
      </c>
      <c r="CM171" s="4">
        <v>2</v>
      </c>
      <c r="CN171" s="4">
        <v>15</v>
      </c>
      <c r="CO171" s="4">
        <v>2</v>
      </c>
      <c r="CP171" s="4">
        <v>0</v>
      </c>
      <c r="CQ171" s="4">
        <v>0</v>
      </c>
      <c r="CR171" s="4">
        <v>0</v>
      </c>
      <c r="CS171" s="4">
        <v>1</v>
      </c>
      <c r="CT171" s="4">
        <v>2</v>
      </c>
      <c r="CU171" s="4">
        <v>2</v>
      </c>
      <c r="CV171" s="4">
        <v>6</v>
      </c>
      <c r="CW171" s="4">
        <v>3</v>
      </c>
      <c r="CX171" s="3">
        <v>3</v>
      </c>
    </row>
    <row r="172" spans="1:102" ht="15.75" x14ac:dyDescent="0.25">
      <c r="A172" s="4" t="s">
        <v>439</v>
      </c>
      <c r="B172" s="4" t="s">
        <v>440</v>
      </c>
      <c r="C172" s="4">
        <v>2018</v>
      </c>
      <c r="D172" s="4">
        <v>5608</v>
      </c>
      <c r="E172" s="4">
        <v>7</v>
      </c>
      <c r="F172" s="4">
        <v>22</v>
      </c>
      <c r="G172" s="4">
        <v>20</v>
      </c>
      <c r="H172" s="4">
        <v>25</v>
      </c>
      <c r="I172" s="4">
        <v>22</v>
      </c>
      <c r="J172" s="4">
        <v>27</v>
      </c>
      <c r="K172" s="4">
        <v>15</v>
      </c>
      <c r="L172" s="4">
        <v>67</v>
      </c>
      <c r="M172" s="4">
        <v>26</v>
      </c>
      <c r="N172" s="4">
        <v>67</v>
      </c>
      <c r="O172" s="4">
        <v>308</v>
      </c>
      <c r="P172" s="4">
        <v>1</v>
      </c>
      <c r="Q172" s="4">
        <v>1</v>
      </c>
      <c r="R172" s="4">
        <v>5</v>
      </c>
      <c r="S172" s="4">
        <v>1</v>
      </c>
      <c r="T172" s="4">
        <v>0</v>
      </c>
      <c r="U172" s="4">
        <v>55</v>
      </c>
      <c r="V172" s="4">
        <v>8</v>
      </c>
      <c r="W172" s="4">
        <v>26</v>
      </c>
      <c r="X172" s="4">
        <v>10</v>
      </c>
      <c r="Y172" s="4">
        <v>2</v>
      </c>
      <c r="Z172" s="4">
        <v>265</v>
      </c>
      <c r="AA172" s="4">
        <v>43</v>
      </c>
      <c r="AB172" s="4">
        <v>78</v>
      </c>
      <c r="AC172" s="4">
        <v>0</v>
      </c>
      <c r="AD172" s="4">
        <v>5</v>
      </c>
      <c r="AE172" s="4">
        <v>5</v>
      </c>
      <c r="AF172" s="4">
        <v>3</v>
      </c>
      <c r="AG172" s="4">
        <v>100</v>
      </c>
      <c r="AH172" s="4">
        <v>16</v>
      </c>
      <c r="AI172" s="4">
        <v>108</v>
      </c>
      <c r="AJ172" s="4">
        <v>210</v>
      </c>
      <c r="AK172" s="4">
        <v>168</v>
      </c>
      <c r="AL172" s="4">
        <v>14</v>
      </c>
      <c r="AM172" s="4">
        <v>145</v>
      </c>
      <c r="AN172" s="4">
        <v>120</v>
      </c>
      <c r="AO172" s="4">
        <v>128</v>
      </c>
      <c r="AP172" s="4">
        <v>14</v>
      </c>
      <c r="AQ172" s="4">
        <v>42</v>
      </c>
      <c r="AR172" s="4">
        <v>2</v>
      </c>
      <c r="AS172" s="4">
        <v>57</v>
      </c>
      <c r="AT172" s="4">
        <v>145</v>
      </c>
      <c r="AU172" s="4">
        <v>55</v>
      </c>
      <c r="AV172" s="4">
        <v>80</v>
      </c>
      <c r="AW172" s="4">
        <v>54</v>
      </c>
      <c r="AX172" s="4">
        <v>139</v>
      </c>
      <c r="AY172" s="4">
        <v>0</v>
      </c>
      <c r="AZ172" s="4">
        <v>15</v>
      </c>
      <c r="BA172" s="4">
        <v>0</v>
      </c>
      <c r="BB172" s="4">
        <v>81</v>
      </c>
      <c r="BC172" s="4">
        <v>8</v>
      </c>
      <c r="BD172" s="4">
        <v>1</v>
      </c>
      <c r="BE172" s="4">
        <v>53</v>
      </c>
      <c r="BF172" s="4">
        <v>278</v>
      </c>
      <c r="BG172" s="4">
        <v>9</v>
      </c>
      <c r="BH172" s="4">
        <v>21</v>
      </c>
      <c r="BI172" s="4">
        <v>3</v>
      </c>
      <c r="BJ172" s="4">
        <v>93</v>
      </c>
      <c r="BK172" s="4">
        <v>177</v>
      </c>
      <c r="BL172" s="4">
        <v>0</v>
      </c>
      <c r="BM172" s="4">
        <v>16</v>
      </c>
      <c r="BN172" s="4">
        <v>119</v>
      </c>
      <c r="BO172" s="4">
        <v>4</v>
      </c>
      <c r="BP172" s="4">
        <v>19</v>
      </c>
      <c r="BQ172" s="4">
        <v>112</v>
      </c>
      <c r="BR172" s="4">
        <v>16</v>
      </c>
      <c r="BS172" s="4">
        <v>166</v>
      </c>
      <c r="BT172" s="4">
        <v>73</v>
      </c>
      <c r="BU172" s="4">
        <v>5</v>
      </c>
      <c r="BV172" s="4">
        <v>224</v>
      </c>
      <c r="BW172" s="4">
        <v>47</v>
      </c>
      <c r="BX172" s="4">
        <v>541</v>
      </c>
      <c r="BY172" s="4">
        <v>4</v>
      </c>
      <c r="BZ172" s="4">
        <v>0</v>
      </c>
      <c r="CA172" s="4">
        <v>38</v>
      </c>
      <c r="CB172" s="4">
        <v>1</v>
      </c>
      <c r="CC172" s="4">
        <v>1</v>
      </c>
      <c r="CD172" s="4">
        <v>12</v>
      </c>
      <c r="CE172" s="4">
        <v>2</v>
      </c>
      <c r="CF172" s="4">
        <v>9</v>
      </c>
      <c r="CG172" s="4">
        <v>7</v>
      </c>
      <c r="CH172" s="4">
        <v>8</v>
      </c>
      <c r="CI172" s="4">
        <v>19</v>
      </c>
      <c r="CJ172" s="4">
        <v>153</v>
      </c>
      <c r="CK172" s="4">
        <v>84</v>
      </c>
      <c r="CL172" s="4">
        <v>0</v>
      </c>
      <c r="CM172" s="4">
        <v>15</v>
      </c>
      <c r="CN172" s="4">
        <v>87</v>
      </c>
      <c r="CO172" s="4">
        <v>30</v>
      </c>
      <c r="CP172" s="4">
        <v>6</v>
      </c>
      <c r="CQ172" s="4">
        <v>1</v>
      </c>
      <c r="CR172" s="4">
        <v>1</v>
      </c>
      <c r="CS172" s="4">
        <v>6</v>
      </c>
      <c r="CT172" s="4">
        <v>78</v>
      </c>
      <c r="CU172" s="4">
        <v>7</v>
      </c>
      <c r="CV172" s="4">
        <v>240</v>
      </c>
      <c r="CW172" s="4">
        <v>7</v>
      </c>
      <c r="CX172" s="3">
        <v>7</v>
      </c>
    </row>
    <row r="173" spans="1:102" ht="15.75" x14ac:dyDescent="0.25">
      <c r="A173" s="4" t="s">
        <v>441</v>
      </c>
      <c r="B173" s="4" t="s">
        <v>442</v>
      </c>
      <c r="C173" s="4">
        <v>2018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3">
        <v>0</v>
      </c>
    </row>
    <row r="174" spans="1:102" ht="15.75" x14ac:dyDescent="0.25">
      <c r="A174" s="4" t="s">
        <v>443</v>
      </c>
      <c r="B174" s="4" t="s">
        <v>444</v>
      </c>
      <c r="C174" s="4">
        <v>2018</v>
      </c>
      <c r="D174" s="4">
        <v>8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2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4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3">
        <v>0</v>
      </c>
    </row>
    <row r="175" spans="1:102" ht="15.75" x14ac:dyDescent="0.25">
      <c r="A175" s="4" t="s">
        <v>445</v>
      </c>
      <c r="B175" s="4" t="s">
        <v>446</v>
      </c>
      <c r="C175" s="4">
        <v>2018</v>
      </c>
      <c r="D175" s="4">
        <v>1650</v>
      </c>
      <c r="E175" s="4">
        <v>0</v>
      </c>
      <c r="F175" s="4">
        <v>18</v>
      </c>
      <c r="G175" s="4">
        <v>7</v>
      </c>
      <c r="H175" s="4">
        <v>14</v>
      </c>
      <c r="I175" s="4">
        <v>19</v>
      </c>
      <c r="J175" s="4">
        <v>8</v>
      </c>
      <c r="K175" s="4">
        <v>2</v>
      </c>
      <c r="L175" s="4">
        <v>8</v>
      </c>
      <c r="M175" s="4">
        <v>5</v>
      </c>
      <c r="N175" s="4">
        <v>21</v>
      </c>
      <c r="O175" s="4">
        <v>96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4</v>
      </c>
      <c r="V175" s="4">
        <v>14</v>
      </c>
      <c r="W175" s="4">
        <v>82</v>
      </c>
      <c r="X175" s="4">
        <v>5</v>
      </c>
      <c r="Y175" s="4">
        <v>0</v>
      </c>
      <c r="Z175" s="4">
        <v>0</v>
      </c>
      <c r="AA175" s="4">
        <v>7</v>
      </c>
      <c r="AB175" s="4">
        <v>38</v>
      </c>
      <c r="AC175" s="4">
        <v>0</v>
      </c>
      <c r="AD175" s="4">
        <v>0</v>
      </c>
      <c r="AE175" s="4">
        <v>1</v>
      </c>
      <c r="AF175" s="4">
        <v>0</v>
      </c>
      <c r="AG175" s="4">
        <v>46</v>
      </c>
      <c r="AH175" s="4">
        <v>10</v>
      </c>
      <c r="AI175" s="4">
        <v>13</v>
      </c>
      <c r="AJ175" s="4">
        <v>131</v>
      </c>
      <c r="AK175" s="4">
        <v>26</v>
      </c>
      <c r="AL175" s="4">
        <v>0</v>
      </c>
      <c r="AM175" s="4">
        <v>28</v>
      </c>
      <c r="AN175" s="4">
        <v>16</v>
      </c>
      <c r="AO175" s="4">
        <v>67</v>
      </c>
      <c r="AP175" s="4">
        <v>1</v>
      </c>
      <c r="AQ175" s="4">
        <v>9</v>
      </c>
      <c r="AR175" s="4">
        <v>2</v>
      </c>
      <c r="AS175" s="4">
        <v>12</v>
      </c>
      <c r="AT175" s="4">
        <v>47</v>
      </c>
      <c r="AU175" s="4">
        <v>21</v>
      </c>
      <c r="AV175" s="4">
        <v>57</v>
      </c>
      <c r="AW175" s="4">
        <v>12</v>
      </c>
      <c r="AX175" s="4">
        <v>27</v>
      </c>
      <c r="AY175" s="4">
        <v>0</v>
      </c>
      <c r="AZ175" s="4">
        <v>3</v>
      </c>
      <c r="BA175" s="4">
        <v>0</v>
      </c>
      <c r="BB175" s="4">
        <v>28</v>
      </c>
      <c r="BC175" s="4">
        <v>2</v>
      </c>
      <c r="BD175" s="4">
        <v>0</v>
      </c>
      <c r="BE175" s="4">
        <v>18</v>
      </c>
      <c r="BF175" s="4">
        <v>39</v>
      </c>
      <c r="BG175" s="4">
        <v>2</v>
      </c>
      <c r="BH175" s="4">
        <v>7</v>
      </c>
      <c r="BI175" s="4">
        <v>1</v>
      </c>
      <c r="BJ175" s="4">
        <v>24</v>
      </c>
      <c r="BK175" s="4">
        <v>54</v>
      </c>
      <c r="BL175" s="4">
        <v>0</v>
      </c>
      <c r="BM175" s="4">
        <v>4</v>
      </c>
      <c r="BN175" s="4">
        <v>25</v>
      </c>
      <c r="BO175" s="4">
        <v>1</v>
      </c>
      <c r="BP175" s="4">
        <v>4</v>
      </c>
      <c r="BQ175" s="4">
        <v>66</v>
      </c>
      <c r="BR175" s="4">
        <v>6</v>
      </c>
      <c r="BS175" s="4">
        <v>47</v>
      </c>
      <c r="BT175" s="4">
        <v>23</v>
      </c>
      <c r="BU175" s="4">
        <v>0</v>
      </c>
      <c r="BV175" s="4">
        <v>34</v>
      </c>
      <c r="BW175" s="4">
        <v>8</v>
      </c>
      <c r="BX175" s="4">
        <v>152</v>
      </c>
      <c r="BY175" s="4">
        <v>0</v>
      </c>
      <c r="BZ175" s="4">
        <v>0</v>
      </c>
      <c r="CA175" s="4">
        <v>16</v>
      </c>
      <c r="CB175" s="4">
        <v>7</v>
      </c>
      <c r="CC175" s="4">
        <v>0</v>
      </c>
      <c r="CD175" s="4">
        <v>5</v>
      </c>
      <c r="CE175" s="4">
        <v>1</v>
      </c>
      <c r="CF175" s="4">
        <v>3</v>
      </c>
      <c r="CG175" s="4">
        <v>2</v>
      </c>
      <c r="CH175" s="4">
        <v>2</v>
      </c>
      <c r="CI175" s="4">
        <v>4</v>
      </c>
      <c r="CJ175" s="4">
        <v>43</v>
      </c>
      <c r="CK175" s="4">
        <v>14</v>
      </c>
      <c r="CL175" s="4">
        <v>0</v>
      </c>
      <c r="CM175" s="4">
        <v>4</v>
      </c>
      <c r="CN175" s="4">
        <v>33</v>
      </c>
      <c r="CO175" s="4">
        <v>5</v>
      </c>
      <c r="CP175" s="4">
        <v>2</v>
      </c>
      <c r="CQ175" s="4">
        <v>0</v>
      </c>
      <c r="CR175" s="4">
        <v>7</v>
      </c>
      <c r="CS175" s="4">
        <v>2</v>
      </c>
      <c r="CT175" s="4">
        <v>15</v>
      </c>
      <c r="CU175" s="4">
        <v>2</v>
      </c>
      <c r="CV175" s="4">
        <v>55</v>
      </c>
      <c r="CW175" s="4">
        <v>2</v>
      </c>
      <c r="CX175" s="3">
        <v>2</v>
      </c>
    </row>
    <row r="176" spans="1:102" ht="15.75" x14ac:dyDescent="0.25">
      <c r="A176" s="4" t="s">
        <v>447</v>
      </c>
      <c r="B176" s="4" t="s">
        <v>448</v>
      </c>
      <c r="C176" s="4">
        <v>2018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3">
        <v>0</v>
      </c>
    </row>
    <row r="177" spans="1:102" ht="15.75" x14ac:dyDescent="0.25">
      <c r="A177" s="4" t="s">
        <v>449</v>
      </c>
      <c r="B177" s="4" t="s">
        <v>450</v>
      </c>
      <c r="C177" s="4">
        <v>2018</v>
      </c>
      <c r="D177" s="4">
        <v>40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15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1</v>
      </c>
      <c r="AK177" s="4">
        <v>1</v>
      </c>
      <c r="AL177" s="4">
        <v>0</v>
      </c>
      <c r="AM177" s="4">
        <v>0</v>
      </c>
      <c r="AN177" s="4">
        <v>1</v>
      </c>
      <c r="AO177" s="4">
        <v>0</v>
      </c>
      <c r="AP177" s="4">
        <v>0</v>
      </c>
      <c r="AQ177" s="4">
        <v>1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3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1</v>
      </c>
      <c r="BL177" s="4">
        <v>0</v>
      </c>
      <c r="BM177" s="4">
        <v>0</v>
      </c>
      <c r="BN177" s="4">
        <v>3</v>
      </c>
      <c r="BO177" s="4">
        <v>0</v>
      </c>
      <c r="BP177" s="4">
        <v>0</v>
      </c>
      <c r="BQ177" s="4">
        <v>0</v>
      </c>
      <c r="BR177" s="4">
        <v>0</v>
      </c>
      <c r="BS177" s="4">
        <v>1</v>
      </c>
      <c r="BT177" s="4">
        <v>1</v>
      </c>
      <c r="BU177" s="4">
        <v>0</v>
      </c>
      <c r="BV177" s="4">
        <v>0</v>
      </c>
      <c r="BW177" s="4">
        <v>0</v>
      </c>
      <c r="BX177" s="4">
        <v>4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1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2</v>
      </c>
      <c r="CU177" s="4">
        <v>0</v>
      </c>
      <c r="CV177" s="4">
        <v>2</v>
      </c>
      <c r="CW177" s="4">
        <v>0</v>
      </c>
      <c r="CX177" s="3">
        <v>0</v>
      </c>
    </row>
    <row r="178" spans="1:102" ht="15.75" x14ac:dyDescent="0.25">
      <c r="A178" s="4" t="s">
        <v>451</v>
      </c>
      <c r="B178" s="4" t="s">
        <v>452</v>
      </c>
      <c r="C178" s="4">
        <v>2018</v>
      </c>
      <c r="D178" s="4">
        <v>2422</v>
      </c>
      <c r="E178" s="4">
        <v>4</v>
      </c>
      <c r="F178" s="4">
        <v>11</v>
      </c>
      <c r="G178" s="4">
        <v>3</v>
      </c>
      <c r="H178" s="4">
        <v>0</v>
      </c>
      <c r="I178" s="4">
        <v>17</v>
      </c>
      <c r="J178" s="4">
        <v>4</v>
      </c>
      <c r="K178" s="4">
        <v>1</v>
      </c>
      <c r="L178" s="4">
        <v>10</v>
      </c>
      <c r="M178" s="4">
        <v>2</v>
      </c>
      <c r="N178" s="4">
        <v>9</v>
      </c>
      <c r="O178" s="4">
        <v>18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4</v>
      </c>
      <c r="AH178" s="4">
        <v>0</v>
      </c>
      <c r="AI178" s="4">
        <v>7</v>
      </c>
      <c r="AJ178" s="4">
        <v>56</v>
      </c>
      <c r="AK178" s="4">
        <v>18</v>
      </c>
      <c r="AL178" s="4">
        <v>0</v>
      </c>
      <c r="AM178" s="4">
        <v>3</v>
      </c>
      <c r="AN178" s="4">
        <v>8</v>
      </c>
      <c r="AO178" s="4">
        <v>23</v>
      </c>
      <c r="AP178" s="4">
        <v>1</v>
      </c>
      <c r="AQ178" s="4">
        <v>10</v>
      </c>
      <c r="AR178" s="4">
        <v>1</v>
      </c>
      <c r="AS178" s="4">
        <v>3</v>
      </c>
      <c r="AT178" s="4">
        <v>8</v>
      </c>
      <c r="AU178" s="4">
        <v>10</v>
      </c>
      <c r="AV178" s="4">
        <v>10</v>
      </c>
      <c r="AW178" s="4">
        <v>16</v>
      </c>
      <c r="AX178" s="4">
        <v>37</v>
      </c>
      <c r="AY178" s="4">
        <v>0</v>
      </c>
      <c r="AZ178" s="4">
        <v>13</v>
      </c>
      <c r="BA178" s="4">
        <v>0</v>
      </c>
      <c r="BB178" s="4">
        <v>865</v>
      </c>
      <c r="BC178" s="4">
        <v>2</v>
      </c>
      <c r="BD178" s="4">
        <v>0</v>
      </c>
      <c r="BE178" s="4">
        <v>10</v>
      </c>
      <c r="BF178" s="4">
        <v>14</v>
      </c>
      <c r="BG178" s="4">
        <v>0</v>
      </c>
      <c r="BH178" s="4">
        <v>1</v>
      </c>
      <c r="BI178" s="4">
        <v>2</v>
      </c>
      <c r="BJ178" s="4">
        <v>47</v>
      </c>
      <c r="BK178" s="4">
        <v>34</v>
      </c>
      <c r="BL178" s="4">
        <v>0</v>
      </c>
      <c r="BM178" s="4">
        <v>1</v>
      </c>
      <c r="BN178" s="4">
        <v>13</v>
      </c>
      <c r="BO178" s="4">
        <v>0</v>
      </c>
      <c r="BP178" s="4">
        <v>2</v>
      </c>
      <c r="BQ178" s="4">
        <v>71</v>
      </c>
      <c r="BR178" s="4">
        <v>2</v>
      </c>
      <c r="BS178" s="4">
        <v>58</v>
      </c>
      <c r="BT178" s="4">
        <v>18</v>
      </c>
      <c r="BU178" s="4">
        <v>0</v>
      </c>
      <c r="BV178" s="4">
        <v>9</v>
      </c>
      <c r="BW178" s="4">
        <v>5</v>
      </c>
      <c r="BX178" s="4">
        <v>151</v>
      </c>
      <c r="BY178" s="4">
        <v>5</v>
      </c>
      <c r="BZ178" s="4">
        <v>1</v>
      </c>
      <c r="CA178" s="4">
        <v>75</v>
      </c>
      <c r="CB178" s="4">
        <v>1</v>
      </c>
      <c r="CC178" s="4">
        <v>0</v>
      </c>
      <c r="CD178" s="4">
        <v>13</v>
      </c>
      <c r="CE178" s="4">
        <v>0</v>
      </c>
      <c r="CF178" s="4">
        <v>5</v>
      </c>
      <c r="CG178" s="4">
        <v>45</v>
      </c>
      <c r="CH178" s="4">
        <v>3</v>
      </c>
      <c r="CI178" s="4">
        <v>4</v>
      </c>
      <c r="CJ178" s="4">
        <v>19</v>
      </c>
      <c r="CK178" s="4">
        <v>7</v>
      </c>
      <c r="CL178" s="4">
        <v>0</v>
      </c>
      <c r="CM178" s="4">
        <v>21</v>
      </c>
      <c r="CN178" s="4">
        <v>81</v>
      </c>
      <c r="CO178" s="4">
        <v>32</v>
      </c>
      <c r="CP178" s="4">
        <v>1</v>
      </c>
      <c r="CQ178" s="4">
        <v>0</v>
      </c>
      <c r="CR178" s="4">
        <v>9</v>
      </c>
      <c r="CS178" s="4">
        <v>440</v>
      </c>
      <c r="CT178" s="4">
        <v>9</v>
      </c>
      <c r="CU178" s="4">
        <v>4</v>
      </c>
      <c r="CV178" s="4">
        <v>21</v>
      </c>
      <c r="CW178" s="4">
        <v>11</v>
      </c>
      <c r="CX178" s="3">
        <v>11</v>
      </c>
    </row>
    <row r="179" spans="1:102" ht="15.75" x14ac:dyDescent="0.25">
      <c r="A179" s="4" t="s">
        <v>453</v>
      </c>
      <c r="B179" s="4" t="s">
        <v>454</v>
      </c>
      <c r="C179" s="4">
        <v>2018</v>
      </c>
      <c r="D179" s="4">
        <v>1437</v>
      </c>
      <c r="E179" s="4">
        <v>0</v>
      </c>
      <c r="F179" s="4">
        <v>7</v>
      </c>
      <c r="G179" s="4">
        <v>3</v>
      </c>
      <c r="H179" s="4">
        <v>6</v>
      </c>
      <c r="I179" s="4">
        <v>5</v>
      </c>
      <c r="J179" s="4">
        <v>2</v>
      </c>
      <c r="K179" s="4">
        <v>3</v>
      </c>
      <c r="L179" s="4">
        <v>5</v>
      </c>
      <c r="M179" s="4">
        <v>2</v>
      </c>
      <c r="N179" s="4">
        <v>10</v>
      </c>
      <c r="O179" s="4">
        <v>134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3</v>
      </c>
      <c r="V179" s="4">
        <v>1</v>
      </c>
      <c r="W179" s="4">
        <v>2</v>
      </c>
      <c r="X179" s="4">
        <v>1</v>
      </c>
      <c r="Y179" s="4">
        <v>0</v>
      </c>
      <c r="Z179" s="4">
        <v>0</v>
      </c>
      <c r="AA179" s="4">
        <v>7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11</v>
      </c>
      <c r="AH179" s="4">
        <v>2</v>
      </c>
      <c r="AI179" s="4">
        <v>13</v>
      </c>
      <c r="AJ179" s="4">
        <v>65</v>
      </c>
      <c r="AK179" s="4">
        <v>22</v>
      </c>
      <c r="AL179" s="4">
        <v>2</v>
      </c>
      <c r="AM179" s="4">
        <v>26</v>
      </c>
      <c r="AN179" s="4">
        <v>26</v>
      </c>
      <c r="AO179" s="4">
        <v>37</v>
      </c>
      <c r="AP179" s="4">
        <v>10</v>
      </c>
      <c r="AQ179" s="4">
        <v>10</v>
      </c>
      <c r="AR179" s="4">
        <v>0</v>
      </c>
      <c r="AS179" s="4">
        <v>6</v>
      </c>
      <c r="AT179" s="4">
        <v>150</v>
      </c>
      <c r="AU179" s="4">
        <v>13</v>
      </c>
      <c r="AV179" s="4">
        <v>23</v>
      </c>
      <c r="AW179" s="4">
        <v>21</v>
      </c>
      <c r="AX179" s="4">
        <v>36</v>
      </c>
      <c r="AY179" s="4">
        <v>13</v>
      </c>
      <c r="AZ179" s="4">
        <v>9</v>
      </c>
      <c r="BA179" s="4">
        <v>0</v>
      </c>
      <c r="BB179" s="4">
        <v>57</v>
      </c>
      <c r="BC179" s="4">
        <v>7</v>
      </c>
      <c r="BD179" s="4">
        <v>0</v>
      </c>
      <c r="BE179" s="4">
        <v>15</v>
      </c>
      <c r="BF179" s="4">
        <v>51</v>
      </c>
      <c r="BG179" s="4">
        <v>3</v>
      </c>
      <c r="BH179" s="4">
        <v>2</v>
      </c>
      <c r="BI179" s="4">
        <v>0</v>
      </c>
      <c r="BJ179" s="4">
        <v>39</v>
      </c>
      <c r="BK179" s="4">
        <v>31</v>
      </c>
      <c r="BL179" s="4">
        <v>0</v>
      </c>
      <c r="BM179" s="4">
        <v>6</v>
      </c>
      <c r="BN179" s="4">
        <v>36</v>
      </c>
      <c r="BO179" s="4">
        <v>0</v>
      </c>
      <c r="BP179" s="4">
        <v>3</v>
      </c>
      <c r="BQ179" s="4">
        <v>20</v>
      </c>
      <c r="BR179" s="4">
        <v>2</v>
      </c>
      <c r="BS179" s="4">
        <v>92</v>
      </c>
      <c r="BT179" s="4">
        <v>35</v>
      </c>
      <c r="BU179" s="4">
        <v>0</v>
      </c>
      <c r="BV179" s="4">
        <v>89</v>
      </c>
      <c r="BW179" s="4">
        <v>9</v>
      </c>
      <c r="BX179" s="4">
        <v>54</v>
      </c>
      <c r="BY179" s="4">
        <v>0</v>
      </c>
      <c r="BZ179" s="4">
        <v>0</v>
      </c>
      <c r="CA179" s="4">
        <v>5</v>
      </c>
      <c r="CB179" s="4">
        <v>5</v>
      </c>
      <c r="CC179" s="4">
        <v>0</v>
      </c>
      <c r="CD179" s="4">
        <v>2</v>
      </c>
      <c r="CE179" s="4">
        <v>1</v>
      </c>
      <c r="CF179" s="4">
        <v>2</v>
      </c>
      <c r="CG179" s="4">
        <v>0</v>
      </c>
      <c r="CH179" s="4">
        <v>2</v>
      </c>
      <c r="CI179" s="4">
        <v>3</v>
      </c>
      <c r="CJ179" s="4">
        <v>36</v>
      </c>
      <c r="CK179" s="4">
        <v>13</v>
      </c>
      <c r="CL179" s="4">
        <v>0</v>
      </c>
      <c r="CM179" s="4">
        <v>11</v>
      </c>
      <c r="CN179" s="4">
        <v>41</v>
      </c>
      <c r="CO179" s="4">
        <v>5</v>
      </c>
      <c r="CP179" s="4">
        <v>3</v>
      </c>
      <c r="CQ179" s="4">
        <v>0</v>
      </c>
      <c r="CR179" s="4">
        <v>0</v>
      </c>
      <c r="CS179" s="4">
        <v>1</v>
      </c>
      <c r="CT179" s="4">
        <v>17</v>
      </c>
      <c r="CU179" s="4">
        <v>4</v>
      </c>
      <c r="CV179" s="4">
        <v>46</v>
      </c>
      <c r="CW179" s="4">
        <v>2</v>
      </c>
      <c r="CX179" s="3">
        <v>2</v>
      </c>
    </row>
    <row r="180" spans="1:102" ht="15.75" x14ac:dyDescent="0.25">
      <c r="A180" s="4" t="s">
        <v>455</v>
      </c>
      <c r="B180" s="4" t="s">
        <v>456</v>
      </c>
      <c r="C180" s="4">
        <v>2018</v>
      </c>
      <c r="D180" s="4">
        <v>237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2</v>
      </c>
      <c r="M180" s="4">
        <v>0</v>
      </c>
      <c r="N180" s="4">
        <v>3</v>
      </c>
      <c r="O180" s="4">
        <v>51</v>
      </c>
      <c r="P180" s="4">
        <v>0</v>
      </c>
      <c r="Q180" s="4">
        <v>0</v>
      </c>
      <c r="R180" s="4">
        <v>3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1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2</v>
      </c>
      <c r="AH180" s="4">
        <v>3</v>
      </c>
      <c r="AI180" s="4">
        <v>5</v>
      </c>
      <c r="AJ180" s="4">
        <v>15</v>
      </c>
      <c r="AK180" s="4">
        <v>4</v>
      </c>
      <c r="AL180" s="4">
        <v>0</v>
      </c>
      <c r="AM180" s="4">
        <v>7</v>
      </c>
      <c r="AN180" s="4">
        <v>4</v>
      </c>
      <c r="AO180" s="4">
        <v>6</v>
      </c>
      <c r="AP180" s="4">
        <v>0</v>
      </c>
      <c r="AQ180" s="4">
        <v>2</v>
      </c>
      <c r="AR180" s="4">
        <v>0</v>
      </c>
      <c r="AS180" s="4">
        <v>1</v>
      </c>
      <c r="AT180" s="4">
        <v>3</v>
      </c>
      <c r="AU180" s="4">
        <v>2</v>
      </c>
      <c r="AV180" s="4">
        <v>1</v>
      </c>
      <c r="AW180" s="4">
        <v>2</v>
      </c>
      <c r="AX180" s="4">
        <v>4</v>
      </c>
      <c r="AY180" s="4">
        <v>0</v>
      </c>
      <c r="AZ180" s="4">
        <v>1</v>
      </c>
      <c r="BA180" s="4">
        <v>0</v>
      </c>
      <c r="BB180" s="4">
        <v>12</v>
      </c>
      <c r="BC180" s="4">
        <v>2</v>
      </c>
      <c r="BD180" s="4">
        <v>0</v>
      </c>
      <c r="BE180" s="4">
        <v>1</v>
      </c>
      <c r="BF180" s="4">
        <v>11</v>
      </c>
      <c r="BG180" s="4">
        <v>2</v>
      </c>
      <c r="BH180" s="4">
        <v>1</v>
      </c>
      <c r="BI180" s="4">
        <v>1</v>
      </c>
      <c r="BJ180" s="4">
        <v>8</v>
      </c>
      <c r="BK180" s="4">
        <v>8</v>
      </c>
      <c r="BL180" s="4">
        <v>0</v>
      </c>
      <c r="BM180" s="4">
        <v>1</v>
      </c>
      <c r="BN180" s="4">
        <v>7</v>
      </c>
      <c r="BO180" s="4">
        <v>0</v>
      </c>
      <c r="BP180" s="4">
        <v>1</v>
      </c>
      <c r="BQ180" s="4">
        <v>3</v>
      </c>
      <c r="BR180" s="4">
        <v>0</v>
      </c>
      <c r="BS180" s="4">
        <v>14</v>
      </c>
      <c r="BT180" s="4">
        <v>4</v>
      </c>
      <c r="BU180" s="4">
        <v>0</v>
      </c>
      <c r="BV180" s="4">
        <v>3</v>
      </c>
      <c r="BW180" s="4">
        <v>0</v>
      </c>
      <c r="BX180" s="4">
        <v>1</v>
      </c>
      <c r="BY180" s="4">
        <v>0</v>
      </c>
      <c r="BZ180" s="4">
        <v>0</v>
      </c>
      <c r="CA180" s="4">
        <v>8</v>
      </c>
      <c r="CB180" s="4">
        <v>0</v>
      </c>
      <c r="CC180" s="4">
        <v>0</v>
      </c>
      <c r="CD180" s="4">
        <v>0</v>
      </c>
      <c r="CE180" s="4">
        <v>0</v>
      </c>
      <c r="CF180" s="4">
        <v>1</v>
      </c>
      <c r="CG180" s="4">
        <v>0</v>
      </c>
      <c r="CH180" s="4">
        <v>1</v>
      </c>
      <c r="CI180" s="4">
        <v>1</v>
      </c>
      <c r="CJ180" s="4">
        <v>1</v>
      </c>
      <c r="CK180" s="4">
        <v>0</v>
      </c>
      <c r="CL180" s="4">
        <v>0</v>
      </c>
      <c r="CM180" s="4">
        <v>0</v>
      </c>
      <c r="CN180" s="4">
        <v>6</v>
      </c>
      <c r="CO180" s="4">
        <v>2</v>
      </c>
      <c r="CP180" s="4">
        <v>0</v>
      </c>
      <c r="CQ180" s="4">
        <v>0</v>
      </c>
      <c r="CR180" s="4">
        <v>0</v>
      </c>
      <c r="CS180" s="4">
        <v>0</v>
      </c>
      <c r="CT180" s="4">
        <v>4</v>
      </c>
      <c r="CU180" s="4">
        <v>1</v>
      </c>
      <c r="CV180" s="4">
        <v>6</v>
      </c>
      <c r="CW180" s="4">
        <v>1</v>
      </c>
      <c r="CX180" s="3">
        <v>1</v>
      </c>
    </row>
    <row r="181" spans="1:102" ht="15.75" x14ac:dyDescent="0.25">
      <c r="A181" s="4" t="s">
        <v>457</v>
      </c>
      <c r="B181" s="4" t="s">
        <v>458</v>
      </c>
      <c r="C181" s="4">
        <v>2018</v>
      </c>
      <c r="D181" s="4">
        <v>2725</v>
      </c>
      <c r="E181" s="4">
        <v>2</v>
      </c>
      <c r="F181" s="4">
        <v>0</v>
      </c>
      <c r="G181" s="4">
        <v>4</v>
      </c>
      <c r="H181" s="4">
        <v>0</v>
      </c>
      <c r="I181" s="4">
        <v>4</v>
      </c>
      <c r="J181" s="4">
        <v>7</v>
      </c>
      <c r="K181" s="4">
        <v>4</v>
      </c>
      <c r="L181" s="4">
        <v>21</v>
      </c>
      <c r="M181" s="4">
        <v>23</v>
      </c>
      <c r="N181" s="4">
        <v>21</v>
      </c>
      <c r="O181" s="4">
        <v>136</v>
      </c>
      <c r="P181" s="4">
        <v>0</v>
      </c>
      <c r="Q181" s="4">
        <v>0</v>
      </c>
      <c r="R181" s="4">
        <v>2</v>
      </c>
      <c r="S181" s="4">
        <v>0</v>
      </c>
      <c r="T181" s="4">
        <v>0</v>
      </c>
      <c r="U181" s="4">
        <v>1</v>
      </c>
      <c r="V181" s="4">
        <v>3</v>
      </c>
      <c r="W181" s="4">
        <v>1</v>
      </c>
      <c r="X181" s="4">
        <v>3</v>
      </c>
      <c r="Y181" s="4">
        <v>0</v>
      </c>
      <c r="Z181" s="4">
        <v>0</v>
      </c>
      <c r="AA181" s="4">
        <v>18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58</v>
      </c>
      <c r="AH181" s="4">
        <v>22</v>
      </c>
      <c r="AI181" s="4">
        <v>50</v>
      </c>
      <c r="AJ181" s="4">
        <v>209</v>
      </c>
      <c r="AK181" s="4">
        <v>77</v>
      </c>
      <c r="AL181" s="4">
        <v>0</v>
      </c>
      <c r="AM181" s="4">
        <v>32</v>
      </c>
      <c r="AN181" s="4">
        <v>23</v>
      </c>
      <c r="AO181" s="4">
        <v>53</v>
      </c>
      <c r="AP181" s="4">
        <v>0</v>
      </c>
      <c r="AQ181" s="4">
        <v>24</v>
      </c>
      <c r="AR181" s="4">
        <v>0</v>
      </c>
      <c r="AS181" s="4">
        <v>27</v>
      </c>
      <c r="AT181" s="4">
        <v>13</v>
      </c>
      <c r="AU181" s="4">
        <v>18</v>
      </c>
      <c r="AV181" s="4">
        <v>14</v>
      </c>
      <c r="AW181" s="4">
        <v>13</v>
      </c>
      <c r="AX181" s="4">
        <v>25</v>
      </c>
      <c r="AY181" s="4">
        <v>1</v>
      </c>
      <c r="AZ181" s="4">
        <v>33</v>
      </c>
      <c r="BA181" s="4">
        <v>0</v>
      </c>
      <c r="BB181" s="4">
        <v>144</v>
      </c>
      <c r="BC181" s="4">
        <v>18</v>
      </c>
      <c r="BD181" s="4">
        <v>0</v>
      </c>
      <c r="BE181" s="4">
        <v>40</v>
      </c>
      <c r="BF181" s="4">
        <v>83</v>
      </c>
      <c r="BG181" s="4">
        <v>8</v>
      </c>
      <c r="BH181" s="4">
        <v>5</v>
      </c>
      <c r="BI181" s="4">
        <v>0</v>
      </c>
      <c r="BJ181" s="4">
        <v>57</v>
      </c>
      <c r="BK181" s="4">
        <v>103</v>
      </c>
      <c r="BL181" s="4">
        <v>0</v>
      </c>
      <c r="BM181" s="4">
        <v>2</v>
      </c>
      <c r="BN181" s="4">
        <v>65</v>
      </c>
      <c r="BO181" s="4">
        <v>1</v>
      </c>
      <c r="BP181" s="4">
        <v>7</v>
      </c>
      <c r="BQ181" s="4">
        <v>42</v>
      </c>
      <c r="BR181" s="4">
        <v>1</v>
      </c>
      <c r="BS181" s="4">
        <v>77</v>
      </c>
      <c r="BT181" s="4">
        <v>27</v>
      </c>
      <c r="BU181" s="4">
        <v>1</v>
      </c>
      <c r="BV181" s="4">
        <v>81</v>
      </c>
      <c r="BW181" s="4">
        <v>39</v>
      </c>
      <c r="BX181" s="4">
        <v>577</v>
      </c>
      <c r="BY181" s="4">
        <v>0</v>
      </c>
      <c r="BZ181" s="4">
        <v>0</v>
      </c>
      <c r="CA181" s="4">
        <v>62</v>
      </c>
      <c r="CB181" s="4">
        <v>1</v>
      </c>
      <c r="CC181" s="4">
        <v>0</v>
      </c>
      <c r="CD181" s="4">
        <v>1</v>
      </c>
      <c r="CE181" s="4">
        <v>0</v>
      </c>
      <c r="CF181" s="4">
        <v>3</v>
      </c>
      <c r="CG181" s="4">
        <v>16</v>
      </c>
      <c r="CH181" s="4">
        <v>5</v>
      </c>
      <c r="CI181" s="4">
        <v>3</v>
      </c>
      <c r="CJ181" s="4">
        <v>55</v>
      </c>
      <c r="CK181" s="4">
        <v>3</v>
      </c>
      <c r="CL181" s="4">
        <v>0</v>
      </c>
      <c r="CM181" s="4">
        <v>15</v>
      </c>
      <c r="CN181" s="4">
        <v>60</v>
      </c>
      <c r="CO181" s="4">
        <v>16</v>
      </c>
      <c r="CP181" s="4">
        <v>3</v>
      </c>
      <c r="CQ181" s="4">
        <v>0</v>
      </c>
      <c r="CR181" s="4">
        <v>58</v>
      </c>
      <c r="CS181" s="4">
        <v>16</v>
      </c>
      <c r="CT181" s="4">
        <v>12</v>
      </c>
      <c r="CU181" s="4">
        <v>2</v>
      </c>
      <c r="CV181" s="4">
        <v>50</v>
      </c>
      <c r="CW181" s="4">
        <v>20</v>
      </c>
      <c r="CX181" s="3">
        <v>20</v>
      </c>
    </row>
    <row r="182" spans="1:102" ht="15.75" x14ac:dyDescent="0.25">
      <c r="A182" s="4" t="s">
        <v>459</v>
      </c>
      <c r="B182" s="4" t="s">
        <v>460</v>
      </c>
      <c r="C182" s="4">
        <v>2018</v>
      </c>
      <c r="D182" s="4">
        <v>14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1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5</v>
      </c>
      <c r="BX182" s="4">
        <v>0</v>
      </c>
      <c r="BY182" s="4">
        <v>0</v>
      </c>
      <c r="BZ182" s="4">
        <v>0</v>
      </c>
      <c r="CA182" s="4">
        <v>1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2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3">
        <v>0</v>
      </c>
    </row>
    <row r="183" spans="1:102" ht="15.75" x14ac:dyDescent="0.25">
      <c r="A183" s="4" t="s">
        <v>461</v>
      </c>
      <c r="B183" s="4" t="s">
        <v>462</v>
      </c>
      <c r="C183" s="4">
        <v>2018</v>
      </c>
      <c r="D183" s="4">
        <v>3762</v>
      </c>
      <c r="E183" s="4">
        <v>14</v>
      </c>
      <c r="F183" s="4">
        <v>0</v>
      </c>
      <c r="G183" s="4">
        <v>16</v>
      </c>
      <c r="H183" s="4">
        <v>1</v>
      </c>
      <c r="I183" s="4">
        <v>51</v>
      </c>
      <c r="J183" s="4">
        <v>5</v>
      </c>
      <c r="K183" s="4">
        <v>7</v>
      </c>
      <c r="L183" s="4">
        <v>24</v>
      </c>
      <c r="M183" s="4">
        <v>10</v>
      </c>
      <c r="N183" s="4">
        <v>29</v>
      </c>
      <c r="O183" s="4">
        <v>1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</v>
      </c>
      <c r="V183" s="4">
        <v>9</v>
      </c>
      <c r="W183" s="4">
        <v>2</v>
      </c>
      <c r="X183" s="4">
        <v>0</v>
      </c>
      <c r="Y183" s="4">
        <v>3</v>
      </c>
      <c r="Z183" s="4">
        <v>0</v>
      </c>
      <c r="AA183" s="4">
        <v>132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25</v>
      </c>
      <c r="AH183" s="4">
        <v>8</v>
      </c>
      <c r="AI183" s="4">
        <v>31</v>
      </c>
      <c r="AJ183" s="4">
        <v>285</v>
      </c>
      <c r="AK183" s="4">
        <v>86</v>
      </c>
      <c r="AL183" s="4">
        <v>1</v>
      </c>
      <c r="AM183" s="4">
        <v>17</v>
      </c>
      <c r="AN183" s="4">
        <v>10</v>
      </c>
      <c r="AO183" s="4">
        <v>60</v>
      </c>
      <c r="AP183" s="4">
        <v>0</v>
      </c>
      <c r="AQ183" s="4">
        <v>25</v>
      </c>
      <c r="AR183" s="4">
        <v>1</v>
      </c>
      <c r="AS183" s="4">
        <v>11</v>
      </c>
      <c r="AT183" s="4">
        <v>13</v>
      </c>
      <c r="AU183" s="4">
        <v>11</v>
      </c>
      <c r="AV183" s="4">
        <v>27</v>
      </c>
      <c r="AW183" s="4">
        <v>18</v>
      </c>
      <c r="AX183" s="4">
        <v>103</v>
      </c>
      <c r="AY183" s="4">
        <v>4</v>
      </c>
      <c r="AZ183" s="4">
        <v>42</v>
      </c>
      <c r="BA183" s="4">
        <v>0</v>
      </c>
      <c r="BB183" s="4">
        <v>345</v>
      </c>
      <c r="BC183" s="4">
        <v>4</v>
      </c>
      <c r="BD183" s="4">
        <v>0</v>
      </c>
      <c r="BE183" s="4">
        <v>24</v>
      </c>
      <c r="BF183" s="4">
        <v>65</v>
      </c>
      <c r="BG183" s="4">
        <v>12</v>
      </c>
      <c r="BH183" s="4">
        <v>4</v>
      </c>
      <c r="BI183" s="4">
        <v>3</v>
      </c>
      <c r="BJ183" s="4">
        <v>148</v>
      </c>
      <c r="BK183" s="4">
        <v>80</v>
      </c>
      <c r="BL183" s="4">
        <v>0</v>
      </c>
      <c r="BM183" s="4">
        <v>10</v>
      </c>
      <c r="BN183" s="4">
        <v>46</v>
      </c>
      <c r="BO183" s="4">
        <v>0</v>
      </c>
      <c r="BP183" s="4">
        <v>18</v>
      </c>
      <c r="BQ183" s="4">
        <v>120</v>
      </c>
      <c r="BR183" s="4">
        <v>6</v>
      </c>
      <c r="BS183" s="4">
        <v>128</v>
      </c>
      <c r="BT183" s="4">
        <v>85</v>
      </c>
      <c r="BU183" s="4">
        <v>1</v>
      </c>
      <c r="BV183" s="4">
        <v>10</v>
      </c>
      <c r="BW183" s="4">
        <v>24</v>
      </c>
      <c r="BX183" s="4">
        <v>235</v>
      </c>
      <c r="BY183" s="4">
        <v>2</v>
      </c>
      <c r="BZ183" s="4">
        <v>0</v>
      </c>
      <c r="CA183" s="4">
        <v>399</v>
      </c>
      <c r="CB183" s="4">
        <v>212</v>
      </c>
      <c r="CC183" s="4">
        <v>0</v>
      </c>
      <c r="CD183" s="4">
        <v>12</v>
      </c>
      <c r="CE183" s="4">
        <v>0</v>
      </c>
      <c r="CF183" s="4">
        <v>11</v>
      </c>
      <c r="CG183" s="4">
        <v>15</v>
      </c>
      <c r="CH183" s="4">
        <v>5</v>
      </c>
      <c r="CI183" s="4">
        <v>4</v>
      </c>
      <c r="CJ183" s="4">
        <v>72</v>
      </c>
      <c r="CK183" s="4">
        <v>5</v>
      </c>
      <c r="CL183" s="4">
        <v>0</v>
      </c>
      <c r="CM183" s="4">
        <v>68</v>
      </c>
      <c r="CN183" s="4">
        <v>170</v>
      </c>
      <c r="CO183" s="4">
        <v>7</v>
      </c>
      <c r="CP183" s="4">
        <v>1</v>
      </c>
      <c r="CQ183" s="4">
        <v>1</v>
      </c>
      <c r="CR183" s="4">
        <v>3</v>
      </c>
      <c r="CS183" s="4">
        <v>209</v>
      </c>
      <c r="CT183" s="4">
        <v>16</v>
      </c>
      <c r="CU183" s="4">
        <v>3</v>
      </c>
      <c r="CV183" s="4">
        <v>65</v>
      </c>
      <c r="CW183" s="4">
        <v>31</v>
      </c>
      <c r="CX183" s="3">
        <v>31</v>
      </c>
    </row>
    <row r="184" spans="1:102" ht="15.75" x14ac:dyDescent="0.25">
      <c r="A184" s="4" t="s">
        <v>463</v>
      </c>
      <c r="B184" s="4" t="s">
        <v>464</v>
      </c>
      <c r="C184" s="4">
        <v>2018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3">
        <v>0</v>
      </c>
    </row>
    <row r="185" spans="1:102" ht="15.75" x14ac:dyDescent="0.25">
      <c r="A185" s="4" t="s">
        <v>465</v>
      </c>
      <c r="B185" s="4" t="s">
        <v>466</v>
      </c>
      <c r="C185" s="4">
        <v>2018</v>
      </c>
      <c r="D185" s="4">
        <v>88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1</v>
      </c>
      <c r="O185" s="4">
        <v>1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57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1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2</v>
      </c>
      <c r="AY185" s="4">
        <v>0</v>
      </c>
      <c r="AZ185" s="4">
        <v>1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1</v>
      </c>
      <c r="BK185" s="4">
        <v>1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1</v>
      </c>
      <c r="BR185" s="4">
        <v>0</v>
      </c>
      <c r="BS185" s="4">
        <v>1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1</v>
      </c>
      <c r="CB185" s="4">
        <v>8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1</v>
      </c>
      <c r="CO185" s="4">
        <v>0</v>
      </c>
      <c r="CP185" s="4">
        <v>0</v>
      </c>
      <c r="CQ185" s="4">
        <v>0</v>
      </c>
      <c r="CR185" s="4">
        <v>0</v>
      </c>
      <c r="CS185" s="4">
        <v>1</v>
      </c>
      <c r="CT185" s="4">
        <v>1</v>
      </c>
      <c r="CU185" s="4">
        <v>0</v>
      </c>
      <c r="CV185" s="4">
        <v>1</v>
      </c>
      <c r="CW185" s="4">
        <v>1</v>
      </c>
      <c r="CX185" s="3">
        <v>1</v>
      </c>
    </row>
    <row r="186" spans="1:102" ht="15.75" x14ac:dyDescent="0.25">
      <c r="A186" s="4" t="s">
        <v>467</v>
      </c>
      <c r="B186" s="4" t="s">
        <v>468</v>
      </c>
      <c r="C186" s="4">
        <v>2018</v>
      </c>
      <c r="D186" s="4">
        <v>93</v>
      </c>
      <c r="E186" s="4">
        <v>1</v>
      </c>
      <c r="F186" s="4">
        <v>0</v>
      </c>
      <c r="G186" s="4">
        <v>0</v>
      </c>
      <c r="H186" s="4">
        <v>0</v>
      </c>
      <c r="I186" s="4">
        <v>0</v>
      </c>
      <c r="J186" s="4">
        <v>9</v>
      </c>
      <c r="K186" s="4">
        <v>0</v>
      </c>
      <c r="L186" s="4">
        <v>0</v>
      </c>
      <c r="M186" s="4">
        <v>0</v>
      </c>
      <c r="N186" s="4">
        <v>4</v>
      </c>
      <c r="O186" s="4">
        <v>15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6</v>
      </c>
      <c r="AK186" s="4">
        <v>1</v>
      </c>
      <c r="AL186" s="4">
        <v>0</v>
      </c>
      <c r="AM186" s="4">
        <v>0</v>
      </c>
      <c r="AN186" s="4">
        <v>1</v>
      </c>
      <c r="AO186" s="4">
        <v>6</v>
      </c>
      <c r="AP186" s="4">
        <v>0</v>
      </c>
      <c r="AQ186" s="4">
        <v>1</v>
      </c>
      <c r="AR186" s="4">
        <v>0</v>
      </c>
      <c r="AS186" s="4">
        <v>0</v>
      </c>
      <c r="AT186" s="4">
        <v>0</v>
      </c>
      <c r="AU186" s="4">
        <v>1</v>
      </c>
      <c r="AV186" s="4">
        <v>0</v>
      </c>
      <c r="AW186" s="4">
        <v>0</v>
      </c>
      <c r="AX186" s="4">
        <v>2</v>
      </c>
      <c r="AY186" s="4">
        <v>0</v>
      </c>
      <c r="AZ186" s="4">
        <v>5</v>
      </c>
      <c r="BA186" s="4">
        <v>0</v>
      </c>
      <c r="BB186" s="4">
        <v>3</v>
      </c>
      <c r="BC186" s="4">
        <v>0</v>
      </c>
      <c r="BD186" s="4">
        <v>0</v>
      </c>
      <c r="BE186" s="4">
        <v>1</v>
      </c>
      <c r="BF186" s="4">
        <v>4</v>
      </c>
      <c r="BG186" s="4">
        <v>0</v>
      </c>
      <c r="BH186" s="4">
        <v>0</v>
      </c>
      <c r="BI186" s="4">
        <v>0</v>
      </c>
      <c r="BJ186" s="4">
        <v>3</v>
      </c>
      <c r="BK186" s="4">
        <v>3</v>
      </c>
      <c r="BL186" s="4">
        <v>0</v>
      </c>
      <c r="BM186" s="4">
        <v>0</v>
      </c>
      <c r="BN186" s="4">
        <v>0</v>
      </c>
      <c r="BO186" s="4">
        <v>0</v>
      </c>
      <c r="BP186" s="4">
        <v>1</v>
      </c>
      <c r="BQ186" s="4">
        <v>1</v>
      </c>
      <c r="BR186" s="4">
        <v>0</v>
      </c>
      <c r="BS186" s="4">
        <v>1</v>
      </c>
      <c r="BT186" s="4">
        <v>4</v>
      </c>
      <c r="BU186" s="4">
        <v>0</v>
      </c>
      <c r="BV186" s="4">
        <v>1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1</v>
      </c>
      <c r="CN186" s="4">
        <v>1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1</v>
      </c>
      <c r="CW186" s="4">
        <v>1</v>
      </c>
      <c r="CX186" s="3">
        <v>1</v>
      </c>
    </row>
    <row r="187" spans="1:102" ht="15.75" x14ac:dyDescent="0.25">
      <c r="A187" s="4" t="s">
        <v>469</v>
      </c>
      <c r="B187" s="4" t="s">
        <v>470</v>
      </c>
      <c r="C187" s="4">
        <v>2018</v>
      </c>
      <c r="D187" s="4">
        <v>5563</v>
      </c>
      <c r="E187" s="4">
        <v>5</v>
      </c>
      <c r="F187" s="4">
        <v>14</v>
      </c>
      <c r="G187" s="4">
        <v>13</v>
      </c>
      <c r="H187" s="4">
        <v>4</v>
      </c>
      <c r="I187" s="4">
        <v>36</v>
      </c>
      <c r="J187" s="4">
        <v>17</v>
      </c>
      <c r="K187" s="4">
        <v>9</v>
      </c>
      <c r="L187" s="4">
        <v>25</v>
      </c>
      <c r="M187" s="4">
        <v>29</v>
      </c>
      <c r="N187" s="4">
        <v>46</v>
      </c>
      <c r="O187" s="4">
        <v>78</v>
      </c>
      <c r="P187" s="4">
        <v>0</v>
      </c>
      <c r="Q187" s="4">
        <v>9</v>
      </c>
      <c r="R187" s="4">
        <v>1</v>
      </c>
      <c r="S187" s="4">
        <v>5</v>
      </c>
      <c r="T187" s="4">
        <v>1</v>
      </c>
      <c r="U187" s="4">
        <v>3</v>
      </c>
      <c r="V187" s="4">
        <v>21</v>
      </c>
      <c r="W187" s="4">
        <v>16</v>
      </c>
      <c r="X187" s="4">
        <v>3</v>
      </c>
      <c r="Y187" s="4">
        <v>0</v>
      </c>
      <c r="Z187" s="4">
        <v>578</v>
      </c>
      <c r="AA187" s="4">
        <v>128</v>
      </c>
      <c r="AB187" s="4">
        <v>5</v>
      </c>
      <c r="AC187" s="4">
        <v>0</v>
      </c>
      <c r="AD187" s="4">
        <v>1</v>
      </c>
      <c r="AE187" s="4">
        <v>1</v>
      </c>
      <c r="AF187" s="4">
        <v>1</v>
      </c>
      <c r="AG187" s="4">
        <v>154</v>
      </c>
      <c r="AH187" s="4">
        <v>89</v>
      </c>
      <c r="AI187" s="4">
        <v>55</v>
      </c>
      <c r="AJ187" s="4">
        <v>279</v>
      </c>
      <c r="AK187" s="4">
        <v>91</v>
      </c>
      <c r="AL187" s="4">
        <v>3</v>
      </c>
      <c r="AM187" s="4">
        <v>73</v>
      </c>
      <c r="AN187" s="4">
        <v>81</v>
      </c>
      <c r="AO187" s="4">
        <v>101</v>
      </c>
      <c r="AP187" s="4">
        <v>6</v>
      </c>
      <c r="AQ187" s="4">
        <v>25</v>
      </c>
      <c r="AR187" s="4">
        <v>6</v>
      </c>
      <c r="AS187" s="4">
        <v>30</v>
      </c>
      <c r="AT187" s="4">
        <v>54</v>
      </c>
      <c r="AU187" s="4">
        <v>63</v>
      </c>
      <c r="AV187" s="4">
        <v>401</v>
      </c>
      <c r="AW187" s="4">
        <v>125</v>
      </c>
      <c r="AX187" s="4">
        <v>107</v>
      </c>
      <c r="AY187" s="4">
        <v>5</v>
      </c>
      <c r="AZ187" s="4">
        <v>16</v>
      </c>
      <c r="BA187" s="4">
        <v>0</v>
      </c>
      <c r="BB187" s="4">
        <v>118</v>
      </c>
      <c r="BC187" s="4">
        <v>31</v>
      </c>
      <c r="BD187" s="4">
        <v>36</v>
      </c>
      <c r="BE187" s="4">
        <v>49</v>
      </c>
      <c r="BF187" s="4">
        <v>125</v>
      </c>
      <c r="BG187" s="4">
        <v>10</v>
      </c>
      <c r="BH187" s="4">
        <v>8</v>
      </c>
      <c r="BI187" s="4">
        <v>1</v>
      </c>
      <c r="BJ187" s="4">
        <v>102</v>
      </c>
      <c r="BK187" s="4">
        <v>173</v>
      </c>
      <c r="BL187" s="4">
        <v>0</v>
      </c>
      <c r="BM187" s="4">
        <v>9</v>
      </c>
      <c r="BN187" s="4">
        <v>121</v>
      </c>
      <c r="BO187" s="4">
        <v>1</v>
      </c>
      <c r="BP187" s="4">
        <v>19</v>
      </c>
      <c r="BQ187" s="4">
        <v>90</v>
      </c>
      <c r="BR187" s="4">
        <v>28</v>
      </c>
      <c r="BS187" s="4">
        <v>154</v>
      </c>
      <c r="BT187" s="4">
        <v>66</v>
      </c>
      <c r="BU187" s="4">
        <v>10</v>
      </c>
      <c r="BV187" s="4">
        <v>292</v>
      </c>
      <c r="BW187" s="4">
        <v>67</v>
      </c>
      <c r="BX187" s="4">
        <v>500</v>
      </c>
      <c r="BY187" s="4">
        <v>11</v>
      </c>
      <c r="BZ187" s="4">
        <v>0</v>
      </c>
      <c r="CA187" s="4">
        <v>23</v>
      </c>
      <c r="CB187" s="4">
        <v>17</v>
      </c>
      <c r="CC187" s="4">
        <v>1</v>
      </c>
      <c r="CD187" s="4">
        <v>12</v>
      </c>
      <c r="CE187" s="4">
        <v>5</v>
      </c>
      <c r="CF187" s="4">
        <v>6</v>
      </c>
      <c r="CG187" s="4">
        <v>9</v>
      </c>
      <c r="CH187" s="4">
        <v>12</v>
      </c>
      <c r="CI187" s="4">
        <v>15</v>
      </c>
      <c r="CJ187" s="4">
        <v>146</v>
      </c>
      <c r="CK187" s="4">
        <v>29</v>
      </c>
      <c r="CL187" s="4">
        <v>1</v>
      </c>
      <c r="CM187" s="4">
        <v>13</v>
      </c>
      <c r="CN187" s="4">
        <v>118</v>
      </c>
      <c r="CO187" s="4">
        <v>17</v>
      </c>
      <c r="CP187" s="4">
        <v>38</v>
      </c>
      <c r="CQ187" s="4">
        <v>0</v>
      </c>
      <c r="CR187" s="4">
        <v>2</v>
      </c>
      <c r="CS187" s="4">
        <v>3</v>
      </c>
      <c r="CT187" s="4">
        <v>52</v>
      </c>
      <c r="CU187" s="4">
        <v>8</v>
      </c>
      <c r="CV187" s="4">
        <v>195</v>
      </c>
      <c r="CW187" s="4">
        <v>6</v>
      </c>
      <c r="CX187" s="3">
        <v>6</v>
      </c>
    </row>
    <row r="188" spans="1:102" ht="15.75" x14ac:dyDescent="0.25">
      <c r="A188" s="4" t="s">
        <v>471</v>
      </c>
      <c r="B188" s="4" t="s">
        <v>472</v>
      </c>
      <c r="C188" s="4">
        <v>2018</v>
      </c>
      <c r="D188" s="4">
        <v>4954</v>
      </c>
      <c r="E188" s="4">
        <v>2</v>
      </c>
      <c r="F188" s="4">
        <v>3</v>
      </c>
      <c r="G188" s="4">
        <v>9</v>
      </c>
      <c r="H188" s="4">
        <v>5</v>
      </c>
      <c r="I188" s="4">
        <v>13</v>
      </c>
      <c r="J188" s="4">
        <v>4</v>
      </c>
      <c r="K188" s="4">
        <v>4</v>
      </c>
      <c r="L188" s="4">
        <v>14</v>
      </c>
      <c r="M188" s="4">
        <v>4</v>
      </c>
      <c r="N188" s="4">
        <v>9</v>
      </c>
      <c r="O188" s="4">
        <v>424</v>
      </c>
      <c r="P188" s="4">
        <v>0</v>
      </c>
      <c r="Q188" s="4">
        <v>0</v>
      </c>
      <c r="R188" s="4">
        <v>15</v>
      </c>
      <c r="S188" s="4">
        <v>0</v>
      </c>
      <c r="T188" s="4">
        <v>0</v>
      </c>
      <c r="U188" s="4">
        <v>0</v>
      </c>
      <c r="V188" s="4">
        <v>3</v>
      </c>
      <c r="W188" s="4">
        <v>4</v>
      </c>
      <c r="X188" s="4">
        <v>2</v>
      </c>
      <c r="Y188" s="4">
        <v>0</v>
      </c>
      <c r="Z188" s="4">
        <v>0</v>
      </c>
      <c r="AA188" s="4">
        <v>77</v>
      </c>
      <c r="AB188" s="4">
        <v>0</v>
      </c>
      <c r="AC188" s="4">
        <v>0</v>
      </c>
      <c r="AD188" s="4">
        <v>0</v>
      </c>
      <c r="AE188" s="4">
        <v>1</v>
      </c>
      <c r="AF188" s="4">
        <v>0</v>
      </c>
      <c r="AG188" s="4">
        <v>50</v>
      </c>
      <c r="AH188" s="4">
        <v>4</v>
      </c>
      <c r="AI188" s="4">
        <v>12</v>
      </c>
      <c r="AJ188" s="4">
        <v>125</v>
      </c>
      <c r="AK188" s="4">
        <v>46</v>
      </c>
      <c r="AL188" s="4">
        <v>1</v>
      </c>
      <c r="AM188" s="4">
        <v>17</v>
      </c>
      <c r="AN188" s="4">
        <v>20</v>
      </c>
      <c r="AO188" s="4">
        <v>83</v>
      </c>
      <c r="AP188" s="4">
        <v>1</v>
      </c>
      <c r="AQ188" s="4">
        <v>15</v>
      </c>
      <c r="AR188" s="4">
        <v>1</v>
      </c>
      <c r="AS188" s="4">
        <v>8</v>
      </c>
      <c r="AT188" s="4">
        <v>10</v>
      </c>
      <c r="AU188" s="4">
        <v>28</v>
      </c>
      <c r="AV188" s="4">
        <v>44</v>
      </c>
      <c r="AW188" s="4">
        <v>28</v>
      </c>
      <c r="AX188" s="4">
        <v>105</v>
      </c>
      <c r="AY188" s="4">
        <v>4</v>
      </c>
      <c r="AZ188" s="4">
        <v>33</v>
      </c>
      <c r="BA188" s="4">
        <v>0</v>
      </c>
      <c r="BB188" s="4">
        <v>1996</v>
      </c>
      <c r="BC188" s="4">
        <v>14</v>
      </c>
      <c r="BD188" s="4">
        <v>0</v>
      </c>
      <c r="BE188" s="4">
        <v>22</v>
      </c>
      <c r="BF188" s="4">
        <v>59</v>
      </c>
      <c r="BG188" s="4">
        <v>2</v>
      </c>
      <c r="BH188" s="4">
        <v>3</v>
      </c>
      <c r="BI188" s="4">
        <v>1</v>
      </c>
      <c r="BJ188" s="4">
        <v>225</v>
      </c>
      <c r="BK188" s="4">
        <v>121</v>
      </c>
      <c r="BL188" s="4">
        <v>0</v>
      </c>
      <c r="BM188" s="4">
        <v>9</v>
      </c>
      <c r="BN188" s="4">
        <v>43</v>
      </c>
      <c r="BO188" s="4">
        <v>1</v>
      </c>
      <c r="BP188" s="4">
        <v>7</v>
      </c>
      <c r="BQ188" s="4">
        <v>66</v>
      </c>
      <c r="BR188" s="4">
        <v>4</v>
      </c>
      <c r="BS188" s="4">
        <v>244</v>
      </c>
      <c r="BT188" s="4">
        <v>67</v>
      </c>
      <c r="BU188" s="4">
        <v>2</v>
      </c>
      <c r="BV188" s="4">
        <v>20</v>
      </c>
      <c r="BW188" s="4">
        <v>18</v>
      </c>
      <c r="BX188" s="4">
        <v>155</v>
      </c>
      <c r="BY188" s="4">
        <v>6</v>
      </c>
      <c r="BZ188" s="4">
        <v>0</v>
      </c>
      <c r="CA188" s="4">
        <v>68</v>
      </c>
      <c r="CB188" s="4">
        <v>45</v>
      </c>
      <c r="CC188" s="4">
        <v>0</v>
      </c>
      <c r="CD188" s="4">
        <v>7</v>
      </c>
      <c r="CE188" s="4">
        <v>0</v>
      </c>
      <c r="CF188" s="4">
        <v>4</v>
      </c>
      <c r="CG188" s="4">
        <v>24</v>
      </c>
      <c r="CH188" s="4">
        <v>2</v>
      </c>
      <c r="CI188" s="4">
        <v>5</v>
      </c>
      <c r="CJ188" s="4">
        <v>24</v>
      </c>
      <c r="CK188" s="4">
        <v>2</v>
      </c>
      <c r="CL188" s="4">
        <v>0</v>
      </c>
      <c r="CM188" s="4">
        <v>46</v>
      </c>
      <c r="CN188" s="4">
        <v>161</v>
      </c>
      <c r="CO188" s="4">
        <v>23</v>
      </c>
      <c r="CP188" s="4">
        <v>5</v>
      </c>
      <c r="CQ188" s="4">
        <v>0</v>
      </c>
      <c r="CR188" s="4">
        <v>22</v>
      </c>
      <c r="CS188" s="4">
        <v>52</v>
      </c>
      <c r="CT188" s="4">
        <v>23</v>
      </c>
      <c r="CU188" s="4">
        <v>1</v>
      </c>
      <c r="CV188" s="4">
        <v>69</v>
      </c>
      <c r="CW188" s="4">
        <v>58</v>
      </c>
      <c r="CX188" s="3">
        <v>58</v>
      </c>
    </row>
    <row r="189" spans="1:102" ht="15.75" x14ac:dyDescent="0.25">
      <c r="A189" s="4" t="s">
        <v>473</v>
      </c>
      <c r="B189" s="4" t="s">
        <v>474</v>
      </c>
      <c r="C189" s="4">
        <v>2018</v>
      </c>
      <c r="D189" s="4">
        <v>18</v>
      </c>
      <c r="E189" s="4">
        <v>0</v>
      </c>
      <c r="F189" s="4">
        <v>0</v>
      </c>
      <c r="G189" s="4">
        <v>0</v>
      </c>
      <c r="H189" s="4">
        <v>0</v>
      </c>
      <c r="I189" s="4">
        <v>1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1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1</v>
      </c>
      <c r="AW189" s="4">
        <v>0</v>
      </c>
      <c r="AX189" s="4">
        <v>1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2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1</v>
      </c>
      <c r="BT189" s="4">
        <v>0</v>
      </c>
      <c r="BU189" s="4">
        <v>0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0</v>
      </c>
      <c r="CB189" s="4">
        <v>2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1</v>
      </c>
      <c r="CW189" s="4">
        <v>0</v>
      </c>
      <c r="CX189" s="3">
        <v>0</v>
      </c>
    </row>
    <row r="190" spans="1:102" ht="15.75" x14ac:dyDescent="0.25">
      <c r="A190" s="4" t="s">
        <v>475</v>
      </c>
      <c r="B190" s="4" t="s">
        <v>476</v>
      </c>
      <c r="C190" s="4">
        <v>2018</v>
      </c>
      <c r="D190" s="4">
        <v>342</v>
      </c>
      <c r="E190" s="4">
        <v>0</v>
      </c>
      <c r="F190" s="4">
        <v>2</v>
      </c>
      <c r="G190" s="4">
        <v>0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>
        <v>6</v>
      </c>
      <c r="O190" s="4">
        <v>10</v>
      </c>
      <c r="P190" s="4">
        <v>0</v>
      </c>
      <c r="Q190" s="4">
        <v>0</v>
      </c>
      <c r="R190" s="4">
        <v>0</v>
      </c>
      <c r="S190" s="4">
        <v>0</v>
      </c>
      <c r="T190" s="4">
        <v>4</v>
      </c>
      <c r="U190" s="4">
        <v>1</v>
      </c>
      <c r="V190" s="4">
        <v>0</v>
      </c>
      <c r="W190" s="4">
        <v>2</v>
      </c>
      <c r="X190" s="4">
        <v>0</v>
      </c>
      <c r="Y190" s="4">
        <v>0</v>
      </c>
      <c r="Z190" s="4">
        <v>0</v>
      </c>
      <c r="AA190" s="4">
        <v>46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5</v>
      </c>
      <c r="AH190" s="4">
        <v>1</v>
      </c>
      <c r="AI190" s="4">
        <v>4</v>
      </c>
      <c r="AJ190" s="4">
        <v>15</v>
      </c>
      <c r="AK190" s="4">
        <v>8</v>
      </c>
      <c r="AL190" s="4">
        <v>0</v>
      </c>
      <c r="AM190" s="4">
        <v>5</v>
      </c>
      <c r="AN190" s="4">
        <v>11</v>
      </c>
      <c r="AO190" s="4">
        <v>8</v>
      </c>
      <c r="AP190" s="4">
        <v>5</v>
      </c>
      <c r="AQ190" s="4">
        <v>6</v>
      </c>
      <c r="AR190" s="4">
        <v>0</v>
      </c>
      <c r="AS190" s="4">
        <v>2</v>
      </c>
      <c r="AT190" s="4">
        <v>5</v>
      </c>
      <c r="AU190" s="4">
        <v>5</v>
      </c>
      <c r="AV190" s="4">
        <v>12</v>
      </c>
      <c r="AW190" s="4">
        <v>17</v>
      </c>
      <c r="AX190" s="4">
        <v>5</v>
      </c>
      <c r="AY190" s="4">
        <v>0</v>
      </c>
      <c r="AZ190" s="4">
        <v>2</v>
      </c>
      <c r="BA190" s="4">
        <v>0</v>
      </c>
      <c r="BB190" s="4">
        <v>1</v>
      </c>
      <c r="BC190" s="4">
        <v>0</v>
      </c>
      <c r="BD190" s="4">
        <v>0</v>
      </c>
      <c r="BE190" s="4">
        <v>4</v>
      </c>
      <c r="BF190" s="4">
        <v>15</v>
      </c>
      <c r="BG190" s="4">
        <v>1</v>
      </c>
      <c r="BH190" s="4">
        <v>2</v>
      </c>
      <c r="BI190" s="4">
        <v>0</v>
      </c>
      <c r="BJ190" s="4">
        <v>5</v>
      </c>
      <c r="BK190" s="4">
        <v>9</v>
      </c>
      <c r="BL190" s="4">
        <v>0</v>
      </c>
      <c r="BM190" s="4">
        <v>1</v>
      </c>
      <c r="BN190" s="4">
        <v>5</v>
      </c>
      <c r="BO190" s="4">
        <v>0</v>
      </c>
      <c r="BP190" s="4">
        <v>1</v>
      </c>
      <c r="BQ190" s="4">
        <v>8</v>
      </c>
      <c r="BR190" s="4">
        <v>0</v>
      </c>
      <c r="BS190" s="4">
        <v>20</v>
      </c>
      <c r="BT190" s="4">
        <v>7</v>
      </c>
      <c r="BU190" s="4">
        <v>0</v>
      </c>
      <c r="BV190" s="4">
        <v>7</v>
      </c>
      <c r="BW190" s="4">
        <v>3</v>
      </c>
      <c r="BX190" s="4">
        <v>3</v>
      </c>
      <c r="BY190" s="4">
        <v>0</v>
      </c>
      <c r="BZ190" s="4">
        <v>0</v>
      </c>
      <c r="CA190" s="4">
        <v>2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11</v>
      </c>
      <c r="CK190" s="4">
        <v>3</v>
      </c>
      <c r="CL190" s="4">
        <v>0</v>
      </c>
      <c r="CM190" s="4">
        <v>2</v>
      </c>
      <c r="CN190" s="4">
        <v>9</v>
      </c>
      <c r="CO190" s="4">
        <v>1</v>
      </c>
      <c r="CP190" s="4">
        <v>1</v>
      </c>
      <c r="CQ190" s="4">
        <v>0</v>
      </c>
      <c r="CR190" s="4">
        <v>0</v>
      </c>
      <c r="CS190" s="4">
        <v>0</v>
      </c>
      <c r="CT190" s="4">
        <v>4</v>
      </c>
      <c r="CU190" s="4">
        <v>2</v>
      </c>
      <c r="CV190" s="4">
        <v>18</v>
      </c>
      <c r="CW190" s="4">
        <v>1</v>
      </c>
      <c r="CX190" s="3">
        <v>1</v>
      </c>
    </row>
    <row r="191" spans="1:102" ht="15.75" x14ac:dyDescent="0.25">
      <c r="A191" s="4" t="s">
        <v>477</v>
      </c>
      <c r="B191" s="4" t="s">
        <v>478</v>
      </c>
      <c r="C191" s="4">
        <v>2018</v>
      </c>
      <c r="D191" s="4">
        <v>633</v>
      </c>
      <c r="E191" s="4">
        <v>1</v>
      </c>
      <c r="F191" s="4">
        <v>1</v>
      </c>
      <c r="G191" s="4">
        <v>1</v>
      </c>
      <c r="H191" s="4">
        <v>0</v>
      </c>
      <c r="I191" s="4">
        <v>1</v>
      </c>
      <c r="J191" s="4">
        <v>1</v>
      </c>
      <c r="K191" s="4">
        <v>1</v>
      </c>
      <c r="L191" s="4">
        <v>6</v>
      </c>
      <c r="M191" s="4">
        <v>0</v>
      </c>
      <c r="N191" s="4">
        <v>4</v>
      </c>
      <c r="O191" s="4">
        <v>11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5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20</v>
      </c>
      <c r="AH191" s="4">
        <v>3</v>
      </c>
      <c r="AI191" s="4">
        <v>8</v>
      </c>
      <c r="AJ191" s="4">
        <v>16</v>
      </c>
      <c r="AK191" s="4">
        <v>12</v>
      </c>
      <c r="AL191" s="4">
        <v>0</v>
      </c>
      <c r="AM191" s="4">
        <v>16</v>
      </c>
      <c r="AN191" s="4">
        <v>11</v>
      </c>
      <c r="AO191" s="4">
        <v>10</v>
      </c>
      <c r="AP191" s="4">
        <v>0</v>
      </c>
      <c r="AQ191" s="4">
        <v>15</v>
      </c>
      <c r="AR191" s="4">
        <v>2</v>
      </c>
      <c r="AS191" s="4">
        <v>11</v>
      </c>
      <c r="AT191" s="4">
        <v>11</v>
      </c>
      <c r="AU191" s="4">
        <v>8</v>
      </c>
      <c r="AV191" s="4">
        <v>19</v>
      </c>
      <c r="AW191" s="4">
        <v>4</v>
      </c>
      <c r="AX191" s="4">
        <v>26</v>
      </c>
      <c r="AY191" s="4">
        <v>0</v>
      </c>
      <c r="AZ191" s="4">
        <v>2</v>
      </c>
      <c r="BA191" s="4">
        <v>0</v>
      </c>
      <c r="BB191" s="4">
        <v>20</v>
      </c>
      <c r="BC191" s="4">
        <v>0</v>
      </c>
      <c r="BD191" s="4">
        <v>0</v>
      </c>
      <c r="BE191" s="4">
        <v>4</v>
      </c>
      <c r="BF191" s="4">
        <v>18</v>
      </c>
      <c r="BG191" s="4">
        <v>1</v>
      </c>
      <c r="BH191" s="4">
        <v>2</v>
      </c>
      <c r="BI191" s="4">
        <v>0</v>
      </c>
      <c r="BJ191" s="4">
        <v>14</v>
      </c>
      <c r="BK191" s="4">
        <v>19</v>
      </c>
      <c r="BL191" s="4">
        <v>0</v>
      </c>
      <c r="BM191" s="4">
        <v>3</v>
      </c>
      <c r="BN191" s="4">
        <v>6</v>
      </c>
      <c r="BO191" s="4">
        <v>1</v>
      </c>
      <c r="BP191" s="4">
        <v>1</v>
      </c>
      <c r="BQ191" s="4">
        <v>17</v>
      </c>
      <c r="BR191" s="4">
        <v>1</v>
      </c>
      <c r="BS191" s="4">
        <v>37</v>
      </c>
      <c r="BT191" s="4">
        <v>11</v>
      </c>
      <c r="BU191" s="4">
        <v>0</v>
      </c>
      <c r="BV191" s="4">
        <v>79</v>
      </c>
      <c r="BW191" s="4">
        <v>3</v>
      </c>
      <c r="BX191" s="4">
        <v>30</v>
      </c>
      <c r="BY191" s="4">
        <v>0</v>
      </c>
      <c r="BZ191" s="4">
        <v>0</v>
      </c>
      <c r="CA191" s="4">
        <v>2</v>
      </c>
      <c r="CB191" s="4">
        <v>0</v>
      </c>
      <c r="CC191" s="4">
        <v>0</v>
      </c>
      <c r="CD191" s="4">
        <v>0</v>
      </c>
      <c r="CE191" s="4">
        <v>0</v>
      </c>
      <c r="CF191" s="4">
        <v>3</v>
      </c>
      <c r="CG191" s="4">
        <v>19</v>
      </c>
      <c r="CH191" s="4">
        <v>3</v>
      </c>
      <c r="CI191" s="4">
        <v>3</v>
      </c>
      <c r="CJ191" s="4">
        <v>32</v>
      </c>
      <c r="CK191" s="4">
        <v>6</v>
      </c>
      <c r="CL191" s="4">
        <v>1</v>
      </c>
      <c r="CM191" s="4">
        <v>3</v>
      </c>
      <c r="CN191" s="4">
        <v>13</v>
      </c>
      <c r="CO191" s="4">
        <v>1</v>
      </c>
      <c r="CP191" s="4">
        <v>2</v>
      </c>
      <c r="CQ191" s="4">
        <v>0</v>
      </c>
      <c r="CR191" s="4">
        <v>0</v>
      </c>
      <c r="CS191" s="4">
        <v>0</v>
      </c>
      <c r="CT191" s="4">
        <v>10</v>
      </c>
      <c r="CU191" s="4">
        <v>9</v>
      </c>
      <c r="CV191" s="4">
        <v>27</v>
      </c>
      <c r="CW191" s="4">
        <v>1</v>
      </c>
      <c r="CX191" s="3">
        <v>1</v>
      </c>
    </row>
    <row r="192" spans="1:102" ht="15.75" x14ac:dyDescent="0.25">
      <c r="A192" s="4" t="s">
        <v>479</v>
      </c>
      <c r="B192" s="4" t="s">
        <v>480</v>
      </c>
      <c r="C192" s="4">
        <v>2018</v>
      </c>
      <c r="D192" s="4">
        <v>35</v>
      </c>
      <c r="E192" s="4">
        <v>0</v>
      </c>
      <c r="F192" s="4">
        <v>1</v>
      </c>
      <c r="G192" s="4">
        <v>0</v>
      </c>
      <c r="H192" s="4">
        <v>0</v>
      </c>
      <c r="I192" s="4">
        <v>1</v>
      </c>
      <c r="J192" s="4">
        <v>1</v>
      </c>
      <c r="K192" s="4">
        <v>0</v>
      </c>
      <c r="L192" s="4">
        <v>0</v>
      </c>
      <c r="M192" s="4">
        <v>0</v>
      </c>
      <c r="N192" s="4">
        <v>1</v>
      </c>
      <c r="O192" s="4">
        <v>2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1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3</v>
      </c>
      <c r="BG192" s="4">
        <v>0</v>
      </c>
      <c r="BH192" s="4">
        <v>0</v>
      </c>
      <c r="BI192" s="4">
        <v>0</v>
      </c>
      <c r="BJ192" s="4">
        <v>1</v>
      </c>
      <c r="BK192" s="4">
        <v>1</v>
      </c>
      <c r="BL192" s="4">
        <v>0</v>
      </c>
      <c r="BM192" s="4">
        <v>1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3</v>
      </c>
      <c r="BT192" s="4">
        <v>0</v>
      </c>
      <c r="BU192" s="4">
        <v>0</v>
      </c>
      <c r="BV192" s="4">
        <v>0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4</v>
      </c>
      <c r="CC192" s="4">
        <v>0</v>
      </c>
      <c r="CD192" s="4">
        <v>0</v>
      </c>
      <c r="CE192" s="4">
        <v>0</v>
      </c>
      <c r="CF192" s="4">
        <v>1</v>
      </c>
      <c r="CG192" s="4">
        <v>0</v>
      </c>
      <c r="CH192" s="4">
        <v>1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1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</v>
      </c>
      <c r="CU192" s="4">
        <v>0</v>
      </c>
      <c r="CV192" s="4">
        <v>2</v>
      </c>
      <c r="CW192" s="4">
        <v>0</v>
      </c>
      <c r="CX192" s="3">
        <v>0</v>
      </c>
    </row>
    <row r="193" spans="1:102" ht="15.75" x14ac:dyDescent="0.25">
      <c r="A193" s="4" t="s">
        <v>481</v>
      </c>
      <c r="B193" s="4" t="s">
        <v>482</v>
      </c>
      <c r="C193" s="4">
        <v>2018</v>
      </c>
      <c r="D193" s="4">
        <v>7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2</v>
      </c>
      <c r="CV193" s="4">
        <v>1</v>
      </c>
      <c r="CW193" s="4">
        <v>0</v>
      </c>
      <c r="CX193" s="3">
        <v>0</v>
      </c>
    </row>
    <row r="194" spans="1:102" ht="15.75" x14ac:dyDescent="0.25">
      <c r="A194" s="4" t="s">
        <v>483</v>
      </c>
      <c r="B194" s="4" t="s">
        <v>484</v>
      </c>
      <c r="C194" s="4">
        <v>2018</v>
      </c>
      <c r="D194" s="4">
        <v>207</v>
      </c>
      <c r="E194" s="4">
        <v>0</v>
      </c>
      <c r="F194" s="4">
        <v>0</v>
      </c>
      <c r="G194" s="4">
        <v>2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1</v>
      </c>
      <c r="O194" s="4">
        <v>1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147</v>
      </c>
      <c r="AB194" s="4">
        <v>5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1</v>
      </c>
      <c r="AJ194" s="4">
        <v>0</v>
      </c>
      <c r="AK194" s="4">
        <v>1</v>
      </c>
      <c r="AL194" s="4">
        <v>0</v>
      </c>
      <c r="AM194" s="4">
        <v>0</v>
      </c>
      <c r="AN194" s="4">
        <v>0</v>
      </c>
      <c r="AO194" s="4">
        <v>1</v>
      </c>
      <c r="AP194" s="4">
        <v>0</v>
      </c>
      <c r="AQ194" s="4">
        <v>0</v>
      </c>
      <c r="AR194" s="4">
        <v>0</v>
      </c>
      <c r="AS194" s="4">
        <v>0</v>
      </c>
      <c r="AT194" s="4">
        <v>2</v>
      </c>
      <c r="AU194" s="4">
        <v>0</v>
      </c>
      <c r="AV194" s="4">
        <v>7</v>
      </c>
      <c r="AW194" s="4">
        <v>0</v>
      </c>
      <c r="AX194" s="4">
        <v>1</v>
      </c>
      <c r="AY194" s="4">
        <v>0</v>
      </c>
      <c r="AZ194" s="4">
        <v>1</v>
      </c>
      <c r="BA194" s="4">
        <v>0</v>
      </c>
      <c r="BB194" s="4">
        <v>1</v>
      </c>
      <c r="BC194" s="4">
        <v>0</v>
      </c>
      <c r="BD194" s="4">
        <v>0</v>
      </c>
      <c r="BE194" s="4">
        <v>4</v>
      </c>
      <c r="BF194" s="4">
        <v>2</v>
      </c>
      <c r="BG194" s="4">
        <v>0</v>
      </c>
      <c r="BH194" s="4">
        <v>0</v>
      </c>
      <c r="BI194" s="4">
        <v>0</v>
      </c>
      <c r="BJ194" s="4">
        <v>2</v>
      </c>
      <c r="BK194" s="4">
        <v>2</v>
      </c>
      <c r="BL194" s="4">
        <v>0</v>
      </c>
      <c r="BM194" s="4">
        <v>0</v>
      </c>
      <c r="BN194" s="4">
        <v>1</v>
      </c>
      <c r="BO194" s="4">
        <v>0</v>
      </c>
      <c r="BP194" s="4">
        <v>0</v>
      </c>
      <c r="BQ194" s="4">
        <v>2</v>
      </c>
      <c r="BR194" s="4">
        <v>0</v>
      </c>
      <c r="BS194" s="4">
        <v>3</v>
      </c>
      <c r="BT194" s="4">
        <v>1</v>
      </c>
      <c r="BU194" s="4">
        <v>0</v>
      </c>
      <c r="BV194" s="4">
        <v>1</v>
      </c>
      <c r="BW194" s="4">
        <v>4</v>
      </c>
      <c r="BX194" s="4">
        <v>4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1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1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1</v>
      </c>
      <c r="CW194" s="4">
        <v>0</v>
      </c>
      <c r="CX194" s="3">
        <v>0</v>
      </c>
    </row>
    <row r="195" spans="1:102" ht="15.75" x14ac:dyDescent="0.25">
      <c r="A195" s="4" t="s">
        <v>485</v>
      </c>
      <c r="B195" s="4" t="s">
        <v>486</v>
      </c>
      <c r="C195" s="4">
        <v>2018</v>
      </c>
      <c r="D195" s="4">
        <v>15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</v>
      </c>
      <c r="K195" s="4">
        <v>0</v>
      </c>
      <c r="L195" s="4">
        <v>0</v>
      </c>
      <c r="M195" s="4">
        <v>0</v>
      </c>
      <c r="N195" s="4">
        <v>2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2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1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1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1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3">
        <v>0</v>
      </c>
    </row>
    <row r="196" spans="1:102" ht="15.75" x14ac:dyDescent="0.25">
      <c r="A196" s="4" t="s">
        <v>487</v>
      </c>
      <c r="B196" s="4" t="s">
        <v>488</v>
      </c>
      <c r="C196" s="4">
        <v>2018</v>
      </c>
      <c r="D196" s="4">
        <v>7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4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1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1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3">
        <v>0</v>
      </c>
    </row>
    <row r="197" spans="1:102" ht="15.75" x14ac:dyDescent="0.25">
      <c r="A197" s="4" t="s">
        <v>489</v>
      </c>
      <c r="B197" s="4" t="s">
        <v>490</v>
      </c>
      <c r="C197" s="4">
        <v>2018</v>
      </c>
      <c r="D197" s="4">
        <v>2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2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3">
        <v>0</v>
      </c>
    </row>
    <row r="198" spans="1:102" ht="15.75" x14ac:dyDescent="0.25">
      <c r="A198" s="4" t="s">
        <v>491</v>
      </c>
      <c r="B198" s="4" t="s">
        <v>492</v>
      </c>
      <c r="C198" s="4">
        <v>2018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3">
        <v>0</v>
      </c>
    </row>
    <row r="199" spans="1:102" ht="15.75" x14ac:dyDescent="0.25">
      <c r="A199" s="4" t="s">
        <v>493</v>
      </c>
      <c r="B199" s="4" t="s">
        <v>494</v>
      </c>
      <c r="C199" s="4">
        <v>2018</v>
      </c>
      <c r="D199" s="4">
        <v>30</v>
      </c>
      <c r="E199" s="4">
        <v>1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1</v>
      </c>
      <c r="AL199" s="4">
        <v>0</v>
      </c>
      <c r="AM199" s="4">
        <v>0</v>
      </c>
      <c r="AN199" s="4">
        <v>2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1</v>
      </c>
      <c r="BR199" s="4">
        <v>0</v>
      </c>
      <c r="BS199" s="4">
        <v>11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1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4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3">
        <v>0</v>
      </c>
    </row>
    <row r="200" spans="1:102" ht="15.75" x14ac:dyDescent="0.25">
      <c r="A200" s="4" t="s">
        <v>495</v>
      </c>
      <c r="B200" s="4" t="s">
        <v>496</v>
      </c>
      <c r="C200" s="4">
        <v>2018</v>
      </c>
      <c r="D200" s="4">
        <v>7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1</v>
      </c>
      <c r="BT200" s="4">
        <v>0</v>
      </c>
      <c r="BU200" s="4">
        <v>0</v>
      </c>
      <c r="BV200" s="4">
        <v>0</v>
      </c>
      <c r="BW200" s="4">
        <v>0</v>
      </c>
      <c r="BX200" s="4">
        <v>1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3">
        <v>0</v>
      </c>
    </row>
    <row r="201" spans="1:102" ht="15.75" x14ac:dyDescent="0.25">
      <c r="A201" s="4" t="s">
        <v>497</v>
      </c>
      <c r="B201" s="4" t="s">
        <v>498</v>
      </c>
      <c r="C201" s="4">
        <v>2018</v>
      </c>
      <c r="D201" s="4">
        <v>14</v>
      </c>
      <c r="E201" s="4">
        <v>0</v>
      </c>
      <c r="F201" s="4">
        <v>0</v>
      </c>
      <c r="G201" s="4">
        <v>2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2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4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1</v>
      </c>
      <c r="CW201" s="4">
        <v>0</v>
      </c>
      <c r="CX201" s="3">
        <v>0</v>
      </c>
    </row>
    <row r="202" spans="1:102" ht="15.75" x14ac:dyDescent="0.25">
      <c r="A202" s="4" t="s">
        <v>499</v>
      </c>
      <c r="B202" s="4" t="s">
        <v>500</v>
      </c>
      <c r="C202" s="4">
        <v>2018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3">
        <v>0</v>
      </c>
    </row>
    <row r="203" spans="1:102" ht="15.75" x14ac:dyDescent="0.25">
      <c r="A203" s="4" t="s">
        <v>501</v>
      </c>
      <c r="B203" s="4" t="s">
        <v>502</v>
      </c>
      <c r="C203" s="4">
        <v>2018</v>
      </c>
      <c r="D203" s="4">
        <v>4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1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1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3">
        <v>0</v>
      </c>
    </row>
    <row r="204" spans="1:102" ht="15.75" x14ac:dyDescent="0.25">
      <c r="A204" s="4" t="s">
        <v>503</v>
      </c>
      <c r="B204" s="4" t="s">
        <v>504</v>
      </c>
      <c r="C204" s="4">
        <v>2018</v>
      </c>
      <c r="D204" s="4">
        <v>23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5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12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1</v>
      </c>
      <c r="BK204" s="4">
        <v>0</v>
      </c>
      <c r="BL204" s="4">
        <v>0</v>
      </c>
      <c r="BM204" s="4">
        <v>0</v>
      </c>
      <c r="BN204" s="4">
        <v>1</v>
      </c>
      <c r="BO204" s="4">
        <v>0</v>
      </c>
      <c r="BP204" s="4">
        <v>0</v>
      </c>
      <c r="BQ204" s="4">
        <v>1</v>
      </c>
      <c r="BR204" s="4">
        <v>0</v>
      </c>
      <c r="BS204" s="4">
        <v>1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3">
        <v>0</v>
      </c>
    </row>
    <row r="205" spans="1:102" ht="15.75" x14ac:dyDescent="0.25">
      <c r="A205" s="4" t="s">
        <v>505</v>
      </c>
      <c r="B205" s="4" t="s">
        <v>506</v>
      </c>
      <c r="C205" s="4">
        <v>2018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3">
        <v>0</v>
      </c>
    </row>
    <row r="206" spans="1:102" ht="15.75" x14ac:dyDescent="0.25">
      <c r="A206" s="4" t="s">
        <v>507</v>
      </c>
      <c r="B206" s="4" t="s">
        <v>508</v>
      </c>
      <c r="C206" s="4">
        <v>2018</v>
      </c>
      <c r="D206" s="4">
        <v>67</v>
      </c>
      <c r="E206" s="4">
        <v>0</v>
      </c>
      <c r="F206" s="4">
        <v>1</v>
      </c>
      <c r="G206" s="4">
        <v>0</v>
      </c>
      <c r="H206" s="4">
        <v>0</v>
      </c>
      <c r="I206" s="4">
        <v>0</v>
      </c>
      <c r="J206" s="4">
        <v>0</v>
      </c>
      <c r="K206" s="4">
        <v>2</v>
      </c>
      <c r="L206" s="4">
        <v>0</v>
      </c>
      <c r="M206" s="4">
        <v>0</v>
      </c>
      <c r="N206" s="4">
        <v>0</v>
      </c>
      <c r="O206" s="4">
        <v>3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38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1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3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3">
        <v>0</v>
      </c>
    </row>
    <row r="207" spans="1:102" ht="15.75" x14ac:dyDescent="0.25">
      <c r="A207" s="4" t="s">
        <v>509</v>
      </c>
      <c r="B207" s="4" t="s">
        <v>510</v>
      </c>
      <c r="C207" s="4">
        <v>2018</v>
      </c>
      <c r="D207" s="4">
        <v>1604</v>
      </c>
      <c r="E207" s="4">
        <v>4</v>
      </c>
      <c r="F207" s="4">
        <v>0</v>
      </c>
      <c r="G207" s="4">
        <v>5</v>
      </c>
      <c r="H207" s="4">
        <v>3</v>
      </c>
      <c r="I207" s="4">
        <v>8</v>
      </c>
      <c r="J207" s="4">
        <v>5</v>
      </c>
      <c r="K207" s="4">
        <v>1</v>
      </c>
      <c r="L207" s="4">
        <v>2</v>
      </c>
      <c r="M207" s="4">
        <v>9</v>
      </c>
      <c r="N207" s="4">
        <v>18</v>
      </c>
      <c r="O207" s="4">
        <v>34</v>
      </c>
      <c r="P207" s="4">
        <v>4</v>
      </c>
      <c r="Q207" s="4">
        <v>0</v>
      </c>
      <c r="R207" s="4">
        <v>1</v>
      </c>
      <c r="S207" s="4">
        <v>0</v>
      </c>
      <c r="T207" s="4">
        <v>6</v>
      </c>
      <c r="U207" s="4">
        <v>3</v>
      </c>
      <c r="V207" s="4">
        <v>10</v>
      </c>
      <c r="W207" s="4">
        <v>37</v>
      </c>
      <c r="X207" s="4">
        <v>4</v>
      </c>
      <c r="Y207" s="4">
        <v>1</v>
      </c>
      <c r="Z207" s="4">
        <v>213</v>
      </c>
      <c r="AA207" s="4">
        <v>2</v>
      </c>
      <c r="AB207" s="4">
        <v>0</v>
      </c>
      <c r="AC207" s="4">
        <v>0</v>
      </c>
      <c r="AD207" s="4">
        <v>0</v>
      </c>
      <c r="AE207" s="4">
        <v>1</v>
      </c>
      <c r="AF207" s="4">
        <v>0</v>
      </c>
      <c r="AG207" s="4">
        <v>19</v>
      </c>
      <c r="AH207" s="4">
        <v>5</v>
      </c>
      <c r="AI207" s="4">
        <v>13</v>
      </c>
      <c r="AJ207" s="4">
        <v>52</v>
      </c>
      <c r="AK207" s="4">
        <v>50</v>
      </c>
      <c r="AL207" s="4">
        <v>2</v>
      </c>
      <c r="AM207" s="4">
        <v>23</v>
      </c>
      <c r="AN207" s="4">
        <v>8</v>
      </c>
      <c r="AO207" s="4">
        <v>27</v>
      </c>
      <c r="AP207" s="4">
        <v>3</v>
      </c>
      <c r="AQ207" s="4">
        <v>6</v>
      </c>
      <c r="AR207" s="4">
        <v>0</v>
      </c>
      <c r="AS207" s="4">
        <v>9</v>
      </c>
      <c r="AT207" s="4">
        <v>13</v>
      </c>
      <c r="AU207" s="4">
        <v>60</v>
      </c>
      <c r="AV207" s="4">
        <v>9</v>
      </c>
      <c r="AW207" s="4">
        <v>9</v>
      </c>
      <c r="AX207" s="4">
        <v>33</v>
      </c>
      <c r="AY207" s="4">
        <v>1</v>
      </c>
      <c r="AZ207" s="4">
        <v>6</v>
      </c>
      <c r="BA207" s="4">
        <v>0</v>
      </c>
      <c r="BB207" s="4">
        <v>137</v>
      </c>
      <c r="BC207" s="4">
        <v>3</v>
      </c>
      <c r="BD207" s="4">
        <v>0</v>
      </c>
      <c r="BE207" s="4">
        <v>12</v>
      </c>
      <c r="BF207" s="4">
        <v>38</v>
      </c>
      <c r="BG207" s="4">
        <v>5</v>
      </c>
      <c r="BH207" s="4">
        <v>5</v>
      </c>
      <c r="BI207" s="4">
        <v>0</v>
      </c>
      <c r="BJ207" s="4">
        <v>47</v>
      </c>
      <c r="BK207" s="4">
        <v>35</v>
      </c>
      <c r="BL207" s="4">
        <v>0</v>
      </c>
      <c r="BM207" s="4">
        <v>3</v>
      </c>
      <c r="BN207" s="4">
        <v>8</v>
      </c>
      <c r="BO207" s="4">
        <v>1</v>
      </c>
      <c r="BP207" s="4">
        <v>3</v>
      </c>
      <c r="BQ207" s="4">
        <v>12</v>
      </c>
      <c r="BR207" s="4">
        <v>1</v>
      </c>
      <c r="BS207" s="4">
        <v>47</v>
      </c>
      <c r="BT207" s="4">
        <v>219</v>
      </c>
      <c r="BU207" s="4">
        <v>1</v>
      </c>
      <c r="BV207" s="4">
        <v>19</v>
      </c>
      <c r="BW207" s="4">
        <v>2</v>
      </c>
      <c r="BX207" s="4">
        <v>64</v>
      </c>
      <c r="BY207" s="4">
        <v>1</v>
      </c>
      <c r="BZ207" s="4">
        <v>0</v>
      </c>
      <c r="CA207" s="4">
        <v>8</v>
      </c>
      <c r="CB207" s="4">
        <v>11</v>
      </c>
      <c r="CC207" s="4">
        <v>0</v>
      </c>
      <c r="CD207" s="4">
        <v>1</v>
      </c>
      <c r="CE207" s="4">
        <v>0</v>
      </c>
      <c r="CF207" s="4">
        <v>1</v>
      </c>
      <c r="CG207" s="4">
        <v>1</v>
      </c>
      <c r="CH207" s="4">
        <v>1</v>
      </c>
      <c r="CI207" s="4">
        <v>1</v>
      </c>
      <c r="CJ207" s="4">
        <v>7</v>
      </c>
      <c r="CK207" s="4">
        <v>2</v>
      </c>
      <c r="CL207" s="4">
        <v>0</v>
      </c>
      <c r="CM207" s="4">
        <v>8</v>
      </c>
      <c r="CN207" s="4">
        <v>40</v>
      </c>
      <c r="CO207" s="4">
        <v>13</v>
      </c>
      <c r="CP207" s="4">
        <v>31</v>
      </c>
      <c r="CQ207" s="4">
        <v>0</v>
      </c>
      <c r="CR207" s="4">
        <v>5</v>
      </c>
      <c r="CS207" s="4">
        <v>19</v>
      </c>
      <c r="CT207" s="4">
        <v>40</v>
      </c>
      <c r="CU207" s="4">
        <v>7</v>
      </c>
      <c r="CV207" s="4">
        <v>17</v>
      </c>
      <c r="CW207" s="4">
        <v>10</v>
      </c>
      <c r="CX207" s="3">
        <v>10</v>
      </c>
    </row>
    <row r="208" spans="1:102" ht="15.75" x14ac:dyDescent="0.25">
      <c r="A208" s="4" t="s">
        <v>511</v>
      </c>
      <c r="B208" s="4" t="s">
        <v>512</v>
      </c>
      <c r="C208" s="4">
        <v>2018</v>
      </c>
      <c r="D208" s="4">
        <v>5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4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1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3">
        <v>0</v>
      </c>
    </row>
    <row r="209" spans="1:102" ht="15.75" x14ac:dyDescent="0.25">
      <c r="A209" s="4" t="s">
        <v>513</v>
      </c>
      <c r="B209" s="4" t="s">
        <v>514</v>
      </c>
      <c r="C209" s="4">
        <v>2018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3">
        <v>0</v>
      </c>
    </row>
    <row r="210" spans="1:102" ht="15.75" x14ac:dyDescent="0.25">
      <c r="A210" s="4" t="s">
        <v>515</v>
      </c>
      <c r="B210" s="4" t="s">
        <v>516</v>
      </c>
      <c r="C210" s="4">
        <v>2018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3">
        <v>0</v>
      </c>
    </row>
    <row r="211" spans="1:102" ht="15.75" x14ac:dyDescent="0.25">
      <c r="A211" s="4" t="s">
        <v>517</v>
      </c>
      <c r="B211" s="4" t="s">
        <v>518</v>
      </c>
      <c r="C211" s="4">
        <v>2018</v>
      </c>
      <c r="D211" s="4">
        <v>30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4</v>
      </c>
      <c r="AI211" s="4">
        <v>0</v>
      </c>
      <c r="AJ211" s="4">
        <v>0</v>
      </c>
      <c r="AK211" s="4">
        <v>0</v>
      </c>
      <c r="AL211" s="4">
        <v>0</v>
      </c>
      <c r="AM211" s="4">
        <v>1</v>
      </c>
      <c r="AN211" s="4">
        <v>0</v>
      </c>
      <c r="AO211" s="4">
        <v>2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1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2</v>
      </c>
      <c r="BF211" s="4">
        <v>1</v>
      </c>
      <c r="BG211" s="4">
        <v>0</v>
      </c>
      <c r="BH211" s="4">
        <v>0</v>
      </c>
      <c r="BI211" s="4">
        <v>0</v>
      </c>
      <c r="BJ211" s="4">
        <v>1</v>
      </c>
      <c r="BK211" s="4">
        <v>1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1</v>
      </c>
      <c r="BR211" s="4">
        <v>0</v>
      </c>
      <c r="BS211" s="4">
        <v>2</v>
      </c>
      <c r="BT211" s="4">
        <v>2</v>
      </c>
      <c r="BU211" s="4">
        <v>0</v>
      </c>
      <c r="BV211" s="4">
        <v>0</v>
      </c>
      <c r="BW211" s="4">
        <v>2</v>
      </c>
      <c r="BX211" s="4">
        <v>0</v>
      </c>
      <c r="BY211" s="4">
        <v>0</v>
      </c>
      <c r="BZ211" s="4">
        <v>0</v>
      </c>
      <c r="CA211" s="4">
        <v>3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1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3</v>
      </c>
      <c r="CV211" s="4">
        <v>0</v>
      </c>
      <c r="CW211" s="4">
        <v>0</v>
      </c>
      <c r="CX211" s="3">
        <v>0</v>
      </c>
    </row>
    <row r="212" spans="1:102" ht="15.75" x14ac:dyDescent="0.25">
      <c r="A212" s="4" t="s">
        <v>519</v>
      </c>
      <c r="B212" s="4" t="s">
        <v>520</v>
      </c>
      <c r="C212" s="4">
        <v>2018</v>
      </c>
      <c r="D212" s="4">
        <v>185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</v>
      </c>
      <c r="L212" s="4">
        <v>0</v>
      </c>
      <c r="M212" s="4">
        <v>0</v>
      </c>
      <c r="N212" s="4">
        <v>0</v>
      </c>
      <c r="O212" s="4">
        <v>10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3</v>
      </c>
      <c r="V212" s="4">
        <v>2</v>
      </c>
      <c r="W212" s="4">
        <v>0</v>
      </c>
      <c r="X212" s="4">
        <v>0</v>
      </c>
      <c r="Y212" s="4">
        <v>0</v>
      </c>
      <c r="Z212" s="4">
        <v>0</v>
      </c>
      <c r="AA212" s="4">
        <v>28</v>
      </c>
      <c r="AB212" s="4">
        <v>5</v>
      </c>
      <c r="AC212" s="4">
        <v>0</v>
      </c>
      <c r="AD212" s="4">
        <v>0</v>
      </c>
      <c r="AE212" s="4">
        <v>0</v>
      </c>
      <c r="AF212" s="4">
        <v>0</v>
      </c>
      <c r="AG212" s="4">
        <v>1</v>
      </c>
      <c r="AH212" s="4">
        <v>1</v>
      </c>
      <c r="AI212" s="4">
        <v>3</v>
      </c>
      <c r="AJ212" s="4">
        <v>11</v>
      </c>
      <c r="AK212" s="4">
        <v>2</v>
      </c>
      <c r="AL212" s="4">
        <v>0</v>
      </c>
      <c r="AM212" s="4">
        <v>1</v>
      </c>
      <c r="AN212" s="4">
        <v>3</v>
      </c>
      <c r="AO212" s="4">
        <v>4</v>
      </c>
      <c r="AP212" s="4">
        <v>0</v>
      </c>
      <c r="AQ212" s="4">
        <v>1</v>
      </c>
      <c r="AR212" s="4">
        <v>0</v>
      </c>
      <c r="AS212" s="4">
        <v>1</v>
      </c>
      <c r="AT212" s="4">
        <v>23</v>
      </c>
      <c r="AU212" s="4">
        <v>0</v>
      </c>
      <c r="AV212" s="4">
        <v>1</v>
      </c>
      <c r="AW212" s="4">
        <v>3</v>
      </c>
      <c r="AX212" s="4">
        <v>4</v>
      </c>
      <c r="AY212" s="4">
        <v>0</v>
      </c>
      <c r="AZ212" s="4">
        <v>3</v>
      </c>
      <c r="BA212" s="4">
        <v>0</v>
      </c>
      <c r="BB212" s="4">
        <v>7</v>
      </c>
      <c r="BC212" s="4">
        <v>0</v>
      </c>
      <c r="BD212" s="4">
        <v>0</v>
      </c>
      <c r="BE212" s="4">
        <v>3</v>
      </c>
      <c r="BF212" s="4">
        <v>8</v>
      </c>
      <c r="BG212" s="4">
        <v>0</v>
      </c>
      <c r="BH212" s="4">
        <v>0</v>
      </c>
      <c r="BI212" s="4">
        <v>0</v>
      </c>
      <c r="BJ212" s="4">
        <v>3</v>
      </c>
      <c r="BK212" s="4">
        <v>4</v>
      </c>
      <c r="BL212" s="4">
        <v>0</v>
      </c>
      <c r="BM212" s="4">
        <v>0</v>
      </c>
      <c r="BN212" s="4">
        <v>1</v>
      </c>
      <c r="BO212" s="4">
        <v>0</v>
      </c>
      <c r="BP212" s="4">
        <v>0</v>
      </c>
      <c r="BQ212" s="4">
        <v>2</v>
      </c>
      <c r="BR212" s="4">
        <v>0</v>
      </c>
      <c r="BS212" s="4">
        <v>10</v>
      </c>
      <c r="BT212" s="4">
        <v>1</v>
      </c>
      <c r="BU212" s="4">
        <v>0</v>
      </c>
      <c r="BV212" s="4">
        <v>1</v>
      </c>
      <c r="BW212" s="4">
        <v>0</v>
      </c>
      <c r="BX212" s="4">
        <v>10</v>
      </c>
      <c r="BY212" s="4">
        <v>0</v>
      </c>
      <c r="BZ212" s="4">
        <v>0</v>
      </c>
      <c r="CA212" s="4">
        <v>0</v>
      </c>
      <c r="CB212" s="4">
        <v>2</v>
      </c>
      <c r="CC212" s="4">
        <v>0</v>
      </c>
      <c r="CD212" s="4">
        <v>2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1</v>
      </c>
      <c r="CK212" s="4">
        <v>0</v>
      </c>
      <c r="CL212" s="4">
        <v>0</v>
      </c>
      <c r="CM212" s="4">
        <v>1</v>
      </c>
      <c r="CN212" s="4">
        <v>4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</v>
      </c>
      <c r="CU212" s="4">
        <v>0</v>
      </c>
      <c r="CV212" s="4">
        <v>3</v>
      </c>
      <c r="CW212" s="4">
        <v>2</v>
      </c>
      <c r="CX212" s="3">
        <v>2</v>
      </c>
    </row>
    <row r="213" spans="1:102" ht="15.75" x14ac:dyDescent="0.25">
      <c r="A213" s="4" t="s">
        <v>521</v>
      </c>
      <c r="B213" s="4" t="s">
        <v>522</v>
      </c>
      <c r="C213" s="4">
        <v>2018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3">
        <v>0</v>
      </c>
    </row>
    <row r="214" spans="1:102" ht="15.75" x14ac:dyDescent="0.25">
      <c r="A214" s="4" t="s">
        <v>523</v>
      </c>
      <c r="B214" s="4" t="s">
        <v>524</v>
      </c>
      <c r="C214" s="4">
        <v>2018</v>
      </c>
      <c r="D214" s="4">
        <v>5165</v>
      </c>
      <c r="E214" s="4">
        <v>1</v>
      </c>
      <c r="F214" s="4">
        <v>0</v>
      </c>
      <c r="G214" s="4">
        <v>19</v>
      </c>
      <c r="H214" s="4">
        <v>2</v>
      </c>
      <c r="I214" s="4">
        <v>3</v>
      </c>
      <c r="J214" s="4">
        <v>3</v>
      </c>
      <c r="K214" s="4">
        <v>5</v>
      </c>
      <c r="L214" s="4">
        <v>9</v>
      </c>
      <c r="M214" s="4">
        <v>5</v>
      </c>
      <c r="N214" s="4">
        <v>25</v>
      </c>
      <c r="O214" s="4">
        <v>297</v>
      </c>
      <c r="P214" s="4">
        <v>5</v>
      </c>
      <c r="Q214" s="4">
        <v>0</v>
      </c>
      <c r="R214" s="4">
        <v>7</v>
      </c>
      <c r="S214" s="4">
        <v>0</v>
      </c>
      <c r="T214" s="4">
        <v>7</v>
      </c>
      <c r="U214" s="4">
        <v>11</v>
      </c>
      <c r="V214" s="4">
        <v>16</v>
      </c>
      <c r="W214" s="4">
        <v>652</v>
      </c>
      <c r="X214" s="4">
        <v>1</v>
      </c>
      <c r="Y214" s="4">
        <v>0</v>
      </c>
      <c r="Z214" s="4">
        <v>0</v>
      </c>
      <c r="AA214" s="4">
        <v>10</v>
      </c>
      <c r="AB214" s="4">
        <v>16</v>
      </c>
      <c r="AC214" s="4">
        <v>0</v>
      </c>
      <c r="AD214" s="4">
        <v>1</v>
      </c>
      <c r="AE214" s="4">
        <v>0</v>
      </c>
      <c r="AF214" s="4">
        <v>0</v>
      </c>
      <c r="AG214" s="4">
        <v>132</v>
      </c>
      <c r="AH214" s="4">
        <v>4</v>
      </c>
      <c r="AI214" s="4">
        <v>63</v>
      </c>
      <c r="AJ214" s="4">
        <v>195</v>
      </c>
      <c r="AK214" s="4">
        <v>62</v>
      </c>
      <c r="AL214" s="4">
        <v>3</v>
      </c>
      <c r="AM214" s="4">
        <v>93</v>
      </c>
      <c r="AN214" s="4">
        <v>36</v>
      </c>
      <c r="AO214" s="4">
        <v>58</v>
      </c>
      <c r="AP214" s="4">
        <v>5</v>
      </c>
      <c r="AQ214" s="4">
        <v>28</v>
      </c>
      <c r="AR214" s="4">
        <v>0</v>
      </c>
      <c r="AS214" s="4">
        <v>48</v>
      </c>
      <c r="AT214" s="4">
        <v>36</v>
      </c>
      <c r="AU214" s="4">
        <v>33</v>
      </c>
      <c r="AV214" s="4">
        <v>167</v>
      </c>
      <c r="AW214" s="4">
        <v>34</v>
      </c>
      <c r="AX214" s="4">
        <v>66</v>
      </c>
      <c r="AY214" s="4">
        <v>1</v>
      </c>
      <c r="AZ214" s="4">
        <v>47</v>
      </c>
      <c r="BA214" s="4">
        <v>0</v>
      </c>
      <c r="BB214" s="4">
        <v>1256</v>
      </c>
      <c r="BC214" s="4">
        <v>50</v>
      </c>
      <c r="BD214" s="4">
        <v>0</v>
      </c>
      <c r="BE214" s="4">
        <v>26</v>
      </c>
      <c r="BF214" s="4">
        <v>77</v>
      </c>
      <c r="BG214" s="4">
        <v>7</v>
      </c>
      <c r="BH214" s="4">
        <v>7</v>
      </c>
      <c r="BI214" s="4">
        <v>0</v>
      </c>
      <c r="BJ214" s="4">
        <v>75</v>
      </c>
      <c r="BK214" s="4">
        <v>80</v>
      </c>
      <c r="BL214" s="4">
        <v>0</v>
      </c>
      <c r="BM214" s="4">
        <v>3</v>
      </c>
      <c r="BN214" s="4">
        <v>26</v>
      </c>
      <c r="BO214" s="4">
        <v>0</v>
      </c>
      <c r="BP214" s="4">
        <v>7</v>
      </c>
      <c r="BQ214" s="4">
        <v>83</v>
      </c>
      <c r="BR214" s="4">
        <v>3</v>
      </c>
      <c r="BS214" s="4">
        <v>95</v>
      </c>
      <c r="BT214" s="4">
        <v>44</v>
      </c>
      <c r="BU214" s="4">
        <v>1</v>
      </c>
      <c r="BV214" s="4">
        <v>136</v>
      </c>
      <c r="BW214" s="4">
        <v>9</v>
      </c>
      <c r="BX214" s="4">
        <v>391</v>
      </c>
      <c r="BY214" s="4">
        <v>0</v>
      </c>
      <c r="BZ214" s="4">
        <v>1</v>
      </c>
      <c r="CA214" s="4">
        <v>80</v>
      </c>
      <c r="CB214" s="4">
        <v>35</v>
      </c>
      <c r="CC214" s="4">
        <v>0</v>
      </c>
      <c r="CD214" s="4">
        <v>3</v>
      </c>
      <c r="CE214" s="4">
        <v>5</v>
      </c>
      <c r="CF214" s="4">
        <v>3</v>
      </c>
      <c r="CG214" s="4">
        <v>8</v>
      </c>
      <c r="CH214" s="4">
        <v>1</v>
      </c>
      <c r="CI214" s="4">
        <v>2</v>
      </c>
      <c r="CJ214" s="4">
        <v>40</v>
      </c>
      <c r="CK214" s="4">
        <v>4</v>
      </c>
      <c r="CL214" s="4">
        <v>0</v>
      </c>
      <c r="CM214" s="4">
        <v>32</v>
      </c>
      <c r="CN214" s="4">
        <v>83</v>
      </c>
      <c r="CO214" s="4">
        <v>10</v>
      </c>
      <c r="CP214" s="4">
        <v>4</v>
      </c>
      <c r="CQ214" s="4">
        <v>0</v>
      </c>
      <c r="CR214" s="4">
        <v>10</v>
      </c>
      <c r="CS214" s="4">
        <v>2</v>
      </c>
      <c r="CT214" s="4">
        <v>43</v>
      </c>
      <c r="CU214" s="4">
        <v>10</v>
      </c>
      <c r="CV214" s="4">
        <v>55</v>
      </c>
      <c r="CW214" s="4">
        <v>151</v>
      </c>
      <c r="CX214" s="3">
        <v>151</v>
      </c>
    </row>
    <row r="215" spans="1:102" ht="15.75" x14ac:dyDescent="0.25">
      <c r="A215" s="4" t="s">
        <v>525</v>
      </c>
      <c r="B215" s="4" t="s">
        <v>526</v>
      </c>
      <c r="C215" s="4">
        <v>2018</v>
      </c>
      <c r="D215" s="4">
        <v>170</v>
      </c>
      <c r="E215" s="4">
        <v>0</v>
      </c>
      <c r="F215" s="4">
        <v>1</v>
      </c>
      <c r="G215" s="4">
        <v>2</v>
      </c>
      <c r="H215" s="4">
        <v>0</v>
      </c>
      <c r="I215" s="4">
        <v>4</v>
      </c>
      <c r="J215" s="4">
        <v>0</v>
      </c>
      <c r="K215" s="4">
        <v>0</v>
      </c>
      <c r="L215" s="4">
        <v>2</v>
      </c>
      <c r="M215" s="4">
        <v>0</v>
      </c>
      <c r="N215" s="4">
        <v>1</v>
      </c>
      <c r="O215" s="4">
        <v>6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61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2</v>
      </c>
      <c r="AJ215" s="4">
        <v>4</v>
      </c>
      <c r="AK215" s="4">
        <v>3</v>
      </c>
      <c r="AL215" s="4">
        <v>0</v>
      </c>
      <c r="AM215" s="4">
        <v>1</v>
      </c>
      <c r="AN215" s="4">
        <v>1</v>
      </c>
      <c r="AO215" s="4">
        <v>5</v>
      </c>
      <c r="AP215" s="4">
        <v>0</v>
      </c>
      <c r="AQ215" s="4">
        <v>1</v>
      </c>
      <c r="AR215" s="4">
        <v>0</v>
      </c>
      <c r="AS215" s="4">
        <v>1</v>
      </c>
      <c r="AT215" s="4">
        <v>1</v>
      </c>
      <c r="AU215" s="4">
        <v>0</v>
      </c>
      <c r="AV215" s="4">
        <v>1</v>
      </c>
      <c r="AW215" s="4">
        <v>0</v>
      </c>
      <c r="AX215" s="4">
        <v>6</v>
      </c>
      <c r="AY215" s="4">
        <v>0</v>
      </c>
      <c r="AZ215" s="4">
        <v>0</v>
      </c>
      <c r="BA215" s="4">
        <v>0</v>
      </c>
      <c r="BB215" s="4">
        <v>1</v>
      </c>
      <c r="BC215" s="4">
        <v>0</v>
      </c>
      <c r="BD215" s="4">
        <v>0</v>
      </c>
      <c r="BE215" s="4">
        <v>3</v>
      </c>
      <c r="BF215" s="4">
        <v>11</v>
      </c>
      <c r="BG215" s="4">
        <v>0</v>
      </c>
      <c r="BH215" s="4">
        <v>0</v>
      </c>
      <c r="BI215" s="4">
        <v>0</v>
      </c>
      <c r="BJ215" s="4">
        <v>9</v>
      </c>
      <c r="BK215" s="4">
        <v>2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2</v>
      </c>
      <c r="BT215" s="4">
        <v>1</v>
      </c>
      <c r="BU215" s="4">
        <v>0</v>
      </c>
      <c r="BV215" s="4">
        <v>2</v>
      </c>
      <c r="BW215" s="4">
        <v>3</v>
      </c>
      <c r="BX215" s="4">
        <v>9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1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1</v>
      </c>
      <c r="CK215" s="4">
        <v>0</v>
      </c>
      <c r="CL215" s="4">
        <v>0</v>
      </c>
      <c r="CM215" s="4">
        <v>0</v>
      </c>
      <c r="CN215" s="4">
        <v>3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5</v>
      </c>
      <c r="CU215" s="4">
        <v>0</v>
      </c>
      <c r="CV215" s="4">
        <v>6</v>
      </c>
      <c r="CW215" s="4">
        <v>1</v>
      </c>
      <c r="CX215" s="3">
        <v>1</v>
      </c>
    </row>
    <row r="216" spans="1:102" ht="15.75" x14ac:dyDescent="0.25">
      <c r="A216" s="4" t="s">
        <v>527</v>
      </c>
      <c r="B216" s="4" t="s">
        <v>528</v>
      </c>
      <c r="C216" s="4">
        <v>2018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3">
        <v>0</v>
      </c>
    </row>
    <row r="217" spans="1:102" ht="15.75" x14ac:dyDescent="0.25">
      <c r="A217" s="4" t="s">
        <v>529</v>
      </c>
      <c r="B217" s="4" t="s">
        <v>530</v>
      </c>
      <c r="C217" s="4">
        <v>2018</v>
      </c>
      <c r="D217" s="4">
        <v>1379</v>
      </c>
      <c r="E217" s="4">
        <v>0</v>
      </c>
      <c r="F217" s="4">
        <v>1</v>
      </c>
      <c r="G217" s="4">
        <v>3</v>
      </c>
      <c r="H217" s="4">
        <v>28</v>
      </c>
      <c r="I217" s="4">
        <v>3</v>
      </c>
      <c r="J217" s="4">
        <v>0</v>
      </c>
      <c r="K217" s="4">
        <v>1</v>
      </c>
      <c r="L217" s="4">
        <v>3</v>
      </c>
      <c r="M217" s="4">
        <v>4</v>
      </c>
      <c r="N217" s="4">
        <v>4</v>
      </c>
      <c r="O217" s="4">
        <v>192</v>
      </c>
      <c r="P217" s="4">
        <v>0</v>
      </c>
      <c r="Q217" s="4">
        <v>0</v>
      </c>
      <c r="R217" s="4">
        <v>2</v>
      </c>
      <c r="S217" s="4">
        <v>2</v>
      </c>
      <c r="T217" s="4">
        <v>19</v>
      </c>
      <c r="U217" s="4">
        <v>2</v>
      </c>
      <c r="V217" s="4">
        <v>2</v>
      </c>
      <c r="W217" s="4">
        <v>20</v>
      </c>
      <c r="X217" s="4">
        <v>3</v>
      </c>
      <c r="Y217" s="4">
        <v>0</v>
      </c>
      <c r="Z217" s="4">
        <v>0</v>
      </c>
      <c r="AA217" s="4">
        <v>4</v>
      </c>
      <c r="AB217" s="4">
        <v>0</v>
      </c>
      <c r="AC217" s="4">
        <v>0</v>
      </c>
      <c r="AD217" s="4">
        <v>0</v>
      </c>
      <c r="AE217" s="4">
        <v>2</v>
      </c>
      <c r="AF217" s="4">
        <v>0</v>
      </c>
      <c r="AG217" s="4">
        <v>12</v>
      </c>
      <c r="AH217" s="4">
        <v>3</v>
      </c>
      <c r="AI217" s="4">
        <v>14</v>
      </c>
      <c r="AJ217" s="4">
        <v>156</v>
      </c>
      <c r="AK217" s="4">
        <v>15</v>
      </c>
      <c r="AL217" s="4">
        <v>0</v>
      </c>
      <c r="AM217" s="4">
        <v>18</v>
      </c>
      <c r="AN217" s="4">
        <v>10</v>
      </c>
      <c r="AO217" s="4">
        <v>57</v>
      </c>
      <c r="AP217" s="4">
        <v>0</v>
      </c>
      <c r="AQ217" s="4">
        <v>3</v>
      </c>
      <c r="AR217" s="4">
        <v>0</v>
      </c>
      <c r="AS217" s="4">
        <v>7</v>
      </c>
      <c r="AT217" s="4">
        <v>5</v>
      </c>
      <c r="AU217" s="4">
        <v>10</v>
      </c>
      <c r="AV217" s="4">
        <v>25</v>
      </c>
      <c r="AW217" s="4">
        <v>61</v>
      </c>
      <c r="AX217" s="4">
        <v>13</v>
      </c>
      <c r="AY217" s="4">
        <v>1</v>
      </c>
      <c r="AZ217" s="4">
        <v>6</v>
      </c>
      <c r="BA217" s="4">
        <v>0</v>
      </c>
      <c r="BB217" s="4">
        <v>51</v>
      </c>
      <c r="BC217" s="4">
        <v>7</v>
      </c>
      <c r="BD217" s="4">
        <v>0</v>
      </c>
      <c r="BE217" s="4">
        <v>8</v>
      </c>
      <c r="BF217" s="4">
        <v>64</v>
      </c>
      <c r="BG217" s="4">
        <v>5</v>
      </c>
      <c r="BH217" s="4">
        <v>5</v>
      </c>
      <c r="BI217" s="4">
        <v>0</v>
      </c>
      <c r="BJ217" s="4">
        <v>18</v>
      </c>
      <c r="BK217" s="4">
        <v>24</v>
      </c>
      <c r="BL217" s="4">
        <v>0</v>
      </c>
      <c r="BM217" s="4">
        <v>5</v>
      </c>
      <c r="BN217" s="4">
        <v>19</v>
      </c>
      <c r="BO217" s="4">
        <v>0</v>
      </c>
      <c r="BP217" s="4">
        <v>2</v>
      </c>
      <c r="BQ217" s="4">
        <v>19</v>
      </c>
      <c r="BR217" s="4">
        <v>2</v>
      </c>
      <c r="BS217" s="4">
        <v>35</v>
      </c>
      <c r="BT217" s="4">
        <v>26</v>
      </c>
      <c r="BU217" s="4">
        <v>1</v>
      </c>
      <c r="BV217" s="4">
        <v>7</v>
      </c>
      <c r="BW217" s="4">
        <v>9</v>
      </c>
      <c r="BX217" s="4">
        <v>163</v>
      </c>
      <c r="BY217" s="4">
        <v>1</v>
      </c>
      <c r="BZ217" s="4">
        <v>0</v>
      </c>
      <c r="CA217" s="4">
        <v>12</v>
      </c>
      <c r="CB217" s="4">
        <v>0</v>
      </c>
      <c r="CC217" s="4">
        <v>0</v>
      </c>
      <c r="CD217" s="4">
        <v>1</v>
      </c>
      <c r="CE217" s="4">
        <v>0</v>
      </c>
      <c r="CF217" s="4">
        <v>1</v>
      </c>
      <c r="CG217" s="4">
        <v>2</v>
      </c>
      <c r="CH217" s="4">
        <v>1</v>
      </c>
      <c r="CI217" s="4">
        <v>4</v>
      </c>
      <c r="CJ217" s="4">
        <v>13</v>
      </c>
      <c r="CK217" s="4">
        <v>2</v>
      </c>
      <c r="CL217" s="4">
        <v>0</v>
      </c>
      <c r="CM217" s="4">
        <v>7</v>
      </c>
      <c r="CN217" s="4">
        <v>59</v>
      </c>
      <c r="CO217" s="4">
        <v>8</v>
      </c>
      <c r="CP217" s="4">
        <v>5</v>
      </c>
      <c r="CQ217" s="4">
        <v>0</v>
      </c>
      <c r="CR217" s="4">
        <v>31</v>
      </c>
      <c r="CS217" s="4">
        <v>13</v>
      </c>
      <c r="CT217" s="4">
        <v>3</v>
      </c>
      <c r="CU217" s="4">
        <v>9</v>
      </c>
      <c r="CV217" s="4">
        <v>22</v>
      </c>
      <c r="CW217" s="4">
        <v>6</v>
      </c>
      <c r="CX217" s="3">
        <v>6</v>
      </c>
    </row>
    <row r="218" spans="1:102" ht="15.75" x14ac:dyDescent="0.25">
      <c r="A218" s="4" t="s">
        <v>531</v>
      </c>
      <c r="B218" s="4" t="s">
        <v>532</v>
      </c>
      <c r="C218" s="4">
        <v>2018</v>
      </c>
      <c r="D218" s="4">
        <v>115</v>
      </c>
      <c r="E218" s="4">
        <v>0</v>
      </c>
      <c r="F218" s="4">
        <v>0</v>
      </c>
      <c r="G218" s="4">
        <v>0</v>
      </c>
      <c r="H218" s="4">
        <v>0</v>
      </c>
      <c r="I218" s="4">
        <v>1</v>
      </c>
      <c r="J218" s="4">
        <v>0</v>
      </c>
      <c r="K218" s="4">
        <v>0</v>
      </c>
      <c r="L218" s="4">
        <v>0</v>
      </c>
      <c r="M218" s="4">
        <v>0</v>
      </c>
      <c r="N218" s="4">
        <v>1</v>
      </c>
      <c r="O218" s="4">
        <v>2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1</v>
      </c>
      <c r="AJ218" s="4">
        <v>1</v>
      </c>
      <c r="AK218" s="4">
        <v>1</v>
      </c>
      <c r="AL218" s="4">
        <v>0</v>
      </c>
      <c r="AM218" s="4">
        <v>0</v>
      </c>
      <c r="AN218" s="4">
        <v>1</v>
      </c>
      <c r="AO218" s="4">
        <v>1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1</v>
      </c>
      <c r="AY218" s="4">
        <v>0</v>
      </c>
      <c r="AZ218" s="4">
        <v>2</v>
      </c>
      <c r="BA218" s="4">
        <v>0</v>
      </c>
      <c r="BB218" s="4">
        <v>2</v>
      </c>
      <c r="BC218" s="4">
        <v>0</v>
      </c>
      <c r="BD218" s="4">
        <v>0</v>
      </c>
      <c r="BE218" s="4">
        <v>1</v>
      </c>
      <c r="BF218" s="4">
        <v>3</v>
      </c>
      <c r="BG218" s="4">
        <v>0</v>
      </c>
      <c r="BH218" s="4">
        <v>0</v>
      </c>
      <c r="BI218" s="4">
        <v>0</v>
      </c>
      <c r="BJ218" s="4">
        <v>3</v>
      </c>
      <c r="BK218" s="4">
        <v>4</v>
      </c>
      <c r="BL218" s="4">
        <v>0</v>
      </c>
      <c r="BM218" s="4">
        <v>0</v>
      </c>
      <c r="BN218" s="4">
        <v>2</v>
      </c>
      <c r="BO218" s="4">
        <v>0</v>
      </c>
      <c r="BP218" s="4">
        <v>0</v>
      </c>
      <c r="BQ218" s="4">
        <v>3</v>
      </c>
      <c r="BR218" s="4">
        <v>3</v>
      </c>
      <c r="BS218" s="4">
        <v>4</v>
      </c>
      <c r="BT218" s="4">
        <v>1</v>
      </c>
      <c r="BU218" s="4">
        <v>0</v>
      </c>
      <c r="BV218" s="4">
        <v>4</v>
      </c>
      <c r="BW218" s="4">
        <v>50</v>
      </c>
      <c r="BX218" s="4">
        <v>4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2</v>
      </c>
      <c r="CG218" s="4">
        <v>0</v>
      </c>
      <c r="CH218" s="4">
        <v>1</v>
      </c>
      <c r="CI218" s="4">
        <v>0</v>
      </c>
      <c r="CJ218" s="4">
        <v>0</v>
      </c>
      <c r="CK218" s="4">
        <v>0</v>
      </c>
      <c r="CL218" s="4">
        <v>0</v>
      </c>
      <c r="CM218" s="4">
        <v>1</v>
      </c>
      <c r="CN218" s="4">
        <v>4</v>
      </c>
      <c r="CO218" s="4">
        <v>1</v>
      </c>
      <c r="CP218" s="4">
        <v>0</v>
      </c>
      <c r="CQ218" s="4">
        <v>0</v>
      </c>
      <c r="CR218" s="4">
        <v>0</v>
      </c>
      <c r="CS218" s="4">
        <v>0</v>
      </c>
      <c r="CT218" s="4">
        <v>1</v>
      </c>
      <c r="CU218" s="4">
        <v>0</v>
      </c>
      <c r="CV218" s="4">
        <v>2</v>
      </c>
      <c r="CW218" s="4">
        <v>0</v>
      </c>
      <c r="CX218" s="3">
        <v>0</v>
      </c>
    </row>
    <row r="219" spans="1:102" ht="15.75" x14ac:dyDescent="0.25">
      <c r="A219" s="4" t="s">
        <v>533</v>
      </c>
      <c r="B219" s="4" t="s">
        <v>534</v>
      </c>
      <c r="C219" s="4">
        <v>2018</v>
      </c>
      <c r="D219" s="4">
        <v>631</v>
      </c>
      <c r="E219" s="4">
        <v>0</v>
      </c>
      <c r="F219" s="4">
        <v>0</v>
      </c>
      <c r="G219" s="4">
        <v>0</v>
      </c>
      <c r="H219" s="4">
        <v>4</v>
      </c>
      <c r="I219" s="4">
        <v>0</v>
      </c>
      <c r="J219" s="4">
        <v>0</v>
      </c>
      <c r="K219" s="4">
        <v>0</v>
      </c>
      <c r="L219" s="4">
        <v>6</v>
      </c>
      <c r="M219" s="4">
        <v>2</v>
      </c>
      <c r="N219" s="4">
        <v>3</v>
      </c>
      <c r="O219" s="4">
        <v>88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44</v>
      </c>
      <c r="V219" s="4">
        <v>1</v>
      </c>
      <c r="W219" s="4">
        <v>0</v>
      </c>
      <c r="X219" s="4">
        <v>1</v>
      </c>
      <c r="Y219" s="4">
        <v>9</v>
      </c>
      <c r="Z219" s="4">
        <v>0</v>
      </c>
      <c r="AA219" s="4">
        <v>16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4</v>
      </c>
      <c r="AH219" s="4">
        <v>0</v>
      </c>
      <c r="AI219" s="4">
        <v>6</v>
      </c>
      <c r="AJ219" s="4">
        <v>74</v>
      </c>
      <c r="AK219" s="4">
        <v>17</v>
      </c>
      <c r="AL219" s="4">
        <v>2</v>
      </c>
      <c r="AM219" s="4">
        <v>3</v>
      </c>
      <c r="AN219" s="4">
        <v>7</v>
      </c>
      <c r="AO219" s="4">
        <v>28</v>
      </c>
      <c r="AP219" s="4">
        <v>0</v>
      </c>
      <c r="AQ219" s="4">
        <v>1</v>
      </c>
      <c r="AR219" s="4">
        <v>0</v>
      </c>
      <c r="AS219" s="4">
        <v>4</v>
      </c>
      <c r="AT219" s="4">
        <v>5</v>
      </c>
      <c r="AU219" s="4">
        <v>1</v>
      </c>
      <c r="AV219" s="4">
        <v>0</v>
      </c>
      <c r="AW219" s="4">
        <v>1</v>
      </c>
      <c r="AX219" s="4">
        <v>2</v>
      </c>
      <c r="AY219" s="4">
        <v>0</v>
      </c>
      <c r="AZ219" s="4">
        <v>3</v>
      </c>
      <c r="BA219" s="4">
        <v>0</v>
      </c>
      <c r="BB219" s="4">
        <v>37</v>
      </c>
      <c r="BC219" s="4">
        <v>4</v>
      </c>
      <c r="BD219" s="4">
        <v>0</v>
      </c>
      <c r="BE219" s="4">
        <v>5</v>
      </c>
      <c r="BF219" s="4">
        <v>51</v>
      </c>
      <c r="BG219" s="4">
        <v>1</v>
      </c>
      <c r="BH219" s="4">
        <v>1</v>
      </c>
      <c r="BI219" s="4">
        <v>0</v>
      </c>
      <c r="BJ219" s="4">
        <v>7</v>
      </c>
      <c r="BK219" s="4">
        <v>15</v>
      </c>
      <c r="BL219" s="4">
        <v>0</v>
      </c>
      <c r="BM219" s="4">
        <v>0</v>
      </c>
      <c r="BN219" s="4">
        <v>3</v>
      </c>
      <c r="BO219" s="4">
        <v>0</v>
      </c>
      <c r="BP219" s="4">
        <v>1</v>
      </c>
      <c r="BQ219" s="4">
        <v>5</v>
      </c>
      <c r="BR219" s="4">
        <v>1</v>
      </c>
      <c r="BS219" s="4">
        <v>12</v>
      </c>
      <c r="BT219" s="4">
        <v>8</v>
      </c>
      <c r="BU219" s="4">
        <v>0</v>
      </c>
      <c r="BV219" s="4">
        <v>7</v>
      </c>
      <c r="BW219" s="4">
        <v>2</v>
      </c>
      <c r="BX219" s="4">
        <v>38</v>
      </c>
      <c r="BY219" s="4">
        <v>0</v>
      </c>
      <c r="BZ219" s="4">
        <v>0</v>
      </c>
      <c r="CA219" s="4">
        <v>56</v>
      </c>
      <c r="CB219" s="4">
        <v>0</v>
      </c>
      <c r="CC219" s="4">
        <v>0</v>
      </c>
      <c r="CD219" s="4">
        <v>0</v>
      </c>
      <c r="CE219" s="4">
        <v>0</v>
      </c>
      <c r="CF219" s="4">
        <v>1</v>
      </c>
      <c r="CG219" s="4">
        <v>1</v>
      </c>
      <c r="CH219" s="4">
        <v>1</v>
      </c>
      <c r="CI219" s="4">
        <v>0</v>
      </c>
      <c r="CJ219" s="4">
        <v>6</v>
      </c>
      <c r="CK219" s="4">
        <v>1</v>
      </c>
      <c r="CL219" s="4">
        <v>0</v>
      </c>
      <c r="CM219" s="4">
        <v>2</v>
      </c>
      <c r="CN219" s="4">
        <v>8</v>
      </c>
      <c r="CO219" s="4">
        <v>3</v>
      </c>
      <c r="CP219" s="4">
        <v>1</v>
      </c>
      <c r="CQ219" s="4">
        <v>0</v>
      </c>
      <c r="CR219" s="4">
        <v>1</v>
      </c>
      <c r="CS219" s="4">
        <v>4</v>
      </c>
      <c r="CT219" s="4">
        <v>4</v>
      </c>
      <c r="CU219" s="4">
        <v>1</v>
      </c>
      <c r="CV219" s="4">
        <v>5</v>
      </c>
      <c r="CW219" s="4">
        <v>2</v>
      </c>
      <c r="CX219" s="3">
        <v>2</v>
      </c>
    </row>
    <row r="220" spans="1:102" ht="15.75" x14ac:dyDescent="0.25">
      <c r="A220" s="4" t="s">
        <v>535</v>
      </c>
      <c r="B220" s="4" t="s">
        <v>536</v>
      </c>
      <c r="C220" s="4">
        <v>2018</v>
      </c>
      <c r="D220" s="4">
        <v>42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2</v>
      </c>
      <c r="AJ220" s="4">
        <v>3</v>
      </c>
      <c r="AK220" s="4">
        <v>1</v>
      </c>
      <c r="AL220" s="4">
        <v>0</v>
      </c>
      <c r="AM220" s="4">
        <v>1</v>
      </c>
      <c r="AN220" s="4">
        <v>1</v>
      </c>
      <c r="AO220" s="4">
        <v>2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1</v>
      </c>
      <c r="AY220" s="4">
        <v>0</v>
      </c>
      <c r="AZ220" s="4">
        <v>1</v>
      </c>
      <c r="BA220" s="4">
        <v>0</v>
      </c>
      <c r="BB220" s="4">
        <v>1</v>
      </c>
      <c r="BC220" s="4">
        <v>0</v>
      </c>
      <c r="BD220" s="4">
        <v>0</v>
      </c>
      <c r="BE220" s="4">
        <v>0</v>
      </c>
      <c r="BF220" s="4">
        <v>1</v>
      </c>
      <c r="BG220" s="4">
        <v>0</v>
      </c>
      <c r="BH220" s="4">
        <v>0</v>
      </c>
      <c r="BI220" s="4">
        <v>0</v>
      </c>
      <c r="BJ220" s="4">
        <v>1</v>
      </c>
      <c r="BK220" s="4">
        <v>2</v>
      </c>
      <c r="BL220" s="4">
        <v>0</v>
      </c>
      <c r="BM220" s="4">
        <v>0</v>
      </c>
      <c r="BN220" s="4">
        <v>2</v>
      </c>
      <c r="BO220" s="4">
        <v>0</v>
      </c>
      <c r="BP220" s="4">
        <v>0</v>
      </c>
      <c r="BQ220" s="4">
        <v>1</v>
      </c>
      <c r="BR220" s="4">
        <v>0</v>
      </c>
      <c r="BS220" s="4">
        <v>2</v>
      </c>
      <c r="BT220" s="4">
        <v>1</v>
      </c>
      <c r="BU220" s="4">
        <v>0</v>
      </c>
      <c r="BV220" s="4">
        <v>1</v>
      </c>
      <c r="BW220" s="4">
        <v>4</v>
      </c>
      <c r="BX220" s="4">
        <v>2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4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1</v>
      </c>
      <c r="CU220" s="4">
        <v>0</v>
      </c>
      <c r="CV220" s="4">
        <v>2</v>
      </c>
      <c r="CW220" s="4">
        <v>0</v>
      </c>
      <c r="CX220" s="3">
        <v>0</v>
      </c>
    </row>
    <row r="221" spans="1:102" ht="15.75" x14ac:dyDescent="0.25">
      <c r="A221" s="4" t="s">
        <v>537</v>
      </c>
      <c r="B221" s="4" t="s">
        <v>538</v>
      </c>
      <c r="C221" s="4">
        <v>2018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3">
        <v>0</v>
      </c>
    </row>
    <row r="222" spans="1:102" ht="15.75" x14ac:dyDescent="0.25">
      <c r="A222" s="4" t="s">
        <v>539</v>
      </c>
      <c r="B222" s="4" t="s">
        <v>540</v>
      </c>
      <c r="C222" s="4">
        <v>2018</v>
      </c>
      <c r="D222" s="4">
        <v>52715</v>
      </c>
      <c r="E222" s="4">
        <v>22</v>
      </c>
      <c r="F222" s="4">
        <v>39</v>
      </c>
      <c r="G222" s="4">
        <v>65</v>
      </c>
      <c r="H222" s="4">
        <v>201</v>
      </c>
      <c r="I222" s="4">
        <v>109</v>
      </c>
      <c r="J222" s="4">
        <v>26</v>
      </c>
      <c r="K222" s="4">
        <v>26</v>
      </c>
      <c r="L222" s="4">
        <v>53</v>
      </c>
      <c r="M222" s="4">
        <v>16</v>
      </c>
      <c r="N222" s="4">
        <v>98</v>
      </c>
      <c r="O222" s="4">
        <v>1786</v>
      </c>
      <c r="P222" s="4">
        <v>0</v>
      </c>
      <c r="Q222" s="4">
        <v>1</v>
      </c>
      <c r="R222" s="4">
        <v>16</v>
      </c>
      <c r="S222" s="4">
        <v>3</v>
      </c>
      <c r="T222" s="4">
        <v>0</v>
      </c>
      <c r="U222" s="4">
        <v>12</v>
      </c>
      <c r="V222" s="4">
        <v>17</v>
      </c>
      <c r="W222" s="4">
        <v>367</v>
      </c>
      <c r="X222" s="4">
        <v>19</v>
      </c>
      <c r="Y222" s="4">
        <v>4</v>
      </c>
      <c r="Z222" s="4">
        <v>1399</v>
      </c>
      <c r="AA222" s="4">
        <v>2702</v>
      </c>
      <c r="AB222" s="4">
        <v>52</v>
      </c>
      <c r="AC222" s="4">
        <v>0</v>
      </c>
      <c r="AD222" s="4">
        <v>3</v>
      </c>
      <c r="AE222" s="4">
        <v>6</v>
      </c>
      <c r="AF222" s="4">
        <v>1</v>
      </c>
      <c r="AG222" s="4">
        <v>2601</v>
      </c>
      <c r="AH222" s="4">
        <v>233</v>
      </c>
      <c r="AI222" s="4">
        <v>128</v>
      </c>
      <c r="AJ222" s="4">
        <v>5621</v>
      </c>
      <c r="AK222" s="4">
        <v>441</v>
      </c>
      <c r="AL222" s="4">
        <v>8</v>
      </c>
      <c r="AM222" s="4">
        <v>228</v>
      </c>
      <c r="AN222" s="4">
        <v>314</v>
      </c>
      <c r="AO222" s="4">
        <v>658</v>
      </c>
      <c r="AP222" s="4">
        <v>55</v>
      </c>
      <c r="AQ222" s="4">
        <v>195</v>
      </c>
      <c r="AR222" s="4">
        <v>17</v>
      </c>
      <c r="AS222" s="4">
        <v>193</v>
      </c>
      <c r="AT222" s="4">
        <v>236</v>
      </c>
      <c r="AU222" s="4">
        <v>509</v>
      </c>
      <c r="AV222" s="4">
        <v>366</v>
      </c>
      <c r="AW222" s="4">
        <v>699</v>
      </c>
      <c r="AX222" s="4">
        <v>715</v>
      </c>
      <c r="AY222" s="4">
        <v>41</v>
      </c>
      <c r="AZ222" s="4">
        <v>153</v>
      </c>
      <c r="BA222" s="4">
        <v>0</v>
      </c>
      <c r="BB222" s="4">
        <v>4166</v>
      </c>
      <c r="BC222" s="4">
        <v>683</v>
      </c>
      <c r="BD222" s="4">
        <v>15</v>
      </c>
      <c r="BE222" s="4">
        <v>365</v>
      </c>
      <c r="BF222" s="4">
        <v>1224</v>
      </c>
      <c r="BG222" s="4">
        <v>94</v>
      </c>
      <c r="BH222" s="4">
        <v>92</v>
      </c>
      <c r="BI222" s="4">
        <v>3</v>
      </c>
      <c r="BJ222" s="4">
        <v>1100</v>
      </c>
      <c r="BK222" s="4">
        <v>1129</v>
      </c>
      <c r="BL222" s="4">
        <v>0</v>
      </c>
      <c r="BM222" s="4">
        <v>88</v>
      </c>
      <c r="BN222" s="4">
        <v>471</v>
      </c>
      <c r="BO222" s="4">
        <v>8</v>
      </c>
      <c r="BP222" s="4">
        <v>153</v>
      </c>
      <c r="BQ222" s="4">
        <v>587</v>
      </c>
      <c r="BR222" s="4">
        <v>27</v>
      </c>
      <c r="BS222" s="4">
        <v>1358</v>
      </c>
      <c r="BT222" s="4">
        <v>566</v>
      </c>
      <c r="BU222" s="4">
        <v>23</v>
      </c>
      <c r="BV222" s="4">
        <v>418</v>
      </c>
      <c r="BW222" s="4">
        <v>391</v>
      </c>
      <c r="BX222" s="4">
        <v>7898</v>
      </c>
      <c r="BY222" s="4">
        <v>8</v>
      </c>
      <c r="BZ222" s="4">
        <v>1</v>
      </c>
      <c r="CA222" s="4">
        <v>2355</v>
      </c>
      <c r="CB222" s="4">
        <v>375</v>
      </c>
      <c r="CC222" s="4">
        <v>2</v>
      </c>
      <c r="CD222" s="4">
        <v>48</v>
      </c>
      <c r="CE222" s="4">
        <v>10</v>
      </c>
      <c r="CF222" s="4">
        <v>101</v>
      </c>
      <c r="CG222" s="4">
        <v>421</v>
      </c>
      <c r="CH222" s="4">
        <v>32</v>
      </c>
      <c r="CI222" s="4">
        <v>39</v>
      </c>
      <c r="CJ222" s="4">
        <v>316</v>
      </c>
      <c r="CK222" s="4">
        <v>53</v>
      </c>
      <c r="CL222" s="4">
        <v>0</v>
      </c>
      <c r="CM222" s="4">
        <v>300</v>
      </c>
      <c r="CN222" s="4">
        <v>1917</v>
      </c>
      <c r="CO222" s="4">
        <v>313</v>
      </c>
      <c r="CP222" s="4">
        <v>102</v>
      </c>
      <c r="CQ222" s="4">
        <v>1</v>
      </c>
      <c r="CR222" s="4">
        <v>3181</v>
      </c>
      <c r="CS222" s="4">
        <v>231</v>
      </c>
      <c r="CT222" s="4">
        <v>158</v>
      </c>
      <c r="CU222" s="4">
        <v>61</v>
      </c>
      <c r="CV222" s="4">
        <v>1102</v>
      </c>
      <c r="CW222" s="4">
        <v>279</v>
      </c>
      <c r="CX222" s="3">
        <v>279</v>
      </c>
    </row>
    <row r="223" spans="1:102" ht="15.75" x14ac:dyDescent="0.25">
      <c r="A223" s="4" t="s">
        <v>541</v>
      </c>
      <c r="B223" s="4" t="s">
        <v>542</v>
      </c>
      <c r="C223" s="4">
        <v>2018</v>
      </c>
      <c r="D223" s="4">
        <v>143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1</v>
      </c>
      <c r="M223" s="4">
        <v>0</v>
      </c>
      <c r="N223" s="4">
        <v>0</v>
      </c>
      <c r="O223" s="4">
        <v>35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</v>
      </c>
      <c r="AH223" s="4">
        <v>0</v>
      </c>
      <c r="AI223" s="4">
        <v>1</v>
      </c>
      <c r="AJ223" s="4">
        <v>56</v>
      </c>
      <c r="AK223" s="4">
        <v>4</v>
      </c>
      <c r="AL223" s="4">
        <v>0</v>
      </c>
      <c r="AM223" s="4">
        <v>1</v>
      </c>
      <c r="AN223" s="4">
        <v>0</v>
      </c>
      <c r="AO223" s="4">
        <v>1</v>
      </c>
      <c r="AP223" s="4">
        <v>0</v>
      </c>
      <c r="AQ223" s="4">
        <v>0</v>
      </c>
      <c r="AR223" s="4">
        <v>0</v>
      </c>
      <c r="AS223" s="4">
        <v>1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1</v>
      </c>
      <c r="BA223" s="4">
        <v>0</v>
      </c>
      <c r="BB223" s="4">
        <v>0</v>
      </c>
      <c r="BC223" s="4">
        <v>1</v>
      </c>
      <c r="BD223" s="4">
        <v>0</v>
      </c>
      <c r="BE223" s="4">
        <v>1</v>
      </c>
      <c r="BF223" s="4">
        <v>5</v>
      </c>
      <c r="BG223" s="4">
        <v>0</v>
      </c>
      <c r="BH223" s="4">
        <v>0</v>
      </c>
      <c r="BI223" s="4">
        <v>0</v>
      </c>
      <c r="BJ223" s="4">
        <v>1</v>
      </c>
      <c r="BK223" s="4">
        <v>3</v>
      </c>
      <c r="BL223" s="4">
        <v>0</v>
      </c>
      <c r="BM223" s="4">
        <v>0</v>
      </c>
      <c r="BN223" s="4">
        <v>1</v>
      </c>
      <c r="BO223" s="4">
        <v>0</v>
      </c>
      <c r="BP223" s="4">
        <v>0</v>
      </c>
      <c r="BQ223" s="4">
        <v>1</v>
      </c>
      <c r="BR223" s="4">
        <v>0</v>
      </c>
      <c r="BS223" s="4">
        <v>1</v>
      </c>
      <c r="BT223" s="4">
        <v>1</v>
      </c>
      <c r="BU223" s="4">
        <v>0</v>
      </c>
      <c r="BV223" s="4">
        <v>1</v>
      </c>
      <c r="BW223" s="4">
        <v>0</v>
      </c>
      <c r="BX223" s="4">
        <v>2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1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1</v>
      </c>
      <c r="CV223" s="4">
        <v>15</v>
      </c>
      <c r="CW223" s="4">
        <v>0</v>
      </c>
      <c r="CX223" s="3">
        <v>0</v>
      </c>
    </row>
    <row r="224" spans="1:102" ht="15.75" x14ac:dyDescent="0.25">
      <c r="A224" s="4" t="s">
        <v>543</v>
      </c>
      <c r="B224" s="4" t="s">
        <v>544</v>
      </c>
      <c r="C224" s="4">
        <v>2018</v>
      </c>
      <c r="D224" s="4">
        <v>37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7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1</v>
      </c>
      <c r="AO224" s="4">
        <v>0</v>
      </c>
      <c r="AP224" s="4">
        <v>0</v>
      </c>
      <c r="AQ224" s="4">
        <v>0</v>
      </c>
      <c r="AR224" s="4">
        <v>0</v>
      </c>
      <c r="AS224" s="4">
        <v>1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7</v>
      </c>
      <c r="BC224" s="4">
        <v>2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2</v>
      </c>
      <c r="BK224" s="4">
        <v>1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1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2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1</v>
      </c>
      <c r="CO224" s="4">
        <v>0</v>
      </c>
      <c r="CP224" s="4">
        <v>0</v>
      </c>
      <c r="CQ224" s="4">
        <v>0</v>
      </c>
      <c r="CR224" s="4">
        <v>2</v>
      </c>
      <c r="CS224" s="4">
        <v>1</v>
      </c>
      <c r="CT224" s="4">
        <v>0</v>
      </c>
      <c r="CU224" s="4">
        <v>0</v>
      </c>
      <c r="CV224" s="4">
        <v>7</v>
      </c>
      <c r="CW224" s="4">
        <v>0</v>
      </c>
      <c r="CX224" s="3">
        <v>0</v>
      </c>
    </row>
    <row r="225" spans="1:102" ht="15.75" x14ac:dyDescent="0.25">
      <c r="A225" s="4" t="s">
        <v>545</v>
      </c>
      <c r="B225" s="4" t="s">
        <v>546</v>
      </c>
      <c r="C225" s="4">
        <v>2018</v>
      </c>
      <c r="D225" s="4">
        <v>1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1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3">
        <v>0</v>
      </c>
    </row>
    <row r="226" spans="1:102" ht="15.75" x14ac:dyDescent="0.25">
      <c r="A226" s="4" t="s">
        <v>547</v>
      </c>
      <c r="B226" s="4" t="s">
        <v>548</v>
      </c>
      <c r="C226" s="4">
        <v>2018</v>
      </c>
      <c r="D226" s="4">
        <v>15</v>
      </c>
      <c r="E226" s="4">
        <v>0</v>
      </c>
      <c r="F226" s="4">
        <v>3</v>
      </c>
      <c r="G226" s="4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1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1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1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1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1</v>
      </c>
      <c r="CW226" s="4">
        <v>0</v>
      </c>
      <c r="CX226" s="3">
        <v>0</v>
      </c>
    </row>
    <row r="227" spans="1:102" ht="15.75" x14ac:dyDescent="0.25">
      <c r="A227" s="4" t="s">
        <v>549</v>
      </c>
      <c r="B227" s="4" t="s">
        <v>550</v>
      </c>
      <c r="C227" s="4">
        <v>2018</v>
      </c>
      <c r="D227" s="4">
        <v>83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8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61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1</v>
      </c>
      <c r="AY227" s="4">
        <v>0</v>
      </c>
      <c r="AZ227" s="4">
        <v>0</v>
      </c>
      <c r="BA227" s="4">
        <v>0</v>
      </c>
      <c r="BB227" s="4">
        <v>1</v>
      </c>
      <c r="BC227" s="4">
        <v>0</v>
      </c>
      <c r="BD227" s="4">
        <v>0</v>
      </c>
      <c r="BE227" s="4">
        <v>1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1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6</v>
      </c>
      <c r="CU227" s="4">
        <v>0</v>
      </c>
      <c r="CV227" s="4">
        <v>0</v>
      </c>
      <c r="CW227" s="4">
        <v>0</v>
      </c>
      <c r="CX227" s="3">
        <v>0</v>
      </c>
    </row>
    <row r="228" spans="1:102" ht="15.75" x14ac:dyDescent="0.25">
      <c r="A228" s="4" t="s">
        <v>551</v>
      </c>
      <c r="B228" s="4" t="s">
        <v>552</v>
      </c>
      <c r="C228" s="4">
        <v>2018</v>
      </c>
      <c r="D228" s="4">
        <v>17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1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1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1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3</v>
      </c>
      <c r="BO228" s="4">
        <v>0</v>
      </c>
      <c r="BP228" s="4">
        <v>0</v>
      </c>
      <c r="BQ228" s="4">
        <v>0</v>
      </c>
      <c r="BR228" s="4">
        <v>0</v>
      </c>
      <c r="BS228" s="4">
        <v>1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5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3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3">
        <v>0</v>
      </c>
    </row>
    <row r="229" spans="1:102" ht="15.75" x14ac:dyDescent="0.25">
      <c r="A229" s="4" t="s">
        <v>553</v>
      </c>
      <c r="B229" s="4" t="s">
        <v>554</v>
      </c>
      <c r="C229" s="4">
        <v>2018</v>
      </c>
      <c r="D229" s="4">
        <v>2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2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1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3">
        <v>0</v>
      </c>
    </row>
    <row r="230" spans="1:102" ht="15.75" x14ac:dyDescent="0.25">
      <c r="A230" s="4" t="s">
        <v>555</v>
      </c>
      <c r="B230" s="4" t="s">
        <v>556</v>
      </c>
      <c r="C230" s="4">
        <v>2018</v>
      </c>
      <c r="D230" s="4">
        <v>661</v>
      </c>
      <c r="E230" s="4">
        <v>1</v>
      </c>
      <c r="F230" s="4">
        <v>11</v>
      </c>
      <c r="G230" s="4">
        <v>1</v>
      </c>
      <c r="H230" s="4">
        <v>14</v>
      </c>
      <c r="I230" s="4">
        <v>9</v>
      </c>
      <c r="J230" s="4">
        <v>1</v>
      </c>
      <c r="K230" s="4">
        <v>0</v>
      </c>
      <c r="L230" s="4">
        <v>1</v>
      </c>
      <c r="M230" s="4">
        <v>7</v>
      </c>
      <c r="N230" s="4">
        <v>2</v>
      </c>
      <c r="O230" s="4">
        <v>23</v>
      </c>
      <c r="P230" s="4">
        <v>0</v>
      </c>
      <c r="Q230" s="4">
        <v>0</v>
      </c>
      <c r="R230" s="4">
        <v>0</v>
      </c>
      <c r="S230" s="4">
        <v>0</v>
      </c>
      <c r="T230" s="4">
        <v>31</v>
      </c>
      <c r="U230" s="4">
        <v>1</v>
      </c>
      <c r="V230" s="4">
        <v>8</v>
      </c>
      <c r="W230" s="4">
        <v>39</v>
      </c>
      <c r="X230" s="4">
        <v>3</v>
      </c>
      <c r="Y230" s="4">
        <v>0</v>
      </c>
      <c r="Z230" s="4">
        <v>0</v>
      </c>
      <c r="AA230" s="4">
        <v>1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3</v>
      </c>
      <c r="AH230" s="4">
        <v>0</v>
      </c>
      <c r="AI230" s="4">
        <v>7</v>
      </c>
      <c r="AJ230" s="4">
        <v>77</v>
      </c>
      <c r="AK230" s="4">
        <v>7</v>
      </c>
      <c r="AL230" s="4">
        <v>1</v>
      </c>
      <c r="AM230" s="4">
        <v>11</v>
      </c>
      <c r="AN230" s="4">
        <v>10</v>
      </c>
      <c r="AO230" s="4">
        <v>22</v>
      </c>
      <c r="AP230" s="4">
        <v>9</v>
      </c>
      <c r="AQ230" s="4">
        <v>1</v>
      </c>
      <c r="AR230" s="4">
        <v>0</v>
      </c>
      <c r="AS230" s="4">
        <v>3</v>
      </c>
      <c r="AT230" s="4">
        <v>18</v>
      </c>
      <c r="AU230" s="4">
        <v>6</v>
      </c>
      <c r="AV230" s="4">
        <v>6</v>
      </c>
      <c r="AW230" s="4">
        <v>2</v>
      </c>
      <c r="AX230" s="4">
        <v>8</v>
      </c>
      <c r="AY230" s="4">
        <v>0</v>
      </c>
      <c r="AZ230" s="4">
        <v>21</v>
      </c>
      <c r="BA230" s="4">
        <v>0</v>
      </c>
      <c r="BB230" s="4">
        <v>64</v>
      </c>
      <c r="BC230" s="4">
        <v>3</v>
      </c>
      <c r="BD230" s="4">
        <v>0</v>
      </c>
      <c r="BE230" s="4">
        <v>5</v>
      </c>
      <c r="BF230" s="4">
        <v>10</v>
      </c>
      <c r="BG230" s="4">
        <v>9</v>
      </c>
      <c r="BH230" s="4">
        <v>3</v>
      </c>
      <c r="BI230" s="4">
        <v>0</v>
      </c>
      <c r="BJ230" s="4">
        <v>11</v>
      </c>
      <c r="BK230" s="4">
        <v>12</v>
      </c>
      <c r="BL230" s="4">
        <v>0</v>
      </c>
      <c r="BM230" s="4">
        <v>5</v>
      </c>
      <c r="BN230" s="4">
        <v>4</v>
      </c>
      <c r="BO230" s="4">
        <v>0</v>
      </c>
      <c r="BP230" s="4">
        <v>2</v>
      </c>
      <c r="BQ230" s="4">
        <v>6</v>
      </c>
      <c r="BR230" s="4">
        <v>0</v>
      </c>
      <c r="BS230" s="4">
        <v>21</v>
      </c>
      <c r="BT230" s="4">
        <v>14</v>
      </c>
      <c r="BU230" s="4">
        <v>0</v>
      </c>
      <c r="BV230" s="4">
        <v>2</v>
      </c>
      <c r="BW230" s="4">
        <v>6</v>
      </c>
      <c r="BX230" s="4">
        <v>14</v>
      </c>
      <c r="BY230" s="4">
        <v>0</v>
      </c>
      <c r="BZ230" s="4">
        <v>0</v>
      </c>
      <c r="CA230" s="4">
        <v>17</v>
      </c>
      <c r="CB230" s="4">
        <v>1</v>
      </c>
      <c r="CC230" s="4">
        <v>0</v>
      </c>
      <c r="CD230" s="4">
        <v>1</v>
      </c>
      <c r="CE230" s="4">
        <v>0</v>
      </c>
      <c r="CF230" s="4">
        <v>2</v>
      </c>
      <c r="CG230" s="4">
        <v>0</v>
      </c>
      <c r="CH230" s="4">
        <v>0</v>
      </c>
      <c r="CI230" s="4">
        <v>0</v>
      </c>
      <c r="CJ230" s="4">
        <v>19</v>
      </c>
      <c r="CK230" s="4">
        <v>1</v>
      </c>
      <c r="CL230" s="4">
        <v>0</v>
      </c>
      <c r="CM230" s="4">
        <v>5</v>
      </c>
      <c r="CN230" s="4">
        <v>42</v>
      </c>
      <c r="CO230" s="4">
        <v>2</v>
      </c>
      <c r="CP230" s="4">
        <v>1</v>
      </c>
      <c r="CQ230" s="4">
        <v>0</v>
      </c>
      <c r="CR230" s="4">
        <v>0</v>
      </c>
      <c r="CS230" s="4">
        <v>0</v>
      </c>
      <c r="CT230" s="4">
        <v>4</v>
      </c>
      <c r="CU230" s="4">
        <v>3</v>
      </c>
      <c r="CV230" s="4">
        <v>8</v>
      </c>
      <c r="CW230" s="4">
        <v>3</v>
      </c>
      <c r="CX230" s="3">
        <v>3</v>
      </c>
    </row>
    <row r="231" spans="1:102" ht="15.75" x14ac:dyDescent="0.25">
      <c r="A231" s="4" t="s">
        <v>557</v>
      </c>
      <c r="B231" s="4" t="s">
        <v>558</v>
      </c>
      <c r="C231" s="4">
        <v>2018</v>
      </c>
      <c r="D231" s="4">
        <v>1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1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3">
        <v>0</v>
      </c>
    </row>
    <row r="232" spans="1:102" ht="15.75" x14ac:dyDescent="0.25">
      <c r="A232" s="4" t="s">
        <v>559</v>
      </c>
      <c r="B232" s="4" t="s">
        <v>560</v>
      </c>
      <c r="C232" s="4">
        <v>2018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3">
        <v>0</v>
      </c>
    </row>
    <row r="233" spans="1:102" ht="15.75" x14ac:dyDescent="0.25">
      <c r="A233" s="4" t="s">
        <v>561</v>
      </c>
      <c r="B233" s="4" t="s">
        <v>562</v>
      </c>
      <c r="C233" s="4">
        <v>2018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3">
        <v>0</v>
      </c>
    </row>
    <row r="234" spans="1:102" ht="15.75" x14ac:dyDescent="0.25">
      <c r="A234" s="4" t="s">
        <v>563</v>
      </c>
      <c r="B234" s="4" t="s">
        <v>564</v>
      </c>
      <c r="C234" s="4">
        <v>2018</v>
      </c>
      <c r="D234" s="4">
        <v>8</v>
      </c>
      <c r="E234" s="4">
        <v>0</v>
      </c>
      <c r="F234" s="4">
        <v>4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1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3">
        <v>0</v>
      </c>
    </row>
    <row r="235" spans="1:102" ht="15.75" x14ac:dyDescent="0.25">
      <c r="A235" s="4" t="s">
        <v>565</v>
      </c>
      <c r="B235" s="4" t="s">
        <v>566</v>
      </c>
      <c r="C235" s="4">
        <v>2018</v>
      </c>
      <c r="D235" s="4">
        <v>39</v>
      </c>
      <c r="E235" s="4">
        <v>0</v>
      </c>
      <c r="F235" s="4">
        <v>0</v>
      </c>
      <c r="G235" s="4">
        <v>1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1</v>
      </c>
      <c r="O235" s="4">
        <v>2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1</v>
      </c>
      <c r="AJ235" s="4">
        <v>3</v>
      </c>
      <c r="AK235" s="4">
        <v>1</v>
      </c>
      <c r="AL235" s="4">
        <v>0</v>
      </c>
      <c r="AM235" s="4">
        <v>0</v>
      </c>
      <c r="AN235" s="4">
        <v>0</v>
      </c>
      <c r="AO235" s="4">
        <v>1</v>
      </c>
      <c r="AP235" s="4">
        <v>0</v>
      </c>
      <c r="AQ235" s="4">
        <v>0</v>
      </c>
      <c r="AR235" s="4">
        <v>0</v>
      </c>
      <c r="AS235" s="4">
        <v>1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2</v>
      </c>
      <c r="BA235" s="4">
        <v>0</v>
      </c>
      <c r="BB235" s="4">
        <v>2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1</v>
      </c>
      <c r="BK235" s="4">
        <v>2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17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1</v>
      </c>
      <c r="CW235" s="4">
        <v>0</v>
      </c>
      <c r="CX235" s="3">
        <v>0</v>
      </c>
    </row>
    <row r="236" spans="1:102" ht="15.75" x14ac:dyDescent="0.25">
      <c r="A236" s="4" t="s">
        <v>567</v>
      </c>
      <c r="B236" s="4" t="s">
        <v>568</v>
      </c>
      <c r="C236" s="4">
        <v>2018</v>
      </c>
      <c r="D236" s="4">
        <v>2035</v>
      </c>
      <c r="E236" s="4">
        <v>6</v>
      </c>
      <c r="F236" s="4">
        <v>6</v>
      </c>
      <c r="G236" s="4">
        <v>3</v>
      </c>
      <c r="H236" s="4">
        <v>0</v>
      </c>
      <c r="I236" s="4">
        <v>16</v>
      </c>
      <c r="J236" s="4">
        <v>4</v>
      </c>
      <c r="K236" s="4">
        <v>3</v>
      </c>
      <c r="L236" s="4">
        <v>23</v>
      </c>
      <c r="M236" s="4">
        <v>11</v>
      </c>
      <c r="N236" s="4">
        <v>19</v>
      </c>
      <c r="O236" s="4">
        <v>139</v>
      </c>
      <c r="P236" s="4">
        <v>0</v>
      </c>
      <c r="Q236" s="4">
        <v>0</v>
      </c>
      <c r="R236" s="4">
        <v>2</v>
      </c>
      <c r="S236" s="4">
        <v>0</v>
      </c>
      <c r="T236" s="4">
        <v>0</v>
      </c>
      <c r="U236" s="4">
        <v>2</v>
      </c>
      <c r="V236" s="4">
        <v>3</v>
      </c>
      <c r="W236" s="4">
        <v>0</v>
      </c>
      <c r="X236" s="4">
        <v>1</v>
      </c>
      <c r="Y236" s="4">
        <v>0</v>
      </c>
      <c r="Z236" s="4">
        <v>0</v>
      </c>
      <c r="AA236" s="4">
        <v>92</v>
      </c>
      <c r="AB236" s="4">
        <v>0</v>
      </c>
      <c r="AC236" s="4">
        <v>0</v>
      </c>
      <c r="AD236" s="4">
        <v>1</v>
      </c>
      <c r="AE236" s="4">
        <v>1</v>
      </c>
      <c r="AF236" s="4">
        <v>0</v>
      </c>
      <c r="AG236" s="4">
        <v>24</v>
      </c>
      <c r="AH236" s="4">
        <v>7</v>
      </c>
      <c r="AI236" s="4">
        <v>22</v>
      </c>
      <c r="AJ236" s="4">
        <v>132</v>
      </c>
      <c r="AK236" s="4">
        <v>51</v>
      </c>
      <c r="AL236" s="4">
        <v>1</v>
      </c>
      <c r="AM236" s="4">
        <v>15</v>
      </c>
      <c r="AN236" s="4">
        <v>29</v>
      </c>
      <c r="AO236" s="4">
        <v>47</v>
      </c>
      <c r="AP236" s="4">
        <v>0</v>
      </c>
      <c r="AQ236" s="4">
        <v>11</v>
      </c>
      <c r="AR236" s="4">
        <v>1</v>
      </c>
      <c r="AS236" s="4">
        <v>13</v>
      </c>
      <c r="AT236" s="4">
        <v>11</v>
      </c>
      <c r="AU236" s="4">
        <v>22</v>
      </c>
      <c r="AV236" s="4">
        <v>11</v>
      </c>
      <c r="AW236" s="4">
        <v>40</v>
      </c>
      <c r="AX236" s="4">
        <v>33</v>
      </c>
      <c r="AY236" s="4">
        <v>6</v>
      </c>
      <c r="AZ236" s="4">
        <v>7</v>
      </c>
      <c r="BA236" s="4">
        <v>0</v>
      </c>
      <c r="BB236" s="4">
        <v>138</v>
      </c>
      <c r="BC236" s="4">
        <v>10</v>
      </c>
      <c r="BD236" s="4">
        <v>0</v>
      </c>
      <c r="BE236" s="4">
        <v>23</v>
      </c>
      <c r="BF236" s="4">
        <v>75</v>
      </c>
      <c r="BG236" s="4">
        <v>9</v>
      </c>
      <c r="BH236" s="4">
        <v>4</v>
      </c>
      <c r="BI236" s="4">
        <v>1</v>
      </c>
      <c r="BJ236" s="4">
        <v>69</v>
      </c>
      <c r="BK236" s="4">
        <v>64</v>
      </c>
      <c r="BL236" s="4">
        <v>0</v>
      </c>
      <c r="BM236" s="4">
        <v>5</v>
      </c>
      <c r="BN236" s="4">
        <v>32</v>
      </c>
      <c r="BO236" s="4">
        <v>0</v>
      </c>
      <c r="BP236" s="4">
        <v>5</v>
      </c>
      <c r="BQ236" s="4">
        <v>63</v>
      </c>
      <c r="BR236" s="4">
        <v>4</v>
      </c>
      <c r="BS236" s="4">
        <v>85</v>
      </c>
      <c r="BT236" s="4">
        <v>36</v>
      </c>
      <c r="BU236" s="4">
        <v>1</v>
      </c>
      <c r="BV236" s="4">
        <v>40</v>
      </c>
      <c r="BW236" s="4">
        <v>48</v>
      </c>
      <c r="BX236" s="4">
        <v>211</v>
      </c>
      <c r="BY236" s="4">
        <v>1</v>
      </c>
      <c r="BZ236" s="4">
        <v>0</v>
      </c>
      <c r="CA236" s="4">
        <v>26</v>
      </c>
      <c r="CB236" s="4">
        <v>1</v>
      </c>
      <c r="CC236" s="4">
        <v>0</v>
      </c>
      <c r="CD236" s="4">
        <v>4</v>
      </c>
      <c r="CE236" s="4">
        <v>0</v>
      </c>
      <c r="CF236" s="4">
        <v>2</v>
      </c>
      <c r="CG236" s="4">
        <v>2</v>
      </c>
      <c r="CH236" s="4">
        <v>1</v>
      </c>
      <c r="CI236" s="4">
        <v>1</v>
      </c>
      <c r="CJ236" s="4">
        <v>8</v>
      </c>
      <c r="CK236" s="4">
        <v>2</v>
      </c>
      <c r="CL236" s="4">
        <v>0</v>
      </c>
      <c r="CM236" s="4">
        <v>10</v>
      </c>
      <c r="CN236" s="4">
        <v>63</v>
      </c>
      <c r="CO236" s="4">
        <v>14</v>
      </c>
      <c r="CP236" s="4">
        <v>3</v>
      </c>
      <c r="CQ236" s="4">
        <v>0</v>
      </c>
      <c r="CR236" s="4">
        <v>3</v>
      </c>
      <c r="CS236" s="4">
        <v>2</v>
      </c>
      <c r="CT236" s="4">
        <v>27</v>
      </c>
      <c r="CU236" s="4">
        <v>4</v>
      </c>
      <c r="CV236" s="4">
        <v>106</v>
      </c>
      <c r="CW236" s="4">
        <v>12</v>
      </c>
      <c r="CX236" s="3">
        <v>12</v>
      </c>
    </row>
    <row r="237" spans="1:102" ht="15.75" x14ac:dyDescent="0.25">
      <c r="A237" s="4" t="s">
        <v>569</v>
      </c>
      <c r="B237" s="4" t="s">
        <v>570</v>
      </c>
      <c r="C237" s="4">
        <v>2018</v>
      </c>
      <c r="D237" s="4">
        <v>80</v>
      </c>
      <c r="E237" s="4">
        <v>2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1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1</v>
      </c>
      <c r="AK237" s="4">
        <v>0</v>
      </c>
      <c r="AL237" s="4">
        <v>0</v>
      </c>
      <c r="AM237" s="4">
        <v>8</v>
      </c>
      <c r="AN237" s="4">
        <v>0</v>
      </c>
      <c r="AO237" s="4">
        <v>1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1</v>
      </c>
      <c r="AY237" s="4">
        <v>0</v>
      </c>
      <c r="AZ237" s="4">
        <v>0</v>
      </c>
      <c r="BA237" s="4">
        <v>0</v>
      </c>
      <c r="BB237" s="4">
        <v>4</v>
      </c>
      <c r="BC237" s="4">
        <v>0</v>
      </c>
      <c r="BD237" s="4">
        <v>0</v>
      </c>
      <c r="BE237" s="4">
        <v>2</v>
      </c>
      <c r="BF237" s="4">
        <v>2</v>
      </c>
      <c r="BG237" s="4">
        <v>0</v>
      </c>
      <c r="BH237" s="4">
        <v>0</v>
      </c>
      <c r="BI237" s="4">
        <v>0</v>
      </c>
      <c r="BJ237" s="4">
        <v>3</v>
      </c>
      <c r="BK237" s="4">
        <v>1</v>
      </c>
      <c r="BL237" s="4">
        <v>0</v>
      </c>
      <c r="BM237" s="4">
        <v>0</v>
      </c>
      <c r="BN237" s="4">
        <v>2</v>
      </c>
      <c r="BO237" s="4">
        <v>0</v>
      </c>
      <c r="BP237" s="4">
        <v>0</v>
      </c>
      <c r="BQ237" s="4">
        <v>2</v>
      </c>
      <c r="BR237" s="4">
        <v>0</v>
      </c>
      <c r="BS237" s="4">
        <v>3</v>
      </c>
      <c r="BT237" s="4">
        <v>0</v>
      </c>
      <c r="BU237" s="4">
        <v>0</v>
      </c>
      <c r="BV237" s="4">
        <v>3</v>
      </c>
      <c r="BW237" s="4">
        <v>29</v>
      </c>
      <c r="BX237" s="4">
        <v>3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2</v>
      </c>
      <c r="CK237" s="4">
        <v>0</v>
      </c>
      <c r="CL237" s="4">
        <v>0</v>
      </c>
      <c r="CM237" s="4">
        <v>0</v>
      </c>
      <c r="CN237" s="4">
        <v>2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6</v>
      </c>
      <c r="CU237" s="4">
        <v>0</v>
      </c>
      <c r="CV237" s="4">
        <v>1</v>
      </c>
      <c r="CW237" s="4">
        <v>0</v>
      </c>
      <c r="CX237" s="3">
        <v>0</v>
      </c>
    </row>
    <row r="238" spans="1:102" ht="15.75" x14ac:dyDescent="0.25">
      <c r="A238" s="4" t="s">
        <v>571</v>
      </c>
      <c r="B238" s="4" t="s">
        <v>572</v>
      </c>
      <c r="C238" s="4">
        <v>2018</v>
      </c>
      <c r="D238" s="4">
        <v>57</v>
      </c>
      <c r="E238" s="4">
        <v>1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10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1</v>
      </c>
      <c r="AK238" s="4">
        <v>0</v>
      </c>
      <c r="AL238" s="4">
        <v>0</v>
      </c>
      <c r="AM238" s="4">
        <v>0</v>
      </c>
      <c r="AN238" s="4">
        <v>0</v>
      </c>
      <c r="AO238" s="4">
        <v>1</v>
      </c>
      <c r="AP238" s="4">
        <v>0</v>
      </c>
      <c r="AQ238" s="4">
        <v>0</v>
      </c>
      <c r="AR238" s="4">
        <v>0</v>
      </c>
      <c r="AS238" s="4">
        <v>1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1</v>
      </c>
      <c r="BA238" s="4">
        <v>0</v>
      </c>
      <c r="BB238" s="4">
        <v>0</v>
      </c>
      <c r="BC238" s="4">
        <v>0</v>
      </c>
      <c r="BD238" s="4">
        <v>0</v>
      </c>
      <c r="BE238" s="4">
        <v>1</v>
      </c>
      <c r="BF238" s="4">
        <v>3</v>
      </c>
      <c r="BG238" s="4">
        <v>0</v>
      </c>
      <c r="BH238" s="4">
        <v>0</v>
      </c>
      <c r="BI238" s="4">
        <v>0</v>
      </c>
      <c r="BJ238" s="4">
        <v>1</v>
      </c>
      <c r="BK238" s="4">
        <v>1</v>
      </c>
      <c r="BL238" s="4">
        <v>0</v>
      </c>
      <c r="BM238" s="4">
        <v>0</v>
      </c>
      <c r="BN238" s="4">
        <v>1</v>
      </c>
      <c r="BO238" s="4">
        <v>0</v>
      </c>
      <c r="BP238" s="4">
        <v>0</v>
      </c>
      <c r="BQ238" s="4">
        <v>2</v>
      </c>
      <c r="BR238" s="4">
        <v>0</v>
      </c>
      <c r="BS238" s="4">
        <v>1</v>
      </c>
      <c r="BT238" s="4">
        <v>0</v>
      </c>
      <c r="BU238" s="4">
        <v>0</v>
      </c>
      <c r="BV238" s="4">
        <v>1</v>
      </c>
      <c r="BW238" s="4">
        <v>15</v>
      </c>
      <c r="BX238" s="4">
        <v>11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1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1</v>
      </c>
      <c r="CU238" s="4">
        <v>0</v>
      </c>
      <c r="CV238" s="4">
        <v>1</v>
      </c>
      <c r="CW238" s="4">
        <v>0</v>
      </c>
      <c r="CX238" s="3">
        <v>0</v>
      </c>
    </row>
    <row r="239" spans="1:102" ht="15.75" x14ac:dyDescent="0.25">
      <c r="A239" s="4" t="s">
        <v>101</v>
      </c>
      <c r="B239" s="4" t="s">
        <v>102</v>
      </c>
      <c r="C239" s="4">
        <v>2019</v>
      </c>
      <c r="D239" s="4">
        <v>7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5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1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3">
        <v>0</v>
      </c>
    </row>
    <row r="240" spans="1:102" ht="15.75" x14ac:dyDescent="0.25">
      <c r="A240" s="4" t="s">
        <v>103</v>
      </c>
      <c r="B240" s="4" t="s">
        <v>104</v>
      </c>
      <c r="C240" s="4">
        <v>2019</v>
      </c>
      <c r="D240" s="4">
        <v>7252</v>
      </c>
      <c r="E240" s="4">
        <v>15</v>
      </c>
      <c r="F240" s="4">
        <v>2</v>
      </c>
      <c r="G240" s="4">
        <v>26</v>
      </c>
      <c r="H240" s="4">
        <v>11</v>
      </c>
      <c r="I240" s="4">
        <v>61</v>
      </c>
      <c r="J240" s="4">
        <v>24</v>
      </c>
      <c r="K240" s="4">
        <v>5</v>
      </c>
      <c r="L240" s="4">
        <v>34</v>
      </c>
      <c r="M240" s="4">
        <v>8</v>
      </c>
      <c r="N240" s="4">
        <v>38</v>
      </c>
      <c r="O240" s="4">
        <v>140</v>
      </c>
      <c r="P240" s="4">
        <v>0</v>
      </c>
      <c r="Q240" s="4">
        <v>0</v>
      </c>
      <c r="R240" s="4">
        <v>2</v>
      </c>
      <c r="S240" s="4">
        <v>1</v>
      </c>
      <c r="T240" s="4">
        <v>1</v>
      </c>
      <c r="U240" s="4">
        <v>26</v>
      </c>
      <c r="V240" s="4">
        <v>5</v>
      </c>
      <c r="W240" s="4">
        <v>7</v>
      </c>
      <c r="X240" s="4">
        <v>2</v>
      </c>
      <c r="Y240" s="4">
        <v>0</v>
      </c>
      <c r="Z240" s="4">
        <v>0</v>
      </c>
      <c r="AA240" s="4">
        <v>65</v>
      </c>
      <c r="AB240" s="4">
        <v>0</v>
      </c>
      <c r="AC240" s="4">
        <v>0</v>
      </c>
      <c r="AD240" s="4">
        <v>0</v>
      </c>
      <c r="AE240" s="4">
        <v>1</v>
      </c>
      <c r="AF240" s="4">
        <v>0</v>
      </c>
      <c r="AG240" s="4">
        <v>24</v>
      </c>
      <c r="AH240" s="4">
        <v>2</v>
      </c>
      <c r="AI240" s="4">
        <v>38</v>
      </c>
      <c r="AJ240" s="4">
        <v>184</v>
      </c>
      <c r="AK240" s="4">
        <v>127</v>
      </c>
      <c r="AL240" s="4">
        <v>0</v>
      </c>
      <c r="AM240" s="4">
        <v>16</v>
      </c>
      <c r="AN240" s="4">
        <v>26</v>
      </c>
      <c r="AO240" s="4">
        <v>40</v>
      </c>
      <c r="AP240" s="4">
        <v>7</v>
      </c>
      <c r="AQ240" s="4">
        <v>29</v>
      </c>
      <c r="AR240" s="4">
        <v>3</v>
      </c>
      <c r="AS240" s="4">
        <v>26</v>
      </c>
      <c r="AT240" s="4">
        <v>31</v>
      </c>
      <c r="AU240" s="4">
        <v>36</v>
      </c>
      <c r="AV240" s="4">
        <v>49</v>
      </c>
      <c r="AW240" s="4">
        <v>51</v>
      </c>
      <c r="AX240" s="4">
        <v>109</v>
      </c>
      <c r="AY240" s="4">
        <v>8</v>
      </c>
      <c r="AZ240" s="4">
        <v>57</v>
      </c>
      <c r="BA240" s="4">
        <v>0</v>
      </c>
      <c r="BB240" s="4">
        <v>1967</v>
      </c>
      <c r="BC240" s="4">
        <v>66</v>
      </c>
      <c r="BD240" s="4">
        <v>1</v>
      </c>
      <c r="BE240" s="4">
        <v>45</v>
      </c>
      <c r="BF240" s="4">
        <v>44</v>
      </c>
      <c r="BG240" s="4">
        <v>3</v>
      </c>
      <c r="BH240" s="4">
        <v>6</v>
      </c>
      <c r="BI240" s="4">
        <v>3</v>
      </c>
      <c r="BJ240" s="4">
        <v>170</v>
      </c>
      <c r="BK240" s="4">
        <v>137</v>
      </c>
      <c r="BL240" s="4">
        <v>0</v>
      </c>
      <c r="BM240" s="4">
        <v>6</v>
      </c>
      <c r="BN240" s="4">
        <v>101</v>
      </c>
      <c r="BO240" s="4">
        <v>1</v>
      </c>
      <c r="BP240" s="4">
        <v>18</v>
      </c>
      <c r="BQ240" s="4">
        <v>177</v>
      </c>
      <c r="BR240" s="4">
        <v>10</v>
      </c>
      <c r="BS240" s="4">
        <v>185</v>
      </c>
      <c r="BT240" s="4">
        <v>63</v>
      </c>
      <c r="BU240" s="4">
        <v>1</v>
      </c>
      <c r="BV240" s="4">
        <v>34</v>
      </c>
      <c r="BW240" s="4">
        <v>31</v>
      </c>
      <c r="BX240" s="4">
        <v>446</v>
      </c>
      <c r="BY240" s="4">
        <v>1</v>
      </c>
      <c r="BZ240" s="4">
        <v>0</v>
      </c>
      <c r="CA240" s="4">
        <v>66</v>
      </c>
      <c r="CB240" s="4">
        <v>122</v>
      </c>
      <c r="CC240" s="4">
        <v>1</v>
      </c>
      <c r="CD240" s="4">
        <v>35</v>
      </c>
      <c r="CE240" s="4">
        <v>1</v>
      </c>
      <c r="CF240" s="4">
        <v>16</v>
      </c>
      <c r="CG240" s="4">
        <v>54</v>
      </c>
      <c r="CH240" s="4">
        <v>11</v>
      </c>
      <c r="CI240" s="4">
        <v>10</v>
      </c>
      <c r="CJ240" s="4">
        <v>81</v>
      </c>
      <c r="CK240" s="4">
        <v>11</v>
      </c>
      <c r="CL240" s="4">
        <v>1</v>
      </c>
      <c r="CM240" s="4">
        <v>37</v>
      </c>
      <c r="CN240" s="4">
        <v>199</v>
      </c>
      <c r="CO240" s="4">
        <v>70</v>
      </c>
      <c r="CP240" s="4">
        <v>4</v>
      </c>
      <c r="CQ240" s="4">
        <v>0</v>
      </c>
      <c r="CR240" s="4">
        <v>48</v>
      </c>
      <c r="CS240" s="4">
        <v>323</v>
      </c>
      <c r="CT240" s="4">
        <v>24</v>
      </c>
      <c r="CU240" s="4">
        <v>10</v>
      </c>
      <c r="CV240" s="4">
        <v>168</v>
      </c>
      <c r="CW240" s="4">
        <v>1102</v>
      </c>
      <c r="CX240" s="3">
        <v>1102</v>
      </c>
    </row>
    <row r="241" spans="1:102" ht="15.75" x14ac:dyDescent="0.25">
      <c r="A241" s="4" t="s">
        <v>105</v>
      </c>
      <c r="B241" s="4" t="s">
        <v>106</v>
      </c>
      <c r="C241" s="4">
        <v>2019</v>
      </c>
      <c r="D241" s="4">
        <v>120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1</v>
      </c>
      <c r="M241" s="4">
        <v>0</v>
      </c>
      <c r="N241" s="4">
        <v>0</v>
      </c>
      <c r="O241" s="4">
        <v>41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1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1</v>
      </c>
      <c r="AW241" s="4">
        <v>0</v>
      </c>
      <c r="AX241" s="4">
        <v>1</v>
      </c>
      <c r="AY241" s="4">
        <v>0</v>
      </c>
      <c r="AZ241" s="4">
        <v>2</v>
      </c>
      <c r="BA241" s="4">
        <v>0</v>
      </c>
      <c r="BB241" s="4">
        <v>3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1</v>
      </c>
      <c r="BK241" s="4">
        <v>1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49</v>
      </c>
      <c r="BR241" s="4">
        <v>0</v>
      </c>
      <c r="BS241" s="4">
        <v>1</v>
      </c>
      <c r="BT241" s="4">
        <v>0</v>
      </c>
      <c r="BU241" s="4">
        <v>9</v>
      </c>
      <c r="BV241" s="4">
        <v>1</v>
      </c>
      <c r="BW241" s="4">
        <v>0</v>
      </c>
      <c r="BX241" s="4">
        <v>3</v>
      </c>
      <c r="BY241" s="4">
        <v>0</v>
      </c>
      <c r="BZ241" s="4">
        <v>0</v>
      </c>
      <c r="CA241" s="4">
        <v>1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2</v>
      </c>
      <c r="CO241" s="4">
        <v>0</v>
      </c>
      <c r="CP241" s="4">
        <v>0</v>
      </c>
      <c r="CQ241" s="4">
        <v>1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1</v>
      </c>
      <c r="CX241" s="3">
        <v>1</v>
      </c>
    </row>
    <row r="242" spans="1:102" ht="15.75" x14ac:dyDescent="0.25">
      <c r="A242" s="4" t="s">
        <v>107</v>
      </c>
      <c r="B242" s="4" t="s">
        <v>108</v>
      </c>
      <c r="C242" s="4">
        <v>2019</v>
      </c>
      <c r="D242" s="4">
        <v>16</v>
      </c>
      <c r="E242" s="4">
        <v>0</v>
      </c>
      <c r="F242" s="4">
        <v>0</v>
      </c>
      <c r="G242" s="4">
        <v>1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1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1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1</v>
      </c>
      <c r="AU242" s="4">
        <v>0</v>
      </c>
      <c r="AV242" s="4">
        <v>0</v>
      </c>
      <c r="AW242" s="4">
        <v>0</v>
      </c>
      <c r="AX242" s="4">
        <v>2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1</v>
      </c>
      <c r="BY242" s="4">
        <v>0</v>
      </c>
      <c r="BZ242" s="4">
        <v>0</v>
      </c>
      <c r="CA242" s="4">
        <v>0</v>
      </c>
      <c r="CB242" s="4">
        <v>1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1</v>
      </c>
      <c r="CW242" s="4">
        <v>0</v>
      </c>
      <c r="CX242" s="3">
        <v>0</v>
      </c>
    </row>
    <row r="243" spans="1:102" ht="15.75" x14ac:dyDescent="0.25">
      <c r="A243" s="4" t="s">
        <v>109</v>
      </c>
      <c r="B243" s="4" t="s">
        <v>110</v>
      </c>
      <c r="C243" s="4">
        <v>2019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3">
        <v>0</v>
      </c>
    </row>
    <row r="244" spans="1:102" ht="15.75" x14ac:dyDescent="0.25">
      <c r="A244" s="4" t="s">
        <v>111</v>
      </c>
      <c r="B244" s="4" t="s">
        <v>112</v>
      </c>
      <c r="C244" s="4">
        <v>2019</v>
      </c>
      <c r="D244" s="4">
        <v>27</v>
      </c>
      <c r="E244" s="4">
        <v>0</v>
      </c>
      <c r="F244" s="4">
        <v>1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8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1</v>
      </c>
      <c r="AJ244" s="4">
        <v>1</v>
      </c>
      <c r="AK244" s="4">
        <v>0</v>
      </c>
      <c r="AL244" s="4">
        <v>0</v>
      </c>
      <c r="AM244" s="4">
        <v>0</v>
      </c>
      <c r="AN244" s="4">
        <v>0</v>
      </c>
      <c r="AO244" s="4">
        <v>1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1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1</v>
      </c>
      <c r="BG244" s="4">
        <v>0</v>
      </c>
      <c r="BH244" s="4">
        <v>0</v>
      </c>
      <c r="BI244" s="4">
        <v>0</v>
      </c>
      <c r="BJ244" s="4">
        <v>0</v>
      </c>
      <c r="BK244" s="4">
        <v>1</v>
      </c>
      <c r="BL244" s="4">
        <v>0</v>
      </c>
      <c r="BM244" s="4">
        <v>0</v>
      </c>
      <c r="BN244" s="4">
        <v>1</v>
      </c>
      <c r="BO244" s="4">
        <v>0</v>
      </c>
      <c r="BP244" s="4">
        <v>0</v>
      </c>
      <c r="BQ244" s="4">
        <v>1</v>
      </c>
      <c r="BR244" s="4">
        <v>0</v>
      </c>
      <c r="BS244" s="4">
        <v>1</v>
      </c>
      <c r="BT244" s="4">
        <v>0</v>
      </c>
      <c r="BU244" s="4">
        <v>0</v>
      </c>
      <c r="BV244" s="4">
        <v>1</v>
      </c>
      <c r="BW244" s="4">
        <v>0</v>
      </c>
      <c r="BX244" s="4">
        <v>1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1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2</v>
      </c>
      <c r="CU244" s="4">
        <v>0</v>
      </c>
      <c r="CV244" s="4">
        <v>1</v>
      </c>
      <c r="CW244" s="4">
        <v>0</v>
      </c>
      <c r="CX244" s="3">
        <v>0</v>
      </c>
    </row>
    <row r="245" spans="1:102" ht="15.75" x14ac:dyDescent="0.25">
      <c r="A245" s="4" t="s">
        <v>113</v>
      </c>
      <c r="B245" s="4" t="s">
        <v>114</v>
      </c>
      <c r="C245" s="4">
        <v>2019</v>
      </c>
      <c r="D245" s="4">
        <v>17</v>
      </c>
      <c r="E245" s="4">
        <v>0</v>
      </c>
      <c r="F245" s="4">
        <v>1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4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1</v>
      </c>
      <c r="BF245" s="4">
        <v>3</v>
      </c>
      <c r="BG245" s="4">
        <v>0</v>
      </c>
      <c r="BH245" s="4">
        <v>0</v>
      </c>
      <c r="BI245" s="4">
        <v>0</v>
      </c>
      <c r="BJ245" s="4">
        <v>1</v>
      </c>
      <c r="BK245" s="4">
        <v>3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1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1</v>
      </c>
      <c r="CW245" s="4">
        <v>0</v>
      </c>
      <c r="CX245" s="3">
        <v>0</v>
      </c>
    </row>
    <row r="246" spans="1:102" ht="15.75" x14ac:dyDescent="0.25">
      <c r="A246" s="4" t="s">
        <v>115</v>
      </c>
      <c r="B246" s="4" t="s">
        <v>116</v>
      </c>
      <c r="C246" s="4">
        <v>2019</v>
      </c>
      <c r="D246" s="4">
        <v>243</v>
      </c>
      <c r="E246" s="4">
        <v>0</v>
      </c>
      <c r="F246" s="4">
        <v>11</v>
      </c>
      <c r="G246" s="4">
        <v>2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6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3</v>
      </c>
      <c r="AH246" s="4">
        <v>3</v>
      </c>
      <c r="AI246" s="4">
        <v>11</v>
      </c>
      <c r="AJ246" s="4">
        <v>0</v>
      </c>
      <c r="AK246" s="4">
        <v>3</v>
      </c>
      <c r="AL246" s="4">
        <v>0</v>
      </c>
      <c r="AM246" s="4">
        <v>3</v>
      </c>
      <c r="AN246" s="4">
        <v>1</v>
      </c>
      <c r="AO246" s="4">
        <v>28</v>
      </c>
      <c r="AP246" s="4">
        <v>0</v>
      </c>
      <c r="AQ246" s="4">
        <v>3</v>
      </c>
      <c r="AR246" s="4">
        <v>0</v>
      </c>
      <c r="AS246" s="4">
        <v>0</v>
      </c>
      <c r="AT246" s="4">
        <v>1</v>
      </c>
      <c r="AU246" s="4">
        <v>0</v>
      </c>
      <c r="AV246" s="4">
        <v>5</v>
      </c>
      <c r="AW246" s="4">
        <v>0</v>
      </c>
      <c r="AX246" s="4">
        <v>11</v>
      </c>
      <c r="AY246" s="4">
        <v>1</v>
      </c>
      <c r="AZ246" s="4">
        <v>1</v>
      </c>
      <c r="BA246" s="4">
        <v>0</v>
      </c>
      <c r="BB246" s="4">
        <v>58</v>
      </c>
      <c r="BC246" s="4">
        <v>1</v>
      </c>
      <c r="BD246" s="4">
        <v>0</v>
      </c>
      <c r="BE246" s="4">
        <v>5</v>
      </c>
      <c r="BF246" s="4">
        <v>8</v>
      </c>
      <c r="BG246" s="4">
        <v>0</v>
      </c>
      <c r="BH246" s="4">
        <v>0</v>
      </c>
      <c r="BI246" s="4">
        <v>0</v>
      </c>
      <c r="BJ246" s="4">
        <v>22</v>
      </c>
      <c r="BK246" s="4">
        <v>13</v>
      </c>
      <c r="BL246" s="4">
        <v>0</v>
      </c>
      <c r="BM246" s="4">
        <v>0</v>
      </c>
      <c r="BN246" s="4">
        <v>1</v>
      </c>
      <c r="BO246" s="4">
        <v>0</v>
      </c>
      <c r="BP246" s="4">
        <v>1</v>
      </c>
      <c r="BQ246" s="4">
        <v>4</v>
      </c>
      <c r="BR246" s="4">
        <v>0</v>
      </c>
      <c r="BS246" s="4">
        <v>4</v>
      </c>
      <c r="BT246" s="4">
        <v>3</v>
      </c>
      <c r="BU246" s="4">
        <v>0</v>
      </c>
      <c r="BV246" s="4">
        <v>1</v>
      </c>
      <c r="BW246" s="4">
        <v>2</v>
      </c>
      <c r="BX246" s="4">
        <v>3</v>
      </c>
      <c r="BY246" s="4">
        <v>0</v>
      </c>
      <c r="BZ246" s="4">
        <v>0</v>
      </c>
      <c r="CA246" s="4">
        <v>0</v>
      </c>
      <c r="CB246" s="4">
        <v>1</v>
      </c>
      <c r="CC246" s="4">
        <v>0</v>
      </c>
      <c r="CD246" s="4">
        <v>1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1</v>
      </c>
      <c r="CK246" s="4">
        <v>0</v>
      </c>
      <c r="CL246" s="4">
        <v>0</v>
      </c>
      <c r="CM246" s="4">
        <v>3</v>
      </c>
      <c r="CN246" s="4">
        <v>9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2</v>
      </c>
      <c r="CU246" s="4">
        <v>0</v>
      </c>
      <c r="CV246" s="4">
        <v>1</v>
      </c>
      <c r="CW246" s="4">
        <v>2</v>
      </c>
      <c r="CX246" s="3">
        <v>2</v>
      </c>
    </row>
    <row r="247" spans="1:102" ht="15.75" x14ac:dyDescent="0.25">
      <c r="A247" s="4" t="s">
        <v>117</v>
      </c>
      <c r="B247" s="4" t="s">
        <v>118</v>
      </c>
      <c r="C247" s="4">
        <v>2019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3">
        <v>0</v>
      </c>
    </row>
    <row r="248" spans="1:102" ht="15.75" x14ac:dyDescent="0.25">
      <c r="A248" s="4" t="s">
        <v>119</v>
      </c>
      <c r="B248" s="4" t="s">
        <v>120</v>
      </c>
      <c r="C248" s="4">
        <v>2019</v>
      </c>
      <c r="D248" s="4">
        <v>410</v>
      </c>
      <c r="E248" s="4">
        <v>0</v>
      </c>
      <c r="F248" s="4">
        <v>0</v>
      </c>
      <c r="G248" s="4">
        <v>0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 s="4">
        <v>1</v>
      </c>
      <c r="N248" s="4">
        <v>2</v>
      </c>
      <c r="O248" s="4">
        <v>15</v>
      </c>
      <c r="P248" s="4">
        <v>1</v>
      </c>
      <c r="Q248" s="4">
        <v>0</v>
      </c>
      <c r="R248" s="4">
        <v>1</v>
      </c>
      <c r="S248" s="4">
        <v>0</v>
      </c>
      <c r="T248" s="4">
        <v>0</v>
      </c>
      <c r="U248" s="4">
        <v>0</v>
      </c>
      <c r="V248" s="4">
        <v>1</v>
      </c>
      <c r="W248" s="4">
        <v>0</v>
      </c>
      <c r="X248" s="4">
        <v>0</v>
      </c>
      <c r="Y248" s="4">
        <v>0</v>
      </c>
      <c r="Z248" s="4">
        <v>0</v>
      </c>
      <c r="AA248" s="4">
        <v>2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11</v>
      </c>
      <c r="AH248" s="4">
        <v>1</v>
      </c>
      <c r="AI248" s="4">
        <v>3</v>
      </c>
      <c r="AJ248" s="4">
        <v>97</v>
      </c>
      <c r="AK248" s="4">
        <v>16</v>
      </c>
      <c r="AL248" s="4">
        <v>1</v>
      </c>
      <c r="AM248" s="4">
        <v>5</v>
      </c>
      <c r="AN248" s="4">
        <v>3</v>
      </c>
      <c r="AO248" s="4">
        <v>20</v>
      </c>
      <c r="AP248" s="4">
        <v>0</v>
      </c>
      <c r="AQ248" s="4">
        <v>2</v>
      </c>
      <c r="AR248" s="4">
        <v>0</v>
      </c>
      <c r="AS248" s="4">
        <v>1</v>
      </c>
      <c r="AT248" s="4">
        <v>1</v>
      </c>
      <c r="AU248" s="4">
        <v>2</v>
      </c>
      <c r="AV248" s="4">
        <v>11</v>
      </c>
      <c r="AW248" s="4">
        <v>89</v>
      </c>
      <c r="AX248" s="4">
        <v>6</v>
      </c>
      <c r="AY248" s="4">
        <v>0</v>
      </c>
      <c r="AZ248" s="4">
        <v>3</v>
      </c>
      <c r="BA248" s="4">
        <v>0</v>
      </c>
      <c r="BB248" s="4">
        <v>12</v>
      </c>
      <c r="BC248" s="4">
        <v>1</v>
      </c>
      <c r="BD248" s="4">
        <v>0</v>
      </c>
      <c r="BE248" s="4">
        <v>4</v>
      </c>
      <c r="BF248" s="4">
        <v>11</v>
      </c>
      <c r="BG248" s="4">
        <v>0</v>
      </c>
      <c r="BH248" s="4">
        <v>1</v>
      </c>
      <c r="BI248" s="4">
        <v>0</v>
      </c>
      <c r="BJ248" s="4">
        <v>12</v>
      </c>
      <c r="BK248" s="4">
        <v>13</v>
      </c>
      <c r="BL248" s="4">
        <v>0</v>
      </c>
      <c r="BM248" s="4">
        <v>0</v>
      </c>
      <c r="BN248" s="4">
        <v>1</v>
      </c>
      <c r="BO248" s="4">
        <v>0</v>
      </c>
      <c r="BP248" s="4">
        <v>2</v>
      </c>
      <c r="BQ248" s="4">
        <v>3</v>
      </c>
      <c r="BR248" s="4">
        <v>0</v>
      </c>
      <c r="BS248" s="4">
        <v>6</v>
      </c>
      <c r="BT248" s="4">
        <v>5</v>
      </c>
      <c r="BU248" s="4">
        <v>0</v>
      </c>
      <c r="BV248" s="4">
        <v>2</v>
      </c>
      <c r="BW248" s="4">
        <v>1</v>
      </c>
      <c r="BX248" s="4">
        <v>3</v>
      </c>
      <c r="BY248" s="4">
        <v>2</v>
      </c>
      <c r="BZ248" s="4">
        <v>0</v>
      </c>
      <c r="CA248" s="4">
        <v>1</v>
      </c>
      <c r="CB248" s="4">
        <v>1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3</v>
      </c>
      <c r="CN248" s="4">
        <v>13</v>
      </c>
      <c r="CO248" s="4">
        <v>1</v>
      </c>
      <c r="CP248" s="4">
        <v>0</v>
      </c>
      <c r="CQ248" s="4">
        <v>0</v>
      </c>
      <c r="CR248" s="4">
        <v>0</v>
      </c>
      <c r="CS248" s="4">
        <v>0</v>
      </c>
      <c r="CT248" s="4">
        <v>2</v>
      </c>
      <c r="CU248" s="4">
        <v>0</v>
      </c>
      <c r="CV248" s="4">
        <v>9</v>
      </c>
      <c r="CW248" s="4">
        <v>1</v>
      </c>
      <c r="CX248" s="3">
        <v>1</v>
      </c>
    </row>
    <row r="249" spans="1:102" ht="15.75" x14ac:dyDescent="0.25">
      <c r="A249" s="4" t="s">
        <v>121</v>
      </c>
      <c r="B249" s="4" t="s">
        <v>122</v>
      </c>
      <c r="C249" s="4">
        <v>2019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3">
        <v>0</v>
      </c>
    </row>
    <row r="250" spans="1:102" ht="15.75" x14ac:dyDescent="0.25">
      <c r="A250" s="4" t="s">
        <v>123</v>
      </c>
      <c r="B250" s="4" t="s">
        <v>124</v>
      </c>
      <c r="C250" s="4">
        <v>2019</v>
      </c>
      <c r="D250" s="4">
        <v>1939</v>
      </c>
      <c r="E250" s="4">
        <v>0</v>
      </c>
      <c r="F250" s="4">
        <v>6</v>
      </c>
      <c r="G250" s="4">
        <v>3</v>
      </c>
      <c r="H250" s="4">
        <v>2</v>
      </c>
      <c r="I250" s="4">
        <v>5</v>
      </c>
      <c r="J250" s="4">
        <v>6</v>
      </c>
      <c r="K250" s="4">
        <v>4</v>
      </c>
      <c r="L250" s="4">
        <v>6</v>
      </c>
      <c r="M250" s="4">
        <v>6</v>
      </c>
      <c r="N250" s="4">
        <v>15</v>
      </c>
      <c r="O250" s="4">
        <v>29</v>
      </c>
      <c r="P250" s="4">
        <v>0</v>
      </c>
      <c r="Q250" s="4">
        <v>1</v>
      </c>
      <c r="R250" s="4">
        <v>0</v>
      </c>
      <c r="S250" s="4">
        <v>0</v>
      </c>
      <c r="T250" s="4">
        <v>4</v>
      </c>
      <c r="U250" s="4">
        <v>1</v>
      </c>
      <c r="V250" s="4">
        <v>1</v>
      </c>
      <c r="W250" s="4">
        <v>19</v>
      </c>
      <c r="X250" s="4">
        <v>1</v>
      </c>
      <c r="Y250" s="4">
        <v>0</v>
      </c>
      <c r="Z250" s="4">
        <v>0</v>
      </c>
      <c r="AA250" s="4">
        <v>5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21</v>
      </c>
      <c r="AH250" s="4">
        <v>5</v>
      </c>
      <c r="AI250" s="4">
        <v>43</v>
      </c>
      <c r="AJ250" s="4">
        <v>140</v>
      </c>
      <c r="AK250" s="4">
        <v>15</v>
      </c>
      <c r="AL250" s="4">
        <v>2</v>
      </c>
      <c r="AM250" s="4">
        <v>32</v>
      </c>
      <c r="AN250" s="4">
        <v>24</v>
      </c>
      <c r="AO250" s="4">
        <v>36</v>
      </c>
      <c r="AP250" s="4">
        <v>1</v>
      </c>
      <c r="AQ250" s="4">
        <v>17</v>
      </c>
      <c r="AR250" s="4">
        <v>5</v>
      </c>
      <c r="AS250" s="4">
        <v>11</v>
      </c>
      <c r="AT250" s="4">
        <v>27</v>
      </c>
      <c r="AU250" s="4">
        <v>47</v>
      </c>
      <c r="AV250" s="4">
        <v>24</v>
      </c>
      <c r="AW250" s="4">
        <v>57</v>
      </c>
      <c r="AX250" s="4">
        <v>59</v>
      </c>
      <c r="AY250" s="4">
        <v>0</v>
      </c>
      <c r="AZ250" s="4">
        <v>4</v>
      </c>
      <c r="BA250" s="4">
        <v>0</v>
      </c>
      <c r="BB250" s="4">
        <v>145</v>
      </c>
      <c r="BC250" s="4">
        <v>10</v>
      </c>
      <c r="BD250" s="4">
        <v>0</v>
      </c>
      <c r="BE250" s="4">
        <v>21</v>
      </c>
      <c r="BF250" s="4">
        <v>57</v>
      </c>
      <c r="BG250" s="4">
        <v>2</v>
      </c>
      <c r="BH250" s="4">
        <v>2</v>
      </c>
      <c r="BI250" s="4">
        <v>0</v>
      </c>
      <c r="BJ250" s="4">
        <v>43</v>
      </c>
      <c r="BK250" s="4">
        <v>57</v>
      </c>
      <c r="BL250" s="4">
        <v>0</v>
      </c>
      <c r="BM250" s="4">
        <v>7</v>
      </c>
      <c r="BN250" s="4">
        <v>26</v>
      </c>
      <c r="BO250" s="4">
        <v>1</v>
      </c>
      <c r="BP250" s="4">
        <v>16</v>
      </c>
      <c r="BQ250" s="4">
        <v>36</v>
      </c>
      <c r="BR250" s="4">
        <v>3</v>
      </c>
      <c r="BS250" s="4">
        <v>95</v>
      </c>
      <c r="BT250" s="4">
        <v>50</v>
      </c>
      <c r="BU250" s="4">
        <v>1</v>
      </c>
      <c r="BV250" s="4">
        <v>90</v>
      </c>
      <c r="BW250" s="4">
        <v>10</v>
      </c>
      <c r="BX250" s="4">
        <v>210</v>
      </c>
      <c r="BY250" s="4">
        <v>2</v>
      </c>
      <c r="BZ250" s="4">
        <v>4</v>
      </c>
      <c r="CA250" s="4">
        <v>18</v>
      </c>
      <c r="CB250" s="4">
        <v>1</v>
      </c>
      <c r="CC250" s="4">
        <v>1</v>
      </c>
      <c r="CD250" s="4">
        <v>34</v>
      </c>
      <c r="CE250" s="4">
        <v>0</v>
      </c>
      <c r="CF250" s="4">
        <v>5</v>
      </c>
      <c r="CG250" s="4">
        <v>2</v>
      </c>
      <c r="CH250" s="4">
        <v>5</v>
      </c>
      <c r="CI250" s="4">
        <v>9</v>
      </c>
      <c r="CJ250" s="4">
        <v>82</v>
      </c>
      <c r="CK250" s="4">
        <v>22</v>
      </c>
      <c r="CL250" s="4">
        <v>0</v>
      </c>
      <c r="CM250" s="4">
        <v>9</v>
      </c>
      <c r="CN250" s="4">
        <v>46</v>
      </c>
      <c r="CO250" s="4">
        <v>5</v>
      </c>
      <c r="CP250" s="4">
        <v>6</v>
      </c>
      <c r="CQ250" s="4">
        <v>0</v>
      </c>
      <c r="CR250" s="4">
        <v>6</v>
      </c>
      <c r="CS250" s="4">
        <v>4</v>
      </c>
      <c r="CT250" s="4">
        <v>18</v>
      </c>
      <c r="CU250" s="4">
        <v>12</v>
      </c>
      <c r="CV250" s="4">
        <v>78</v>
      </c>
      <c r="CW250" s="4">
        <v>3</v>
      </c>
      <c r="CX250" s="3">
        <v>3</v>
      </c>
    </row>
    <row r="251" spans="1:102" ht="15.75" x14ac:dyDescent="0.25">
      <c r="A251" s="4" t="s">
        <v>125</v>
      </c>
      <c r="B251" s="4" t="s">
        <v>126</v>
      </c>
      <c r="C251" s="4">
        <v>2019</v>
      </c>
      <c r="D251" s="4">
        <v>4550</v>
      </c>
      <c r="E251" s="4">
        <v>19</v>
      </c>
      <c r="F251" s="4">
        <v>4</v>
      </c>
      <c r="G251" s="4">
        <v>19</v>
      </c>
      <c r="H251" s="4">
        <v>7</v>
      </c>
      <c r="I251" s="4">
        <v>79</v>
      </c>
      <c r="J251" s="4">
        <v>9</v>
      </c>
      <c r="K251" s="4">
        <v>9</v>
      </c>
      <c r="L251" s="4">
        <v>35</v>
      </c>
      <c r="M251" s="4">
        <v>64</v>
      </c>
      <c r="N251" s="4">
        <v>49</v>
      </c>
      <c r="O251" s="4">
        <v>200</v>
      </c>
      <c r="P251" s="4">
        <v>0</v>
      </c>
      <c r="Q251" s="4">
        <v>0</v>
      </c>
      <c r="R251" s="4">
        <v>2</v>
      </c>
      <c r="S251" s="4">
        <v>0</v>
      </c>
      <c r="T251" s="4">
        <v>0</v>
      </c>
      <c r="U251" s="4">
        <v>3</v>
      </c>
      <c r="V251" s="4">
        <v>3</v>
      </c>
      <c r="W251" s="4">
        <v>10</v>
      </c>
      <c r="X251" s="4">
        <v>3</v>
      </c>
      <c r="Y251" s="4">
        <v>4</v>
      </c>
      <c r="Z251" s="4">
        <v>0</v>
      </c>
      <c r="AA251" s="4">
        <v>48</v>
      </c>
      <c r="AB251" s="4">
        <v>0</v>
      </c>
      <c r="AC251" s="4">
        <v>0</v>
      </c>
      <c r="AD251" s="4">
        <v>0</v>
      </c>
      <c r="AE251" s="4">
        <v>2</v>
      </c>
      <c r="AF251" s="4">
        <v>1</v>
      </c>
      <c r="AG251" s="4">
        <v>27</v>
      </c>
      <c r="AH251" s="4">
        <v>3</v>
      </c>
      <c r="AI251" s="4">
        <v>28</v>
      </c>
      <c r="AJ251" s="4">
        <v>557</v>
      </c>
      <c r="AK251" s="4">
        <v>106</v>
      </c>
      <c r="AL251" s="4">
        <v>5</v>
      </c>
      <c r="AM251" s="4">
        <v>18</v>
      </c>
      <c r="AN251" s="4">
        <v>45</v>
      </c>
      <c r="AO251" s="4">
        <v>63</v>
      </c>
      <c r="AP251" s="4">
        <v>3</v>
      </c>
      <c r="AQ251" s="4">
        <v>19</v>
      </c>
      <c r="AR251" s="4">
        <v>2</v>
      </c>
      <c r="AS251" s="4">
        <v>30</v>
      </c>
      <c r="AT251" s="4">
        <v>28</v>
      </c>
      <c r="AU251" s="4">
        <v>63</v>
      </c>
      <c r="AV251" s="4">
        <v>18</v>
      </c>
      <c r="AW251" s="4">
        <v>39</v>
      </c>
      <c r="AX251" s="4">
        <v>88</v>
      </c>
      <c r="AY251" s="4">
        <v>7</v>
      </c>
      <c r="AZ251" s="4">
        <v>24</v>
      </c>
      <c r="BA251" s="4">
        <v>0</v>
      </c>
      <c r="BB251" s="4">
        <v>93</v>
      </c>
      <c r="BC251" s="4">
        <v>13</v>
      </c>
      <c r="BD251" s="4">
        <v>1</v>
      </c>
      <c r="BE251" s="4">
        <v>51</v>
      </c>
      <c r="BF251" s="4">
        <v>198</v>
      </c>
      <c r="BG251" s="4">
        <v>3</v>
      </c>
      <c r="BH251" s="4">
        <v>8</v>
      </c>
      <c r="BI251" s="4">
        <v>1</v>
      </c>
      <c r="BJ251" s="4">
        <v>129</v>
      </c>
      <c r="BK251" s="4">
        <v>194</v>
      </c>
      <c r="BL251" s="4">
        <v>0</v>
      </c>
      <c r="BM251" s="4">
        <v>4</v>
      </c>
      <c r="BN251" s="4">
        <v>36</v>
      </c>
      <c r="BO251" s="4">
        <v>1</v>
      </c>
      <c r="BP251" s="4">
        <v>14</v>
      </c>
      <c r="BQ251" s="4">
        <v>62</v>
      </c>
      <c r="BR251" s="4">
        <v>7</v>
      </c>
      <c r="BS251" s="4">
        <v>105</v>
      </c>
      <c r="BT251" s="4">
        <v>91</v>
      </c>
      <c r="BU251" s="4">
        <v>6</v>
      </c>
      <c r="BV251" s="4">
        <v>76</v>
      </c>
      <c r="BW251" s="4">
        <v>99</v>
      </c>
      <c r="BX251" s="4">
        <v>588</v>
      </c>
      <c r="BY251" s="4">
        <v>7</v>
      </c>
      <c r="BZ251" s="4">
        <v>2</v>
      </c>
      <c r="CA251" s="4">
        <v>62</v>
      </c>
      <c r="CB251" s="4">
        <v>12</v>
      </c>
      <c r="CC251" s="4">
        <v>1</v>
      </c>
      <c r="CD251" s="4">
        <v>11</v>
      </c>
      <c r="CE251" s="4">
        <v>1</v>
      </c>
      <c r="CF251" s="4">
        <v>12</v>
      </c>
      <c r="CG251" s="4">
        <v>6</v>
      </c>
      <c r="CH251" s="4">
        <v>7</v>
      </c>
      <c r="CI251" s="4">
        <v>10</v>
      </c>
      <c r="CJ251" s="4">
        <v>185</v>
      </c>
      <c r="CK251" s="4">
        <v>28</v>
      </c>
      <c r="CL251" s="4">
        <v>0</v>
      </c>
      <c r="CM251" s="4">
        <v>21</v>
      </c>
      <c r="CN251" s="4">
        <v>152</v>
      </c>
      <c r="CO251" s="4">
        <v>23</v>
      </c>
      <c r="CP251" s="4">
        <v>8</v>
      </c>
      <c r="CQ251" s="4">
        <v>1</v>
      </c>
      <c r="CR251" s="4">
        <v>24</v>
      </c>
      <c r="CS251" s="4">
        <v>14</v>
      </c>
      <c r="CT251" s="4">
        <v>32</v>
      </c>
      <c r="CU251" s="4">
        <v>24</v>
      </c>
      <c r="CV251" s="4">
        <v>349</v>
      </c>
      <c r="CW251" s="4">
        <v>33</v>
      </c>
      <c r="CX251" s="3">
        <v>33</v>
      </c>
    </row>
    <row r="252" spans="1:102" ht="15.75" x14ac:dyDescent="0.25">
      <c r="A252" s="4" t="s">
        <v>127</v>
      </c>
      <c r="B252" s="4" t="s">
        <v>128</v>
      </c>
      <c r="C252" s="4">
        <v>2019</v>
      </c>
      <c r="D252" s="4">
        <v>13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10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1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3">
        <v>0</v>
      </c>
    </row>
    <row r="253" spans="1:102" ht="15.75" x14ac:dyDescent="0.25">
      <c r="A253" s="4" t="s">
        <v>129</v>
      </c>
      <c r="B253" s="4" t="s">
        <v>130</v>
      </c>
      <c r="C253" s="4">
        <v>2019</v>
      </c>
      <c r="D253" s="4">
        <v>344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28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1</v>
      </c>
      <c r="W253" s="4">
        <v>0</v>
      </c>
      <c r="X253" s="4">
        <v>0</v>
      </c>
      <c r="Y253" s="4">
        <v>0</v>
      </c>
      <c r="Z253" s="4">
        <v>0</v>
      </c>
      <c r="AA253" s="4">
        <v>1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1</v>
      </c>
      <c r="AJ253" s="4">
        <v>0</v>
      </c>
      <c r="AK253" s="4">
        <v>1</v>
      </c>
      <c r="AL253" s="4">
        <v>0</v>
      </c>
      <c r="AM253" s="4">
        <v>2</v>
      </c>
      <c r="AN253" s="4">
        <v>1</v>
      </c>
      <c r="AO253" s="4">
        <v>4</v>
      </c>
      <c r="AP253" s="4">
        <v>0</v>
      </c>
      <c r="AQ253" s="4">
        <v>4</v>
      </c>
      <c r="AR253" s="4">
        <v>0</v>
      </c>
      <c r="AS253" s="4">
        <v>0</v>
      </c>
      <c r="AT253" s="4">
        <v>1</v>
      </c>
      <c r="AU253" s="4">
        <v>1</v>
      </c>
      <c r="AV253" s="4">
        <v>8</v>
      </c>
      <c r="AW253" s="4">
        <v>1</v>
      </c>
      <c r="AX253" s="4">
        <v>13</v>
      </c>
      <c r="AY253" s="4">
        <v>0</v>
      </c>
      <c r="AZ253" s="4">
        <v>4</v>
      </c>
      <c r="BA253" s="4">
        <v>0</v>
      </c>
      <c r="BB253" s="4">
        <v>92</v>
      </c>
      <c r="BC253" s="4">
        <v>2</v>
      </c>
      <c r="BD253" s="4">
        <v>0</v>
      </c>
      <c r="BE253" s="4">
        <v>8</v>
      </c>
      <c r="BF253" s="4">
        <v>6</v>
      </c>
      <c r="BG253" s="4">
        <v>0</v>
      </c>
      <c r="BH253" s="4">
        <v>0</v>
      </c>
      <c r="BI253" s="4">
        <v>0</v>
      </c>
      <c r="BJ253" s="4">
        <v>30</v>
      </c>
      <c r="BK253" s="4">
        <v>13</v>
      </c>
      <c r="BL253" s="4">
        <v>0</v>
      </c>
      <c r="BM253" s="4">
        <v>0</v>
      </c>
      <c r="BN253" s="4">
        <v>2</v>
      </c>
      <c r="BO253" s="4">
        <v>0</v>
      </c>
      <c r="BP253" s="4">
        <v>1</v>
      </c>
      <c r="BQ253" s="4">
        <v>4</v>
      </c>
      <c r="BR253" s="4">
        <v>0</v>
      </c>
      <c r="BS253" s="4">
        <v>11</v>
      </c>
      <c r="BT253" s="4">
        <v>3</v>
      </c>
      <c r="BU253" s="4">
        <v>0</v>
      </c>
      <c r="BV253" s="4">
        <v>1</v>
      </c>
      <c r="BW253" s="4">
        <v>0</v>
      </c>
      <c r="BX253" s="4">
        <v>15</v>
      </c>
      <c r="BY253" s="4">
        <v>0</v>
      </c>
      <c r="BZ253" s="4">
        <v>0</v>
      </c>
      <c r="CA253" s="4">
        <v>6</v>
      </c>
      <c r="CB253" s="4">
        <v>0</v>
      </c>
      <c r="CC253" s="4">
        <v>0</v>
      </c>
      <c r="CD253" s="4">
        <v>1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2</v>
      </c>
      <c r="CK253" s="4">
        <v>0</v>
      </c>
      <c r="CL253" s="4">
        <v>0</v>
      </c>
      <c r="CM253" s="4">
        <v>2</v>
      </c>
      <c r="CN253" s="4">
        <v>7</v>
      </c>
      <c r="CO253" s="4">
        <v>3</v>
      </c>
      <c r="CP253" s="4">
        <v>0</v>
      </c>
      <c r="CQ253" s="4">
        <v>0</v>
      </c>
      <c r="CR253" s="4">
        <v>0</v>
      </c>
      <c r="CS253" s="4">
        <v>54</v>
      </c>
      <c r="CT253" s="4">
        <v>0</v>
      </c>
      <c r="CU253" s="4">
        <v>1</v>
      </c>
      <c r="CV253" s="4">
        <v>3</v>
      </c>
      <c r="CW253" s="4">
        <v>3</v>
      </c>
      <c r="CX253" s="3">
        <v>3</v>
      </c>
    </row>
    <row r="254" spans="1:102" ht="15.75" x14ac:dyDescent="0.25">
      <c r="A254" s="4" t="s">
        <v>131</v>
      </c>
      <c r="B254" s="4" t="s">
        <v>132</v>
      </c>
      <c r="C254" s="4">
        <v>2019</v>
      </c>
      <c r="D254" s="4">
        <v>27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1</v>
      </c>
      <c r="O254" s="4">
        <v>1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2</v>
      </c>
      <c r="AK254" s="4">
        <v>0</v>
      </c>
      <c r="AL254" s="4">
        <v>0</v>
      </c>
      <c r="AM254" s="4">
        <v>3</v>
      </c>
      <c r="AN254" s="4">
        <v>0</v>
      </c>
      <c r="AO254" s="4">
        <v>1</v>
      </c>
      <c r="AP254" s="4">
        <v>0</v>
      </c>
      <c r="AQ254" s="4">
        <v>0</v>
      </c>
      <c r="AR254" s="4">
        <v>0</v>
      </c>
      <c r="AS254" s="4">
        <v>1</v>
      </c>
      <c r="AT254" s="4">
        <v>1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2</v>
      </c>
      <c r="BC254" s="4">
        <v>0</v>
      </c>
      <c r="BD254" s="4">
        <v>0</v>
      </c>
      <c r="BE254" s="4">
        <v>0</v>
      </c>
      <c r="BF254" s="4">
        <v>3</v>
      </c>
      <c r="BG254" s="4">
        <v>1</v>
      </c>
      <c r="BH254" s="4">
        <v>0</v>
      </c>
      <c r="BI254" s="4">
        <v>0</v>
      </c>
      <c r="BJ254" s="4">
        <v>1</v>
      </c>
      <c r="BK254" s="4">
        <v>1</v>
      </c>
      <c r="BL254" s="4">
        <v>0</v>
      </c>
      <c r="BM254" s="4">
        <v>0</v>
      </c>
      <c r="BN254" s="4">
        <v>1</v>
      </c>
      <c r="BO254" s="4">
        <v>0</v>
      </c>
      <c r="BP254" s="4">
        <v>0</v>
      </c>
      <c r="BQ254" s="4">
        <v>1</v>
      </c>
      <c r="BR254" s="4">
        <v>0</v>
      </c>
      <c r="BS254" s="4">
        <v>0</v>
      </c>
      <c r="BT254" s="4">
        <v>0</v>
      </c>
      <c r="BU254" s="4">
        <v>0</v>
      </c>
      <c r="BV254" s="4">
        <v>1</v>
      </c>
      <c r="BW254" s="4">
        <v>1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1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1</v>
      </c>
      <c r="CU254" s="4">
        <v>0</v>
      </c>
      <c r="CV254" s="4">
        <v>1</v>
      </c>
      <c r="CW254" s="4">
        <v>0</v>
      </c>
      <c r="CX254" s="3">
        <v>0</v>
      </c>
    </row>
    <row r="255" spans="1:102" ht="15.75" x14ac:dyDescent="0.25">
      <c r="A255" s="4" t="s">
        <v>133</v>
      </c>
      <c r="B255" s="4" t="s">
        <v>134</v>
      </c>
      <c r="C255" s="4">
        <v>2019</v>
      </c>
      <c r="D255" s="4">
        <v>47</v>
      </c>
      <c r="E255" s="4">
        <v>0</v>
      </c>
      <c r="F255" s="4">
        <v>2</v>
      </c>
      <c r="G255" s="4">
        <v>2</v>
      </c>
      <c r="H255" s="4">
        <v>0</v>
      </c>
      <c r="I255" s="4">
        <v>1</v>
      </c>
      <c r="J255" s="4">
        <v>1</v>
      </c>
      <c r="K255" s="4">
        <v>1</v>
      </c>
      <c r="L255" s="4">
        <v>0</v>
      </c>
      <c r="M255" s="4">
        <v>0</v>
      </c>
      <c r="N255" s="4">
        <v>2</v>
      </c>
      <c r="O255" s="4">
        <v>3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2</v>
      </c>
      <c r="AK255" s="4">
        <v>2</v>
      </c>
      <c r="AL255" s="4">
        <v>0</v>
      </c>
      <c r="AM255" s="4">
        <v>0</v>
      </c>
      <c r="AN255" s="4">
        <v>0</v>
      </c>
      <c r="AO255" s="4">
        <v>1</v>
      </c>
      <c r="AP255" s="4">
        <v>0</v>
      </c>
      <c r="AQ255" s="4">
        <v>0</v>
      </c>
      <c r="AR255" s="4">
        <v>0</v>
      </c>
      <c r="AS255" s="4">
        <v>1</v>
      </c>
      <c r="AT255" s="4">
        <v>0</v>
      </c>
      <c r="AU255" s="4">
        <v>1</v>
      </c>
      <c r="AV255" s="4">
        <v>0</v>
      </c>
      <c r="AW255" s="4">
        <v>0</v>
      </c>
      <c r="AX255" s="4">
        <v>2</v>
      </c>
      <c r="AY255" s="4">
        <v>0</v>
      </c>
      <c r="AZ255" s="4">
        <v>1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1</v>
      </c>
      <c r="BG255" s="4">
        <v>0</v>
      </c>
      <c r="BH255" s="4">
        <v>0</v>
      </c>
      <c r="BI255" s="4">
        <v>0</v>
      </c>
      <c r="BJ255" s="4">
        <v>1</v>
      </c>
      <c r="BK255" s="4">
        <v>1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1</v>
      </c>
      <c r="BT255" s="4">
        <v>1</v>
      </c>
      <c r="BU255" s="4">
        <v>0</v>
      </c>
      <c r="BV255" s="4">
        <v>2</v>
      </c>
      <c r="BW255" s="4">
        <v>1</v>
      </c>
      <c r="BX255" s="4">
        <v>3</v>
      </c>
      <c r="BY255" s="4">
        <v>0</v>
      </c>
      <c r="BZ255" s="4">
        <v>1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1</v>
      </c>
      <c r="CU255" s="4">
        <v>1</v>
      </c>
      <c r="CV255" s="4">
        <v>3</v>
      </c>
      <c r="CW255" s="4">
        <v>1</v>
      </c>
      <c r="CX255" s="3">
        <v>1</v>
      </c>
    </row>
    <row r="256" spans="1:102" ht="15.75" x14ac:dyDescent="0.25">
      <c r="A256" s="4" t="s">
        <v>135</v>
      </c>
      <c r="B256" s="4" t="s">
        <v>136</v>
      </c>
      <c r="C256" s="4">
        <v>2019</v>
      </c>
      <c r="D256" s="4">
        <v>435</v>
      </c>
      <c r="E256" s="4">
        <v>3</v>
      </c>
      <c r="F256" s="4">
        <v>0</v>
      </c>
      <c r="G256" s="4">
        <v>1</v>
      </c>
      <c r="H256" s="4">
        <v>0</v>
      </c>
      <c r="I256" s="4">
        <v>0</v>
      </c>
      <c r="J256" s="4">
        <v>2</v>
      </c>
      <c r="K256" s="4">
        <v>0</v>
      </c>
      <c r="L256" s="4">
        <v>0</v>
      </c>
      <c r="M256" s="4">
        <v>6</v>
      </c>
      <c r="N256" s="4">
        <v>1</v>
      </c>
      <c r="O256" s="4">
        <v>1</v>
      </c>
      <c r="P256" s="4">
        <v>0</v>
      </c>
      <c r="Q256" s="4">
        <v>0</v>
      </c>
      <c r="R256" s="4">
        <v>0</v>
      </c>
      <c r="S256" s="4">
        <v>0</v>
      </c>
      <c r="T256" s="4">
        <v>2</v>
      </c>
      <c r="U256" s="4">
        <v>2</v>
      </c>
      <c r="V256" s="4">
        <v>2</v>
      </c>
      <c r="W256" s="4">
        <v>222</v>
      </c>
      <c r="X256" s="4">
        <v>1</v>
      </c>
      <c r="Y256" s="4">
        <v>0</v>
      </c>
      <c r="Z256" s="4">
        <v>0</v>
      </c>
      <c r="AA256" s="4">
        <v>1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3</v>
      </c>
      <c r="AH256" s="4">
        <v>0</v>
      </c>
      <c r="AI256" s="4">
        <v>2</v>
      </c>
      <c r="AJ256" s="4">
        <v>2</v>
      </c>
      <c r="AK256" s="4">
        <v>1</v>
      </c>
      <c r="AL256" s="4">
        <v>0</v>
      </c>
      <c r="AM256" s="4">
        <v>3</v>
      </c>
      <c r="AN256" s="4">
        <v>1</v>
      </c>
      <c r="AO256" s="4">
        <v>3</v>
      </c>
      <c r="AP256" s="4">
        <v>0</v>
      </c>
      <c r="AQ256" s="4">
        <v>0</v>
      </c>
      <c r="AR256" s="4">
        <v>0</v>
      </c>
      <c r="AS256" s="4">
        <v>0</v>
      </c>
      <c r="AT256" s="4">
        <v>4</v>
      </c>
      <c r="AU256" s="4">
        <v>1</v>
      </c>
      <c r="AV256" s="4">
        <v>6</v>
      </c>
      <c r="AW256" s="4">
        <v>2</v>
      </c>
      <c r="AX256" s="4">
        <v>3</v>
      </c>
      <c r="AY256" s="4">
        <v>0</v>
      </c>
      <c r="AZ256" s="4">
        <v>26</v>
      </c>
      <c r="BA256" s="4">
        <v>0</v>
      </c>
      <c r="BB256" s="4">
        <v>14</v>
      </c>
      <c r="BC256" s="4">
        <v>3</v>
      </c>
      <c r="BD256" s="4">
        <v>0</v>
      </c>
      <c r="BE256" s="4">
        <v>1</v>
      </c>
      <c r="BF256" s="4">
        <v>6</v>
      </c>
      <c r="BG256" s="4">
        <v>0</v>
      </c>
      <c r="BH256" s="4">
        <v>1</v>
      </c>
      <c r="BI256" s="4">
        <v>0</v>
      </c>
      <c r="BJ256" s="4">
        <v>5</v>
      </c>
      <c r="BK256" s="4">
        <v>19</v>
      </c>
      <c r="BL256" s="4">
        <v>0</v>
      </c>
      <c r="BM256" s="4">
        <v>0</v>
      </c>
      <c r="BN256" s="4">
        <v>2</v>
      </c>
      <c r="BO256" s="4">
        <v>0</v>
      </c>
      <c r="BP256" s="4">
        <v>0</v>
      </c>
      <c r="BQ256" s="4">
        <v>1</v>
      </c>
      <c r="BR256" s="4">
        <v>0</v>
      </c>
      <c r="BS256" s="4">
        <v>5</v>
      </c>
      <c r="BT256" s="4">
        <v>9</v>
      </c>
      <c r="BU256" s="4">
        <v>0</v>
      </c>
      <c r="BV256" s="4">
        <v>0</v>
      </c>
      <c r="BW256" s="4">
        <v>2</v>
      </c>
      <c r="BX256" s="4">
        <v>17</v>
      </c>
      <c r="BY256" s="4">
        <v>0</v>
      </c>
      <c r="BZ256" s="4">
        <v>0</v>
      </c>
      <c r="CA256" s="4">
        <v>22</v>
      </c>
      <c r="CB256" s="4">
        <v>6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1</v>
      </c>
      <c r="CN256" s="4">
        <v>11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1</v>
      </c>
      <c r="CU256" s="4">
        <v>0</v>
      </c>
      <c r="CV256" s="4">
        <v>3</v>
      </c>
      <c r="CW256" s="4">
        <v>1</v>
      </c>
      <c r="CX256" s="3">
        <v>1</v>
      </c>
    </row>
    <row r="257" spans="1:102" ht="15.75" x14ac:dyDescent="0.25">
      <c r="A257" s="4" t="s">
        <v>137</v>
      </c>
      <c r="B257" s="4" t="s">
        <v>138</v>
      </c>
      <c r="C257" s="4">
        <v>2019</v>
      </c>
      <c r="D257" s="4">
        <v>13194</v>
      </c>
      <c r="E257" s="4">
        <v>4</v>
      </c>
      <c r="F257" s="4">
        <v>77</v>
      </c>
      <c r="G257" s="4">
        <v>134</v>
      </c>
      <c r="H257" s="4">
        <v>40</v>
      </c>
      <c r="I257" s="4">
        <v>84</v>
      </c>
      <c r="J257" s="4">
        <v>48</v>
      </c>
      <c r="K257" s="4">
        <v>15</v>
      </c>
      <c r="L257" s="4">
        <v>54</v>
      </c>
      <c r="M257" s="4">
        <v>23</v>
      </c>
      <c r="N257" s="4">
        <v>37</v>
      </c>
      <c r="O257" s="4">
        <v>316</v>
      </c>
      <c r="P257" s="4">
        <v>1</v>
      </c>
      <c r="Q257" s="4">
        <v>2</v>
      </c>
      <c r="R257" s="4">
        <v>50</v>
      </c>
      <c r="S257" s="4">
        <v>1</v>
      </c>
      <c r="T257" s="4">
        <v>3</v>
      </c>
      <c r="U257" s="4">
        <v>6</v>
      </c>
      <c r="V257" s="4">
        <v>25</v>
      </c>
      <c r="W257" s="4">
        <v>243</v>
      </c>
      <c r="X257" s="4">
        <v>9</v>
      </c>
      <c r="Y257" s="4">
        <v>7</v>
      </c>
      <c r="Z257" s="4">
        <v>56</v>
      </c>
      <c r="AA257" s="4">
        <v>1632</v>
      </c>
      <c r="AB257" s="4">
        <v>739</v>
      </c>
      <c r="AC257" s="4">
        <v>4</v>
      </c>
      <c r="AD257" s="4">
        <v>12</v>
      </c>
      <c r="AE257" s="4">
        <v>40</v>
      </c>
      <c r="AF257" s="4">
        <v>36</v>
      </c>
      <c r="AG257" s="4">
        <v>793</v>
      </c>
      <c r="AH257" s="4">
        <v>48</v>
      </c>
      <c r="AI257" s="4">
        <v>180</v>
      </c>
      <c r="AJ257" s="4">
        <v>784</v>
      </c>
      <c r="AK257" s="4">
        <v>431</v>
      </c>
      <c r="AL257" s="4">
        <v>7</v>
      </c>
      <c r="AM257" s="4">
        <v>422</v>
      </c>
      <c r="AN257" s="4">
        <v>91</v>
      </c>
      <c r="AO257" s="4">
        <v>166</v>
      </c>
      <c r="AP257" s="4">
        <v>3</v>
      </c>
      <c r="AQ257" s="4">
        <v>154</v>
      </c>
      <c r="AR257" s="4">
        <v>33</v>
      </c>
      <c r="AS257" s="4">
        <v>70</v>
      </c>
      <c r="AT257" s="4">
        <v>66</v>
      </c>
      <c r="AU257" s="4">
        <v>599</v>
      </c>
      <c r="AV257" s="4">
        <v>165</v>
      </c>
      <c r="AW257" s="4">
        <v>135</v>
      </c>
      <c r="AX257" s="4">
        <v>195</v>
      </c>
      <c r="AY257" s="4">
        <v>3</v>
      </c>
      <c r="AZ257" s="4">
        <v>29</v>
      </c>
      <c r="BA257" s="4">
        <v>0</v>
      </c>
      <c r="BB257" s="4">
        <v>144</v>
      </c>
      <c r="BC257" s="4">
        <v>17</v>
      </c>
      <c r="BD257" s="4">
        <v>2</v>
      </c>
      <c r="BE257" s="4">
        <v>59</v>
      </c>
      <c r="BF257" s="4">
        <v>232</v>
      </c>
      <c r="BG257" s="4">
        <v>8</v>
      </c>
      <c r="BH257" s="4">
        <v>96</v>
      </c>
      <c r="BI257" s="4">
        <v>3</v>
      </c>
      <c r="BJ257" s="4">
        <v>198</v>
      </c>
      <c r="BK257" s="4">
        <v>295</v>
      </c>
      <c r="BL257" s="4">
        <v>0</v>
      </c>
      <c r="BM257" s="4">
        <v>17</v>
      </c>
      <c r="BN257" s="4">
        <v>84</v>
      </c>
      <c r="BO257" s="4">
        <v>2</v>
      </c>
      <c r="BP257" s="4">
        <v>8</v>
      </c>
      <c r="BQ257" s="4">
        <v>108</v>
      </c>
      <c r="BR257" s="4">
        <v>9</v>
      </c>
      <c r="BS257" s="4">
        <v>194</v>
      </c>
      <c r="BT257" s="4">
        <v>90</v>
      </c>
      <c r="BU257" s="4">
        <v>17</v>
      </c>
      <c r="BV257" s="4">
        <v>150</v>
      </c>
      <c r="BW257" s="4">
        <v>90</v>
      </c>
      <c r="BX257" s="4">
        <v>2219</v>
      </c>
      <c r="BY257" s="4">
        <v>2</v>
      </c>
      <c r="BZ257" s="4">
        <v>0</v>
      </c>
      <c r="CA257" s="4">
        <v>13</v>
      </c>
      <c r="CB257" s="4">
        <v>1</v>
      </c>
      <c r="CC257" s="4">
        <v>1</v>
      </c>
      <c r="CD257" s="4">
        <v>15</v>
      </c>
      <c r="CE257" s="4">
        <v>6</v>
      </c>
      <c r="CF257" s="4">
        <v>14</v>
      </c>
      <c r="CG257" s="4">
        <v>15</v>
      </c>
      <c r="CH257" s="4">
        <v>12</v>
      </c>
      <c r="CI257" s="4">
        <v>16</v>
      </c>
      <c r="CJ257" s="4">
        <v>162</v>
      </c>
      <c r="CK257" s="4">
        <v>70</v>
      </c>
      <c r="CL257" s="4">
        <v>0</v>
      </c>
      <c r="CM257" s="4">
        <v>17</v>
      </c>
      <c r="CN257" s="4">
        <v>334</v>
      </c>
      <c r="CO257" s="4">
        <v>69</v>
      </c>
      <c r="CP257" s="4">
        <v>8</v>
      </c>
      <c r="CQ257" s="4">
        <v>0</v>
      </c>
      <c r="CR257" s="4">
        <v>21</v>
      </c>
      <c r="CS257" s="4">
        <v>9</v>
      </c>
      <c r="CT257" s="4">
        <v>90</v>
      </c>
      <c r="CU257" s="4">
        <v>13</v>
      </c>
      <c r="CV257" s="4">
        <v>180</v>
      </c>
      <c r="CW257" s="4">
        <v>14</v>
      </c>
      <c r="CX257" s="3">
        <v>14</v>
      </c>
    </row>
    <row r="258" spans="1:102" ht="15.75" x14ac:dyDescent="0.25">
      <c r="A258" s="4" t="s">
        <v>139</v>
      </c>
      <c r="B258" s="4" t="s">
        <v>140</v>
      </c>
      <c r="C258" s="4">
        <v>2019</v>
      </c>
      <c r="D258" s="4">
        <v>42</v>
      </c>
      <c r="E258" s="4">
        <v>0</v>
      </c>
      <c r="F258" s="4">
        <v>0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1</v>
      </c>
      <c r="AK258" s="4">
        <v>1</v>
      </c>
      <c r="AL258" s="4">
        <v>0</v>
      </c>
      <c r="AM258" s="4">
        <v>0</v>
      </c>
      <c r="AN258" s="4">
        <v>0</v>
      </c>
      <c r="AO258" s="4">
        <v>1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11</v>
      </c>
      <c r="BA258" s="4">
        <v>0</v>
      </c>
      <c r="BB258" s="4">
        <v>0</v>
      </c>
      <c r="BC258" s="4">
        <v>12</v>
      </c>
      <c r="BD258" s="4">
        <v>0</v>
      </c>
      <c r="BE258" s="4">
        <v>2</v>
      </c>
      <c r="BF258" s="4">
        <v>1</v>
      </c>
      <c r="BG258" s="4">
        <v>0</v>
      </c>
      <c r="BH258" s="4">
        <v>0</v>
      </c>
      <c r="BI258" s="4">
        <v>0</v>
      </c>
      <c r="BJ258" s="4">
        <v>1</v>
      </c>
      <c r="BK258" s="4">
        <v>3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2</v>
      </c>
      <c r="BT258" s="4">
        <v>0</v>
      </c>
      <c r="BU258" s="4">
        <v>0</v>
      </c>
      <c r="BV258" s="4">
        <v>0</v>
      </c>
      <c r="BW258" s="4">
        <v>1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3">
        <v>0</v>
      </c>
    </row>
    <row r="259" spans="1:102" ht="15.75" x14ac:dyDescent="0.25">
      <c r="A259" s="4" t="s">
        <v>141</v>
      </c>
      <c r="B259" s="4" t="s">
        <v>142</v>
      </c>
      <c r="C259" s="4">
        <v>2019</v>
      </c>
      <c r="D259" s="4">
        <v>398</v>
      </c>
      <c r="E259" s="4">
        <v>0</v>
      </c>
      <c r="F259" s="4">
        <v>2</v>
      </c>
      <c r="G259" s="4">
        <v>4</v>
      </c>
      <c r="H259" s="4">
        <v>2</v>
      </c>
      <c r="I259" s="4">
        <v>2</v>
      </c>
      <c r="J259" s="4">
        <v>2</v>
      </c>
      <c r="K259" s="4">
        <v>1</v>
      </c>
      <c r="L259" s="4">
        <v>6</v>
      </c>
      <c r="M259" s="4">
        <v>5</v>
      </c>
      <c r="N259" s="4">
        <v>5</v>
      </c>
      <c r="O259" s="4">
        <v>46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4</v>
      </c>
      <c r="V259" s="4">
        <v>2</v>
      </c>
      <c r="W259" s="4">
        <v>2</v>
      </c>
      <c r="X259" s="4">
        <v>2</v>
      </c>
      <c r="Y259" s="4">
        <v>0</v>
      </c>
      <c r="Z259" s="4">
        <v>0</v>
      </c>
      <c r="AA259" s="4">
        <v>2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2</v>
      </c>
      <c r="AH259" s="4">
        <v>3</v>
      </c>
      <c r="AI259" s="4">
        <v>5</v>
      </c>
      <c r="AJ259" s="4">
        <v>24</v>
      </c>
      <c r="AK259" s="4">
        <v>14</v>
      </c>
      <c r="AL259" s="4">
        <v>2</v>
      </c>
      <c r="AM259" s="4">
        <v>6</v>
      </c>
      <c r="AN259" s="4">
        <v>4</v>
      </c>
      <c r="AO259" s="4">
        <v>10</v>
      </c>
      <c r="AP259" s="4">
        <v>1</v>
      </c>
      <c r="AQ259" s="4">
        <v>1</v>
      </c>
      <c r="AR259" s="4">
        <v>0</v>
      </c>
      <c r="AS259" s="4">
        <v>5</v>
      </c>
      <c r="AT259" s="4">
        <v>10</v>
      </c>
      <c r="AU259" s="4">
        <v>4</v>
      </c>
      <c r="AV259" s="4">
        <v>4</v>
      </c>
      <c r="AW259" s="4">
        <v>4</v>
      </c>
      <c r="AX259" s="4">
        <v>6</v>
      </c>
      <c r="AY259" s="4">
        <v>0</v>
      </c>
      <c r="AZ259" s="4">
        <v>1</v>
      </c>
      <c r="BA259" s="4">
        <v>0</v>
      </c>
      <c r="BB259" s="4">
        <v>1</v>
      </c>
      <c r="BC259" s="4">
        <v>1</v>
      </c>
      <c r="BD259" s="4">
        <v>0</v>
      </c>
      <c r="BE259" s="4">
        <v>5</v>
      </c>
      <c r="BF259" s="4">
        <v>25</v>
      </c>
      <c r="BG259" s="4">
        <v>0</v>
      </c>
      <c r="BH259" s="4">
        <v>3</v>
      </c>
      <c r="BI259" s="4">
        <v>0</v>
      </c>
      <c r="BJ259" s="4">
        <v>7</v>
      </c>
      <c r="BK259" s="4">
        <v>15</v>
      </c>
      <c r="BL259" s="4">
        <v>0</v>
      </c>
      <c r="BM259" s="4">
        <v>1</v>
      </c>
      <c r="BN259" s="4">
        <v>11</v>
      </c>
      <c r="BO259" s="4">
        <v>0</v>
      </c>
      <c r="BP259" s="4">
        <v>1</v>
      </c>
      <c r="BQ259" s="4">
        <v>12</v>
      </c>
      <c r="BR259" s="4">
        <v>1</v>
      </c>
      <c r="BS259" s="4">
        <v>16</v>
      </c>
      <c r="BT259" s="4">
        <v>4</v>
      </c>
      <c r="BU259" s="4">
        <v>0</v>
      </c>
      <c r="BV259" s="4">
        <v>7</v>
      </c>
      <c r="BW259" s="4">
        <v>5</v>
      </c>
      <c r="BX259" s="4">
        <v>21</v>
      </c>
      <c r="BY259" s="4">
        <v>0</v>
      </c>
      <c r="BZ259" s="4">
        <v>0</v>
      </c>
      <c r="CA259" s="4">
        <v>7</v>
      </c>
      <c r="CB259" s="4">
        <v>1</v>
      </c>
      <c r="CC259" s="4">
        <v>0</v>
      </c>
      <c r="CD259" s="4">
        <v>2</v>
      </c>
      <c r="CE259" s="4">
        <v>0</v>
      </c>
      <c r="CF259" s="4">
        <v>1</v>
      </c>
      <c r="CG259" s="4">
        <v>0</v>
      </c>
      <c r="CH259" s="4">
        <v>2</v>
      </c>
      <c r="CI259" s="4">
        <v>1</v>
      </c>
      <c r="CJ259" s="4">
        <v>12</v>
      </c>
      <c r="CK259" s="4">
        <v>6</v>
      </c>
      <c r="CL259" s="4">
        <v>2</v>
      </c>
      <c r="CM259" s="4">
        <v>2</v>
      </c>
      <c r="CN259" s="4">
        <v>14</v>
      </c>
      <c r="CO259" s="4">
        <v>1</v>
      </c>
      <c r="CP259" s="4">
        <v>3</v>
      </c>
      <c r="CQ259" s="4">
        <v>0</v>
      </c>
      <c r="CR259" s="4">
        <v>0</v>
      </c>
      <c r="CS259" s="4">
        <v>0</v>
      </c>
      <c r="CT259" s="4">
        <v>5</v>
      </c>
      <c r="CU259" s="4">
        <v>2</v>
      </c>
      <c r="CV259" s="4">
        <v>12</v>
      </c>
      <c r="CW259" s="4">
        <v>0</v>
      </c>
      <c r="CX259" s="3">
        <v>0</v>
      </c>
    </row>
    <row r="260" spans="1:102" ht="15.75" x14ac:dyDescent="0.25">
      <c r="A260" s="4" t="s">
        <v>143</v>
      </c>
      <c r="B260" s="4" t="s">
        <v>144</v>
      </c>
      <c r="C260" s="4">
        <v>2019</v>
      </c>
      <c r="D260" s="4">
        <v>522</v>
      </c>
      <c r="E260" s="4">
        <v>2</v>
      </c>
      <c r="F260" s="4">
        <v>0</v>
      </c>
      <c r="G260" s="4">
        <v>2</v>
      </c>
      <c r="H260" s="4">
        <v>1</v>
      </c>
      <c r="I260" s="4">
        <v>6</v>
      </c>
      <c r="J260" s="4">
        <v>2</v>
      </c>
      <c r="K260" s="4">
        <v>0</v>
      </c>
      <c r="L260" s="4">
        <v>2</v>
      </c>
      <c r="M260" s="4">
        <v>1</v>
      </c>
      <c r="N260" s="4">
        <v>3</v>
      </c>
      <c r="O260" s="4">
        <v>9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</v>
      </c>
      <c r="X260" s="4">
        <v>0</v>
      </c>
      <c r="Y260" s="4">
        <v>0</v>
      </c>
      <c r="Z260" s="4">
        <v>0</v>
      </c>
      <c r="AA260" s="4">
        <v>1</v>
      </c>
      <c r="AB260" s="4">
        <v>2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1</v>
      </c>
      <c r="AJ260" s="4">
        <v>3</v>
      </c>
      <c r="AK260" s="4">
        <v>4</v>
      </c>
      <c r="AL260" s="4">
        <v>0</v>
      </c>
      <c r="AM260" s="4">
        <v>1</v>
      </c>
      <c r="AN260" s="4">
        <v>3</v>
      </c>
      <c r="AO260" s="4">
        <v>5</v>
      </c>
      <c r="AP260" s="4">
        <v>0</v>
      </c>
      <c r="AQ260" s="4">
        <v>1</v>
      </c>
      <c r="AR260" s="4">
        <v>0</v>
      </c>
      <c r="AS260" s="4">
        <v>1</v>
      </c>
      <c r="AT260" s="4">
        <v>2</v>
      </c>
      <c r="AU260" s="4">
        <v>3</v>
      </c>
      <c r="AV260" s="4">
        <v>2</v>
      </c>
      <c r="AW260" s="4">
        <v>3</v>
      </c>
      <c r="AX260" s="4">
        <v>6</v>
      </c>
      <c r="AY260" s="4">
        <v>0</v>
      </c>
      <c r="AZ260" s="4">
        <v>3</v>
      </c>
      <c r="BA260" s="4">
        <v>0</v>
      </c>
      <c r="BB260" s="4">
        <v>180</v>
      </c>
      <c r="BC260" s="4">
        <v>1</v>
      </c>
      <c r="BD260" s="4">
        <v>0</v>
      </c>
      <c r="BE260" s="4">
        <v>4</v>
      </c>
      <c r="BF260" s="4">
        <v>4</v>
      </c>
      <c r="BG260" s="4">
        <v>0</v>
      </c>
      <c r="BH260" s="4">
        <v>0</v>
      </c>
      <c r="BI260" s="4">
        <v>0</v>
      </c>
      <c r="BJ260" s="4">
        <v>10</v>
      </c>
      <c r="BK260" s="4">
        <v>7</v>
      </c>
      <c r="BL260" s="4">
        <v>0</v>
      </c>
      <c r="BM260" s="4">
        <v>0</v>
      </c>
      <c r="BN260" s="4">
        <v>3</v>
      </c>
      <c r="BO260" s="4">
        <v>0</v>
      </c>
      <c r="BP260" s="4">
        <v>0</v>
      </c>
      <c r="BQ260" s="4">
        <v>3</v>
      </c>
      <c r="BR260" s="4">
        <v>1</v>
      </c>
      <c r="BS260" s="4">
        <v>17</v>
      </c>
      <c r="BT260" s="4">
        <v>5</v>
      </c>
      <c r="BU260" s="4">
        <v>0</v>
      </c>
      <c r="BV260" s="4">
        <v>2</v>
      </c>
      <c r="BW260" s="4">
        <v>1</v>
      </c>
      <c r="BX260" s="4">
        <v>51</v>
      </c>
      <c r="BY260" s="4">
        <v>0</v>
      </c>
      <c r="BZ260" s="4">
        <v>0</v>
      </c>
      <c r="CA260" s="4">
        <v>5</v>
      </c>
      <c r="CB260" s="4">
        <v>0</v>
      </c>
      <c r="CC260" s="4">
        <v>0</v>
      </c>
      <c r="CD260" s="4">
        <v>2</v>
      </c>
      <c r="CE260" s="4">
        <v>0</v>
      </c>
      <c r="CF260" s="4">
        <v>1</v>
      </c>
      <c r="CG260" s="4">
        <v>0</v>
      </c>
      <c r="CH260" s="4">
        <v>1</v>
      </c>
      <c r="CI260" s="4">
        <v>1</v>
      </c>
      <c r="CJ260" s="4">
        <v>4</v>
      </c>
      <c r="CK260" s="4">
        <v>0</v>
      </c>
      <c r="CL260" s="4">
        <v>0</v>
      </c>
      <c r="CM260" s="4">
        <v>1</v>
      </c>
      <c r="CN260" s="4">
        <v>7</v>
      </c>
      <c r="CO260" s="4">
        <v>5</v>
      </c>
      <c r="CP260" s="4">
        <v>0</v>
      </c>
      <c r="CQ260" s="4">
        <v>0</v>
      </c>
      <c r="CR260" s="4">
        <v>3</v>
      </c>
      <c r="CS260" s="4">
        <v>116</v>
      </c>
      <c r="CT260" s="4">
        <v>3</v>
      </c>
      <c r="CU260" s="4">
        <v>0</v>
      </c>
      <c r="CV260" s="4">
        <v>7</v>
      </c>
      <c r="CW260" s="4">
        <v>2</v>
      </c>
      <c r="CX260" s="3">
        <v>2</v>
      </c>
    </row>
    <row r="261" spans="1:102" ht="15.75" x14ac:dyDescent="0.25">
      <c r="A261" s="4" t="s">
        <v>145</v>
      </c>
      <c r="B261" s="4" t="s">
        <v>146</v>
      </c>
      <c r="C261" s="4">
        <v>2019</v>
      </c>
      <c r="D261" s="4">
        <v>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4</v>
      </c>
      <c r="BX261" s="4">
        <v>1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3">
        <v>0</v>
      </c>
    </row>
    <row r="262" spans="1:102" ht="15.75" x14ac:dyDescent="0.25">
      <c r="A262" s="4" t="s">
        <v>147</v>
      </c>
      <c r="B262" s="4" t="s">
        <v>148</v>
      </c>
      <c r="C262" s="4">
        <v>2019</v>
      </c>
      <c r="D262" s="4">
        <v>29</v>
      </c>
      <c r="E262" s="4">
        <v>0</v>
      </c>
      <c r="F262" s="4">
        <v>8</v>
      </c>
      <c r="G262" s="4">
        <v>0</v>
      </c>
      <c r="H262" s="4">
        <v>1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10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1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1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2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1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1</v>
      </c>
      <c r="CW262" s="4">
        <v>0</v>
      </c>
      <c r="CX262" s="3">
        <v>0</v>
      </c>
    </row>
    <row r="263" spans="1:102" ht="15.75" x14ac:dyDescent="0.25">
      <c r="A263" s="4" t="s">
        <v>149</v>
      </c>
      <c r="B263" s="4" t="s">
        <v>150</v>
      </c>
      <c r="C263" s="4">
        <v>2019</v>
      </c>
      <c r="D263" s="4">
        <v>29</v>
      </c>
      <c r="E263" s="4">
        <v>0</v>
      </c>
      <c r="F263" s="4">
        <v>0</v>
      </c>
      <c r="G263" s="4">
        <v>0</v>
      </c>
      <c r="H263" s="4">
        <v>0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2</v>
      </c>
      <c r="O263" s="4">
        <v>2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8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1</v>
      </c>
      <c r="BR263" s="4">
        <v>0</v>
      </c>
      <c r="BS263" s="4">
        <v>2</v>
      </c>
      <c r="BT263" s="4">
        <v>0</v>
      </c>
      <c r="BU263" s="4">
        <v>0</v>
      </c>
      <c r="BV263" s="4">
        <v>1</v>
      </c>
      <c r="BW263" s="4">
        <v>0</v>
      </c>
      <c r="BX263" s="4">
        <v>1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1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3</v>
      </c>
      <c r="CS263" s="4">
        <v>0</v>
      </c>
      <c r="CT263" s="4">
        <v>0</v>
      </c>
      <c r="CU263" s="4">
        <v>0</v>
      </c>
      <c r="CV263" s="4">
        <v>1</v>
      </c>
      <c r="CW263" s="4">
        <v>1</v>
      </c>
      <c r="CX263" s="3">
        <v>1</v>
      </c>
    </row>
    <row r="264" spans="1:102" ht="15.75" x14ac:dyDescent="0.25">
      <c r="A264" s="4" t="s">
        <v>151</v>
      </c>
      <c r="B264" s="4" t="s">
        <v>152</v>
      </c>
      <c r="C264" s="4">
        <v>2019</v>
      </c>
      <c r="D264" s="4">
        <v>57</v>
      </c>
      <c r="E264" s="4">
        <v>0</v>
      </c>
      <c r="F264" s="4">
        <v>3</v>
      </c>
      <c r="G264" s="4">
        <v>0</v>
      </c>
      <c r="H264" s="4">
        <v>0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1</v>
      </c>
      <c r="AK264" s="4">
        <v>1</v>
      </c>
      <c r="AL264" s="4">
        <v>0</v>
      </c>
      <c r="AM264" s="4">
        <v>1</v>
      </c>
      <c r="AN264" s="4">
        <v>0</v>
      </c>
      <c r="AO264" s="4">
        <v>5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1</v>
      </c>
      <c r="AW264" s="4">
        <v>0</v>
      </c>
      <c r="AX264" s="4">
        <v>2</v>
      </c>
      <c r="AY264" s="4">
        <v>0</v>
      </c>
      <c r="AZ264" s="4">
        <v>0</v>
      </c>
      <c r="BA264" s="4">
        <v>0</v>
      </c>
      <c r="BB264" s="4">
        <v>4</v>
      </c>
      <c r="BC264" s="4">
        <v>0</v>
      </c>
      <c r="BD264" s="4">
        <v>0</v>
      </c>
      <c r="BE264" s="4">
        <v>0</v>
      </c>
      <c r="BF264" s="4">
        <v>2</v>
      </c>
      <c r="BG264" s="4">
        <v>0</v>
      </c>
      <c r="BH264" s="4">
        <v>0</v>
      </c>
      <c r="BI264" s="4">
        <v>0</v>
      </c>
      <c r="BJ264" s="4">
        <v>4</v>
      </c>
      <c r="BK264" s="4">
        <v>2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2</v>
      </c>
      <c r="BT264" s="4">
        <v>1</v>
      </c>
      <c r="BU264" s="4">
        <v>0</v>
      </c>
      <c r="BV264" s="4">
        <v>0</v>
      </c>
      <c r="BW264" s="4">
        <v>0</v>
      </c>
      <c r="BX264" s="4">
        <v>5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2</v>
      </c>
      <c r="CN264" s="4">
        <v>4</v>
      </c>
      <c r="CO264" s="4">
        <v>9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1</v>
      </c>
      <c r="CW264" s="4">
        <v>0</v>
      </c>
      <c r="CX264" s="3">
        <v>0</v>
      </c>
    </row>
    <row r="265" spans="1:102" ht="15.75" x14ac:dyDescent="0.25">
      <c r="A265" s="4" t="s">
        <v>153</v>
      </c>
      <c r="B265" s="4" t="s">
        <v>154</v>
      </c>
      <c r="C265" s="4">
        <v>2019</v>
      </c>
      <c r="D265" s="4">
        <v>21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3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1</v>
      </c>
      <c r="AM265" s="4">
        <v>0</v>
      </c>
      <c r="AN265" s="4">
        <v>0</v>
      </c>
      <c r="AO265" s="4">
        <v>2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1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1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2</v>
      </c>
      <c r="BT265" s="4">
        <v>4</v>
      </c>
      <c r="BU265" s="4">
        <v>0</v>
      </c>
      <c r="BV265" s="4">
        <v>1</v>
      </c>
      <c r="BW265" s="4">
        <v>0</v>
      </c>
      <c r="BX265" s="4">
        <v>3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1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3">
        <v>0</v>
      </c>
    </row>
    <row r="266" spans="1:102" ht="15.75" x14ac:dyDescent="0.25">
      <c r="A266" s="4" t="s">
        <v>155</v>
      </c>
      <c r="B266" s="4" t="s">
        <v>156</v>
      </c>
      <c r="C266" s="4">
        <v>2019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1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3">
        <v>0</v>
      </c>
    </row>
    <row r="267" spans="1:102" ht="15.75" x14ac:dyDescent="0.25">
      <c r="A267" s="4" t="s">
        <v>157</v>
      </c>
      <c r="B267" s="4" t="s">
        <v>158</v>
      </c>
      <c r="C267" s="4">
        <v>2019</v>
      </c>
      <c r="D267" s="4">
        <v>2011</v>
      </c>
      <c r="E267" s="4">
        <v>0</v>
      </c>
      <c r="F267" s="4">
        <v>0</v>
      </c>
      <c r="G267" s="4">
        <v>1</v>
      </c>
      <c r="H267" s="4">
        <v>0</v>
      </c>
      <c r="I267" s="4">
        <v>1</v>
      </c>
      <c r="J267" s="4">
        <v>4</v>
      </c>
      <c r="K267" s="4">
        <v>0</v>
      </c>
      <c r="L267" s="4">
        <v>6</v>
      </c>
      <c r="M267" s="4">
        <v>3</v>
      </c>
      <c r="N267" s="4">
        <v>12</v>
      </c>
      <c r="O267" s="4">
        <v>84</v>
      </c>
      <c r="P267" s="4">
        <v>0</v>
      </c>
      <c r="Q267" s="4">
        <v>0</v>
      </c>
      <c r="R267" s="4">
        <v>6</v>
      </c>
      <c r="S267" s="4">
        <v>0</v>
      </c>
      <c r="T267" s="4">
        <v>0</v>
      </c>
      <c r="U267" s="4">
        <v>1</v>
      </c>
      <c r="V267" s="4">
        <v>2</v>
      </c>
      <c r="W267" s="4">
        <v>20</v>
      </c>
      <c r="X267" s="4">
        <v>2</v>
      </c>
      <c r="Y267" s="4">
        <v>0</v>
      </c>
      <c r="Z267" s="4">
        <v>0</v>
      </c>
      <c r="AA267" s="4">
        <v>9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90</v>
      </c>
      <c r="AH267" s="4">
        <v>4</v>
      </c>
      <c r="AI267" s="4">
        <v>17</v>
      </c>
      <c r="AJ267" s="4">
        <v>179</v>
      </c>
      <c r="AK267" s="4">
        <v>16</v>
      </c>
      <c r="AL267" s="4">
        <v>30</v>
      </c>
      <c r="AM267" s="4">
        <v>27</v>
      </c>
      <c r="AN267" s="4">
        <v>24</v>
      </c>
      <c r="AO267" s="4">
        <v>163</v>
      </c>
      <c r="AP267" s="4">
        <v>0</v>
      </c>
      <c r="AQ267" s="4">
        <v>13</v>
      </c>
      <c r="AR267" s="4">
        <v>0</v>
      </c>
      <c r="AS267" s="4">
        <v>7</v>
      </c>
      <c r="AT267" s="4">
        <v>5</v>
      </c>
      <c r="AU267" s="4">
        <v>11</v>
      </c>
      <c r="AV267" s="4">
        <v>52</v>
      </c>
      <c r="AW267" s="4">
        <v>19</v>
      </c>
      <c r="AX267" s="4">
        <v>112</v>
      </c>
      <c r="AY267" s="4">
        <v>1</v>
      </c>
      <c r="AZ267" s="4">
        <v>3</v>
      </c>
      <c r="BA267" s="4">
        <v>0</v>
      </c>
      <c r="BB267" s="4">
        <v>306</v>
      </c>
      <c r="BC267" s="4">
        <v>40</v>
      </c>
      <c r="BD267" s="4">
        <v>0</v>
      </c>
      <c r="BE267" s="4">
        <v>31</v>
      </c>
      <c r="BF267" s="4">
        <v>30</v>
      </c>
      <c r="BG267" s="4">
        <v>4</v>
      </c>
      <c r="BH267" s="4">
        <v>10</v>
      </c>
      <c r="BI267" s="4">
        <v>0</v>
      </c>
      <c r="BJ267" s="4">
        <v>80</v>
      </c>
      <c r="BK267" s="4">
        <v>56</v>
      </c>
      <c r="BL267" s="4">
        <v>0</v>
      </c>
      <c r="BM267" s="4">
        <v>2</v>
      </c>
      <c r="BN267" s="4">
        <v>5</v>
      </c>
      <c r="BO267" s="4">
        <v>0</v>
      </c>
      <c r="BP267" s="4">
        <v>4</v>
      </c>
      <c r="BQ267" s="4">
        <v>18</v>
      </c>
      <c r="BR267" s="4">
        <v>1</v>
      </c>
      <c r="BS267" s="4">
        <v>38</v>
      </c>
      <c r="BT267" s="4">
        <v>28</v>
      </c>
      <c r="BU267" s="4">
        <v>5</v>
      </c>
      <c r="BV267" s="4">
        <v>35</v>
      </c>
      <c r="BW267" s="4">
        <v>2</v>
      </c>
      <c r="BX267" s="4">
        <v>118</v>
      </c>
      <c r="BY267" s="4">
        <v>0</v>
      </c>
      <c r="BZ267" s="4">
        <v>0</v>
      </c>
      <c r="CA267" s="4">
        <v>82</v>
      </c>
      <c r="CB267" s="4">
        <v>47</v>
      </c>
      <c r="CC267" s="4">
        <v>0</v>
      </c>
      <c r="CD267" s="4">
        <v>1</v>
      </c>
      <c r="CE267" s="4">
        <v>0</v>
      </c>
      <c r="CF267" s="4">
        <v>0</v>
      </c>
      <c r="CG267" s="4">
        <v>2</v>
      </c>
      <c r="CH267" s="4">
        <v>0</v>
      </c>
      <c r="CI267" s="4">
        <v>0</v>
      </c>
      <c r="CJ267" s="4">
        <v>1</v>
      </c>
      <c r="CK267" s="4">
        <v>0</v>
      </c>
      <c r="CL267" s="4">
        <v>0</v>
      </c>
      <c r="CM267" s="4">
        <v>14</v>
      </c>
      <c r="CN267" s="4">
        <v>56</v>
      </c>
      <c r="CO267" s="4">
        <v>2</v>
      </c>
      <c r="CP267" s="4">
        <v>3</v>
      </c>
      <c r="CQ267" s="4">
        <v>0</v>
      </c>
      <c r="CR267" s="4">
        <v>5</v>
      </c>
      <c r="CS267" s="4">
        <v>0</v>
      </c>
      <c r="CT267" s="4">
        <v>6</v>
      </c>
      <c r="CU267" s="4">
        <v>0</v>
      </c>
      <c r="CV267" s="4">
        <v>34</v>
      </c>
      <c r="CW267" s="4">
        <v>20</v>
      </c>
      <c r="CX267" s="3">
        <v>20</v>
      </c>
    </row>
    <row r="268" spans="1:102" ht="15.75" x14ac:dyDescent="0.25">
      <c r="A268" s="4" t="s">
        <v>159</v>
      </c>
      <c r="B268" s="4" t="s">
        <v>160</v>
      </c>
      <c r="C268" s="4">
        <v>2019</v>
      </c>
      <c r="D268" s="4">
        <v>35</v>
      </c>
      <c r="E268" s="4">
        <v>0</v>
      </c>
      <c r="F268" s="4">
        <v>0</v>
      </c>
      <c r="G268" s="4">
        <v>0</v>
      </c>
      <c r="H268" s="4">
        <v>0</v>
      </c>
      <c r="I268" s="4">
        <v>2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1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3</v>
      </c>
      <c r="AK268" s="4">
        <v>2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2</v>
      </c>
      <c r="AU268" s="4">
        <v>0</v>
      </c>
      <c r="AV268" s="4">
        <v>0</v>
      </c>
      <c r="AW268" s="4">
        <v>0</v>
      </c>
      <c r="AX268" s="4">
        <v>1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1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1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1</v>
      </c>
      <c r="CE268" s="4">
        <v>0</v>
      </c>
      <c r="CF268" s="4">
        <v>1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9</v>
      </c>
      <c r="CS268" s="4">
        <v>0</v>
      </c>
      <c r="CT268" s="4">
        <v>4</v>
      </c>
      <c r="CU268" s="4">
        <v>0</v>
      </c>
      <c r="CV268" s="4">
        <v>1</v>
      </c>
      <c r="CW268" s="4">
        <v>0</v>
      </c>
      <c r="CX268" s="3">
        <v>0</v>
      </c>
    </row>
    <row r="269" spans="1:102" ht="15.75" x14ac:dyDescent="0.25">
      <c r="A269" s="4" t="s">
        <v>161</v>
      </c>
      <c r="B269" s="4" t="s">
        <v>162</v>
      </c>
      <c r="C269" s="4">
        <v>2019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1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3">
        <v>0</v>
      </c>
    </row>
    <row r="270" spans="1:102" ht="15.75" x14ac:dyDescent="0.25">
      <c r="A270" s="4" t="s">
        <v>163</v>
      </c>
      <c r="B270" s="4" t="s">
        <v>164</v>
      </c>
      <c r="C270" s="4">
        <v>2019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3">
        <v>0</v>
      </c>
    </row>
    <row r="271" spans="1:102" ht="15.75" x14ac:dyDescent="0.25">
      <c r="A271" s="4" t="s">
        <v>165</v>
      </c>
      <c r="B271" s="4" t="s">
        <v>166</v>
      </c>
      <c r="C271" s="4">
        <v>2019</v>
      </c>
      <c r="D271" s="4">
        <v>34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12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1</v>
      </c>
      <c r="BO271" s="4">
        <v>0</v>
      </c>
      <c r="BP271" s="4">
        <v>1</v>
      </c>
      <c r="BQ271" s="4">
        <v>1</v>
      </c>
      <c r="BR271" s="4">
        <v>0</v>
      </c>
      <c r="BS271" s="4">
        <v>1</v>
      </c>
      <c r="BT271" s="4">
        <v>0</v>
      </c>
      <c r="BU271" s="4">
        <v>0</v>
      </c>
      <c r="BV271" s="4">
        <v>0</v>
      </c>
      <c r="BW271" s="4">
        <v>3</v>
      </c>
      <c r="BX271" s="4">
        <v>1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7</v>
      </c>
      <c r="CN271" s="4">
        <v>1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1</v>
      </c>
      <c r="CU271" s="4">
        <v>0</v>
      </c>
      <c r="CV271" s="4">
        <v>1</v>
      </c>
      <c r="CW271" s="4">
        <v>0</v>
      </c>
      <c r="CX271" s="3">
        <v>0</v>
      </c>
    </row>
    <row r="272" spans="1:102" ht="15.75" x14ac:dyDescent="0.25">
      <c r="A272" s="4" t="s">
        <v>167</v>
      </c>
      <c r="B272" s="4" t="s">
        <v>168</v>
      </c>
      <c r="C272" s="4">
        <v>2019</v>
      </c>
      <c r="D272" s="4">
        <v>142</v>
      </c>
      <c r="E272" s="4">
        <v>3</v>
      </c>
      <c r="F272" s="4">
        <v>0</v>
      </c>
      <c r="G272" s="4">
        <v>0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1</v>
      </c>
      <c r="N272" s="4">
        <v>0</v>
      </c>
      <c r="O272" s="4">
        <v>1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</v>
      </c>
      <c r="AH272" s="4">
        <v>0</v>
      </c>
      <c r="AI272" s="4">
        <v>1</v>
      </c>
      <c r="AJ272" s="4">
        <v>4</v>
      </c>
      <c r="AK272" s="4">
        <v>1</v>
      </c>
      <c r="AL272" s="4">
        <v>0</v>
      </c>
      <c r="AM272" s="4">
        <v>1</v>
      </c>
      <c r="AN272" s="4">
        <v>1</v>
      </c>
      <c r="AO272" s="4">
        <v>1</v>
      </c>
      <c r="AP272" s="4">
        <v>0</v>
      </c>
      <c r="AQ272" s="4">
        <v>0</v>
      </c>
      <c r="AR272" s="4">
        <v>0</v>
      </c>
      <c r="AS272" s="4">
        <v>1</v>
      </c>
      <c r="AT272" s="4">
        <v>1</v>
      </c>
      <c r="AU272" s="4">
        <v>0</v>
      </c>
      <c r="AV272" s="4">
        <v>0</v>
      </c>
      <c r="AW272" s="4">
        <v>0</v>
      </c>
      <c r="AX272" s="4">
        <v>1</v>
      </c>
      <c r="AY272" s="4">
        <v>0</v>
      </c>
      <c r="AZ272" s="4">
        <v>0</v>
      </c>
      <c r="BA272" s="4">
        <v>0</v>
      </c>
      <c r="BB272" s="4">
        <v>3</v>
      </c>
      <c r="BC272" s="4">
        <v>96</v>
      </c>
      <c r="BD272" s="4">
        <v>0</v>
      </c>
      <c r="BE272" s="4">
        <v>1</v>
      </c>
      <c r="BF272" s="4">
        <v>5</v>
      </c>
      <c r="BG272" s="4">
        <v>0</v>
      </c>
      <c r="BH272" s="4">
        <v>0</v>
      </c>
      <c r="BI272" s="4">
        <v>0</v>
      </c>
      <c r="BJ272" s="4">
        <v>2</v>
      </c>
      <c r="BK272" s="4">
        <v>4</v>
      </c>
      <c r="BL272" s="4">
        <v>0</v>
      </c>
      <c r="BM272" s="4">
        <v>0</v>
      </c>
      <c r="BN272" s="4">
        <v>1</v>
      </c>
      <c r="BO272" s="4">
        <v>0</v>
      </c>
      <c r="BP272" s="4">
        <v>0</v>
      </c>
      <c r="BQ272" s="4">
        <v>1</v>
      </c>
      <c r="BR272" s="4">
        <v>0</v>
      </c>
      <c r="BS272" s="4">
        <v>1</v>
      </c>
      <c r="BT272" s="4">
        <v>1</v>
      </c>
      <c r="BU272" s="4">
        <v>0</v>
      </c>
      <c r="BV272" s="4">
        <v>3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1</v>
      </c>
      <c r="CK272" s="4">
        <v>0</v>
      </c>
      <c r="CL272" s="4">
        <v>0</v>
      </c>
      <c r="CM272" s="4">
        <v>0</v>
      </c>
      <c r="CN272" s="4">
        <v>2</v>
      </c>
      <c r="CO272" s="4">
        <v>1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3">
        <v>0</v>
      </c>
    </row>
    <row r="273" spans="1:102" ht="15.75" x14ac:dyDescent="0.25">
      <c r="A273" s="4" t="s">
        <v>169</v>
      </c>
      <c r="B273" s="4" t="s">
        <v>170</v>
      </c>
      <c r="C273" s="4">
        <v>2019</v>
      </c>
      <c r="D273" s="4">
        <v>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1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1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1</v>
      </c>
      <c r="CT273" s="4">
        <v>0</v>
      </c>
      <c r="CU273" s="4">
        <v>0</v>
      </c>
      <c r="CV273" s="4">
        <v>1</v>
      </c>
      <c r="CW273" s="4">
        <v>0</v>
      </c>
      <c r="CX273" s="3">
        <v>0</v>
      </c>
    </row>
    <row r="274" spans="1:102" ht="15.75" x14ac:dyDescent="0.25">
      <c r="A274" s="4" t="s">
        <v>171</v>
      </c>
      <c r="B274" s="4" t="s">
        <v>172</v>
      </c>
      <c r="C274" s="4">
        <v>2019</v>
      </c>
      <c r="D274" s="4">
        <v>5645</v>
      </c>
      <c r="E274" s="4">
        <v>3</v>
      </c>
      <c r="F274" s="4">
        <v>15</v>
      </c>
      <c r="G274" s="4">
        <v>16</v>
      </c>
      <c r="H274" s="4">
        <v>16</v>
      </c>
      <c r="I274" s="4">
        <v>40</v>
      </c>
      <c r="J274" s="4">
        <v>6</v>
      </c>
      <c r="K274" s="4">
        <v>11</v>
      </c>
      <c r="L274" s="4">
        <v>45</v>
      </c>
      <c r="M274" s="4">
        <v>13</v>
      </c>
      <c r="N274" s="4">
        <v>23</v>
      </c>
      <c r="O274" s="4">
        <v>180</v>
      </c>
      <c r="P274" s="4">
        <v>0</v>
      </c>
      <c r="Q274" s="4">
        <v>0</v>
      </c>
      <c r="R274" s="4">
        <v>1</v>
      </c>
      <c r="S274" s="4">
        <v>0</v>
      </c>
      <c r="T274" s="4">
        <v>0</v>
      </c>
      <c r="U274" s="4">
        <v>1</v>
      </c>
      <c r="V274" s="4">
        <v>2</v>
      </c>
      <c r="W274" s="4">
        <v>97</v>
      </c>
      <c r="X274" s="4">
        <v>6</v>
      </c>
      <c r="Y274" s="4">
        <v>3</v>
      </c>
      <c r="Z274" s="4">
        <v>268</v>
      </c>
      <c r="AA274" s="4">
        <v>71</v>
      </c>
      <c r="AB274" s="4">
        <v>0</v>
      </c>
      <c r="AC274" s="4">
        <v>0</v>
      </c>
      <c r="AD274" s="4">
        <v>0</v>
      </c>
      <c r="AE274" s="4">
        <v>3</v>
      </c>
      <c r="AF274" s="4">
        <v>0</v>
      </c>
      <c r="AG274" s="4">
        <v>47</v>
      </c>
      <c r="AH274" s="4">
        <v>4</v>
      </c>
      <c r="AI274" s="4">
        <v>10</v>
      </c>
      <c r="AJ274" s="4">
        <v>701</v>
      </c>
      <c r="AK274" s="4">
        <v>69</v>
      </c>
      <c r="AL274" s="4">
        <v>3</v>
      </c>
      <c r="AM274" s="4">
        <v>30</v>
      </c>
      <c r="AN274" s="4">
        <v>21</v>
      </c>
      <c r="AO274" s="4">
        <v>90</v>
      </c>
      <c r="AP274" s="4">
        <v>1</v>
      </c>
      <c r="AQ274" s="4">
        <v>26</v>
      </c>
      <c r="AR274" s="4">
        <v>1</v>
      </c>
      <c r="AS274" s="4">
        <v>19</v>
      </c>
      <c r="AT274" s="4">
        <v>20</v>
      </c>
      <c r="AU274" s="4">
        <v>25</v>
      </c>
      <c r="AV274" s="4">
        <v>75</v>
      </c>
      <c r="AW274" s="4">
        <v>104</v>
      </c>
      <c r="AX274" s="4">
        <v>105</v>
      </c>
      <c r="AY274" s="4">
        <v>6</v>
      </c>
      <c r="AZ274" s="4">
        <v>16</v>
      </c>
      <c r="BA274" s="4">
        <v>0</v>
      </c>
      <c r="BB274" s="4">
        <v>505</v>
      </c>
      <c r="BC274" s="4">
        <v>48</v>
      </c>
      <c r="BD274" s="4">
        <v>2</v>
      </c>
      <c r="BE274" s="4">
        <v>38</v>
      </c>
      <c r="BF274" s="4">
        <v>84</v>
      </c>
      <c r="BG274" s="4">
        <v>6</v>
      </c>
      <c r="BH274" s="4">
        <v>15</v>
      </c>
      <c r="BI274" s="4">
        <v>0</v>
      </c>
      <c r="BJ274" s="4">
        <v>154</v>
      </c>
      <c r="BK274" s="4">
        <v>128</v>
      </c>
      <c r="BL274" s="4">
        <v>0</v>
      </c>
      <c r="BM274" s="4">
        <v>5</v>
      </c>
      <c r="BN274" s="4">
        <v>53</v>
      </c>
      <c r="BO274" s="4">
        <v>1</v>
      </c>
      <c r="BP274" s="4">
        <v>21</v>
      </c>
      <c r="BQ274" s="4">
        <v>69</v>
      </c>
      <c r="BR274" s="4">
        <v>8</v>
      </c>
      <c r="BS274" s="4">
        <v>98</v>
      </c>
      <c r="BT274" s="4">
        <v>70</v>
      </c>
      <c r="BU274" s="4">
        <v>2</v>
      </c>
      <c r="BV274" s="4">
        <v>58</v>
      </c>
      <c r="BW274" s="4">
        <v>27</v>
      </c>
      <c r="BX274" s="4">
        <v>784</v>
      </c>
      <c r="BY274" s="4">
        <v>6</v>
      </c>
      <c r="BZ274" s="4">
        <v>0</v>
      </c>
      <c r="CA274" s="4">
        <v>786</v>
      </c>
      <c r="CB274" s="4">
        <v>23</v>
      </c>
      <c r="CC274" s="4">
        <v>0</v>
      </c>
      <c r="CD274" s="4">
        <v>5</v>
      </c>
      <c r="CE274" s="4">
        <v>1</v>
      </c>
      <c r="CF274" s="4">
        <v>4</v>
      </c>
      <c r="CG274" s="4">
        <v>14</v>
      </c>
      <c r="CH274" s="4">
        <v>3</v>
      </c>
      <c r="CI274" s="4">
        <v>6</v>
      </c>
      <c r="CJ274" s="4">
        <v>41</v>
      </c>
      <c r="CK274" s="4">
        <v>5</v>
      </c>
      <c r="CL274" s="4">
        <v>0</v>
      </c>
      <c r="CM274" s="4">
        <v>33</v>
      </c>
      <c r="CN274" s="4">
        <v>159</v>
      </c>
      <c r="CO274" s="4">
        <v>10</v>
      </c>
      <c r="CP274" s="4">
        <v>13</v>
      </c>
      <c r="CQ274" s="4">
        <v>0</v>
      </c>
      <c r="CR274" s="4">
        <v>37</v>
      </c>
      <c r="CS274" s="4">
        <v>8</v>
      </c>
      <c r="CT274" s="4">
        <v>17</v>
      </c>
      <c r="CU274" s="4">
        <v>5</v>
      </c>
      <c r="CV274" s="4">
        <v>67</v>
      </c>
      <c r="CW274" s="4">
        <v>31</v>
      </c>
      <c r="CX274" s="3">
        <v>31</v>
      </c>
    </row>
    <row r="275" spans="1:102" ht="15.75" x14ac:dyDescent="0.25">
      <c r="A275" s="4" t="s">
        <v>173</v>
      </c>
      <c r="B275" s="4" t="s">
        <v>174</v>
      </c>
      <c r="C275" s="4">
        <v>2019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3">
        <v>0</v>
      </c>
    </row>
    <row r="276" spans="1:102" ht="15.75" x14ac:dyDescent="0.25">
      <c r="A276" s="4" t="s">
        <v>175</v>
      </c>
      <c r="B276" s="4" t="s">
        <v>176</v>
      </c>
      <c r="C276" s="4">
        <v>2019</v>
      </c>
      <c r="D276" s="4">
        <v>28</v>
      </c>
      <c r="E276" s="4">
        <v>0</v>
      </c>
      <c r="F276" s="4">
        <v>1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1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1</v>
      </c>
      <c r="AJ276" s="4">
        <v>0</v>
      </c>
      <c r="AK276" s="4">
        <v>1</v>
      </c>
      <c r="AL276" s="4">
        <v>0</v>
      </c>
      <c r="AM276" s="4">
        <v>5</v>
      </c>
      <c r="AN276" s="4">
        <v>0</v>
      </c>
      <c r="AO276" s="4">
        <v>3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1</v>
      </c>
      <c r="BL276" s="4">
        <v>0</v>
      </c>
      <c r="BM276" s="4">
        <v>1</v>
      </c>
      <c r="BN276" s="4">
        <v>0</v>
      </c>
      <c r="BO276" s="4">
        <v>0</v>
      </c>
      <c r="BP276" s="4">
        <v>0</v>
      </c>
      <c r="BQ276" s="4">
        <v>2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2</v>
      </c>
      <c r="BX276" s="4">
        <v>4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1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3">
        <v>0</v>
      </c>
    </row>
    <row r="277" spans="1:102" ht="15.75" x14ac:dyDescent="0.25">
      <c r="A277" s="4" t="s">
        <v>177</v>
      </c>
      <c r="B277" s="4" t="s">
        <v>178</v>
      </c>
      <c r="C277" s="4">
        <v>2019</v>
      </c>
      <c r="D277" s="4">
        <v>1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1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1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3">
        <v>0</v>
      </c>
    </row>
    <row r="278" spans="1:102" ht="15.75" x14ac:dyDescent="0.25">
      <c r="A278" s="4" t="s">
        <v>179</v>
      </c>
      <c r="B278" s="4" t="s">
        <v>180</v>
      </c>
      <c r="C278" s="4">
        <v>2019</v>
      </c>
      <c r="D278" s="4">
        <v>29</v>
      </c>
      <c r="E278" s="4">
        <v>0</v>
      </c>
      <c r="F278" s="4">
        <v>3</v>
      </c>
      <c r="G278" s="4">
        <v>2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2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1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1</v>
      </c>
      <c r="AL278" s="4">
        <v>0</v>
      </c>
      <c r="AM278" s="4">
        <v>0</v>
      </c>
      <c r="AN278" s="4">
        <v>0</v>
      </c>
      <c r="AO278" s="4">
        <v>2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1</v>
      </c>
      <c r="AW278" s="4">
        <v>3</v>
      </c>
      <c r="AX278" s="4">
        <v>2</v>
      </c>
      <c r="AY278" s="4">
        <v>0</v>
      </c>
      <c r="AZ278" s="4">
        <v>0</v>
      </c>
      <c r="BA278" s="4">
        <v>0</v>
      </c>
      <c r="BB278" s="4">
        <v>1</v>
      </c>
      <c r="BC278" s="4">
        <v>0</v>
      </c>
      <c r="BD278" s="4">
        <v>0</v>
      </c>
      <c r="BE278" s="4">
        <v>1</v>
      </c>
      <c r="BF278" s="4">
        <v>1</v>
      </c>
      <c r="BG278" s="4">
        <v>0</v>
      </c>
      <c r="BH278" s="4">
        <v>0</v>
      </c>
      <c r="BI278" s="4">
        <v>0</v>
      </c>
      <c r="BJ278" s="4">
        <v>2</v>
      </c>
      <c r="BK278" s="4">
        <v>1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1</v>
      </c>
      <c r="BR278" s="4">
        <v>0</v>
      </c>
      <c r="BS278" s="4">
        <v>1</v>
      </c>
      <c r="BT278" s="4">
        <v>1</v>
      </c>
      <c r="BU278" s="4">
        <v>0</v>
      </c>
      <c r="BV278" s="4">
        <v>0</v>
      </c>
      <c r="BW278" s="4">
        <v>0</v>
      </c>
      <c r="BX278" s="4">
        <v>1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1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1</v>
      </c>
      <c r="CW278" s="4">
        <v>0</v>
      </c>
      <c r="CX278" s="3">
        <v>0</v>
      </c>
    </row>
    <row r="279" spans="1:102" ht="15.75" x14ac:dyDescent="0.25">
      <c r="A279" s="4" t="s">
        <v>181</v>
      </c>
      <c r="B279" s="4" t="s">
        <v>182</v>
      </c>
      <c r="C279" s="4">
        <v>2019</v>
      </c>
      <c r="D279" s="4">
        <v>9947</v>
      </c>
      <c r="E279" s="4">
        <v>1</v>
      </c>
      <c r="F279" s="4">
        <v>11</v>
      </c>
      <c r="G279" s="4">
        <v>4</v>
      </c>
      <c r="H279" s="4">
        <v>5</v>
      </c>
      <c r="I279" s="4">
        <v>12</v>
      </c>
      <c r="J279" s="4">
        <v>4</v>
      </c>
      <c r="K279" s="4">
        <v>4</v>
      </c>
      <c r="L279" s="4">
        <v>13</v>
      </c>
      <c r="M279" s="4">
        <v>5</v>
      </c>
      <c r="N279" s="4">
        <v>47</v>
      </c>
      <c r="O279" s="4">
        <v>115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3</v>
      </c>
      <c r="V279" s="4">
        <v>3</v>
      </c>
      <c r="W279" s="4">
        <v>19</v>
      </c>
      <c r="X279" s="4">
        <v>3</v>
      </c>
      <c r="Y279" s="4">
        <v>0</v>
      </c>
      <c r="Z279" s="4">
        <v>0</v>
      </c>
      <c r="AA279" s="4">
        <v>2</v>
      </c>
      <c r="AB279" s="4">
        <v>0</v>
      </c>
      <c r="AC279" s="4">
        <v>0</v>
      </c>
      <c r="AD279" s="4">
        <v>0</v>
      </c>
      <c r="AE279" s="4">
        <v>1</v>
      </c>
      <c r="AF279" s="4">
        <v>0</v>
      </c>
      <c r="AG279" s="4">
        <v>401</v>
      </c>
      <c r="AH279" s="4">
        <v>10</v>
      </c>
      <c r="AI279" s="4">
        <v>20</v>
      </c>
      <c r="AJ279" s="4">
        <v>430</v>
      </c>
      <c r="AK279" s="4">
        <v>141</v>
      </c>
      <c r="AL279" s="4">
        <v>0</v>
      </c>
      <c r="AM279" s="4">
        <v>30</v>
      </c>
      <c r="AN279" s="4">
        <v>29</v>
      </c>
      <c r="AO279" s="4">
        <v>74</v>
      </c>
      <c r="AP279" s="4">
        <v>1</v>
      </c>
      <c r="AQ279" s="4">
        <v>12</v>
      </c>
      <c r="AR279" s="4">
        <v>2</v>
      </c>
      <c r="AS279" s="4">
        <v>19</v>
      </c>
      <c r="AT279" s="4">
        <v>23</v>
      </c>
      <c r="AU279" s="4">
        <v>125</v>
      </c>
      <c r="AV279" s="4">
        <v>19</v>
      </c>
      <c r="AW279" s="4">
        <v>261</v>
      </c>
      <c r="AX279" s="4">
        <v>51</v>
      </c>
      <c r="AY279" s="4">
        <v>2</v>
      </c>
      <c r="AZ279" s="4">
        <v>16</v>
      </c>
      <c r="BA279" s="4">
        <v>0</v>
      </c>
      <c r="BB279" s="4">
        <v>237</v>
      </c>
      <c r="BC279" s="4">
        <v>8</v>
      </c>
      <c r="BD279" s="4">
        <v>0</v>
      </c>
      <c r="BE279" s="4">
        <v>15</v>
      </c>
      <c r="BF279" s="4">
        <v>50</v>
      </c>
      <c r="BG279" s="4">
        <v>4</v>
      </c>
      <c r="BH279" s="4">
        <v>3</v>
      </c>
      <c r="BI279" s="4">
        <v>1</v>
      </c>
      <c r="BJ279" s="4">
        <v>62</v>
      </c>
      <c r="BK279" s="4">
        <v>117</v>
      </c>
      <c r="BL279" s="4">
        <v>0</v>
      </c>
      <c r="BM279" s="4">
        <v>19</v>
      </c>
      <c r="BN279" s="4">
        <v>64</v>
      </c>
      <c r="BO279" s="4">
        <v>2</v>
      </c>
      <c r="BP279" s="4">
        <v>10</v>
      </c>
      <c r="BQ279" s="4">
        <v>132</v>
      </c>
      <c r="BR279" s="4">
        <v>4</v>
      </c>
      <c r="BS279" s="4">
        <v>106</v>
      </c>
      <c r="BT279" s="4">
        <v>55</v>
      </c>
      <c r="BU279" s="4">
        <v>21</v>
      </c>
      <c r="BV279" s="4">
        <v>33</v>
      </c>
      <c r="BW279" s="4">
        <v>10</v>
      </c>
      <c r="BX279" s="4">
        <v>473</v>
      </c>
      <c r="BY279" s="4">
        <v>2</v>
      </c>
      <c r="BZ279" s="4">
        <v>0</v>
      </c>
      <c r="CA279" s="4">
        <v>210</v>
      </c>
      <c r="CB279" s="4">
        <v>14</v>
      </c>
      <c r="CC279" s="4">
        <v>1</v>
      </c>
      <c r="CD279" s="4">
        <v>8</v>
      </c>
      <c r="CE279" s="4">
        <v>0</v>
      </c>
      <c r="CF279" s="4">
        <v>16</v>
      </c>
      <c r="CG279" s="4">
        <v>7</v>
      </c>
      <c r="CH279" s="4">
        <v>7</v>
      </c>
      <c r="CI279" s="4">
        <v>13</v>
      </c>
      <c r="CJ279" s="4">
        <v>64</v>
      </c>
      <c r="CK279" s="4">
        <v>10</v>
      </c>
      <c r="CL279" s="4">
        <v>0</v>
      </c>
      <c r="CM279" s="4">
        <v>18</v>
      </c>
      <c r="CN279" s="4">
        <v>153</v>
      </c>
      <c r="CO279" s="4">
        <v>206</v>
      </c>
      <c r="CP279" s="4">
        <v>13</v>
      </c>
      <c r="CQ279" s="4">
        <v>0</v>
      </c>
      <c r="CR279" s="4">
        <v>1209</v>
      </c>
      <c r="CS279" s="4">
        <v>798</v>
      </c>
      <c r="CT279" s="4">
        <v>33</v>
      </c>
      <c r="CU279" s="4">
        <v>2</v>
      </c>
      <c r="CV279" s="4">
        <v>133</v>
      </c>
      <c r="CW279" s="4">
        <v>3680</v>
      </c>
      <c r="CX279" s="3">
        <v>3680</v>
      </c>
    </row>
    <row r="280" spans="1:102" ht="15.75" x14ac:dyDescent="0.25">
      <c r="A280" s="4" t="s">
        <v>183</v>
      </c>
      <c r="B280" s="4" t="s">
        <v>184</v>
      </c>
      <c r="C280" s="4">
        <v>2019</v>
      </c>
      <c r="D280" s="4">
        <v>73</v>
      </c>
      <c r="E280" s="4">
        <v>0</v>
      </c>
      <c r="F280" s="4">
        <v>3</v>
      </c>
      <c r="G280" s="4">
        <v>9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1</v>
      </c>
      <c r="O280" s="4">
        <v>2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1</v>
      </c>
      <c r="AJ280" s="4">
        <v>0</v>
      </c>
      <c r="AK280" s="4">
        <v>1</v>
      </c>
      <c r="AL280" s="4">
        <v>0</v>
      </c>
      <c r="AM280" s="4">
        <v>0</v>
      </c>
      <c r="AN280" s="4">
        <v>0</v>
      </c>
      <c r="AO280" s="4">
        <v>2</v>
      </c>
      <c r="AP280" s="4">
        <v>0</v>
      </c>
      <c r="AQ280" s="4">
        <v>1</v>
      </c>
      <c r="AR280" s="4">
        <v>0</v>
      </c>
      <c r="AS280" s="4">
        <v>0</v>
      </c>
      <c r="AT280" s="4">
        <v>0</v>
      </c>
      <c r="AU280" s="4">
        <v>1</v>
      </c>
      <c r="AV280" s="4">
        <v>3</v>
      </c>
      <c r="AW280" s="4">
        <v>0</v>
      </c>
      <c r="AX280" s="4">
        <v>2</v>
      </c>
      <c r="AY280" s="4">
        <v>0</v>
      </c>
      <c r="AZ280" s="4">
        <v>2</v>
      </c>
      <c r="BA280" s="4">
        <v>0</v>
      </c>
      <c r="BB280" s="4">
        <v>0</v>
      </c>
      <c r="BC280" s="4">
        <v>0</v>
      </c>
      <c r="BD280" s="4">
        <v>0</v>
      </c>
      <c r="BE280" s="4">
        <v>2</v>
      </c>
      <c r="BF280" s="4">
        <v>1</v>
      </c>
      <c r="BG280" s="4">
        <v>0</v>
      </c>
      <c r="BH280" s="4">
        <v>0</v>
      </c>
      <c r="BI280" s="4">
        <v>0</v>
      </c>
      <c r="BJ280" s="4">
        <v>3</v>
      </c>
      <c r="BK280" s="4">
        <v>3</v>
      </c>
      <c r="BL280" s="4">
        <v>0</v>
      </c>
      <c r="BM280" s="4">
        <v>0</v>
      </c>
      <c r="BN280" s="4">
        <v>1</v>
      </c>
      <c r="BO280" s="4">
        <v>0</v>
      </c>
      <c r="BP280" s="4">
        <v>0</v>
      </c>
      <c r="BQ280" s="4">
        <v>4</v>
      </c>
      <c r="BR280" s="4">
        <v>0</v>
      </c>
      <c r="BS280" s="4">
        <v>2</v>
      </c>
      <c r="BT280" s="4">
        <v>1</v>
      </c>
      <c r="BU280" s="4">
        <v>0</v>
      </c>
      <c r="BV280" s="4">
        <v>1</v>
      </c>
      <c r="BW280" s="4">
        <v>2</v>
      </c>
      <c r="BX280" s="4">
        <v>9</v>
      </c>
      <c r="BY280" s="4">
        <v>0</v>
      </c>
      <c r="BZ280" s="4">
        <v>0</v>
      </c>
      <c r="CA280" s="4">
        <v>1</v>
      </c>
      <c r="CB280" s="4">
        <v>0</v>
      </c>
      <c r="CC280" s="4">
        <v>0</v>
      </c>
      <c r="CD280" s="4">
        <v>1</v>
      </c>
      <c r="CE280" s="4">
        <v>0</v>
      </c>
      <c r="CF280" s="4">
        <v>1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1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2</v>
      </c>
      <c r="CW280" s="4">
        <v>1</v>
      </c>
      <c r="CX280" s="3">
        <v>1</v>
      </c>
    </row>
    <row r="281" spans="1:102" ht="15.75" x14ac:dyDescent="0.25">
      <c r="A281" s="4" t="s">
        <v>185</v>
      </c>
      <c r="B281" s="4" t="s">
        <v>186</v>
      </c>
      <c r="C281" s="4">
        <v>2019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3">
        <v>0</v>
      </c>
    </row>
    <row r="282" spans="1:102" ht="15.75" x14ac:dyDescent="0.25">
      <c r="A282" s="4" t="s">
        <v>187</v>
      </c>
      <c r="B282" s="4" t="s">
        <v>188</v>
      </c>
      <c r="C282" s="4">
        <v>2019</v>
      </c>
      <c r="D282" s="4">
        <v>749</v>
      </c>
      <c r="E282" s="4">
        <v>0</v>
      </c>
      <c r="F282" s="4">
        <v>0</v>
      </c>
      <c r="G282" s="4">
        <v>1</v>
      </c>
      <c r="H282" s="4">
        <v>0</v>
      </c>
      <c r="I282" s="4">
        <v>1</v>
      </c>
      <c r="J282" s="4">
        <v>1</v>
      </c>
      <c r="K282" s="4">
        <v>0</v>
      </c>
      <c r="L282" s="4">
        <v>12</v>
      </c>
      <c r="M282" s="4">
        <v>18</v>
      </c>
      <c r="N282" s="4">
        <v>1</v>
      </c>
      <c r="O282" s="4">
        <v>60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5</v>
      </c>
      <c r="Y282" s="4">
        <v>0</v>
      </c>
      <c r="Z282" s="4">
        <v>0</v>
      </c>
      <c r="AA282" s="4">
        <v>1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3</v>
      </c>
      <c r="AH282" s="4">
        <v>2</v>
      </c>
      <c r="AI282" s="4">
        <v>5</v>
      </c>
      <c r="AJ282" s="4">
        <v>77</v>
      </c>
      <c r="AK282" s="4">
        <v>9</v>
      </c>
      <c r="AL282" s="4">
        <v>3</v>
      </c>
      <c r="AM282" s="4">
        <v>6</v>
      </c>
      <c r="AN282" s="4">
        <v>6</v>
      </c>
      <c r="AO282" s="4">
        <v>19</v>
      </c>
      <c r="AP282" s="4">
        <v>0</v>
      </c>
      <c r="AQ282" s="4">
        <v>3</v>
      </c>
      <c r="AR282" s="4">
        <v>2</v>
      </c>
      <c r="AS282" s="4">
        <v>3</v>
      </c>
      <c r="AT282" s="4">
        <v>3</v>
      </c>
      <c r="AU282" s="4">
        <v>2</v>
      </c>
      <c r="AV282" s="4">
        <v>2</v>
      </c>
      <c r="AW282" s="4">
        <v>5</v>
      </c>
      <c r="AX282" s="4">
        <v>8</v>
      </c>
      <c r="AY282" s="4">
        <v>0</v>
      </c>
      <c r="AZ282" s="4">
        <v>7</v>
      </c>
      <c r="BA282" s="4">
        <v>0</v>
      </c>
      <c r="BB282" s="4">
        <v>227</v>
      </c>
      <c r="BC282" s="4">
        <v>10</v>
      </c>
      <c r="BD282" s="4">
        <v>0</v>
      </c>
      <c r="BE282" s="4">
        <v>6</v>
      </c>
      <c r="BF282" s="4">
        <v>28</v>
      </c>
      <c r="BG282" s="4">
        <v>0</v>
      </c>
      <c r="BH282" s="4">
        <v>1</v>
      </c>
      <c r="BI282" s="4">
        <v>0</v>
      </c>
      <c r="BJ282" s="4">
        <v>12</v>
      </c>
      <c r="BK282" s="4">
        <v>24</v>
      </c>
      <c r="BL282" s="4">
        <v>0</v>
      </c>
      <c r="BM282" s="4">
        <v>0</v>
      </c>
      <c r="BN282" s="4">
        <v>2</v>
      </c>
      <c r="BO282" s="4">
        <v>0</v>
      </c>
      <c r="BP282" s="4">
        <v>1</v>
      </c>
      <c r="BQ282" s="4">
        <v>3</v>
      </c>
      <c r="BR282" s="4">
        <v>1</v>
      </c>
      <c r="BS282" s="4">
        <v>12</v>
      </c>
      <c r="BT282" s="4">
        <v>4</v>
      </c>
      <c r="BU282" s="4">
        <v>2</v>
      </c>
      <c r="BV282" s="4">
        <v>5</v>
      </c>
      <c r="BW282" s="4">
        <v>3</v>
      </c>
      <c r="BX282" s="4">
        <v>77</v>
      </c>
      <c r="BY282" s="4">
        <v>0</v>
      </c>
      <c r="BZ282" s="4">
        <v>0</v>
      </c>
      <c r="CA282" s="4">
        <v>3</v>
      </c>
      <c r="CB282" s="4">
        <v>0</v>
      </c>
      <c r="CC282" s="4">
        <v>0</v>
      </c>
      <c r="CD282" s="4">
        <v>0</v>
      </c>
      <c r="CE282" s="4">
        <v>0</v>
      </c>
      <c r="CF282" s="4">
        <v>1</v>
      </c>
      <c r="CG282" s="4">
        <v>4</v>
      </c>
      <c r="CH282" s="4">
        <v>0</v>
      </c>
      <c r="CI282" s="4">
        <v>0</v>
      </c>
      <c r="CJ282" s="4">
        <v>4</v>
      </c>
      <c r="CK282" s="4">
        <v>0</v>
      </c>
      <c r="CL282" s="4">
        <v>0</v>
      </c>
      <c r="CM282" s="4">
        <v>1</v>
      </c>
      <c r="CN282" s="4">
        <v>20</v>
      </c>
      <c r="CO282" s="4">
        <v>1</v>
      </c>
      <c r="CP282" s="4">
        <v>0</v>
      </c>
      <c r="CQ282" s="4">
        <v>0</v>
      </c>
      <c r="CR282" s="4">
        <v>5</v>
      </c>
      <c r="CS282" s="4">
        <v>0</v>
      </c>
      <c r="CT282" s="4">
        <v>2</v>
      </c>
      <c r="CU282" s="4">
        <v>7</v>
      </c>
      <c r="CV282" s="4">
        <v>11</v>
      </c>
      <c r="CW282" s="4">
        <v>2</v>
      </c>
      <c r="CX282" s="3">
        <v>2</v>
      </c>
    </row>
    <row r="283" spans="1:102" ht="15.75" x14ac:dyDescent="0.25">
      <c r="A283" s="4" t="s">
        <v>189</v>
      </c>
      <c r="B283" s="4" t="s">
        <v>190</v>
      </c>
      <c r="C283" s="4">
        <v>2019</v>
      </c>
      <c r="D283" s="4">
        <v>49</v>
      </c>
      <c r="E283" s="4">
        <v>0</v>
      </c>
      <c r="F283" s="4">
        <v>0</v>
      </c>
      <c r="G283" s="4">
        <v>2</v>
      </c>
      <c r="H283" s="4">
        <v>0</v>
      </c>
      <c r="I283" s="4">
        <v>3</v>
      </c>
      <c r="J283" s="4">
        <v>1</v>
      </c>
      <c r="K283" s="4">
        <v>1</v>
      </c>
      <c r="L283" s="4">
        <v>0</v>
      </c>
      <c r="M283" s="4">
        <v>0</v>
      </c>
      <c r="N283" s="4">
        <v>0</v>
      </c>
      <c r="O283" s="4">
        <v>3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2</v>
      </c>
      <c r="V283" s="4">
        <v>0</v>
      </c>
      <c r="W283" s="4">
        <v>0</v>
      </c>
      <c r="X283" s="4">
        <v>1</v>
      </c>
      <c r="Y283" s="4">
        <v>0</v>
      </c>
      <c r="Z283" s="4">
        <v>0</v>
      </c>
      <c r="AA283" s="4">
        <v>6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3</v>
      </c>
      <c r="AJ283" s="4">
        <v>0</v>
      </c>
      <c r="AK283" s="4">
        <v>1</v>
      </c>
      <c r="AL283" s="4">
        <v>0</v>
      </c>
      <c r="AM283" s="4">
        <v>0</v>
      </c>
      <c r="AN283" s="4">
        <v>0</v>
      </c>
      <c r="AO283" s="4">
        <v>2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1</v>
      </c>
      <c r="AW283" s="4">
        <v>0</v>
      </c>
      <c r="AX283" s="4">
        <v>1</v>
      </c>
      <c r="AY283" s="4">
        <v>0</v>
      </c>
      <c r="AZ283" s="4">
        <v>0</v>
      </c>
      <c r="BA283" s="4">
        <v>0</v>
      </c>
      <c r="BB283" s="4">
        <v>1</v>
      </c>
      <c r="BC283" s="4">
        <v>0</v>
      </c>
      <c r="BD283" s="4">
        <v>0</v>
      </c>
      <c r="BE283" s="4">
        <v>1</v>
      </c>
      <c r="BF283" s="4">
        <v>2</v>
      </c>
      <c r="BG283" s="4">
        <v>0</v>
      </c>
      <c r="BH283" s="4">
        <v>0</v>
      </c>
      <c r="BI283" s="4">
        <v>0</v>
      </c>
      <c r="BJ283" s="4">
        <v>2</v>
      </c>
      <c r="BK283" s="4">
        <v>2</v>
      </c>
      <c r="BL283" s="4">
        <v>0</v>
      </c>
      <c r="BM283" s="4">
        <v>0</v>
      </c>
      <c r="BN283" s="4">
        <v>1</v>
      </c>
      <c r="BO283" s="4">
        <v>0</v>
      </c>
      <c r="BP283" s="4">
        <v>0</v>
      </c>
      <c r="BQ283" s="4">
        <v>1</v>
      </c>
      <c r="BR283" s="4">
        <v>0</v>
      </c>
      <c r="BS283" s="4">
        <v>1</v>
      </c>
      <c r="BT283" s="4">
        <v>1</v>
      </c>
      <c r="BU283" s="4">
        <v>0</v>
      </c>
      <c r="BV283" s="4">
        <v>0</v>
      </c>
      <c r="BW283" s="4">
        <v>0</v>
      </c>
      <c r="BX283" s="4">
        <v>3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1</v>
      </c>
      <c r="CG283" s="4">
        <v>0</v>
      </c>
      <c r="CH283" s="4">
        <v>1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1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1</v>
      </c>
      <c r="CU283" s="4">
        <v>0</v>
      </c>
      <c r="CV283" s="4">
        <v>1</v>
      </c>
      <c r="CW283" s="4">
        <v>0</v>
      </c>
      <c r="CX283" s="3">
        <v>0</v>
      </c>
    </row>
    <row r="284" spans="1:102" ht="15.75" x14ac:dyDescent="0.25">
      <c r="A284" s="4" t="s">
        <v>191</v>
      </c>
      <c r="B284" s="4" t="s">
        <v>192</v>
      </c>
      <c r="C284" s="4">
        <v>2019</v>
      </c>
      <c r="D284" s="4">
        <v>26679</v>
      </c>
      <c r="E284" s="4">
        <v>0</v>
      </c>
      <c r="F284" s="4">
        <v>216</v>
      </c>
      <c r="G284" s="4">
        <v>89</v>
      </c>
      <c r="H284" s="4">
        <v>138</v>
      </c>
      <c r="I284" s="4">
        <v>7</v>
      </c>
      <c r="J284" s="4">
        <v>6</v>
      </c>
      <c r="K284" s="4">
        <v>3</v>
      </c>
      <c r="L284" s="4">
        <v>19</v>
      </c>
      <c r="M284" s="4">
        <v>3</v>
      </c>
      <c r="N284" s="4">
        <v>125</v>
      </c>
      <c r="O284" s="4">
        <v>220</v>
      </c>
      <c r="P284" s="4">
        <v>30</v>
      </c>
      <c r="Q284" s="4">
        <v>0</v>
      </c>
      <c r="R284" s="4">
        <v>7</v>
      </c>
      <c r="S284" s="4">
        <v>1</v>
      </c>
      <c r="T284" s="4">
        <v>124</v>
      </c>
      <c r="U284" s="4">
        <v>78</v>
      </c>
      <c r="V284" s="4">
        <v>15</v>
      </c>
      <c r="W284" s="4">
        <v>479</v>
      </c>
      <c r="X284" s="4">
        <v>6</v>
      </c>
      <c r="Y284" s="4">
        <v>0</v>
      </c>
      <c r="Z284" s="4">
        <v>6884</v>
      </c>
      <c r="AA284" s="4">
        <v>631</v>
      </c>
      <c r="AB284" s="4">
        <v>0</v>
      </c>
      <c r="AC284" s="4">
        <v>0</v>
      </c>
      <c r="AD284" s="4">
        <v>3</v>
      </c>
      <c r="AE284" s="4">
        <v>4</v>
      </c>
      <c r="AF284" s="4">
        <v>0</v>
      </c>
      <c r="AG284" s="4">
        <v>152</v>
      </c>
      <c r="AH284" s="4">
        <v>41</v>
      </c>
      <c r="AI284" s="4">
        <v>68</v>
      </c>
      <c r="AJ284" s="4">
        <v>1633</v>
      </c>
      <c r="AK284" s="4">
        <v>98</v>
      </c>
      <c r="AL284" s="4">
        <v>15</v>
      </c>
      <c r="AM284" s="4">
        <v>103</v>
      </c>
      <c r="AN284" s="4">
        <v>125</v>
      </c>
      <c r="AO284" s="4">
        <v>278</v>
      </c>
      <c r="AP284" s="4">
        <v>3</v>
      </c>
      <c r="AQ284" s="4">
        <v>58</v>
      </c>
      <c r="AR284" s="4">
        <v>3</v>
      </c>
      <c r="AS284" s="4">
        <v>27</v>
      </c>
      <c r="AT284" s="4">
        <v>76</v>
      </c>
      <c r="AU284" s="4">
        <v>91</v>
      </c>
      <c r="AV284" s="4">
        <v>83</v>
      </c>
      <c r="AW284" s="4">
        <v>492</v>
      </c>
      <c r="AX284" s="4">
        <v>175</v>
      </c>
      <c r="AY284" s="4">
        <v>13</v>
      </c>
      <c r="AZ284" s="4">
        <v>57</v>
      </c>
      <c r="BA284" s="4">
        <v>0</v>
      </c>
      <c r="BB284" s="4">
        <v>746</v>
      </c>
      <c r="BC284" s="4">
        <v>193</v>
      </c>
      <c r="BD284" s="4">
        <v>0</v>
      </c>
      <c r="BE284" s="4">
        <v>50</v>
      </c>
      <c r="BF284" s="4">
        <v>206</v>
      </c>
      <c r="BG284" s="4">
        <v>23</v>
      </c>
      <c r="BH284" s="4">
        <v>71</v>
      </c>
      <c r="BI284" s="4">
        <v>1</v>
      </c>
      <c r="BJ284" s="4">
        <v>353</v>
      </c>
      <c r="BK284" s="4">
        <v>308</v>
      </c>
      <c r="BL284" s="4">
        <v>0</v>
      </c>
      <c r="BM284" s="4">
        <v>13</v>
      </c>
      <c r="BN284" s="4">
        <v>63</v>
      </c>
      <c r="BO284" s="4">
        <v>1</v>
      </c>
      <c r="BP284" s="4">
        <v>27</v>
      </c>
      <c r="BQ284" s="4">
        <v>99</v>
      </c>
      <c r="BR284" s="4">
        <v>9</v>
      </c>
      <c r="BS284" s="4">
        <v>468</v>
      </c>
      <c r="BT284" s="4">
        <v>249</v>
      </c>
      <c r="BU284" s="4">
        <v>2</v>
      </c>
      <c r="BV284" s="4">
        <v>302</v>
      </c>
      <c r="BW284" s="4">
        <v>7</v>
      </c>
      <c r="BX284" s="4">
        <v>3464</v>
      </c>
      <c r="BY284" s="4">
        <v>17</v>
      </c>
      <c r="BZ284" s="4">
        <v>2</v>
      </c>
      <c r="CA284" s="4">
        <v>186</v>
      </c>
      <c r="CB284" s="4">
        <v>177</v>
      </c>
      <c r="CC284" s="4">
        <v>0</v>
      </c>
      <c r="CD284" s="4">
        <v>5</v>
      </c>
      <c r="CE284" s="4">
        <v>1</v>
      </c>
      <c r="CF284" s="4">
        <v>12</v>
      </c>
      <c r="CG284" s="4">
        <v>54</v>
      </c>
      <c r="CH284" s="4">
        <v>5</v>
      </c>
      <c r="CI284" s="4">
        <v>8</v>
      </c>
      <c r="CJ284" s="4">
        <v>44</v>
      </c>
      <c r="CK284" s="4">
        <v>28</v>
      </c>
      <c r="CL284" s="4">
        <v>0</v>
      </c>
      <c r="CM284" s="4">
        <v>63</v>
      </c>
      <c r="CN284" s="4">
        <v>650</v>
      </c>
      <c r="CO284" s="4">
        <v>42</v>
      </c>
      <c r="CP284" s="4">
        <v>13</v>
      </c>
      <c r="CQ284" s="4">
        <v>0</v>
      </c>
      <c r="CR284" s="4">
        <v>147</v>
      </c>
      <c r="CS284" s="4">
        <v>26</v>
      </c>
      <c r="CT284" s="4">
        <v>27</v>
      </c>
      <c r="CU284" s="4">
        <v>18</v>
      </c>
      <c r="CV284" s="4">
        <v>144</v>
      </c>
      <c r="CW284" s="4">
        <v>5672</v>
      </c>
      <c r="CX284" s="3">
        <v>5672</v>
      </c>
    </row>
    <row r="285" spans="1:102" ht="15.75" x14ac:dyDescent="0.25">
      <c r="A285" s="4" t="s">
        <v>193</v>
      </c>
      <c r="B285" s="4" t="s">
        <v>194</v>
      </c>
      <c r="C285" s="4">
        <v>2019</v>
      </c>
      <c r="D285" s="4">
        <v>859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1</v>
      </c>
      <c r="M285" s="4">
        <v>6</v>
      </c>
      <c r="N285" s="4">
        <v>3</v>
      </c>
      <c r="O285" s="4">
        <v>332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1</v>
      </c>
      <c r="W285" s="4">
        <v>0</v>
      </c>
      <c r="X285" s="4">
        <v>0</v>
      </c>
      <c r="Y285" s="4">
        <v>2</v>
      </c>
      <c r="Z285" s="4">
        <v>0</v>
      </c>
      <c r="AA285" s="4">
        <v>125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8</v>
      </c>
      <c r="AH285" s="4">
        <v>1</v>
      </c>
      <c r="AI285" s="4">
        <v>4</v>
      </c>
      <c r="AJ285" s="4">
        <v>40</v>
      </c>
      <c r="AK285" s="4">
        <v>16</v>
      </c>
      <c r="AL285" s="4">
        <v>1</v>
      </c>
      <c r="AM285" s="4">
        <v>3</v>
      </c>
      <c r="AN285" s="4">
        <v>2</v>
      </c>
      <c r="AO285" s="4">
        <v>31</v>
      </c>
      <c r="AP285" s="4">
        <v>0</v>
      </c>
      <c r="AQ285" s="4">
        <v>2</v>
      </c>
      <c r="AR285" s="4">
        <v>0</v>
      </c>
      <c r="AS285" s="4">
        <v>3</v>
      </c>
      <c r="AT285" s="4">
        <v>1</v>
      </c>
      <c r="AU285" s="4">
        <v>2</v>
      </c>
      <c r="AV285" s="4">
        <v>1</v>
      </c>
      <c r="AW285" s="4">
        <v>1</v>
      </c>
      <c r="AX285" s="4">
        <v>5</v>
      </c>
      <c r="AY285" s="4">
        <v>0</v>
      </c>
      <c r="AZ285" s="4">
        <v>1</v>
      </c>
      <c r="BA285" s="4">
        <v>0</v>
      </c>
      <c r="BB285" s="4">
        <v>109</v>
      </c>
      <c r="BC285" s="4">
        <v>3</v>
      </c>
      <c r="BD285" s="4">
        <v>0</v>
      </c>
      <c r="BE285" s="4">
        <v>8</v>
      </c>
      <c r="BF285" s="4">
        <v>10</v>
      </c>
      <c r="BG285" s="4">
        <v>1</v>
      </c>
      <c r="BH285" s="4">
        <v>0</v>
      </c>
      <c r="BI285" s="4">
        <v>0</v>
      </c>
      <c r="BJ285" s="4">
        <v>8</v>
      </c>
      <c r="BK285" s="4">
        <v>8</v>
      </c>
      <c r="BL285" s="4">
        <v>0</v>
      </c>
      <c r="BM285" s="4">
        <v>0</v>
      </c>
      <c r="BN285" s="4">
        <v>1</v>
      </c>
      <c r="BO285" s="4">
        <v>0</v>
      </c>
      <c r="BP285" s="4">
        <v>0</v>
      </c>
      <c r="BQ285" s="4">
        <v>3</v>
      </c>
      <c r="BR285" s="4">
        <v>0</v>
      </c>
      <c r="BS285" s="4">
        <v>4</v>
      </c>
      <c r="BT285" s="4">
        <v>6</v>
      </c>
      <c r="BU285" s="4">
        <v>0</v>
      </c>
      <c r="BV285" s="4">
        <v>3</v>
      </c>
      <c r="BW285" s="4">
        <v>4</v>
      </c>
      <c r="BX285" s="4">
        <v>48</v>
      </c>
      <c r="BY285" s="4">
        <v>0</v>
      </c>
      <c r="BZ285" s="4">
        <v>0</v>
      </c>
      <c r="CA285" s="4">
        <v>2</v>
      </c>
      <c r="CB285" s="4">
        <v>3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1</v>
      </c>
      <c r="CK285" s="4">
        <v>0</v>
      </c>
      <c r="CL285" s="4">
        <v>0</v>
      </c>
      <c r="CM285" s="4">
        <v>5</v>
      </c>
      <c r="CN285" s="4">
        <v>18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12</v>
      </c>
      <c r="CU285" s="4">
        <v>0</v>
      </c>
      <c r="CV285" s="4">
        <v>8</v>
      </c>
      <c r="CW285" s="4">
        <v>1</v>
      </c>
      <c r="CX285" s="3">
        <v>1</v>
      </c>
    </row>
    <row r="286" spans="1:102" ht="15.75" x14ac:dyDescent="0.25">
      <c r="A286" s="4" t="s">
        <v>195</v>
      </c>
      <c r="B286" s="4" t="s">
        <v>196</v>
      </c>
      <c r="C286" s="4">
        <v>2019</v>
      </c>
      <c r="D286" s="4">
        <v>63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</v>
      </c>
      <c r="M286" s="4">
        <v>0</v>
      </c>
      <c r="N286" s="4">
        <v>0</v>
      </c>
      <c r="O286" s="4">
        <v>2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2</v>
      </c>
      <c r="AH286" s="4">
        <v>0</v>
      </c>
      <c r="AI286" s="4">
        <v>0</v>
      </c>
      <c r="AJ286" s="4">
        <v>1</v>
      </c>
      <c r="AK286" s="4">
        <v>2</v>
      </c>
      <c r="AL286" s="4">
        <v>1</v>
      </c>
      <c r="AM286" s="4">
        <v>1</v>
      </c>
      <c r="AN286" s="4">
        <v>2</v>
      </c>
      <c r="AO286" s="4">
        <v>3</v>
      </c>
      <c r="AP286" s="4">
        <v>0</v>
      </c>
      <c r="AQ286" s="4">
        <v>0</v>
      </c>
      <c r="AR286" s="4">
        <v>0</v>
      </c>
      <c r="AS286" s="4">
        <v>0</v>
      </c>
      <c r="AT286" s="4">
        <v>1</v>
      </c>
      <c r="AU286" s="4">
        <v>0</v>
      </c>
      <c r="AV286" s="4">
        <v>0</v>
      </c>
      <c r="AW286" s="4">
        <v>0</v>
      </c>
      <c r="AX286" s="4">
        <v>3</v>
      </c>
      <c r="AY286" s="4">
        <v>0</v>
      </c>
      <c r="AZ286" s="4">
        <v>0</v>
      </c>
      <c r="BA286" s="4">
        <v>0</v>
      </c>
      <c r="BB286" s="4">
        <v>1</v>
      </c>
      <c r="BC286" s="4">
        <v>0</v>
      </c>
      <c r="BD286" s="4">
        <v>0</v>
      </c>
      <c r="BE286" s="4">
        <v>1</v>
      </c>
      <c r="BF286" s="4">
        <v>7</v>
      </c>
      <c r="BG286" s="4">
        <v>0</v>
      </c>
      <c r="BH286" s="4">
        <v>0</v>
      </c>
      <c r="BI286" s="4">
        <v>0</v>
      </c>
      <c r="BJ286" s="4">
        <v>0</v>
      </c>
      <c r="BK286" s="4">
        <v>2</v>
      </c>
      <c r="BL286" s="4">
        <v>0</v>
      </c>
      <c r="BM286" s="4">
        <v>0</v>
      </c>
      <c r="BN286" s="4">
        <v>1</v>
      </c>
      <c r="BO286" s="4">
        <v>0</v>
      </c>
      <c r="BP286" s="4">
        <v>0</v>
      </c>
      <c r="BQ286" s="4">
        <v>2</v>
      </c>
      <c r="BR286" s="4">
        <v>0</v>
      </c>
      <c r="BS286" s="4">
        <v>1</v>
      </c>
      <c r="BT286" s="4">
        <v>1</v>
      </c>
      <c r="BU286" s="4">
        <v>0</v>
      </c>
      <c r="BV286" s="4">
        <v>1</v>
      </c>
      <c r="BW286" s="4">
        <v>0</v>
      </c>
      <c r="BX286" s="4">
        <v>18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2</v>
      </c>
      <c r="CO286" s="4">
        <v>0</v>
      </c>
      <c r="CP286" s="4">
        <v>2</v>
      </c>
      <c r="CQ286" s="4">
        <v>0</v>
      </c>
      <c r="CR286" s="4">
        <v>0</v>
      </c>
      <c r="CS286" s="4">
        <v>0</v>
      </c>
      <c r="CT286" s="4">
        <v>1</v>
      </c>
      <c r="CU286" s="4">
        <v>0</v>
      </c>
      <c r="CV286" s="4">
        <v>2</v>
      </c>
      <c r="CW286" s="4">
        <v>1</v>
      </c>
      <c r="CX286" s="3">
        <v>1</v>
      </c>
    </row>
    <row r="287" spans="1:102" ht="15.75" x14ac:dyDescent="0.25">
      <c r="A287" s="4" t="s">
        <v>197</v>
      </c>
      <c r="B287" s="4" t="s">
        <v>198</v>
      </c>
      <c r="C287" s="4">
        <v>2019</v>
      </c>
      <c r="D287" s="4">
        <v>14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3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</v>
      </c>
      <c r="AH287" s="4">
        <v>0</v>
      </c>
      <c r="AI287" s="4">
        <v>0</v>
      </c>
      <c r="AJ287" s="4">
        <v>1</v>
      </c>
      <c r="AK287" s="4">
        <v>0</v>
      </c>
      <c r="AL287" s="4">
        <v>0</v>
      </c>
      <c r="AM287" s="4">
        <v>0</v>
      </c>
      <c r="AN287" s="4">
        <v>0</v>
      </c>
      <c r="AO287" s="4">
        <v>1</v>
      </c>
      <c r="AP287" s="4">
        <v>0</v>
      </c>
      <c r="AQ287" s="4">
        <v>0</v>
      </c>
      <c r="AR287" s="4">
        <v>1</v>
      </c>
      <c r="AS287" s="4">
        <v>1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1</v>
      </c>
      <c r="BC287" s="4">
        <v>0</v>
      </c>
      <c r="BD287" s="4">
        <v>0</v>
      </c>
      <c r="BE287" s="4">
        <v>1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1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1</v>
      </c>
      <c r="CU287" s="4">
        <v>0</v>
      </c>
      <c r="CV287" s="4">
        <v>0</v>
      </c>
      <c r="CW287" s="4">
        <v>0</v>
      </c>
      <c r="CX287" s="3">
        <v>0</v>
      </c>
    </row>
    <row r="288" spans="1:102" ht="15.75" x14ac:dyDescent="0.25">
      <c r="A288" s="4" t="s">
        <v>199</v>
      </c>
      <c r="B288" s="4" t="s">
        <v>200</v>
      </c>
      <c r="C288" s="4">
        <v>2019</v>
      </c>
      <c r="D288" s="4">
        <v>1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1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1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3">
        <v>0</v>
      </c>
    </row>
    <row r="289" spans="1:102" ht="15.75" x14ac:dyDescent="0.25">
      <c r="A289" s="4" t="s">
        <v>201</v>
      </c>
      <c r="B289" s="4" t="s">
        <v>202</v>
      </c>
      <c r="C289" s="4">
        <v>2019</v>
      </c>
      <c r="D289" s="4">
        <v>8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5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1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1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1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3">
        <v>0</v>
      </c>
    </row>
    <row r="290" spans="1:102" ht="15.75" x14ac:dyDescent="0.25">
      <c r="A290" s="4" t="s">
        <v>203</v>
      </c>
      <c r="B290" s="4" t="s">
        <v>204</v>
      </c>
      <c r="C290" s="4">
        <v>2019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3">
        <v>0</v>
      </c>
    </row>
    <row r="291" spans="1:102" ht="15.75" x14ac:dyDescent="0.25">
      <c r="A291" s="4" t="s">
        <v>205</v>
      </c>
      <c r="B291" s="4" t="s">
        <v>206</v>
      </c>
      <c r="C291" s="4">
        <v>2019</v>
      </c>
      <c r="D291" s="4">
        <v>450</v>
      </c>
      <c r="E291" s="4">
        <v>0</v>
      </c>
      <c r="F291" s="4">
        <v>4</v>
      </c>
      <c r="G291" s="4">
        <v>4</v>
      </c>
      <c r="H291" s="4">
        <v>4</v>
      </c>
      <c r="I291" s="4">
        <v>13</v>
      </c>
      <c r="J291" s="4">
        <v>4</v>
      </c>
      <c r="K291" s="4">
        <v>2</v>
      </c>
      <c r="L291" s="4">
        <v>7</v>
      </c>
      <c r="M291" s="4">
        <v>4</v>
      </c>
      <c r="N291" s="4">
        <v>12</v>
      </c>
      <c r="O291" s="4">
        <v>26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1</v>
      </c>
      <c r="W291" s="4">
        <v>0</v>
      </c>
      <c r="X291" s="4">
        <v>1</v>
      </c>
      <c r="Y291" s="4">
        <v>0</v>
      </c>
      <c r="Z291" s="4">
        <v>0</v>
      </c>
      <c r="AA291" s="4">
        <v>4</v>
      </c>
      <c r="AB291" s="4">
        <v>0</v>
      </c>
      <c r="AC291" s="4">
        <v>0</v>
      </c>
      <c r="AD291" s="4">
        <v>0</v>
      </c>
      <c r="AE291" s="4">
        <v>1</v>
      </c>
      <c r="AF291" s="4">
        <v>0</v>
      </c>
      <c r="AG291" s="4">
        <v>2</v>
      </c>
      <c r="AH291" s="4">
        <v>1</v>
      </c>
      <c r="AI291" s="4">
        <v>3</v>
      </c>
      <c r="AJ291" s="4">
        <v>13</v>
      </c>
      <c r="AK291" s="4">
        <v>10</v>
      </c>
      <c r="AL291" s="4">
        <v>0</v>
      </c>
      <c r="AM291" s="4">
        <v>2</v>
      </c>
      <c r="AN291" s="4">
        <v>2</v>
      </c>
      <c r="AO291" s="4">
        <v>3</v>
      </c>
      <c r="AP291" s="4">
        <v>0</v>
      </c>
      <c r="AQ291" s="4">
        <v>2</v>
      </c>
      <c r="AR291" s="4">
        <v>0</v>
      </c>
      <c r="AS291" s="4">
        <v>3</v>
      </c>
      <c r="AT291" s="4">
        <v>3</v>
      </c>
      <c r="AU291" s="4">
        <v>3</v>
      </c>
      <c r="AV291" s="4">
        <v>1</v>
      </c>
      <c r="AW291" s="4">
        <v>1</v>
      </c>
      <c r="AX291" s="4">
        <v>7</v>
      </c>
      <c r="AY291" s="4">
        <v>0</v>
      </c>
      <c r="AZ291" s="4">
        <v>1</v>
      </c>
      <c r="BA291" s="4">
        <v>0</v>
      </c>
      <c r="BB291" s="4">
        <v>2</v>
      </c>
      <c r="BC291" s="4">
        <v>1</v>
      </c>
      <c r="BD291" s="4">
        <v>0</v>
      </c>
      <c r="BE291" s="4">
        <v>1</v>
      </c>
      <c r="BF291" s="4">
        <v>7</v>
      </c>
      <c r="BG291" s="4">
        <v>0</v>
      </c>
      <c r="BH291" s="4">
        <v>0</v>
      </c>
      <c r="BI291" s="4">
        <v>0</v>
      </c>
      <c r="BJ291" s="4">
        <v>4</v>
      </c>
      <c r="BK291" s="4">
        <v>6</v>
      </c>
      <c r="BL291" s="4">
        <v>0</v>
      </c>
      <c r="BM291" s="4">
        <v>1</v>
      </c>
      <c r="BN291" s="4">
        <v>4</v>
      </c>
      <c r="BO291" s="4">
        <v>0</v>
      </c>
      <c r="BP291" s="4">
        <v>2</v>
      </c>
      <c r="BQ291" s="4">
        <v>11</v>
      </c>
      <c r="BR291" s="4">
        <v>2</v>
      </c>
      <c r="BS291" s="4">
        <v>12</v>
      </c>
      <c r="BT291" s="4">
        <v>4</v>
      </c>
      <c r="BU291" s="4">
        <v>0</v>
      </c>
      <c r="BV291" s="4">
        <v>8</v>
      </c>
      <c r="BW291" s="4">
        <v>20</v>
      </c>
      <c r="BX291" s="4">
        <v>89</v>
      </c>
      <c r="BY291" s="4">
        <v>0</v>
      </c>
      <c r="BZ291" s="4">
        <v>0</v>
      </c>
      <c r="CA291" s="4">
        <v>37</v>
      </c>
      <c r="CB291" s="4">
        <v>14</v>
      </c>
      <c r="CC291" s="4">
        <v>2</v>
      </c>
      <c r="CD291" s="4">
        <v>2</v>
      </c>
      <c r="CE291" s="4">
        <v>0</v>
      </c>
      <c r="CF291" s="4">
        <v>1</v>
      </c>
      <c r="CG291" s="4">
        <v>0</v>
      </c>
      <c r="CH291" s="4">
        <v>1</v>
      </c>
      <c r="CI291" s="4">
        <v>2</v>
      </c>
      <c r="CJ291" s="4">
        <v>39</v>
      </c>
      <c r="CK291" s="4">
        <v>5</v>
      </c>
      <c r="CL291" s="4">
        <v>0</v>
      </c>
      <c r="CM291" s="4">
        <v>0</v>
      </c>
      <c r="CN291" s="4">
        <v>5</v>
      </c>
      <c r="CO291" s="4">
        <v>4</v>
      </c>
      <c r="CP291" s="4">
        <v>0</v>
      </c>
      <c r="CQ291" s="4">
        <v>0</v>
      </c>
      <c r="CR291" s="4">
        <v>1</v>
      </c>
      <c r="CS291" s="4">
        <v>1</v>
      </c>
      <c r="CT291" s="4">
        <v>2</v>
      </c>
      <c r="CU291" s="4">
        <v>1</v>
      </c>
      <c r="CV291" s="4">
        <v>16</v>
      </c>
      <c r="CW291" s="4">
        <v>1</v>
      </c>
      <c r="CX291" s="3">
        <v>1</v>
      </c>
    </row>
    <row r="292" spans="1:102" ht="15.75" x14ac:dyDescent="0.25">
      <c r="A292" s="4" t="s">
        <v>207</v>
      </c>
      <c r="B292" s="4" t="s">
        <v>208</v>
      </c>
      <c r="C292" s="4">
        <v>2019</v>
      </c>
      <c r="D292" s="4">
        <v>2372</v>
      </c>
      <c r="E292" s="4">
        <v>0</v>
      </c>
      <c r="F292" s="4">
        <v>9</v>
      </c>
      <c r="G292" s="4">
        <v>5</v>
      </c>
      <c r="H292" s="4">
        <v>2</v>
      </c>
      <c r="I292" s="4">
        <v>10</v>
      </c>
      <c r="J292" s="4">
        <v>11</v>
      </c>
      <c r="K292" s="4">
        <v>3</v>
      </c>
      <c r="L292" s="4">
        <v>38</v>
      </c>
      <c r="M292" s="4">
        <v>16</v>
      </c>
      <c r="N292" s="4">
        <v>15</v>
      </c>
      <c r="O292" s="4">
        <v>106</v>
      </c>
      <c r="P292" s="4">
        <v>2</v>
      </c>
      <c r="Q292" s="4">
        <v>0</v>
      </c>
      <c r="R292" s="4">
        <v>0</v>
      </c>
      <c r="S292" s="4">
        <v>0</v>
      </c>
      <c r="T292" s="4">
        <v>0</v>
      </c>
      <c r="U292" s="4">
        <v>10</v>
      </c>
      <c r="V292" s="4">
        <v>4</v>
      </c>
      <c r="W292" s="4">
        <v>3</v>
      </c>
      <c r="X292" s="4">
        <v>3</v>
      </c>
      <c r="Y292" s="4">
        <v>0</v>
      </c>
      <c r="Z292" s="4">
        <v>0</v>
      </c>
      <c r="AA292" s="4">
        <v>10</v>
      </c>
      <c r="AB292" s="4">
        <v>0</v>
      </c>
      <c r="AC292" s="4">
        <v>0</v>
      </c>
      <c r="AD292" s="4">
        <v>1</v>
      </c>
      <c r="AE292" s="4">
        <v>1</v>
      </c>
      <c r="AF292" s="4">
        <v>0</v>
      </c>
      <c r="AG292" s="4">
        <v>16</v>
      </c>
      <c r="AH292" s="4">
        <v>15</v>
      </c>
      <c r="AI292" s="4">
        <v>22</v>
      </c>
      <c r="AJ292" s="4">
        <v>111</v>
      </c>
      <c r="AK292" s="4">
        <v>139</v>
      </c>
      <c r="AL292" s="4">
        <v>1</v>
      </c>
      <c r="AM292" s="4">
        <v>48</v>
      </c>
      <c r="AN292" s="4">
        <v>44</v>
      </c>
      <c r="AO292" s="4">
        <v>52</v>
      </c>
      <c r="AP292" s="4">
        <v>13</v>
      </c>
      <c r="AQ292" s="4">
        <v>13</v>
      </c>
      <c r="AR292" s="4">
        <v>2</v>
      </c>
      <c r="AS292" s="4">
        <v>22</v>
      </c>
      <c r="AT292" s="4">
        <v>40</v>
      </c>
      <c r="AU292" s="4">
        <v>24</v>
      </c>
      <c r="AV292" s="4">
        <v>48</v>
      </c>
      <c r="AW292" s="4">
        <v>25</v>
      </c>
      <c r="AX292" s="4">
        <v>96</v>
      </c>
      <c r="AY292" s="4">
        <v>1</v>
      </c>
      <c r="AZ292" s="4">
        <v>3</v>
      </c>
      <c r="BA292" s="4">
        <v>0</v>
      </c>
      <c r="BB292" s="4">
        <v>15</v>
      </c>
      <c r="BC292" s="4">
        <v>7</v>
      </c>
      <c r="BD292" s="4">
        <v>2</v>
      </c>
      <c r="BE292" s="4">
        <v>36</v>
      </c>
      <c r="BF292" s="4">
        <v>75</v>
      </c>
      <c r="BG292" s="4">
        <v>6</v>
      </c>
      <c r="BH292" s="4">
        <v>9</v>
      </c>
      <c r="BI292" s="4">
        <v>0</v>
      </c>
      <c r="BJ292" s="4">
        <v>75</v>
      </c>
      <c r="BK292" s="4">
        <v>96</v>
      </c>
      <c r="BL292" s="4">
        <v>0</v>
      </c>
      <c r="BM292" s="4">
        <v>20</v>
      </c>
      <c r="BN292" s="4">
        <v>84</v>
      </c>
      <c r="BO292" s="4">
        <v>1</v>
      </c>
      <c r="BP292" s="4">
        <v>8</v>
      </c>
      <c r="BQ292" s="4">
        <v>136</v>
      </c>
      <c r="BR292" s="4">
        <v>4</v>
      </c>
      <c r="BS292" s="4">
        <v>155</v>
      </c>
      <c r="BT292" s="4">
        <v>60</v>
      </c>
      <c r="BU292" s="4">
        <v>5</v>
      </c>
      <c r="BV292" s="4">
        <v>86</v>
      </c>
      <c r="BW292" s="4">
        <v>17</v>
      </c>
      <c r="BX292" s="4">
        <v>78</v>
      </c>
      <c r="BY292" s="4">
        <v>1</v>
      </c>
      <c r="BZ292" s="4">
        <v>0</v>
      </c>
      <c r="CA292" s="4">
        <v>13</v>
      </c>
      <c r="CB292" s="4">
        <v>0</v>
      </c>
      <c r="CC292" s="4">
        <v>0</v>
      </c>
      <c r="CD292" s="4">
        <v>4</v>
      </c>
      <c r="CE292" s="4">
        <v>0</v>
      </c>
      <c r="CF292" s="4">
        <v>4</v>
      </c>
      <c r="CG292" s="4">
        <v>7</v>
      </c>
      <c r="CH292" s="4">
        <v>16</v>
      </c>
      <c r="CI292" s="4">
        <v>7</v>
      </c>
      <c r="CJ292" s="4">
        <v>74</v>
      </c>
      <c r="CK292" s="4">
        <v>15</v>
      </c>
      <c r="CL292" s="4">
        <v>1</v>
      </c>
      <c r="CM292" s="4">
        <v>22</v>
      </c>
      <c r="CN292" s="4">
        <v>65</v>
      </c>
      <c r="CO292" s="4">
        <v>6</v>
      </c>
      <c r="CP292" s="4">
        <v>4</v>
      </c>
      <c r="CQ292" s="4">
        <v>0</v>
      </c>
      <c r="CR292" s="4">
        <v>0</v>
      </c>
      <c r="CS292" s="4">
        <v>3</v>
      </c>
      <c r="CT292" s="4">
        <v>25</v>
      </c>
      <c r="CU292" s="4">
        <v>4</v>
      </c>
      <c r="CV292" s="4">
        <v>138</v>
      </c>
      <c r="CW292" s="4">
        <v>4</v>
      </c>
      <c r="CX292" s="3">
        <v>4</v>
      </c>
    </row>
    <row r="293" spans="1:102" ht="15.75" x14ac:dyDescent="0.25">
      <c r="A293" s="4" t="s">
        <v>209</v>
      </c>
      <c r="B293" s="4" t="s">
        <v>210</v>
      </c>
      <c r="C293" s="4">
        <v>2019</v>
      </c>
      <c r="D293" s="4">
        <v>37065</v>
      </c>
      <c r="E293" s="4">
        <v>17</v>
      </c>
      <c r="F293" s="4">
        <v>164</v>
      </c>
      <c r="G293" s="4">
        <v>105</v>
      </c>
      <c r="H293" s="4">
        <v>67</v>
      </c>
      <c r="I293" s="4">
        <v>117</v>
      </c>
      <c r="J293" s="4">
        <v>67</v>
      </c>
      <c r="K293" s="4">
        <v>27</v>
      </c>
      <c r="L293" s="4">
        <v>109</v>
      </c>
      <c r="M293" s="4">
        <v>91</v>
      </c>
      <c r="N293" s="4">
        <v>243</v>
      </c>
      <c r="O293" s="4">
        <v>638</v>
      </c>
      <c r="P293" s="4">
        <v>2</v>
      </c>
      <c r="Q293" s="4">
        <v>16</v>
      </c>
      <c r="R293" s="4">
        <v>8</v>
      </c>
      <c r="S293" s="4">
        <v>5</v>
      </c>
      <c r="T293" s="4">
        <v>26</v>
      </c>
      <c r="U293" s="4">
        <v>22</v>
      </c>
      <c r="V293" s="4">
        <v>57</v>
      </c>
      <c r="W293" s="4">
        <v>261</v>
      </c>
      <c r="X293" s="4">
        <v>34</v>
      </c>
      <c r="Y293" s="4">
        <v>2</v>
      </c>
      <c r="Z293" s="4">
        <v>3817</v>
      </c>
      <c r="AA293" s="4">
        <v>247</v>
      </c>
      <c r="AB293" s="4">
        <v>31</v>
      </c>
      <c r="AC293" s="4">
        <v>0</v>
      </c>
      <c r="AD293" s="4">
        <v>7</v>
      </c>
      <c r="AE293" s="4">
        <v>54</v>
      </c>
      <c r="AF293" s="4">
        <v>13</v>
      </c>
      <c r="AG293" s="4">
        <v>1122</v>
      </c>
      <c r="AH293" s="4">
        <v>123</v>
      </c>
      <c r="AI293" s="4">
        <v>243</v>
      </c>
      <c r="AJ293" s="4">
        <v>2422</v>
      </c>
      <c r="AK293" s="4">
        <v>416</v>
      </c>
      <c r="AL293" s="4">
        <v>10</v>
      </c>
      <c r="AM293" s="4">
        <v>567</v>
      </c>
      <c r="AN293" s="4">
        <v>367</v>
      </c>
      <c r="AO293" s="4">
        <v>739</v>
      </c>
      <c r="AP293" s="4">
        <v>17</v>
      </c>
      <c r="AQ293" s="4">
        <v>209</v>
      </c>
      <c r="AR293" s="4">
        <v>23</v>
      </c>
      <c r="AS293" s="4">
        <v>277</v>
      </c>
      <c r="AT293" s="4">
        <v>323</v>
      </c>
      <c r="AU293" s="4">
        <v>366</v>
      </c>
      <c r="AV293" s="4">
        <v>421</v>
      </c>
      <c r="AW293" s="4">
        <v>1641</v>
      </c>
      <c r="AX293" s="4">
        <v>706</v>
      </c>
      <c r="AY293" s="4">
        <v>11</v>
      </c>
      <c r="AZ293" s="4">
        <v>80</v>
      </c>
      <c r="BA293" s="4">
        <v>0</v>
      </c>
      <c r="BB293" s="4">
        <v>1828</v>
      </c>
      <c r="BC293" s="4">
        <v>152</v>
      </c>
      <c r="BD293" s="4">
        <v>97</v>
      </c>
      <c r="BE293" s="4">
        <v>166</v>
      </c>
      <c r="BF293" s="4">
        <v>506</v>
      </c>
      <c r="BG293" s="4">
        <v>34</v>
      </c>
      <c r="BH293" s="4">
        <v>54</v>
      </c>
      <c r="BI293" s="4">
        <v>5</v>
      </c>
      <c r="BJ293" s="4">
        <v>614</v>
      </c>
      <c r="BK293" s="4">
        <v>1004</v>
      </c>
      <c r="BL293" s="4">
        <v>1</v>
      </c>
      <c r="BM293" s="4">
        <v>95</v>
      </c>
      <c r="BN293" s="4">
        <v>587</v>
      </c>
      <c r="BO293" s="4">
        <v>11</v>
      </c>
      <c r="BP293" s="4">
        <v>72</v>
      </c>
      <c r="BQ293" s="4">
        <v>658</v>
      </c>
      <c r="BR293" s="4">
        <v>152</v>
      </c>
      <c r="BS293" s="4">
        <v>925</v>
      </c>
      <c r="BT293" s="4">
        <v>753</v>
      </c>
      <c r="BU293" s="4">
        <v>55</v>
      </c>
      <c r="BV293" s="4">
        <v>1009</v>
      </c>
      <c r="BW293" s="4">
        <v>97</v>
      </c>
      <c r="BX293" s="4">
        <v>2406</v>
      </c>
      <c r="BY293" s="4">
        <v>15</v>
      </c>
      <c r="BZ293" s="4">
        <v>1</v>
      </c>
      <c r="CA293" s="4">
        <v>3645</v>
      </c>
      <c r="CB293" s="4">
        <v>47</v>
      </c>
      <c r="CC293" s="4">
        <v>4</v>
      </c>
      <c r="CD293" s="4">
        <v>50</v>
      </c>
      <c r="CE293" s="4">
        <v>42</v>
      </c>
      <c r="CF293" s="4">
        <v>57</v>
      </c>
      <c r="CG293" s="4">
        <v>132</v>
      </c>
      <c r="CH293" s="4">
        <v>91</v>
      </c>
      <c r="CI293" s="4">
        <v>102</v>
      </c>
      <c r="CJ293" s="4">
        <v>1544</v>
      </c>
      <c r="CK293" s="4">
        <v>409</v>
      </c>
      <c r="CL293" s="4">
        <v>1</v>
      </c>
      <c r="CM293" s="4">
        <v>182</v>
      </c>
      <c r="CN293" s="4">
        <v>914</v>
      </c>
      <c r="CO293" s="4">
        <v>106</v>
      </c>
      <c r="CP293" s="4">
        <v>71</v>
      </c>
      <c r="CQ293" s="4">
        <v>2</v>
      </c>
      <c r="CR293" s="4">
        <v>44</v>
      </c>
      <c r="CS293" s="4">
        <v>67</v>
      </c>
      <c r="CT293" s="4">
        <v>507</v>
      </c>
      <c r="CU293" s="4">
        <v>27</v>
      </c>
      <c r="CV293" s="4">
        <v>1045</v>
      </c>
      <c r="CW293" s="4">
        <v>349</v>
      </c>
      <c r="CX293" s="3">
        <v>349</v>
      </c>
    </row>
    <row r="294" spans="1:102" ht="15.75" x14ac:dyDescent="0.25">
      <c r="A294" s="4" t="s">
        <v>211</v>
      </c>
      <c r="B294" s="4" t="s">
        <v>212</v>
      </c>
      <c r="C294" s="4">
        <v>2019</v>
      </c>
      <c r="D294" s="4">
        <v>20</v>
      </c>
      <c r="E294" s="4">
        <v>0</v>
      </c>
      <c r="F294" s="4">
        <v>0</v>
      </c>
      <c r="G294" s="4">
        <v>0</v>
      </c>
      <c r="H294" s="4">
        <v>0</v>
      </c>
      <c r="I294" s="4">
        <v>1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1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1</v>
      </c>
      <c r="AK294" s="4">
        <v>0</v>
      </c>
      <c r="AL294" s="4">
        <v>0</v>
      </c>
      <c r="AM294" s="4">
        <v>0</v>
      </c>
      <c r="AN294" s="4">
        <v>0</v>
      </c>
      <c r="AO294" s="4">
        <v>1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1</v>
      </c>
      <c r="AY294" s="4">
        <v>0</v>
      </c>
      <c r="AZ294" s="4">
        <v>4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1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1</v>
      </c>
      <c r="BT294" s="4">
        <v>0</v>
      </c>
      <c r="BU294" s="4">
        <v>0</v>
      </c>
      <c r="BV294" s="4">
        <v>0</v>
      </c>
      <c r="BW294" s="4">
        <v>5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1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3">
        <v>0</v>
      </c>
    </row>
    <row r="295" spans="1:102" ht="15.75" x14ac:dyDescent="0.25">
      <c r="A295" s="4" t="s">
        <v>213</v>
      </c>
      <c r="B295" s="4" t="s">
        <v>214</v>
      </c>
      <c r="C295" s="4">
        <v>2019</v>
      </c>
      <c r="D295" s="4">
        <v>2737</v>
      </c>
      <c r="E295" s="4">
        <v>4</v>
      </c>
      <c r="F295" s="4">
        <v>42</v>
      </c>
      <c r="G295" s="4">
        <v>43</v>
      </c>
      <c r="H295" s="4">
        <v>36</v>
      </c>
      <c r="I295" s="4">
        <v>31</v>
      </c>
      <c r="J295" s="4">
        <v>12</v>
      </c>
      <c r="K295" s="4">
        <v>9</v>
      </c>
      <c r="L295" s="4">
        <v>11</v>
      </c>
      <c r="M295" s="4">
        <v>23</v>
      </c>
      <c r="N295" s="4">
        <v>32</v>
      </c>
      <c r="O295" s="4">
        <v>79</v>
      </c>
      <c r="P295" s="4">
        <v>0</v>
      </c>
      <c r="Q295" s="4">
        <v>4</v>
      </c>
      <c r="R295" s="4">
        <v>0</v>
      </c>
      <c r="S295" s="4">
        <v>0</v>
      </c>
      <c r="T295" s="4">
        <v>0</v>
      </c>
      <c r="U295" s="4">
        <v>4</v>
      </c>
      <c r="V295" s="4">
        <v>6</v>
      </c>
      <c r="W295" s="4">
        <v>5</v>
      </c>
      <c r="X295" s="4">
        <v>10</v>
      </c>
      <c r="Y295" s="4">
        <v>0</v>
      </c>
      <c r="Z295" s="4">
        <v>89</v>
      </c>
      <c r="AA295" s="4">
        <v>110</v>
      </c>
      <c r="AB295" s="4">
        <v>6</v>
      </c>
      <c r="AC295" s="4">
        <v>0</v>
      </c>
      <c r="AD295" s="4">
        <v>2</v>
      </c>
      <c r="AE295" s="4">
        <v>2</v>
      </c>
      <c r="AF295" s="4">
        <v>1</v>
      </c>
      <c r="AG295" s="4">
        <v>30</v>
      </c>
      <c r="AH295" s="4">
        <v>11</v>
      </c>
      <c r="AI295" s="4">
        <v>26</v>
      </c>
      <c r="AJ295" s="4">
        <v>122</v>
      </c>
      <c r="AK295" s="4">
        <v>62</v>
      </c>
      <c r="AL295" s="4">
        <v>1</v>
      </c>
      <c r="AM295" s="4">
        <v>35</v>
      </c>
      <c r="AN295" s="4">
        <v>47</v>
      </c>
      <c r="AO295" s="4">
        <v>67</v>
      </c>
      <c r="AP295" s="4">
        <v>2</v>
      </c>
      <c r="AQ295" s="4">
        <v>15</v>
      </c>
      <c r="AR295" s="4">
        <v>6</v>
      </c>
      <c r="AS295" s="4">
        <v>14</v>
      </c>
      <c r="AT295" s="4">
        <v>63</v>
      </c>
      <c r="AU295" s="4">
        <v>52</v>
      </c>
      <c r="AV295" s="4">
        <v>40</v>
      </c>
      <c r="AW295" s="4">
        <v>13</v>
      </c>
      <c r="AX295" s="4">
        <v>75</v>
      </c>
      <c r="AY295" s="4">
        <v>4</v>
      </c>
      <c r="AZ295" s="4">
        <v>11</v>
      </c>
      <c r="BA295" s="4">
        <v>0</v>
      </c>
      <c r="BB295" s="4">
        <v>118</v>
      </c>
      <c r="BC295" s="4">
        <v>11</v>
      </c>
      <c r="BD295" s="4">
        <v>1</v>
      </c>
      <c r="BE295" s="4">
        <v>23</v>
      </c>
      <c r="BF295" s="4">
        <v>63</v>
      </c>
      <c r="BG295" s="4">
        <v>3</v>
      </c>
      <c r="BH295" s="4">
        <v>2</v>
      </c>
      <c r="BI295" s="4">
        <v>1</v>
      </c>
      <c r="BJ295" s="4">
        <v>74</v>
      </c>
      <c r="BK295" s="4">
        <v>102</v>
      </c>
      <c r="BL295" s="4">
        <v>0</v>
      </c>
      <c r="BM295" s="4">
        <v>10</v>
      </c>
      <c r="BN295" s="4">
        <v>47</v>
      </c>
      <c r="BO295" s="4">
        <v>1</v>
      </c>
      <c r="BP295" s="4">
        <v>7</v>
      </c>
      <c r="BQ295" s="4">
        <v>163</v>
      </c>
      <c r="BR295" s="4">
        <v>4</v>
      </c>
      <c r="BS295" s="4">
        <v>87</v>
      </c>
      <c r="BT295" s="4">
        <v>55</v>
      </c>
      <c r="BU295" s="4">
        <v>2</v>
      </c>
      <c r="BV295" s="4">
        <v>41</v>
      </c>
      <c r="BW295" s="4">
        <v>25</v>
      </c>
      <c r="BX295" s="4">
        <v>170</v>
      </c>
      <c r="BY295" s="4">
        <v>1</v>
      </c>
      <c r="BZ295" s="4">
        <v>0</v>
      </c>
      <c r="CA295" s="4">
        <v>18</v>
      </c>
      <c r="CB295" s="4">
        <v>6</v>
      </c>
      <c r="CC295" s="4">
        <v>1</v>
      </c>
      <c r="CD295" s="4">
        <v>10</v>
      </c>
      <c r="CE295" s="4">
        <v>0</v>
      </c>
      <c r="CF295" s="4">
        <v>6</v>
      </c>
      <c r="CG295" s="4">
        <v>2</v>
      </c>
      <c r="CH295" s="4">
        <v>6</v>
      </c>
      <c r="CI295" s="4">
        <v>10</v>
      </c>
      <c r="CJ295" s="4">
        <v>70</v>
      </c>
      <c r="CK295" s="4">
        <v>21</v>
      </c>
      <c r="CL295" s="4">
        <v>0</v>
      </c>
      <c r="CM295" s="4">
        <v>15</v>
      </c>
      <c r="CN295" s="4">
        <v>104</v>
      </c>
      <c r="CO295" s="4">
        <v>18</v>
      </c>
      <c r="CP295" s="4">
        <v>22</v>
      </c>
      <c r="CQ295" s="4">
        <v>0</v>
      </c>
      <c r="CR295" s="4">
        <v>1</v>
      </c>
      <c r="CS295" s="4">
        <v>1</v>
      </c>
      <c r="CT295" s="4">
        <v>49</v>
      </c>
      <c r="CU295" s="4">
        <v>4</v>
      </c>
      <c r="CV295" s="4">
        <v>96</v>
      </c>
      <c r="CW295" s="4">
        <v>6</v>
      </c>
      <c r="CX295" s="3">
        <v>6</v>
      </c>
    </row>
    <row r="296" spans="1:102" ht="15.75" x14ac:dyDescent="0.25">
      <c r="A296" s="4" t="s">
        <v>215</v>
      </c>
      <c r="B296" s="4" t="s">
        <v>216</v>
      </c>
      <c r="C296" s="4">
        <v>2019</v>
      </c>
      <c r="D296" s="4">
        <v>12</v>
      </c>
      <c r="E296" s="4">
        <v>0</v>
      </c>
      <c r="F296" s="4">
        <v>0</v>
      </c>
      <c r="G296" s="4">
        <v>1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1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2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2</v>
      </c>
      <c r="BT296" s="4">
        <v>0</v>
      </c>
      <c r="BU296" s="4">
        <v>0</v>
      </c>
      <c r="BV296" s="4">
        <v>0</v>
      </c>
      <c r="BW296" s="4">
        <v>1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1</v>
      </c>
      <c r="CW296" s="4">
        <v>0</v>
      </c>
      <c r="CX296" s="3">
        <v>0</v>
      </c>
    </row>
    <row r="297" spans="1:102" ht="15.75" x14ac:dyDescent="0.25">
      <c r="A297" s="4" t="s">
        <v>217</v>
      </c>
      <c r="B297" s="4" t="s">
        <v>218</v>
      </c>
      <c r="C297" s="4">
        <v>2019</v>
      </c>
      <c r="D297" s="4">
        <v>103</v>
      </c>
      <c r="E297" s="4">
        <v>0</v>
      </c>
      <c r="F297" s="4">
        <v>1</v>
      </c>
      <c r="G297" s="4">
        <v>3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33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4</v>
      </c>
      <c r="AJ297" s="4">
        <v>8</v>
      </c>
      <c r="AK297" s="4">
        <v>0</v>
      </c>
      <c r="AL297" s="4">
        <v>0</v>
      </c>
      <c r="AM297" s="4">
        <v>0</v>
      </c>
      <c r="AN297" s="4">
        <v>5</v>
      </c>
      <c r="AO297" s="4">
        <v>1</v>
      </c>
      <c r="AP297" s="4">
        <v>1</v>
      </c>
      <c r="AQ297" s="4">
        <v>0</v>
      </c>
      <c r="AR297" s="4">
        <v>0</v>
      </c>
      <c r="AS297" s="4">
        <v>1</v>
      </c>
      <c r="AT297" s="4">
        <v>3</v>
      </c>
      <c r="AU297" s="4">
        <v>5</v>
      </c>
      <c r="AV297" s="4">
        <v>3</v>
      </c>
      <c r="AW297" s="4">
        <v>0</v>
      </c>
      <c r="AX297" s="4">
        <v>1</v>
      </c>
      <c r="AY297" s="4">
        <v>0</v>
      </c>
      <c r="AZ297" s="4">
        <v>3</v>
      </c>
      <c r="BA297" s="4">
        <v>0</v>
      </c>
      <c r="BB297" s="4">
        <v>1</v>
      </c>
      <c r="BC297" s="4">
        <v>0</v>
      </c>
      <c r="BD297" s="4">
        <v>0</v>
      </c>
      <c r="BE297" s="4">
        <v>0</v>
      </c>
      <c r="BF297" s="4">
        <v>1</v>
      </c>
      <c r="BG297" s="4">
        <v>0</v>
      </c>
      <c r="BH297" s="4">
        <v>0</v>
      </c>
      <c r="BI297" s="4">
        <v>0</v>
      </c>
      <c r="BJ297" s="4">
        <v>2</v>
      </c>
      <c r="BK297" s="4">
        <v>4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1</v>
      </c>
      <c r="BT297" s="4">
        <v>1</v>
      </c>
      <c r="BU297" s="4">
        <v>0</v>
      </c>
      <c r="BV297" s="4">
        <v>1</v>
      </c>
      <c r="BW297" s="4">
        <v>0</v>
      </c>
      <c r="BX297" s="4">
        <v>6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1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2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5</v>
      </c>
      <c r="CU297" s="4">
        <v>0</v>
      </c>
      <c r="CV297" s="4">
        <v>2</v>
      </c>
      <c r="CW297" s="4">
        <v>0</v>
      </c>
      <c r="CX297" s="3">
        <v>0</v>
      </c>
    </row>
    <row r="298" spans="1:102" ht="15.75" x14ac:dyDescent="0.25">
      <c r="A298" s="4" t="s">
        <v>219</v>
      </c>
      <c r="B298" s="4" t="s">
        <v>220</v>
      </c>
      <c r="C298" s="4">
        <v>2019</v>
      </c>
      <c r="D298" s="4">
        <v>411</v>
      </c>
      <c r="E298" s="4">
        <v>1</v>
      </c>
      <c r="F298" s="4">
        <v>0</v>
      </c>
      <c r="G298" s="4">
        <v>23</v>
      </c>
      <c r="H298" s="4">
        <v>0</v>
      </c>
      <c r="I298" s="4">
        <v>9</v>
      </c>
      <c r="J298" s="4">
        <v>0</v>
      </c>
      <c r="K298" s="4">
        <v>0</v>
      </c>
      <c r="L298" s="4">
        <v>0</v>
      </c>
      <c r="M298" s="4">
        <v>1</v>
      </c>
      <c r="N298" s="4">
        <v>1</v>
      </c>
      <c r="O298" s="4">
        <v>72</v>
      </c>
      <c r="P298" s="4">
        <v>0</v>
      </c>
      <c r="Q298" s="4">
        <v>0</v>
      </c>
      <c r="R298" s="4">
        <v>1</v>
      </c>
      <c r="S298" s="4">
        <v>0</v>
      </c>
      <c r="T298" s="4">
        <v>0</v>
      </c>
      <c r="U298" s="4">
        <v>0</v>
      </c>
      <c r="V298" s="4">
        <v>1</v>
      </c>
      <c r="W298" s="4">
        <v>0</v>
      </c>
      <c r="X298" s="4">
        <v>0</v>
      </c>
      <c r="Y298" s="4">
        <v>0</v>
      </c>
      <c r="Z298" s="4">
        <v>0</v>
      </c>
      <c r="AA298" s="4">
        <v>3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</v>
      </c>
      <c r="AH298" s="4">
        <v>0</v>
      </c>
      <c r="AI298" s="4">
        <v>5</v>
      </c>
      <c r="AJ298" s="4">
        <v>73</v>
      </c>
      <c r="AK298" s="4">
        <v>4</v>
      </c>
      <c r="AL298" s="4">
        <v>0</v>
      </c>
      <c r="AM298" s="4">
        <v>1</v>
      </c>
      <c r="AN298" s="4">
        <v>2</v>
      </c>
      <c r="AO298" s="4">
        <v>29</v>
      </c>
      <c r="AP298" s="4">
        <v>0</v>
      </c>
      <c r="AQ298" s="4">
        <v>2</v>
      </c>
      <c r="AR298" s="4">
        <v>0</v>
      </c>
      <c r="AS298" s="4">
        <v>1</v>
      </c>
      <c r="AT298" s="4">
        <v>0</v>
      </c>
      <c r="AU298" s="4">
        <v>1</v>
      </c>
      <c r="AV298" s="4">
        <v>5</v>
      </c>
      <c r="AW298" s="4">
        <v>1</v>
      </c>
      <c r="AX298" s="4">
        <v>14</v>
      </c>
      <c r="AY298" s="4">
        <v>0</v>
      </c>
      <c r="AZ298" s="4">
        <v>2</v>
      </c>
      <c r="BA298" s="4">
        <v>0</v>
      </c>
      <c r="BB298" s="4">
        <v>31</v>
      </c>
      <c r="BC298" s="4">
        <v>0</v>
      </c>
      <c r="BD298" s="4">
        <v>0</v>
      </c>
      <c r="BE298" s="4">
        <v>4</v>
      </c>
      <c r="BF298" s="4">
        <v>11</v>
      </c>
      <c r="BG298" s="4">
        <v>0</v>
      </c>
      <c r="BH298" s="4">
        <v>0</v>
      </c>
      <c r="BI298" s="4">
        <v>0</v>
      </c>
      <c r="BJ298" s="4">
        <v>13</v>
      </c>
      <c r="BK298" s="4">
        <v>16</v>
      </c>
      <c r="BL298" s="4">
        <v>0</v>
      </c>
      <c r="BM298" s="4">
        <v>1</v>
      </c>
      <c r="BN298" s="4">
        <v>5</v>
      </c>
      <c r="BO298" s="4">
        <v>0</v>
      </c>
      <c r="BP298" s="4">
        <v>0</v>
      </c>
      <c r="BQ298" s="4">
        <v>13</v>
      </c>
      <c r="BR298" s="4">
        <v>0</v>
      </c>
      <c r="BS298" s="4">
        <v>7</v>
      </c>
      <c r="BT298" s="4">
        <v>4</v>
      </c>
      <c r="BU298" s="4">
        <v>0</v>
      </c>
      <c r="BV298" s="4">
        <v>2</v>
      </c>
      <c r="BW298" s="4">
        <v>7</v>
      </c>
      <c r="BX298" s="4">
        <v>0</v>
      </c>
      <c r="BY298" s="4">
        <v>0</v>
      </c>
      <c r="BZ298" s="4">
        <v>0</v>
      </c>
      <c r="CA298" s="4">
        <v>12</v>
      </c>
      <c r="CB298" s="4">
        <v>0</v>
      </c>
      <c r="CC298" s="4">
        <v>0</v>
      </c>
      <c r="CD298" s="4">
        <v>1</v>
      </c>
      <c r="CE298" s="4">
        <v>0</v>
      </c>
      <c r="CF298" s="4">
        <v>0</v>
      </c>
      <c r="CG298" s="4">
        <v>0</v>
      </c>
      <c r="CH298" s="4">
        <v>1</v>
      </c>
      <c r="CI298" s="4">
        <v>0</v>
      </c>
      <c r="CJ298" s="4">
        <v>3</v>
      </c>
      <c r="CK298" s="4">
        <v>0</v>
      </c>
      <c r="CL298" s="4">
        <v>0</v>
      </c>
      <c r="CM298" s="4">
        <v>2</v>
      </c>
      <c r="CN298" s="4">
        <v>19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1</v>
      </c>
      <c r="CU298" s="4">
        <v>1</v>
      </c>
      <c r="CV298" s="4">
        <v>1</v>
      </c>
      <c r="CW298" s="4">
        <v>2</v>
      </c>
      <c r="CX298" s="3">
        <v>2</v>
      </c>
    </row>
    <row r="299" spans="1:102" ht="15.75" x14ac:dyDescent="0.25">
      <c r="A299" s="4" t="s">
        <v>221</v>
      </c>
      <c r="B299" s="4" t="s">
        <v>222</v>
      </c>
      <c r="C299" s="4">
        <v>2019</v>
      </c>
      <c r="D299" s="4">
        <v>100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1</v>
      </c>
      <c r="M299" s="4">
        <v>1</v>
      </c>
      <c r="N299" s="4">
        <v>1</v>
      </c>
      <c r="O299" s="4">
        <v>21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1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</v>
      </c>
      <c r="AH299" s="4">
        <v>0</v>
      </c>
      <c r="AI299" s="4">
        <v>1</v>
      </c>
      <c r="AJ299" s="4">
        <v>12</v>
      </c>
      <c r="AK299" s="4">
        <v>1</v>
      </c>
      <c r="AL299" s="4">
        <v>0</v>
      </c>
      <c r="AM299" s="4">
        <v>1</v>
      </c>
      <c r="AN299" s="4">
        <v>1</v>
      </c>
      <c r="AO299" s="4">
        <v>3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1</v>
      </c>
      <c r="AY299" s="4">
        <v>0</v>
      </c>
      <c r="AZ299" s="4">
        <v>1</v>
      </c>
      <c r="BA299" s="4">
        <v>0</v>
      </c>
      <c r="BB299" s="4">
        <v>3</v>
      </c>
      <c r="BC299" s="4">
        <v>0</v>
      </c>
      <c r="BD299" s="4">
        <v>0</v>
      </c>
      <c r="BE299" s="4">
        <v>1</v>
      </c>
      <c r="BF299" s="4">
        <v>3</v>
      </c>
      <c r="BG299" s="4">
        <v>0</v>
      </c>
      <c r="BH299" s="4">
        <v>0</v>
      </c>
      <c r="BI299" s="4">
        <v>0</v>
      </c>
      <c r="BJ299" s="4">
        <v>1</v>
      </c>
      <c r="BK299" s="4">
        <v>5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1</v>
      </c>
      <c r="BT299" s="4">
        <v>0</v>
      </c>
      <c r="BU299" s="4">
        <v>0</v>
      </c>
      <c r="BV299" s="4">
        <v>1</v>
      </c>
      <c r="BW299" s="4">
        <v>0</v>
      </c>
      <c r="BX299" s="4">
        <v>19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2</v>
      </c>
      <c r="CN299" s="4">
        <v>3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2</v>
      </c>
      <c r="CU299" s="4">
        <v>0</v>
      </c>
      <c r="CV299" s="4">
        <v>6</v>
      </c>
      <c r="CW299" s="4">
        <v>0</v>
      </c>
      <c r="CX299" s="3">
        <v>0</v>
      </c>
    </row>
    <row r="300" spans="1:102" ht="15.75" x14ac:dyDescent="0.25">
      <c r="A300" s="4" t="s">
        <v>223</v>
      </c>
      <c r="B300" s="4" t="s">
        <v>224</v>
      </c>
      <c r="C300" s="4">
        <v>2019</v>
      </c>
      <c r="D300" s="4">
        <v>259</v>
      </c>
      <c r="E300" s="4">
        <v>0</v>
      </c>
      <c r="F300" s="4">
        <v>1</v>
      </c>
      <c r="G300" s="4">
        <v>1</v>
      </c>
      <c r="H300" s="4">
        <v>6</v>
      </c>
      <c r="I300" s="4">
        <v>2</v>
      </c>
      <c r="J300" s="4">
        <v>1</v>
      </c>
      <c r="K300" s="4">
        <v>0</v>
      </c>
      <c r="L300" s="4">
        <v>1</v>
      </c>
      <c r="M300" s="4">
        <v>2</v>
      </c>
      <c r="N300" s="4">
        <v>5</v>
      </c>
      <c r="O300" s="4">
        <v>13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</v>
      </c>
      <c r="AH300" s="4">
        <v>0</v>
      </c>
      <c r="AI300" s="4">
        <v>5</v>
      </c>
      <c r="AJ300" s="4">
        <v>7</v>
      </c>
      <c r="AK300" s="4">
        <v>5</v>
      </c>
      <c r="AL300" s="4">
        <v>2</v>
      </c>
      <c r="AM300" s="4">
        <v>4</v>
      </c>
      <c r="AN300" s="4">
        <v>4</v>
      </c>
      <c r="AO300" s="4">
        <v>16</v>
      </c>
      <c r="AP300" s="4">
        <v>0</v>
      </c>
      <c r="AQ300" s="4">
        <v>3</v>
      </c>
      <c r="AR300" s="4">
        <v>0</v>
      </c>
      <c r="AS300" s="4">
        <v>2</v>
      </c>
      <c r="AT300" s="4">
        <v>6</v>
      </c>
      <c r="AU300" s="4">
        <v>3</v>
      </c>
      <c r="AV300" s="4">
        <v>1</v>
      </c>
      <c r="AW300" s="4">
        <v>1</v>
      </c>
      <c r="AX300" s="4">
        <v>4</v>
      </c>
      <c r="AY300" s="4">
        <v>0</v>
      </c>
      <c r="AZ300" s="4">
        <v>1</v>
      </c>
      <c r="BA300" s="4">
        <v>0</v>
      </c>
      <c r="BB300" s="4">
        <v>2</v>
      </c>
      <c r="BC300" s="4">
        <v>0</v>
      </c>
      <c r="BD300" s="4">
        <v>0</v>
      </c>
      <c r="BE300" s="4">
        <v>4</v>
      </c>
      <c r="BF300" s="4">
        <v>24</v>
      </c>
      <c r="BG300" s="4">
        <v>0</v>
      </c>
      <c r="BH300" s="4">
        <v>1</v>
      </c>
      <c r="BI300" s="4">
        <v>0</v>
      </c>
      <c r="BJ300" s="4">
        <v>4</v>
      </c>
      <c r="BK300" s="4">
        <v>6</v>
      </c>
      <c r="BL300" s="4">
        <v>0</v>
      </c>
      <c r="BM300" s="4">
        <v>1</v>
      </c>
      <c r="BN300" s="4">
        <v>6</v>
      </c>
      <c r="BO300" s="4">
        <v>0</v>
      </c>
      <c r="BP300" s="4">
        <v>1</v>
      </c>
      <c r="BQ300" s="4">
        <v>10</v>
      </c>
      <c r="BR300" s="4">
        <v>1</v>
      </c>
      <c r="BS300" s="4">
        <v>15</v>
      </c>
      <c r="BT300" s="4">
        <v>9</v>
      </c>
      <c r="BU300" s="4">
        <v>0</v>
      </c>
      <c r="BV300" s="4">
        <v>10</v>
      </c>
      <c r="BW300" s="4">
        <v>1</v>
      </c>
      <c r="BX300" s="4">
        <v>5</v>
      </c>
      <c r="BY300" s="4">
        <v>0</v>
      </c>
      <c r="BZ300" s="4">
        <v>0</v>
      </c>
      <c r="CA300" s="4">
        <v>4</v>
      </c>
      <c r="CB300" s="4">
        <v>0</v>
      </c>
      <c r="CC300" s="4">
        <v>0</v>
      </c>
      <c r="CD300" s="4">
        <v>1</v>
      </c>
      <c r="CE300" s="4">
        <v>0</v>
      </c>
      <c r="CF300" s="4">
        <v>1</v>
      </c>
      <c r="CG300" s="4">
        <v>0</v>
      </c>
      <c r="CH300" s="4">
        <v>1</v>
      </c>
      <c r="CI300" s="4">
        <v>1</v>
      </c>
      <c r="CJ300" s="4">
        <v>13</v>
      </c>
      <c r="CK300" s="4">
        <v>2</v>
      </c>
      <c r="CL300" s="4">
        <v>0</v>
      </c>
      <c r="CM300" s="4">
        <v>1</v>
      </c>
      <c r="CN300" s="4">
        <v>5</v>
      </c>
      <c r="CO300" s="4">
        <v>1</v>
      </c>
      <c r="CP300" s="4">
        <v>1</v>
      </c>
      <c r="CQ300" s="4">
        <v>0</v>
      </c>
      <c r="CR300" s="4">
        <v>0</v>
      </c>
      <c r="CS300" s="4">
        <v>0</v>
      </c>
      <c r="CT300" s="4">
        <v>3</v>
      </c>
      <c r="CU300" s="4">
        <v>0</v>
      </c>
      <c r="CV300" s="4">
        <v>12</v>
      </c>
      <c r="CW300" s="4">
        <v>0</v>
      </c>
      <c r="CX300" s="3">
        <v>0</v>
      </c>
    </row>
    <row r="301" spans="1:102" ht="15.75" x14ac:dyDescent="0.25">
      <c r="A301" s="4" t="s">
        <v>225</v>
      </c>
      <c r="B301" s="4" t="s">
        <v>226</v>
      </c>
      <c r="C301" s="4">
        <v>2019</v>
      </c>
      <c r="D301" s="4">
        <v>1492</v>
      </c>
      <c r="E301" s="4">
        <v>10</v>
      </c>
      <c r="F301" s="4">
        <v>0</v>
      </c>
      <c r="G301" s="4">
        <v>14</v>
      </c>
      <c r="H301" s="4">
        <v>2</v>
      </c>
      <c r="I301" s="4">
        <v>2</v>
      </c>
      <c r="J301" s="4">
        <v>83</v>
      </c>
      <c r="K301" s="4">
        <v>1</v>
      </c>
      <c r="L301" s="4">
        <v>8</v>
      </c>
      <c r="M301" s="4">
        <v>3</v>
      </c>
      <c r="N301" s="4">
        <v>3</v>
      </c>
      <c r="O301" s="4">
        <v>129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1</v>
      </c>
      <c r="V301" s="4">
        <v>11</v>
      </c>
      <c r="W301" s="4">
        <v>213</v>
      </c>
      <c r="X301" s="4">
        <v>2</v>
      </c>
      <c r="Y301" s="4">
        <v>3</v>
      </c>
      <c r="Z301" s="4">
        <v>0</v>
      </c>
      <c r="AA301" s="4">
        <v>85</v>
      </c>
      <c r="AB301" s="4">
        <v>3</v>
      </c>
      <c r="AC301" s="4">
        <v>0</v>
      </c>
      <c r="AD301" s="4">
        <v>0</v>
      </c>
      <c r="AE301" s="4">
        <v>0</v>
      </c>
      <c r="AF301" s="4">
        <v>0</v>
      </c>
      <c r="AG301" s="4">
        <v>12</v>
      </c>
      <c r="AH301" s="4">
        <v>3</v>
      </c>
      <c r="AI301" s="4">
        <v>16</v>
      </c>
      <c r="AJ301" s="4">
        <v>110</v>
      </c>
      <c r="AK301" s="4">
        <v>22</v>
      </c>
      <c r="AL301" s="4">
        <v>3</v>
      </c>
      <c r="AM301" s="4">
        <v>9</v>
      </c>
      <c r="AN301" s="4">
        <v>18</v>
      </c>
      <c r="AO301" s="4">
        <v>29</v>
      </c>
      <c r="AP301" s="4">
        <v>0</v>
      </c>
      <c r="AQ301" s="4">
        <v>7</v>
      </c>
      <c r="AR301" s="4">
        <v>0</v>
      </c>
      <c r="AS301" s="4">
        <v>14</v>
      </c>
      <c r="AT301" s="4">
        <v>5</v>
      </c>
      <c r="AU301" s="4">
        <v>5</v>
      </c>
      <c r="AV301" s="4">
        <v>30</v>
      </c>
      <c r="AW301" s="4">
        <v>14</v>
      </c>
      <c r="AX301" s="4">
        <v>20</v>
      </c>
      <c r="AY301" s="4">
        <v>0</v>
      </c>
      <c r="AZ301" s="4">
        <v>42</v>
      </c>
      <c r="BA301" s="4">
        <v>0</v>
      </c>
      <c r="BB301" s="4">
        <v>58</v>
      </c>
      <c r="BC301" s="4">
        <v>5</v>
      </c>
      <c r="BD301" s="4">
        <v>0</v>
      </c>
      <c r="BE301" s="4">
        <v>20</v>
      </c>
      <c r="BF301" s="4">
        <v>28</v>
      </c>
      <c r="BG301" s="4">
        <v>2</v>
      </c>
      <c r="BH301" s="4">
        <v>2</v>
      </c>
      <c r="BI301" s="4">
        <v>2</v>
      </c>
      <c r="BJ301" s="4">
        <v>65</v>
      </c>
      <c r="BK301" s="4">
        <v>39</v>
      </c>
      <c r="BL301" s="4">
        <v>0</v>
      </c>
      <c r="BM301" s="4">
        <v>1</v>
      </c>
      <c r="BN301" s="4">
        <v>14</v>
      </c>
      <c r="BO301" s="4">
        <v>1</v>
      </c>
      <c r="BP301" s="4">
        <v>1</v>
      </c>
      <c r="BQ301" s="4">
        <v>23</v>
      </c>
      <c r="BR301" s="4">
        <v>1</v>
      </c>
      <c r="BS301" s="4">
        <v>40</v>
      </c>
      <c r="BT301" s="4">
        <v>54</v>
      </c>
      <c r="BU301" s="4">
        <v>0</v>
      </c>
      <c r="BV301" s="4">
        <v>4</v>
      </c>
      <c r="BW301" s="4">
        <v>5</v>
      </c>
      <c r="BX301" s="4">
        <v>68</v>
      </c>
      <c r="BY301" s="4">
        <v>0</v>
      </c>
      <c r="BZ301" s="4">
        <v>0</v>
      </c>
      <c r="CA301" s="4">
        <v>15</v>
      </c>
      <c r="CB301" s="4">
        <v>6</v>
      </c>
      <c r="CC301" s="4">
        <v>0</v>
      </c>
      <c r="CD301" s="4">
        <v>6</v>
      </c>
      <c r="CE301" s="4">
        <v>0</v>
      </c>
      <c r="CF301" s="4">
        <v>1</v>
      </c>
      <c r="CG301" s="4">
        <v>1</v>
      </c>
      <c r="CH301" s="4">
        <v>1</v>
      </c>
      <c r="CI301" s="4">
        <v>0</v>
      </c>
      <c r="CJ301" s="4">
        <v>3</v>
      </c>
      <c r="CK301" s="4">
        <v>0</v>
      </c>
      <c r="CL301" s="4">
        <v>0</v>
      </c>
      <c r="CM301" s="4">
        <v>12</v>
      </c>
      <c r="CN301" s="4">
        <v>39</v>
      </c>
      <c r="CO301" s="4">
        <v>2</v>
      </c>
      <c r="CP301" s="4">
        <v>0</v>
      </c>
      <c r="CQ301" s="4">
        <v>0</v>
      </c>
      <c r="CR301" s="4">
        <v>1</v>
      </c>
      <c r="CS301" s="4">
        <v>1</v>
      </c>
      <c r="CT301" s="4">
        <v>11</v>
      </c>
      <c r="CU301" s="4">
        <v>3</v>
      </c>
      <c r="CV301" s="4">
        <v>20</v>
      </c>
      <c r="CW301" s="4">
        <v>4</v>
      </c>
      <c r="CX301" s="3">
        <v>4</v>
      </c>
    </row>
    <row r="302" spans="1:102" ht="15.75" x14ac:dyDescent="0.25">
      <c r="A302" s="4" t="s">
        <v>227</v>
      </c>
      <c r="B302" s="4" t="s">
        <v>228</v>
      </c>
      <c r="C302" s="4">
        <v>2019</v>
      </c>
      <c r="D302" s="4">
        <v>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3">
        <v>0</v>
      </c>
    </row>
    <row r="303" spans="1:102" ht="15.75" x14ac:dyDescent="0.25">
      <c r="A303" s="4" t="s">
        <v>229</v>
      </c>
      <c r="B303" s="4" t="s">
        <v>230</v>
      </c>
      <c r="C303" s="4">
        <v>2019</v>
      </c>
      <c r="D303" s="4">
        <v>10806</v>
      </c>
      <c r="E303" s="4">
        <v>12</v>
      </c>
      <c r="F303" s="4">
        <v>47</v>
      </c>
      <c r="G303" s="4">
        <v>53</v>
      </c>
      <c r="H303" s="4">
        <v>199</v>
      </c>
      <c r="I303" s="4">
        <v>186</v>
      </c>
      <c r="J303" s="4">
        <v>55</v>
      </c>
      <c r="K303" s="4">
        <v>14</v>
      </c>
      <c r="L303" s="4">
        <v>40</v>
      </c>
      <c r="M303" s="4">
        <v>21</v>
      </c>
      <c r="N303" s="4">
        <v>73</v>
      </c>
      <c r="O303" s="4">
        <v>455</v>
      </c>
      <c r="P303" s="4">
        <v>2</v>
      </c>
      <c r="Q303" s="4">
        <v>2</v>
      </c>
      <c r="R303" s="4">
        <v>2</v>
      </c>
      <c r="S303" s="4">
        <v>1</v>
      </c>
      <c r="T303" s="4">
        <v>4</v>
      </c>
      <c r="U303" s="4">
        <v>14</v>
      </c>
      <c r="V303" s="4">
        <v>18</v>
      </c>
      <c r="W303" s="4">
        <v>227</v>
      </c>
      <c r="X303" s="4">
        <v>23</v>
      </c>
      <c r="Y303" s="4">
        <v>4</v>
      </c>
      <c r="Z303" s="4">
        <v>506</v>
      </c>
      <c r="AA303" s="4">
        <v>327</v>
      </c>
      <c r="AB303" s="4">
        <v>30</v>
      </c>
      <c r="AC303" s="4">
        <v>0</v>
      </c>
      <c r="AD303" s="4">
        <v>3</v>
      </c>
      <c r="AE303" s="4">
        <v>4</v>
      </c>
      <c r="AF303" s="4">
        <v>2</v>
      </c>
      <c r="AG303" s="4">
        <v>164</v>
      </c>
      <c r="AH303" s="4">
        <v>204</v>
      </c>
      <c r="AI303" s="4">
        <v>106</v>
      </c>
      <c r="AJ303" s="4">
        <v>654</v>
      </c>
      <c r="AK303" s="4">
        <v>201</v>
      </c>
      <c r="AL303" s="4">
        <v>7</v>
      </c>
      <c r="AM303" s="4">
        <v>118</v>
      </c>
      <c r="AN303" s="4">
        <v>127</v>
      </c>
      <c r="AO303" s="4">
        <v>160</v>
      </c>
      <c r="AP303" s="4">
        <v>4</v>
      </c>
      <c r="AQ303" s="4">
        <v>48</v>
      </c>
      <c r="AR303" s="4">
        <v>6</v>
      </c>
      <c r="AS303" s="4">
        <v>57</v>
      </c>
      <c r="AT303" s="4">
        <v>82</v>
      </c>
      <c r="AU303" s="4">
        <v>75</v>
      </c>
      <c r="AV303" s="4">
        <v>239</v>
      </c>
      <c r="AW303" s="4">
        <v>76</v>
      </c>
      <c r="AX303" s="4">
        <v>236</v>
      </c>
      <c r="AY303" s="4">
        <v>7</v>
      </c>
      <c r="AZ303" s="4">
        <v>25</v>
      </c>
      <c r="BA303" s="4">
        <v>0</v>
      </c>
      <c r="BB303" s="4">
        <v>634</v>
      </c>
      <c r="BC303" s="4">
        <v>30</v>
      </c>
      <c r="BD303" s="4">
        <v>2</v>
      </c>
      <c r="BE303" s="4">
        <v>39</v>
      </c>
      <c r="BF303" s="4">
        <v>153</v>
      </c>
      <c r="BG303" s="4">
        <v>14</v>
      </c>
      <c r="BH303" s="4">
        <v>19</v>
      </c>
      <c r="BI303" s="4">
        <v>2</v>
      </c>
      <c r="BJ303" s="4">
        <v>193</v>
      </c>
      <c r="BK303" s="4">
        <v>240</v>
      </c>
      <c r="BL303" s="4">
        <v>3</v>
      </c>
      <c r="BM303" s="4">
        <v>25</v>
      </c>
      <c r="BN303" s="4">
        <v>120</v>
      </c>
      <c r="BO303" s="4">
        <v>3</v>
      </c>
      <c r="BP303" s="4">
        <v>27</v>
      </c>
      <c r="BQ303" s="4">
        <v>201</v>
      </c>
      <c r="BR303" s="4">
        <v>40</v>
      </c>
      <c r="BS303" s="4">
        <v>296</v>
      </c>
      <c r="BT303" s="4">
        <v>120</v>
      </c>
      <c r="BU303" s="4">
        <v>23</v>
      </c>
      <c r="BV303" s="4">
        <v>318</v>
      </c>
      <c r="BW303" s="4">
        <v>39</v>
      </c>
      <c r="BX303" s="4">
        <v>1435</v>
      </c>
      <c r="BY303" s="4">
        <v>9</v>
      </c>
      <c r="BZ303" s="4">
        <v>0</v>
      </c>
      <c r="CA303" s="4">
        <v>182</v>
      </c>
      <c r="CB303" s="4">
        <v>40</v>
      </c>
      <c r="CC303" s="4">
        <v>2</v>
      </c>
      <c r="CD303" s="4">
        <v>21</v>
      </c>
      <c r="CE303" s="4">
        <v>10</v>
      </c>
      <c r="CF303" s="4">
        <v>18</v>
      </c>
      <c r="CG303" s="4">
        <v>9</v>
      </c>
      <c r="CH303" s="4">
        <v>16</v>
      </c>
      <c r="CI303" s="4">
        <v>36</v>
      </c>
      <c r="CJ303" s="4">
        <v>319</v>
      </c>
      <c r="CK303" s="4">
        <v>120</v>
      </c>
      <c r="CL303" s="4">
        <v>1</v>
      </c>
      <c r="CM303" s="4">
        <v>71</v>
      </c>
      <c r="CN303" s="4">
        <v>213</v>
      </c>
      <c r="CO303" s="4">
        <v>45</v>
      </c>
      <c r="CP303" s="4">
        <v>12</v>
      </c>
      <c r="CQ303" s="4">
        <v>1</v>
      </c>
      <c r="CR303" s="4">
        <v>26</v>
      </c>
      <c r="CS303" s="4">
        <v>25</v>
      </c>
      <c r="CT303" s="4">
        <v>95</v>
      </c>
      <c r="CU303" s="4">
        <v>27</v>
      </c>
      <c r="CV303" s="4">
        <v>336</v>
      </c>
      <c r="CW303" s="4">
        <v>275</v>
      </c>
      <c r="CX303" s="3">
        <v>275</v>
      </c>
    </row>
    <row r="304" spans="1:102" ht="15.75" x14ac:dyDescent="0.25">
      <c r="A304" s="4" t="s">
        <v>231</v>
      </c>
      <c r="B304" s="4" t="s">
        <v>232</v>
      </c>
      <c r="C304" s="4">
        <v>2019</v>
      </c>
      <c r="D304" s="4">
        <v>510</v>
      </c>
      <c r="E304" s="4">
        <v>0</v>
      </c>
      <c r="F304" s="4">
        <v>0</v>
      </c>
      <c r="G304" s="4">
        <v>0</v>
      </c>
      <c r="H304" s="4">
        <v>0</v>
      </c>
      <c r="I304" s="4">
        <v>1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10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1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1</v>
      </c>
      <c r="AJ304" s="4">
        <v>1</v>
      </c>
      <c r="AK304" s="4">
        <v>2</v>
      </c>
      <c r="AL304" s="4">
        <v>0</v>
      </c>
      <c r="AM304" s="4">
        <v>0</v>
      </c>
      <c r="AN304" s="4">
        <v>0</v>
      </c>
      <c r="AO304" s="4">
        <v>3</v>
      </c>
      <c r="AP304" s="4">
        <v>0</v>
      </c>
      <c r="AQ304" s="4">
        <v>1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4</v>
      </c>
      <c r="AY304" s="4">
        <v>0</v>
      </c>
      <c r="AZ304" s="4">
        <v>2</v>
      </c>
      <c r="BA304" s="4">
        <v>0</v>
      </c>
      <c r="BB304" s="4">
        <v>305</v>
      </c>
      <c r="BC304" s="4">
        <v>4</v>
      </c>
      <c r="BD304" s="4">
        <v>0</v>
      </c>
      <c r="BE304" s="4">
        <v>1</v>
      </c>
      <c r="BF304" s="4">
        <v>7</v>
      </c>
      <c r="BG304" s="4">
        <v>0</v>
      </c>
      <c r="BH304" s="4">
        <v>0</v>
      </c>
      <c r="BI304" s="4">
        <v>0</v>
      </c>
      <c r="BJ304" s="4">
        <v>5</v>
      </c>
      <c r="BK304" s="4">
        <v>62</v>
      </c>
      <c r="BL304" s="4">
        <v>0</v>
      </c>
      <c r="BM304" s="4">
        <v>0</v>
      </c>
      <c r="BN304" s="4">
        <v>3</v>
      </c>
      <c r="BO304" s="4">
        <v>0</v>
      </c>
      <c r="BP304" s="4">
        <v>0</v>
      </c>
      <c r="BQ304" s="4">
        <v>7</v>
      </c>
      <c r="BR304" s="4">
        <v>0</v>
      </c>
      <c r="BS304" s="4">
        <v>36</v>
      </c>
      <c r="BT304" s="4">
        <v>13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11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3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3</v>
      </c>
      <c r="CN304" s="4">
        <v>15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1</v>
      </c>
      <c r="CU304" s="4">
        <v>0</v>
      </c>
      <c r="CV304" s="4">
        <v>2</v>
      </c>
      <c r="CW304" s="4">
        <v>1</v>
      </c>
      <c r="CX304" s="3">
        <v>1</v>
      </c>
    </row>
    <row r="305" spans="1:102" ht="15.75" x14ac:dyDescent="0.25">
      <c r="A305" s="4" t="s">
        <v>233</v>
      </c>
      <c r="B305" s="4" t="s">
        <v>234</v>
      </c>
      <c r="C305" s="4">
        <v>2019</v>
      </c>
      <c r="D305" s="4">
        <v>1358</v>
      </c>
      <c r="E305" s="4">
        <v>1</v>
      </c>
      <c r="F305" s="4">
        <v>1</v>
      </c>
      <c r="G305" s="4">
        <v>2</v>
      </c>
      <c r="H305" s="4">
        <v>1</v>
      </c>
      <c r="I305" s="4">
        <v>12</v>
      </c>
      <c r="J305" s="4">
        <v>4</v>
      </c>
      <c r="K305" s="4">
        <v>2</v>
      </c>
      <c r="L305" s="4">
        <v>6</v>
      </c>
      <c r="M305" s="4">
        <v>17</v>
      </c>
      <c r="N305" s="4">
        <v>14</v>
      </c>
      <c r="O305" s="4">
        <v>22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2</v>
      </c>
      <c r="V305" s="4">
        <v>17</v>
      </c>
      <c r="W305" s="4">
        <v>30</v>
      </c>
      <c r="X305" s="4">
        <v>2</v>
      </c>
      <c r="Y305" s="4">
        <v>21</v>
      </c>
      <c r="Z305" s="4">
        <v>72</v>
      </c>
      <c r="AA305" s="4">
        <v>28</v>
      </c>
      <c r="AB305" s="4">
        <v>0</v>
      </c>
      <c r="AC305" s="4">
        <v>0</v>
      </c>
      <c r="AD305" s="4">
        <v>0</v>
      </c>
      <c r="AE305" s="4">
        <v>1</v>
      </c>
      <c r="AF305" s="4">
        <v>3</v>
      </c>
      <c r="AG305" s="4">
        <v>36</v>
      </c>
      <c r="AH305" s="4">
        <v>14</v>
      </c>
      <c r="AI305" s="4">
        <v>20</v>
      </c>
      <c r="AJ305" s="4">
        <v>17</v>
      </c>
      <c r="AK305" s="4">
        <v>18</v>
      </c>
      <c r="AL305" s="4">
        <v>2</v>
      </c>
      <c r="AM305" s="4">
        <v>24</v>
      </c>
      <c r="AN305" s="4">
        <v>23</v>
      </c>
      <c r="AO305" s="4">
        <v>24</v>
      </c>
      <c r="AP305" s="4">
        <v>1</v>
      </c>
      <c r="AQ305" s="4">
        <v>10</v>
      </c>
      <c r="AR305" s="4">
        <v>1</v>
      </c>
      <c r="AS305" s="4">
        <v>20</v>
      </c>
      <c r="AT305" s="4">
        <v>28</v>
      </c>
      <c r="AU305" s="4">
        <v>17</v>
      </c>
      <c r="AV305" s="4">
        <v>33</v>
      </c>
      <c r="AW305" s="4">
        <v>11</v>
      </c>
      <c r="AX305" s="4">
        <v>39</v>
      </c>
      <c r="AY305" s="4">
        <v>0</v>
      </c>
      <c r="AZ305" s="4">
        <v>5</v>
      </c>
      <c r="BA305" s="4">
        <v>0</v>
      </c>
      <c r="BB305" s="4">
        <v>18</v>
      </c>
      <c r="BC305" s="4">
        <v>13</v>
      </c>
      <c r="BD305" s="4">
        <v>0</v>
      </c>
      <c r="BE305" s="4">
        <v>26</v>
      </c>
      <c r="BF305" s="4">
        <v>61</v>
      </c>
      <c r="BG305" s="4">
        <v>2</v>
      </c>
      <c r="BH305" s="4">
        <v>4</v>
      </c>
      <c r="BI305" s="4">
        <v>0</v>
      </c>
      <c r="BJ305" s="4">
        <v>34</v>
      </c>
      <c r="BK305" s="4">
        <v>48</v>
      </c>
      <c r="BL305" s="4">
        <v>0</v>
      </c>
      <c r="BM305" s="4">
        <v>3</v>
      </c>
      <c r="BN305" s="4">
        <v>26</v>
      </c>
      <c r="BO305" s="4">
        <v>0</v>
      </c>
      <c r="BP305" s="4">
        <v>3</v>
      </c>
      <c r="BQ305" s="4">
        <v>20</v>
      </c>
      <c r="BR305" s="4">
        <v>4</v>
      </c>
      <c r="BS305" s="4">
        <v>49</v>
      </c>
      <c r="BT305" s="4">
        <v>28</v>
      </c>
      <c r="BU305" s="4">
        <v>2</v>
      </c>
      <c r="BV305" s="4">
        <v>26</v>
      </c>
      <c r="BW305" s="4">
        <v>10</v>
      </c>
      <c r="BX305" s="4">
        <v>135</v>
      </c>
      <c r="BY305" s="4">
        <v>0</v>
      </c>
      <c r="BZ305" s="4">
        <v>0</v>
      </c>
      <c r="CA305" s="4">
        <v>3</v>
      </c>
      <c r="CB305" s="4">
        <v>13</v>
      </c>
      <c r="CC305" s="4">
        <v>0</v>
      </c>
      <c r="CD305" s="4">
        <v>4</v>
      </c>
      <c r="CE305" s="4">
        <v>0</v>
      </c>
      <c r="CF305" s="4">
        <v>2</v>
      </c>
      <c r="CG305" s="4">
        <v>10</v>
      </c>
      <c r="CH305" s="4">
        <v>3</v>
      </c>
      <c r="CI305" s="4">
        <v>4</v>
      </c>
      <c r="CJ305" s="4">
        <v>43</v>
      </c>
      <c r="CK305" s="4">
        <v>11</v>
      </c>
      <c r="CL305" s="4">
        <v>1</v>
      </c>
      <c r="CM305" s="4">
        <v>4</v>
      </c>
      <c r="CN305" s="4">
        <v>64</v>
      </c>
      <c r="CO305" s="4">
        <v>2</v>
      </c>
      <c r="CP305" s="4">
        <v>4</v>
      </c>
      <c r="CQ305" s="4">
        <v>0</v>
      </c>
      <c r="CR305" s="4">
        <v>1</v>
      </c>
      <c r="CS305" s="4">
        <v>1</v>
      </c>
      <c r="CT305" s="4">
        <v>18</v>
      </c>
      <c r="CU305" s="4">
        <v>7</v>
      </c>
      <c r="CV305" s="4">
        <v>51</v>
      </c>
      <c r="CW305" s="4">
        <v>3</v>
      </c>
      <c r="CX305" s="3">
        <v>3</v>
      </c>
    </row>
    <row r="306" spans="1:102" ht="15.75" x14ac:dyDescent="0.25">
      <c r="A306" s="4" t="s">
        <v>235</v>
      </c>
      <c r="B306" s="4" t="s">
        <v>236</v>
      </c>
      <c r="C306" s="4">
        <v>2019</v>
      </c>
      <c r="D306" s="4">
        <v>14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1</v>
      </c>
      <c r="AY306" s="4">
        <v>0</v>
      </c>
      <c r="AZ306" s="4">
        <v>0</v>
      </c>
      <c r="BA306" s="4">
        <v>0</v>
      </c>
      <c r="BB306" s="4">
        <v>0</v>
      </c>
      <c r="BC306" s="4">
        <v>1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1</v>
      </c>
      <c r="BK306" s="4">
        <v>1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1</v>
      </c>
      <c r="BR306" s="4">
        <v>0</v>
      </c>
      <c r="BS306" s="4">
        <v>2</v>
      </c>
      <c r="BT306" s="4">
        <v>1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1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3">
        <v>0</v>
      </c>
    </row>
    <row r="307" spans="1:102" ht="15.75" x14ac:dyDescent="0.25">
      <c r="A307" s="4" t="s">
        <v>237</v>
      </c>
      <c r="B307" s="4" t="s">
        <v>238</v>
      </c>
      <c r="C307" s="4">
        <v>2019</v>
      </c>
      <c r="D307" s="4">
        <v>63</v>
      </c>
      <c r="E307" s="4">
        <v>0</v>
      </c>
      <c r="F307" s="4">
        <v>1</v>
      </c>
      <c r="G307" s="4">
        <v>0</v>
      </c>
      <c r="H307" s="4">
        <v>0</v>
      </c>
      <c r="I307" s="4">
        <v>1</v>
      </c>
      <c r="J307" s="4">
        <v>1</v>
      </c>
      <c r="K307" s="4">
        <v>0</v>
      </c>
      <c r="L307" s="4">
        <v>0</v>
      </c>
      <c r="M307" s="4">
        <v>0</v>
      </c>
      <c r="N307" s="4">
        <v>2</v>
      </c>
      <c r="O307" s="4">
        <v>2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1</v>
      </c>
      <c r="AK307" s="4">
        <v>1</v>
      </c>
      <c r="AL307" s="4">
        <v>0</v>
      </c>
      <c r="AM307" s="4">
        <v>0</v>
      </c>
      <c r="AN307" s="4">
        <v>1</v>
      </c>
      <c r="AO307" s="4">
        <v>0</v>
      </c>
      <c r="AP307" s="4">
        <v>0</v>
      </c>
      <c r="AQ307" s="4">
        <v>0</v>
      </c>
      <c r="AR307" s="4">
        <v>1</v>
      </c>
      <c r="AS307" s="4">
        <v>0</v>
      </c>
      <c r="AT307" s="4">
        <v>0</v>
      </c>
      <c r="AU307" s="4">
        <v>2</v>
      </c>
      <c r="AV307" s="4">
        <v>2</v>
      </c>
      <c r="AW307" s="4">
        <v>0</v>
      </c>
      <c r="AX307" s="4">
        <v>3</v>
      </c>
      <c r="AY307" s="4">
        <v>0</v>
      </c>
      <c r="AZ307" s="4">
        <v>0</v>
      </c>
      <c r="BA307" s="4">
        <v>0</v>
      </c>
      <c r="BB307" s="4">
        <v>10</v>
      </c>
      <c r="BC307" s="4">
        <v>0</v>
      </c>
      <c r="BD307" s="4">
        <v>0</v>
      </c>
      <c r="BE307" s="4">
        <v>0</v>
      </c>
      <c r="BF307" s="4">
        <v>7</v>
      </c>
      <c r="BG307" s="4">
        <v>0</v>
      </c>
      <c r="BH307" s="4">
        <v>0</v>
      </c>
      <c r="BI307" s="4">
        <v>0</v>
      </c>
      <c r="BJ307" s="4">
        <v>2</v>
      </c>
      <c r="BK307" s="4">
        <v>2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1</v>
      </c>
      <c r="BR307" s="4">
        <v>0</v>
      </c>
      <c r="BS307" s="4">
        <v>2</v>
      </c>
      <c r="BT307" s="4">
        <v>0</v>
      </c>
      <c r="BU307" s="4">
        <v>0</v>
      </c>
      <c r="BV307" s="4">
        <v>1</v>
      </c>
      <c r="BW307" s="4">
        <v>2</v>
      </c>
      <c r="BX307" s="4">
        <v>2</v>
      </c>
      <c r="BY307" s="4">
        <v>0</v>
      </c>
      <c r="BZ307" s="4">
        <v>0</v>
      </c>
      <c r="CA307" s="4">
        <v>1</v>
      </c>
      <c r="CB307" s="4">
        <v>0</v>
      </c>
      <c r="CC307" s="4">
        <v>0</v>
      </c>
      <c r="CD307" s="4">
        <v>2</v>
      </c>
      <c r="CE307" s="4">
        <v>0</v>
      </c>
      <c r="CF307" s="4">
        <v>1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1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3</v>
      </c>
      <c r="CW307" s="4">
        <v>2</v>
      </c>
      <c r="CX307" s="3">
        <v>2</v>
      </c>
    </row>
    <row r="308" spans="1:102" ht="15.75" x14ac:dyDescent="0.25">
      <c r="A308" s="4" t="s">
        <v>239</v>
      </c>
      <c r="B308" s="4" t="s">
        <v>240</v>
      </c>
      <c r="C308" s="4">
        <v>2019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3">
        <v>0</v>
      </c>
    </row>
    <row r="309" spans="1:102" ht="15.75" x14ac:dyDescent="0.25">
      <c r="A309" s="4" t="s">
        <v>241</v>
      </c>
      <c r="B309" s="4" t="s">
        <v>242</v>
      </c>
      <c r="C309" s="4">
        <v>2019</v>
      </c>
      <c r="D309" s="4">
        <v>26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1</v>
      </c>
      <c r="M309" s="4">
        <v>8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2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3">
        <v>0</v>
      </c>
    </row>
    <row r="310" spans="1:102" ht="15.75" x14ac:dyDescent="0.25">
      <c r="A310" s="4" t="s">
        <v>243</v>
      </c>
      <c r="B310" s="4" t="s">
        <v>244</v>
      </c>
      <c r="C310" s="4">
        <v>2019</v>
      </c>
      <c r="D310" s="4">
        <v>24767</v>
      </c>
      <c r="E310" s="4">
        <v>58</v>
      </c>
      <c r="F310" s="4">
        <v>319</v>
      </c>
      <c r="G310" s="4">
        <v>168</v>
      </c>
      <c r="H310" s="4">
        <v>561</v>
      </c>
      <c r="I310" s="4">
        <v>149</v>
      </c>
      <c r="J310" s="4">
        <v>137</v>
      </c>
      <c r="K310" s="4">
        <v>24</v>
      </c>
      <c r="L310" s="4">
        <v>101</v>
      </c>
      <c r="M310" s="4">
        <v>93</v>
      </c>
      <c r="N310" s="4">
        <v>104</v>
      </c>
      <c r="O310" s="4">
        <v>678</v>
      </c>
      <c r="P310" s="4">
        <v>2</v>
      </c>
      <c r="Q310" s="4">
        <v>8</v>
      </c>
      <c r="R310" s="4">
        <v>5</v>
      </c>
      <c r="S310" s="4">
        <v>7</v>
      </c>
      <c r="T310" s="4">
        <v>17</v>
      </c>
      <c r="U310" s="4">
        <v>6</v>
      </c>
      <c r="V310" s="4">
        <v>21</v>
      </c>
      <c r="W310" s="4">
        <v>50</v>
      </c>
      <c r="X310" s="4">
        <v>27</v>
      </c>
      <c r="Y310" s="4">
        <v>8</v>
      </c>
      <c r="Z310" s="4">
        <v>782</v>
      </c>
      <c r="AA310" s="4">
        <v>287</v>
      </c>
      <c r="AB310" s="4">
        <v>248</v>
      </c>
      <c r="AC310" s="4">
        <v>30</v>
      </c>
      <c r="AD310" s="4">
        <v>7</v>
      </c>
      <c r="AE310" s="4">
        <v>14</v>
      </c>
      <c r="AF310" s="4">
        <v>9</v>
      </c>
      <c r="AG310" s="4">
        <v>277</v>
      </c>
      <c r="AH310" s="4">
        <v>251</v>
      </c>
      <c r="AI310" s="4">
        <v>153</v>
      </c>
      <c r="AJ310" s="4">
        <v>979</v>
      </c>
      <c r="AK310" s="4">
        <v>349</v>
      </c>
      <c r="AL310" s="4">
        <v>12</v>
      </c>
      <c r="AM310" s="4">
        <v>307</v>
      </c>
      <c r="AN310" s="4">
        <v>283</v>
      </c>
      <c r="AO310" s="4">
        <v>420</v>
      </c>
      <c r="AP310" s="4">
        <v>10</v>
      </c>
      <c r="AQ310" s="4">
        <v>148</v>
      </c>
      <c r="AR310" s="4">
        <v>34</v>
      </c>
      <c r="AS310" s="4">
        <v>221</v>
      </c>
      <c r="AT310" s="4">
        <v>194</v>
      </c>
      <c r="AU310" s="4">
        <v>239</v>
      </c>
      <c r="AV310" s="4">
        <v>382</v>
      </c>
      <c r="AW310" s="4">
        <v>320</v>
      </c>
      <c r="AX310" s="4">
        <v>553</v>
      </c>
      <c r="AY310" s="4">
        <v>6</v>
      </c>
      <c r="AZ310" s="4">
        <v>68</v>
      </c>
      <c r="BA310" s="4">
        <v>0</v>
      </c>
      <c r="BB310" s="4">
        <v>1309</v>
      </c>
      <c r="BC310" s="4">
        <v>117</v>
      </c>
      <c r="BD310" s="4">
        <v>2</v>
      </c>
      <c r="BE310" s="4">
        <v>133</v>
      </c>
      <c r="BF310" s="4">
        <v>485</v>
      </c>
      <c r="BG310" s="4">
        <v>18</v>
      </c>
      <c r="BH310" s="4">
        <v>35</v>
      </c>
      <c r="BI310" s="4">
        <v>5</v>
      </c>
      <c r="BJ310" s="4">
        <v>391</v>
      </c>
      <c r="BK310" s="4">
        <v>685</v>
      </c>
      <c r="BL310" s="4">
        <v>2</v>
      </c>
      <c r="BM310" s="4">
        <v>104</v>
      </c>
      <c r="BN310" s="4">
        <v>281</v>
      </c>
      <c r="BO310" s="4">
        <v>7</v>
      </c>
      <c r="BP310" s="4">
        <v>87</v>
      </c>
      <c r="BQ310" s="4">
        <v>547</v>
      </c>
      <c r="BR310" s="4">
        <v>62</v>
      </c>
      <c r="BS310" s="4">
        <v>590</v>
      </c>
      <c r="BT310" s="4">
        <v>296</v>
      </c>
      <c r="BU310" s="4">
        <v>91</v>
      </c>
      <c r="BV310" s="4">
        <v>579</v>
      </c>
      <c r="BW310" s="4">
        <v>113</v>
      </c>
      <c r="BX310" s="4">
        <v>932</v>
      </c>
      <c r="BY310" s="4">
        <v>14</v>
      </c>
      <c r="BZ310" s="4">
        <v>0</v>
      </c>
      <c r="CA310" s="4">
        <v>3876</v>
      </c>
      <c r="CB310" s="4">
        <v>50</v>
      </c>
      <c r="CC310" s="4">
        <v>4</v>
      </c>
      <c r="CD310" s="4">
        <v>80</v>
      </c>
      <c r="CE310" s="4">
        <v>36</v>
      </c>
      <c r="CF310" s="4">
        <v>64</v>
      </c>
      <c r="CG310" s="4">
        <v>200</v>
      </c>
      <c r="CH310" s="4">
        <v>57</v>
      </c>
      <c r="CI310" s="4">
        <v>80</v>
      </c>
      <c r="CJ310" s="4">
        <v>645</v>
      </c>
      <c r="CK310" s="4">
        <v>261</v>
      </c>
      <c r="CL310" s="4">
        <v>1</v>
      </c>
      <c r="CM310" s="4">
        <v>142</v>
      </c>
      <c r="CN310" s="4">
        <v>517</v>
      </c>
      <c r="CO310" s="4">
        <v>131</v>
      </c>
      <c r="CP310" s="4">
        <v>52</v>
      </c>
      <c r="CQ310" s="4">
        <v>1</v>
      </c>
      <c r="CR310" s="4">
        <v>75</v>
      </c>
      <c r="CS310" s="4">
        <v>1396</v>
      </c>
      <c r="CT310" s="4">
        <v>284</v>
      </c>
      <c r="CU310" s="4">
        <v>44</v>
      </c>
      <c r="CV310" s="4">
        <v>704</v>
      </c>
      <c r="CW310" s="4">
        <v>57</v>
      </c>
      <c r="CX310" s="3">
        <v>57</v>
      </c>
    </row>
    <row r="311" spans="1:102" ht="15.75" x14ac:dyDescent="0.25">
      <c r="A311" s="4" t="s">
        <v>245</v>
      </c>
      <c r="B311" s="4" t="s">
        <v>246</v>
      </c>
      <c r="C311" s="4">
        <v>2019</v>
      </c>
      <c r="D311" s="4">
        <v>45</v>
      </c>
      <c r="E311" s="4">
        <v>0</v>
      </c>
      <c r="F311" s="4">
        <v>7</v>
      </c>
      <c r="G311" s="4">
        <v>1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3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1</v>
      </c>
      <c r="AP311" s="4">
        <v>0</v>
      </c>
      <c r="AQ311" s="4">
        <v>1</v>
      </c>
      <c r="AR311" s="4">
        <v>0</v>
      </c>
      <c r="AS311" s="4">
        <v>0</v>
      </c>
      <c r="AT311" s="4">
        <v>0</v>
      </c>
      <c r="AU311" s="4">
        <v>0</v>
      </c>
      <c r="AV311" s="4">
        <v>1</v>
      </c>
      <c r="AW311" s="4">
        <v>0</v>
      </c>
      <c r="AX311" s="4">
        <v>8</v>
      </c>
      <c r="AY311" s="4">
        <v>0</v>
      </c>
      <c r="AZ311" s="4">
        <v>1</v>
      </c>
      <c r="BA311" s="4">
        <v>0</v>
      </c>
      <c r="BB311" s="4">
        <v>0</v>
      </c>
      <c r="BC311" s="4">
        <v>0</v>
      </c>
      <c r="BD311" s="4">
        <v>0</v>
      </c>
      <c r="BE311" s="4">
        <v>2</v>
      </c>
      <c r="BF311" s="4">
        <v>3</v>
      </c>
      <c r="BG311" s="4">
        <v>0</v>
      </c>
      <c r="BH311" s="4">
        <v>0</v>
      </c>
      <c r="BI311" s="4">
        <v>0</v>
      </c>
      <c r="BJ311" s="4">
        <v>1</v>
      </c>
      <c r="BK311" s="4">
        <v>2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2</v>
      </c>
      <c r="BR311" s="4">
        <v>0</v>
      </c>
      <c r="BS311" s="4">
        <v>1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1</v>
      </c>
      <c r="CN311" s="4">
        <v>1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1</v>
      </c>
      <c r="CU311" s="4">
        <v>0</v>
      </c>
      <c r="CV311" s="4">
        <v>0</v>
      </c>
      <c r="CW311" s="4">
        <v>1</v>
      </c>
      <c r="CX311" s="3">
        <v>1</v>
      </c>
    </row>
    <row r="312" spans="1:102" ht="15.75" x14ac:dyDescent="0.25">
      <c r="A312" s="4" t="s">
        <v>247</v>
      </c>
      <c r="B312" s="4" t="s">
        <v>248</v>
      </c>
      <c r="C312" s="4">
        <v>2019</v>
      </c>
      <c r="D312" s="4">
        <v>12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1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1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1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2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1</v>
      </c>
      <c r="CW312" s="4">
        <v>0</v>
      </c>
      <c r="CX312" s="3">
        <v>0</v>
      </c>
    </row>
    <row r="313" spans="1:102" ht="15.75" x14ac:dyDescent="0.25">
      <c r="A313" s="4" t="s">
        <v>249</v>
      </c>
      <c r="B313" s="4" t="s">
        <v>250</v>
      </c>
      <c r="C313" s="4">
        <v>2019</v>
      </c>
      <c r="D313" s="4">
        <v>100</v>
      </c>
      <c r="E313" s="4">
        <v>0</v>
      </c>
      <c r="F313" s="4">
        <v>0</v>
      </c>
      <c r="G313" s="4">
        <v>1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23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</v>
      </c>
      <c r="AH313" s="4">
        <v>1</v>
      </c>
      <c r="AI313" s="4">
        <v>0</v>
      </c>
      <c r="AJ313" s="4">
        <v>7</v>
      </c>
      <c r="AK313" s="4">
        <v>1</v>
      </c>
      <c r="AL313" s="4">
        <v>0</v>
      </c>
      <c r="AM313" s="4">
        <v>0</v>
      </c>
      <c r="AN313" s="4">
        <v>0</v>
      </c>
      <c r="AO313" s="4">
        <v>1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2</v>
      </c>
      <c r="AX313" s="4">
        <v>1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4</v>
      </c>
      <c r="BG313" s="4">
        <v>0</v>
      </c>
      <c r="BH313" s="4">
        <v>0</v>
      </c>
      <c r="BI313" s="4">
        <v>0</v>
      </c>
      <c r="BJ313" s="4">
        <v>2</v>
      </c>
      <c r="BK313" s="4">
        <v>2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2</v>
      </c>
      <c r="BR313" s="4">
        <v>0</v>
      </c>
      <c r="BS313" s="4">
        <v>1</v>
      </c>
      <c r="BT313" s="4">
        <v>1</v>
      </c>
      <c r="BU313" s="4">
        <v>0</v>
      </c>
      <c r="BV313" s="4">
        <v>1</v>
      </c>
      <c r="BW313" s="4">
        <v>0</v>
      </c>
      <c r="BX313" s="4">
        <v>29</v>
      </c>
      <c r="BY313" s="4">
        <v>0</v>
      </c>
      <c r="BZ313" s="4">
        <v>0</v>
      </c>
      <c r="CA313" s="4">
        <v>0</v>
      </c>
      <c r="CB313" s="4">
        <v>2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3</v>
      </c>
      <c r="CK313" s="4">
        <v>0</v>
      </c>
      <c r="CL313" s="4">
        <v>0</v>
      </c>
      <c r="CM313" s="4">
        <v>0</v>
      </c>
      <c r="CN313" s="4">
        <v>2</v>
      </c>
      <c r="CO313" s="4">
        <v>1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4</v>
      </c>
      <c r="CV313" s="4">
        <v>2</v>
      </c>
      <c r="CW313" s="4">
        <v>0</v>
      </c>
      <c r="CX313" s="3">
        <v>0</v>
      </c>
    </row>
    <row r="314" spans="1:102" ht="15.75" x14ac:dyDescent="0.25">
      <c r="A314" s="4" t="s">
        <v>251</v>
      </c>
      <c r="B314" s="4" t="s">
        <v>252</v>
      </c>
      <c r="C314" s="4">
        <v>2019</v>
      </c>
      <c r="D314" s="4">
        <v>518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14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3</v>
      </c>
      <c r="W314" s="4">
        <v>0</v>
      </c>
      <c r="X314" s="4">
        <v>0</v>
      </c>
      <c r="Y314" s="4">
        <v>0</v>
      </c>
      <c r="Z314" s="4">
        <v>0</v>
      </c>
      <c r="AA314" s="4">
        <v>55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1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21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12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1</v>
      </c>
      <c r="BO314" s="4">
        <v>0</v>
      </c>
      <c r="BP314" s="4">
        <v>0</v>
      </c>
      <c r="BQ314" s="4">
        <v>1</v>
      </c>
      <c r="BR314" s="4">
        <v>0</v>
      </c>
      <c r="BS314" s="4">
        <v>0</v>
      </c>
      <c r="BT314" s="4">
        <v>1</v>
      </c>
      <c r="BU314" s="4">
        <v>0</v>
      </c>
      <c r="BV314" s="4">
        <v>0</v>
      </c>
      <c r="BW314" s="4">
        <v>0</v>
      </c>
      <c r="BX314" s="4">
        <v>2</v>
      </c>
      <c r="BY314" s="4">
        <v>0</v>
      </c>
      <c r="BZ314" s="4">
        <v>0</v>
      </c>
      <c r="CA314" s="4">
        <v>187</v>
      </c>
      <c r="CB314" s="4">
        <v>199</v>
      </c>
      <c r="CC314" s="4">
        <v>0</v>
      </c>
      <c r="CD314" s="4">
        <v>0</v>
      </c>
      <c r="CE314" s="4">
        <v>0</v>
      </c>
      <c r="CF314" s="4">
        <v>1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1</v>
      </c>
      <c r="CO314" s="4">
        <v>1</v>
      </c>
      <c r="CP314" s="4">
        <v>0</v>
      </c>
      <c r="CQ314" s="4">
        <v>0</v>
      </c>
      <c r="CR314" s="4">
        <v>1</v>
      </c>
      <c r="CS314" s="4">
        <v>14</v>
      </c>
      <c r="CT314" s="4">
        <v>0</v>
      </c>
      <c r="CU314" s="4">
        <v>0</v>
      </c>
      <c r="CV314" s="4">
        <v>4</v>
      </c>
      <c r="CW314" s="4">
        <v>0</v>
      </c>
      <c r="CX314" s="3">
        <v>0</v>
      </c>
    </row>
    <row r="315" spans="1:102" ht="15.75" x14ac:dyDescent="0.25">
      <c r="A315" s="4" t="s">
        <v>253</v>
      </c>
      <c r="B315" s="4" t="s">
        <v>254</v>
      </c>
      <c r="C315" s="4">
        <v>2019</v>
      </c>
      <c r="D315" s="4">
        <v>391</v>
      </c>
      <c r="E315" s="4">
        <v>0</v>
      </c>
      <c r="F315" s="4">
        <v>7</v>
      </c>
      <c r="G315" s="4">
        <v>4</v>
      </c>
      <c r="H315" s="4">
        <v>0</v>
      </c>
      <c r="I315" s="4">
        <v>5</v>
      </c>
      <c r="J315" s="4">
        <v>2</v>
      </c>
      <c r="K315" s="4">
        <v>2</v>
      </c>
      <c r="L315" s="4">
        <v>1</v>
      </c>
      <c r="M315" s="4">
        <v>1</v>
      </c>
      <c r="N315" s="4">
        <v>5</v>
      </c>
      <c r="O315" s="4">
        <v>5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76</v>
      </c>
      <c r="V315" s="4">
        <v>0</v>
      </c>
      <c r="W315" s="4">
        <v>4</v>
      </c>
      <c r="X315" s="4">
        <v>1</v>
      </c>
      <c r="Y315" s="4">
        <v>0</v>
      </c>
      <c r="Z315" s="4">
        <v>0</v>
      </c>
      <c r="AA315" s="4">
        <v>6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6</v>
      </c>
      <c r="AH315" s="4">
        <v>3</v>
      </c>
      <c r="AI315" s="4">
        <v>9</v>
      </c>
      <c r="AJ315" s="4">
        <v>15</v>
      </c>
      <c r="AK315" s="4">
        <v>12</v>
      </c>
      <c r="AL315" s="4">
        <v>0</v>
      </c>
      <c r="AM315" s="4">
        <v>2</v>
      </c>
      <c r="AN315" s="4">
        <v>1</v>
      </c>
      <c r="AO315" s="4">
        <v>31</v>
      </c>
      <c r="AP315" s="4">
        <v>0</v>
      </c>
      <c r="AQ315" s="4">
        <v>4</v>
      </c>
      <c r="AR315" s="4">
        <v>0</v>
      </c>
      <c r="AS315" s="4">
        <v>1</v>
      </c>
      <c r="AT315" s="4">
        <v>1</v>
      </c>
      <c r="AU315" s="4">
        <v>1</v>
      </c>
      <c r="AV315" s="4">
        <v>18</v>
      </c>
      <c r="AW315" s="4">
        <v>2</v>
      </c>
      <c r="AX315" s="4">
        <v>17</v>
      </c>
      <c r="AY315" s="4">
        <v>1</v>
      </c>
      <c r="AZ315" s="4">
        <v>4</v>
      </c>
      <c r="BA315" s="4">
        <v>0</v>
      </c>
      <c r="BB315" s="4">
        <v>2</v>
      </c>
      <c r="BC315" s="4">
        <v>1</v>
      </c>
      <c r="BD315" s="4">
        <v>0</v>
      </c>
      <c r="BE315" s="4">
        <v>9</v>
      </c>
      <c r="BF315" s="4">
        <v>9</v>
      </c>
      <c r="BG315" s="4">
        <v>0</v>
      </c>
      <c r="BH315" s="4">
        <v>2</v>
      </c>
      <c r="BI315" s="4">
        <v>0</v>
      </c>
      <c r="BJ315" s="4">
        <v>15</v>
      </c>
      <c r="BK315" s="4">
        <v>8</v>
      </c>
      <c r="BL315" s="4">
        <v>0</v>
      </c>
      <c r="BM315" s="4">
        <v>0</v>
      </c>
      <c r="BN315" s="4">
        <v>3</v>
      </c>
      <c r="BO315" s="4">
        <v>0</v>
      </c>
      <c r="BP315" s="4">
        <v>1</v>
      </c>
      <c r="BQ315" s="4">
        <v>4</v>
      </c>
      <c r="BR315" s="4">
        <v>1</v>
      </c>
      <c r="BS315" s="4">
        <v>12</v>
      </c>
      <c r="BT315" s="4">
        <v>2</v>
      </c>
      <c r="BU315" s="4">
        <v>0</v>
      </c>
      <c r="BV315" s="4">
        <v>6</v>
      </c>
      <c r="BW315" s="4">
        <v>3</v>
      </c>
      <c r="BX315" s="4">
        <v>9</v>
      </c>
      <c r="BY315" s="4">
        <v>0</v>
      </c>
      <c r="BZ315" s="4">
        <v>0</v>
      </c>
      <c r="CA315" s="4">
        <v>0</v>
      </c>
      <c r="CB315" s="4">
        <v>3</v>
      </c>
      <c r="CC315" s="4">
        <v>0</v>
      </c>
      <c r="CD315" s="4">
        <v>1</v>
      </c>
      <c r="CE315" s="4">
        <v>0</v>
      </c>
      <c r="CF315" s="4">
        <v>9</v>
      </c>
      <c r="CG315" s="4">
        <v>0</v>
      </c>
      <c r="CH315" s="4">
        <v>1</v>
      </c>
      <c r="CI315" s="4">
        <v>0</v>
      </c>
      <c r="CJ315" s="4">
        <v>2</v>
      </c>
      <c r="CK315" s="4">
        <v>1</v>
      </c>
      <c r="CL315" s="4">
        <v>0</v>
      </c>
      <c r="CM315" s="4">
        <v>1</v>
      </c>
      <c r="CN315" s="4">
        <v>7</v>
      </c>
      <c r="CO315" s="4">
        <v>1</v>
      </c>
      <c r="CP315" s="4">
        <v>0</v>
      </c>
      <c r="CQ315" s="4">
        <v>0</v>
      </c>
      <c r="CR315" s="4">
        <v>1</v>
      </c>
      <c r="CS315" s="4">
        <v>0</v>
      </c>
      <c r="CT315" s="4">
        <v>14</v>
      </c>
      <c r="CU315" s="4">
        <v>0</v>
      </c>
      <c r="CV315" s="4">
        <v>14</v>
      </c>
      <c r="CW315" s="4">
        <v>3</v>
      </c>
      <c r="CX315" s="3">
        <v>3</v>
      </c>
    </row>
    <row r="316" spans="1:102" ht="15.75" x14ac:dyDescent="0.25">
      <c r="A316" s="4" t="s">
        <v>255</v>
      </c>
      <c r="B316" s="4" t="s">
        <v>256</v>
      </c>
      <c r="C316" s="4">
        <v>2019</v>
      </c>
      <c r="D316" s="4">
        <v>571</v>
      </c>
      <c r="E316" s="4">
        <v>0</v>
      </c>
      <c r="F316" s="4">
        <v>4</v>
      </c>
      <c r="G316" s="4">
        <v>1</v>
      </c>
      <c r="H316" s="4">
        <v>1</v>
      </c>
      <c r="I316" s="4">
        <v>3</v>
      </c>
      <c r="J316" s="4">
        <v>3</v>
      </c>
      <c r="K316" s="4">
        <v>1</v>
      </c>
      <c r="L316" s="4">
        <v>2</v>
      </c>
      <c r="M316" s="4">
        <v>1</v>
      </c>
      <c r="N316" s="4">
        <v>10</v>
      </c>
      <c r="O316" s="4">
        <v>4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120</v>
      </c>
      <c r="AA316" s="4">
        <v>106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1</v>
      </c>
      <c r="AJ316" s="4">
        <v>16</v>
      </c>
      <c r="AK316" s="4">
        <v>5</v>
      </c>
      <c r="AL316" s="4">
        <v>0</v>
      </c>
      <c r="AM316" s="4">
        <v>0</v>
      </c>
      <c r="AN316" s="4">
        <v>1</v>
      </c>
      <c r="AO316" s="4">
        <v>0</v>
      </c>
      <c r="AP316" s="4">
        <v>0</v>
      </c>
      <c r="AQ316" s="4">
        <v>2</v>
      </c>
      <c r="AR316" s="4">
        <v>1</v>
      </c>
      <c r="AS316" s="4">
        <v>1</v>
      </c>
      <c r="AT316" s="4">
        <v>1</v>
      </c>
      <c r="AU316" s="4">
        <v>2</v>
      </c>
      <c r="AV316" s="4">
        <v>1</v>
      </c>
      <c r="AW316" s="4">
        <v>0</v>
      </c>
      <c r="AX316" s="4">
        <v>5</v>
      </c>
      <c r="AY316" s="4">
        <v>0</v>
      </c>
      <c r="AZ316" s="4">
        <v>0</v>
      </c>
      <c r="BA316" s="4">
        <v>0</v>
      </c>
      <c r="BB316" s="4">
        <v>1</v>
      </c>
      <c r="BC316" s="4">
        <v>0</v>
      </c>
      <c r="BD316" s="4">
        <v>0</v>
      </c>
      <c r="BE316" s="4">
        <v>0</v>
      </c>
      <c r="BF316" s="4">
        <v>8</v>
      </c>
      <c r="BG316" s="4">
        <v>0</v>
      </c>
      <c r="BH316" s="4">
        <v>0</v>
      </c>
      <c r="BI316" s="4">
        <v>0</v>
      </c>
      <c r="BJ316" s="4">
        <v>1</v>
      </c>
      <c r="BK316" s="4">
        <v>4</v>
      </c>
      <c r="BL316" s="4">
        <v>0</v>
      </c>
      <c r="BM316" s="4">
        <v>2</v>
      </c>
      <c r="BN316" s="4">
        <v>7</v>
      </c>
      <c r="BO316" s="4">
        <v>0</v>
      </c>
      <c r="BP316" s="4">
        <v>3</v>
      </c>
      <c r="BQ316" s="4">
        <v>8</v>
      </c>
      <c r="BR316" s="4">
        <v>2</v>
      </c>
      <c r="BS316" s="4">
        <v>7</v>
      </c>
      <c r="BT316" s="4">
        <v>4</v>
      </c>
      <c r="BU316" s="4">
        <v>0</v>
      </c>
      <c r="BV316" s="4">
        <v>3</v>
      </c>
      <c r="BW316" s="4">
        <v>0</v>
      </c>
      <c r="BX316" s="4">
        <v>163</v>
      </c>
      <c r="BY316" s="4">
        <v>0</v>
      </c>
      <c r="BZ316" s="4">
        <v>0</v>
      </c>
      <c r="CA316" s="4">
        <v>0</v>
      </c>
      <c r="CB316" s="4">
        <v>35</v>
      </c>
      <c r="CC316" s="4">
        <v>0</v>
      </c>
      <c r="CD316" s="4">
        <v>1</v>
      </c>
      <c r="CE316" s="4">
        <v>0</v>
      </c>
      <c r="CF316" s="4">
        <v>2</v>
      </c>
      <c r="CG316" s="4">
        <v>0</v>
      </c>
      <c r="CH316" s="4">
        <v>1</v>
      </c>
      <c r="CI316" s="4">
        <v>0</v>
      </c>
      <c r="CJ316" s="4">
        <v>5</v>
      </c>
      <c r="CK316" s="4">
        <v>0</v>
      </c>
      <c r="CL316" s="4">
        <v>0</v>
      </c>
      <c r="CM316" s="4">
        <v>0</v>
      </c>
      <c r="CN316" s="4">
        <v>6</v>
      </c>
      <c r="CO316" s="4">
        <v>1</v>
      </c>
      <c r="CP316" s="4">
        <v>0</v>
      </c>
      <c r="CQ316" s="4">
        <v>0</v>
      </c>
      <c r="CR316" s="4">
        <v>0</v>
      </c>
      <c r="CS316" s="4">
        <v>1</v>
      </c>
      <c r="CT316" s="4">
        <v>2</v>
      </c>
      <c r="CU316" s="4">
        <v>0</v>
      </c>
      <c r="CV316" s="4">
        <v>6</v>
      </c>
      <c r="CW316" s="4">
        <v>2</v>
      </c>
      <c r="CX316" s="3">
        <v>2</v>
      </c>
    </row>
    <row r="317" spans="1:102" ht="15.75" x14ac:dyDescent="0.25">
      <c r="A317" s="4" t="s">
        <v>257</v>
      </c>
      <c r="B317" s="4" t="s">
        <v>258</v>
      </c>
      <c r="C317" s="4">
        <v>2019</v>
      </c>
      <c r="D317" s="4">
        <v>1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1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3">
        <v>0</v>
      </c>
    </row>
    <row r="318" spans="1:102" ht="15.75" x14ac:dyDescent="0.25">
      <c r="A318" s="4" t="s">
        <v>259</v>
      </c>
      <c r="B318" s="4" t="s">
        <v>260</v>
      </c>
      <c r="C318" s="4">
        <v>2019</v>
      </c>
      <c r="D318" s="4">
        <v>35</v>
      </c>
      <c r="E318" s="4">
        <v>0</v>
      </c>
      <c r="F318" s="4">
        <v>0</v>
      </c>
      <c r="G318" s="4">
        <v>0</v>
      </c>
      <c r="H318" s="4">
        <v>0</v>
      </c>
      <c r="I318" s="4">
        <v>1</v>
      </c>
      <c r="J318" s="4">
        <v>1</v>
      </c>
      <c r="K318" s="4">
        <v>0</v>
      </c>
      <c r="L318" s="4">
        <v>0</v>
      </c>
      <c r="M318" s="4">
        <v>0</v>
      </c>
      <c r="N318" s="4">
        <v>2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1</v>
      </c>
      <c r="AK318" s="4">
        <v>1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1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1</v>
      </c>
      <c r="BO318" s="4">
        <v>0</v>
      </c>
      <c r="BP318" s="4">
        <v>0</v>
      </c>
      <c r="BQ318" s="4">
        <v>0</v>
      </c>
      <c r="BR318" s="4">
        <v>0</v>
      </c>
      <c r="BS318" s="4">
        <v>2</v>
      </c>
      <c r="BT318" s="4">
        <v>0</v>
      </c>
      <c r="BU318" s="4">
        <v>0</v>
      </c>
      <c r="BV318" s="4">
        <v>0</v>
      </c>
      <c r="BW318" s="4">
        <v>0</v>
      </c>
      <c r="BX318" s="4">
        <v>4</v>
      </c>
      <c r="BY318" s="4">
        <v>0</v>
      </c>
      <c r="BZ318" s="4">
        <v>0</v>
      </c>
      <c r="CA318" s="4">
        <v>7</v>
      </c>
      <c r="CB318" s="4">
        <v>0</v>
      </c>
      <c r="CC318" s="4">
        <v>0</v>
      </c>
      <c r="CD318" s="4">
        <v>0</v>
      </c>
      <c r="CE318" s="4">
        <v>0</v>
      </c>
      <c r="CF318" s="4">
        <v>4</v>
      </c>
      <c r="CG318" s="4">
        <v>0</v>
      </c>
      <c r="CH318" s="4">
        <v>1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1</v>
      </c>
      <c r="CU318" s="4">
        <v>0</v>
      </c>
      <c r="CV318" s="4">
        <v>2</v>
      </c>
      <c r="CW318" s="4">
        <v>0</v>
      </c>
      <c r="CX318" s="3">
        <v>0</v>
      </c>
    </row>
    <row r="319" spans="1:102" ht="15.75" x14ac:dyDescent="0.25">
      <c r="A319" s="4" t="s">
        <v>261</v>
      </c>
      <c r="B319" s="4" t="s">
        <v>262</v>
      </c>
      <c r="C319" s="4">
        <v>2019</v>
      </c>
      <c r="D319" s="4">
        <v>26</v>
      </c>
      <c r="E319" s="4">
        <v>0</v>
      </c>
      <c r="F319" s="4">
        <v>2</v>
      </c>
      <c r="G319" s="4">
        <v>4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1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4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1</v>
      </c>
      <c r="BF319" s="4">
        <v>0</v>
      </c>
      <c r="BG319" s="4">
        <v>0</v>
      </c>
      <c r="BH319" s="4">
        <v>0</v>
      </c>
      <c r="BI319" s="4">
        <v>0</v>
      </c>
      <c r="BJ319" s="4">
        <v>1</v>
      </c>
      <c r="BK319" s="4">
        <v>1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1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1</v>
      </c>
      <c r="BX319" s="4">
        <v>1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4</v>
      </c>
      <c r="CU319" s="4">
        <v>0</v>
      </c>
      <c r="CV319" s="4">
        <v>0</v>
      </c>
      <c r="CW319" s="4">
        <v>0</v>
      </c>
      <c r="CX319" s="3">
        <v>0</v>
      </c>
    </row>
    <row r="320" spans="1:102" ht="15.75" x14ac:dyDescent="0.25">
      <c r="A320" s="4" t="s">
        <v>263</v>
      </c>
      <c r="B320" s="4" t="s">
        <v>264</v>
      </c>
      <c r="C320" s="4">
        <v>2019</v>
      </c>
      <c r="D320" s="4">
        <v>46</v>
      </c>
      <c r="E320" s="4">
        <v>0</v>
      </c>
      <c r="F320" s="4">
        <v>5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1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4</v>
      </c>
      <c r="AP320" s="4">
        <v>0</v>
      </c>
      <c r="AQ320" s="4">
        <v>1</v>
      </c>
      <c r="AR320" s="4">
        <v>0</v>
      </c>
      <c r="AS320" s="4">
        <v>0</v>
      </c>
      <c r="AT320" s="4">
        <v>0</v>
      </c>
      <c r="AU320" s="4">
        <v>0</v>
      </c>
      <c r="AV320" s="4">
        <v>1</v>
      </c>
      <c r="AW320" s="4">
        <v>0</v>
      </c>
      <c r="AX320" s="4">
        <v>3</v>
      </c>
      <c r="AY320" s="4">
        <v>0</v>
      </c>
      <c r="AZ320" s="4">
        <v>0</v>
      </c>
      <c r="BA320" s="4">
        <v>0</v>
      </c>
      <c r="BB320" s="4">
        <v>2</v>
      </c>
      <c r="BC320" s="4">
        <v>0</v>
      </c>
      <c r="BD320" s="4">
        <v>0</v>
      </c>
      <c r="BE320" s="4">
        <v>2</v>
      </c>
      <c r="BF320" s="4">
        <v>2</v>
      </c>
      <c r="BG320" s="4">
        <v>0</v>
      </c>
      <c r="BH320" s="4">
        <v>0</v>
      </c>
      <c r="BI320" s="4">
        <v>0</v>
      </c>
      <c r="BJ320" s="4">
        <v>8</v>
      </c>
      <c r="BK320" s="4">
        <v>2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2</v>
      </c>
      <c r="BT320" s="4">
        <v>1</v>
      </c>
      <c r="BU320" s="4">
        <v>0</v>
      </c>
      <c r="BV320" s="4">
        <v>0</v>
      </c>
      <c r="BW320" s="4">
        <v>1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1</v>
      </c>
      <c r="CN320" s="4">
        <v>2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1</v>
      </c>
      <c r="CX320" s="3">
        <v>1</v>
      </c>
    </row>
    <row r="321" spans="1:102" ht="15.75" x14ac:dyDescent="0.25">
      <c r="A321" s="4" t="s">
        <v>265</v>
      </c>
      <c r="B321" s="4" t="s">
        <v>266</v>
      </c>
      <c r="C321" s="4">
        <v>2019</v>
      </c>
      <c r="D321" s="4">
        <v>1135</v>
      </c>
      <c r="E321" s="4">
        <v>2</v>
      </c>
      <c r="F321" s="4">
        <v>4</v>
      </c>
      <c r="G321" s="4">
        <v>9</v>
      </c>
      <c r="H321" s="4">
        <v>5</v>
      </c>
      <c r="I321" s="4">
        <v>18</v>
      </c>
      <c r="J321" s="4">
        <v>9</v>
      </c>
      <c r="K321" s="4">
        <v>2</v>
      </c>
      <c r="L321" s="4">
        <v>10</v>
      </c>
      <c r="M321" s="4">
        <v>4</v>
      </c>
      <c r="N321" s="4">
        <v>15</v>
      </c>
      <c r="O321" s="4">
        <v>101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1</v>
      </c>
      <c r="W321" s="4">
        <v>25</v>
      </c>
      <c r="X321" s="4">
        <v>1</v>
      </c>
      <c r="Y321" s="4">
        <v>0</v>
      </c>
      <c r="Z321" s="4">
        <v>37</v>
      </c>
      <c r="AA321" s="4">
        <v>35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6</v>
      </c>
      <c r="AH321" s="4">
        <v>1</v>
      </c>
      <c r="AI321" s="4">
        <v>28</v>
      </c>
      <c r="AJ321" s="4">
        <v>78</v>
      </c>
      <c r="AK321" s="4">
        <v>33</v>
      </c>
      <c r="AL321" s="4">
        <v>1</v>
      </c>
      <c r="AM321" s="4">
        <v>13</v>
      </c>
      <c r="AN321" s="4">
        <v>10</v>
      </c>
      <c r="AO321" s="4">
        <v>34</v>
      </c>
      <c r="AP321" s="4">
        <v>1</v>
      </c>
      <c r="AQ321" s="4">
        <v>7</v>
      </c>
      <c r="AR321" s="4">
        <v>1</v>
      </c>
      <c r="AS321" s="4">
        <v>6</v>
      </c>
      <c r="AT321" s="4">
        <v>7</v>
      </c>
      <c r="AU321" s="4">
        <v>8</v>
      </c>
      <c r="AV321" s="4">
        <v>8</v>
      </c>
      <c r="AW321" s="4">
        <v>36</v>
      </c>
      <c r="AX321" s="4">
        <v>15</v>
      </c>
      <c r="AY321" s="4">
        <v>0</v>
      </c>
      <c r="AZ321" s="4">
        <v>9</v>
      </c>
      <c r="BA321" s="4">
        <v>0</v>
      </c>
      <c r="BB321" s="4">
        <v>9</v>
      </c>
      <c r="BC321" s="4">
        <v>1</v>
      </c>
      <c r="BD321" s="4">
        <v>0</v>
      </c>
      <c r="BE321" s="4">
        <v>8</v>
      </c>
      <c r="BF321" s="4">
        <v>16</v>
      </c>
      <c r="BG321" s="4">
        <v>1</v>
      </c>
      <c r="BH321" s="4">
        <v>1</v>
      </c>
      <c r="BI321" s="4">
        <v>0</v>
      </c>
      <c r="BJ321" s="4">
        <v>21</v>
      </c>
      <c r="BK321" s="4">
        <v>23</v>
      </c>
      <c r="BL321" s="4">
        <v>0</v>
      </c>
      <c r="BM321" s="4">
        <v>2</v>
      </c>
      <c r="BN321" s="4">
        <v>16</v>
      </c>
      <c r="BO321" s="4">
        <v>0</v>
      </c>
      <c r="BP321" s="4">
        <v>5</v>
      </c>
      <c r="BQ321" s="4">
        <v>67</v>
      </c>
      <c r="BR321" s="4">
        <v>4</v>
      </c>
      <c r="BS321" s="4">
        <v>25</v>
      </c>
      <c r="BT321" s="4">
        <v>18</v>
      </c>
      <c r="BU321" s="4">
        <v>3</v>
      </c>
      <c r="BV321" s="4">
        <v>12</v>
      </c>
      <c r="BW321" s="4">
        <v>4</v>
      </c>
      <c r="BX321" s="4">
        <v>74</v>
      </c>
      <c r="BY321" s="4">
        <v>3</v>
      </c>
      <c r="BZ321" s="4">
        <v>0</v>
      </c>
      <c r="CA321" s="4">
        <v>4</v>
      </c>
      <c r="CB321" s="4">
        <v>48</v>
      </c>
      <c r="CC321" s="4">
        <v>0</v>
      </c>
      <c r="CD321" s="4">
        <v>2</v>
      </c>
      <c r="CE321" s="4">
        <v>0</v>
      </c>
      <c r="CF321" s="4">
        <v>1</v>
      </c>
      <c r="CG321" s="4">
        <v>0</v>
      </c>
      <c r="CH321" s="4">
        <v>1</v>
      </c>
      <c r="CI321" s="4">
        <v>5</v>
      </c>
      <c r="CJ321" s="4">
        <v>69</v>
      </c>
      <c r="CK321" s="4">
        <v>16</v>
      </c>
      <c r="CL321" s="4">
        <v>0</v>
      </c>
      <c r="CM321" s="4">
        <v>2</v>
      </c>
      <c r="CN321" s="4">
        <v>18</v>
      </c>
      <c r="CO321" s="4">
        <v>8</v>
      </c>
      <c r="CP321" s="4">
        <v>2</v>
      </c>
      <c r="CQ321" s="4">
        <v>0</v>
      </c>
      <c r="CR321" s="4">
        <v>3</v>
      </c>
      <c r="CS321" s="4">
        <v>2</v>
      </c>
      <c r="CT321" s="4">
        <v>12</v>
      </c>
      <c r="CU321" s="4">
        <v>5</v>
      </c>
      <c r="CV321" s="4">
        <v>45</v>
      </c>
      <c r="CW321" s="4">
        <v>1</v>
      </c>
      <c r="CX321" s="3">
        <v>1</v>
      </c>
    </row>
    <row r="322" spans="1:102" ht="15.75" x14ac:dyDescent="0.25">
      <c r="A322" s="4" t="s">
        <v>267</v>
      </c>
      <c r="B322" s="4" t="s">
        <v>268</v>
      </c>
      <c r="C322" s="4">
        <v>2019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3">
        <v>0</v>
      </c>
    </row>
    <row r="323" spans="1:102" ht="15.75" x14ac:dyDescent="0.25">
      <c r="A323" s="4" t="s">
        <v>269</v>
      </c>
      <c r="B323" s="4" t="s">
        <v>270</v>
      </c>
      <c r="C323" s="4">
        <v>2019</v>
      </c>
      <c r="D323" s="4">
        <v>64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1</v>
      </c>
      <c r="M323" s="4">
        <v>0</v>
      </c>
      <c r="N323" s="4">
        <v>1</v>
      </c>
      <c r="O323" s="4">
        <v>5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3</v>
      </c>
      <c r="AK323" s="4">
        <v>1</v>
      </c>
      <c r="AL323" s="4">
        <v>1</v>
      </c>
      <c r="AM323" s="4">
        <v>1</v>
      </c>
      <c r="AN323" s="4">
        <v>1</v>
      </c>
      <c r="AO323" s="4">
        <v>2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2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2</v>
      </c>
      <c r="BG323" s="4">
        <v>0</v>
      </c>
      <c r="BH323" s="4">
        <v>0</v>
      </c>
      <c r="BI323" s="4">
        <v>0</v>
      </c>
      <c r="BJ323" s="4">
        <v>1</v>
      </c>
      <c r="BK323" s="4">
        <v>9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4</v>
      </c>
      <c r="BU323" s="4">
        <v>0</v>
      </c>
      <c r="BV323" s="4">
        <v>1</v>
      </c>
      <c r="BW323" s="4">
        <v>0</v>
      </c>
      <c r="BX323" s="4">
        <v>12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1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1</v>
      </c>
      <c r="CU323" s="4">
        <v>0</v>
      </c>
      <c r="CV323" s="4">
        <v>1</v>
      </c>
      <c r="CW323" s="4">
        <v>0</v>
      </c>
      <c r="CX323" s="3">
        <v>0</v>
      </c>
    </row>
    <row r="324" spans="1:102" ht="15.75" x14ac:dyDescent="0.25">
      <c r="A324" s="4" t="s">
        <v>271</v>
      </c>
      <c r="B324" s="4" t="s">
        <v>272</v>
      </c>
      <c r="C324" s="4">
        <v>2019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3">
        <v>0</v>
      </c>
    </row>
    <row r="325" spans="1:102" ht="15.75" x14ac:dyDescent="0.25">
      <c r="A325" s="4" t="s">
        <v>273</v>
      </c>
      <c r="B325" s="4" t="s">
        <v>274</v>
      </c>
      <c r="C325" s="4">
        <v>2019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3">
        <v>0</v>
      </c>
    </row>
    <row r="326" spans="1:102" ht="15.75" x14ac:dyDescent="0.25">
      <c r="A326" s="4" t="s">
        <v>275</v>
      </c>
      <c r="B326" s="4" t="s">
        <v>276</v>
      </c>
      <c r="C326" s="4">
        <v>2019</v>
      </c>
      <c r="D326" s="4">
        <v>47</v>
      </c>
      <c r="E326" s="4">
        <v>0</v>
      </c>
      <c r="F326" s="4">
        <v>0</v>
      </c>
      <c r="G326" s="4">
        <v>1</v>
      </c>
      <c r="H326" s="4">
        <v>0</v>
      </c>
      <c r="I326" s="4">
        <v>1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1</v>
      </c>
      <c r="AK326" s="4">
        <v>1</v>
      </c>
      <c r="AL326" s="4">
        <v>0</v>
      </c>
      <c r="AM326" s="4">
        <v>0</v>
      </c>
      <c r="AN326" s="4">
        <v>0</v>
      </c>
      <c r="AO326" s="4">
        <v>1</v>
      </c>
      <c r="AP326" s="4">
        <v>0</v>
      </c>
      <c r="AQ326" s="4">
        <v>1</v>
      </c>
      <c r="AR326" s="4">
        <v>0</v>
      </c>
      <c r="AS326" s="4">
        <v>0</v>
      </c>
      <c r="AT326" s="4">
        <v>0</v>
      </c>
      <c r="AU326" s="4">
        <v>0</v>
      </c>
      <c r="AV326" s="4">
        <v>3</v>
      </c>
      <c r="AW326" s="4">
        <v>0</v>
      </c>
      <c r="AX326" s="4">
        <v>3</v>
      </c>
      <c r="AY326" s="4">
        <v>0</v>
      </c>
      <c r="AZ326" s="4">
        <v>0</v>
      </c>
      <c r="BA326" s="4">
        <v>0</v>
      </c>
      <c r="BB326" s="4">
        <v>1</v>
      </c>
      <c r="BC326" s="4">
        <v>0</v>
      </c>
      <c r="BD326" s="4">
        <v>0</v>
      </c>
      <c r="BE326" s="4">
        <v>1</v>
      </c>
      <c r="BF326" s="4">
        <v>7</v>
      </c>
      <c r="BG326" s="4">
        <v>0</v>
      </c>
      <c r="BH326" s="4">
        <v>0</v>
      </c>
      <c r="BI326" s="4">
        <v>0</v>
      </c>
      <c r="BJ326" s="4">
        <v>2</v>
      </c>
      <c r="BK326" s="4">
        <v>1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2</v>
      </c>
      <c r="BT326" s="4">
        <v>0</v>
      </c>
      <c r="BU326" s="4">
        <v>0</v>
      </c>
      <c r="BV326" s="4">
        <v>1</v>
      </c>
      <c r="BW326" s="4">
        <v>7</v>
      </c>
      <c r="BX326" s="4">
        <v>1</v>
      </c>
      <c r="BY326" s="4">
        <v>0</v>
      </c>
      <c r="BZ326" s="4">
        <v>0</v>
      </c>
      <c r="CA326" s="4">
        <v>0</v>
      </c>
      <c r="CB326" s="4">
        <v>6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1</v>
      </c>
      <c r="CU326" s="4">
        <v>0</v>
      </c>
      <c r="CV326" s="4">
        <v>1</v>
      </c>
      <c r="CW326" s="4">
        <v>1</v>
      </c>
      <c r="CX326" s="3">
        <v>1</v>
      </c>
    </row>
    <row r="327" spans="1:102" ht="15.75" x14ac:dyDescent="0.25">
      <c r="A327" s="4" t="s">
        <v>277</v>
      </c>
      <c r="B327" s="4" t="s">
        <v>278</v>
      </c>
      <c r="C327" s="4">
        <v>2019</v>
      </c>
      <c r="D327" s="4">
        <v>8105</v>
      </c>
      <c r="E327" s="4">
        <v>36</v>
      </c>
      <c r="F327" s="4">
        <v>83</v>
      </c>
      <c r="G327" s="4">
        <v>14</v>
      </c>
      <c r="H327" s="4">
        <v>14</v>
      </c>
      <c r="I327" s="4">
        <v>21</v>
      </c>
      <c r="J327" s="4">
        <v>9</v>
      </c>
      <c r="K327" s="4">
        <v>6</v>
      </c>
      <c r="L327" s="4">
        <v>17</v>
      </c>
      <c r="M327" s="4">
        <v>4</v>
      </c>
      <c r="N327" s="4">
        <v>18</v>
      </c>
      <c r="O327" s="4">
        <v>209</v>
      </c>
      <c r="P327" s="4">
        <v>0</v>
      </c>
      <c r="Q327" s="4">
        <v>0</v>
      </c>
      <c r="R327" s="4">
        <v>1</v>
      </c>
      <c r="S327" s="4">
        <v>3</v>
      </c>
      <c r="T327" s="4">
        <v>1</v>
      </c>
      <c r="U327" s="4">
        <v>1</v>
      </c>
      <c r="V327" s="4">
        <v>2</v>
      </c>
      <c r="W327" s="4">
        <v>22</v>
      </c>
      <c r="X327" s="4">
        <v>3</v>
      </c>
      <c r="Y327" s="4">
        <v>0</v>
      </c>
      <c r="Z327" s="4">
        <v>0</v>
      </c>
      <c r="AA327" s="4">
        <v>3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13</v>
      </c>
      <c r="AH327" s="4">
        <v>2</v>
      </c>
      <c r="AI327" s="4">
        <v>19</v>
      </c>
      <c r="AJ327" s="4">
        <v>67</v>
      </c>
      <c r="AK327" s="4">
        <v>124</v>
      </c>
      <c r="AL327" s="4">
        <v>0</v>
      </c>
      <c r="AM327" s="4">
        <v>32</v>
      </c>
      <c r="AN327" s="4">
        <v>27</v>
      </c>
      <c r="AO327" s="4">
        <v>20</v>
      </c>
      <c r="AP327" s="4">
        <v>10</v>
      </c>
      <c r="AQ327" s="4">
        <v>16</v>
      </c>
      <c r="AR327" s="4">
        <v>2</v>
      </c>
      <c r="AS327" s="4">
        <v>16</v>
      </c>
      <c r="AT327" s="4">
        <v>29</v>
      </c>
      <c r="AU327" s="4">
        <v>97</v>
      </c>
      <c r="AV327" s="4">
        <v>19</v>
      </c>
      <c r="AW327" s="4">
        <v>1381</v>
      </c>
      <c r="AX327" s="4">
        <v>144</v>
      </c>
      <c r="AY327" s="4">
        <v>3</v>
      </c>
      <c r="AZ327" s="4">
        <v>13</v>
      </c>
      <c r="BA327" s="4">
        <v>0</v>
      </c>
      <c r="BB327" s="4">
        <v>2218</v>
      </c>
      <c r="BC327" s="4">
        <v>71</v>
      </c>
      <c r="BD327" s="4">
        <v>0</v>
      </c>
      <c r="BE327" s="4">
        <v>13</v>
      </c>
      <c r="BF327" s="4">
        <v>29</v>
      </c>
      <c r="BG327" s="4">
        <v>2</v>
      </c>
      <c r="BH327" s="4">
        <v>1</v>
      </c>
      <c r="BI327" s="4">
        <v>3</v>
      </c>
      <c r="BJ327" s="4">
        <v>196</v>
      </c>
      <c r="BK327" s="4">
        <v>35</v>
      </c>
      <c r="BL327" s="4">
        <v>0</v>
      </c>
      <c r="BM327" s="4">
        <v>14</v>
      </c>
      <c r="BN327" s="4">
        <v>76</v>
      </c>
      <c r="BO327" s="4">
        <v>2</v>
      </c>
      <c r="BP327" s="4">
        <v>31</v>
      </c>
      <c r="BQ327" s="4">
        <v>219</v>
      </c>
      <c r="BR327" s="4">
        <v>14</v>
      </c>
      <c r="BS327" s="4">
        <v>268</v>
      </c>
      <c r="BT327" s="4">
        <v>70</v>
      </c>
      <c r="BU327" s="4">
        <v>1</v>
      </c>
      <c r="BV327" s="4">
        <v>45</v>
      </c>
      <c r="BW327" s="4">
        <v>36</v>
      </c>
      <c r="BX327" s="4">
        <v>151</v>
      </c>
      <c r="BY327" s="4">
        <v>3</v>
      </c>
      <c r="BZ327" s="4">
        <v>0</v>
      </c>
      <c r="CA327" s="4">
        <v>36</v>
      </c>
      <c r="CB327" s="4">
        <v>178</v>
      </c>
      <c r="CC327" s="4">
        <v>0</v>
      </c>
      <c r="CD327" s="4">
        <v>5</v>
      </c>
      <c r="CE327" s="4">
        <v>0</v>
      </c>
      <c r="CF327" s="4">
        <v>8</v>
      </c>
      <c r="CG327" s="4">
        <v>83</v>
      </c>
      <c r="CH327" s="4">
        <v>6</v>
      </c>
      <c r="CI327" s="4">
        <v>87</v>
      </c>
      <c r="CJ327" s="4">
        <v>126</v>
      </c>
      <c r="CK327" s="4">
        <v>31</v>
      </c>
      <c r="CL327" s="4">
        <v>0</v>
      </c>
      <c r="CM327" s="4">
        <v>65</v>
      </c>
      <c r="CN327" s="4">
        <v>209</v>
      </c>
      <c r="CO327" s="4">
        <v>154</v>
      </c>
      <c r="CP327" s="4">
        <v>23</v>
      </c>
      <c r="CQ327" s="4">
        <v>0</v>
      </c>
      <c r="CR327" s="4">
        <v>448</v>
      </c>
      <c r="CS327" s="4">
        <v>479</v>
      </c>
      <c r="CT327" s="4">
        <v>23</v>
      </c>
      <c r="CU327" s="4">
        <v>19</v>
      </c>
      <c r="CV327" s="4">
        <v>87</v>
      </c>
      <c r="CW327" s="4">
        <v>38</v>
      </c>
      <c r="CX327" s="3">
        <v>38</v>
      </c>
    </row>
    <row r="328" spans="1:102" ht="15.75" x14ac:dyDescent="0.25">
      <c r="A328" s="4" t="s">
        <v>279</v>
      </c>
      <c r="B328" s="4" t="s">
        <v>280</v>
      </c>
      <c r="C328" s="4">
        <v>2019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3">
        <v>0</v>
      </c>
    </row>
    <row r="329" spans="1:102" ht="15.75" x14ac:dyDescent="0.25">
      <c r="A329" s="4" t="s">
        <v>281</v>
      </c>
      <c r="B329" s="4" t="s">
        <v>282</v>
      </c>
      <c r="C329" s="4">
        <v>2019</v>
      </c>
      <c r="D329" s="4">
        <v>12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1</v>
      </c>
      <c r="W329" s="4">
        <v>0</v>
      </c>
      <c r="X329" s="4">
        <v>0</v>
      </c>
      <c r="Y329" s="4">
        <v>0</v>
      </c>
      <c r="Z329" s="4">
        <v>0</v>
      </c>
      <c r="AA329" s="4">
        <v>1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1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1</v>
      </c>
      <c r="AU329" s="4">
        <v>0</v>
      </c>
      <c r="AV329" s="4">
        <v>0</v>
      </c>
      <c r="AW329" s="4">
        <v>0</v>
      </c>
      <c r="AX329" s="4">
        <v>1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1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3">
        <v>0</v>
      </c>
    </row>
    <row r="330" spans="1:102" ht="15.75" x14ac:dyDescent="0.25">
      <c r="A330" s="4" t="s">
        <v>283</v>
      </c>
      <c r="B330" s="4" t="s">
        <v>284</v>
      </c>
      <c r="C330" s="4">
        <v>2019</v>
      </c>
      <c r="D330" s="4">
        <v>230</v>
      </c>
      <c r="E330" s="4">
        <v>0</v>
      </c>
      <c r="F330" s="4">
        <v>0</v>
      </c>
      <c r="G330" s="4">
        <v>1</v>
      </c>
      <c r="H330" s="4">
        <v>4</v>
      </c>
      <c r="I330" s="4">
        <v>1</v>
      </c>
      <c r="J330" s="4">
        <v>1</v>
      </c>
      <c r="K330" s="4">
        <v>0</v>
      </c>
      <c r="L330" s="4">
        <v>5</v>
      </c>
      <c r="M330" s="4">
        <v>1</v>
      </c>
      <c r="N330" s="4">
        <v>6</v>
      </c>
      <c r="O330" s="4">
        <v>25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</v>
      </c>
      <c r="AH330" s="4">
        <v>0</v>
      </c>
      <c r="AI330" s="4">
        <v>4</v>
      </c>
      <c r="AJ330" s="4">
        <v>6</v>
      </c>
      <c r="AK330" s="4">
        <v>8</v>
      </c>
      <c r="AL330" s="4">
        <v>0</v>
      </c>
      <c r="AM330" s="4">
        <v>5</v>
      </c>
      <c r="AN330" s="4">
        <v>4</v>
      </c>
      <c r="AO330" s="4">
        <v>6</v>
      </c>
      <c r="AP330" s="4">
        <v>0</v>
      </c>
      <c r="AQ330" s="4">
        <v>1</v>
      </c>
      <c r="AR330" s="4">
        <v>0</v>
      </c>
      <c r="AS330" s="4">
        <v>3</v>
      </c>
      <c r="AT330" s="4">
        <v>3</v>
      </c>
      <c r="AU330" s="4">
        <v>1</v>
      </c>
      <c r="AV330" s="4">
        <v>6</v>
      </c>
      <c r="AW330" s="4">
        <v>2</v>
      </c>
      <c r="AX330" s="4">
        <v>9</v>
      </c>
      <c r="AY330" s="4">
        <v>1</v>
      </c>
      <c r="AZ330" s="4">
        <v>1</v>
      </c>
      <c r="BA330" s="4">
        <v>0</v>
      </c>
      <c r="BB330" s="4">
        <v>1</v>
      </c>
      <c r="BC330" s="4">
        <v>0</v>
      </c>
      <c r="BD330" s="4">
        <v>0</v>
      </c>
      <c r="BE330" s="4">
        <v>2</v>
      </c>
      <c r="BF330" s="4">
        <v>12</v>
      </c>
      <c r="BG330" s="4">
        <v>0</v>
      </c>
      <c r="BH330" s="4">
        <v>1</v>
      </c>
      <c r="BI330" s="4">
        <v>0</v>
      </c>
      <c r="BJ330" s="4">
        <v>4</v>
      </c>
      <c r="BK330" s="4">
        <v>4</v>
      </c>
      <c r="BL330" s="4">
        <v>0</v>
      </c>
      <c r="BM330" s="4">
        <v>3</v>
      </c>
      <c r="BN330" s="4">
        <v>5</v>
      </c>
      <c r="BO330" s="4">
        <v>0</v>
      </c>
      <c r="BP330" s="4">
        <v>1</v>
      </c>
      <c r="BQ330" s="4">
        <v>12</v>
      </c>
      <c r="BR330" s="4">
        <v>1</v>
      </c>
      <c r="BS330" s="4">
        <v>5</v>
      </c>
      <c r="BT330" s="4">
        <v>5</v>
      </c>
      <c r="BU330" s="4">
        <v>0</v>
      </c>
      <c r="BV330" s="4">
        <v>3</v>
      </c>
      <c r="BW330" s="4">
        <v>1</v>
      </c>
      <c r="BX330" s="4">
        <v>3</v>
      </c>
      <c r="BY330" s="4">
        <v>0</v>
      </c>
      <c r="BZ330" s="4">
        <v>0</v>
      </c>
      <c r="CA330" s="4">
        <v>0</v>
      </c>
      <c r="CB330" s="4">
        <v>7</v>
      </c>
      <c r="CC330" s="4">
        <v>0</v>
      </c>
      <c r="CD330" s="4">
        <v>1</v>
      </c>
      <c r="CE330" s="4">
        <v>0</v>
      </c>
      <c r="CF330" s="4">
        <v>1</v>
      </c>
      <c r="CG330" s="4">
        <v>0</v>
      </c>
      <c r="CH330" s="4">
        <v>0</v>
      </c>
      <c r="CI330" s="4">
        <v>1</v>
      </c>
      <c r="CJ330" s="4">
        <v>13</v>
      </c>
      <c r="CK330" s="4">
        <v>5</v>
      </c>
      <c r="CL330" s="4">
        <v>0</v>
      </c>
      <c r="CM330" s="4">
        <v>1</v>
      </c>
      <c r="CN330" s="4">
        <v>7</v>
      </c>
      <c r="CO330" s="4">
        <v>4</v>
      </c>
      <c r="CP330" s="4">
        <v>0</v>
      </c>
      <c r="CQ330" s="4">
        <v>0</v>
      </c>
      <c r="CR330" s="4">
        <v>0</v>
      </c>
      <c r="CS330" s="4">
        <v>0</v>
      </c>
      <c r="CT330" s="4">
        <v>3</v>
      </c>
      <c r="CU330" s="4">
        <v>1</v>
      </c>
      <c r="CV330" s="4">
        <v>14</v>
      </c>
      <c r="CW330" s="4">
        <v>1</v>
      </c>
      <c r="CX330" s="3">
        <v>1</v>
      </c>
    </row>
    <row r="331" spans="1:102" ht="15.75" x14ac:dyDescent="0.25">
      <c r="A331" s="4" t="s">
        <v>285</v>
      </c>
      <c r="B331" s="4" t="s">
        <v>286</v>
      </c>
      <c r="C331" s="4">
        <v>2019</v>
      </c>
      <c r="D331" s="4">
        <v>11</v>
      </c>
      <c r="E331" s="4">
        <v>0</v>
      </c>
      <c r="F331" s="4">
        <v>7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1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1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3">
        <v>0</v>
      </c>
    </row>
    <row r="332" spans="1:102" ht="15.75" x14ac:dyDescent="0.25">
      <c r="A332" s="4" t="s">
        <v>287</v>
      </c>
      <c r="B332" s="4" t="s">
        <v>288</v>
      </c>
      <c r="C332" s="4">
        <v>2019</v>
      </c>
      <c r="D332" s="4">
        <v>1410</v>
      </c>
      <c r="E332" s="4">
        <v>9</v>
      </c>
      <c r="F332" s="4">
        <v>3</v>
      </c>
      <c r="G332" s="4">
        <v>4</v>
      </c>
      <c r="H332" s="4">
        <v>1</v>
      </c>
      <c r="I332" s="4">
        <v>5</v>
      </c>
      <c r="J332" s="4">
        <v>2</v>
      </c>
      <c r="K332" s="4">
        <v>1</v>
      </c>
      <c r="L332" s="4">
        <v>11</v>
      </c>
      <c r="M332" s="4">
        <v>4</v>
      </c>
      <c r="N332" s="4">
        <v>10</v>
      </c>
      <c r="O332" s="4">
        <v>51</v>
      </c>
      <c r="P332" s="4">
        <v>0</v>
      </c>
      <c r="Q332" s="4">
        <v>3</v>
      </c>
      <c r="R332" s="4">
        <v>6</v>
      </c>
      <c r="S332" s="4">
        <v>0</v>
      </c>
      <c r="T332" s="4">
        <v>0</v>
      </c>
      <c r="U332" s="4">
        <v>31</v>
      </c>
      <c r="V332" s="4">
        <v>2</v>
      </c>
      <c r="W332" s="4">
        <v>1</v>
      </c>
      <c r="X332" s="4">
        <v>3</v>
      </c>
      <c r="Y332" s="4">
        <v>0</v>
      </c>
      <c r="Z332" s="4">
        <v>0</v>
      </c>
      <c r="AA332" s="4">
        <v>8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54</v>
      </c>
      <c r="AH332" s="4">
        <v>3</v>
      </c>
      <c r="AI332" s="4">
        <v>16</v>
      </c>
      <c r="AJ332" s="4">
        <v>124</v>
      </c>
      <c r="AK332" s="4">
        <v>29</v>
      </c>
      <c r="AL332" s="4">
        <v>1</v>
      </c>
      <c r="AM332" s="4">
        <v>23</v>
      </c>
      <c r="AN332" s="4">
        <v>26</v>
      </c>
      <c r="AO332" s="4">
        <v>60</v>
      </c>
      <c r="AP332" s="4">
        <v>2</v>
      </c>
      <c r="AQ332" s="4">
        <v>10</v>
      </c>
      <c r="AR332" s="4">
        <v>1</v>
      </c>
      <c r="AS332" s="4">
        <v>13</v>
      </c>
      <c r="AT332" s="4">
        <v>14</v>
      </c>
      <c r="AU332" s="4">
        <v>15</v>
      </c>
      <c r="AV332" s="4">
        <v>14</v>
      </c>
      <c r="AW332" s="4">
        <v>11</v>
      </c>
      <c r="AX332" s="4">
        <v>27</v>
      </c>
      <c r="AY332" s="4">
        <v>2</v>
      </c>
      <c r="AZ332" s="4">
        <v>6</v>
      </c>
      <c r="BA332" s="4">
        <v>0</v>
      </c>
      <c r="BB332" s="4">
        <v>55</v>
      </c>
      <c r="BC332" s="4">
        <v>0</v>
      </c>
      <c r="BD332" s="4">
        <v>1</v>
      </c>
      <c r="BE332" s="4">
        <v>17</v>
      </c>
      <c r="BF332" s="4">
        <v>63</v>
      </c>
      <c r="BG332" s="4">
        <v>3</v>
      </c>
      <c r="BH332" s="4">
        <v>4</v>
      </c>
      <c r="BI332" s="4">
        <v>0</v>
      </c>
      <c r="BJ332" s="4">
        <v>24</v>
      </c>
      <c r="BK332" s="4">
        <v>43</v>
      </c>
      <c r="BL332" s="4">
        <v>0</v>
      </c>
      <c r="BM332" s="4">
        <v>7</v>
      </c>
      <c r="BN332" s="4">
        <v>38</v>
      </c>
      <c r="BO332" s="4">
        <v>0</v>
      </c>
      <c r="BP332" s="4">
        <v>9</v>
      </c>
      <c r="BQ332" s="4">
        <v>43</v>
      </c>
      <c r="BR332" s="4">
        <v>7</v>
      </c>
      <c r="BS332" s="4">
        <v>77</v>
      </c>
      <c r="BT332" s="4">
        <v>29</v>
      </c>
      <c r="BU332" s="4">
        <v>1</v>
      </c>
      <c r="BV332" s="4">
        <v>23</v>
      </c>
      <c r="BW332" s="4">
        <v>4</v>
      </c>
      <c r="BX332" s="4">
        <v>145</v>
      </c>
      <c r="BY332" s="4">
        <v>1</v>
      </c>
      <c r="BZ332" s="4">
        <v>0</v>
      </c>
      <c r="CA332" s="4">
        <v>3</v>
      </c>
      <c r="CB332" s="4">
        <v>0</v>
      </c>
      <c r="CC332" s="4">
        <v>0</v>
      </c>
      <c r="CD332" s="4">
        <v>4</v>
      </c>
      <c r="CE332" s="4">
        <v>0</v>
      </c>
      <c r="CF332" s="4">
        <v>1</v>
      </c>
      <c r="CG332" s="4">
        <v>0</v>
      </c>
      <c r="CH332" s="4">
        <v>6</v>
      </c>
      <c r="CI332" s="4">
        <v>2</v>
      </c>
      <c r="CJ332" s="4">
        <v>47</v>
      </c>
      <c r="CK332" s="4">
        <v>9</v>
      </c>
      <c r="CL332" s="4">
        <v>0</v>
      </c>
      <c r="CM332" s="4">
        <v>8</v>
      </c>
      <c r="CN332" s="4">
        <v>36</v>
      </c>
      <c r="CO332" s="4">
        <v>11</v>
      </c>
      <c r="CP332" s="4">
        <v>12</v>
      </c>
      <c r="CQ332" s="4">
        <v>0</v>
      </c>
      <c r="CR332" s="4">
        <v>0</v>
      </c>
      <c r="CS332" s="4">
        <v>2</v>
      </c>
      <c r="CT332" s="4">
        <v>24</v>
      </c>
      <c r="CU332" s="4">
        <v>2</v>
      </c>
      <c r="CV332" s="4">
        <v>43</v>
      </c>
      <c r="CW332" s="4">
        <v>2</v>
      </c>
      <c r="CX332" s="3">
        <v>2</v>
      </c>
    </row>
    <row r="333" spans="1:102" ht="15.75" x14ac:dyDescent="0.25">
      <c r="A333" s="4" t="s">
        <v>289</v>
      </c>
      <c r="B333" s="4" t="s">
        <v>290</v>
      </c>
      <c r="C333" s="4">
        <v>2019</v>
      </c>
      <c r="D333" s="4">
        <v>688</v>
      </c>
      <c r="E333" s="4">
        <v>0</v>
      </c>
      <c r="F333" s="4">
        <v>0</v>
      </c>
      <c r="G333" s="4">
        <v>1</v>
      </c>
      <c r="H333" s="4">
        <v>1</v>
      </c>
      <c r="I333" s="4">
        <v>3</v>
      </c>
      <c r="J333" s="4">
        <v>2</v>
      </c>
      <c r="K333" s="4">
        <v>0</v>
      </c>
      <c r="L333" s="4">
        <v>1</v>
      </c>
      <c r="M333" s="4">
        <v>3</v>
      </c>
      <c r="N333" s="4">
        <v>10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36</v>
      </c>
      <c r="U333" s="4">
        <v>0</v>
      </c>
      <c r="V333" s="4">
        <v>4</v>
      </c>
      <c r="W333" s="4">
        <v>113</v>
      </c>
      <c r="X333" s="4">
        <v>1</v>
      </c>
      <c r="Y333" s="4">
        <v>0</v>
      </c>
      <c r="Z333" s="4">
        <v>0</v>
      </c>
      <c r="AA333" s="4">
        <v>2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8</v>
      </c>
      <c r="AH333" s="4">
        <v>1</v>
      </c>
      <c r="AI333" s="4">
        <v>11</v>
      </c>
      <c r="AJ333" s="4">
        <v>40</v>
      </c>
      <c r="AK333" s="4">
        <v>36</v>
      </c>
      <c r="AL333" s="4">
        <v>0</v>
      </c>
      <c r="AM333" s="4">
        <v>10</v>
      </c>
      <c r="AN333" s="4">
        <v>13</v>
      </c>
      <c r="AO333" s="4">
        <v>14</v>
      </c>
      <c r="AP333" s="4">
        <v>1</v>
      </c>
      <c r="AQ333" s="4">
        <v>4</v>
      </c>
      <c r="AR333" s="4">
        <v>0</v>
      </c>
      <c r="AS333" s="4">
        <v>9</v>
      </c>
      <c r="AT333" s="4">
        <v>8</v>
      </c>
      <c r="AU333" s="4">
        <v>3</v>
      </c>
      <c r="AV333" s="4">
        <v>8</v>
      </c>
      <c r="AW333" s="4">
        <v>3</v>
      </c>
      <c r="AX333" s="4">
        <v>17</v>
      </c>
      <c r="AY333" s="4">
        <v>0</v>
      </c>
      <c r="AZ333" s="4">
        <v>5</v>
      </c>
      <c r="BA333" s="4">
        <v>0</v>
      </c>
      <c r="BB333" s="4">
        <v>48</v>
      </c>
      <c r="BC333" s="4">
        <v>4</v>
      </c>
      <c r="BD333" s="4">
        <v>0</v>
      </c>
      <c r="BE333" s="4">
        <v>16</v>
      </c>
      <c r="BF333" s="4">
        <v>20</v>
      </c>
      <c r="BG333" s="4">
        <v>2</v>
      </c>
      <c r="BH333" s="4">
        <v>1</v>
      </c>
      <c r="BI333" s="4">
        <v>0</v>
      </c>
      <c r="BJ333" s="4">
        <v>39</v>
      </c>
      <c r="BK333" s="4">
        <v>21</v>
      </c>
      <c r="BL333" s="4">
        <v>0</v>
      </c>
      <c r="BM333" s="4">
        <v>2</v>
      </c>
      <c r="BN333" s="4">
        <v>3</v>
      </c>
      <c r="BO333" s="4">
        <v>0</v>
      </c>
      <c r="BP333" s="4">
        <v>0</v>
      </c>
      <c r="BQ333" s="4">
        <v>7</v>
      </c>
      <c r="BR333" s="4">
        <v>1</v>
      </c>
      <c r="BS333" s="4">
        <v>16</v>
      </c>
      <c r="BT333" s="4">
        <v>10</v>
      </c>
      <c r="BU333" s="4">
        <v>0</v>
      </c>
      <c r="BV333" s="4">
        <v>2</v>
      </c>
      <c r="BW333" s="4">
        <v>10</v>
      </c>
      <c r="BX333" s="4">
        <v>25</v>
      </c>
      <c r="BY333" s="4">
        <v>0</v>
      </c>
      <c r="BZ333" s="4">
        <v>0</v>
      </c>
      <c r="CA333" s="4">
        <v>16</v>
      </c>
      <c r="CB333" s="4">
        <v>7</v>
      </c>
      <c r="CC333" s="4">
        <v>0</v>
      </c>
      <c r="CD333" s="4">
        <v>0</v>
      </c>
      <c r="CE333" s="4">
        <v>0</v>
      </c>
      <c r="CF333" s="4">
        <v>1</v>
      </c>
      <c r="CG333" s="4">
        <v>1</v>
      </c>
      <c r="CH333" s="4">
        <v>0</v>
      </c>
      <c r="CI333" s="4">
        <v>0</v>
      </c>
      <c r="CJ333" s="4">
        <v>4</v>
      </c>
      <c r="CK333" s="4">
        <v>0</v>
      </c>
      <c r="CL333" s="4">
        <v>0</v>
      </c>
      <c r="CM333" s="4">
        <v>7</v>
      </c>
      <c r="CN333" s="4">
        <v>30</v>
      </c>
      <c r="CO333" s="4">
        <v>0</v>
      </c>
      <c r="CP333" s="4">
        <v>0</v>
      </c>
      <c r="CQ333" s="4">
        <v>0</v>
      </c>
      <c r="CR333" s="4">
        <v>3</v>
      </c>
      <c r="CS333" s="4">
        <v>0</v>
      </c>
      <c r="CT333" s="4">
        <v>3</v>
      </c>
      <c r="CU333" s="4">
        <v>2</v>
      </c>
      <c r="CV333" s="4">
        <v>7</v>
      </c>
      <c r="CW333" s="4">
        <v>10</v>
      </c>
      <c r="CX333" s="3">
        <v>10</v>
      </c>
    </row>
    <row r="334" spans="1:102" ht="15.75" x14ac:dyDescent="0.25">
      <c r="A334" s="4" t="s">
        <v>291</v>
      </c>
      <c r="B334" s="4" t="s">
        <v>292</v>
      </c>
      <c r="C334" s="4">
        <v>2019</v>
      </c>
      <c r="D334" s="4">
        <v>21937</v>
      </c>
      <c r="E334" s="4">
        <v>220</v>
      </c>
      <c r="F334" s="4">
        <v>510</v>
      </c>
      <c r="G334" s="4">
        <v>558</v>
      </c>
      <c r="H334" s="4">
        <v>171</v>
      </c>
      <c r="I334" s="4">
        <v>666</v>
      </c>
      <c r="J334" s="4">
        <v>418</v>
      </c>
      <c r="K334" s="4">
        <v>117</v>
      </c>
      <c r="L334" s="4">
        <v>351</v>
      </c>
      <c r="M334" s="4">
        <v>235</v>
      </c>
      <c r="N334" s="4">
        <v>303</v>
      </c>
      <c r="O334" s="4">
        <v>451</v>
      </c>
      <c r="P334" s="4">
        <v>3</v>
      </c>
      <c r="Q334" s="4">
        <v>10</v>
      </c>
      <c r="R334" s="4">
        <v>1</v>
      </c>
      <c r="S334" s="4">
        <v>86</v>
      </c>
      <c r="T334" s="4">
        <v>1</v>
      </c>
      <c r="U334" s="4">
        <v>4</v>
      </c>
      <c r="V334" s="4">
        <v>65</v>
      </c>
      <c r="W334" s="4">
        <v>24</v>
      </c>
      <c r="X334" s="4">
        <v>70</v>
      </c>
      <c r="Y334" s="4">
        <v>43</v>
      </c>
      <c r="Z334" s="4">
        <v>156</v>
      </c>
      <c r="AA334" s="4">
        <v>1931</v>
      </c>
      <c r="AB334" s="4">
        <v>432</v>
      </c>
      <c r="AC334" s="4">
        <v>93</v>
      </c>
      <c r="AD334" s="4">
        <v>11</v>
      </c>
      <c r="AE334" s="4">
        <v>45</v>
      </c>
      <c r="AF334" s="4">
        <v>5</v>
      </c>
      <c r="AG334" s="4">
        <v>400</v>
      </c>
      <c r="AH334" s="4">
        <v>57</v>
      </c>
      <c r="AI334" s="4">
        <v>142</v>
      </c>
      <c r="AJ334" s="4">
        <v>1194</v>
      </c>
      <c r="AK334" s="4">
        <v>603</v>
      </c>
      <c r="AL334" s="4">
        <v>42</v>
      </c>
      <c r="AM334" s="4">
        <v>218</v>
      </c>
      <c r="AN334" s="4">
        <v>266</v>
      </c>
      <c r="AO334" s="4">
        <v>354</v>
      </c>
      <c r="AP334" s="4">
        <v>5</v>
      </c>
      <c r="AQ334" s="4">
        <v>138</v>
      </c>
      <c r="AR334" s="4">
        <v>147</v>
      </c>
      <c r="AS334" s="4">
        <v>540</v>
      </c>
      <c r="AT334" s="4">
        <v>232</v>
      </c>
      <c r="AU334" s="4">
        <v>364</v>
      </c>
      <c r="AV334" s="4">
        <v>422</v>
      </c>
      <c r="AW334" s="4">
        <v>242</v>
      </c>
      <c r="AX334" s="4">
        <v>641</v>
      </c>
      <c r="AY334" s="4">
        <v>7</v>
      </c>
      <c r="AZ334" s="4">
        <v>62</v>
      </c>
      <c r="BA334" s="4">
        <v>0</v>
      </c>
      <c r="BB334" s="4">
        <v>42</v>
      </c>
      <c r="BC334" s="4">
        <v>23</v>
      </c>
      <c r="BD334" s="4">
        <v>17</v>
      </c>
      <c r="BE334" s="4">
        <v>100</v>
      </c>
      <c r="BF334" s="4">
        <v>478</v>
      </c>
      <c r="BG334" s="4">
        <v>15</v>
      </c>
      <c r="BH334" s="4">
        <v>48</v>
      </c>
      <c r="BI334" s="4">
        <v>13</v>
      </c>
      <c r="BJ334" s="4">
        <v>240</v>
      </c>
      <c r="BK334" s="4">
        <v>371</v>
      </c>
      <c r="BL334" s="4">
        <v>3</v>
      </c>
      <c r="BM334" s="4">
        <v>80</v>
      </c>
      <c r="BN334" s="4">
        <v>905</v>
      </c>
      <c r="BO334" s="4">
        <v>144</v>
      </c>
      <c r="BP334" s="4">
        <v>21</v>
      </c>
      <c r="BQ334" s="4">
        <v>665</v>
      </c>
      <c r="BR334" s="4">
        <v>258</v>
      </c>
      <c r="BS334" s="4">
        <v>386</v>
      </c>
      <c r="BT334" s="4">
        <v>185</v>
      </c>
      <c r="BU334" s="4">
        <v>76</v>
      </c>
      <c r="BV334" s="4">
        <v>216</v>
      </c>
      <c r="BW334" s="4">
        <v>304</v>
      </c>
      <c r="BX334" s="4">
        <v>445</v>
      </c>
      <c r="BY334" s="4">
        <v>7</v>
      </c>
      <c r="BZ334" s="4">
        <v>0</v>
      </c>
      <c r="CA334" s="4">
        <v>111</v>
      </c>
      <c r="CB334" s="4">
        <v>3</v>
      </c>
      <c r="CC334" s="4">
        <v>9</v>
      </c>
      <c r="CD334" s="4">
        <v>130</v>
      </c>
      <c r="CE334" s="4">
        <v>43</v>
      </c>
      <c r="CF334" s="4">
        <v>231</v>
      </c>
      <c r="CG334" s="4">
        <v>28</v>
      </c>
      <c r="CH334" s="4">
        <v>91</v>
      </c>
      <c r="CI334" s="4">
        <v>69</v>
      </c>
      <c r="CJ334" s="4">
        <v>1020</v>
      </c>
      <c r="CK334" s="4">
        <v>243</v>
      </c>
      <c r="CL334" s="4">
        <v>1</v>
      </c>
      <c r="CM334" s="4">
        <v>49</v>
      </c>
      <c r="CN334" s="4">
        <v>263</v>
      </c>
      <c r="CO334" s="4">
        <v>62</v>
      </c>
      <c r="CP334" s="4">
        <v>38</v>
      </c>
      <c r="CQ334" s="4">
        <v>5</v>
      </c>
      <c r="CR334" s="4">
        <v>1</v>
      </c>
      <c r="CS334" s="4">
        <v>56</v>
      </c>
      <c r="CT334" s="4">
        <v>358</v>
      </c>
      <c r="CU334" s="4">
        <v>23</v>
      </c>
      <c r="CV334" s="4">
        <v>969</v>
      </c>
      <c r="CW334" s="4">
        <v>37</v>
      </c>
      <c r="CX334" s="3">
        <v>37</v>
      </c>
    </row>
    <row r="335" spans="1:102" ht="15.75" x14ac:dyDescent="0.25">
      <c r="A335" s="4" t="s">
        <v>293</v>
      </c>
      <c r="B335" s="4" t="s">
        <v>294</v>
      </c>
      <c r="C335" s="4">
        <v>2019</v>
      </c>
      <c r="D335" s="4">
        <v>1413</v>
      </c>
      <c r="E335" s="4">
        <v>3</v>
      </c>
      <c r="F335" s="4">
        <v>0</v>
      </c>
      <c r="G335" s="4">
        <v>2</v>
      </c>
      <c r="H335" s="4">
        <v>1</v>
      </c>
      <c r="I335" s="4">
        <v>13</v>
      </c>
      <c r="J335" s="4">
        <v>3</v>
      </c>
      <c r="K335" s="4">
        <v>9</v>
      </c>
      <c r="L335" s="4">
        <v>11</v>
      </c>
      <c r="M335" s="4">
        <v>1</v>
      </c>
      <c r="N335" s="4">
        <v>9</v>
      </c>
      <c r="O335" s="4">
        <v>64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3</v>
      </c>
      <c r="V335" s="4">
        <v>2</v>
      </c>
      <c r="W335" s="4">
        <v>0</v>
      </c>
      <c r="X335" s="4">
        <v>1</v>
      </c>
      <c r="Y335" s="4">
        <v>0</v>
      </c>
      <c r="Z335" s="4">
        <v>0</v>
      </c>
      <c r="AA335" s="4">
        <v>19</v>
      </c>
      <c r="AB335" s="4">
        <v>0</v>
      </c>
      <c r="AC335" s="4">
        <v>0</v>
      </c>
      <c r="AD335" s="4">
        <v>0</v>
      </c>
      <c r="AE335" s="4">
        <v>2</v>
      </c>
      <c r="AF335" s="4">
        <v>0</v>
      </c>
      <c r="AG335" s="4">
        <v>9</v>
      </c>
      <c r="AH335" s="4">
        <v>3</v>
      </c>
      <c r="AI335" s="4">
        <v>12</v>
      </c>
      <c r="AJ335" s="4">
        <v>186</v>
      </c>
      <c r="AK335" s="4">
        <v>16</v>
      </c>
      <c r="AL335" s="4">
        <v>0</v>
      </c>
      <c r="AM335" s="4">
        <v>14</v>
      </c>
      <c r="AN335" s="4">
        <v>18</v>
      </c>
      <c r="AO335" s="4">
        <v>40</v>
      </c>
      <c r="AP335" s="4">
        <v>0</v>
      </c>
      <c r="AQ335" s="4">
        <v>4</v>
      </c>
      <c r="AR335" s="4">
        <v>0</v>
      </c>
      <c r="AS335" s="4">
        <v>9</v>
      </c>
      <c r="AT335" s="4">
        <v>10</v>
      </c>
      <c r="AU335" s="4">
        <v>36</v>
      </c>
      <c r="AV335" s="4">
        <v>13</v>
      </c>
      <c r="AW335" s="4">
        <v>9</v>
      </c>
      <c r="AX335" s="4">
        <v>32</v>
      </c>
      <c r="AY335" s="4">
        <v>1</v>
      </c>
      <c r="AZ335" s="4">
        <v>9</v>
      </c>
      <c r="BA335" s="4">
        <v>0</v>
      </c>
      <c r="BB335" s="4">
        <v>125</v>
      </c>
      <c r="BC335" s="4">
        <v>1</v>
      </c>
      <c r="BD335" s="4">
        <v>0</v>
      </c>
      <c r="BE335" s="4">
        <v>11</v>
      </c>
      <c r="BF335" s="4">
        <v>45</v>
      </c>
      <c r="BG335" s="4">
        <v>1</v>
      </c>
      <c r="BH335" s="4">
        <v>2</v>
      </c>
      <c r="BI335" s="4">
        <v>0</v>
      </c>
      <c r="BJ335" s="4">
        <v>25</v>
      </c>
      <c r="BK335" s="4">
        <v>40</v>
      </c>
      <c r="BL335" s="4">
        <v>0</v>
      </c>
      <c r="BM335" s="4">
        <v>7</v>
      </c>
      <c r="BN335" s="4">
        <v>24</v>
      </c>
      <c r="BO335" s="4">
        <v>0</v>
      </c>
      <c r="BP335" s="4">
        <v>6</v>
      </c>
      <c r="BQ335" s="4">
        <v>29</v>
      </c>
      <c r="BR335" s="4">
        <v>5</v>
      </c>
      <c r="BS335" s="4">
        <v>36</v>
      </c>
      <c r="BT335" s="4">
        <v>24</v>
      </c>
      <c r="BU335" s="4">
        <v>1</v>
      </c>
      <c r="BV335" s="4">
        <v>8</v>
      </c>
      <c r="BW335" s="4">
        <v>36</v>
      </c>
      <c r="BX335" s="4">
        <v>219</v>
      </c>
      <c r="BY335" s="4">
        <v>1</v>
      </c>
      <c r="BZ335" s="4">
        <v>0</v>
      </c>
      <c r="CA335" s="4">
        <v>28</v>
      </c>
      <c r="CB335" s="4">
        <v>0</v>
      </c>
      <c r="CC335" s="4">
        <v>0</v>
      </c>
      <c r="CD335" s="4">
        <v>3</v>
      </c>
      <c r="CE335" s="4">
        <v>0</v>
      </c>
      <c r="CF335" s="4">
        <v>3</v>
      </c>
      <c r="CG335" s="4">
        <v>1</v>
      </c>
      <c r="CH335" s="4">
        <v>3</v>
      </c>
      <c r="CI335" s="4">
        <v>1</v>
      </c>
      <c r="CJ335" s="4">
        <v>9</v>
      </c>
      <c r="CK335" s="4">
        <v>2</v>
      </c>
      <c r="CL335" s="4">
        <v>0</v>
      </c>
      <c r="CM335" s="4">
        <v>13</v>
      </c>
      <c r="CN335" s="4">
        <v>54</v>
      </c>
      <c r="CO335" s="4">
        <v>15</v>
      </c>
      <c r="CP335" s="4">
        <v>4</v>
      </c>
      <c r="CQ335" s="4">
        <v>0</v>
      </c>
      <c r="CR335" s="4">
        <v>3</v>
      </c>
      <c r="CS335" s="4">
        <v>17</v>
      </c>
      <c r="CT335" s="4">
        <v>6</v>
      </c>
      <c r="CU335" s="4">
        <v>6</v>
      </c>
      <c r="CV335" s="4">
        <v>29</v>
      </c>
      <c r="CW335" s="4">
        <v>6</v>
      </c>
      <c r="CX335" s="3">
        <v>6</v>
      </c>
    </row>
    <row r="336" spans="1:102" ht="15.75" x14ac:dyDescent="0.25">
      <c r="A336" s="4" t="s">
        <v>295</v>
      </c>
      <c r="B336" s="4" t="s">
        <v>296</v>
      </c>
      <c r="C336" s="4">
        <v>2019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3">
        <v>0</v>
      </c>
    </row>
    <row r="337" spans="1:102" ht="15.75" x14ac:dyDescent="0.25">
      <c r="A337" s="4" t="s">
        <v>297</v>
      </c>
      <c r="B337" s="4" t="s">
        <v>298</v>
      </c>
      <c r="C337" s="4">
        <v>2019</v>
      </c>
      <c r="D337" s="4">
        <v>4636</v>
      </c>
      <c r="E337" s="4">
        <v>1</v>
      </c>
      <c r="F337" s="4">
        <v>0</v>
      </c>
      <c r="G337" s="4">
        <v>2</v>
      </c>
      <c r="H337" s="4">
        <v>1</v>
      </c>
      <c r="I337" s="4">
        <v>3</v>
      </c>
      <c r="J337" s="4">
        <v>2</v>
      </c>
      <c r="K337" s="4">
        <v>1</v>
      </c>
      <c r="L337" s="4">
        <v>3</v>
      </c>
      <c r="M337" s="4">
        <v>3</v>
      </c>
      <c r="N337" s="4">
        <v>6</v>
      </c>
      <c r="O337" s="4">
        <v>179</v>
      </c>
      <c r="P337" s="4">
        <v>0</v>
      </c>
      <c r="Q337" s="4">
        <v>0</v>
      </c>
      <c r="R337" s="4">
        <v>25</v>
      </c>
      <c r="S337" s="4">
        <v>9</v>
      </c>
      <c r="T337" s="4">
        <v>109</v>
      </c>
      <c r="U337" s="4">
        <v>7</v>
      </c>
      <c r="V337" s="4">
        <v>17</v>
      </c>
      <c r="W337" s="4">
        <v>491</v>
      </c>
      <c r="X337" s="4">
        <v>2</v>
      </c>
      <c r="Y337" s="4">
        <v>12</v>
      </c>
      <c r="Z337" s="4">
        <v>0</v>
      </c>
      <c r="AA337" s="4">
        <v>256</v>
      </c>
      <c r="AB337" s="4">
        <v>0</v>
      </c>
      <c r="AC337" s="4">
        <v>0</v>
      </c>
      <c r="AD337" s="4">
        <v>2</v>
      </c>
      <c r="AE337" s="4">
        <v>0</v>
      </c>
      <c r="AF337" s="4">
        <v>0</v>
      </c>
      <c r="AG337" s="4">
        <v>52</v>
      </c>
      <c r="AH337" s="4">
        <v>121</v>
      </c>
      <c r="AI337" s="4">
        <v>29</v>
      </c>
      <c r="AJ337" s="4">
        <v>111</v>
      </c>
      <c r="AK337" s="4">
        <v>33</v>
      </c>
      <c r="AL337" s="4">
        <v>6</v>
      </c>
      <c r="AM337" s="4">
        <v>35</v>
      </c>
      <c r="AN337" s="4">
        <v>26</v>
      </c>
      <c r="AO337" s="4">
        <v>72</v>
      </c>
      <c r="AP337" s="4">
        <v>6</v>
      </c>
      <c r="AQ337" s="4">
        <v>34</v>
      </c>
      <c r="AR337" s="4">
        <v>2</v>
      </c>
      <c r="AS337" s="4">
        <v>14</v>
      </c>
      <c r="AT337" s="4">
        <v>20</v>
      </c>
      <c r="AU337" s="4">
        <v>30</v>
      </c>
      <c r="AV337" s="4">
        <v>47</v>
      </c>
      <c r="AW337" s="4">
        <v>829</v>
      </c>
      <c r="AX337" s="4">
        <v>103</v>
      </c>
      <c r="AY337" s="4">
        <v>8</v>
      </c>
      <c r="AZ337" s="4">
        <v>23</v>
      </c>
      <c r="BA337" s="4">
        <v>0</v>
      </c>
      <c r="BB337" s="4">
        <v>409</v>
      </c>
      <c r="BC337" s="4">
        <v>13</v>
      </c>
      <c r="BD337" s="4">
        <v>0</v>
      </c>
      <c r="BE337" s="4">
        <v>42</v>
      </c>
      <c r="BF337" s="4">
        <v>80</v>
      </c>
      <c r="BG337" s="4">
        <v>8</v>
      </c>
      <c r="BH337" s="4">
        <v>17</v>
      </c>
      <c r="BI337" s="4">
        <v>1</v>
      </c>
      <c r="BJ337" s="4">
        <v>154</v>
      </c>
      <c r="BK337" s="4">
        <v>193</v>
      </c>
      <c r="BL337" s="4">
        <v>0</v>
      </c>
      <c r="BM337" s="4">
        <v>11</v>
      </c>
      <c r="BN337" s="4">
        <v>38</v>
      </c>
      <c r="BO337" s="4">
        <v>0</v>
      </c>
      <c r="BP337" s="4">
        <v>12</v>
      </c>
      <c r="BQ337" s="4">
        <v>47</v>
      </c>
      <c r="BR337" s="4">
        <v>2</v>
      </c>
      <c r="BS337" s="4">
        <v>184</v>
      </c>
      <c r="BT337" s="4">
        <v>78</v>
      </c>
      <c r="BU337" s="4">
        <v>0</v>
      </c>
      <c r="BV337" s="4">
        <v>48</v>
      </c>
      <c r="BW337" s="4">
        <v>2</v>
      </c>
      <c r="BX337" s="4">
        <v>33</v>
      </c>
      <c r="BY337" s="4">
        <v>5</v>
      </c>
      <c r="BZ337" s="4">
        <v>0</v>
      </c>
      <c r="CA337" s="4">
        <v>110</v>
      </c>
      <c r="CB337" s="4">
        <v>8</v>
      </c>
      <c r="CC337" s="4">
        <v>0</v>
      </c>
      <c r="CD337" s="4">
        <v>5</v>
      </c>
      <c r="CE337" s="4">
        <v>0</v>
      </c>
      <c r="CF337" s="4">
        <v>5</v>
      </c>
      <c r="CG337" s="4">
        <v>11</v>
      </c>
      <c r="CH337" s="4">
        <v>3</v>
      </c>
      <c r="CI337" s="4">
        <v>1</v>
      </c>
      <c r="CJ337" s="4">
        <v>10</v>
      </c>
      <c r="CK337" s="4">
        <v>1</v>
      </c>
      <c r="CL337" s="4">
        <v>0</v>
      </c>
      <c r="CM337" s="4">
        <v>37</v>
      </c>
      <c r="CN337" s="4">
        <v>190</v>
      </c>
      <c r="CO337" s="4">
        <v>6</v>
      </c>
      <c r="CP337" s="4">
        <v>4</v>
      </c>
      <c r="CQ337" s="4">
        <v>1</v>
      </c>
      <c r="CR337" s="4">
        <v>10</v>
      </c>
      <c r="CS337" s="4">
        <v>13</v>
      </c>
      <c r="CT337" s="4">
        <v>14</v>
      </c>
      <c r="CU337" s="4">
        <v>2</v>
      </c>
      <c r="CV337" s="4">
        <v>76</v>
      </c>
      <c r="CW337" s="4">
        <v>19</v>
      </c>
      <c r="CX337" s="3">
        <v>19</v>
      </c>
    </row>
    <row r="338" spans="1:102" ht="15.75" x14ac:dyDescent="0.25">
      <c r="A338" s="4" t="s">
        <v>299</v>
      </c>
      <c r="B338" s="4" t="s">
        <v>300</v>
      </c>
      <c r="C338" s="4">
        <v>2019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3">
        <v>0</v>
      </c>
    </row>
    <row r="339" spans="1:102" ht="15.75" x14ac:dyDescent="0.25">
      <c r="A339" s="4" t="s">
        <v>301</v>
      </c>
      <c r="B339" s="4" t="s">
        <v>302</v>
      </c>
      <c r="C339" s="4">
        <v>2019</v>
      </c>
      <c r="D339" s="4">
        <v>413</v>
      </c>
      <c r="E339" s="4">
        <v>0</v>
      </c>
      <c r="F339" s="4">
        <v>0</v>
      </c>
      <c r="G339" s="4">
        <v>2</v>
      </c>
      <c r="H339" s="4">
        <v>0</v>
      </c>
      <c r="I339" s="4">
        <v>2</v>
      </c>
      <c r="J339" s="4">
        <v>1</v>
      </c>
      <c r="K339" s="4">
        <v>1</v>
      </c>
      <c r="L339" s="4">
        <v>2</v>
      </c>
      <c r="M339" s="4">
        <v>0</v>
      </c>
      <c r="N339" s="4">
        <v>9</v>
      </c>
      <c r="O339" s="4">
        <v>25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11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2</v>
      </c>
      <c r="AH339" s="4">
        <v>0</v>
      </c>
      <c r="AI339" s="4">
        <v>4</v>
      </c>
      <c r="AJ339" s="4">
        <v>100</v>
      </c>
      <c r="AK339" s="4">
        <v>9</v>
      </c>
      <c r="AL339" s="4">
        <v>0</v>
      </c>
      <c r="AM339" s="4">
        <v>13</v>
      </c>
      <c r="AN339" s="4">
        <v>1</v>
      </c>
      <c r="AO339" s="4">
        <v>7</v>
      </c>
      <c r="AP339" s="4">
        <v>0</v>
      </c>
      <c r="AQ339" s="4">
        <v>1</v>
      </c>
      <c r="AR339" s="4">
        <v>0</v>
      </c>
      <c r="AS339" s="4">
        <v>0</v>
      </c>
      <c r="AT339" s="4">
        <v>1</v>
      </c>
      <c r="AU339" s="4">
        <v>0</v>
      </c>
      <c r="AV339" s="4">
        <v>2</v>
      </c>
      <c r="AW339" s="4">
        <v>1</v>
      </c>
      <c r="AX339" s="4">
        <v>9</v>
      </c>
      <c r="AY339" s="4">
        <v>4</v>
      </c>
      <c r="AZ339" s="4">
        <v>17</v>
      </c>
      <c r="BA339" s="4">
        <v>0</v>
      </c>
      <c r="BB339" s="4">
        <v>11</v>
      </c>
      <c r="BC339" s="4">
        <v>3</v>
      </c>
      <c r="BD339" s="4">
        <v>0</v>
      </c>
      <c r="BE339" s="4">
        <v>3</v>
      </c>
      <c r="BF339" s="4">
        <v>15</v>
      </c>
      <c r="BG339" s="4">
        <v>2</v>
      </c>
      <c r="BH339" s="4">
        <v>1</v>
      </c>
      <c r="BI339" s="4">
        <v>0</v>
      </c>
      <c r="BJ339" s="4">
        <v>18</v>
      </c>
      <c r="BK339" s="4">
        <v>24</v>
      </c>
      <c r="BL339" s="4">
        <v>0</v>
      </c>
      <c r="BM339" s="4">
        <v>0</v>
      </c>
      <c r="BN339" s="4">
        <v>1</v>
      </c>
      <c r="BO339" s="4">
        <v>0</v>
      </c>
      <c r="BP339" s="4">
        <v>0</v>
      </c>
      <c r="BQ339" s="4">
        <v>3</v>
      </c>
      <c r="BR339" s="4">
        <v>0</v>
      </c>
      <c r="BS339" s="4">
        <v>16</v>
      </c>
      <c r="BT339" s="4">
        <v>8</v>
      </c>
      <c r="BU339" s="4">
        <v>0</v>
      </c>
      <c r="BV339" s="4">
        <v>6</v>
      </c>
      <c r="BW339" s="4">
        <v>1</v>
      </c>
      <c r="BX339" s="4">
        <v>46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1</v>
      </c>
      <c r="CE339" s="4">
        <v>0</v>
      </c>
      <c r="CF339" s="4">
        <v>1</v>
      </c>
      <c r="CG339" s="4">
        <v>0</v>
      </c>
      <c r="CH339" s="4">
        <v>0</v>
      </c>
      <c r="CI339" s="4">
        <v>0</v>
      </c>
      <c r="CJ339" s="4">
        <v>1</v>
      </c>
      <c r="CK339" s="4">
        <v>0</v>
      </c>
      <c r="CL339" s="4">
        <v>0</v>
      </c>
      <c r="CM339" s="4">
        <v>2</v>
      </c>
      <c r="CN339" s="4">
        <v>13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1</v>
      </c>
      <c r="CU339" s="4">
        <v>0</v>
      </c>
      <c r="CV339" s="4">
        <v>6</v>
      </c>
      <c r="CW339" s="4">
        <v>2</v>
      </c>
      <c r="CX339" s="3">
        <v>2</v>
      </c>
    </row>
    <row r="340" spans="1:102" ht="15.75" x14ac:dyDescent="0.25">
      <c r="A340" s="4" t="s">
        <v>303</v>
      </c>
      <c r="B340" s="4" t="s">
        <v>304</v>
      </c>
      <c r="C340" s="4">
        <v>2019</v>
      </c>
      <c r="D340" s="4">
        <v>83</v>
      </c>
      <c r="E340" s="4">
        <v>6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1</v>
      </c>
      <c r="N340" s="4">
        <v>2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2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2</v>
      </c>
      <c r="AH340" s="4">
        <v>0</v>
      </c>
      <c r="AI340" s="4">
        <v>3</v>
      </c>
      <c r="AJ340" s="4">
        <v>25</v>
      </c>
      <c r="AK340" s="4">
        <v>1</v>
      </c>
      <c r="AL340" s="4">
        <v>1</v>
      </c>
      <c r="AM340" s="4">
        <v>2</v>
      </c>
      <c r="AN340" s="4">
        <v>1</v>
      </c>
      <c r="AO340" s="4">
        <v>8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1</v>
      </c>
      <c r="AV340" s="4">
        <v>0</v>
      </c>
      <c r="AW340" s="4">
        <v>0</v>
      </c>
      <c r="AX340" s="4">
        <v>1</v>
      </c>
      <c r="AY340" s="4">
        <v>0</v>
      </c>
      <c r="AZ340" s="4">
        <v>1</v>
      </c>
      <c r="BA340" s="4">
        <v>0</v>
      </c>
      <c r="BB340" s="4">
        <v>1</v>
      </c>
      <c r="BC340" s="4">
        <v>1</v>
      </c>
      <c r="BD340" s="4">
        <v>0</v>
      </c>
      <c r="BE340" s="4">
        <v>1</v>
      </c>
      <c r="BF340" s="4">
        <v>1</v>
      </c>
      <c r="BG340" s="4">
        <v>0</v>
      </c>
      <c r="BH340" s="4">
        <v>0</v>
      </c>
      <c r="BI340" s="4">
        <v>0</v>
      </c>
      <c r="BJ340" s="4">
        <v>4</v>
      </c>
      <c r="BK340" s="4">
        <v>1</v>
      </c>
      <c r="BL340" s="4">
        <v>0</v>
      </c>
      <c r="BM340" s="4">
        <v>0</v>
      </c>
      <c r="BN340" s="4">
        <v>1</v>
      </c>
      <c r="BO340" s="4">
        <v>0</v>
      </c>
      <c r="BP340" s="4">
        <v>0</v>
      </c>
      <c r="BQ340" s="4">
        <v>0</v>
      </c>
      <c r="BR340" s="4">
        <v>0</v>
      </c>
      <c r="BS340" s="4">
        <v>1</v>
      </c>
      <c r="BT340" s="4">
        <v>2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4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10</v>
      </c>
      <c r="CW340" s="4">
        <v>0</v>
      </c>
      <c r="CX340" s="3">
        <v>0</v>
      </c>
    </row>
    <row r="341" spans="1:102" ht="15.75" x14ac:dyDescent="0.25">
      <c r="A341" s="4" t="s">
        <v>305</v>
      </c>
      <c r="B341" s="4" t="s">
        <v>306</v>
      </c>
      <c r="C341" s="4">
        <v>2019</v>
      </c>
      <c r="D341" s="4">
        <v>315</v>
      </c>
      <c r="E341" s="4">
        <v>0</v>
      </c>
      <c r="F341" s="4">
        <v>2</v>
      </c>
      <c r="G341" s="4">
        <v>2</v>
      </c>
      <c r="H341" s="4">
        <v>7</v>
      </c>
      <c r="I341" s="4">
        <v>13</v>
      </c>
      <c r="J341" s="4">
        <v>8</v>
      </c>
      <c r="K341" s="4">
        <v>2</v>
      </c>
      <c r="L341" s="4">
        <v>5</v>
      </c>
      <c r="M341" s="4">
        <v>3</v>
      </c>
      <c r="N341" s="4">
        <v>7</v>
      </c>
      <c r="O341" s="4">
        <v>10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1</v>
      </c>
      <c r="W341" s="4">
        <v>0</v>
      </c>
      <c r="X341" s="4">
        <v>0</v>
      </c>
      <c r="Y341" s="4">
        <v>0</v>
      </c>
      <c r="Z341" s="4">
        <v>0</v>
      </c>
      <c r="AA341" s="4">
        <v>1</v>
      </c>
      <c r="AB341" s="4">
        <v>0</v>
      </c>
      <c r="AC341" s="4">
        <v>0</v>
      </c>
      <c r="AD341" s="4">
        <v>0</v>
      </c>
      <c r="AE341" s="4">
        <v>1</v>
      </c>
      <c r="AF341" s="4">
        <v>0</v>
      </c>
      <c r="AG341" s="4">
        <v>3</v>
      </c>
      <c r="AH341" s="4">
        <v>0</v>
      </c>
      <c r="AI341" s="4">
        <v>1</v>
      </c>
      <c r="AJ341" s="4">
        <v>2</v>
      </c>
      <c r="AK341" s="4">
        <v>8</v>
      </c>
      <c r="AL341" s="4">
        <v>3</v>
      </c>
      <c r="AM341" s="4">
        <v>1</v>
      </c>
      <c r="AN341" s="4">
        <v>3</v>
      </c>
      <c r="AO341" s="4">
        <v>6</v>
      </c>
      <c r="AP341" s="4">
        <v>0</v>
      </c>
      <c r="AQ341" s="4">
        <v>1</v>
      </c>
      <c r="AR341" s="4">
        <v>0</v>
      </c>
      <c r="AS341" s="4">
        <v>6</v>
      </c>
      <c r="AT341" s="4">
        <v>3</v>
      </c>
      <c r="AU341" s="4">
        <v>4</v>
      </c>
      <c r="AV341" s="4">
        <v>1</v>
      </c>
      <c r="AW341" s="4">
        <v>1</v>
      </c>
      <c r="AX341" s="4">
        <v>11</v>
      </c>
      <c r="AY341" s="4">
        <v>0</v>
      </c>
      <c r="AZ341" s="4">
        <v>1</v>
      </c>
      <c r="BA341" s="4">
        <v>0</v>
      </c>
      <c r="BB341" s="4">
        <v>2</v>
      </c>
      <c r="BC341" s="4">
        <v>0</v>
      </c>
      <c r="BD341" s="4">
        <v>0</v>
      </c>
      <c r="BE341" s="4">
        <v>2</v>
      </c>
      <c r="BF341" s="4">
        <v>6</v>
      </c>
      <c r="BG341" s="4">
        <v>0</v>
      </c>
      <c r="BH341" s="4">
        <v>0</v>
      </c>
      <c r="BI341" s="4">
        <v>0</v>
      </c>
      <c r="BJ341" s="4">
        <v>3</v>
      </c>
      <c r="BK341" s="4">
        <v>4</v>
      </c>
      <c r="BL341" s="4">
        <v>0</v>
      </c>
      <c r="BM341" s="4">
        <v>1</v>
      </c>
      <c r="BN341" s="4">
        <v>63</v>
      </c>
      <c r="BO341" s="4">
        <v>0</v>
      </c>
      <c r="BP341" s="4">
        <v>3</v>
      </c>
      <c r="BQ341" s="4">
        <v>10</v>
      </c>
      <c r="BR341" s="4">
        <v>1</v>
      </c>
      <c r="BS341" s="4">
        <v>6</v>
      </c>
      <c r="BT341" s="4">
        <v>3</v>
      </c>
      <c r="BU341" s="4">
        <v>0</v>
      </c>
      <c r="BV341" s="4">
        <v>4</v>
      </c>
      <c r="BW341" s="4">
        <v>3</v>
      </c>
      <c r="BX341" s="4">
        <v>23</v>
      </c>
      <c r="BY341" s="4">
        <v>0</v>
      </c>
      <c r="BZ341" s="4">
        <v>0</v>
      </c>
      <c r="CA341" s="4">
        <v>6</v>
      </c>
      <c r="CB341" s="4">
        <v>0</v>
      </c>
      <c r="CC341" s="4">
        <v>0</v>
      </c>
      <c r="CD341" s="4">
        <v>2</v>
      </c>
      <c r="CE341" s="4">
        <v>1</v>
      </c>
      <c r="CF341" s="4">
        <v>3</v>
      </c>
      <c r="CG341" s="4">
        <v>0</v>
      </c>
      <c r="CH341" s="4">
        <v>1</v>
      </c>
      <c r="CI341" s="4">
        <v>1</v>
      </c>
      <c r="CJ341" s="4">
        <v>11</v>
      </c>
      <c r="CK341" s="4">
        <v>2</v>
      </c>
      <c r="CL341" s="4">
        <v>0</v>
      </c>
      <c r="CM341" s="4">
        <v>1</v>
      </c>
      <c r="CN341" s="4">
        <v>9</v>
      </c>
      <c r="CO341" s="4">
        <v>1</v>
      </c>
      <c r="CP341" s="4">
        <v>1</v>
      </c>
      <c r="CQ341" s="4">
        <v>0</v>
      </c>
      <c r="CR341" s="4">
        <v>0</v>
      </c>
      <c r="CS341" s="4">
        <v>0</v>
      </c>
      <c r="CT341" s="4">
        <v>5</v>
      </c>
      <c r="CU341" s="4">
        <v>0</v>
      </c>
      <c r="CV341" s="4">
        <v>13</v>
      </c>
      <c r="CW341" s="4">
        <v>4</v>
      </c>
      <c r="CX341" s="3">
        <v>4</v>
      </c>
    </row>
    <row r="342" spans="1:102" ht="15.75" x14ac:dyDescent="0.25">
      <c r="A342" s="4" t="s">
        <v>307</v>
      </c>
      <c r="B342" s="4" t="s">
        <v>308</v>
      </c>
      <c r="C342" s="4">
        <v>2019</v>
      </c>
      <c r="D342" s="4">
        <v>10456</v>
      </c>
      <c r="E342" s="4">
        <v>6</v>
      </c>
      <c r="F342" s="4">
        <v>73</v>
      </c>
      <c r="G342" s="4">
        <v>44</v>
      </c>
      <c r="H342" s="4">
        <v>104</v>
      </c>
      <c r="I342" s="4">
        <v>56</v>
      </c>
      <c r="J342" s="4">
        <v>30</v>
      </c>
      <c r="K342" s="4">
        <v>25</v>
      </c>
      <c r="L342" s="4">
        <v>22</v>
      </c>
      <c r="M342" s="4">
        <v>27</v>
      </c>
      <c r="N342" s="4">
        <v>41</v>
      </c>
      <c r="O342" s="4">
        <v>194</v>
      </c>
      <c r="P342" s="4">
        <v>39</v>
      </c>
      <c r="Q342" s="4">
        <v>1</v>
      </c>
      <c r="R342" s="4">
        <v>8</v>
      </c>
      <c r="S342" s="4">
        <v>1</v>
      </c>
      <c r="T342" s="4">
        <v>1</v>
      </c>
      <c r="U342" s="4">
        <v>42</v>
      </c>
      <c r="V342" s="4">
        <v>20</v>
      </c>
      <c r="W342" s="4">
        <v>141</v>
      </c>
      <c r="X342" s="4">
        <v>15</v>
      </c>
      <c r="Y342" s="4">
        <v>0</v>
      </c>
      <c r="Z342" s="4">
        <v>235</v>
      </c>
      <c r="AA342" s="4">
        <v>84</v>
      </c>
      <c r="AB342" s="4">
        <v>37</v>
      </c>
      <c r="AC342" s="4">
        <v>0</v>
      </c>
      <c r="AD342" s="4">
        <v>2</v>
      </c>
      <c r="AE342" s="4">
        <v>3</v>
      </c>
      <c r="AF342" s="4">
        <v>3</v>
      </c>
      <c r="AG342" s="4">
        <v>128</v>
      </c>
      <c r="AH342" s="4">
        <v>37</v>
      </c>
      <c r="AI342" s="4">
        <v>143</v>
      </c>
      <c r="AJ342" s="4">
        <v>439</v>
      </c>
      <c r="AK342" s="4">
        <v>146</v>
      </c>
      <c r="AL342" s="4">
        <v>3</v>
      </c>
      <c r="AM342" s="4">
        <v>189</v>
      </c>
      <c r="AN342" s="4">
        <v>140</v>
      </c>
      <c r="AO342" s="4">
        <v>187</v>
      </c>
      <c r="AP342" s="4">
        <v>23</v>
      </c>
      <c r="AQ342" s="4">
        <v>68</v>
      </c>
      <c r="AR342" s="4">
        <v>7</v>
      </c>
      <c r="AS342" s="4">
        <v>78</v>
      </c>
      <c r="AT342" s="4">
        <v>175</v>
      </c>
      <c r="AU342" s="4">
        <v>136</v>
      </c>
      <c r="AV342" s="4">
        <v>244</v>
      </c>
      <c r="AW342" s="4">
        <v>279</v>
      </c>
      <c r="AX342" s="4">
        <v>216</v>
      </c>
      <c r="AY342" s="4">
        <v>6</v>
      </c>
      <c r="AZ342" s="4">
        <v>58</v>
      </c>
      <c r="BA342" s="4">
        <v>0</v>
      </c>
      <c r="BB342" s="4">
        <v>167</v>
      </c>
      <c r="BC342" s="4">
        <v>82</v>
      </c>
      <c r="BD342" s="4">
        <v>2</v>
      </c>
      <c r="BE342" s="4">
        <v>55</v>
      </c>
      <c r="BF342" s="4">
        <v>201</v>
      </c>
      <c r="BG342" s="4">
        <v>13</v>
      </c>
      <c r="BH342" s="4">
        <v>18</v>
      </c>
      <c r="BI342" s="4">
        <v>2</v>
      </c>
      <c r="BJ342" s="4">
        <v>257</v>
      </c>
      <c r="BK342" s="4">
        <v>280</v>
      </c>
      <c r="BL342" s="4">
        <v>3</v>
      </c>
      <c r="BM342" s="4">
        <v>57</v>
      </c>
      <c r="BN342" s="4">
        <v>150</v>
      </c>
      <c r="BO342" s="4">
        <v>2</v>
      </c>
      <c r="BP342" s="4">
        <v>36</v>
      </c>
      <c r="BQ342" s="4">
        <v>230</v>
      </c>
      <c r="BR342" s="4">
        <v>31</v>
      </c>
      <c r="BS342" s="4">
        <v>333</v>
      </c>
      <c r="BT342" s="4">
        <v>149</v>
      </c>
      <c r="BU342" s="4">
        <v>35</v>
      </c>
      <c r="BV342" s="4">
        <v>246</v>
      </c>
      <c r="BW342" s="4">
        <v>40</v>
      </c>
      <c r="BX342" s="4">
        <v>1644</v>
      </c>
      <c r="BY342" s="4">
        <v>13</v>
      </c>
      <c r="BZ342" s="4">
        <v>0</v>
      </c>
      <c r="CA342" s="4">
        <v>430</v>
      </c>
      <c r="CB342" s="4">
        <v>151</v>
      </c>
      <c r="CC342" s="4">
        <v>1</v>
      </c>
      <c r="CD342" s="4">
        <v>24</v>
      </c>
      <c r="CE342" s="4">
        <v>12</v>
      </c>
      <c r="CF342" s="4">
        <v>15</v>
      </c>
      <c r="CG342" s="4">
        <v>12</v>
      </c>
      <c r="CH342" s="4">
        <v>17</v>
      </c>
      <c r="CI342" s="4">
        <v>69</v>
      </c>
      <c r="CJ342" s="4">
        <v>450</v>
      </c>
      <c r="CK342" s="4">
        <v>151</v>
      </c>
      <c r="CL342" s="4">
        <v>1</v>
      </c>
      <c r="CM342" s="4">
        <v>50</v>
      </c>
      <c r="CN342" s="4">
        <v>282</v>
      </c>
      <c r="CO342" s="4">
        <v>76</v>
      </c>
      <c r="CP342" s="4">
        <v>25</v>
      </c>
      <c r="CQ342" s="4">
        <v>1</v>
      </c>
      <c r="CR342" s="4">
        <v>34</v>
      </c>
      <c r="CS342" s="4">
        <v>88</v>
      </c>
      <c r="CT342" s="4">
        <v>139</v>
      </c>
      <c r="CU342" s="4">
        <v>14</v>
      </c>
      <c r="CV342" s="4">
        <v>356</v>
      </c>
      <c r="CW342" s="4">
        <v>56</v>
      </c>
      <c r="CX342" s="3">
        <v>56</v>
      </c>
    </row>
    <row r="343" spans="1:102" ht="15.75" x14ac:dyDescent="0.25">
      <c r="A343" s="4" t="s">
        <v>309</v>
      </c>
      <c r="B343" s="4" t="s">
        <v>310</v>
      </c>
      <c r="C343" s="4">
        <v>2019</v>
      </c>
      <c r="D343" s="4">
        <v>166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32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79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2</v>
      </c>
      <c r="AK343" s="4">
        <v>1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2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1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1</v>
      </c>
      <c r="BO343" s="4">
        <v>0</v>
      </c>
      <c r="BP343" s="4">
        <v>0</v>
      </c>
      <c r="BQ343" s="4">
        <v>4</v>
      </c>
      <c r="BR343" s="4">
        <v>0</v>
      </c>
      <c r="BS343" s="4">
        <v>1</v>
      </c>
      <c r="BT343" s="4">
        <v>0</v>
      </c>
      <c r="BU343" s="4">
        <v>0</v>
      </c>
      <c r="BV343" s="4">
        <v>0</v>
      </c>
      <c r="BW343" s="4">
        <v>0</v>
      </c>
      <c r="BX343" s="4">
        <v>1</v>
      </c>
      <c r="BY343" s="4">
        <v>0</v>
      </c>
      <c r="BZ343" s="4">
        <v>0</v>
      </c>
      <c r="CA343" s="4">
        <v>0</v>
      </c>
      <c r="CB343" s="4">
        <v>11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1</v>
      </c>
      <c r="CK343" s="4">
        <v>1</v>
      </c>
      <c r="CL343" s="4">
        <v>0</v>
      </c>
      <c r="CM343" s="4">
        <v>0</v>
      </c>
      <c r="CN343" s="4">
        <v>1</v>
      </c>
      <c r="CO343" s="4">
        <v>1</v>
      </c>
      <c r="CP343" s="4">
        <v>0</v>
      </c>
      <c r="CQ343" s="4">
        <v>0</v>
      </c>
      <c r="CR343" s="4">
        <v>11</v>
      </c>
      <c r="CS343" s="4">
        <v>12</v>
      </c>
      <c r="CT343" s="4">
        <v>0</v>
      </c>
      <c r="CU343" s="4">
        <v>0</v>
      </c>
      <c r="CV343" s="4">
        <v>1</v>
      </c>
      <c r="CW343" s="4">
        <v>0</v>
      </c>
      <c r="CX343" s="3">
        <v>0</v>
      </c>
    </row>
    <row r="344" spans="1:102" ht="15.75" x14ac:dyDescent="0.25">
      <c r="A344" s="4" t="s">
        <v>311</v>
      </c>
      <c r="B344" s="4" t="s">
        <v>312</v>
      </c>
      <c r="C344" s="4">
        <v>2019</v>
      </c>
      <c r="D344" s="4">
        <v>59</v>
      </c>
      <c r="E344" s="4">
        <v>0</v>
      </c>
      <c r="F344" s="4">
        <v>0</v>
      </c>
      <c r="G344" s="4">
        <v>2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  <c r="M344" s="4">
        <v>3</v>
      </c>
      <c r="N344" s="4">
        <v>1</v>
      </c>
      <c r="O344" s="4">
        <v>1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3</v>
      </c>
      <c r="AK344" s="4">
        <v>1</v>
      </c>
      <c r="AL344" s="4">
        <v>0</v>
      </c>
      <c r="AM344" s="4">
        <v>1</v>
      </c>
      <c r="AN344" s="4">
        <v>0</v>
      </c>
      <c r="AO344" s="4">
        <v>1</v>
      </c>
      <c r="AP344" s="4">
        <v>0</v>
      </c>
      <c r="AQ344" s="4">
        <v>0</v>
      </c>
      <c r="AR344" s="4">
        <v>0</v>
      </c>
      <c r="AS344" s="4">
        <v>0</v>
      </c>
      <c r="AT344" s="4">
        <v>1</v>
      </c>
      <c r="AU344" s="4">
        <v>0</v>
      </c>
      <c r="AV344" s="4">
        <v>1</v>
      </c>
      <c r="AW344" s="4">
        <v>0</v>
      </c>
      <c r="AX344" s="4">
        <v>2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1</v>
      </c>
      <c r="BF344" s="4">
        <v>5</v>
      </c>
      <c r="BG344" s="4">
        <v>0</v>
      </c>
      <c r="BH344" s="4">
        <v>0</v>
      </c>
      <c r="BI344" s="4">
        <v>0</v>
      </c>
      <c r="BJ344" s="4">
        <v>2</v>
      </c>
      <c r="BK344" s="4">
        <v>3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1</v>
      </c>
      <c r="BR344" s="4">
        <v>0</v>
      </c>
      <c r="BS344" s="4">
        <v>2</v>
      </c>
      <c r="BT344" s="4">
        <v>0</v>
      </c>
      <c r="BU344" s="4">
        <v>0</v>
      </c>
      <c r="BV344" s="4">
        <v>1</v>
      </c>
      <c r="BW344" s="4">
        <v>1</v>
      </c>
      <c r="BX344" s="4">
        <v>10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1</v>
      </c>
      <c r="CQ344" s="4">
        <v>0</v>
      </c>
      <c r="CR344" s="4">
        <v>0</v>
      </c>
      <c r="CS344" s="4">
        <v>0</v>
      </c>
      <c r="CT344" s="4">
        <v>3</v>
      </c>
      <c r="CU344" s="4">
        <v>0</v>
      </c>
      <c r="CV344" s="4">
        <v>6</v>
      </c>
      <c r="CW344" s="4">
        <v>1</v>
      </c>
      <c r="CX344" s="3">
        <v>1</v>
      </c>
    </row>
    <row r="345" spans="1:102" ht="15.75" x14ac:dyDescent="0.25">
      <c r="A345" s="4" t="s">
        <v>313</v>
      </c>
      <c r="B345" s="4" t="s">
        <v>314</v>
      </c>
      <c r="C345" s="4">
        <v>2019</v>
      </c>
      <c r="D345" s="4">
        <v>272</v>
      </c>
      <c r="E345" s="4">
        <v>6</v>
      </c>
      <c r="F345" s="4">
        <v>9</v>
      </c>
      <c r="G345" s="4">
        <v>3</v>
      </c>
      <c r="H345" s="4">
        <v>0</v>
      </c>
      <c r="I345" s="4">
        <v>6</v>
      </c>
      <c r="J345" s="4">
        <v>1</v>
      </c>
      <c r="K345" s="4">
        <v>1</v>
      </c>
      <c r="L345" s="4">
        <v>10</v>
      </c>
      <c r="M345" s="4">
        <v>1</v>
      </c>
      <c r="N345" s="4">
        <v>8</v>
      </c>
      <c r="O345" s="4">
        <v>5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4</v>
      </c>
      <c r="V345" s="4">
        <v>1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2</v>
      </c>
      <c r="AH345" s="4">
        <v>0</v>
      </c>
      <c r="AI345" s="4">
        <v>5</v>
      </c>
      <c r="AJ345" s="4">
        <v>23</v>
      </c>
      <c r="AK345" s="4">
        <v>8</v>
      </c>
      <c r="AL345" s="4">
        <v>0</v>
      </c>
      <c r="AM345" s="4">
        <v>2</v>
      </c>
      <c r="AN345" s="4">
        <v>2</v>
      </c>
      <c r="AO345" s="4">
        <v>4</v>
      </c>
      <c r="AP345" s="4">
        <v>0</v>
      </c>
      <c r="AQ345" s="4">
        <v>1</v>
      </c>
      <c r="AR345" s="4">
        <v>0</v>
      </c>
      <c r="AS345" s="4">
        <v>2</v>
      </c>
      <c r="AT345" s="4">
        <v>1</v>
      </c>
      <c r="AU345" s="4">
        <v>1</v>
      </c>
      <c r="AV345" s="4">
        <v>0</v>
      </c>
      <c r="AW345" s="4">
        <v>2</v>
      </c>
      <c r="AX345" s="4">
        <v>3</v>
      </c>
      <c r="AY345" s="4">
        <v>0</v>
      </c>
      <c r="AZ345" s="4">
        <v>3</v>
      </c>
      <c r="BA345" s="4">
        <v>0</v>
      </c>
      <c r="BB345" s="4">
        <v>6</v>
      </c>
      <c r="BC345" s="4">
        <v>1</v>
      </c>
      <c r="BD345" s="4">
        <v>0</v>
      </c>
      <c r="BE345" s="4">
        <v>5</v>
      </c>
      <c r="BF345" s="4">
        <v>9</v>
      </c>
      <c r="BG345" s="4">
        <v>0</v>
      </c>
      <c r="BH345" s="4">
        <v>0</v>
      </c>
      <c r="BI345" s="4">
        <v>0</v>
      </c>
      <c r="BJ345" s="4">
        <v>6</v>
      </c>
      <c r="BK345" s="4">
        <v>33</v>
      </c>
      <c r="BL345" s="4">
        <v>0</v>
      </c>
      <c r="BM345" s="4">
        <v>0</v>
      </c>
      <c r="BN345" s="4">
        <v>4</v>
      </c>
      <c r="BO345" s="4">
        <v>0</v>
      </c>
      <c r="BP345" s="4">
        <v>1</v>
      </c>
      <c r="BQ345" s="4">
        <v>7</v>
      </c>
      <c r="BR345" s="4">
        <v>0</v>
      </c>
      <c r="BS345" s="4">
        <v>8</v>
      </c>
      <c r="BT345" s="4">
        <v>7</v>
      </c>
      <c r="BU345" s="4">
        <v>0</v>
      </c>
      <c r="BV345" s="4">
        <v>3</v>
      </c>
      <c r="BW345" s="4">
        <v>2</v>
      </c>
      <c r="BX345" s="4">
        <v>20</v>
      </c>
      <c r="BY345" s="4">
        <v>0</v>
      </c>
      <c r="BZ345" s="4">
        <v>0</v>
      </c>
      <c r="CA345" s="4">
        <v>11</v>
      </c>
      <c r="CB345" s="4">
        <v>0</v>
      </c>
      <c r="CC345" s="4">
        <v>0</v>
      </c>
      <c r="CD345" s="4">
        <v>2</v>
      </c>
      <c r="CE345" s="4">
        <v>0</v>
      </c>
      <c r="CF345" s="4">
        <v>0</v>
      </c>
      <c r="CG345" s="4">
        <v>5</v>
      </c>
      <c r="CH345" s="4">
        <v>1</v>
      </c>
      <c r="CI345" s="4">
        <v>0</v>
      </c>
      <c r="CJ345" s="4">
        <v>1</v>
      </c>
      <c r="CK345" s="4">
        <v>0</v>
      </c>
      <c r="CL345" s="4">
        <v>0</v>
      </c>
      <c r="CM345" s="4">
        <v>1</v>
      </c>
      <c r="CN345" s="4">
        <v>6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7</v>
      </c>
      <c r="CU345" s="4">
        <v>0</v>
      </c>
      <c r="CV345" s="4">
        <v>9</v>
      </c>
      <c r="CW345" s="4">
        <v>1</v>
      </c>
      <c r="CX345" s="3">
        <v>1</v>
      </c>
    </row>
    <row r="346" spans="1:102" ht="15.75" x14ac:dyDescent="0.25">
      <c r="A346" s="4" t="s">
        <v>315</v>
      </c>
      <c r="B346" s="4" t="s">
        <v>316</v>
      </c>
      <c r="C346" s="4">
        <v>2019</v>
      </c>
      <c r="D346" s="4">
        <v>7046</v>
      </c>
      <c r="E346" s="4">
        <v>17</v>
      </c>
      <c r="F346" s="4">
        <v>9</v>
      </c>
      <c r="G346" s="4">
        <v>3</v>
      </c>
      <c r="H346" s="4">
        <v>18</v>
      </c>
      <c r="I346" s="4">
        <v>49</v>
      </c>
      <c r="J346" s="4">
        <v>7</v>
      </c>
      <c r="K346" s="4">
        <v>1</v>
      </c>
      <c r="L346" s="4">
        <v>24</v>
      </c>
      <c r="M346" s="4">
        <v>14</v>
      </c>
      <c r="N346" s="4">
        <v>10</v>
      </c>
      <c r="O346" s="4">
        <v>193</v>
      </c>
      <c r="P346" s="4">
        <v>0</v>
      </c>
      <c r="Q346" s="4">
        <v>0</v>
      </c>
      <c r="R346" s="4">
        <v>0</v>
      </c>
      <c r="S346" s="4">
        <v>0</v>
      </c>
      <c r="T346" s="4">
        <v>1</v>
      </c>
      <c r="U346" s="4">
        <v>4</v>
      </c>
      <c r="V346" s="4">
        <v>6</v>
      </c>
      <c r="W346" s="4">
        <v>25</v>
      </c>
      <c r="X346" s="4">
        <v>3</v>
      </c>
      <c r="Y346" s="4">
        <v>0</v>
      </c>
      <c r="Z346" s="4">
        <v>0</v>
      </c>
      <c r="AA346" s="4">
        <v>6</v>
      </c>
      <c r="AB346" s="4">
        <v>0</v>
      </c>
      <c r="AC346" s="4">
        <v>0</v>
      </c>
      <c r="AD346" s="4">
        <v>2</v>
      </c>
      <c r="AE346" s="4">
        <v>2</v>
      </c>
      <c r="AF346" s="4">
        <v>0</v>
      </c>
      <c r="AG346" s="4">
        <v>69</v>
      </c>
      <c r="AH346" s="4">
        <v>14</v>
      </c>
      <c r="AI346" s="4">
        <v>32</v>
      </c>
      <c r="AJ346" s="4">
        <v>764</v>
      </c>
      <c r="AK346" s="4">
        <v>65</v>
      </c>
      <c r="AL346" s="4">
        <v>0</v>
      </c>
      <c r="AM346" s="4">
        <v>34</v>
      </c>
      <c r="AN346" s="4">
        <v>23</v>
      </c>
      <c r="AO346" s="4">
        <v>235</v>
      </c>
      <c r="AP346" s="4">
        <v>5</v>
      </c>
      <c r="AQ346" s="4">
        <v>15</v>
      </c>
      <c r="AR346" s="4">
        <v>3</v>
      </c>
      <c r="AS346" s="4">
        <v>28</v>
      </c>
      <c r="AT346" s="4">
        <v>45</v>
      </c>
      <c r="AU346" s="4">
        <v>51</v>
      </c>
      <c r="AV346" s="4">
        <v>25</v>
      </c>
      <c r="AW346" s="4">
        <v>374</v>
      </c>
      <c r="AX346" s="4">
        <v>144</v>
      </c>
      <c r="AY346" s="4">
        <v>1</v>
      </c>
      <c r="AZ346" s="4">
        <v>51</v>
      </c>
      <c r="BA346" s="4">
        <v>0</v>
      </c>
      <c r="BB346" s="4">
        <v>1038</v>
      </c>
      <c r="BC346" s="4">
        <v>163</v>
      </c>
      <c r="BD346" s="4">
        <v>1</v>
      </c>
      <c r="BE346" s="4">
        <v>17</v>
      </c>
      <c r="BF346" s="4">
        <v>118</v>
      </c>
      <c r="BG346" s="4">
        <v>11</v>
      </c>
      <c r="BH346" s="4">
        <v>6</v>
      </c>
      <c r="BI346" s="4">
        <v>0</v>
      </c>
      <c r="BJ346" s="4">
        <v>119</v>
      </c>
      <c r="BK346" s="4">
        <v>151</v>
      </c>
      <c r="BL346" s="4">
        <v>0</v>
      </c>
      <c r="BM346" s="4">
        <v>7</v>
      </c>
      <c r="BN346" s="4">
        <v>31</v>
      </c>
      <c r="BO346" s="4">
        <v>1</v>
      </c>
      <c r="BP346" s="4">
        <v>9</v>
      </c>
      <c r="BQ346" s="4">
        <v>37</v>
      </c>
      <c r="BR346" s="4">
        <v>6</v>
      </c>
      <c r="BS346" s="4">
        <v>274</v>
      </c>
      <c r="BT346" s="4">
        <v>326</v>
      </c>
      <c r="BU346" s="4">
        <v>5</v>
      </c>
      <c r="BV346" s="4">
        <v>79</v>
      </c>
      <c r="BW346" s="4">
        <v>27</v>
      </c>
      <c r="BX346" s="4">
        <v>1096</v>
      </c>
      <c r="BY346" s="4">
        <v>5</v>
      </c>
      <c r="BZ346" s="4">
        <v>0</v>
      </c>
      <c r="CA346" s="4">
        <v>110</v>
      </c>
      <c r="CB346" s="4">
        <v>51</v>
      </c>
      <c r="CC346" s="4">
        <v>0</v>
      </c>
      <c r="CD346" s="4">
        <v>3</v>
      </c>
      <c r="CE346" s="4">
        <v>0</v>
      </c>
      <c r="CF346" s="4">
        <v>8</v>
      </c>
      <c r="CG346" s="4">
        <v>14</v>
      </c>
      <c r="CH346" s="4">
        <v>3</v>
      </c>
      <c r="CI346" s="4">
        <v>25</v>
      </c>
      <c r="CJ346" s="4">
        <v>87</v>
      </c>
      <c r="CK346" s="4">
        <v>21</v>
      </c>
      <c r="CL346" s="4">
        <v>0</v>
      </c>
      <c r="CM346" s="4">
        <v>89</v>
      </c>
      <c r="CN346" s="4">
        <v>315</v>
      </c>
      <c r="CO346" s="4">
        <v>56</v>
      </c>
      <c r="CP346" s="4">
        <v>72</v>
      </c>
      <c r="CQ346" s="4">
        <v>0</v>
      </c>
      <c r="CR346" s="4">
        <v>50</v>
      </c>
      <c r="CS346" s="4">
        <v>38</v>
      </c>
      <c r="CT346" s="4">
        <v>29</v>
      </c>
      <c r="CU346" s="4">
        <v>10</v>
      </c>
      <c r="CV346" s="4">
        <v>102</v>
      </c>
      <c r="CW346" s="4">
        <v>63</v>
      </c>
      <c r="CX346" s="3">
        <v>63</v>
      </c>
    </row>
    <row r="347" spans="1:102" ht="15.75" x14ac:dyDescent="0.25">
      <c r="A347" s="4" t="s">
        <v>317</v>
      </c>
      <c r="B347" s="4" t="s">
        <v>318</v>
      </c>
      <c r="C347" s="4">
        <v>2019</v>
      </c>
      <c r="D347" s="4">
        <v>349</v>
      </c>
      <c r="E347" s="4">
        <v>1</v>
      </c>
      <c r="F347" s="4">
        <v>0</v>
      </c>
      <c r="G347" s="4">
        <v>0</v>
      </c>
      <c r="H347" s="4">
        <v>0</v>
      </c>
      <c r="I347" s="4">
        <v>3</v>
      </c>
      <c r="J347" s="4">
        <v>2</v>
      </c>
      <c r="K347" s="4">
        <v>1</v>
      </c>
      <c r="L347" s="4">
        <v>0</v>
      </c>
      <c r="M347" s="4">
        <v>5</v>
      </c>
      <c r="N347" s="4">
        <v>4</v>
      </c>
      <c r="O347" s="4">
        <v>11</v>
      </c>
      <c r="P347" s="4">
        <v>0</v>
      </c>
      <c r="Q347" s="4">
        <v>0</v>
      </c>
      <c r="R347" s="4">
        <v>0</v>
      </c>
      <c r="S347" s="4">
        <v>0</v>
      </c>
      <c r="T347" s="4">
        <v>1</v>
      </c>
      <c r="U347" s="4">
        <v>14</v>
      </c>
      <c r="V347" s="4">
        <v>0</v>
      </c>
      <c r="W347" s="4">
        <v>4</v>
      </c>
      <c r="X347" s="4">
        <v>2</v>
      </c>
      <c r="Y347" s="4">
        <v>0</v>
      </c>
      <c r="Z347" s="4">
        <v>0</v>
      </c>
      <c r="AA347" s="4">
        <v>10</v>
      </c>
      <c r="AB347" s="4">
        <v>3</v>
      </c>
      <c r="AC347" s="4">
        <v>0</v>
      </c>
      <c r="AD347" s="4">
        <v>0</v>
      </c>
      <c r="AE347" s="4">
        <v>0</v>
      </c>
      <c r="AF347" s="4">
        <v>0</v>
      </c>
      <c r="AG347" s="4">
        <v>1</v>
      </c>
      <c r="AH347" s="4">
        <v>1</v>
      </c>
      <c r="AI347" s="4">
        <v>3</v>
      </c>
      <c r="AJ347" s="4">
        <v>29</v>
      </c>
      <c r="AK347" s="4">
        <v>6</v>
      </c>
      <c r="AL347" s="4">
        <v>2</v>
      </c>
      <c r="AM347" s="4">
        <v>3</v>
      </c>
      <c r="AN347" s="4">
        <v>2</v>
      </c>
      <c r="AO347" s="4">
        <v>9</v>
      </c>
      <c r="AP347" s="4">
        <v>0</v>
      </c>
      <c r="AQ347" s="4">
        <v>2</v>
      </c>
      <c r="AR347" s="4">
        <v>0</v>
      </c>
      <c r="AS347" s="4">
        <v>21</v>
      </c>
      <c r="AT347" s="4">
        <v>1</v>
      </c>
      <c r="AU347" s="4">
        <v>1</v>
      </c>
      <c r="AV347" s="4">
        <v>1</v>
      </c>
      <c r="AW347" s="4">
        <v>1</v>
      </c>
      <c r="AX347" s="4">
        <v>3</v>
      </c>
      <c r="AY347" s="4">
        <v>0</v>
      </c>
      <c r="AZ347" s="4">
        <v>2</v>
      </c>
      <c r="BA347" s="4">
        <v>0</v>
      </c>
      <c r="BB347" s="4">
        <v>34</v>
      </c>
      <c r="BC347" s="4">
        <v>0</v>
      </c>
      <c r="BD347" s="4">
        <v>0</v>
      </c>
      <c r="BE347" s="4">
        <v>2</v>
      </c>
      <c r="BF347" s="4">
        <v>10</v>
      </c>
      <c r="BG347" s="4">
        <v>0</v>
      </c>
      <c r="BH347" s="4">
        <v>1</v>
      </c>
      <c r="BI347" s="4">
        <v>0</v>
      </c>
      <c r="BJ347" s="4">
        <v>6</v>
      </c>
      <c r="BK347" s="4">
        <v>6</v>
      </c>
      <c r="BL347" s="4">
        <v>0</v>
      </c>
      <c r="BM347" s="4">
        <v>1</v>
      </c>
      <c r="BN347" s="4">
        <v>7</v>
      </c>
      <c r="BO347" s="4">
        <v>0</v>
      </c>
      <c r="BP347" s="4">
        <v>0</v>
      </c>
      <c r="BQ347" s="4">
        <v>16</v>
      </c>
      <c r="BR347" s="4">
        <v>0</v>
      </c>
      <c r="BS347" s="4">
        <v>6</v>
      </c>
      <c r="BT347" s="4">
        <v>2</v>
      </c>
      <c r="BU347" s="4">
        <v>0</v>
      </c>
      <c r="BV347" s="4">
        <v>5</v>
      </c>
      <c r="BW347" s="4">
        <v>24</v>
      </c>
      <c r="BX347" s="4">
        <v>38</v>
      </c>
      <c r="BY347" s="4">
        <v>0</v>
      </c>
      <c r="BZ347" s="4">
        <v>0</v>
      </c>
      <c r="CA347" s="4">
        <v>4</v>
      </c>
      <c r="CB347" s="4">
        <v>0</v>
      </c>
      <c r="CC347" s="4">
        <v>0</v>
      </c>
      <c r="CD347" s="4">
        <v>6</v>
      </c>
      <c r="CE347" s="4">
        <v>0</v>
      </c>
      <c r="CF347" s="4">
        <v>3</v>
      </c>
      <c r="CG347" s="4">
        <v>0</v>
      </c>
      <c r="CH347" s="4">
        <v>0</v>
      </c>
      <c r="CI347" s="4">
        <v>0</v>
      </c>
      <c r="CJ347" s="4">
        <v>1</v>
      </c>
      <c r="CK347" s="4">
        <v>0</v>
      </c>
      <c r="CL347" s="4">
        <v>0</v>
      </c>
      <c r="CM347" s="4">
        <v>0</v>
      </c>
      <c r="CN347" s="4">
        <v>5</v>
      </c>
      <c r="CO347" s="4">
        <v>1</v>
      </c>
      <c r="CP347" s="4">
        <v>0</v>
      </c>
      <c r="CQ347" s="4">
        <v>0</v>
      </c>
      <c r="CR347" s="4">
        <v>1</v>
      </c>
      <c r="CS347" s="4">
        <v>0</v>
      </c>
      <c r="CT347" s="4">
        <v>10</v>
      </c>
      <c r="CU347" s="4">
        <v>0</v>
      </c>
      <c r="CV347" s="4">
        <v>8</v>
      </c>
      <c r="CW347" s="4">
        <v>1</v>
      </c>
      <c r="CX347" s="3">
        <v>1</v>
      </c>
    </row>
    <row r="348" spans="1:102" ht="15.75" x14ac:dyDescent="0.25">
      <c r="A348" s="4" t="s">
        <v>319</v>
      </c>
      <c r="B348" s="4" t="s">
        <v>320</v>
      </c>
      <c r="C348" s="4">
        <v>2019</v>
      </c>
      <c r="D348" s="4">
        <v>4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2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1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1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3">
        <v>0</v>
      </c>
    </row>
    <row r="349" spans="1:102" ht="15.75" x14ac:dyDescent="0.25">
      <c r="A349" s="4" t="s">
        <v>321</v>
      </c>
      <c r="B349" s="4" t="s">
        <v>322</v>
      </c>
      <c r="C349" s="4">
        <v>2019</v>
      </c>
      <c r="D349" s="4">
        <v>49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3</v>
      </c>
      <c r="N349" s="4">
        <v>1</v>
      </c>
      <c r="O349" s="4">
        <v>2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1</v>
      </c>
      <c r="AJ349" s="4">
        <v>2</v>
      </c>
      <c r="AK349" s="4">
        <v>1</v>
      </c>
      <c r="AL349" s="4">
        <v>0</v>
      </c>
      <c r="AM349" s="4">
        <v>2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2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1</v>
      </c>
      <c r="BA349" s="4">
        <v>0</v>
      </c>
      <c r="BB349" s="4">
        <v>1</v>
      </c>
      <c r="BC349" s="4">
        <v>0</v>
      </c>
      <c r="BD349" s="4">
        <v>0</v>
      </c>
      <c r="BE349" s="4">
        <v>0</v>
      </c>
      <c r="BF349" s="4">
        <v>0</v>
      </c>
      <c r="BG349" s="4">
        <v>2</v>
      </c>
      <c r="BH349" s="4">
        <v>3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19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1</v>
      </c>
      <c r="CJ349" s="4">
        <v>1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1</v>
      </c>
      <c r="CT349" s="4">
        <v>0</v>
      </c>
      <c r="CU349" s="4">
        <v>0</v>
      </c>
      <c r="CV349" s="4">
        <v>0</v>
      </c>
      <c r="CW349" s="4">
        <v>0</v>
      </c>
      <c r="CX349" s="3">
        <v>0</v>
      </c>
    </row>
    <row r="350" spans="1:102" ht="15.75" x14ac:dyDescent="0.25">
      <c r="A350" s="4" t="s">
        <v>323</v>
      </c>
      <c r="B350" s="4" t="s">
        <v>324</v>
      </c>
      <c r="C350" s="4">
        <v>2019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3">
        <v>0</v>
      </c>
    </row>
    <row r="351" spans="1:102" ht="15.75" x14ac:dyDescent="0.25">
      <c r="A351" s="4" t="s">
        <v>325</v>
      </c>
      <c r="B351" s="4" t="s">
        <v>326</v>
      </c>
      <c r="C351" s="4">
        <v>2019</v>
      </c>
      <c r="D351" s="4">
        <v>0</v>
      </c>
      <c r="E351" s="4">
        <v>0</v>
      </c>
      <c r="F351" s="4">
        <v>2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3">
        <v>0</v>
      </c>
    </row>
    <row r="352" spans="1:102" ht="15.75" x14ac:dyDescent="0.25">
      <c r="A352" s="4" t="s">
        <v>327</v>
      </c>
      <c r="B352" s="4" t="s">
        <v>328</v>
      </c>
      <c r="C352" s="4">
        <v>2019</v>
      </c>
      <c r="D352" s="4">
        <v>7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1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4</v>
      </c>
      <c r="CU352" s="4">
        <v>0</v>
      </c>
      <c r="CV352" s="4">
        <v>0</v>
      </c>
      <c r="CW352" s="4">
        <v>0</v>
      </c>
      <c r="CX352" s="3">
        <v>0</v>
      </c>
    </row>
    <row r="353" spans="1:102" ht="15.75" x14ac:dyDescent="0.25">
      <c r="A353" s="4" t="s">
        <v>329</v>
      </c>
      <c r="B353" s="4" t="s">
        <v>330</v>
      </c>
      <c r="C353" s="4">
        <v>2019</v>
      </c>
      <c r="D353" s="4">
        <v>1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1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3">
        <v>0</v>
      </c>
    </row>
    <row r="354" spans="1:102" ht="15.75" x14ac:dyDescent="0.25">
      <c r="A354" s="4" t="s">
        <v>331</v>
      </c>
      <c r="B354" s="4" t="s">
        <v>332</v>
      </c>
      <c r="C354" s="4">
        <v>2019</v>
      </c>
      <c r="D354" s="4">
        <v>4486</v>
      </c>
      <c r="E354" s="4">
        <v>4</v>
      </c>
      <c r="F354" s="4">
        <v>3</v>
      </c>
      <c r="G354" s="4">
        <v>4</v>
      </c>
      <c r="H354" s="4">
        <v>42</v>
      </c>
      <c r="I354" s="4">
        <v>4</v>
      </c>
      <c r="J354" s="4">
        <v>2</v>
      </c>
      <c r="K354" s="4">
        <v>1</v>
      </c>
      <c r="L354" s="4">
        <v>12</v>
      </c>
      <c r="M354" s="4">
        <v>9</v>
      </c>
      <c r="N354" s="4">
        <v>17</v>
      </c>
      <c r="O354" s="4">
        <v>148</v>
      </c>
      <c r="P354" s="4">
        <v>0</v>
      </c>
      <c r="Q354" s="4">
        <v>0</v>
      </c>
      <c r="R354" s="4">
        <v>2</v>
      </c>
      <c r="S354" s="4">
        <v>0</v>
      </c>
      <c r="T354" s="4">
        <v>0</v>
      </c>
      <c r="U354" s="4">
        <v>7</v>
      </c>
      <c r="V354" s="4">
        <v>4</v>
      </c>
      <c r="W354" s="4">
        <v>52</v>
      </c>
      <c r="X354" s="4">
        <v>2</v>
      </c>
      <c r="Y354" s="4">
        <v>0</v>
      </c>
      <c r="Z354" s="4">
        <v>375</v>
      </c>
      <c r="AA354" s="4">
        <v>5</v>
      </c>
      <c r="AB354" s="4">
        <v>0</v>
      </c>
      <c r="AC354" s="4">
        <v>0</v>
      </c>
      <c r="AD354" s="4">
        <v>0</v>
      </c>
      <c r="AE354" s="4">
        <v>1</v>
      </c>
      <c r="AF354" s="4">
        <v>0</v>
      </c>
      <c r="AG354" s="4">
        <v>83</v>
      </c>
      <c r="AH354" s="4">
        <v>76</v>
      </c>
      <c r="AI354" s="4">
        <v>31</v>
      </c>
      <c r="AJ354" s="4">
        <v>204</v>
      </c>
      <c r="AK354" s="4">
        <v>49</v>
      </c>
      <c r="AL354" s="4">
        <v>0</v>
      </c>
      <c r="AM354" s="4">
        <v>56</v>
      </c>
      <c r="AN354" s="4">
        <v>15</v>
      </c>
      <c r="AO354" s="4">
        <v>81</v>
      </c>
      <c r="AP354" s="4">
        <v>2</v>
      </c>
      <c r="AQ354" s="4">
        <v>10</v>
      </c>
      <c r="AR354" s="4">
        <v>0</v>
      </c>
      <c r="AS354" s="4">
        <v>12</v>
      </c>
      <c r="AT354" s="4">
        <v>18</v>
      </c>
      <c r="AU354" s="4">
        <v>40</v>
      </c>
      <c r="AV354" s="4">
        <v>26</v>
      </c>
      <c r="AW354" s="4">
        <v>96</v>
      </c>
      <c r="AX354" s="4">
        <v>45</v>
      </c>
      <c r="AY354" s="4">
        <v>6</v>
      </c>
      <c r="AZ354" s="4">
        <v>17</v>
      </c>
      <c r="BA354" s="4">
        <v>0</v>
      </c>
      <c r="BB354" s="4">
        <v>422</v>
      </c>
      <c r="BC354" s="4">
        <v>91</v>
      </c>
      <c r="BD354" s="4">
        <v>1</v>
      </c>
      <c r="BE354" s="4">
        <v>11</v>
      </c>
      <c r="BF354" s="4">
        <v>62</v>
      </c>
      <c r="BG354" s="4">
        <v>3</v>
      </c>
      <c r="BH354" s="4">
        <v>6</v>
      </c>
      <c r="BI354" s="4">
        <v>0</v>
      </c>
      <c r="BJ354" s="4">
        <v>110</v>
      </c>
      <c r="BK354" s="4">
        <v>87</v>
      </c>
      <c r="BL354" s="4">
        <v>0</v>
      </c>
      <c r="BM354" s="4">
        <v>9</v>
      </c>
      <c r="BN354" s="4">
        <v>210</v>
      </c>
      <c r="BO354" s="4">
        <v>0</v>
      </c>
      <c r="BP354" s="4">
        <v>10</v>
      </c>
      <c r="BQ354" s="4">
        <v>24</v>
      </c>
      <c r="BR354" s="4">
        <v>3</v>
      </c>
      <c r="BS354" s="4">
        <v>130</v>
      </c>
      <c r="BT354" s="4">
        <v>70</v>
      </c>
      <c r="BU354" s="4">
        <v>14</v>
      </c>
      <c r="BV354" s="4">
        <v>40</v>
      </c>
      <c r="BW354" s="4">
        <v>11</v>
      </c>
      <c r="BX354" s="4">
        <v>493</v>
      </c>
      <c r="BY354" s="4">
        <v>1</v>
      </c>
      <c r="BZ354" s="4">
        <v>0</v>
      </c>
      <c r="CA354" s="4">
        <v>72</v>
      </c>
      <c r="CB354" s="4">
        <v>430</v>
      </c>
      <c r="CC354" s="4">
        <v>0</v>
      </c>
      <c r="CD354" s="4">
        <v>3</v>
      </c>
      <c r="CE354" s="4">
        <v>0</v>
      </c>
      <c r="CF354" s="4">
        <v>5</v>
      </c>
      <c r="CG354" s="4">
        <v>2</v>
      </c>
      <c r="CH354" s="4">
        <v>1</v>
      </c>
      <c r="CI354" s="4">
        <v>56</v>
      </c>
      <c r="CJ354" s="4">
        <v>49</v>
      </c>
      <c r="CK354" s="4">
        <v>19</v>
      </c>
      <c r="CL354" s="4">
        <v>0</v>
      </c>
      <c r="CM354" s="4">
        <v>60</v>
      </c>
      <c r="CN354" s="4">
        <v>222</v>
      </c>
      <c r="CO354" s="4">
        <v>23</v>
      </c>
      <c r="CP354" s="4">
        <v>4</v>
      </c>
      <c r="CQ354" s="4">
        <v>0</v>
      </c>
      <c r="CR354" s="4">
        <v>35</v>
      </c>
      <c r="CS354" s="4">
        <v>7</v>
      </c>
      <c r="CT354" s="4">
        <v>8</v>
      </c>
      <c r="CU354" s="4">
        <v>23</v>
      </c>
      <c r="CV354" s="4">
        <v>55</v>
      </c>
      <c r="CW354" s="4">
        <v>40</v>
      </c>
      <c r="CX354" s="3">
        <v>40</v>
      </c>
    </row>
    <row r="355" spans="1:102" ht="15.75" x14ac:dyDescent="0.25">
      <c r="A355" s="4" t="s">
        <v>333</v>
      </c>
      <c r="B355" s="4" t="s">
        <v>334</v>
      </c>
      <c r="C355" s="4">
        <v>2019</v>
      </c>
      <c r="D355" s="4">
        <v>559</v>
      </c>
      <c r="E355" s="4">
        <v>2</v>
      </c>
      <c r="F355" s="4">
        <v>5</v>
      </c>
      <c r="G355" s="4">
        <v>3</v>
      </c>
      <c r="H355" s="4">
        <v>0</v>
      </c>
      <c r="I355" s="4">
        <v>18</v>
      </c>
      <c r="J355" s="4">
        <v>3</v>
      </c>
      <c r="K355" s="4">
        <v>2</v>
      </c>
      <c r="L355" s="4">
        <v>10</v>
      </c>
      <c r="M355" s="4">
        <v>1</v>
      </c>
      <c r="N355" s="4">
        <v>6</v>
      </c>
      <c r="O355" s="4">
        <v>1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1</v>
      </c>
      <c r="W355" s="4">
        <v>12</v>
      </c>
      <c r="X355" s="4">
        <v>0</v>
      </c>
      <c r="Y355" s="4">
        <v>0</v>
      </c>
      <c r="Z355" s="4">
        <v>0</v>
      </c>
      <c r="AA355" s="4">
        <v>1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4</v>
      </c>
      <c r="AH355" s="4">
        <v>0</v>
      </c>
      <c r="AI355" s="4">
        <v>4</v>
      </c>
      <c r="AJ355" s="4">
        <v>18</v>
      </c>
      <c r="AK355" s="4">
        <v>15</v>
      </c>
      <c r="AL355" s="4">
        <v>0</v>
      </c>
      <c r="AM355" s="4">
        <v>1</v>
      </c>
      <c r="AN355" s="4">
        <v>9</v>
      </c>
      <c r="AO355" s="4">
        <v>12</v>
      </c>
      <c r="AP355" s="4">
        <v>0</v>
      </c>
      <c r="AQ355" s="4">
        <v>3</v>
      </c>
      <c r="AR355" s="4">
        <v>0</v>
      </c>
      <c r="AS355" s="4">
        <v>4</v>
      </c>
      <c r="AT355" s="4">
        <v>6</v>
      </c>
      <c r="AU355" s="4">
        <v>2</v>
      </c>
      <c r="AV355" s="4">
        <v>3</v>
      </c>
      <c r="AW355" s="4">
        <v>4</v>
      </c>
      <c r="AX355" s="4">
        <v>16</v>
      </c>
      <c r="AY355" s="4">
        <v>0</v>
      </c>
      <c r="AZ355" s="4">
        <v>5</v>
      </c>
      <c r="BA355" s="4">
        <v>0</v>
      </c>
      <c r="BB355" s="4">
        <v>4</v>
      </c>
      <c r="BC355" s="4">
        <v>0</v>
      </c>
      <c r="BD355" s="4">
        <v>0</v>
      </c>
      <c r="BE355" s="4">
        <v>3</v>
      </c>
      <c r="BF355" s="4">
        <v>7</v>
      </c>
      <c r="BG355" s="4">
        <v>0</v>
      </c>
      <c r="BH355" s="4">
        <v>1</v>
      </c>
      <c r="BI355" s="4">
        <v>1</v>
      </c>
      <c r="BJ355" s="4">
        <v>20</v>
      </c>
      <c r="BK355" s="4">
        <v>28</v>
      </c>
      <c r="BL355" s="4">
        <v>0</v>
      </c>
      <c r="BM355" s="4">
        <v>0</v>
      </c>
      <c r="BN355" s="4">
        <v>4</v>
      </c>
      <c r="BO355" s="4">
        <v>0</v>
      </c>
      <c r="BP355" s="4">
        <v>2</v>
      </c>
      <c r="BQ355" s="4">
        <v>5</v>
      </c>
      <c r="BR355" s="4">
        <v>3</v>
      </c>
      <c r="BS355" s="4">
        <v>19</v>
      </c>
      <c r="BT355" s="4">
        <v>8</v>
      </c>
      <c r="BU355" s="4">
        <v>0</v>
      </c>
      <c r="BV355" s="4">
        <v>4</v>
      </c>
      <c r="BW355" s="4">
        <v>5</v>
      </c>
      <c r="BX355" s="4">
        <v>140</v>
      </c>
      <c r="BY355" s="4">
        <v>0</v>
      </c>
      <c r="BZ355" s="4">
        <v>0</v>
      </c>
      <c r="CA355" s="4">
        <v>11</v>
      </c>
      <c r="CB355" s="4">
        <v>0</v>
      </c>
      <c r="CC355" s="4">
        <v>0</v>
      </c>
      <c r="CD355" s="4">
        <v>7</v>
      </c>
      <c r="CE355" s="4">
        <v>0</v>
      </c>
      <c r="CF355" s="4">
        <v>11</v>
      </c>
      <c r="CG355" s="4">
        <v>0</v>
      </c>
      <c r="CH355" s="4">
        <v>2</v>
      </c>
      <c r="CI355" s="4">
        <v>3</v>
      </c>
      <c r="CJ355" s="4">
        <v>22</v>
      </c>
      <c r="CK355" s="4">
        <v>3</v>
      </c>
      <c r="CL355" s="4">
        <v>0</v>
      </c>
      <c r="CM355" s="4">
        <v>4</v>
      </c>
      <c r="CN355" s="4">
        <v>19</v>
      </c>
      <c r="CO355" s="4">
        <v>7</v>
      </c>
      <c r="CP355" s="4">
        <v>1</v>
      </c>
      <c r="CQ355" s="4">
        <v>0</v>
      </c>
      <c r="CR355" s="4">
        <v>3</v>
      </c>
      <c r="CS355" s="4">
        <v>13</v>
      </c>
      <c r="CT355" s="4">
        <v>5</v>
      </c>
      <c r="CU355" s="4">
        <v>1</v>
      </c>
      <c r="CV355" s="4">
        <v>12</v>
      </c>
      <c r="CW355" s="4">
        <v>3</v>
      </c>
      <c r="CX355" s="3">
        <v>3</v>
      </c>
    </row>
    <row r="356" spans="1:102" ht="15.75" x14ac:dyDescent="0.25">
      <c r="A356" s="4" t="s">
        <v>335</v>
      </c>
      <c r="B356" s="4" t="s">
        <v>336</v>
      </c>
      <c r="C356" s="4">
        <v>2019</v>
      </c>
      <c r="D356" s="4">
        <v>18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1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5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1</v>
      </c>
      <c r="BX356" s="4">
        <v>2</v>
      </c>
      <c r="BY356" s="4">
        <v>0</v>
      </c>
      <c r="BZ356" s="4">
        <v>0</v>
      </c>
      <c r="CA356" s="4">
        <v>0</v>
      </c>
      <c r="CB356" s="4">
        <v>1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1</v>
      </c>
      <c r="CS356" s="4">
        <v>0</v>
      </c>
      <c r="CT356" s="4">
        <v>0</v>
      </c>
      <c r="CU356" s="4">
        <v>0</v>
      </c>
      <c r="CV356" s="4">
        <v>1</v>
      </c>
      <c r="CW356" s="4">
        <v>0</v>
      </c>
      <c r="CX356" s="3">
        <v>0</v>
      </c>
    </row>
    <row r="357" spans="1:102" ht="15.75" x14ac:dyDescent="0.25">
      <c r="A357" s="4" t="s">
        <v>337</v>
      </c>
      <c r="B357" s="4" t="s">
        <v>338</v>
      </c>
      <c r="C357" s="4">
        <v>2019</v>
      </c>
      <c r="D357" s="4">
        <v>415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41</v>
      </c>
      <c r="P357" s="4">
        <v>0</v>
      </c>
      <c r="Q357" s="4">
        <v>0</v>
      </c>
      <c r="R357" s="4">
        <v>1</v>
      </c>
      <c r="S357" s="4">
        <v>1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1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</v>
      </c>
      <c r="AH357" s="4">
        <v>1</v>
      </c>
      <c r="AI357" s="4">
        <v>1</v>
      </c>
      <c r="AJ357" s="4">
        <v>30</v>
      </c>
      <c r="AK357" s="4">
        <v>0</v>
      </c>
      <c r="AL357" s="4">
        <v>0</v>
      </c>
      <c r="AM357" s="4">
        <v>3</v>
      </c>
      <c r="AN357" s="4">
        <v>2</v>
      </c>
      <c r="AO357" s="4">
        <v>5</v>
      </c>
      <c r="AP357" s="4">
        <v>0</v>
      </c>
      <c r="AQ357" s="4">
        <v>3</v>
      </c>
      <c r="AR357" s="4">
        <v>0</v>
      </c>
      <c r="AS357" s="4">
        <v>10</v>
      </c>
      <c r="AT357" s="4">
        <v>1</v>
      </c>
      <c r="AU357" s="4">
        <v>1</v>
      </c>
      <c r="AV357" s="4">
        <v>13</v>
      </c>
      <c r="AW357" s="4">
        <v>2</v>
      </c>
      <c r="AX357" s="4">
        <v>21</v>
      </c>
      <c r="AY357" s="4">
        <v>0</v>
      </c>
      <c r="AZ357" s="4">
        <v>3</v>
      </c>
      <c r="BA357" s="4">
        <v>0</v>
      </c>
      <c r="BB357" s="4">
        <v>7</v>
      </c>
      <c r="BC357" s="4">
        <v>5</v>
      </c>
      <c r="BD357" s="4">
        <v>0</v>
      </c>
      <c r="BE357" s="4">
        <v>3</v>
      </c>
      <c r="BF357" s="4">
        <v>21</v>
      </c>
      <c r="BG357" s="4">
        <v>0</v>
      </c>
      <c r="BH357" s="4">
        <v>1</v>
      </c>
      <c r="BI357" s="4">
        <v>0</v>
      </c>
      <c r="BJ357" s="4">
        <v>37</v>
      </c>
      <c r="BK357" s="4">
        <v>23</v>
      </c>
      <c r="BL357" s="4">
        <v>0</v>
      </c>
      <c r="BM357" s="4">
        <v>0</v>
      </c>
      <c r="BN357" s="4">
        <v>3</v>
      </c>
      <c r="BO357" s="4">
        <v>0</v>
      </c>
      <c r="BP357" s="4">
        <v>1</v>
      </c>
      <c r="BQ357" s="4">
        <v>5</v>
      </c>
      <c r="BR357" s="4">
        <v>1</v>
      </c>
      <c r="BS357" s="4">
        <v>42</v>
      </c>
      <c r="BT357" s="4">
        <v>5</v>
      </c>
      <c r="BU357" s="4">
        <v>0</v>
      </c>
      <c r="BV357" s="4">
        <v>0</v>
      </c>
      <c r="BW357" s="4">
        <v>2</v>
      </c>
      <c r="BX357" s="4">
        <v>1</v>
      </c>
      <c r="BY357" s="4">
        <v>0</v>
      </c>
      <c r="BZ357" s="4">
        <v>0</v>
      </c>
      <c r="CA357" s="4">
        <v>2</v>
      </c>
      <c r="CB357" s="4">
        <v>0</v>
      </c>
      <c r="CC357" s="4">
        <v>0</v>
      </c>
      <c r="CD357" s="4">
        <v>16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2</v>
      </c>
      <c r="CK357" s="4">
        <v>0</v>
      </c>
      <c r="CL357" s="4">
        <v>0</v>
      </c>
      <c r="CM357" s="4">
        <v>6</v>
      </c>
      <c r="CN357" s="4">
        <v>35</v>
      </c>
      <c r="CO357" s="4">
        <v>2</v>
      </c>
      <c r="CP357" s="4">
        <v>0</v>
      </c>
      <c r="CQ357" s="4">
        <v>0</v>
      </c>
      <c r="CR357" s="4">
        <v>0</v>
      </c>
      <c r="CS357" s="4">
        <v>39</v>
      </c>
      <c r="CT357" s="4">
        <v>1</v>
      </c>
      <c r="CU357" s="4">
        <v>0</v>
      </c>
      <c r="CV357" s="4">
        <v>5</v>
      </c>
      <c r="CW357" s="4">
        <v>5</v>
      </c>
      <c r="CX357" s="3">
        <v>5</v>
      </c>
    </row>
    <row r="358" spans="1:102" ht="15.75" x14ac:dyDescent="0.25">
      <c r="A358" s="4" t="s">
        <v>339</v>
      </c>
      <c r="B358" s="4" t="s">
        <v>340</v>
      </c>
      <c r="C358" s="4">
        <v>2019</v>
      </c>
      <c r="D358" s="4">
        <v>11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9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3">
        <v>0</v>
      </c>
    </row>
    <row r="359" spans="1:102" ht="15.75" x14ac:dyDescent="0.25">
      <c r="A359" s="4" t="s">
        <v>341</v>
      </c>
      <c r="B359" s="4" t="s">
        <v>342</v>
      </c>
      <c r="C359" s="4">
        <v>2019</v>
      </c>
      <c r="D359" s="4">
        <v>352</v>
      </c>
      <c r="E359" s="4">
        <v>0</v>
      </c>
      <c r="F359" s="4">
        <v>0</v>
      </c>
      <c r="G359" s="4">
        <v>18</v>
      </c>
      <c r="H359" s="4">
        <v>6</v>
      </c>
      <c r="I359" s="4">
        <v>5</v>
      </c>
      <c r="J359" s="4">
        <v>2</v>
      </c>
      <c r="K359" s="4">
        <v>1</v>
      </c>
      <c r="L359" s="4">
        <v>6</v>
      </c>
      <c r="M359" s="4">
        <v>1</v>
      </c>
      <c r="N359" s="4">
        <v>5</v>
      </c>
      <c r="O359" s="4">
        <v>66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1</v>
      </c>
      <c r="W359" s="4">
        <v>0</v>
      </c>
      <c r="X359" s="4">
        <v>0</v>
      </c>
      <c r="Y359" s="4">
        <v>0</v>
      </c>
      <c r="Z359" s="4">
        <v>0</v>
      </c>
      <c r="AA359" s="4">
        <v>2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</v>
      </c>
      <c r="AH359" s="4">
        <v>0</v>
      </c>
      <c r="AI359" s="4">
        <v>3</v>
      </c>
      <c r="AJ359" s="4">
        <v>45</v>
      </c>
      <c r="AK359" s="4">
        <v>8</v>
      </c>
      <c r="AL359" s="4">
        <v>0</v>
      </c>
      <c r="AM359" s="4">
        <v>1</v>
      </c>
      <c r="AN359" s="4">
        <v>1</v>
      </c>
      <c r="AO359" s="4">
        <v>3</v>
      </c>
      <c r="AP359" s="4">
        <v>0</v>
      </c>
      <c r="AQ359" s="4">
        <v>1</v>
      </c>
      <c r="AR359" s="4">
        <v>0</v>
      </c>
      <c r="AS359" s="4">
        <v>1</v>
      </c>
      <c r="AT359" s="4">
        <v>2</v>
      </c>
      <c r="AU359" s="4">
        <v>1</v>
      </c>
      <c r="AV359" s="4">
        <v>0</v>
      </c>
      <c r="AW359" s="4">
        <v>1</v>
      </c>
      <c r="AX359" s="4">
        <v>2</v>
      </c>
      <c r="AY359" s="4">
        <v>0</v>
      </c>
      <c r="AZ359" s="4">
        <v>5</v>
      </c>
      <c r="BA359" s="4">
        <v>0</v>
      </c>
      <c r="BB359" s="4">
        <v>7</v>
      </c>
      <c r="BC359" s="4">
        <v>47</v>
      </c>
      <c r="BD359" s="4">
        <v>0</v>
      </c>
      <c r="BE359" s="4">
        <v>1</v>
      </c>
      <c r="BF359" s="4">
        <v>3</v>
      </c>
      <c r="BG359" s="4">
        <v>0</v>
      </c>
      <c r="BH359" s="4">
        <v>0</v>
      </c>
      <c r="BI359" s="4">
        <v>0</v>
      </c>
      <c r="BJ359" s="4">
        <v>4</v>
      </c>
      <c r="BK359" s="4">
        <v>4</v>
      </c>
      <c r="BL359" s="4">
        <v>0</v>
      </c>
      <c r="BM359" s="4">
        <v>0</v>
      </c>
      <c r="BN359" s="4">
        <v>3</v>
      </c>
      <c r="BO359" s="4">
        <v>0</v>
      </c>
      <c r="BP359" s="4">
        <v>0</v>
      </c>
      <c r="BQ359" s="4">
        <v>3</v>
      </c>
      <c r="BR359" s="4">
        <v>1</v>
      </c>
      <c r="BS359" s="4">
        <v>5</v>
      </c>
      <c r="BT359" s="4">
        <v>3</v>
      </c>
      <c r="BU359" s="4">
        <v>0</v>
      </c>
      <c r="BV359" s="4">
        <v>4</v>
      </c>
      <c r="BW359" s="4">
        <v>2</v>
      </c>
      <c r="BX359" s="4">
        <v>34</v>
      </c>
      <c r="BY359" s="4">
        <v>0</v>
      </c>
      <c r="BZ359" s="4">
        <v>0</v>
      </c>
      <c r="CA359" s="4">
        <v>12</v>
      </c>
      <c r="CB359" s="4">
        <v>3</v>
      </c>
      <c r="CC359" s="4">
        <v>0</v>
      </c>
      <c r="CD359" s="4">
        <v>1</v>
      </c>
      <c r="CE359" s="4">
        <v>0</v>
      </c>
      <c r="CF359" s="4">
        <v>1</v>
      </c>
      <c r="CG359" s="4">
        <v>0</v>
      </c>
      <c r="CH359" s="4">
        <v>0</v>
      </c>
      <c r="CI359" s="4">
        <v>0</v>
      </c>
      <c r="CJ359" s="4">
        <v>3</v>
      </c>
      <c r="CK359" s="4">
        <v>0</v>
      </c>
      <c r="CL359" s="4">
        <v>0</v>
      </c>
      <c r="CM359" s="4">
        <v>2</v>
      </c>
      <c r="CN359" s="4">
        <v>5</v>
      </c>
      <c r="CO359" s="4">
        <v>3</v>
      </c>
      <c r="CP359" s="4">
        <v>1</v>
      </c>
      <c r="CQ359" s="4">
        <v>0</v>
      </c>
      <c r="CR359" s="4">
        <v>5</v>
      </c>
      <c r="CS359" s="4">
        <v>1</v>
      </c>
      <c r="CT359" s="4">
        <v>1</v>
      </c>
      <c r="CU359" s="4">
        <v>0</v>
      </c>
      <c r="CV359" s="4">
        <v>9</v>
      </c>
      <c r="CW359" s="4">
        <v>0</v>
      </c>
      <c r="CX359" s="3">
        <v>0</v>
      </c>
    </row>
    <row r="360" spans="1:102" ht="15.75" x14ac:dyDescent="0.25">
      <c r="A360" s="4" t="s">
        <v>343</v>
      </c>
      <c r="B360" s="4" t="s">
        <v>344</v>
      </c>
      <c r="C360" s="4">
        <v>2019</v>
      </c>
      <c r="D360" s="4">
        <v>21</v>
      </c>
      <c r="E360" s="4">
        <v>0</v>
      </c>
      <c r="F360" s="4">
        <v>2</v>
      </c>
      <c r="G360" s="4">
        <v>2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1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1</v>
      </c>
      <c r="AW360" s="4">
        <v>0</v>
      </c>
      <c r="AX360" s="4">
        <v>1</v>
      </c>
      <c r="AY360" s="4">
        <v>0</v>
      </c>
      <c r="AZ360" s="4">
        <v>0</v>
      </c>
      <c r="BA360" s="4">
        <v>0</v>
      </c>
      <c r="BB360" s="4">
        <v>2</v>
      </c>
      <c r="BC360" s="4">
        <v>0</v>
      </c>
      <c r="BD360" s="4">
        <v>0</v>
      </c>
      <c r="BE360" s="4">
        <v>0</v>
      </c>
      <c r="BF360" s="4">
        <v>1</v>
      </c>
      <c r="BG360" s="4">
        <v>1</v>
      </c>
      <c r="BH360" s="4">
        <v>0</v>
      </c>
      <c r="BI360" s="4">
        <v>0</v>
      </c>
      <c r="BJ360" s="4">
        <v>1</v>
      </c>
      <c r="BK360" s="4">
        <v>1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2</v>
      </c>
      <c r="BT360" s="4">
        <v>0</v>
      </c>
      <c r="BU360" s="4">
        <v>0</v>
      </c>
      <c r="BV360" s="4">
        <v>0</v>
      </c>
      <c r="BW360" s="4">
        <v>1</v>
      </c>
      <c r="BX360" s="4">
        <v>1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1</v>
      </c>
      <c r="CW360" s="4">
        <v>0</v>
      </c>
      <c r="CX360" s="3">
        <v>0</v>
      </c>
    </row>
    <row r="361" spans="1:102" ht="15.75" x14ac:dyDescent="0.25">
      <c r="A361" s="4" t="s">
        <v>345</v>
      </c>
      <c r="B361" s="4" t="s">
        <v>346</v>
      </c>
      <c r="C361" s="4">
        <v>2019</v>
      </c>
      <c r="D361" s="4">
        <v>22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1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1</v>
      </c>
      <c r="BK361" s="4">
        <v>0</v>
      </c>
      <c r="BL361" s="4">
        <v>0</v>
      </c>
      <c r="BM361" s="4">
        <v>0</v>
      </c>
      <c r="BN361" s="4">
        <v>2</v>
      </c>
      <c r="BO361" s="4">
        <v>0</v>
      </c>
      <c r="BP361" s="4">
        <v>0</v>
      </c>
      <c r="BQ361" s="4">
        <v>0</v>
      </c>
      <c r="BR361" s="4">
        <v>0</v>
      </c>
      <c r="BS361" s="4">
        <v>13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1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1</v>
      </c>
      <c r="CO361" s="4">
        <v>0</v>
      </c>
      <c r="CP361" s="4">
        <v>0</v>
      </c>
      <c r="CQ361" s="4">
        <v>0</v>
      </c>
      <c r="CR361" s="4">
        <v>1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3">
        <v>0</v>
      </c>
    </row>
    <row r="362" spans="1:102" ht="15.75" x14ac:dyDescent="0.25">
      <c r="A362" s="4" t="s">
        <v>347</v>
      </c>
      <c r="B362" s="4" t="s">
        <v>348</v>
      </c>
      <c r="C362" s="4">
        <v>2019</v>
      </c>
      <c r="D362" s="4">
        <v>291</v>
      </c>
      <c r="E362" s="4">
        <v>0</v>
      </c>
      <c r="F362" s="4">
        <v>0</v>
      </c>
      <c r="G362" s="4">
        <v>1</v>
      </c>
      <c r="H362" s="4">
        <v>0</v>
      </c>
      <c r="I362" s="4">
        <v>0</v>
      </c>
      <c r="J362" s="4">
        <v>0</v>
      </c>
      <c r="K362" s="4">
        <v>0</v>
      </c>
      <c r="L362" s="4">
        <v>1</v>
      </c>
      <c r="M362" s="4">
        <v>2</v>
      </c>
      <c r="N362" s="4">
        <v>2</v>
      </c>
      <c r="O362" s="4">
        <v>23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2</v>
      </c>
      <c r="V362" s="4">
        <v>1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1</v>
      </c>
      <c r="AH362" s="4">
        <v>1</v>
      </c>
      <c r="AI362" s="4">
        <v>4</v>
      </c>
      <c r="AJ362" s="4">
        <v>9</v>
      </c>
      <c r="AK362" s="4">
        <v>2</v>
      </c>
      <c r="AL362" s="4">
        <v>0</v>
      </c>
      <c r="AM362" s="4">
        <v>2</v>
      </c>
      <c r="AN362" s="4">
        <v>1</v>
      </c>
      <c r="AO362" s="4">
        <v>5</v>
      </c>
      <c r="AP362" s="4">
        <v>0</v>
      </c>
      <c r="AQ362" s="4">
        <v>0</v>
      </c>
      <c r="AR362" s="4">
        <v>0</v>
      </c>
      <c r="AS362" s="4">
        <v>13</v>
      </c>
      <c r="AT362" s="4">
        <v>8</v>
      </c>
      <c r="AU362" s="4">
        <v>1</v>
      </c>
      <c r="AV362" s="4">
        <v>4</v>
      </c>
      <c r="AW362" s="4">
        <v>0</v>
      </c>
      <c r="AX362" s="4">
        <v>37</v>
      </c>
      <c r="AY362" s="4">
        <v>0</v>
      </c>
      <c r="AZ362" s="4">
        <v>5</v>
      </c>
      <c r="BA362" s="4">
        <v>0</v>
      </c>
      <c r="BB362" s="4">
        <v>1</v>
      </c>
      <c r="BC362" s="4">
        <v>0</v>
      </c>
      <c r="BD362" s="4">
        <v>0</v>
      </c>
      <c r="BE362" s="4">
        <v>2</v>
      </c>
      <c r="BF362" s="4">
        <v>5</v>
      </c>
      <c r="BG362" s="4">
        <v>0</v>
      </c>
      <c r="BH362" s="4">
        <v>0</v>
      </c>
      <c r="BI362" s="4">
        <v>0</v>
      </c>
      <c r="BJ362" s="4">
        <v>3</v>
      </c>
      <c r="BK362" s="4">
        <v>5</v>
      </c>
      <c r="BL362" s="4">
        <v>0</v>
      </c>
      <c r="BM362" s="4">
        <v>0</v>
      </c>
      <c r="BN362" s="4">
        <v>1</v>
      </c>
      <c r="BO362" s="4">
        <v>0</v>
      </c>
      <c r="BP362" s="4">
        <v>0</v>
      </c>
      <c r="BQ362" s="4">
        <v>1</v>
      </c>
      <c r="BR362" s="4">
        <v>0</v>
      </c>
      <c r="BS362" s="4">
        <v>7</v>
      </c>
      <c r="BT362" s="4">
        <v>10</v>
      </c>
      <c r="BU362" s="4">
        <v>0</v>
      </c>
      <c r="BV362" s="4">
        <v>1</v>
      </c>
      <c r="BW362" s="4">
        <v>3</v>
      </c>
      <c r="BX362" s="4">
        <v>96</v>
      </c>
      <c r="BY362" s="4">
        <v>0</v>
      </c>
      <c r="BZ362" s="4">
        <v>0</v>
      </c>
      <c r="CA362" s="4">
        <v>1</v>
      </c>
      <c r="CB362" s="4">
        <v>0</v>
      </c>
      <c r="CC362" s="4">
        <v>0</v>
      </c>
      <c r="CD362" s="4">
        <v>1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1</v>
      </c>
      <c r="CK362" s="4">
        <v>0</v>
      </c>
      <c r="CL362" s="4">
        <v>0</v>
      </c>
      <c r="CM362" s="4">
        <v>1</v>
      </c>
      <c r="CN362" s="4">
        <v>8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4</v>
      </c>
      <c r="CU362" s="4">
        <v>0</v>
      </c>
      <c r="CV362" s="4">
        <v>5</v>
      </c>
      <c r="CW362" s="4">
        <v>6</v>
      </c>
      <c r="CX362" s="3">
        <v>6</v>
      </c>
    </row>
    <row r="363" spans="1:102" ht="15.75" x14ac:dyDescent="0.25">
      <c r="A363" s="4" t="s">
        <v>349</v>
      </c>
      <c r="B363" s="4" t="s">
        <v>350</v>
      </c>
      <c r="C363" s="4">
        <v>2019</v>
      </c>
      <c r="D363" s="4">
        <v>8</v>
      </c>
      <c r="E363" s="4">
        <v>0</v>
      </c>
      <c r="F363" s="4">
        <v>1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1</v>
      </c>
      <c r="BG363" s="4">
        <v>0</v>
      </c>
      <c r="BH363" s="4">
        <v>0</v>
      </c>
      <c r="BI363" s="4">
        <v>0</v>
      </c>
      <c r="BJ363" s="4">
        <v>1</v>
      </c>
      <c r="BK363" s="4">
        <v>1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3">
        <v>0</v>
      </c>
    </row>
    <row r="364" spans="1:102" ht="15.75" x14ac:dyDescent="0.25">
      <c r="A364" s="4" t="s">
        <v>351</v>
      </c>
      <c r="B364" s="4" t="s">
        <v>352</v>
      </c>
      <c r="C364" s="4">
        <v>2019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3">
        <v>0</v>
      </c>
    </row>
    <row r="365" spans="1:102" ht="15.75" x14ac:dyDescent="0.25">
      <c r="A365" s="4" t="s">
        <v>353</v>
      </c>
      <c r="B365" s="4" t="s">
        <v>354</v>
      </c>
      <c r="C365" s="4">
        <v>2019</v>
      </c>
      <c r="D365" s="4">
        <v>602</v>
      </c>
      <c r="E365" s="4">
        <v>0</v>
      </c>
      <c r="F365" s="4">
        <v>1</v>
      </c>
      <c r="G365" s="4">
        <v>3</v>
      </c>
      <c r="H365" s="4">
        <v>11</v>
      </c>
      <c r="I365" s="4">
        <v>5</v>
      </c>
      <c r="J365" s="4">
        <v>1</v>
      </c>
      <c r="K365" s="4">
        <v>1</v>
      </c>
      <c r="L365" s="4">
        <v>6</v>
      </c>
      <c r="M365" s="4">
        <v>1</v>
      </c>
      <c r="N365" s="4">
        <v>6</v>
      </c>
      <c r="O365" s="4">
        <v>68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25</v>
      </c>
      <c r="V365" s="4">
        <v>0</v>
      </c>
      <c r="W365" s="4">
        <v>6</v>
      </c>
      <c r="X365" s="4">
        <v>1</v>
      </c>
      <c r="Y365" s="4">
        <v>0</v>
      </c>
      <c r="Z365" s="4">
        <v>69</v>
      </c>
      <c r="AA365" s="4">
        <v>52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4</v>
      </c>
      <c r="AH365" s="4">
        <v>0</v>
      </c>
      <c r="AI365" s="4">
        <v>3</v>
      </c>
      <c r="AJ365" s="4">
        <v>12</v>
      </c>
      <c r="AK365" s="4">
        <v>10</v>
      </c>
      <c r="AL365" s="4">
        <v>5</v>
      </c>
      <c r="AM365" s="4">
        <v>16</v>
      </c>
      <c r="AN365" s="4">
        <v>8</v>
      </c>
      <c r="AO365" s="4">
        <v>13</v>
      </c>
      <c r="AP365" s="4">
        <v>0</v>
      </c>
      <c r="AQ365" s="4">
        <v>2</v>
      </c>
      <c r="AR365" s="4">
        <v>0</v>
      </c>
      <c r="AS365" s="4">
        <v>3</v>
      </c>
      <c r="AT365" s="4">
        <v>23</v>
      </c>
      <c r="AU365" s="4">
        <v>3</v>
      </c>
      <c r="AV365" s="4">
        <v>3</v>
      </c>
      <c r="AW365" s="4">
        <v>7</v>
      </c>
      <c r="AX365" s="4">
        <v>7</v>
      </c>
      <c r="AY365" s="4">
        <v>0</v>
      </c>
      <c r="AZ365" s="4">
        <v>1</v>
      </c>
      <c r="BA365" s="4">
        <v>0</v>
      </c>
      <c r="BB365" s="4">
        <v>4</v>
      </c>
      <c r="BC365" s="4">
        <v>0</v>
      </c>
      <c r="BD365" s="4">
        <v>0</v>
      </c>
      <c r="BE365" s="4">
        <v>5</v>
      </c>
      <c r="BF365" s="4">
        <v>15</v>
      </c>
      <c r="BG365" s="4">
        <v>1</v>
      </c>
      <c r="BH365" s="4">
        <v>0</v>
      </c>
      <c r="BI365" s="4">
        <v>0</v>
      </c>
      <c r="BJ365" s="4">
        <v>7</v>
      </c>
      <c r="BK365" s="4">
        <v>12</v>
      </c>
      <c r="BL365" s="4">
        <v>0</v>
      </c>
      <c r="BM365" s="4">
        <v>3</v>
      </c>
      <c r="BN365" s="4">
        <v>22</v>
      </c>
      <c r="BO365" s="4">
        <v>1</v>
      </c>
      <c r="BP365" s="4">
        <v>3</v>
      </c>
      <c r="BQ365" s="4">
        <v>10</v>
      </c>
      <c r="BR365" s="4">
        <v>2</v>
      </c>
      <c r="BS365" s="4">
        <v>19</v>
      </c>
      <c r="BT365" s="4">
        <v>7</v>
      </c>
      <c r="BU365" s="4">
        <v>1</v>
      </c>
      <c r="BV365" s="4">
        <v>7</v>
      </c>
      <c r="BW365" s="4">
        <v>4</v>
      </c>
      <c r="BX365" s="4">
        <v>13</v>
      </c>
      <c r="BY365" s="4">
        <v>0</v>
      </c>
      <c r="BZ365" s="4">
        <v>0</v>
      </c>
      <c r="CA365" s="4">
        <v>4</v>
      </c>
      <c r="CB365" s="4">
        <v>0</v>
      </c>
      <c r="CC365" s="4">
        <v>0</v>
      </c>
      <c r="CD365" s="4">
        <v>1</v>
      </c>
      <c r="CE365" s="4">
        <v>0</v>
      </c>
      <c r="CF365" s="4">
        <v>1</v>
      </c>
      <c r="CG365" s="4">
        <v>1</v>
      </c>
      <c r="CH365" s="4">
        <v>1</v>
      </c>
      <c r="CI365" s="4">
        <v>1</v>
      </c>
      <c r="CJ365" s="4">
        <v>13</v>
      </c>
      <c r="CK365" s="4">
        <v>2</v>
      </c>
      <c r="CL365" s="4">
        <v>0</v>
      </c>
      <c r="CM365" s="4">
        <v>1</v>
      </c>
      <c r="CN365" s="4">
        <v>27</v>
      </c>
      <c r="CO365" s="4">
        <v>1</v>
      </c>
      <c r="CP365" s="4">
        <v>1</v>
      </c>
      <c r="CQ365" s="4">
        <v>0</v>
      </c>
      <c r="CR365" s="4">
        <v>0</v>
      </c>
      <c r="CS365" s="4">
        <v>0</v>
      </c>
      <c r="CT365" s="4">
        <v>12</v>
      </c>
      <c r="CU365" s="4">
        <v>1</v>
      </c>
      <c r="CV365" s="4">
        <v>19</v>
      </c>
      <c r="CW365" s="4">
        <v>0</v>
      </c>
      <c r="CX365" s="3">
        <v>0</v>
      </c>
    </row>
    <row r="366" spans="1:102" ht="15.75" x14ac:dyDescent="0.25">
      <c r="A366" s="4" t="s">
        <v>355</v>
      </c>
      <c r="B366" s="4" t="s">
        <v>356</v>
      </c>
      <c r="C366" s="4">
        <v>2019</v>
      </c>
      <c r="D366" s="4">
        <v>249</v>
      </c>
      <c r="E366" s="4">
        <v>0</v>
      </c>
      <c r="F366" s="4">
        <v>0</v>
      </c>
      <c r="G366" s="4">
        <v>1</v>
      </c>
      <c r="H366" s="4">
        <v>5</v>
      </c>
      <c r="I366" s="4">
        <v>0</v>
      </c>
      <c r="J366" s="4">
        <v>0</v>
      </c>
      <c r="K366" s="4">
        <v>0</v>
      </c>
      <c r="L366" s="4">
        <v>1</v>
      </c>
      <c r="M366" s="4">
        <v>0</v>
      </c>
      <c r="N366" s="4">
        <v>2</v>
      </c>
      <c r="O366" s="4">
        <v>2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1</v>
      </c>
      <c r="W366" s="4">
        <v>4</v>
      </c>
      <c r="X366" s="4">
        <v>0</v>
      </c>
      <c r="Y366" s="4">
        <v>0</v>
      </c>
      <c r="Z366" s="4">
        <v>0</v>
      </c>
      <c r="AA366" s="4">
        <v>1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1</v>
      </c>
      <c r="AH366" s="4">
        <v>0</v>
      </c>
      <c r="AI366" s="4">
        <v>12</v>
      </c>
      <c r="AJ366" s="4">
        <v>1</v>
      </c>
      <c r="AK366" s="4">
        <v>1</v>
      </c>
      <c r="AL366" s="4">
        <v>0</v>
      </c>
      <c r="AM366" s="4">
        <v>10</v>
      </c>
      <c r="AN366" s="4">
        <v>30</v>
      </c>
      <c r="AO366" s="4">
        <v>2</v>
      </c>
      <c r="AP366" s="4">
        <v>0</v>
      </c>
      <c r="AQ366" s="4">
        <v>6</v>
      </c>
      <c r="AR366" s="4">
        <v>0</v>
      </c>
      <c r="AS366" s="4">
        <v>12</v>
      </c>
      <c r="AT366" s="4">
        <v>4</v>
      </c>
      <c r="AU366" s="4">
        <v>5</v>
      </c>
      <c r="AV366" s="4">
        <v>2</v>
      </c>
      <c r="AW366" s="4">
        <v>7</v>
      </c>
      <c r="AX366" s="4">
        <v>4</v>
      </c>
      <c r="AY366" s="4">
        <v>0</v>
      </c>
      <c r="AZ366" s="4">
        <v>0</v>
      </c>
      <c r="BA366" s="4">
        <v>0</v>
      </c>
      <c r="BB366" s="4">
        <v>1</v>
      </c>
      <c r="BC366" s="4">
        <v>0</v>
      </c>
      <c r="BD366" s="4">
        <v>0</v>
      </c>
      <c r="BE366" s="4">
        <v>4</v>
      </c>
      <c r="BF366" s="4">
        <v>6</v>
      </c>
      <c r="BG366" s="4">
        <v>1</v>
      </c>
      <c r="BH366" s="4">
        <v>0</v>
      </c>
      <c r="BI366" s="4">
        <v>0</v>
      </c>
      <c r="BJ366" s="4">
        <v>5</v>
      </c>
      <c r="BK366" s="4">
        <v>4</v>
      </c>
      <c r="BL366" s="4">
        <v>0</v>
      </c>
      <c r="BM366" s="4">
        <v>1</v>
      </c>
      <c r="BN366" s="4">
        <v>6</v>
      </c>
      <c r="BO366" s="4">
        <v>0</v>
      </c>
      <c r="BP366" s="4">
        <v>2</v>
      </c>
      <c r="BQ366" s="4">
        <v>14</v>
      </c>
      <c r="BR366" s="4">
        <v>1</v>
      </c>
      <c r="BS366" s="4">
        <v>6</v>
      </c>
      <c r="BT366" s="4">
        <v>3</v>
      </c>
      <c r="BU366" s="4">
        <v>0</v>
      </c>
      <c r="BV366" s="4">
        <v>2</v>
      </c>
      <c r="BW366" s="4">
        <v>1</v>
      </c>
      <c r="BX366" s="4">
        <v>16</v>
      </c>
      <c r="BY366" s="4">
        <v>0</v>
      </c>
      <c r="BZ366" s="4">
        <v>0</v>
      </c>
      <c r="CA366" s="4">
        <v>2</v>
      </c>
      <c r="CB366" s="4">
        <v>0</v>
      </c>
      <c r="CC366" s="4">
        <v>0</v>
      </c>
      <c r="CD366" s="4">
        <v>0</v>
      </c>
      <c r="CE366" s="4">
        <v>0</v>
      </c>
      <c r="CF366" s="4">
        <v>1</v>
      </c>
      <c r="CG366" s="4">
        <v>0</v>
      </c>
      <c r="CH366" s="4">
        <v>4</v>
      </c>
      <c r="CI366" s="4">
        <v>2</v>
      </c>
      <c r="CJ366" s="4">
        <v>11</v>
      </c>
      <c r="CK366" s="4">
        <v>2</v>
      </c>
      <c r="CL366" s="4">
        <v>0</v>
      </c>
      <c r="CM366" s="4">
        <v>1</v>
      </c>
      <c r="CN366" s="4">
        <v>12</v>
      </c>
      <c r="CO366" s="4">
        <v>3</v>
      </c>
      <c r="CP366" s="4">
        <v>0</v>
      </c>
      <c r="CQ366" s="4">
        <v>0</v>
      </c>
      <c r="CR366" s="4">
        <v>1</v>
      </c>
      <c r="CS366" s="4">
        <v>0</v>
      </c>
      <c r="CT366" s="4">
        <v>3</v>
      </c>
      <c r="CU366" s="4">
        <v>2</v>
      </c>
      <c r="CV366" s="4">
        <v>18</v>
      </c>
      <c r="CW366" s="4">
        <v>0</v>
      </c>
      <c r="CX366" s="3">
        <v>0</v>
      </c>
    </row>
    <row r="367" spans="1:102" ht="15.75" x14ac:dyDescent="0.25">
      <c r="A367" s="4" t="s">
        <v>357</v>
      </c>
      <c r="B367" s="4" t="s">
        <v>358</v>
      </c>
      <c r="C367" s="4">
        <v>2019</v>
      </c>
      <c r="D367" s="4">
        <v>399</v>
      </c>
      <c r="E367" s="4">
        <v>0</v>
      </c>
      <c r="F367" s="4">
        <v>1</v>
      </c>
      <c r="G367" s="4">
        <v>0</v>
      </c>
      <c r="H367" s="4">
        <v>4</v>
      </c>
      <c r="I367" s="4">
        <v>1</v>
      </c>
      <c r="J367" s="4">
        <v>2</v>
      </c>
      <c r="K367" s="4">
        <v>0</v>
      </c>
      <c r="L367" s="4">
        <v>1</v>
      </c>
      <c r="M367" s="4">
        <v>1</v>
      </c>
      <c r="N367" s="4">
        <v>5</v>
      </c>
      <c r="O367" s="4">
        <v>183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14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1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</v>
      </c>
      <c r="AH367" s="4">
        <v>0</v>
      </c>
      <c r="AI367" s="4">
        <v>2</v>
      </c>
      <c r="AJ367" s="4">
        <v>2</v>
      </c>
      <c r="AK367" s="4">
        <v>7</v>
      </c>
      <c r="AL367" s="4">
        <v>1</v>
      </c>
      <c r="AM367" s="4">
        <v>3</v>
      </c>
      <c r="AN367" s="4">
        <v>3</v>
      </c>
      <c r="AO367" s="4">
        <v>9</v>
      </c>
      <c r="AP367" s="4">
        <v>0</v>
      </c>
      <c r="AQ367" s="4">
        <v>1</v>
      </c>
      <c r="AR367" s="4">
        <v>0</v>
      </c>
      <c r="AS367" s="4">
        <v>3</v>
      </c>
      <c r="AT367" s="4">
        <v>5</v>
      </c>
      <c r="AU367" s="4">
        <v>2</v>
      </c>
      <c r="AV367" s="4">
        <v>2</v>
      </c>
      <c r="AW367" s="4">
        <v>0</v>
      </c>
      <c r="AX367" s="4">
        <v>6</v>
      </c>
      <c r="AY367" s="4">
        <v>0</v>
      </c>
      <c r="AZ367" s="4">
        <v>1</v>
      </c>
      <c r="BA367" s="4">
        <v>0</v>
      </c>
      <c r="BB367" s="4">
        <v>1</v>
      </c>
      <c r="BC367" s="4">
        <v>1</v>
      </c>
      <c r="BD367" s="4">
        <v>0</v>
      </c>
      <c r="BE367" s="4">
        <v>3</v>
      </c>
      <c r="BF367" s="4">
        <v>6</v>
      </c>
      <c r="BG367" s="4">
        <v>0</v>
      </c>
      <c r="BH367" s="4">
        <v>1</v>
      </c>
      <c r="BI367" s="4">
        <v>0</v>
      </c>
      <c r="BJ367" s="4">
        <v>5</v>
      </c>
      <c r="BK367" s="4">
        <v>6</v>
      </c>
      <c r="BL367" s="4">
        <v>0</v>
      </c>
      <c r="BM367" s="4">
        <v>1</v>
      </c>
      <c r="BN367" s="4">
        <v>8</v>
      </c>
      <c r="BO367" s="4">
        <v>0</v>
      </c>
      <c r="BP367" s="4">
        <v>1</v>
      </c>
      <c r="BQ367" s="4">
        <v>15</v>
      </c>
      <c r="BR367" s="4">
        <v>1</v>
      </c>
      <c r="BS367" s="4">
        <v>15</v>
      </c>
      <c r="BT367" s="4">
        <v>4</v>
      </c>
      <c r="BU367" s="4">
        <v>0</v>
      </c>
      <c r="BV367" s="4">
        <v>5</v>
      </c>
      <c r="BW367" s="4">
        <v>1</v>
      </c>
      <c r="BX367" s="4">
        <v>20</v>
      </c>
      <c r="BY367" s="4">
        <v>0</v>
      </c>
      <c r="BZ367" s="4">
        <v>0</v>
      </c>
      <c r="CA367" s="4">
        <v>2</v>
      </c>
      <c r="CB367" s="4">
        <v>0</v>
      </c>
      <c r="CC367" s="4">
        <v>0</v>
      </c>
      <c r="CD367" s="4">
        <v>1</v>
      </c>
      <c r="CE367" s="4">
        <v>0</v>
      </c>
      <c r="CF367" s="4">
        <v>1</v>
      </c>
      <c r="CG367" s="4">
        <v>1</v>
      </c>
      <c r="CH367" s="4">
        <v>0</v>
      </c>
      <c r="CI367" s="4">
        <v>1</v>
      </c>
      <c r="CJ367" s="4">
        <v>14</v>
      </c>
      <c r="CK367" s="4">
        <v>4</v>
      </c>
      <c r="CL367" s="4">
        <v>0</v>
      </c>
      <c r="CM367" s="4">
        <v>0</v>
      </c>
      <c r="CN367" s="4">
        <v>5</v>
      </c>
      <c r="CO367" s="4">
        <v>1</v>
      </c>
      <c r="CP367" s="4">
        <v>1</v>
      </c>
      <c r="CQ367" s="4">
        <v>0</v>
      </c>
      <c r="CR367" s="4">
        <v>0</v>
      </c>
      <c r="CS367" s="4">
        <v>0</v>
      </c>
      <c r="CT367" s="4">
        <v>2</v>
      </c>
      <c r="CU367" s="4">
        <v>1</v>
      </c>
      <c r="CV367" s="4">
        <v>10</v>
      </c>
      <c r="CW367" s="4">
        <v>0</v>
      </c>
      <c r="CX367" s="3">
        <v>0</v>
      </c>
    </row>
    <row r="368" spans="1:102" ht="15.75" x14ac:dyDescent="0.25">
      <c r="A368" s="4" t="s">
        <v>359</v>
      </c>
      <c r="B368" s="4" t="s">
        <v>360</v>
      </c>
      <c r="C368" s="4">
        <v>2019</v>
      </c>
      <c r="D368" s="4">
        <v>210</v>
      </c>
      <c r="E368" s="4">
        <v>0</v>
      </c>
      <c r="F368" s="4">
        <v>0</v>
      </c>
      <c r="G368" s="4">
        <v>2</v>
      </c>
      <c r="H368" s="4">
        <v>0</v>
      </c>
      <c r="I368" s="4">
        <v>5</v>
      </c>
      <c r="J368" s="4">
        <v>1</v>
      </c>
      <c r="K368" s="4">
        <v>0</v>
      </c>
      <c r="L368" s="4">
        <v>11</v>
      </c>
      <c r="M368" s="4">
        <v>0</v>
      </c>
      <c r="N368" s="4">
        <v>3</v>
      </c>
      <c r="O368" s="4">
        <v>44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2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1</v>
      </c>
      <c r="AH368" s="4">
        <v>0</v>
      </c>
      <c r="AI368" s="4">
        <v>2</v>
      </c>
      <c r="AJ368" s="4">
        <v>40</v>
      </c>
      <c r="AK368" s="4">
        <v>6</v>
      </c>
      <c r="AL368" s="4">
        <v>0</v>
      </c>
      <c r="AM368" s="4">
        <v>1</v>
      </c>
      <c r="AN368" s="4">
        <v>0</v>
      </c>
      <c r="AO368" s="4">
        <v>5</v>
      </c>
      <c r="AP368" s="4">
        <v>0</v>
      </c>
      <c r="AQ368" s="4">
        <v>0</v>
      </c>
      <c r="AR368" s="4">
        <v>0</v>
      </c>
      <c r="AS368" s="4">
        <v>0</v>
      </c>
      <c r="AT368" s="4">
        <v>1</v>
      </c>
      <c r="AU368" s="4">
        <v>0</v>
      </c>
      <c r="AV368" s="4">
        <v>2</v>
      </c>
      <c r="AW368" s="4">
        <v>0</v>
      </c>
      <c r="AX368" s="4">
        <v>4</v>
      </c>
      <c r="AY368" s="4">
        <v>0</v>
      </c>
      <c r="AZ368" s="4">
        <v>5</v>
      </c>
      <c r="BA368" s="4">
        <v>0</v>
      </c>
      <c r="BB368" s="4">
        <v>5</v>
      </c>
      <c r="BC368" s="4">
        <v>0</v>
      </c>
      <c r="BD368" s="4">
        <v>0</v>
      </c>
      <c r="BE368" s="4">
        <v>9</v>
      </c>
      <c r="BF368" s="4">
        <v>2</v>
      </c>
      <c r="BG368" s="4">
        <v>1</v>
      </c>
      <c r="BH368" s="4">
        <v>0</v>
      </c>
      <c r="BI368" s="4">
        <v>0</v>
      </c>
      <c r="BJ368" s="4">
        <v>7</v>
      </c>
      <c r="BK368" s="4">
        <v>4</v>
      </c>
      <c r="BL368" s="4">
        <v>0</v>
      </c>
      <c r="BM368" s="4">
        <v>1</v>
      </c>
      <c r="BN368" s="4">
        <v>3</v>
      </c>
      <c r="BO368" s="4">
        <v>0</v>
      </c>
      <c r="BP368" s="4">
        <v>0</v>
      </c>
      <c r="BQ368" s="4">
        <v>2</v>
      </c>
      <c r="BR368" s="4">
        <v>1</v>
      </c>
      <c r="BS368" s="4">
        <v>5</v>
      </c>
      <c r="BT368" s="4">
        <v>4</v>
      </c>
      <c r="BU368" s="4">
        <v>0</v>
      </c>
      <c r="BV368" s="4">
        <v>1</v>
      </c>
      <c r="BW368" s="4">
        <v>2</v>
      </c>
      <c r="BX368" s="4">
        <v>1</v>
      </c>
      <c r="BY368" s="4">
        <v>0</v>
      </c>
      <c r="BZ368" s="4">
        <v>0</v>
      </c>
      <c r="CA368" s="4">
        <v>1</v>
      </c>
      <c r="CB368" s="4">
        <v>0</v>
      </c>
      <c r="CC368" s="4">
        <v>0</v>
      </c>
      <c r="CD368" s="4">
        <v>0</v>
      </c>
      <c r="CE368" s="4">
        <v>0</v>
      </c>
      <c r="CF368" s="4">
        <v>1</v>
      </c>
      <c r="CG368" s="4">
        <v>0</v>
      </c>
      <c r="CH368" s="4">
        <v>1</v>
      </c>
      <c r="CI368" s="4">
        <v>0</v>
      </c>
      <c r="CJ368" s="4">
        <v>3</v>
      </c>
      <c r="CK368" s="4">
        <v>0</v>
      </c>
      <c r="CL368" s="4">
        <v>0</v>
      </c>
      <c r="CM368" s="4">
        <v>1</v>
      </c>
      <c r="CN368" s="4">
        <v>6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5</v>
      </c>
      <c r="CU368" s="4">
        <v>0</v>
      </c>
      <c r="CV368" s="4">
        <v>4</v>
      </c>
      <c r="CW368" s="4">
        <v>1</v>
      </c>
      <c r="CX368" s="3">
        <v>1</v>
      </c>
    </row>
    <row r="369" spans="1:102" ht="15.75" x14ac:dyDescent="0.25">
      <c r="A369" s="4" t="s">
        <v>361</v>
      </c>
      <c r="B369" s="4" t="s">
        <v>362</v>
      </c>
      <c r="C369" s="4">
        <v>2019</v>
      </c>
      <c r="D369" s="4">
        <v>673</v>
      </c>
      <c r="E369" s="4">
        <v>1</v>
      </c>
      <c r="F369" s="4">
        <v>0</v>
      </c>
      <c r="G369" s="4">
        <v>2</v>
      </c>
      <c r="H369" s="4">
        <v>0</v>
      </c>
      <c r="I369" s="4">
        <v>4</v>
      </c>
      <c r="J369" s="4">
        <v>6</v>
      </c>
      <c r="K369" s="4">
        <v>0</v>
      </c>
      <c r="L369" s="4">
        <v>1</v>
      </c>
      <c r="M369" s="4">
        <v>2</v>
      </c>
      <c r="N369" s="4">
        <v>1</v>
      </c>
      <c r="O369" s="4">
        <v>23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1</v>
      </c>
      <c r="V369" s="4">
        <v>3</v>
      </c>
      <c r="W369" s="4">
        <v>11</v>
      </c>
      <c r="X369" s="4">
        <v>0</v>
      </c>
      <c r="Y369" s="4">
        <v>0</v>
      </c>
      <c r="Z369" s="4">
        <v>0</v>
      </c>
      <c r="AA369" s="4">
        <v>1</v>
      </c>
      <c r="AB369" s="4">
        <v>117</v>
      </c>
      <c r="AC369" s="4">
        <v>0</v>
      </c>
      <c r="AD369" s="4">
        <v>0</v>
      </c>
      <c r="AE369" s="4">
        <v>0</v>
      </c>
      <c r="AF369" s="4">
        <v>0</v>
      </c>
      <c r="AG369" s="4">
        <v>2</v>
      </c>
      <c r="AH369" s="4">
        <v>0</v>
      </c>
      <c r="AI369" s="4">
        <v>3</v>
      </c>
      <c r="AJ369" s="4">
        <v>30</v>
      </c>
      <c r="AK369" s="4">
        <v>3</v>
      </c>
      <c r="AL369" s="4">
        <v>1</v>
      </c>
      <c r="AM369" s="4">
        <v>4</v>
      </c>
      <c r="AN369" s="4">
        <v>5</v>
      </c>
      <c r="AO369" s="4">
        <v>8</v>
      </c>
      <c r="AP369" s="4">
        <v>0</v>
      </c>
      <c r="AQ369" s="4">
        <v>3</v>
      </c>
      <c r="AR369" s="4">
        <v>2</v>
      </c>
      <c r="AS369" s="4">
        <v>2</v>
      </c>
      <c r="AT369" s="4">
        <v>14</v>
      </c>
      <c r="AU369" s="4">
        <v>6</v>
      </c>
      <c r="AV369" s="4">
        <v>2</v>
      </c>
      <c r="AW369" s="4">
        <v>0</v>
      </c>
      <c r="AX369" s="4">
        <v>5</v>
      </c>
      <c r="AY369" s="4">
        <v>0</v>
      </c>
      <c r="AZ369" s="4">
        <v>0</v>
      </c>
      <c r="BA369" s="4">
        <v>0</v>
      </c>
      <c r="BB369" s="4">
        <v>37</v>
      </c>
      <c r="BC369" s="4">
        <v>1</v>
      </c>
      <c r="BD369" s="4">
        <v>0</v>
      </c>
      <c r="BE369" s="4">
        <v>1</v>
      </c>
      <c r="BF369" s="4">
        <v>9</v>
      </c>
      <c r="BG369" s="4">
        <v>1</v>
      </c>
      <c r="BH369" s="4">
        <v>1</v>
      </c>
      <c r="BI369" s="4">
        <v>0</v>
      </c>
      <c r="BJ369" s="4">
        <v>6</v>
      </c>
      <c r="BK369" s="4">
        <v>9</v>
      </c>
      <c r="BL369" s="4">
        <v>0</v>
      </c>
      <c r="BM369" s="4">
        <v>1</v>
      </c>
      <c r="BN369" s="4">
        <v>5</v>
      </c>
      <c r="BO369" s="4">
        <v>0</v>
      </c>
      <c r="BP369" s="4">
        <v>0</v>
      </c>
      <c r="BQ369" s="4">
        <v>13</v>
      </c>
      <c r="BR369" s="4">
        <v>1</v>
      </c>
      <c r="BS369" s="4">
        <v>16</v>
      </c>
      <c r="BT369" s="4">
        <v>3</v>
      </c>
      <c r="BU369" s="4">
        <v>0</v>
      </c>
      <c r="BV369" s="4">
        <v>7</v>
      </c>
      <c r="BW369" s="4">
        <v>1</v>
      </c>
      <c r="BX369" s="4">
        <v>150</v>
      </c>
      <c r="BY369" s="4">
        <v>0</v>
      </c>
      <c r="BZ369" s="4">
        <v>0</v>
      </c>
      <c r="CA369" s="4">
        <v>94</v>
      </c>
      <c r="CB369" s="4">
        <v>4</v>
      </c>
      <c r="CC369" s="4">
        <v>0</v>
      </c>
      <c r="CD369" s="4">
        <v>1</v>
      </c>
      <c r="CE369" s="4">
        <v>0</v>
      </c>
      <c r="CF369" s="4">
        <v>1</v>
      </c>
      <c r="CG369" s="4">
        <v>1</v>
      </c>
      <c r="CH369" s="4">
        <v>1</v>
      </c>
      <c r="CI369" s="4">
        <v>0</v>
      </c>
      <c r="CJ369" s="4">
        <v>1</v>
      </c>
      <c r="CK369" s="4">
        <v>0</v>
      </c>
      <c r="CL369" s="4">
        <v>0</v>
      </c>
      <c r="CM369" s="4">
        <v>1</v>
      </c>
      <c r="CN369" s="4">
        <v>4</v>
      </c>
      <c r="CO369" s="4">
        <v>1</v>
      </c>
      <c r="CP369" s="4">
        <v>0</v>
      </c>
      <c r="CQ369" s="4">
        <v>0</v>
      </c>
      <c r="CR369" s="4">
        <v>2</v>
      </c>
      <c r="CS369" s="4">
        <v>22</v>
      </c>
      <c r="CT369" s="4">
        <v>3</v>
      </c>
      <c r="CU369" s="4">
        <v>1</v>
      </c>
      <c r="CV369" s="4">
        <v>8</v>
      </c>
      <c r="CW369" s="4">
        <v>1</v>
      </c>
      <c r="CX369" s="3">
        <v>1</v>
      </c>
    </row>
    <row r="370" spans="1:102" ht="15.75" x14ac:dyDescent="0.25">
      <c r="A370" s="4" t="s">
        <v>363</v>
      </c>
      <c r="B370" s="4" t="s">
        <v>364</v>
      </c>
      <c r="C370" s="4">
        <v>2019</v>
      </c>
      <c r="D370" s="4">
        <v>27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2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1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2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4</v>
      </c>
      <c r="BG370" s="4">
        <v>0</v>
      </c>
      <c r="BH370" s="4">
        <v>0</v>
      </c>
      <c r="BI370" s="4">
        <v>0</v>
      </c>
      <c r="BJ370" s="4">
        <v>0</v>
      </c>
      <c r="BK370" s="4">
        <v>2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2</v>
      </c>
      <c r="BX370" s="4">
        <v>7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1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1</v>
      </c>
      <c r="CW370" s="4">
        <v>0</v>
      </c>
      <c r="CX370" s="3">
        <v>0</v>
      </c>
    </row>
    <row r="371" spans="1:102" ht="15.75" x14ac:dyDescent="0.25">
      <c r="A371" s="4" t="s">
        <v>365</v>
      </c>
      <c r="B371" s="4" t="s">
        <v>366</v>
      </c>
      <c r="C371" s="4">
        <v>2019</v>
      </c>
      <c r="D371" s="4">
        <v>48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12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1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3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1</v>
      </c>
      <c r="BT371" s="4">
        <v>1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26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3">
        <v>0</v>
      </c>
    </row>
    <row r="372" spans="1:102" ht="15.75" x14ac:dyDescent="0.25">
      <c r="A372" s="4" t="s">
        <v>367</v>
      </c>
      <c r="B372" s="4" t="s">
        <v>368</v>
      </c>
      <c r="C372" s="4">
        <v>2019</v>
      </c>
      <c r="D372" s="4">
        <v>12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1</v>
      </c>
      <c r="AP372" s="4">
        <v>0</v>
      </c>
      <c r="AQ372" s="4">
        <v>0</v>
      </c>
      <c r="AR372" s="4">
        <v>0</v>
      </c>
      <c r="AS372" s="4">
        <v>0</v>
      </c>
      <c r="AT372" s="4">
        <v>2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2</v>
      </c>
      <c r="BK372" s="4">
        <v>1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1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1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3">
        <v>0</v>
      </c>
    </row>
    <row r="373" spans="1:102" ht="15.75" x14ac:dyDescent="0.25">
      <c r="A373" s="4" t="s">
        <v>369</v>
      </c>
      <c r="B373" s="4" t="s">
        <v>370</v>
      </c>
      <c r="C373" s="4">
        <v>2019</v>
      </c>
      <c r="D373" s="4">
        <v>2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2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3">
        <v>0</v>
      </c>
    </row>
    <row r="374" spans="1:102" ht="15.75" x14ac:dyDescent="0.25">
      <c r="A374" s="4" t="s">
        <v>371</v>
      </c>
      <c r="B374" s="4" t="s">
        <v>372</v>
      </c>
      <c r="C374" s="4">
        <v>2019</v>
      </c>
      <c r="D374" s="4">
        <v>1263</v>
      </c>
      <c r="E374" s="4">
        <v>0</v>
      </c>
      <c r="F374" s="4">
        <v>1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2</v>
      </c>
      <c r="O374" s="4">
        <v>4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77</v>
      </c>
      <c r="AI374" s="4">
        <v>1</v>
      </c>
      <c r="AJ374" s="4">
        <v>1</v>
      </c>
      <c r="AK374" s="4">
        <v>0</v>
      </c>
      <c r="AL374" s="4">
        <v>0</v>
      </c>
      <c r="AM374" s="4">
        <v>1</v>
      </c>
      <c r="AN374" s="4">
        <v>3</v>
      </c>
      <c r="AO374" s="4">
        <v>1</v>
      </c>
      <c r="AP374" s="4">
        <v>0</v>
      </c>
      <c r="AQ374" s="4">
        <v>0</v>
      </c>
      <c r="AR374" s="4">
        <v>0</v>
      </c>
      <c r="AS374" s="4">
        <v>0</v>
      </c>
      <c r="AT374" s="4">
        <v>4</v>
      </c>
      <c r="AU374" s="4">
        <v>0</v>
      </c>
      <c r="AV374" s="4">
        <v>0</v>
      </c>
      <c r="AW374" s="4">
        <v>1145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1</v>
      </c>
      <c r="BG374" s="4">
        <v>0</v>
      </c>
      <c r="BH374" s="4">
        <v>0</v>
      </c>
      <c r="BI374" s="4">
        <v>0</v>
      </c>
      <c r="BJ374" s="4">
        <v>1</v>
      </c>
      <c r="BK374" s="4">
        <v>3</v>
      </c>
      <c r="BL374" s="4">
        <v>0</v>
      </c>
      <c r="BM374" s="4">
        <v>0</v>
      </c>
      <c r="BN374" s="4">
        <v>1</v>
      </c>
      <c r="BO374" s="4">
        <v>0</v>
      </c>
      <c r="BP374" s="4">
        <v>0</v>
      </c>
      <c r="BQ374" s="4">
        <v>1</v>
      </c>
      <c r="BR374" s="4">
        <v>0</v>
      </c>
      <c r="BS374" s="4">
        <v>1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3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4</v>
      </c>
      <c r="CU374" s="4">
        <v>0</v>
      </c>
      <c r="CV374" s="4">
        <v>1</v>
      </c>
      <c r="CW374" s="4">
        <v>0</v>
      </c>
      <c r="CX374" s="3">
        <v>0</v>
      </c>
    </row>
    <row r="375" spans="1:102" ht="15.75" x14ac:dyDescent="0.25">
      <c r="A375" s="4" t="s">
        <v>373</v>
      </c>
      <c r="B375" s="4" t="s">
        <v>374</v>
      </c>
      <c r="C375" s="4">
        <v>2019</v>
      </c>
      <c r="D375" s="4">
        <v>38</v>
      </c>
      <c r="E375" s="4">
        <v>0</v>
      </c>
      <c r="F375" s="4">
        <v>0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1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1</v>
      </c>
      <c r="BA375" s="4">
        <v>0</v>
      </c>
      <c r="BB375" s="4">
        <v>1</v>
      </c>
      <c r="BC375" s="4">
        <v>0</v>
      </c>
      <c r="BD375" s="4">
        <v>0</v>
      </c>
      <c r="BE375" s="4">
        <v>1</v>
      </c>
      <c r="BF375" s="4">
        <v>0</v>
      </c>
      <c r="BG375" s="4">
        <v>0</v>
      </c>
      <c r="BH375" s="4">
        <v>0</v>
      </c>
      <c r="BI375" s="4">
        <v>0</v>
      </c>
      <c r="BJ375" s="4">
        <v>1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3</v>
      </c>
      <c r="BR375" s="4">
        <v>0</v>
      </c>
      <c r="BS375" s="4">
        <v>1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25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3">
        <v>0</v>
      </c>
    </row>
    <row r="376" spans="1:102" ht="15.75" x14ac:dyDescent="0.25">
      <c r="A376" s="4" t="s">
        <v>375</v>
      </c>
      <c r="B376" s="4" t="s">
        <v>376</v>
      </c>
      <c r="C376" s="4">
        <v>2019</v>
      </c>
      <c r="D376" s="4">
        <v>33</v>
      </c>
      <c r="E376" s="4">
        <v>0</v>
      </c>
      <c r="F376" s="4">
        <v>0</v>
      </c>
      <c r="G376" s="4">
        <v>1</v>
      </c>
      <c r="H376" s="4">
        <v>0</v>
      </c>
      <c r="I376" s="4">
        <v>0</v>
      </c>
      <c r="J376" s="4">
        <v>0</v>
      </c>
      <c r="K376" s="4">
        <v>2</v>
      </c>
      <c r="L376" s="4">
        <v>0</v>
      </c>
      <c r="M376" s="4">
        <v>4</v>
      </c>
      <c r="N376" s="4">
        <v>2</v>
      </c>
      <c r="O376" s="4">
        <v>3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2</v>
      </c>
      <c r="AK376" s="4">
        <v>1</v>
      </c>
      <c r="AL376" s="4">
        <v>0</v>
      </c>
      <c r="AM376" s="4">
        <v>0</v>
      </c>
      <c r="AN376" s="4">
        <v>0</v>
      </c>
      <c r="AO376" s="4">
        <v>1</v>
      </c>
      <c r="AP376" s="4">
        <v>0</v>
      </c>
      <c r="AQ376" s="4">
        <v>0</v>
      </c>
      <c r="AR376" s="4">
        <v>0</v>
      </c>
      <c r="AS376" s="4">
        <v>0</v>
      </c>
      <c r="AT376" s="4">
        <v>1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1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1</v>
      </c>
      <c r="BG376" s="4">
        <v>0</v>
      </c>
      <c r="BH376" s="4">
        <v>1</v>
      </c>
      <c r="BI376" s="4">
        <v>0</v>
      </c>
      <c r="BJ376" s="4">
        <v>0</v>
      </c>
      <c r="BK376" s="4">
        <v>1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1</v>
      </c>
      <c r="BT376" s="4">
        <v>0</v>
      </c>
      <c r="BU376" s="4">
        <v>0</v>
      </c>
      <c r="BV376" s="4">
        <v>0</v>
      </c>
      <c r="BW376" s="4">
        <v>0</v>
      </c>
      <c r="BX376" s="4">
        <v>5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1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3">
        <v>0</v>
      </c>
    </row>
    <row r="377" spans="1:102" ht="15.75" x14ac:dyDescent="0.25">
      <c r="A377" s="4" t="s">
        <v>377</v>
      </c>
      <c r="B377" s="4" t="s">
        <v>378</v>
      </c>
      <c r="C377" s="4">
        <v>2019</v>
      </c>
      <c r="D377" s="4">
        <v>19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1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1</v>
      </c>
      <c r="BC377" s="4">
        <v>2</v>
      </c>
      <c r="BD377" s="4">
        <v>0</v>
      </c>
      <c r="BE377" s="4">
        <v>1</v>
      </c>
      <c r="BF377" s="4">
        <v>2</v>
      </c>
      <c r="BG377" s="4">
        <v>0</v>
      </c>
      <c r="BH377" s="4">
        <v>0</v>
      </c>
      <c r="BI377" s="4">
        <v>0</v>
      </c>
      <c r="BJ377" s="4">
        <v>1</v>
      </c>
      <c r="BK377" s="4">
        <v>2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1</v>
      </c>
      <c r="BT377" s="4">
        <v>0</v>
      </c>
      <c r="BU377" s="4">
        <v>0</v>
      </c>
      <c r="BV377" s="4">
        <v>1</v>
      </c>
      <c r="BW377" s="4">
        <v>1</v>
      </c>
      <c r="BX377" s="4">
        <v>3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1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1</v>
      </c>
      <c r="CW377" s="4">
        <v>0</v>
      </c>
      <c r="CX377" s="3">
        <v>0</v>
      </c>
    </row>
    <row r="378" spans="1:102" ht="15.75" x14ac:dyDescent="0.25">
      <c r="A378" s="4" t="s">
        <v>379</v>
      </c>
      <c r="B378" s="4" t="s">
        <v>380</v>
      </c>
      <c r="C378" s="4">
        <v>2019</v>
      </c>
      <c r="D378" s="4">
        <v>96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10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3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1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1</v>
      </c>
      <c r="AY378" s="4">
        <v>0</v>
      </c>
      <c r="AZ378" s="4">
        <v>0</v>
      </c>
      <c r="BA378" s="4">
        <v>0</v>
      </c>
      <c r="BB378" s="4">
        <v>14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2</v>
      </c>
      <c r="BK378" s="4">
        <v>1</v>
      </c>
      <c r="BL378" s="4">
        <v>0</v>
      </c>
      <c r="BM378" s="4">
        <v>0</v>
      </c>
      <c r="BN378" s="4">
        <v>1</v>
      </c>
      <c r="BO378" s="4">
        <v>0</v>
      </c>
      <c r="BP378" s="4">
        <v>0</v>
      </c>
      <c r="BQ378" s="4">
        <v>0</v>
      </c>
      <c r="BR378" s="4">
        <v>0</v>
      </c>
      <c r="BS378" s="4">
        <v>1</v>
      </c>
      <c r="BT378" s="4">
        <v>0</v>
      </c>
      <c r="BU378" s="4">
        <v>0</v>
      </c>
      <c r="BV378" s="4">
        <v>1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27</v>
      </c>
      <c r="CJ378" s="4">
        <v>13</v>
      </c>
      <c r="CK378" s="4">
        <v>5</v>
      </c>
      <c r="CL378" s="4">
        <v>0</v>
      </c>
      <c r="CM378" s="4">
        <v>0</v>
      </c>
      <c r="CN378" s="4">
        <v>1</v>
      </c>
      <c r="CO378" s="4">
        <v>5</v>
      </c>
      <c r="CP378" s="4">
        <v>0</v>
      </c>
      <c r="CQ378" s="4">
        <v>0</v>
      </c>
      <c r="CR378" s="4">
        <v>1</v>
      </c>
      <c r="CS378" s="4">
        <v>2</v>
      </c>
      <c r="CT378" s="4">
        <v>0</v>
      </c>
      <c r="CU378" s="4">
        <v>0</v>
      </c>
      <c r="CV378" s="4">
        <v>1</v>
      </c>
      <c r="CW378" s="4">
        <v>1</v>
      </c>
      <c r="CX378" s="3">
        <v>1</v>
      </c>
    </row>
    <row r="379" spans="1:102" ht="15.75" x14ac:dyDescent="0.25">
      <c r="A379" s="4" t="s">
        <v>381</v>
      </c>
      <c r="B379" s="4" t="s">
        <v>382</v>
      </c>
      <c r="C379" s="4">
        <v>2019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3">
        <v>0</v>
      </c>
    </row>
    <row r="380" spans="1:102" ht="15.75" x14ac:dyDescent="0.25">
      <c r="A380" s="4" t="s">
        <v>383</v>
      </c>
      <c r="B380" s="4" t="s">
        <v>384</v>
      </c>
      <c r="C380" s="4">
        <v>2019</v>
      </c>
      <c r="D380" s="4">
        <v>26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1</v>
      </c>
      <c r="AY380" s="4">
        <v>0</v>
      </c>
      <c r="AZ380" s="4">
        <v>6</v>
      </c>
      <c r="BA380" s="4">
        <v>0</v>
      </c>
      <c r="BB380" s="4">
        <v>0</v>
      </c>
      <c r="BC380" s="4">
        <v>0</v>
      </c>
      <c r="BD380" s="4">
        <v>0</v>
      </c>
      <c r="BE380" s="4">
        <v>3</v>
      </c>
      <c r="BF380" s="4">
        <v>3</v>
      </c>
      <c r="BG380" s="4">
        <v>0</v>
      </c>
      <c r="BH380" s="4">
        <v>0</v>
      </c>
      <c r="BI380" s="4">
        <v>0</v>
      </c>
      <c r="BJ380" s="4">
        <v>1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1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1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3">
        <v>0</v>
      </c>
    </row>
    <row r="381" spans="1:102" ht="15.75" x14ac:dyDescent="0.25">
      <c r="A381" s="4" t="s">
        <v>385</v>
      </c>
      <c r="B381" s="4" t="s">
        <v>386</v>
      </c>
      <c r="C381" s="4">
        <v>2019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3">
        <v>0</v>
      </c>
    </row>
    <row r="382" spans="1:102" ht="15.75" x14ac:dyDescent="0.25">
      <c r="A382" s="4" t="s">
        <v>387</v>
      </c>
      <c r="B382" s="4" t="s">
        <v>388</v>
      </c>
      <c r="C382" s="4">
        <v>2019</v>
      </c>
      <c r="D382" s="4">
        <v>853</v>
      </c>
      <c r="E382" s="4">
        <v>0</v>
      </c>
      <c r="F382" s="4">
        <v>4</v>
      </c>
      <c r="G382" s="4">
        <v>3</v>
      </c>
      <c r="H382" s="4">
        <v>4</v>
      </c>
      <c r="I382" s="4">
        <v>12</v>
      </c>
      <c r="J382" s="4">
        <v>6</v>
      </c>
      <c r="K382" s="4">
        <v>3</v>
      </c>
      <c r="L382" s="4">
        <v>11</v>
      </c>
      <c r="M382" s="4">
        <v>2</v>
      </c>
      <c r="N382" s="4">
        <v>17</v>
      </c>
      <c r="O382" s="4">
        <v>13</v>
      </c>
      <c r="P382" s="4">
        <v>0</v>
      </c>
      <c r="Q382" s="4">
        <v>0</v>
      </c>
      <c r="R382" s="4">
        <v>0</v>
      </c>
      <c r="S382" s="4">
        <v>1</v>
      </c>
      <c r="T382" s="4">
        <v>0</v>
      </c>
      <c r="U382" s="4">
        <v>3</v>
      </c>
      <c r="V382" s="4">
        <v>0</v>
      </c>
      <c r="W382" s="4">
        <v>0</v>
      </c>
      <c r="X382" s="4">
        <v>1</v>
      </c>
      <c r="Y382" s="4">
        <v>2</v>
      </c>
      <c r="Z382" s="4">
        <v>0</v>
      </c>
      <c r="AA382" s="4">
        <v>103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</v>
      </c>
      <c r="AH382" s="4">
        <v>0</v>
      </c>
      <c r="AI382" s="4">
        <v>6</v>
      </c>
      <c r="AJ382" s="4">
        <v>50</v>
      </c>
      <c r="AK382" s="4">
        <v>14</v>
      </c>
      <c r="AL382" s="4">
        <v>0</v>
      </c>
      <c r="AM382" s="4">
        <v>2</v>
      </c>
      <c r="AN382" s="4">
        <v>5</v>
      </c>
      <c r="AO382" s="4">
        <v>4</v>
      </c>
      <c r="AP382" s="4">
        <v>0</v>
      </c>
      <c r="AQ382" s="4">
        <v>3</v>
      </c>
      <c r="AR382" s="4">
        <v>0</v>
      </c>
      <c r="AS382" s="4">
        <v>39</v>
      </c>
      <c r="AT382" s="4">
        <v>5</v>
      </c>
      <c r="AU382" s="4">
        <v>3</v>
      </c>
      <c r="AV382" s="4">
        <v>5</v>
      </c>
      <c r="AW382" s="4">
        <v>3</v>
      </c>
      <c r="AX382" s="4">
        <v>8</v>
      </c>
      <c r="AY382" s="4">
        <v>0</v>
      </c>
      <c r="AZ382" s="4">
        <v>2</v>
      </c>
      <c r="BA382" s="4">
        <v>0</v>
      </c>
      <c r="BB382" s="4">
        <v>3</v>
      </c>
      <c r="BC382" s="4">
        <v>8</v>
      </c>
      <c r="BD382" s="4">
        <v>0</v>
      </c>
      <c r="BE382" s="4">
        <v>1</v>
      </c>
      <c r="BF382" s="4">
        <v>5</v>
      </c>
      <c r="BG382" s="4">
        <v>0</v>
      </c>
      <c r="BH382" s="4">
        <v>0</v>
      </c>
      <c r="BI382" s="4">
        <v>0</v>
      </c>
      <c r="BJ382" s="4">
        <v>7</v>
      </c>
      <c r="BK382" s="4">
        <v>7</v>
      </c>
      <c r="BL382" s="4">
        <v>0</v>
      </c>
      <c r="BM382" s="4">
        <v>0</v>
      </c>
      <c r="BN382" s="4">
        <v>14</v>
      </c>
      <c r="BO382" s="4">
        <v>0</v>
      </c>
      <c r="BP382" s="4">
        <v>1</v>
      </c>
      <c r="BQ382" s="4">
        <v>11</v>
      </c>
      <c r="BR382" s="4">
        <v>2</v>
      </c>
      <c r="BS382" s="4">
        <v>14</v>
      </c>
      <c r="BT382" s="4">
        <v>5</v>
      </c>
      <c r="BU382" s="4">
        <v>0</v>
      </c>
      <c r="BV382" s="4">
        <v>4</v>
      </c>
      <c r="BW382" s="4">
        <v>12</v>
      </c>
      <c r="BX382" s="4">
        <v>81</v>
      </c>
      <c r="BY382" s="4">
        <v>0</v>
      </c>
      <c r="BZ382" s="4">
        <v>0</v>
      </c>
      <c r="CA382" s="4">
        <v>61</v>
      </c>
      <c r="CB382" s="4">
        <v>189</v>
      </c>
      <c r="CC382" s="4">
        <v>0</v>
      </c>
      <c r="CD382" s="4">
        <v>1</v>
      </c>
      <c r="CE382" s="4">
        <v>0</v>
      </c>
      <c r="CF382" s="4">
        <v>2</v>
      </c>
      <c r="CG382" s="4">
        <v>1</v>
      </c>
      <c r="CH382" s="4">
        <v>1</v>
      </c>
      <c r="CI382" s="4">
        <v>2</v>
      </c>
      <c r="CJ382" s="4">
        <v>37</v>
      </c>
      <c r="CK382" s="4">
        <v>6</v>
      </c>
      <c r="CL382" s="4">
        <v>0</v>
      </c>
      <c r="CM382" s="4">
        <v>0</v>
      </c>
      <c r="CN382" s="4">
        <v>10</v>
      </c>
      <c r="CO382" s="4">
        <v>1</v>
      </c>
      <c r="CP382" s="4">
        <v>0</v>
      </c>
      <c r="CQ382" s="4">
        <v>0</v>
      </c>
      <c r="CR382" s="4">
        <v>0</v>
      </c>
      <c r="CS382" s="4">
        <v>1</v>
      </c>
      <c r="CT382" s="4">
        <v>4</v>
      </c>
      <c r="CU382" s="4">
        <v>1</v>
      </c>
      <c r="CV382" s="4">
        <v>22</v>
      </c>
      <c r="CW382" s="4">
        <v>3</v>
      </c>
      <c r="CX382" s="3">
        <v>3</v>
      </c>
    </row>
    <row r="383" spans="1:102" ht="15.75" x14ac:dyDescent="0.25">
      <c r="A383" s="4" t="s">
        <v>389</v>
      </c>
      <c r="B383" s="4" t="s">
        <v>390</v>
      </c>
      <c r="C383" s="4">
        <v>2019</v>
      </c>
      <c r="D383" s="4">
        <v>82</v>
      </c>
      <c r="E383" s="4">
        <v>0</v>
      </c>
      <c r="F383" s="4">
        <v>0</v>
      </c>
      <c r="G383" s="4">
        <v>1</v>
      </c>
      <c r="H383" s="4">
        <v>0</v>
      </c>
      <c r="I383" s="4">
        <v>4</v>
      </c>
      <c r="J383" s="4">
        <v>0</v>
      </c>
      <c r="K383" s="4">
        <v>0</v>
      </c>
      <c r="L383" s="4">
        <v>0</v>
      </c>
      <c r="M383" s="4">
        <v>0</v>
      </c>
      <c r="N383" s="4">
        <v>2</v>
      </c>
      <c r="O383" s="4">
        <v>7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1</v>
      </c>
      <c r="AJ383" s="4">
        <v>5</v>
      </c>
      <c r="AK383" s="4">
        <v>1</v>
      </c>
      <c r="AL383" s="4">
        <v>0</v>
      </c>
      <c r="AM383" s="4">
        <v>1</v>
      </c>
      <c r="AN383" s="4">
        <v>0</v>
      </c>
      <c r="AO383" s="4">
        <v>1</v>
      </c>
      <c r="AP383" s="4">
        <v>0</v>
      </c>
      <c r="AQ383" s="4">
        <v>0</v>
      </c>
      <c r="AR383" s="4">
        <v>0</v>
      </c>
      <c r="AS383" s="4">
        <v>0</v>
      </c>
      <c r="AT383" s="4">
        <v>4</v>
      </c>
      <c r="AU383" s="4">
        <v>1</v>
      </c>
      <c r="AV383" s="4">
        <v>0</v>
      </c>
      <c r="AW383" s="4">
        <v>0</v>
      </c>
      <c r="AX383" s="4">
        <v>1</v>
      </c>
      <c r="AY383" s="4">
        <v>0</v>
      </c>
      <c r="AZ383" s="4">
        <v>1</v>
      </c>
      <c r="BA383" s="4">
        <v>0</v>
      </c>
      <c r="BB383" s="4">
        <v>1</v>
      </c>
      <c r="BC383" s="4">
        <v>0</v>
      </c>
      <c r="BD383" s="4">
        <v>0</v>
      </c>
      <c r="BE383" s="4">
        <v>1</v>
      </c>
      <c r="BF383" s="4">
        <v>4</v>
      </c>
      <c r="BG383" s="4">
        <v>0</v>
      </c>
      <c r="BH383" s="4">
        <v>0</v>
      </c>
      <c r="BI383" s="4">
        <v>0</v>
      </c>
      <c r="BJ383" s="4">
        <v>1</v>
      </c>
      <c r="BK383" s="4">
        <v>1</v>
      </c>
      <c r="BL383" s="4">
        <v>0</v>
      </c>
      <c r="BM383" s="4">
        <v>0</v>
      </c>
      <c r="BN383" s="4">
        <v>1</v>
      </c>
      <c r="BO383" s="4">
        <v>0</v>
      </c>
      <c r="BP383" s="4">
        <v>0</v>
      </c>
      <c r="BQ383" s="4">
        <v>6</v>
      </c>
      <c r="BR383" s="4">
        <v>1</v>
      </c>
      <c r="BS383" s="4">
        <v>2</v>
      </c>
      <c r="BT383" s="4">
        <v>1</v>
      </c>
      <c r="BU383" s="4">
        <v>0</v>
      </c>
      <c r="BV383" s="4">
        <v>2</v>
      </c>
      <c r="BW383" s="4">
        <v>4</v>
      </c>
      <c r="BX383" s="4">
        <v>11</v>
      </c>
      <c r="BY383" s="4">
        <v>0</v>
      </c>
      <c r="BZ383" s="4">
        <v>0</v>
      </c>
      <c r="CA383" s="4">
        <v>3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1</v>
      </c>
      <c r="CK383" s="4">
        <v>0</v>
      </c>
      <c r="CL383" s="4">
        <v>0</v>
      </c>
      <c r="CM383" s="4">
        <v>0</v>
      </c>
      <c r="CN383" s="4">
        <v>1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1</v>
      </c>
      <c r="CU383" s="4">
        <v>0</v>
      </c>
      <c r="CV383" s="4">
        <v>4</v>
      </c>
      <c r="CW383" s="4">
        <v>0</v>
      </c>
      <c r="CX383" s="3">
        <v>0</v>
      </c>
    </row>
    <row r="384" spans="1:102" ht="15.75" x14ac:dyDescent="0.25">
      <c r="A384" s="4" t="s">
        <v>391</v>
      </c>
      <c r="B384" s="4" t="s">
        <v>392</v>
      </c>
      <c r="C384" s="4">
        <v>2019</v>
      </c>
      <c r="D384" s="4">
        <v>25</v>
      </c>
      <c r="E384" s="4">
        <v>0</v>
      </c>
      <c r="F384" s="4">
        <v>0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1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1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1</v>
      </c>
      <c r="AY384" s="4">
        <v>0</v>
      </c>
      <c r="AZ384" s="4">
        <v>2</v>
      </c>
      <c r="BA384" s="4">
        <v>0</v>
      </c>
      <c r="BB384" s="4">
        <v>1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3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1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6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1</v>
      </c>
      <c r="CK384" s="4">
        <v>0</v>
      </c>
      <c r="CL384" s="4">
        <v>0</v>
      </c>
      <c r="CM384" s="4">
        <v>0</v>
      </c>
      <c r="CN384" s="4">
        <v>1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1</v>
      </c>
      <c r="CW384" s="4">
        <v>0</v>
      </c>
      <c r="CX384" s="3">
        <v>0</v>
      </c>
    </row>
    <row r="385" spans="1:102" ht="15.75" x14ac:dyDescent="0.25">
      <c r="A385" s="4" t="s">
        <v>393</v>
      </c>
      <c r="B385" s="4" t="s">
        <v>394</v>
      </c>
      <c r="C385" s="4">
        <v>2019</v>
      </c>
      <c r="D385" s="4">
        <v>17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1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2</v>
      </c>
      <c r="BD385" s="4">
        <v>0</v>
      </c>
      <c r="BE385" s="4">
        <v>0</v>
      </c>
      <c r="BF385" s="4">
        <v>1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1</v>
      </c>
      <c r="BO385" s="4">
        <v>0</v>
      </c>
      <c r="BP385" s="4">
        <v>0</v>
      </c>
      <c r="BQ385" s="4">
        <v>1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5</v>
      </c>
      <c r="BX385" s="4">
        <v>1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1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1</v>
      </c>
      <c r="CW385" s="4">
        <v>0</v>
      </c>
      <c r="CX385" s="3">
        <v>0</v>
      </c>
    </row>
    <row r="386" spans="1:102" ht="15.75" x14ac:dyDescent="0.25">
      <c r="A386" s="4" t="s">
        <v>395</v>
      </c>
      <c r="B386" s="4" t="s">
        <v>396</v>
      </c>
      <c r="C386" s="4">
        <v>2019</v>
      </c>
      <c r="D386" s="4">
        <v>1437</v>
      </c>
      <c r="E386" s="4">
        <v>0</v>
      </c>
      <c r="F386" s="4">
        <v>0</v>
      </c>
      <c r="G386" s="4">
        <v>10</v>
      </c>
      <c r="H386" s="4">
        <v>0</v>
      </c>
      <c r="I386" s="4">
        <v>1</v>
      </c>
      <c r="J386" s="4">
        <v>0</v>
      </c>
      <c r="K386" s="4">
        <v>0</v>
      </c>
      <c r="L386" s="4">
        <v>8</v>
      </c>
      <c r="M386" s="4">
        <v>2</v>
      </c>
      <c r="N386" s="4">
        <v>3</v>
      </c>
      <c r="O386" s="4">
        <v>145</v>
      </c>
      <c r="P386" s="4">
        <v>0</v>
      </c>
      <c r="Q386" s="4">
        <v>0</v>
      </c>
      <c r="R386" s="4">
        <v>0</v>
      </c>
      <c r="S386" s="4">
        <v>0</v>
      </c>
      <c r="T386" s="4">
        <v>1</v>
      </c>
      <c r="U386" s="4">
        <v>0</v>
      </c>
      <c r="V386" s="4">
        <v>2</v>
      </c>
      <c r="W386" s="4">
        <v>0</v>
      </c>
      <c r="X386" s="4">
        <v>2</v>
      </c>
      <c r="Y386" s="4">
        <v>0</v>
      </c>
      <c r="Z386" s="4">
        <v>0</v>
      </c>
      <c r="AA386" s="4">
        <v>1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53</v>
      </c>
      <c r="AH386" s="4">
        <v>5</v>
      </c>
      <c r="AI386" s="4">
        <v>8</v>
      </c>
      <c r="AJ386" s="4">
        <v>126</v>
      </c>
      <c r="AK386" s="4">
        <v>26</v>
      </c>
      <c r="AL386" s="4">
        <v>2</v>
      </c>
      <c r="AM386" s="4">
        <v>14</v>
      </c>
      <c r="AN386" s="4">
        <v>15</v>
      </c>
      <c r="AO386" s="4">
        <v>32</v>
      </c>
      <c r="AP386" s="4">
        <v>1</v>
      </c>
      <c r="AQ386" s="4">
        <v>15</v>
      </c>
      <c r="AR386" s="4">
        <v>0</v>
      </c>
      <c r="AS386" s="4">
        <v>10</v>
      </c>
      <c r="AT386" s="4">
        <v>6</v>
      </c>
      <c r="AU386" s="4">
        <v>12</v>
      </c>
      <c r="AV386" s="4">
        <v>59</v>
      </c>
      <c r="AW386" s="4">
        <v>15</v>
      </c>
      <c r="AX386" s="4">
        <v>31</v>
      </c>
      <c r="AY386" s="4">
        <v>0</v>
      </c>
      <c r="AZ386" s="4">
        <v>18</v>
      </c>
      <c r="BA386" s="4">
        <v>0</v>
      </c>
      <c r="BB386" s="4">
        <v>172</v>
      </c>
      <c r="BC386" s="4">
        <v>11</v>
      </c>
      <c r="BD386" s="4">
        <v>0</v>
      </c>
      <c r="BE386" s="4">
        <v>13</v>
      </c>
      <c r="BF386" s="4">
        <v>44</v>
      </c>
      <c r="BG386" s="4">
        <v>9</v>
      </c>
      <c r="BH386" s="4">
        <v>23</v>
      </c>
      <c r="BI386" s="4">
        <v>0</v>
      </c>
      <c r="BJ386" s="4">
        <v>33</v>
      </c>
      <c r="BK386" s="4">
        <v>46</v>
      </c>
      <c r="BL386" s="4">
        <v>0</v>
      </c>
      <c r="BM386" s="4">
        <v>3</v>
      </c>
      <c r="BN386" s="4">
        <v>12</v>
      </c>
      <c r="BO386" s="4">
        <v>0</v>
      </c>
      <c r="BP386" s="4">
        <v>3</v>
      </c>
      <c r="BQ386" s="4">
        <v>9</v>
      </c>
      <c r="BR386" s="4">
        <v>1</v>
      </c>
      <c r="BS386" s="4">
        <v>36</v>
      </c>
      <c r="BT386" s="4">
        <v>17</v>
      </c>
      <c r="BU386" s="4">
        <v>1</v>
      </c>
      <c r="BV386" s="4">
        <v>19</v>
      </c>
      <c r="BW386" s="4">
        <v>20</v>
      </c>
      <c r="BX386" s="4">
        <v>145</v>
      </c>
      <c r="BY386" s="4">
        <v>0</v>
      </c>
      <c r="BZ386" s="4">
        <v>0</v>
      </c>
      <c r="CA386" s="4">
        <v>62</v>
      </c>
      <c r="CB386" s="4">
        <v>0</v>
      </c>
      <c r="CC386" s="4">
        <v>0</v>
      </c>
      <c r="CD386" s="4">
        <v>1</v>
      </c>
      <c r="CE386" s="4">
        <v>0</v>
      </c>
      <c r="CF386" s="4">
        <v>3</v>
      </c>
      <c r="CG386" s="4">
        <v>0</v>
      </c>
      <c r="CH386" s="4">
        <v>1</v>
      </c>
      <c r="CI386" s="4">
        <v>0</v>
      </c>
      <c r="CJ386" s="4">
        <v>4</v>
      </c>
      <c r="CK386" s="4">
        <v>0</v>
      </c>
      <c r="CL386" s="4">
        <v>0</v>
      </c>
      <c r="CM386" s="4">
        <v>9</v>
      </c>
      <c r="CN386" s="4">
        <v>59</v>
      </c>
      <c r="CO386" s="4">
        <v>2</v>
      </c>
      <c r="CP386" s="4">
        <v>1</v>
      </c>
      <c r="CQ386" s="4">
        <v>0</v>
      </c>
      <c r="CR386" s="4">
        <v>8</v>
      </c>
      <c r="CS386" s="4">
        <v>0</v>
      </c>
      <c r="CT386" s="4">
        <v>9</v>
      </c>
      <c r="CU386" s="4">
        <v>1</v>
      </c>
      <c r="CV386" s="4">
        <v>28</v>
      </c>
      <c r="CW386" s="4">
        <v>5</v>
      </c>
      <c r="CX386" s="3">
        <v>5</v>
      </c>
    </row>
    <row r="387" spans="1:102" ht="15.75" x14ac:dyDescent="0.25">
      <c r="A387" s="4" t="s">
        <v>397</v>
      </c>
      <c r="B387" s="4" t="s">
        <v>398</v>
      </c>
      <c r="C387" s="4">
        <v>2019</v>
      </c>
      <c r="D387" s="4">
        <v>1393</v>
      </c>
      <c r="E387" s="4">
        <v>2</v>
      </c>
      <c r="F387" s="4">
        <v>1</v>
      </c>
      <c r="G387" s="4">
        <v>6</v>
      </c>
      <c r="H387" s="4">
        <v>1</v>
      </c>
      <c r="I387" s="4">
        <v>7</v>
      </c>
      <c r="J387" s="4">
        <v>3</v>
      </c>
      <c r="K387" s="4">
        <v>1</v>
      </c>
      <c r="L387" s="4">
        <v>5</v>
      </c>
      <c r="M387" s="4">
        <v>5</v>
      </c>
      <c r="N387" s="4">
        <v>11</v>
      </c>
      <c r="O387" s="4">
        <v>35</v>
      </c>
      <c r="P387" s="4">
        <v>0</v>
      </c>
      <c r="Q387" s="4">
        <v>0</v>
      </c>
      <c r="R387" s="4">
        <v>1</v>
      </c>
      <c r="S387" s="4">
        <v>0</v>
      </c>
      <c r="T387" s="4">
        <v>6</v>
      </c>
      <c r="U387" s="4">
        <v>0</v>
      </c>
      <c r="V387" s="4">
        <v>5</v>
      </c>
      <c r="W387" s="4">
        <v>66</v>
      </c>
      <c r="X387" s="4">
        <v>0</v>
      </c>
      <c r="Y387" s="4">
        <v>0</v>
      </c>
      <c r="Z387" s="4">
        <v>0</v>
      </c>
      <c r="AA387" s="4">
        <v>2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9</v>
      </c>
      <c r="AH387" s="4">
        <v>7</v>
      </c>
      <c r="AI387" s="4">
        <v>10</v>
      </c>
      <c r="AJ387" s="4">
        <v>44</v>
      </c>
      <c r="AK387" s="4">
        <v>23</v>
      </c>
      <c r="AL387" s="4">
        <v>0</v>
      </c>
      <c r="AM387" s="4">
        <v>21</v>
      </c>
      <c r="AN387" s="4">
        <v>26</v>
      </c>
      <c r="AO387" s="4">
        <v>29</v>
      </c>
      <c r="AP387" s="4">
        <v>1</v>
      </c>
      <c r="AQ387" s="4">
        <v>11</v>
      </c>
      <c r="AR387" s="4">
        <v>1</v>
      </c>
      <c r="AS387" s="4">
        <v>11</v>
      </c>
      <c r="AT387" s="4">
        <v>17</v>
      </c>
      <c r="AU387" s="4">
        <v>33</v>
      </c>
      <c r="AV387" s="4">
        <v>17</v>
      </c>
      <c r="AW387" s="4">
        <v>14</v>
      </c>
      <c r="AX387" s="4">
        <v>35</v>
      </c>
      <c r="AY387" s="4">
        <v>3</v>
      </c>
      <c r="AZ387" s="4">
        <v>12</v>
      </c>
      <c r="BA387" s="4">
        <v>0</v>
      </c>
      <c r="BB387" s="4">
        <v>138</v>
      </c>
      <c r="BC387" s="4">
        <v>17</v>
      </c>
      <c r="BD387" s="4">
        <v>0</v>
      </c>
      <c r="BE387" s="4">
        <v>11</v>
      </c>
      <c r="BF387" s="4">
        <v>26</v>
      </c>
      <c r="BG387" s="4">
        <v>2</v>
      </c>
      <c r="BH387" s="4">
        <v>2</v>
      </c>
      <c r="BI387" s="4">
        <v>0</v>
      </c>
      <c r="BJ387" s="4">
        <v>65</v>
      </c>
      <c r="BK387" s="4">
        <v>51</v>
      </c>
      <c r="BL387" s="4">
        <v>0</v>
      </c>
      <c r="BM387" s="4">
        <v>4</v>
      </c>
      <c r="BN387" s="4">
        <v>10</v>
      </c>
      <c r="BO387" s="4">
        <v>0</v>
      </c>
      <c r="BP387" s="4">
        <v>4</v>
      </c>
      <c r="BQ387" s="4">
        <v>18</v>
      </c>
      <c r="BR387" s="4">
        <v>2</v>
      </c>
      <c r="BS387" s="4">
        <v>120</v>
      </c>
      <c r="BT387" s="4">
        <v>43</v>
      </c>
      <c r="BU387" s="4">
        <v>0</v>
      </c>
      <c r="BV387" s="4">
        <v>27</v>
      </c>
      <c r="BW387" s="4">
        <v>8</v>
      </c>
      <c r="BX387" s="4">
        <v>129</v>
      </c>
      <c r="BY387" s="4">
        <v>7</v>
      </c>
      <c r="BZ387" s="4">
        <v>0</v>
      </c>
      <c r="CA387" s="4">
        <v>29</v>
      </c>
      <c r="CB387" s="4">
        <v>2</v>
      </c>
      <c r="CC387" s="4">
        <v>0</v>
      </c>
      <c r="CD387" s="4">
        <v>3</v>
      </c>
      <c r="CE387" s="4">
        <v>0</v>
      </c>
      <c r="CF387" s="4">
        <v>1</v>
      </c>
      <c r="CG387" s="4">
        <v>1</v>
      </c>
      <c r="CH387" s="4">
        <v>1</v>
      </c>
      <c r="CI387" s="4">
        <v>4</v>
      </c>
      <c r="CJ387" s="4">
        <v>12</v>
      </c>
      <c r="CK387" s="4">
        <v>1</v>
      </c>
      <c r="CL387" s="4">
        <v>0</v>
      </c>
      <c r="CM387" s="4">
        <v>24</v>
      </c>
      <c r="CN387" s="4">
        <v>74</v>
      </c>
      <c r="CO387" s="4">
        <v>9</v>
      </c>
      <c r="CP387" s="4">
        <v>2</v>
      </c>
      <c r="CQ387" s="4">
        <v>0</v>
      </c>
      <c r="CR387" s="4">
        <v>13</v>
      </c>
      <c r="CS387" s="4">
        <v>5</v>
      </c>
      <c r="CT387" s="4">
        <v>11</v>
      </c>
      <c r="CU387" s="4">
        <v>2</v>
      </c>
      <c r="CV387" s="4">
        <v>24</v>
      </c>
      <c r="CW387" s="4">
        <v>7</v>
      </c>
      <c r="CX387" s="3">
        <v>7</v>
      </c>
    </row>
    <row r="388" spans="1:102" ht="15.75" x14ac:dyDescent="0.25">
      <c r="A388" s="4" t="s">
        <v>399</v>
      </c>
      <c r="B388" s="4" t="s">
        <v>400</v>
      </c>
      <c r="C388" s="4">
        <v>2019</v>
      </c>
      <c r="D388" s="4">
        <v>116</v>
      </c>
      <c r="E388" s="4">
        <v>0</v>
      </c>
      <c r="F388" s="4">
        <v>1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1</v>
      </c>
      <c r="AW388" s="4">
        <v>0</v>
      </c>
      <c r="AX388" s="4">
        <v>4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2</v>
      </c>
      <c r="BF388" s="4">
        <v>4</v>
      </c>
      <c r="BG388" s="4">
        <v>0</v>
      </c>
      <c r="BH388" s="4">
        <v>0</v>
      </c>
      <c r="BI388" s="4">
        <v>0</v>
      </c>
      <c r="BJ388" s="4">
        <v>29</v>
      </c>
      <c r="BK388" s="4">
        <v>2</v>
      </c>
      <c r="BL388" s="4">
        <v>0</v>
      </c>
      <c r="BM388" s="4">
        <v>0</v>
      </c>
      <c r="BN388" s="4">
        <v>1</v>
      </c>
      <c r="BO388" s="4">
        <v>0</v>
      </c>
      <c r="BP388" s="4">
        <v>0</v>
      </c>
      <c r="BQ388" s="4">
        <v>5</v>
      </c>
      <c r="BR388" s="4">
        <v>0</v>
      </c>
      <c r="BS388" s="4">
        <v>1</v>
      </c>
      <c r="BT388" s="4">
        <v>0</v>
      </c>
      <c r="BU388" s="4">
        <v>0</v>
      </c>
      <c r="BV388" s="4">
        <v>0</v>
      </c>
      <c r="BW388" s="4">
        <v>5</v>
      </c>
      <c r="BX388" s="4">
        <v>1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47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4</v>
      </c>
      <c r="CU388" s="4">
        <v>0</v>
      </c>
      <c r="CV388" s="4">
        <v>0</v>
      </c>
      <c r="CW388" s="4">
        <v>1</v>
      </c>
      <c r="CX388" s="3">
        <v>1</v>
      </c>
    </row>
    <row r="389" spans="1:102" ht="15.75" x14ac:dyDescent="0.25">
      <c r="A389" s="4" t="s">
        <v>401</v>
      </c>
      <c r="B389" s="4" t="s">
        <v>402</v>
      </c>
      <c r="C389" s="4">
        <v>2019</v>
      </c>
      <c r="D389" s="4">
        <v>44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1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1</v>
      </c>
      <c r="AK389" s="4">
        <v>0</v>
      </c>
      <c r="AL389" s="4">
        <v>0</v>
      </c>
      <c r="AM389" s="4">
        <v>0</v>
      </c>
      <c r="AN389" s="4">
        <v>0</v>
      </c>
      <c r="AO389" s="4">
        <v>1</v>
      </c>
      <c r="AP389" s="4">
        <v>0</v>
      </c>
      <c r="AQ389" s="4">
        <v>2</v>
      </c>
      <c r="AR389" s="4">
        <v>0</v>
      </c>
      <c r="AS389" s="4">
        <v>0</v>
      </c>
      <c r="AT389" s="4">
        <v>0</v>
      </c>
      <c r="AU389" s="4">
        <v>0</v>
      </c>
      <c r="AV389" s="4">
        <v>2</v>
      </c>
      <c r="AW389" s="4">
        <v>0</v>
      </c>
      <c r="AX389" s="4">
        <v>2</v>
      </c>
      <c r="AY389" s="4">
        <v>0</v>
      </c>
      <c r="AZ389" s="4">
        <v>0</v>
      </c>
      <c r="BA389" s="4">
        <v>0</v>
      </c>
      <c r="BB389" s="4">
        <v>1</v>
      </c>
      <c r="BC389" s="4">
        <v>0</v>
      </c>
      <c r="BD389" s="4">
        <v>0</v>
      </c>
      <c r="BE389" s="4">
        <v>0</v>
      </c>
      <c r="BF389" s="4">
        <v>1</v>
      </c>
      <c r="BG389" s="4">
        <v>0</v>
      </c>
      <c r="BH389" s="4">
        <v>0</v>
      </c>
      <c r="BI389" s="4">
        <v>0</v>
      </c>
      <c r="BJ389" s="4">
        <v>1</v>
      </c>
      <c r="BK389" s="4">
        <v>1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1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18</v>
      </c>
      <c r="BX389" s="4">
        <v>6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2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1</v>
      </c>
      <c r="CW389" s="4">
        <v>0</v>
      </c>
      <c r="CX389" s="3">
        <v>0</v>
      </c>
    </row>
    <row r="390" spans="1:102" ht="15.75" x14ac:dyDescent="0.25">
      <c r="A390" s="4" t="s">
        <v>403</v>
      </c>
      <c r="B390" s="4" t="s">
        <v>404</v>
      </c>
      <c r="C390" s="4">
        <v>2019</v>
      </c>
      <c r="D390" s="4">
        <v>17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1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1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1</v>
      </c>
      <c r="BG390" s="4">
        <v>0</v>
      </c>
      <c r="BH390" s="4">
        <v>0</v>
      </c>
      <c r="BI390" s="4">
        <v>0</v>
      </c>
      <c r="BJ390" s="4">
        <v>1</v>
      </c>
      <c r="BK390" s="4">
        <v>1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1</v>
      </c>
      <c r="BT390" s="4">
        <v>0</v>
      </c>
      <c r="BU390" s="4">
        <v>0</v>
      </c>
      <c r="BV390" s="4">
        <v>0</v>
      </c>
      <c r="BW390" s="4">
        <v>3</v>
      </c>
      <c r="BX390" s="4">
        <v>5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3">
        <v>0</v>
      </c>
    </row>
    <row r="391" spans="1:102" ht="15.75" x14ac:dyDescent="0.25">
      <c r="A391" s="4" t="s">
        <v>405</v>
      </c>
      <c r="B391" s="4" t="s">
        <v>406</v>
      </c>
      <c r="C391" s="4">
        <v>2019</v>
      </c>
      <c r="D391" s="4">
        <v>2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1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3">
        <v>0</v>
      </c>
    </row>
    <row r="392" spans="1:102" ht="15.75" x14ac:dyDescent="0.25">
      <c r="A392" s="4" t="s">
        <v>407</v>
      </c>
      <c r="B392" s="4" t="s">
        <v>408</v>
      </c>
      <c r="C392" s="4">
        <v>2019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3">
        <v>0</v>
      </c>
    </row>
    <row r="393" spans="1:102" ht="15.75" x14ac:dyDescent="0.25">
      <c r="A393" s="4" t="s">
        <v>409</v>
      </c>
      <c r="B393" s="4" t="s">
        <v>410</v>
      </c>
      <c r="C393" s="4">
        <v>2019</v>
      </c>
      <c r="D393" s="4">
        <v>1580</v>
      </c>
      <c r="E393" s="4">
        <v>1</v>
      </c>
      <c r="F393" s="4">
        <v>1</v>
      </c>
      <c r="G393" s="4">
        <v>4</v>
      </c>
      <c r="H393" s="4">
        <v>6</v>
      </c>
      <c r="I393" s="4">
        <v>14</v>
      </c>
      <c r="J393" s="4">
        <v>27</v>
      </c>
      <c r="K393" s="4">
        <v>0</v>
      </c>
      <c r="L393" s="4">
        <v>0</v>
      </c>
      <c r="M393" s="4">
        <v>5</v>
      </c>
      <c r="N393" s="4">
        <v>23</v>
      </c>
      <c r="O393" s="4">
        <v>19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47</v>
      </c>
      <c r="V393" s="4">
        <v>1</v>
      </c>
      <c r="W393" s="4">
        <v>1</v>
      </c>
      <c r="X393" s="4">
        <v>5</v>
      </c>
      <c r="Y393" s="4">
        <v>0</v>
      </c>
      <c r="Z393" s="4">
        <v>0</v>
      </c>
      <c r="AA393" s="4">
        <v>733</v>
      </c>
      <c r="AB393" s="4">
        <v>0</v>
      </c>
      <c r="AC393" s="4">
        <v>0</v>
      </c>
      <c r="AD393" s="4">
        <v>1</v>
      </c>
      <c r="AE393" s="4">
        <v>0</v>
      </c>
      <c r="AF393" s="4">
        <v>0</v>
      </c>
      <c r="AG393" s="4">
        <v>5</v>
      </c>
      <c r="AH393" s="4">
        <v>1</v>
      </c>
      <c r="AI393" s="4">
        <v>9</v>
      </c>
      <c r="AJ393" s="4">
        <v>37</v>
      </c>
      <c r="AK393" s="4">
        <v>55</v>
      </c>
      <c r="AL393" s="4">
        <v>0</v>
      </c>
      <c r="AM393" s="4">
        <v>2</v>
      </c>
      <c r="AN393" s="4">
        <v>13</v>
      </c>
      <c r="AO393" s="4">
        <v>11</v>
      </c>
      <c r="AP393" s="4">
        <v>0</v>
      </c>
      <c r="AQ393" s="4">
        <v>6</v>
      </c>
      <c r="AR393" s="4">
        <v>0</v>
      </c>
      <c r="AS393" s="4">
        <v>11</v>
      </c>
      <c r="AT393" s="4">
        <v>42</v>
      </c>
      <c r="AU393" s="4">
        <v>3</v>
      </c>
      <c r="AV393" s="4">
        <v>11</v>
      </c>
      <c r="AW393" s="4">
        <v>3</v>
      </c>
      <c r="AX393" s="4">
        <v>19</v>
      </c>
      <c r="AY393" s="4">
        <v>4</v>
      </c>
      <c r="AZ393" s="4">
        <v>43</v>
      </c>
      <c r="BA393" s="4">
        <v>0</v>
      </c>
      <c r="BB393" s="4">
        <v>30</v>
      </c>
      <c r="BC393" s="4">
        <v>20</v>
      </c>
      <c r="BD393" s="4">
        <v>0</v>
      </c>
      <c r="BE393" s="4">
        <v>18</v>
      </c>
      <c r="BF393" s="4">
        <v>33</v>
      </c>
      <c r="BG393" s="4">
        <v>2</v>
      </c>
      <c r="BH393" s="4">
        <v>1</v>
      </c>
      <c r="BI393" s="4">
        <v>0</v>
      </c>
      <c r="BJ393" s="4">
        <v>42</v>
      </c>
      <c r="BK393" s="4">
        <v>36</v>
      </c>
      <c r="BL393" s="4">
        <v>0</v>
      </c>
      <c r="BM393" s="4">
        <v>2</v>
      </c>
      <c r="BN393" s="4">
        <v>13</v>
      </c>
      <c r="BO393" s="4">
        <v>1</v>
      </c>
      <c r="BP393" s="4">
        <v>2</v>
      </c>
      <c r="BQ393" s="4">
        <v>18</v>
      </c>
      <c r="BR393" s="4">
        <v>2</v>
      </c>
      <c r="BS393" s="4">
        <v>25</v>
      </c>
      <c r="BT393" s="4">
        <v>6</v>
      </c>
      <c r="BU393" s="4">
        <v>1</v>
      </c>
      <c r="BV393" s="4">
        <v>13</v>
      </c>
      <c r="BW393" s="4">
        <v>15</v>
      </c>
      <c r="BX393" s="4">
        <v>37</v>
      </c>
      <c r="BY393" s="4">
        <v>0</v>
      </c>
      <c r="BZ393" s="4">
        <v>0</v>
      </c>
      <c r="CA393" s="4">
        <v>9</v>
      </c>
      <c r="CB393" s="4">
        <v>3</v>
      </c>
      <c r="CC393" s="4">
        <v>0</v>
      </c>
      <c r="CD393" s="4">
        <v>3</v>
      </c>
      <c r="CE393" s="4">
        <v>0</v>
      </c>
      <c r="CF393" s="4">
        <v>7</v>
      </c>
      <c r="CG393" s="4">
        <v>0</v>
      </c>
      <c r="CH393" s="4">
        <v>1</v>
      </c>
      <c r="CI393" s="4">
        <v>1</v>
      </c>
      <c r="CJ393" s="4">
        <v>7</v>
      </c>
      <c r="CK393" s="4">
        <v>1</v>
      </c>
      <c r="CL393" s="4">
        <v>0</v>
      </c>
      <c r="CM393" s="4">
        <v>5</v>
      </c>
      <c r="CN393" s="4">
        <v>22</v>
      </c>
      <c r="CO393" s="4">
        <v>4</v>
      </c>
      <c r="CP393" s="4">
        <v>0</v>
      </c>
      <c r="CQ393" s="4">
        <v>0</v>
      </c>
      <c r="CR393" s="4">
        <v>1</v>
      </c>
      <c r="CS393" s="4">
        <v>4</v>
      </c>
      <c r="CT393" s="4">
        <v>4</v>
      </c>
      <c r="CU393" s="4">
        <v>0</v>
      </c>
      <c r="CV393" s="4">
        <v>18</v>
      </c>
      <c r="CW393" s="4">
        <v>4</v>
      </c>
      <c r="CX393" s="3">
        <v>4</v>
      </c>
    </row>
    <row r="394" spans="1:102" ht="15.75" x14ac:dyDescent="0.25">
      <c r="A394" s="4" t="s">
        <v>411</v>
      </c>
      <c r="B394" s="4" t="s">
        <v>412</v>
      </c>
      <c r="C394" s="4">
        <v>2019</v>
      </c>
      <c r="D394" s="4">
        <v>2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1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3">
        <v>0</v>
      </c>
    </row>
    <row r="395" spans="1:102" ht="15.75" x14ac:dyDescent="0.25">
      <c r="A395" s="4" t="s">
        <v>413</v>
      </c>
      <c r="B395" s="4" t="s">
        <v>414</v>
      </c>
      <c r="C395" s="4">
        <v>2019</v>
      </c>
      <c r="D395" s="4">
        <v>24701</v>
      </c>
      <c r="E395" s="4">
        <v>13</v>
      </c>
      <c r="F395" s="4">
        <v>224</v>
      </c>
      <c r="G395" s="4">
        <v>247</v>
      </c>
      <c r="H395" s="4">
        <v>78</v>
      </c>
      <c r="I395" s="4">
        <v>218</v>
      </c>
      <c r="J395" s="4">
        <v>126</v>
      </c>
      <c r="K395" s="4">
        <v>40</v>
      </c>
      <c r="L395" s="4">
        <v>181</v>
      </c>
      <c r="M395" s="4">
        <v>75</v>
      </c>
      <c r="N395" s="4">
        <v>162</v>
      </c>
      <c r="O395" s="4">
        <v>338</v>
      </c>
      <c r="P395" s="4">
        <v>2</v>
      </c>
      <c r="Q395" s="4">
        <v>6</v>
      </c>
      <c r="R395" s="4">
        <v>4</v>
      </c>
      <c r="S395" s="4">
        <v>1</v>
      </c>
      <c r="T395" s="4">
        <v>36</v>
      </c>
      <c r="U395" s="4">
        <v>5</v>
      </c>
      <c r="V395" s="4">
        <v>30</v>
      </c>
      <c r="W395" s="4">
        <v>69</v>
      </c>
      <c r="X395" s="4">
        <v>66</v>
      </c>
      <c r="Y395" s="4">
        <v>3</v>
      </c>
      <c r="Z395" s="4">
        <v>6765</v>
      </c>
      <c r="AA395" s="4">
        <v>2861</v>
      </c>
      <c r="AB395" s="4">
        <v>441</v>
      </c>
      <c r="AC395" s="4">
        <v>14</v>
      </c>
      <c r="AD395" s="4">
        <v>62</v>
      </c>
      <c r="AE395" s="4">
        <v>44</v>
      </c>
      <c r="AF395" s="4">
        <v>29</v>
      </c>
      <c r="AG395" s="4">
        <v>902</v>
      </c>
      <c r="AH395" s="4">
        <v>65</v>
      </c>
      <c r="AI395" s="4">
        <v>217</v>
      </c>
      <c r="AJ395" s="4">
        <v>1553</v>
      </c>
      <c r="AK395" s="4">
        <v>250</v>
      </c>
      <c r="AL395" s="4">
        <v>22</v>
      </c>
      <c r="AM395" s="4">
        <v>259</v>
      </c>
      <c r="AN395" s="4">
        <v>192</v>
      </c>
      <c r="AO395" s="4">
        <v>329</v>
      </c>
      <c r="AP395" s="4">
        <v>10</v>
      </c>
      <c r="AQ395" s="4">
        <v>108</v>
      </c>
      <c r="AR395" s="4">
        <v>24</v>
      </c>
      <c r="AS395" s="4">
        <v>137</v>
      </c>
      <c r="AT395" s="4">
        <v>262</v>
      </c>
      <c r="AU395" s="4">
        <v>101</v>
      </c>
      <c r="AV395" s="4">
        <v>375</v>
      </c>
      <c r="AW395" s="4">
        <v>122</v>
      </c>
      <c r="AX395" s="4">
        <v>379</v>
      </c>
      <c r="AY395" s="4">
        <v>7</v>
      </c>
      <c r="AZ395" s="4">
        <v>34</v>
      </c>
      <c r="BA395" s="4">
        <v>0</v>
      </c>
      <c r="BB395" s="4">
        <v>559</v>
      </c>
      <c r="BC395" s="4">
        <v>68</v>
      </c>
      <c r="BD395" s="4">
        <v>3</v>
      </c>
      <c r="BE395" s="4">
        <v>68</v>
      </c>
      <c r="BF395" s="4">
        <v>180</v>
      </c>
      <c r="BG395" s="4">
        <v>10</v>
      </c>
      <c r="BH395" s="4">
        <v>16</v>
      </c>
      <c r="BI395" s="4">
        <v>2</v>
      </c>
      <c r="BJ395" s="4">
        <v>285</v>
      </c>
      <c r="BK395" s="4">
        <v>429</v>
      </c>
      <c r="BL395" s="4">
        <v>0</v>
      </c>
      <c r="BM395" s="4">
        <v>288</v>
      </c>
      <c r="BN395" s="4">
        <v>388</v>
      </c>
      <c r="BO395" s="4">
        <v>11</v>
      </c>
      <c r="BP395" s="4">
        <v>30</v>
      </c>
      <c r="BQ395" s="4">
        <v>485</v>
      </c>
      <c r="BR395" s="4">
        <v>51</v>
      </c>
      <c r="BS395" s="4">
        <v>394</v>
      </c>
      <c r="BT395" s="4">
        <v>221</v>
      </c>
      <c r="BU395" s="4">
        <v>47</v>
      </c>
      <c r="BV395" s="4">
        <v>230</v>
      </c>
      <c r="BW395" s="4">
        <v>117</v>
      </c>
      <c r="BX395" s="4">
        <v>1220</v>
      </c>
      <c r="BY395" s="4">
        <v>3</v>
      </c>
      <c r="BZ395" s="4">
        <v>1</v>
      </c>
      <c r="CA395" s="4">
        <v>103</v>
      </c>
      <c r="CB395" s="4">
        <v>13</v>
      </c>
      <c r="CC395" s="4">
        <v>1</v>
      </c>
      <c r="CD395" s="4">
        <v>54</v>
      </c>
      <c r="CE395" s="4">
        <v>4</v>
      </c>
      <c r="CF395" s="4">
        <v>34</v>
      </c>
      <c r="CG395" s="4">
        <v>6</v>
      </c>
      <c r="CH395" s="4">
        <v>32</v>
      </c>
      <c r="CI395" s="4">
        <v>32</v>
      </c>
      <c r="CJ395" s="4">
        <v>313</v>
      </c>
      <c r="CK395" s="4">
        <v>117</v>
      </c>
      <c r="CL395" s="4">
        <v>1</v>
      </c>
      <c r="CM395" s="4">
        <v>36</v>
      </c>
      <c r="CN395" s="4">
        <v>402</v>
      </c>
      <c r="CO395" s="4">
        <v>41</v>
      </c>
      <c r="CP395" s="4">
        <v>71</v>
      </c>
      <c r="CQ395" s="4">
        <v>2</v>
      </c>
      <c r="CR395" s="4">
        <v>27</v>
      </c>
      <c r="CS395" s="4">
        <v>16</v>
      </c>
      <c r="CT395" s="4">
        <v>219</v>
      </c>
      <c r="CU395" s="4">
        <v>21</v>
      </c>
      <c r="CV395" s="4">
        <v>546</v>
      </c>
      <c r="CW395" s="4">
        <v>20</v>
      </c>
      <c r="CX395" s="3">
        <v>20</v>
      </c>
    </row>
    <row r="396" spans="1:102" ht="15.75" x14ac:dyDescent="0.25">
      <c r="A396" s="4" t="s">
        <v>415</v>
      </c>
      <c r="B396" s="4" t="s">
        <v>416</v>
      </c>
      <c r="C396" s="4">
        <v>2019</v>
      </c>
      <c r="D396" s="4">
        <v>3896</v>
      </c>
      <c r="E396" s="4">
        <v>2</v>
      </c>
      <c r="F396" s="4">
        <v>2</v>
      </c>
      <c r="G396" s="4">
        <v>2</v>
      </c>
      <c r="H396" s="4">
        <v>6</v>
      </c>
      <c r="I396" s="4">
        <v>10</v>
      </c>
      <c r="J396" s="4">
        <v>12</v>
      </c>
      <c r="K396" s="4">
        <v>53</v>
      </c>
      <c r="L396" s="4">
        <v>13</v>
      </c>
      <c r="M396" s="4">
        <v>60</v>
      </c>
      <c r="N396" s="4">
        <v>23</v>
      </c>
      <c r="O396" s="4">
        <v>49</v>
      </c>
      <c r="P396" s="4">
        <v>0</v>
      </c>
      <c r="Q396" s="4">
        <v>0</v>
      </c>
      <c r="R396" s="4">
        <v>2</v>
      </c>
      <c r="S396" s="4">
        <v>2</v>
      </c>
      <c r="T396" s="4">
        <v>0</v>
      </c>
      <c r="U396" s="4">
        <v>1</v>
      </c>
      <c r="V396" s="4">
        <v>7</v>
      </c>
      <c r="W396" s="4">
        <v>14</v>
      </c>
      <c r="X396" s="4">
        <v>2</v>
      </c>
      <c r="Y396" s="4">
        <v>7</v>
      </c>
      <c r="Z396" s="4">
        <v>429</v>
      </c>
      <c r="AA396" s="4">
        <v>68</v>
      </c>
      <c r="AB396" s="4">
        <v>24</v>
      </c>
      <c r="AC396" s="4">
        <v>0</v>
      </c>
      <c r="AD396" s="4">
        <v>0</v>
      </c>
      <c r="AE396" s="4">
        <v>15</v>
      </c>
      <c r="AF396" s="4">
        <v>7</v>
      </c>
      <c r="AG396" s="4">
        <v>21</v>
      </c>
      <c r="AH396" s="4">
        <v>5</v>
      </c>
      <c r="AI396" s="4">
        <v>37</v>
      </c>
      <c r="AJ396" s="4">
        <v>49</v>
      </c>
      <c r="AK396" s="4">
        <v>39</v>
      </c>
      <c r="AL396" s="4">
        <v>0</v>
      </c>
      <c r="AM396" s="4">
        <v>28</v>
      </c>
      <c r="AN396" s="4">
        <v>28</v>
      </c>
      <c r="AO396" s="4">
        <v>78</v>
      </c>
      <c r="AP396" s="4">
        <v>1</v>
      </c>
      <c r="AQ396" s="4">
        <v>24</v>
      </c>
      <c r="AR396" s="4">
        <v>8</v>
      </c>
      <c r="AS396" s="4">
        <v>9</v>
      </c>
      <c r="AT396" s="4">
        <v>22</v>
      </c>
      <c r="AU396" s="4">
        <v>30</v>
      </c>
      <c r="AV396" s="4">
        <v>175</v>
      </c>
      <c r="AW396" s="4">
        <v>39</v>
      </c>
      <c r="AX396" s="4">
        <v>141</v>
      </c>
      <c r="AY396" s="4">
        <v>2</v>
      </c>
      <c r="AZ396" s="4">
        <v>15</v>
      </c>
      <c r="BA396" s="4">
        <v>0</v>
      </c>
      <c r="BB396" s="4">
        <v>184</v>
      </c>
      <c r="BC396" s="4">
        <v>15</v>
      </c>
      <c r="BD396" s="4">
        <v>3</v>
      </c>
      <c r="BE396" s="4">
        <v>65</v>
      </c>
      <c r="BF396" s="4">
        <v>121</v>
      </c>
      <c r="BG396" s="4">
        <v>4</v>
      </c>
      <c r="BH396" s="4">
        <v>8</v>
      </c>
      <c r="BI396" s="4">
        <v>0</v>
      </c>
      <c r="BJ396" s="4">
        <v>232</v>
      </c>
      <c r="BK396" s="4">
        <v>142</v>
      </c>
      <c r="BL396" s="4">
        <v>0</v>
      </c>
      <c r="BM396" s="4">
        <v>3</v>
      </c>
      <c r="BN396" s="4">
        <v>40</v>
      </c>
      <c r="BO396" s="4">
        <v>0</v>
      </c>
      <c r="BP396" s="4">
        <v>8</v>
      </c>
      <c r="BQ396" s="4">
        <v>70</v>
      </c>
      <c r="BR396" s="4">
        <v>6</v>
      </c>
      <c r="BS396" s="4">
        <v>127</v>
      </c>
      <c r="BT396" s="4">
        <v>59</v>
      </c>
      <c r="BU396" s="4">
        <v>5</v>
      </c>
      <c r="BV396" s="4">
        <v>18</v>
      </c>
      <c r="BW396" s="4">
        <v>81</v>
      </c>
      <c r="BX396" s="4">
        <v>288</v>
      </c>
      <c r="BY396" s="4">
        <v>2</v>
      </c>
      <c r="BZ396" s="4">
        <v>0</v>
      </c>
      <c r="CA396" s="4">
        <v>319</v>
      </c>
      <c r="CB396" s="4">
        <v>99</v>
      </c>
      <c r="CC396" s="4">
        <v>0</v>
      </c>
      <c r="CD396" s="4">
        <v>10</v>
      </c>
      <c r="CE396" s="4">
        <v>0</v>
      </c>
      <c r="CF396" s="4">
        <v>10</v>
      </c>
      <c r="CG396" s="4">
        <v>1</v>
      </c>
      <c r="CH396" s="4">
        <v>4</v>
      </c>
      <c r="CI396" s="4">
        <v>5</v>
      </c>
      <c r="CJ396" s="4">
        <v>22</v>
      </c>
      <c r="CK396" s="4">
        <v>4</v>
      </c>
      <c r="CL396" s="4">
        <v>0</v>
      </c>
      <c r="CM396" s="4">
        <v>36</v>
      </c>
      <c r="CN396" s="4">
        <v>162</v>
      </c>
      <c r="CO396" s="4">
        <v>23</v>
      </c>
      <c r="CP396" s="4">
        <v>4</v>
      </c>
      <c r="CQ396" s="4">
        <v>0</v>
      </c>
      <c r="CR396" s="4">
        <v>16</v>
      </c>
      <c r="CS396" s="4">
        <v>1</v>
      </c>
      <c r="CT396" s="4">
        <v>23</v>
      </c>
      <c r="CU396" s="4">
        <v>1</v>
      </c>
      <c r="CV396" s="4">
        <v>76</v>
      </c>
      <c r="CW396" s="4">
        <v>37</v>
      </c>
      <c r="CX396" s="3">
        <v>37</v>
      </c>
    </row>
    <row r="397" spans="1:102" ht="15.75" x14ac:dyDescent="0.25">
      <c r="A397" s="4" t="s">
        <v>417</v>
      </c>
      <c r="B397" s="4" t="s">
        <v>418</v>
      </c>
      <c r="C397" s="4">
        <v>2019</v>
      </c>
      <c r="D397" s="4">
        <v>18</v>
      </c>
      <c r="E397" s="4">
        <v>1</v>
      </c>
      <c r="F397" s="4">
        <v>0</v>
      </c>
      <c r="G397" s="4">
        <v>0</v>
      </c>
      <c r="H397" s="4">
        <v>0</v>
      </c>
      <c r="I397" s="4">
        <v>1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5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1</v>
      </c>
      <c r="BY397" s="4">
        <v>0</v>
      </c>
      <c r="BZ397" s="4">
        <v>0</v>
      </c>
      <c r="CA397" s="4">
        <v>2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1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1</v>
      </c>
      <c r="CW397" s="4">
        <v>1</v>
      </c>
      <c r="CX397" s="3">
        <v>1</v>
      </c>
    </row>
    <row r="398" spans="1:102" ht="15.75" x14ac:dyDescent="0.25">
      <c r="A398" s="4" t="s">
        <v>419</v>
      </c>
      <c r="B398" s="4" t="s">
        <v>420</v>
      </c>
      <c r="C398" s="4">
        <v>2019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3">
        <v>0</v>
      </c>
    </row>
    <row r="399" spans="1:102" ht="15.75" x14ac:dyDescent="0.25">
      <c r="A399" s="4" t="s">
        <v>421</v>
      </c>
      <c r="B399" s="4" t="s">
        <v>422</v>
      </c>
      <c r="C399" s="4">
        <v>2019</v>
      </c>
      <c r="D399" s="4">
        <v>1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1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3">
        <v>0</v>
      </c>
    </row>
    <row r="400" spans="1:102" ht="15.75" x14ac:dyDescent="0.25">
      <c r="A400" s="4" t="s">
        <v>423</v>
      </c>
      <c r="B400" s="4" t="s">
        <v>424</v>
      </c>
      <c r="C400" s="4">
        <v>2019</v>
      </c>
      <c r="D400" s="4">
        <v>878</v>
      </c>
      <c r="E400" s="4">
        <v>3</v>
      </c>
      <c r="F400" s="4">
        <v>0</v>
      </c>
      <c r="G400" s="4">
        <v>9</v>
      </c>
      <c r="H400" s="4">
        <v>0</v>
      </c>
      <c r="I400" s="4">
        <v>6</v>
      </c>
      <c r="J400" s="4">
        <v>1</v>
      </c>
      <c r="K400" s="4">
        <v>3</v>
      </c>
      <c r="L400" s="4">
        <v>8</v>
      </c>
      <c r="M400" s="4">
        <v>8</v>
      </c>
      <c r="N400" s="4">
        <v>7</v>
      </c>
      <c r="O400" s="4">
        <v>19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1</v>
      </c>
      <c r="X400" s="4">
        <v>1</v>
      </c>
      <c r="Y400" s="4">
        <v>0</v>
      </c>
      <c r="Z400" s="4">
        <v>0</v>
      </c>
      <c r="AA400" s="4">
        <v>4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2</v>
      </c>
      <c r="AH400" s="4">
        <v>1</v>
      </c>
      <c r="AI400" s="4">
        <v>6</v>
      </c>
      <c r="AJ400" s="4">
        <v>41</v>
      </c>
      <c r="AK400" s="4">
        <v>13</v>
      </c>
      <c r="AL400" s="4">
        <v>1</v>
      </c>
      <c r="AM400" s="4">
        <v>3</v>
      </c>
      <c r="AN400" s="4">
        <v>11</v>
      </c>
      <c r="AO400" s="4">
        <v>12</v>
      </c>
      <c r="AP400" s="4">
        <v>1</v>
      </c>
      <c r="AQ400" s="4">
        <v>4</v>
      </c>
      <c r="AR400" s="4">
        <v>1</v>
      </c>
      <c r="AS400" s="4">
        <v>7</v>
      </c>
      <c r="AT400" s="4">
        <v>10</v>
      </c>
      <c r="AU400" s="4">
        <v>24</v>
      </c>
      <c r="AV400" s="4">
        <v>5</v>
      </c>
      <c r="AW400" s="4">
        <v>3</v>
      </c>
      <c r="AX400" s="4">
        <v>19</v>
      </c>
      <c r="AY400" s="4">
        <v>0</v>
      </c>
      <c r="AZ400" s="4">
        <v>4</v>
      </c>
      <c r="BA400" s="4">
        <v>0</v>
      </c>
      <c r="BB400" s="4">
        <v>73</v>
      </c>
      <c r="BC400" s="4">
        <v>4</v>
      </c>
      <c r="BD400" s="4">
        <v>1</v>
      </c>
      <c r="BE400" s="4">
        <v>10</v>
      </c>
      <c r="BF400" s="4">
        <v>49</v>
      </c>
      <c r="BG400" s="4">
        <v>1</v>
      </c>
      <c r="BH400" s="4">
        <v>1</v>
      </c>
      <c r="BI400" s="4">
        <v>2</v>
      </c>
      <c r="BJ400" s="4">
        <v>13</v>
      </c>
      <c r="BK400" s="4">
        <v>27</v>
      </c>
      <c r="BL400" s="4">
        <v>0</v>
      </c>
      <c r="BM400" s="4">
        <v>1</v>
      </c>
      <c r="BN400" s="4">
        <v>4</v>
      </c>
      <c r="BO400" s="4">
        <v>0</v>
      </c>
      <c r="BP400" s="4">
        <v>2</v>
      </c>
      <c r="BQ400" s="4">
        <v>6</v>
      </c>
      <c r="BR400" s="4">
        <v>2</v>
      </c>
      <c r="BS400" s="4">
        <v>15</v>
      </c>
      <c r="BT400" s="4">
        <v>9</v>
      </c>
      <c r="BU400" s="4">
        <v>27</v>
      </c>
      <c r="BV400" s="4">
        <v>15</v>
      </c>
      <c r="BW400" s="4">
        <v>33</v>
      </c>
      <c r="BX400" s="4">
        <v>193</v>
      </c>
      <c r="BY400" s="4">
        <v>0</v>
      </c>
      <c r="BZ400" s="4">
        <v>0</v>
      </c>
      <c r="CA400" s="4">
        <v>24</v>
      </c>
      <c r="CB400" s="4">
        <v>2</v>
      </c>
      <c r="CC400" s="4">
        <v>0</v>
      </c>
      <c r="CD400" s="4">
        <v>3</v>
      </c>
      <c r="CE400" s="4">
        <v>0</v>
      </c>
      <c r="CF400" s="4">
        <v>5</v>
      </c>
      <c r="CG400" s="4">
        <v>1</v>
      </c>
      <c r="CH400" s="4">
        <v>1</v>
      </c>
      <c r="CI400" s="4">
        <v>1</v>
      </c>
      <c r="CJ400" s="4">
        <v>27</v>
      </c>
      <c r="CK400" s="4">
        <v>3</v>
      </c>
      <c r="CL400" s="4">
        <v>0</v>
      </c>
      <c r="CM400" s="4">
        <v>5</v>
      </c>
      <c r="CN400" s="4">
        <v>24</v>
      </c>
      <c r="CO400" s="4">
        <v>1</v>
      </c>
      <c r="CP400" s="4">
        <v>1</v>
      </c>
      <c r="CQ400" s="4">
        <v>0</v>
      </c>
      <c r="CR400" s="4">
        <v>3</v>
      </c>
      <c r="CS400" s="4">
        <v>2</v>
      </c>
      <c r="CT400" s="4">
        <v>7</v>
      </c>
      <c r="CU400" s="4">
        <v>1</v>
      </c>
      <c r="CV400" s="4">
        <v>28</v>
      </c>
      <c r="CW400" s="4">
        <v>8</v>
      </c>
      <c r="CX400" s="3">
        <v>8</v>
      </c>
    </row>
    <row r="401" spans="1:102" ht="15.75" x14ac:dyDescent="0.25">
      <c r="A401" s="4" t="s">
        <v>425</v>
      </c>
      <c r="B401" s="4" t="s">
        <v>426</v>
      </c>
      <c r="C401" s="4">
        <v>2019</v>
      </c>
      <c r="D401" s="4">
        <v>544</v>
      </c>
      <c r="E401" s="4">
        <v>0</v>
      </c>
      <c r="F401" s="4">
        <v>0</v>
      </c>
      <c r="G401" s="4">
        <v>1</v>
      </c>
      <c r="H401" s="4">
        <v>0</v>
      </c>
      <c r="I401" s="4">
        <v>7</v>
      </c>
      <c r="J401" s="4">
        <v>2</v>
      </c>
      <c r="K401" s="4">
        <v>0</v>
      </c>
      <c r="L401" s="4">
        <v>3</v>
      </c>
      <c r="M401" s="4">
        <v>0</v>
      </c>
      <c r="N401" s="4">
        <v>5</v>
      </c>
      <c r="O401" s="4">
        <v>9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2</v>
      </c>
      <c r="X401" s="4">
        <v>0</v>
      </c>
      <c r="Y401" s="4">
        <v>0</v>
      </c>
      <c r="Z401" s="4">
        <v>0</v>
      </c>
      <c r="AA401" s="4">
        <v>1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</v>
      </c>
      <c r="AH401" s="4">
        <v>0</v>
      </c>
      <c r="AI401" s="4">
        <v>3</v>
      </c>
      <c r="AJ401" s="4">
        <v>29</v>
      </c>
      <c r="AK401" s="4">
        <v>5</v>
      </c>
      <c r="AL401" s="4">
        <v>0</v>
      </c>
      <c r="AM401" s="4">
        <v>3</v>
      </c>
      <c r="AN401" s="4">
        <v>2</v>
      </c>
      <c r="AO401" s="4">
        <v>5</v>
      </c>
      <c r="AP401" s="4">
        <v>0</v>
      </c>
      <c r="AQ401" s="4">
        <v>3</v>
      </c>
      <c r="AR401" s="4">
        <v>1</v>
      </c>
      <c r="AS401" s="4">
        <v>1</v>
      </c>
      <c r="AT401" s="4">
        <v>4</v>
      </c>
      <c r="AU401" s="4">
        <v>4</v>
      </c>
      <c r="AV401" s="4">
        <v>4</v>
      </c>
      <c r="AW401" s="4">
        <v>6</v>
      </c>
      <c r="AX401" s="4">
        <v>18</v>
      </c>
      <c r="AY401" s="4">
        <v>1</v>
      </c>
      <c r="AZ401" s="4">
        <v>7</v>
      </c>
      <c r="BA401" s="4">
        <v>0</v>
      </c>
      <c r="BB401" s="4">
        <v>80</v>
      </c>
      <c r="BC401" s="4">
        <v>1</v>
      </c>
      <c r="BD401" s="4">
        <v>0</v>
      </c>
      <c r="BE401" s="4">
        <v>5</v>
      </c>
      <c r="BF401" s="4">
        <v>11</v>
      </c>
      <c r="BG401" s="4">
        <v>0</v>
      </c>
      <c r="BH401" s="4">
        <v>0</v>
      </c>
      <c r="BI401" s="4">
        <v>0</v>
      </c>
      <c r="BJ401" s="4">
        <v>21</v>
      </c>
      <c r="BK401" s="4">
        <v>44</v>
      </c>
      <c r="BL401" s="4">
        <v>0</v>
      </c>
      <c r="BM401" s="4">
        <v>1</v>
      </c>
      <c r="BN401" s="4">
        <v>7</v>
      </c>
      <c r="BO401" s="4">
        <v>0</v>
      </c>
      <c r="BP401" s="4">
        <v>5</v>
      </c>
      <c r="BQ401" s="4">
        <v>10</v>
      </c>
      <c r="BR401" s="4">
        <v>1</v>
      </c>
      <c r="BS401" s="4">
        <v>33</v>
      </c>
      <c r="BT401" s="4">
        <v>10</v>
      </c>
      <c r="BU401" s="4">
        <v>0</v>
      </c>
      <c r="BV401" s="4">
        <v>2</v>
      </c>
      <c r="BW401" s="4">
        <v>1</v>
      </c>
      <c r="BX401" s="4">
        <v>56</v>
      </c>
      <c r="BY401" s="4">
        <v>0</v>
      </c>
      <c r="BZ401" s="4">
        <v>0</v>
      </c>
      <c r="CA401" s="4">
        <v>41</v>
      </c>
      <c r="CB401" s="4">
        <v>0</v>
      </c>
      <c r="CC401" s="4">
        <v>0</v>
      </c>
      <c r="CD401" s="4">
        <v>4</v>
      </c>
      <c r="CE401" s="4">
        <v>0</v>
      </c>
      <c r="CF401" s="4">
        <v>1</v>
      </c>
      <c r="CG401" s="4">
        <v>1</v>
      </c>
      <c r="CH401" s="4">
        <v>1</v>
      </c>
      <c r="CI401" s="4">
        <v>1</v>
      </c>
      <c r="CJ401" s="4">
        <v>2</v>
      </c>
      <c r="CK401" s="4">
        <v>1</v>
      </c>
      <c r="CL401" s="4">
        <v>0</v>
      </c>
      <c r="CM401" s="4">
        <v>15</v>
      </c>
      <c r="CN401" s="4">
        <v>30</v>
      </c>
      <c r="CO401" s="4">
        <v>5</v>
      </c>
      <c r="CP401" s="4">
        <v>0</v>
      </c>
      <c r="CQ401" s="4">
        <v>0</v>
      </c>
      <c r="CR401" s="4">
        <v>3</v>
      </c>
      <c r="CS401" s="4">
        <v>6</v>
      </c>
      <c r="CT401" s="4">
        <v>2</v>
      </c>
      <c r="CU401" s="4">
        <v>0</v>
      </c>
      <c r="CV401" s="4">
        <v>8</v>
      </c>
      <c r="CW401" s="4">
        <v>5</v>
      </c>
      <c r="CX401" s="3">
        <v>5</v>
      </c>
    </row>
    <row r="402" spans="1:102" ht="15.75" x14ac:dyDescent="0.25">
      <c r="A402" s="4" t="s">
        <v>427</v>
      </c>
      <c r="B402" s="4" t="s">
        <v>428</v>
      </c>
      <c r="C402" s="4">
        <v>2019</v>
      </c>
      <c r="D402" s="4">
        <v>174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1</v>
      </c>
      <c r="O402" s="4">
        <v>65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1</v>
      </c>
      <c r="AJ402" s="4">
        <v>48</v>
      </c>
      <c r="AK402" s="4">
        <v>3</v>
      </c>
      <c r="AL402" s="4">
        <v>0</v>
      </c>
      <c r="AM402" s="4">
        <v>0</v>
      </c>
      <c r="AN402" s="4">
        <v>0</v>
      </c>
      <c r="AO402" s="4">
        <v>1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2</v>
      </c>
      <c r="AY402" s="4">
        <v>0</v>
      </c>
      <c r="AZ402" s="4">
        <v>2</v>
      </c>
      <c r="BA402" s="4">
        <v>0</v>
      </c>
      <c r="BB402" s="4">
        <v>1</v>
      </c>
      <c r="BC402" s="4">
        <v>0</v>
      </c>
      <c r="BD402" s="4">
        <v>0</v>
      </c>
      <c r="BE402" s="4">
        <v>0</v>
      </c>
      <c r="BF402" s="4">
        <v>1</v>
      </c>
      <c r="BG402" s="4">
        <v>2</v>
      </c>
      <c r="BH402" s="4">
        <v>0</v>
      </c>
      <c r="BI402" s="4">
        <v>0</v>
      </c>
      <c r="BJ402" s="4">
        <v>2</v>
      </c>
      <c r="BK402" s="4">
        <v>5</v>
      </c>
      <c r="BL402" s="4">
        <v>0</v>
      </c>
      <c r="BM402" s="4">
        <v>0</v>
      </c>
      <c r="BN402" s="4">
        <v>1</v>
      </c>
      <c r="BO402" s="4">
        <v>0</v>
      </c>
      <c r="BP402" s="4">
        <v>0</v>
      </c>
      <c r="BQ402" s="4">
        <v>0</v>
      </c>
      <c r="BR402" s="4">
        <v>0</v>
      </c>
      <c r="BS402" s="4">
        <v>2</v>
      </c>
      <c r="BT402" s="4">
        <v>0</v>
      </c>
      <c r="BU402" s="4">
        <v>0</v>
      </c>
      <c r="BV402" s="4">
        <v>1</v>
      </c>
      <c r="BW402" s="4">
        <v>9</v>
      </c>
      <c r="BX402" s="4">
        <v>15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2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</v>
      </c>
      <c r="CU402" s="4">
        <v>0</v>
      </c>
      <c r="CV402" s="4">
        <v>2</v>
      </c>
      <c r="CW402" s="4">
        <v>0</v>
      </c>
      <c r="CX402" s="3">
        <v>0</v>
      </c>
    </row>
    <row r="403" spans="1:102" ht="15.75" x14ac:dyDescent="0.25">
      <c r="A403" s="4" t="s">
        <v>429</v>
      </c>
      <c r="B403" s="4" t="s">
        <v>430</v>
      </c>
      <c r="C403" s="4">
        <v>2019</v>
      </c>
      <c r="D403" s="4">
        <v>175</v>
      </c>
      <c r="E403" s="4">
        <v>0</v>
      </c>
      <c r="F403" s="4">
        <v>0</v>
      </c>
      <c r="G403" s="4">
        <v>2</v>
      </c>
      <c r="H403" s="4">
        <v>0</v>
      </c>
      <c r="I403" s="4">
        <v>0</v>
      </c>
      <c r="J403" s="4">
        <v>0</v>
      </c>
      <c r="K403" s="4">
        <v>0</v>
      </c>
      <c r="L403" s="4">
        <v>2</v>
      </c>
      <c r="M403" s="4">
        <v>0</v>
      </c>
      <c r="N403" s="4">
        <v>1</v>
      </c>
      <c r="O403" s="4">
        <v>25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1</v>
      </c>
      <c r="W403" s="4">
        <v>0</v>
      </c>
      <c r="X403" s="4">
        <v>0</v>
      </c>
      <c r="Y403" s="4">
        <v>0</v>
      </c>
      <c r="Z403" s="4">
        <v>0</v>
      </c>
      <c r="AA403" s="4">
        <v>1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1</v>
      </c>
      <c r="AH403" s="4">
        <v>1</v>
      </c>
      <c r="AI403" s="4">
        <v>3</v>
      </c>
      <c r="AJ403" s="4">
        <v>21</v>
      </c>
      <c r="AK403" s="4">
        <v>5</v>
      </c>
      <c r="AL403" s="4">
        <v>1</v>
      </c>
      <c r="AM403" s="4">
        <v>5</v>
      </c>
      <c r="AN403" s="4">
        <v>1</v>
      </c>
      <c r="AO403" s="4">
        <v>5</v>
      </c>
      <c r="AP403" s="4">
        <v>0</v>
      </c>
      <c r="AQ403" s="4">
        <v>0</v>
      </c>
      <c r="AR403" s="4">
        <v>0</v>
      </c>
      <c r="AS403" s="4">
        <v>1</v>
      </c>
      <c r="AT403" s="4">
        <v>1</v>
      </c>
      <c r="AU403" s="4">
        <v>1</v>
      </c>
      <c r="AV403" s="4">
        <v>1</v>
      </c>
      <c r="AW403" s="4">
        <v>0</v>
      </c>
      <c r="AX403" s="4">
        <v>2</v>
      </c>
      <c r="AY403" s="4">
        <v>0</v>
      </c>
      <c r="AZ403" s="4">
        <v>2</v>
      </c>
      <c r="BA403" s="4">
        <v>0</v>
      </c>
      <c r="BB403" s="4">
        <v>3</v>
      </c>
      <c r="BC403" s="4">
        <v>7</v>
      </c>
      <c r="BD403" s="4">
        <v>0</v>
      </c>
      <c r="BE403" s="4">
        <v>3</v>
      </c>
      <c r="BF403" s="4">
        <v>6</v>
      </c>
      <c r="BG403" s="4">
        <v>0</v>
      </c>
      <c r="BH403" s="4">
        <v>1</v>
      </c>
      <c r="BI403" s="4">
        <v>0</v>
      </c>
      <c r="BJ403" s="4">
        <v>5</v>
      </c>
      <c r="BK403" s="4">
        <v>6</v>
      </c>
      <c r="BL403" s="4">
        <v>0</v>
      </c>
      <c r="BM403" s="4">
        <v>1</v>
      </c>
      <c r="BN403" s="4">
        <v>2</v>
      </c>
      <c r="BO403" s="4">
        <v>0</v>
      </c>
      <c r="BP403" s="4">
        <v>0</v>
      </c>
      <c r="BQ403" s="4">
        <v>2</v>
      </c>
      <c r="BR403" s="4">
        <v>1</v>
      </c>
      <c r="BS403" s="4">
        <v>4</v>
      </c>
      <c r="BT403" s="4">
        <v>3</v>
      </c>
      <c r="BU403" s="4">
        <v>0</v>
      </c>
      <c r="BV403" s="4">
        <v>1</v>
      </c>
      <c r="BW403" s="4">
        <v>0</v>
      </c>
      <c r="BX403" s="4">
        <v>19</v>
      </c>
      <c r="BY403" s="4">
        <v>0</v>
      </c>
      <c r="BZ403" s="4">
        <v>0</v>
      </c>
      <c r="CA403" s="4">
        <v>2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1</v>
      </c>
      <c r="CK403" s="4">
        <v>0</v>
      </c>
      <c r="CL403" s="4">
        <v>0</v>
      </c>
      <c r="CM403" s="4">
        <v>0</v>
      </c>
      <c r="CN403" s="4">
        <v>7</v>
      </c>
      <c r="CO403" s="4">
        <v>0</v>
      </c>
      <c r="CP403" s="4">
        <v>0</v>
      </c>
      <c r="CQ403" s="4">
        <v>0</v>
      </c>
      <c r="CR403" s="4">
        <v>1</v>
      </c>
      <c r="CS403" s="4">
        <v>0</v>
      </c>
      <c r="CT403" s="4">
        <v>2</v>
      </c>
      <c r="CU403" s="4">
        <v>0</v>
      </c>
      <c r="CV403" s="4">
        <v>8</v>
      </c>
      <c r="CW403" s="4">
        <v>0</v>
      </c>
      <c r="CX403" s="3">
        <v>0</v>
      </c>
    </row>
    <row r="404" spans="1:102" ht="15.75" x14ac:dyDescent="0.25">
      <c r="A404" s="4" t="s">
        <v>431</v>
      </c>
      <c r="B404" s="4" t="s">
        <v>432</v>
      </c>
      <c r="C404" s="4">
        <v>2019</v>
      </c>
      <c r="D404" s="4">
        <v>9</v>
      </c>
      <c r="E404" s="4">
        <v>0</v>
      </c>
      <c r="F404" s="4">
        <v>2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1</v>
      </c>
      <c r="BC404" s="4">
        <v>0</v>
      </c>
      <c r="BD404" s="4">
        <v>0</v>
      </c>
      <c r="BE404" s="4">
        <v>0</v>
      </c>
      <c r="BF404" s="4">
        <v>1</v>
      </c>
      <c r="BG404" s="4">
        <v>0</v>
      </c>
      <c r="BH404" s="4">
        <v>0</v>
      </c>
      <c r="BI404" s="4">
        <v>0</v>
      </c>
      <c r="BJ404" s="4">
        <v>1</v>
      </c>
      <c r="BK404" s="4">
        <v>1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1</v>
      </c>
      <c r="BY404" s="4">
        <v>0</v>
      </c>
      <c r="BZ404" s="4">
        <v>0</v>
      </c>
      <c r="CA404" s="4">
        <v>1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3">
        <v>0</v>
      </c>
    </row>
    <row r="405" spans="1:102" ht="15.75" x14ac:dyDescent="0.25">
      <c r="A405" s="4" t="s">
        <v>433</v>
      </c>
      <c r="B405" s="4" t="s">
        <v>434</v>
      </c>
      <c r="C405" s="4">
        <v>2019</v>
      </c>
      <c r="D405" s="4">
        <v>13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3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1</v>
      </c>
      <c r="BG405" s="4">
        <v>0</v>
      </c>
      <c r="BH405" s="4">
        <v>0</v>
      </c>
      <c r="BI405" s="4">
        <v>0</v>
      </c>
      <c r="BJ405" s="4">
        <v>1</v>
      </c>
      <c r="BK405" s="4">
        <v>1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3</v>
      </c>
      <c r="BX405" s="4">
        <v>1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1</v>
      </c>
      <c r="CX405" s="3">
        <v>1</v>
      </c>
    </row>
    <row r="406" spans="1:102" ht="15.75" x14ac:dyDescent="0.25">
      <c r="A406" s="4" t="s">
        <v>435</v>
      </c>
      <c r="B406" s="4" t="s">
        <v>436</v>
      </c>
      <c r="C406" s="4">
        <v>2019</v>
      </c>
      <c r="D406" s="4">
        <v>773</v>
      </c>
      <c r="E406" s="4">
        <v>5</v>
      </c>
      <c r="F406" s="4">
        <v>25</v>
      </c>
      <c r="G406" s="4">
        <v>6</v>
      </c>
      <c r="H406" s="4">
        <v>6</v>
      </c>
      <c r="I406" s="4">
        <v>7</v>
      </c>
      <c r="J406" s="4">
        <v>1</v>
      </c>
      <c r="K406" s="4">
        <v>1</v>
      </c>
      <c r="L406" s="4">
        <v>3</v>
      </c>
      <c r="M406" s="4">
        <v>4</v>
      </c>
      <c r="N406" s="4">
        <v>3</v>
      </c>
      <c r="O406" s="4">
        <v>11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1</v>
      </c>
      <c r="W406" s="4">
        <v>1</v>
      </c>
      <c r="X406" s="4">
        <v>1</v>
      </c>
      <c r="Y406" s="4">
        <v>0</v>
      </c>
      <c r="Z406" s="4">
        <v>76</v>
      </c>
      <c r="AA406" s="4">
        <v>1</v>
      </c>
      <c r="AB406" s="4">
        <v>0</v>
      </c>
      <c r="AC406" s="4">
        <v>0</v>
      </c>
      <c r="AD406" s="4">
        <v>0</v>
      </c>
      <c r="AE406" s="4">
        <v>1</v>
      </c>
      <c r="AF406" s="4">
        <v>0</v>
      </c>
      <c r="AG406" s="4">
        <v>8</v>
      </c>
      <c r="AH406" s="4">
        <v>0</v>
      </c>
      <c r="AI406" s="4">
        <v>6</v>
      </c>
      <c r="AJ406" s="4">
        <v>52</v>
      </c>
      <c r="AK406" s="4">
        <v>25</v>
      </c>
      <c r="AL406" s="4">
        <v>1</v>
      </c>
      <c r="AM406" s="4">
        <v>4</v>
      </c>
      <c r="AN406" s="4">
        <v>3</v>
      </c>
      <c r="AO406" s="4">
        <v>13</v>
      </c>
      <c r="AP406" s="4">
        <v>0</v>
      </c>
      <c r="AQ406" s="4">
        <v>3</v>
      </c>
      <c r="AR406" s="4">
        <v>1</v>
      </c>
      <c r="AS406" s="4">
        <v>15</v>
      </c>
      <c r="AT406" s="4">
        <v>9</v>
      </c>
      <c r="AU406" s="4">
        <v>3</v>
      </c>
      <c r="AV406" s="4">
        <v>22</v>
      </c>
      <c r="AW406" s="4">
        <v>2</v>
      </c>
      <c r="AX406" s="4">
        <v>11</v>
      </c>
      <c r="AY406" s="4">
        <v>1</v>
      </c>
      <c r="AZ406" s="4">
        <v>13</v>
      </c>
      <c r="BA406" s="4">
        <v>0</v>
      </c>
      <c r="BB406" s="4">
        <v>47</v>
      </c>
      <c r="BC406" s="4">
        <v>3</v>
      </c>
      <c r="BD406" s="4">
        <v>0</v>
      </c>
      <c r="BE406" s="4">
        <v>11</v>
      </c>
      <c r="BF406" s="4">
        <v>9</v>
      </c>
      <c r="BG406" s="4">
        <v>0</v>
      </c>
      <c r="BH406" s="4">
        <v>1</v>
      </c>
      <c r="BI406" s="4">
        <v>0</v>
      </c>
      <c r="BJ406" s="4">
        <v>20</v>
      </c>
      <c r="BK406" s="4">
        <v>15</v>
      </c>
      <c r="BL406" s="4">
        <v>0</v>
      </c>
      <c r="BM406" s="4">
        <v>1</v>
      </c>
      <c r="BN406" s="4">
        <v>5</v>
      </c>
      <c r="BO406" s="4">
        <v>0</v>
      </c>
      <c r="BP406" s="4">
        <v>2</v>
      </c>
      <c r="BQ406" s="4">
        <v>17</v>
      </c>
      <c r="BR406" s="4">
        <v>0</v>
      </c>
      <c r="BS406" s="4">
        <v>106</v>
      </c>
      <c r="BT406" s="4">
        <v>17</v>
      </c>
      <c r="BU406" s="4">
        <v>0</v>
      </c>
      <c r="BV406" s="4">
        <v>3</v>
      </c>
      <c r="BW406" s="4">
        <v>2</v>
      </c>
      <c r="BX406" s="4">
        <v>22</v>
      </c>
      <c r="BY406" s="4">
        <v>0</v>
      </c>
      <c r="BZ406" s="4">
        <v>0</v>
      </c>
      <c r="CA406" s="4">
        <v>101</v>
      </c>
      <c r="CB406" s="4">
        <v>0</v>
      </c>
      <c r="CC406" s="4">
        <v>0</v>
      </c>
      <c r="CD406" s="4">
        <v>1</v>
      </c>
      <c r="CE406" s="4">
        <v>0</v>
      </c>
      <c r="CF406" s="4">
        <v>1</v>
      </c>
      <c r="CG406" s="4">
        <v>6</v>
      </c>
      <c r="CH406" s="4">
        <v>0</v>
      </c>
      <c r="CI406" s="4">
        <v>0</v>
      </c>
      <c r="CJ406" s="4">
        <v>4</v>
      </c>
      <c r="CK406" s="4">
        <v>0</v>
      </c>
      <c r="CL406" s="4">
        <v>0</v>
      </c>
      <c r="CM406" s="4">
        <v>2</v>
      </c>
      <c r="CN406" s="4">
        <v>20</v>
      </c>
      <c r="CO406" s="4">
        <v>1</v>
      </c>
      <c r="CP406" s="4">
        <v>0</v>
      </c>
      <c r="CQ406" s="4">
        <v>0</v>
      </c>
      <c r="CR406" s="4">
        <v>0</v>
      </c>
      <c r="CS406" s="4">
        <v>0</v>
      </c>
      <c r="CT406" s="4">
        <v>3</v>
      </c>
      <c r="CU406" s="4">
        <v>2</v>
      </c>
      <c r="CV406" s="4">
        <v>6</v>
      </c>
      <c r="CW406" s="4">
        <v>3</v>
      </c>
      <c r="CX406" s="3">
        <v>3</v>
      </c>
    </row>
    <row r="407" spans="1:102" ht="15.75" x14ac:dyDescent="0.25">
      <c r="A407" s="4" t="s">
        <v>437</v>
      </c>
      <c r="B407" s="4" t="s">
        <v>438</v>
      </c>
      <c r="C407" s="4">
        <v>2019</v>
      </c>
      <c r="D407" s="4">
        <v>814</v>
      </c>
      <c r="E407" s="4">
        <v>1</v>
      </c>
      <c r="F407" s="4">
        <v>0</v>
      </c>
      <c r="G407" s="4">
        <v>10</v>
      </c>
      <c r="H407" s="4">
        <v>0</v>
      </c>
      <c r="I407" s="4">
        <v>3</v>
      </c>
      <c r="J407" s="4">
        <v>2</v>
      </c>
      <c r="K407" s="4">
        <v>1</v>
      </c>
      <c r="L407" s="4">
        <v>1</v>
      </c>
      <c r="M407" s="4">
        <v>2</v>
      </c>
      <c r="N407" s="4">
        <v>5</v>
      </c>
      <c r="O407" s="4">
        <v>0</v>
      </c>
      <c r="P407" s="4">
        <v>0</v>
      </c>
      <c r="Q407" s="4">
        <v>0</v>
      </c>
      <c r="R407" s="4">
        <v>1</v>
      </c>
      <c r="S407" s="4">
        <v>1</v>
      </c>
      <c r="T407" s="4">
        <v>6</v>
      </c>
      <c r="U407" s="4">
        <v>58</v>
      </c>
      <c r="V407" s="4">
        <v>1</v>
      </c>
      <c r="W407" s="4">
        <v>281</v>
      </c>
      <c r="X407" s="4">
        <v>1</v>
      </c>
      <c r="Y407" s="4">
        <v>0</v>
      </c>
      <c r="Z407" s="4">
        <v>0</v>
      </c>
      <c r="AA407" s="4">
        <v>2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8</v>
      </c>
      <c r="AH407" s="4">
        <v>1</v>
      </c>
      <c r="AI407" s="4">
        <v>10</v>
      </c>
      <c r="AJ407" s="4">
        <v>39</v>
      </c>
      <c r="AK407" s="4">
        <v>16</v>
      </c>
      <c r="AL407" s="4">
        <v>1</v>
      </c>
      <c r="AM407" s="4">
        <v>6</v>
      </c>
      <c r="AN407" s="4">
        <v>2</v>
      </c>
      <c r="AO407" s="4">
        <v>24</v>
      </c>
      <c r="AP407" s="4">
        <v>0</v>
      </c>
      <c r="AQ407" s="4">
        <v>2</v>
      </c>
      <c r="AR407" s="4">
        <v>0</v>
      </c>
      <c r="AS407" s="4">
        <v>4</v>
      </c>
      <c r="AT407" s="4">
        <v>6</v>
      </c>
      <c r="AU407" s="4">
        <v>1</v>
      </c>
      <c r="AV407" s="4">
        <v>7</v>
      </c>
      <c r="AW407" s="4">
        <v>3</v>
      </c>
      <c r="AX407" s="4">
        <v>5</v>
      </c>
      <c r="AY407" s="4">
        <v>0</v>
      </c>
      <c r="AZ407" s="4">
        <v>8</v>
      </c>
      <c r="BA407" s="4">
        <v>0</v>
      </c>
      <c r="BB407" s="4">
        <v>106</v>
      </c>
      <c r="BC407" s="4">
        <v>2</v>
      </c>
      <c r="BD407" s="4">
        <v>0</v>
      </c>
      <c r="BE407" s="4">
        <v>4</v>
      </c>
      <c r="BF407" s="4">
        <v>7</v>
      </c>
      <c r="BG407" s="4">
        <v>1</v>
      </c>
      <c r="BH407" s="4">
        <v>1</v>
      </c>
      <c r="BI407" s="4">
        <v>0</v>
      </c>
      <c r="BJ407" s="4">
        <v>13</v>
      </c>
      <c r="BK407" s="4">
        <v>10</v>
      </c>
      <c r="BL407" s="4">
        <v>0</v>
      </c>
      <c r="BM407" s="4">
        <v>2</v>
      </c>
      <c r="BN407" s="4">
        <v>13</v>
      </c>
      <c r="BO407" s="4">
        <v>0</v>
      </c>
      <c r="BP407" s="4">
        <v>1</v>
      </c>
      <c r="BQ407" s="4">
        <v>2</v>
      </c>
      <c r="BR407" s="4">
        <v>0</v>
      </c>
      <c r="BS407" s="4">
        <v>7</v>
      </c>
      <c r="BT407" s="4">
        <v>8</v>
      </c>
      <c r="BU407" s="4">
        <v>0</v>
      </c>
      <c r="BV407" s="4">
        <v>3</v>
      </c>
      <c r="BW407" s="4">
        <v>0</v>
      </c>
      <c r="BX407" s="4">
        <v>3</v>
      </c>
      <c r="BY407" s="4">
        <v>0</v>
      </c>
      <c r="BZ407" s="4">
        <v>0</v>
      </c>
      <c r="CA407" s="4">
        <v>23</v>
      </c>
      <c r="CB407" s="4">
        <v>51</v>
      </c>
      <c r="CC407" s="4">
        <v>0</v>
      </c>
      <c r="CD407" s="4">
        <v>2</v>
      </c>
      <c r="CE407" s="4">
        <v>0</v>
      </c>
      <c r="CF407" s="4">
        <v>1</v>
      </c>
      <c r="CG407" s="4">
        <v>0</v>
      </c>
      <c r="CH407" s="4">
        <v>0</v>
      </c>
      <c r="CI407" s="4">
        <v>0</v>
      </c>
      <c r="CJ407" s="4">
        <v>2</v>
      </c>
      <c r="CK407" s="4">
        <v>1</v>
      </c>
      <c r="CL407" s="4">
        <v>0</v>
      </c>
      <c r="CM407" s="4">
        <v>3</v>
      </c>
      <c r="CN407" s="4">
        <v>12</v>
      </c>
      <c r="CO407" s="4">
        <v>1</v>
      </c>
      <c r="CP407" s="4">
        <v>0</v>
      </c>
      <c r="CQ407" s="4">
        <v>0</v>
      </c>
      <c r="CR407" s="4">
        <v>0</v>
      </c>
      <c r="CS407" s="4">
        <v>1</v>
      </c>
      <c r="CT407" s="4">
        <v>2</v>
      </c>
      <c r="CU407" s="4">
        <v>0</v>
      </c>
      <c r="CV407" s="4">
        <v>10</v>
      </c>
      <c r="CW407" s="4">
        <v>5</v>
      </c>
      <c r="CX407" s="3">
        <v>5</v>
      </c>
    </row>
    <row r="408" spans="1:102" ht="15.75" x14ac:dyDescent="0.25">
      <c r="A408" s="4" t="s">
        <v>439</v>
      </c>
      <c r="B408" s="4" t="s">
        <v>440</v>
      </c>
      <c r="C408" s="4">
        <v>2019</v>
      </c>
      <c r="D408" s="4">
        <v>5640</v>
      </c>
      <c r="E408" s="4">
        <v>5</v>
      </c>
      <c r="F408" s="4">
        <v>21</v>
      </c>
      <c r="G408" s="4">
        <v>25</v>
      </c>
      <c r="H408" s="4">
        <v>26</v>
      </c>
      <c r="I408" s="4">
        <v>30</v>
      </c>
      <c r="J408" s="4">
        <v>31</v>
      </c>
      <c r="K408" s="4">
        <v>14</v>
      </c>
      <c r="L408" s="4">
        <v>68</v>
      </c>
      <c r="M408" s="4">
        <v>24</v>
      </c>
      <c r="N408" s="4">
        <v>68</v>
      </c>
      <c r="O408" s="4">
        <v>367</v>
      </c>
      <c r="P408" s="4">
        <v>1</v>
      </c>
      <c r="Q408" s="4">
        <v>1</v>
      </c>
      <c r="R408" s="4">
        <v>3</v>
      </c>
      <c r="S408" s="4">
        <v>1</v>
      </c>
      <c r="T408" s="4">
        <v>0</v>
      </c>
      <c r="U408" s="4">
        <v>49</v>
      </c>
      <c r="V408" s="4">
        <v>10</v>
      </c>
      <c r="W408" s="4">
        <v>18</v>
      </c>
      <c r="X408" s="4">
        <v>9</v>
      </c>
      <c r="Y408" s="4">
        <v>0</v>
      </c>
      <c r="Z408" s="4">
        <v>306</v>
      </c>
      <c r="AA408" s="4">
        <v>28</v>
      </c>
      <c r="AB408" s="4">
        <v>158</v>
      </c>
      <c r="AC408" s="4">
        <v>0</v>
      </c>
      <c r="AD408" s="4">
        <v>4</v>
      </c>
      <c r="AE408" s="4">
        <v>6</v>
      </c>
      <c r="AF408" s="4">
        <v>4</v>
      </c>
      <c r="AG408" s="4">
        <v>76</v>
      </c>
      <c r="AH408" s="4">
        <v>12</v>
      </c>
      <c r="AI408" s="4">
        <v>114</v>
      </c>
      <c r="AJ408" s="4">
        <v>142</v>
      </c>
      <c r="AK408" s="4">
        <v>178</v>
      </c>
      <c r="AL408" s="4">
        <v>9</v>
      </c>
      <c r="AM408" s="4">
        <v>126</v>
      </c>
      <c r="AN408" s="4">
        <v>129</v>
      </c>
      <c r="AO408" s="4">
        <v>154</v>
      </c>
      <c r="AP408" s="4">
        <v>14</v>
      </c>
      <c r="AQ408" s="4">
        <v>40</v>
      </c>
      <c r="AR408" s="4">
        <v>2</v>
      </c>
      <c r="AS408" s="4">
        <v>63</v>
      </c>
      <c r="AT408" s="4">
        <v>160</v>
      </c>
      <c r="AU408" s="4">
        <v>63</v>
      </c>
      <c r="AV408" s="4">
        <v>67</v>
      </c>
      <c r="AW408" s="4">
        <v>47</v>
      </c>
      <c r="AX408" s="4">
        <v>148</v>
      </c>
      <c r="AY408" s="4">
        <v>0</v>
      </c>
      <c r="AZ408" s="4">
        <v>13</v>
      </c>
      <c r="BA408" s="4">
        <v>0</v>
      </c>
      <c r="BB408" s="4">
        <v>76</v>
      </c>
      <c r="BC408" s="4">
        <v>13</v>
      </c>
      <c r="BD408" s="4">
        <v>1</v>
      </c>
      <c r="BE408" s="4">
        <v>47</v>
      </c>
      <c r="BF408" s="4">
        <v>223</v>
      </c>
      <c r="BG408" s="4">
        <v>8</v>
      </c>
      <c r="BH408" s="4">
        <v>14</v>
      </c>
      <c r="BI408" s="4">
        <v>2</v>
      </c>
      <c r="BJ408" s="4">
        <v>100</v>
      </c>
      <c r="BK408" s="4">
        <v>182</v>
      </c>
      <c r="BL408" s="4">
        <v>0</v>
      </c>
      <c r="BM408" s="4">
        <v>18</v>
      </c>
      <c r="BN408" s="4">
        <v>125</v>
      </c>
      <c r="BO408" s="4">
        <v>4</v>
      </c>
      <c r="BP408" s="4">
        <v>17</v>
      </c>
      <c r="BQ408" s="4">
        <v>115</v>
      </c>
      <c r="BR408" s="4">
        <v>17</v>
      </c>
      <c r="BS408" s="4">
        <v>161</v>
      </c>
      <c r="BT408" s="4">
        <v>82</v>
      </c>
      <c r="BU408" s="4">
        <v>5</v>
      </c>
      <c r="BV408" s="4">
        <v>228</v>
      </c>
      <c r="BW408" s="4">
        <v>46</v>
      </c>
      <c r="BX408" s="4">
        <v>465</v>
      </c>
      <c r="BY408" s="4">
        <v>5</v>
      </c>
      <c r="BZ408" s="4">
        <v>0</v>
      </c>
      <c r="CA408" s="4">
        <v>44</v>
      </c>
      <c r="CB408" s="4">
        <v>1</v>
      </c>
      <c r="CC408" s="4">
        <v>1</v>
      </c>
      <c r="CD408" s="4">
        <v>18</v>
      </c>
      <c r="CE408" s="4">
        <v>3</v>
      </c>
      <c r="CF408" s="4">
        <v>10</v>
      </c>
      <c r="CG408" s="4">
        <v>9</v>
      </c>
      <c r="CH408" s="4">
        <v>7</v>
      </c>
      <c r="CI408" s="4">
        <v>20</v>
      </c>
      <c r="CJ408" s="4">
        <v>165</v>
      </c>
      <c r="CK408" s="4">
        <v>77</v>
      </c>
      <c r="CL408" s="4">
        <v>1</v>
      </c>
      <c r="CM408" s="4">
        <v>17</v>
      </c>
      <c r="CN408" s="4">
        <v>86</v>
      </c>
      <c r="CO408" s="4">
        <v>31</v>
      </c>
      <c r="CP408" s="4">
        <v>7</v>
      </c>
      <c r="CQ408" s="4">
        <v>1</v>
      </c>
      <c r="CR408" s="4">
        <v>0</v>
      </c>
      <c r="CS408" s="4">
        <v>9</v>
      </c>
      <c r="CT408" s="4">
        <v>71</v>
      </c>
      <c r="CU408" s="4">
        <v>7</v>
      </c>
      <c r="CV408" s="4">
        <v>262</v>
      </c>
      <c r="CW408" s="4">
        <v>8</v>
      </c>
      <c r="CX408" s="3">
        <v>8</v>
      </c>
    </row>
    <row r="409" spans="1:102" ht="15.75" x14ac:dyDescent="0.25">
      <c r="A409" s="4" t="s">
        <v>441</v>
      </c>
      <c r="B409" s="4" t="s">
        <v>442</v>
      </c>
      <c r="C409" s="4">
        <v>2019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3">
        <v>0</v>
      </c>
    </row>
    <row r="410" spans="1:102" ht="15.75" x14ac:dyDescent="0.25">
      <c r="A410" s="4" t="s">
        <v>443</v>
      </c>
      <c r="B410" s="4" t="s">
        <v>444</v>
      </c>
      <c r="C410" s="4">
        <v>2019</v>
      </c>
      <c r="D410" s="4">
        <v>4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1</v>
      </c>
      <c r="M410" s="4">
        <v>0</v>
      </c>
      <c r="N410" s="4">
        <v>0</v>
      </c>
      <c r="O410" s="4">
        <v>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2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3">
        <v>0</v>
      </c>
    </row>
    <row r="411" spans="1:102" ht="15.75" x14ac:dyDescent="0.25">
      <c r="A411" s="4" t="s">
        <v>445</v>
      </c>
      <c r="B411" s="4" t="s">
        <v>446</v>
      </c>
      <c r="C411" s="4">
        <v>2019</v>
      </c>
      <c r="D411" s="4">
        <v>1651</v>
      </c>
      <c r="E411" s="4">
        <v>0</v>
      </c>
      <c r="F411" s="4">
        <v>18</v>
      </c>
      <c r="G411" s="4">
        <v>7</v>
      </c>
      <c r="H411" s="4">
        <v>14</v>
      </c>
      <c r="I411" s="4">
        <v>54</v>
      </c>
      <c r="J411" s="4">
        <v>10</v>
      </c>
      <c r="K411" s="4">
        <v>2</v>
      </c>
      <c r="L411" s="4">
        <v>9</v>
      </c>
      <c r="M411" s="4">
        <v>4</v>
      </c>
      <c r="N411" s="4">
        <v>17</v>
      </c>
      <c r="O411" s="4">
        <v>100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3</v>
      </c>
      <c r="V411" s="4">
        <v>11</v>
      </c>
      <c r="W411" s="4">
        <v>59</v>
      </c>
      <c r="X411" s="4">
        <v>5</v>
      </c>
      <c r="Y411" s="4">
        <v>0</v>
      </c>
      <c r="Z411" s="4">
        <v>73</v>
      </c>
      <c r="AA411" s="4">
        <v>31</v>
      </c>
      <c r="AB411" s="4">
        <v>43</v>
      </c>
      <c r="AC411" s="4">
        <v>0</v>
      </c>
      <c r="AD411" s="4">
        <v>0</v>
      </c>
      <c r="AE411" s="4">
        <v>0</v>
      </c>
      <c r="AF411" s="4">
        <v>0</v>
      </c>
      <c r="AG411" s="4">
        <v>26</v>
      </c>
      <c r="AH411" s="4">
        <v>8</v>
      </c>
      <c r="AI411" s="4">
        <v>13</v>
      </c>
      <c r="AJ411" s="4">
        <v>86</v>
      </c>
      <c r="AK411" s="4">
        <v>28</v>
      </c>
      <c r="AL411" s="4">
        <v>0</v>
      </c>
      <c r="AM411" s="4">
        <v>24</v>
      </c>
      <c r="AN411" s="4">
        <v>16</v>
      </c>
      <c r="AO411" s="4">
        <v>120</v>
      </c>
      <c r="AP411" s="4">
        <v>2</v>
      </c>
      <c r="AQ411" s="4">
        <v>7</v>
      </c>
      <c r="AR411" s="4">
        <v>2</v>
      </c>
      <c r="AS411" s="4">
        <v>13</v>
      </c>
      <c r="AT411" s="4">
        <v>46</v>
      </c>
      <c r="AU411" s="4">
        <v>23</v>
      </c>
      <c r="AV411" s="4">
        <v>55</v>
      </c>
      <c r="AW411" s="4">
        <v>12</v>
      </c>
      <c r="AX411" s="4">
        <v>25</v>
      </c>
      <c r="AY411" s="4">
        <v>0</v>
      </c>
      <c r="AZ411" s="4">
        <v>4</v>
      </c>
      <c r="BA411" s="4">
        <v>0</v>
      </c>
      <c r="BB411" s="4">
        <v>24</v>
      </c>
      <c r="BC411" s="4">
        <v>3</v>
      </c>
      <c r="BD411" s="4">
        <v>0</v>
      </c>
      <c r="BE411" s="4">
        <v>14</v>
      </c>
      <c r="BF411" s="4">
        <v>32</v>
      </c>
      <c r="BG411" s="4">
        <v>2</v>
      </c>
      <c r="BH411" s="4">
        <v>2</v>
      </c>
      <c r="BI411" s="4">
        <v>0</v>
      </c>
      <c r="BJ411" s="4">
        <v>25</v>
      </c>
      <c r="BK411" s="4">
        <v>55</v>
      </c>
      <c r="BL411" s="4">
        <v>0</v>
      </c>
      <c r="BM411" s="4">
        <v>4</v>
      </c>
      <c r="BN411" s="4">
        <v>22</v>
      </c>
      <c r="BO411" s="4">
        <v>0</v>
      </c>
      <c r="BP411" s="4">
        <v>7</v>
      </c>
      <c r="BQ411" s="4">
        <v>37</v>
      </c>
      <c r="BR411" s="4">
        <v>5</v>
      </c>
      <c r="BS411" s="4">
        <v>53</v>
      </c>
      <c r="BT411" s="4">
        <v>21</v>
      </c>
      <c r="BU411" s="4">
        <v>1</v>
      </c>
      <c r="BV411" s="4">
        <v>29</v>
      </c>
      <c r="BW411" s="4">
        <v>8</v>
      </c>
      <c r="BX411" s="4">
        <v>119</v>
      </c>
      <c r="BY411" s="4">
        <v>0</v>
      </c>
      <c r="BZ411" s="4">
        <v>0</v>
      </c>
      <c r="CA411" s="4">
        <v>13</v>
      </c>
      <c r="CB411" s="4">
        <v>4</v>
      </c>
      <c r="CC411" s="4">
        <v>0</v>
      </c>
      <c r="CD411" s="4">
        <v>4</v>
      </c>
      <c r="CE411" s="4">
        <v>1</v>
      </c>
      <c r="CF411" s="4">
        <v>2</v>
      </c>
      <c r="CG411" s="4">
        <v>1</v>
      </c>
      <c r="CH411" s="4">
        <v>3</v>
      </c>
      <c r="CI411" s="4">
        <v>4</v>
      </c>
      <c r="CJ411" s="4">
        <v>37</v>
      </c>
      <c r="CK411" s="4">
        <v>22</v>
      </c>
      <c r="CL411" s="4">
        <v>0</v>
      </c>
      <c r="CM411" s="4">
        <v>6</v>
      </c>
      <c r="CN411" s="4">
        <v>38</v>
      </c>
      <c r="CO411" s="4">
        <v>5</v>
      </c>
      <c r="CP411" s="4">
        <v>2</v>
      </c>
      <c r="CQ411" s="4">
        <v>0</v>
      </c>
      <c r="CR411" s="4">
        <v>0</v>
      </c>
      <c r="CS411" s="4">
        <v>2</v>
      </c>
      <c r="CT411" s="4">
        <v>15</v>
      </c>
      <c r="CU411" s="4">
        <v>2</v>
      </c>
      <c r="CV411" s="4">
        <v>49</v>
      </c>
      <c r="CW411" s="4">
        <v>2</v>
      </c>
      <c r="CX411" s="3">
        <v>2</v>
      </c>
    </row>
    <row r="412" spans="1:102" ht="15.75" x14ac:dyDescent="0.25">
      <c r="A412" s="4" t="s">
        <v>447</v>
      </c>
      <c r="B412" s="4" t="s">
        <v>448</v>
      </c>
      <c r="C412" s="4">
        <v>2019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3">
        <v>0</v>
      </c>
    </row>
    <row r="413" spans="1:102" ht="15.75" x14ac:dyDescent="0.25">
      <c r="A413" s="4" t="s">
        <v>449</v>
      </c>
      <c r="B413" s="4" t="s">
        <v>450</v>
      </c>
      <c r="C413" s="4">
        <v>2019</v>
      </c>
      <c r="D413" s="4">
        <v>34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17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1</v>
      </c>
      <c r="AK413" s="4">
        <v>0</v>
      </c>
      <c r="AL413" s="4">
        <v>0</v>
      </c>
      <c r="AM413" s="4">
        <v>0</v>
      </c>
      <c r="AN413" s="4">
        <v>1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1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1</v>
      </c>
      <c r="BG413" s="4">
        <v>0</v>
      </c>
      <c r="BH413" s="4">
        <v>0</v>
      </c>
      <c r="BI413" s="4">
        <v>0</v>
      </c>
      <c r="BJ413" s="4">
        <v>0</v>
      </c>
      <c r="BK413" s="4">
        <v>1</v>
      </c>
      <c r="BL413" s="4">
        <v>0</v>
      </c>
      <c r="BM413" s="4">
        <v>0</v>
      </c>
      <c r="BN413" s="4">
        <v>2</v>
      </c>
      <c r="BO413" s="4">
        <v>0</v>
      </c>
      <c r="BP413" s="4">
        <v>0</v>
      </c>
      <c r="BQ413" s="4">
        <v>1</v>
      </c>
      <c r="BR413" s="4">
        <v>0</v>
      </c>
      <c r="BS413" s="4">
        <v>0</v>
      </c>
      <c r="BT413" s="4">
        <v>2</v>
      </c>
      <c r="BU413" s="4">
        <v>0</v>
      </c>
      <c r="BV413" s="4">
        <v>1</v>
      </c>
      <c r="BW413" s="4">
        <v>0</v>
      </c>
      <c r="BX413" s="4">
        <v>3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1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1</v>
      </c>
      <c r="CU413" s="4">
        <v>0</v>
      </c>
      <c r="CV413" s="4">
        <v>0</v>
      </c>
      <c r="CW413" s="4">
        <v>0</v>
      </c>
      <c r="CX413" s="3">
        <v>0</v>
      </c>
    </row>
    <row r="414" spans="1:102" ht="15.75" x14ac:dyDescent="0.25">
      <c r="A414" s="4" t="s">
        <v>451</v>
      </c>
      <c r="B414" s="4" t="s">
        <v>452</v>
      </c>
      <c r="C414" s="4">
        <v>2019</v>
      </c>
      <c r="D414" s="4">
        <v>2641</v>
      </c>
      <c r="E414" s="4">
        <v>4</v>
      </c>
      <c r="F414" s="4">
        <v>10</v>
      </c>
      <c r="G414" s="4">
        <v>3</v>
      </c>
      <c r="H414" s="4">
        <v>0</v>
      </c>
      <c r="I414" s="4">
        <v>16</v>
      </c>
      <c r="J414" s="4">
        <v>4</v>
      </c>
      <c r="K414" s="4">
        <v>1</v>
      </c>
      <c r="L414" s="4">
        <v>7</v>
      </c>
      <c r="M414" s="4">
        <v>2</v>
      </c>
      <c r="N414" s="4">
        <v>11</v>
      </c>
      <c r="O414" s="4">
        <v>16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</v>
      </c>
      <c r="AH414" s="4">
        <v>1</v>
      </c>
      <c r="AI414" s="4">
        <v>5</v>
      </c>
      <c r="AJ414" s="4">
        <v>58</v>
      </c>
      <c r="AK414" s="4">
        <v>13</v>
      </c>
      <c r="AL414" s="4">
        <v>0</v>
      </c>
      <c r="AM414" s="4">
        <v>2</v>
      </c>
      <c r="AN414" s="4">
        <v>8</v>
      </c>
      <c r="AO414" s="4">
        <v>21</v>
      </c>
      <c r="AP414" s="4">
        <v>0</v>
      </c>
      <c r="AQ414" s="4">
        <v>7</v>
      </c>
      <c r="AR414" s="4">
        <v>2</v>
      </c>
      <c r="AS414" s="4">
        <v>4</v>
      </c>
      <c r="AT414" s="4">
        <v>7</v>
      </c>
      <c r="AU414" s="4">
        <v>13</v>
      </c>
      <c r="AV414" s="4">
        <v>17</v>
      </c>
      <c r="AW414" s="4">
        <v>13</v>
      </c>
      <c r="AX414" s="4">
        <v>64</v>
      </c>
      <c r="AY414" s="4">
        <v>1</v>
      </c>
      <c r="AZ414" s="4">
        <v>16</v>
      </c>
      <c r="BA414" s="4">
        <v>0</v>
      </c>
      <c r="BB414" s="4">
        <v>968</v>
      </c>
      <c r="BC414" s="4">
        <v>1</v>
      </c>
      <c r="BD414" s="4">
        <v>0</v>
      </c>
      <c r="BE414" s="4">
        <v>12</v>
      </c>
      <c r="BF414" s="4">
        <v>13</v>
      </c>
      <c r="BG414" s="4">
        <v>1</v>
      </c>
      <c r="BH414" s="4">
        <v>1</v>
      </c>
      <c r="BI414" s="4">
        <v>1</v>
      </c>
      <c r="BJ414" s="4">
        <v>70</v>
      </c>
      <c r="BK414" s="4">
        <v>39</v>
      </c>
      <c r="BL414" s="4">
        <v>0</v>
      </c>
      <c r="BM414" s="4">
        <v>1</v>
      </c>
      <c r="BN414" s="4">
        <v>30</v>
      </c>
      <c r="BO414" s="4">
        <v>1</v>
      </c>
      <c r="BP414" s="4">
        <v>2</v>
      </c>
      <c r="BQ414" s="4">
        <v>51</v>
      </c>
      <c r="BR414" s="4">
        <v>3</v>
      </c>
      <c r="BS414" s="4">
        <v>68</v>
      </c>
      <c r="BT414" s="4">
        <v>18</v>
      </c>
      <c r="BU414" s="4">
        <v>0</v>
      </c>
      <c r="BV414" s="4">
        <v>8</v>
      </c>
      <c r="BW414" s="4">
        <v>4</v>
      </c>
      <c r="BX414" s="4">
        <v>149</v>
      </c>
      <c r="BY414" s="4">
        <v>3</v>
      </c>
      <c r="BZ414" s="4">
        <v>0</v>
      </c>
      <c r="CA414" s="4">
        <v>98</v>
      </c>
      <c r="CB414" s="4">
        <v>1</v>
      </c>
      <c r="CC414" s="4">
        <v>0</v>
      </c>
      <c r="CD414" s="4">
        <v>14</v>
      </c>
      <c r="CE414" s="4">
        <v>0</v>
      </c>
      <c r="CF414" s="4">
        <v>5</v>
      </c>
      <c r="CG414" s="4">
        <v>53</v>
      </c>
      <c r="CH414" s="4">
        <v>2</v>
      </c>
      <c r="CI414" s="4">
        <v>4</v>
      </c>
      <c r="CJ414" s="4">
        <v>22</v>
      </c>
      <c r="CK414" s="4">
        <v>9</v>
      </c>
      <c r="CL414" s="4">
        <v>0</v>
      </c>
      <c r="CM414" s="4">
        <v>26</v>
      </c>
      <c r="CN414" s="4">
        <v>79</v>
      </c>
      <c r="CO414" s="4">
        <v>31</v>
      </c>
      <c r="CP414" s="4">
        <v>1</v>
      </c>
      <c r="CQ414" s="4">
        <v>0</v>
      </c>
      <c r="CR414" s="4">
        <v>12</v>
      </c>
      <c r="CS414" s="4">
        <v>451</v>
      </c>
      <c r="CT414" s="4">
        <v>14</v>
      </c>
      <c r="CU414" s="4">
        <v>2</v>
      </c>
      <c r="CV414" s="4">
        <v>21</v>
      </c>
      <c r="CW414" s="4">
        <v>14</v>
      </c>
      <c r="CX414" s="3">
        <v>14</v>
      </c>
    </row>
    <row r="415" spans="1:102" ht="15.75" x14ac:dyDescent="0.25">
      <c r="A415" s="4" t="s">
        <v>453</v>
      </c>
      <c r="B415" s="4" t="s">
        <v>454</v>
      </c>
      <c r="C415" s="4">
        <v>2019</v>
      </c>
      <c r="D415" s="4">
        <v>1401</v>
      </c>
      <c r="E415" s="4">
        <v>0</v>
      </c>
      <c r="F415" s="4">
        <v>7</v>
      </c>
      <c r="G415" s="4">
        <v>3</v>
      </c>
      <c r="H415" s="4">
        <v>8</v>
      </c>
      <c r="I415" s="4">
        <v>6</v>
      </c>
      <c r="J415" s="4">
        <v>2</v>
      </c>
      <c r="K415" s="4">
        <v>3</v>
      </c>
      <c r="L415" s="4">
        <v>6</v>
      </c>
      <c r="M415" s="4">
        <v>2</v>
      </c>
      <c r="N415" s="4">
        <v>9</v>
      </c>
      <c r="O415" s="4">
        <v>135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5</v>
      </c>
      <c r="V415" s="4">
        <v>1</v>
      </c>
      <c r="W415" s="4">
        <v>3</v>
      </c>
      <c r="X415" s="4">
        <v>1</v>
      </c>
      <c r="Y415" s="4">
        <v>0</v>
      </c>
      <c r="Z415" s="4">
        <v>0</v>
      </c>
      <c r="AA415" s="4">
        <v>5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6</v>
      </c>
      <c r="AH415" s="4">
        <v>2</v>
      </c>
      <c r="AI415" s="4">
        <v>15</v>
      </c>
      <c r="AJ415" s="4">
        <v>37</v>
      </c>
      <c r="AK415" s="4">
        <v>25</v>
      </c>
      <c r="AL415" s="4">
        <v>2</v>
      </c>
      <c r="AM415" s="4">
        <v>24</v>
      </c>
      <c r="AN415" s="4">
        <v>25</v>
      </c>
      <c r="AO415" s="4">
        <v>50</v>
      </c>
      <c r="AP415" s="4">
        <v>13</v>
      </c>
      <c r="AQ415" s="4">
        <v>10</v>
      </c>
      <c r="AR415" s="4">
        <v>0</v>
      </c>
      <c r="AS415" s="4">
        <v>5</v>
      </c>
      <c r="AT415" s="4">
        <v>125</v>
      </c>
      <c r="AU415" s="4">
        <v>16</v>
      </c>
      <c r="AV415" s="4">
        <v>22</v>
      </c>
      <c r="AW415" s="4">
        <v>22</v>
      </c>
      <c r="AX415" s="4">
        <v>37</v>
      </c>
      <c r="AY415" s="4">
        <v>9</v>
      </c>
      <c r="AZ415" s="4">
        <v>6</v>
      </c>
      <c r="BA415" s="4">
        <v>0</v>
      </c>
      <c r="BB415" s="4">
        <v>48</v>
      </c>
      <c r="BC415" s="4">
        <v>10</v>
      </c>
      <c r="BD415" s="4">
        <v>0</v>
      </c>
      <c r="BE415" s="4">
        <v>17</v>
      </c>
      <c r="BF415" s="4">
        <v>57</v>
      </c>
      <c r="BG415" s="4">
        <v>3</v>
      </c>
      <c r="BH415" s="4">
        <v>3</v>
      </c>
      <c r="BI415" s="4">
        <v>0</v>
      </c>
      <c r="BJ415" s="4">
        <v>52</v>
      </c>
      <c r="BK415" s="4">
        <v>32</v>
      </c>
      <c r="BL415" s="4">
        <v>0</v>
      </c>
      <c r="BM415" s="4">
        <v>7</v>
      </c>
      <c r="BN415" s="4">
        <v>36</v>
      </c>
      <c r="BO415" s="4">
        <v>0</v>
      </c>
      <c r="BP415" s="4">
        <v>4</v>
      </c>
      <c r="BQ415" s="4">
        <v>22</v>
      </c>
      <c r="BR415" s="4">
        <v>3</v>
      </c>
      <c r="BS415" s="4">
        <v>82</v>
      </c>
      <c r="BT415" s="4">
        <v>33</v>
      </c>
      <c r="BU415" s="4">
        <v>0</v>
      </c>
      <c r="BV415" s="4">
        <v>94</v>
      </c>
      <c r="BW415" s="4">
        <v>5</v>
      </c>
      <c r="BX415" s="4">
        <v>52</v>
      </c>
      <c r="BY415" s="4">
        <v>0</v>
      </c>
      <c r="BZ415" s="4">
        <v>0</v>
      </c>
      <c r="CA415" s="4">
        <v>7</v>
      </c>
      <c r="CB415" s="4">
        <v>0</v>
      </c>
      <c r="CC415" s="4">
        <v>0</v>
      </c>
      <c r="CD415" s="4">
        <v>2</v>
      </c>
      <c r="CE415" s="4">
        <v>0</v>
      </c>
      <c r="CF415" s="4">
        <v>3</v>
      </c>
      <c r="CG415" s="4">
        <v>1</v>
      </c>
      <c r="CH415" s="4">
        <v>3</v>
      </c>
      <c r="CI415" s="4">
        <v>3</v>
      </c>
      <c r="CJ415" s="4">
        <v>36</v>
      </c>
      <c r="CK415" s="4">
        <v>16</v>
      </c>
      <c r="CL415" s="4">
        <v>0</v>
      </c>
      <c r="CM415" s="4">
        <v>9</v>
      </c>
      <c r="CN415" s="4">
        <v>39</v>
      </c>
      <c r="CO415" s="4">
        <v>6</v>
      </c>
      <c r="CP415" s="4">
        <v>3</v>
      </c>
      <c r="CQ415" s="4">
        <v>0</v>
      </c>
      <c r="CR415" s="4">
        <v>0</v>
      </c>
      <c r="CS415" s="4">
        <v>1</v>
      </c>
      <c r="CT415" s="4">
        <v>15</v>
      </c>
      <c r="CU415" s="4">
        <v>2</v>
      </c>
      <c r="CV415" s="4">
        <v>41</v>
      </c>
      <c r="CW415" s="4">
        <v>2</v>
      </c>
      <c r="CX415" s="3">
        <v>2</v>
      </c>
    </row>
    <row r="416" spans="1:102" ht="15.75" x14ac:dyDescent="0.25">
      <c r="A416" s="4" t="s">
        <v>455</v>
      </c>
      <c r="B416" s="4" t="s">
        <v>456</v>
      </c>
      <c r="C416" s="4">
        <v>2019</v>
      </c>
      <c r="D416" s="4">
        <v>236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2</v>
      </c>
      <c r="M416" s="4">
        <v>0</v>
      </c>
      <c r="N416" s="4">
        <v>4</v>
      </c>
      <c r="O416" s="4">
        <v>70</v>
      </c>
      <c r="P416" s="4">
        <v>0</v>
      </c>
      <c r="Q416" s="4">
        <v>0</v>
      </c>
      <c r="R416" s="4">
        <v>2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2</v>
      </c>
      <c r="AH416" s="4">
        <v>2</v>
      </c>
      <c r="AI416" s="4">
        <v>6</v>
      </c>
      <c r="AJ416" s="4">
        <v>10</v>
      </c>
      <c r="AK416" s="4">
        <v>4</v>
      </c>
      <c r="AL416" s="4">
        <v>0</v>
      </c>
      <c r="AM416" s="4">
        <v>5</v>
      </c>
      <c r="AN416" s="4">
        <v>4</v>
      </c>
      <c r="AO416" s="4">
        <v>6</v>
      </c>
      <c r="AP416" s="4">
        <v>0</v>
      </c>
      <c r="AQ416" s="4">
        <v>2</v>
      </c>
      <c r="AR416" s="4">
        <v>0</v>
      </c>
      <c r="AS416" s="4">
        <v>1</v>
      </c>
      <c r="AT416" s="4">
        <v>3</v>
      </c>
      <c r="AU416" s="4">
        <v>2</v>
      </c>
      <c r="AV416" s="4">
        <v>1</v>
      </c>
      <c r="AW416" s="4">
        <v>4</v>
      </c>
      <c r="AX416" s="4">
        <v>3</v>
      </c>
      <c r="AY416" s="4">
        <v>0</v>
      </c>
      <c r="AZ416" s="4">
        <v>2</v>
      </c>
      <c r="BA416" s="4">
        <v>0</v>
      </c>
      <c r="BB416" s="4">
        <v>2</v>
      </c>
      <c r="BC416" s="4">
        <v>1</v>
      </c>
      <c r="BD416" s="4">
        <v>0</v>
      </c>
      <c r="BE416" s="4">
        <v>2</v>
      </c>
      <c r="BF416" s="4">
        <v>16</v>
      </c>
      <c r="BG416" s="4">
        <v>1</v>
      </c>
      <c r="BH416" s="4">
        <v>0</v>
      </c>
      <c r="BI416" s="4">
        <v>0</v>
      </c>
      <c r="BJ416" s="4">
        <v>5</v>
      </c>
      <c r="BK416" s="4">
        <v>5</v>
      </c>
      <c r="BL416" s="4">
        <v>0</v>
      </c>
      <c r="BM416" s="4">
        <v>1</v>
      </c>
      <c r="BN416" s="4">
        <v>6</v>
      </c>
      <c r="BO416" s="4">
        <v>0</v>
      </c>
      <c r="BP416" s="4">
        <v>1</v>
      </c>
      <c r="BQ416" s="4">
        <v>4</v>
      </c>
      <c r="BR416" s="4">
        <v>1</v>
      </c>
      <c r="BS416" s="4">
        <v>9</v>
      </c>
      <c r="BT416" s="4">
        <v>4</v>
      </c>
      <c r="BU416" s="4">
        <v>0</v>
      </c>
      <c r="BV416" s="4">
        <v>3</v>
      </c>
      <c r="BW416" s="4">
        <v>0</v>
      </c>
      <c r="BX416" s="4">
        <v>1</v>
      </c>
      <c r="BY416" s="4">
        <v>0</v>
      </c>
      <c r="BZ416" s="4">
        <v>0</v>
      </c>
      <c r="CA416" s="4">
        <v>4</v>
      </c>
      <c r="CB416" s="4">
        <v>0</v>
      </c>
      <c r="CC416" s="4">
        <v>0</v>
      </c>
      <c r="CD416" s="4">
        <v>1</v>
      </c>
      <c r="CE416" s="4">
        <v>0</v>
      </c>
      <c r="CF416" s="4">
        <v>1</v>
      </c>
      <c r="CG416" s="4">
        <v>0</v>
      </c>
      <c r="CH416" s="4">
        <v>1</v>
      </c>
      <c r="CI416" s="4">
        <v>1</v>
      </c>
      <c r="CJ416" s="4">
        <v>1</v>
      </c>
      <c r="CK416" s="4">
        <v>0</v>
      </c>
      <c r="CL416" s="4">
        <v>0</v>
      </c>
      <c r="CM416" s="4">
        <v>4</v>
      </c>
      <c r="CN416" s="4">
        <v>9</v>
      </c>
      <c r="CO416" s="4">
        <v>1</v>
      </c>
      <c r="CP416" s="4">
        <v>1</v>
      </c>
      <c r="CQ416" s="4">
        <v>0</v>
      </c>
      <c r="CR416" s="4">
        <v>0</v>
      </c>
      <c r="CS416" s="4">
        <v>0</v>
      </c>
      <c r="CT416" s="4">
        <v>5</v>
      </c>
      <c r="CU416" s="4">
        <v>1</v>
      </c>
      <c r="CV416" s="4">
        <v>7</v>
      </c>
      <c r="CW416" s="4">
        <v>1</v>
      </c>
      <c r="CX416" s="3">
        <v>1</v>
      </c>
    </row>
    <row r="417" spans="1:102" ht="15.75" x14ac:dyDescent="0.25">
      <c r="A417" s="4" t="s">
        <v>457</v>
      </c>
      <c r="B417" s="4" t="s">
        <v>458</v>
      </c>
      <c r="C417" s="4">
        <v>2019</v>
      </c>
      <c r="D417" s="4">
        <v>2777</v>
      </c>
      <c r="E417" s="4">
        <v>2</v>
      </c>
      <c r="F417" s="4">
        <v>0</v>
      </c>
      <c r="G417" s="4">
        <v>9</v>
      </c>
      <c r="H417" s="4">
        <v>0</v>
      </c>
      <c r="I417" s="4">
        <v>5</v>
      </c>
      <c r="J417" s="4">
        <v>8</v>
      </c>
      <c r="K417" s="4">
        <v>4</v>
      </c>
      <c r="L417" s="4">
        <v>19</v>
      </c>
      <c r="M417" s="4">
        <v>24</v>
      </c>
      <c r="N417" s="4">
        <v>26</v>
      </c>
      <c r="O417" s="4">
        <v>152</v>
      </c>
      <c r="P417" s="4">
        <v>0</v>
      </c>
      <c r="Q417" s="4">
        <v>0</v>
      </c>
      <c r="R417" s="4">
        <v>1</v>
      </c>
      <c r="S417" s="4">
        <v>0</v>
      </c>
      <c r="T417" s="4">
        <v>0</v>
      </c>
      <c r="U417" s="4">
        <v>2</v>
      </c>
      <c r="V417" s="4">
        <v>1</v>
      </c>
      <c r="W417" s="4">
        <v>6</v>
      </c>
      <c r="X417" s="4">
        <v>2</v>
      </c>
      <c r="Y417" s="4">
        <v>1</v>
      </c>
      <c r="Z417" s="4">
        <v>0</v>
      </c>
      <c r="AA417" s="4">
        <v>9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76</v>
      </c>
      <c r="AH417" s="4">
        <v>8</v>
      </c>
      <c r="AI417" s="4">
        <v>59</v>
      </c>
      <c r="AJ417" s="4">
        <v>293</v>
      </c>
      <c r="AK417" s="4">
        <v>74</v>
      </c>
      <c r="AL417" s="4">
        <v>1</v>
      </c>
      <c r="AM417" s="4">
        <v>27</v>
      </c>
      <c r="AN417" s="4">
        <v>22</v>
      </c>
      <c r="AO417" s="4">
        <v>69</v>
      </c>
      <c r="AP417" s="4">
        <v>0</v>
      </c>
      <c r="AQ417" s="4">
        <v>25</v>
      </c>
      <c r="AR417" s="4">
        <v>0</v>
      </c>
      <c r="AS417" s="4">
        <v>18</v>
      </c>
      <c r="AT417" s="4">
        <v>13</v>
      </c>
      <c r="AU417" s="4">
        <v>19</v>
      </c>
      <c r="AV417" s="4">
        <v>11</v>
      </c>
      <c r="AW417" s="4">
        <v>8</v>
      </c>
      <c r="AX417" s="4">
        <v>27</v>
      </c>
      <c r="AY417" s="4">
        <v>1</v>
      </c>
      <c r="AZ417" s="4">
        <v>30</v>
      </c>
      <c r="BA417" s="4">
        <v>0</v>
      </c>
      <c r="BB417" s="4">
        <v>178</v>
      </c>
      <c r="BC417" s="4">
        <v>19</v>
      </c>
      <c r="BD417" s="4">
        <v>0</v>
      </c>
      <c r="BE417" s="4">
        <v>41</v>
      </c>
      <c r="BF417" s="4">
        <v>113</v>
      </c>
      <c r="BG417" s="4">
        <v>9</v>
      </c>
      <c r="BH417" s="4">
        <v>4</v>
      </c>
      <c r="BI417" s="4">
        <v>0</v>
      </c>
      <c r="BJ417" s="4">
        <v>48</v>
      </c>
      <c r="BK417" s="4">
        <v>112</v>
      </c>
      <c r="BL417" s="4">
        <v>0</v>
      </c>
      <c r="BM417" s="4">
        <v>1</v>
      </c>
      <c r="BN417" s="4">
        <v>36</v>
      </c>
      <c r="BO417" s="4">
        <v>0</v>
      </c>
      <c r="BP417" s="4">
        <v>6</v>
      </c>
      <c r="BQ417" s="4">
        <v>51</v>
      </c>
      <c r="BR417" s="4">
        <v>1</v>
      </c>
      <c r="BS417" s="4">
        <v>76</v>
      </c>
      <c r="BT417" s="4">
        <v>28</v>
      </c>
      <c r="BU417" s="4">
        <v>2</v>
      </c>
      <c r="BV417" s="4">
        <v>75</v>
      </c>
      <c r="BW417" s="4">
        <v>13</v>
      </c>
      <c r="BX417" s="4">
        <v>496</v>
      </c>
      <c r="BY417" s="4">
        <v>0</v>
      </c>
      <c r="BZ417" s="4">
        <v>0</v>
      </c>
      <c r="CA417" s="4">
        <v>69</v>
      </c>
      <c r="CB417" s="4">
        <v>2</v>
      </c>
      <c r="CC417" s="4">
        <v>0</v>
      </c>
      <c r="CD417" s="4">
        <v>1</v>
      </c>
      <c r="CE417" s="4">
        <v>1</v>
      </c>
      <c r="CF417" s="4">
        <v>2</v>
      </c>
      <c r="CG417" s="4">
        <v>17</v>
      </c>
      <c r="CH417" s="4">
        <v>6</v>
      </c>
      <c r="CI417" s="4">
        <v>2</v>
      </c>
      <c r="CJ417" s="4">
        <v>49</v>
      </c>
      <c r="CK417" s="4">
        <v>1</v>
      </c>
      <c r="CL417" s="4">
        <v>0</v>
      </c>
      <c r="CM417" s="4">
        <v>10</v>
      </c>
      <c r="CN417" s="4">
        <v>71</v>
      </c>
      <c r="CO417" s="4">
        <v>13</v>
      </c>
      <c r="CP417" s="4">
        <v>3</v>
      </c>
      <c r="CQ417" s="4">
        <v>0</v>
      </c>
      <c r="CR417" s="4">
        <v>76</v>
      </c>
      <c r="CS417" s="4">
        <v>11</v>
      </c>
      <c r="CT417" s="4">
        <v>14</v>
      </c>
      <c r="CU417" s="4">
        <v>2</v>
      </c>
      <c r="CV417" s="4">
        <v>52</v>
      </c>
      <c r="CW417" s="4">
        <v>13</v>
      </c>
      <c r="CX417" s="3">
        <v>13</v>
      </c>
    </row>
    <row r="418" spans="1:102" ht="15.75" x14ac:dyDescent="0.25">
      <c r="A418" s="4" t="s">
        <v>459</v>
      </c>
      <c r="B418" s="4" t="s">
        <v>460</v>
      </c>
      <c r="C418" s="4">
        <v>2019</v>
      </c>
      <c r="D418" s="4">
        <v>17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1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2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1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2</v>
      </c>
      <c r="BO418" s="4">
        <v>0</v>
      </c>
      <c r="BP418" s="4">
        <v>0</v>
      </c>
      <c r="BQ418" s="4">
        <v>1</v>
      </c>
      <c r="BR418" s="4">
        <v>0</v>
      </c>
      <c r="BS418" s="4">
        <v>1</v>
      </c>
      <c r="BT418" s="4">
        <v>0</v>
      </c>
      <c r="BU418" s="4">
        <v>0</v>
      </c>
      <c r="BV418" s="4">
        <v>0</v>
      </c>
      <c r="BW418" s="4">
        <v>3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1</v>
      </c>
      <c r="CX418" s="3">
        <v>1</v>
      </c>
    </row>
    <row r="419" spans="1:102" ht="15.75" x14ac:dyDescent="0.25">
      <c r="A419" s="4" t="s">
        <v>461</v>
      </c>
      <c r="B419" s="4" t="s">
        <v>462</v>
      </c>
      <c r="C419" s="4">
        <v>2019</v>
      </c>
      <c r="D419" s="4">
        <v>3376</v>
      </c>
      <c r="E419" s="4">
        <v>20</v>
      </c>
      <c r="F419" s="4">
        <v>1</v>
      </c>
      <c r="G419" s="4">
        <v>15</v>
      </c>
      <c r="H419" s="4">
        <v>1</v>
      </c>
      <c r="I419" s="4">
        <v>69</v>
      </c>
      <c r="J419" s="4">
        <v>6</v>
      </c>
      <c r="K419" s="4">
        <v>6</v>
      </c>
      <c r="L419" s="4">
        <v>37</v>
      </c>
      <c r="M419" s="4">
        <v>12</v>
      </c>
      <c r="N419" s="4">
        <v>42</v>
      </c>
      <c r="O419" s="4">
        <v>2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9</v>
      </c>
      <c r="W419" s="4">
        <v>7</v>
      </c>
      <c r="X419" s="4">
        <v>1</v>
      </c>
      <c r="Y419" s="4">
        <v>12</v>
      </c>
      <c r="Z419" s="4">
        <v>0</v>
      </c>
      <c r="AA419" s="4">
        <v>8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30</v>
      </c>
      <c r="AH419" s="4">
        <v>6</v>
      </c>
      <c r="AI419" s="4">
        <v>33</v>
      </c>
      <c r="AJ419" s="4">
        <v>317</v>
      </c>
      <c r="AK419" s="4">
        <v>90</v>
      </c>
      <c r="AL419" s="4">
        <v>0</v>
      </c>
      <c r="AM419" s="4">
        <v>19</v>
      </c>
      <c r="AN419" s="4">
        <v>8</v>
      </c>
      <c r="AO419" s="4">
        <v>60</v>
      </c>
      <c r="AP419" s="4">
        <v>0</v>
      </c>
      <c r="AQ419" s="4">
        <v>32</v>
      </c>
      <c r="AR419" s="4">
        <v>2</v>
      </c>
      <c r="AS419" s="4">
        <v>9</v>
      </c>
      <c r="AT419" s="4">
        <v>18</v>
      </c>
      <c r="AU419" s="4">
        <v>13</v>
      </c>
      <c r="AV419" s="4">
        <v>26</v>
      </c>
      <c r="AW419" s="4">
        <v>20</v>
      </c>
      <c r="AX419" s="4">
        <v>65</v>
      </c>
      <c r="AY419" s="4">
        <v>3</v>
      </c>
      <c r="AZ419" s="4">
        <v>36</v>
      </c>
      <c r="BA419" s="4">
        <v>0</v>
      </c>
      <c r="BB419" s="4">
        <v>376</v>
      </c>
      <c r="BC419" s="4">
        <v>5</v>
      </c>
      <c r="BD419" s="4">
        <v>0</v>
      </c>
      <c r="BE419" s="4">
        <v>29</v>
      </c>
      <c r="BF419" s="4">
        <v>50</v>
      </c>
      <c r="BG419" s="4">
        <v>10</v>
      </c>
      <c r="BH419" s="4">
        <v>5</v>
      </c>
      <c r="BI419" s="4">
        <v>2</v>
      </c>
      <c r="BJ419" s="4">
        <v>151</v>
      </c>
      <c r="BK419" s="4">
        <v>104</v>
      </c>
      <c r="BL419" s="4">
        <v>0</v>
      </c>
      <c r="BM419" s="4">
        <v>6</v>
      </c>
      <c r="BN419" s="4">
        <v>55</v>
      </c>
      <c r="BO419" s="4">
        <v>0</v>
      </c>
      <c r="BP419" s="4">
        <v>31</v>
      </c>
      <c r="BQ419" s="4">
        <v>105</v>
      </c>
      <c r="BR419" s="4">
        <v>6</v>
      </c>
      <c r="BS419" s="4">
        <v>123</v>
      </c>
      <c r="BT419" s="4">
        <v>114</v>
      </c>
      <c r="BU419" s="4">
        <v>1</v>
      </c>
      <c r="BV419" s="4">
        <v>13</v>
      </c>
      <c r="BW419" s="4">
        <v>22</v>
      </c>
      <c r="BX419" s="4">
        <v>224</v>
      </c>
      <c r="BY419" s="4">
        <v>4</v>
      </c>
      <c r="BZ419" s="4">
        <v>0</v>
      </c>
      <c r="CA419" s="4">
        <v>233</v>
      </c>
      <c r="CB419" s="4">
        <v>2</v>
      </c>
      <c r="CC419" s="4">
        <v>0</v>
      </c>
      <c r="CD419" s="4">
        <v>9</v>
      </c>
      <c r="CE419" s="4">
        <v>0</v>
      </c>
      <c r="CF419" s="4">
        <v>9</v>
      </c>
      <c r="CG419" s="4">
        <v>25</v>
      </c>
      <c r="CH419" s="4">
        <v>7</v>
      </c>
      <c r="CI419" s="4">
        <v>5</v>
      </c>
      <c r="CJ419" s="4">
        <v>56</v>
      </c>
      <c r="CK419" s="4">
        <v>4</v>
      </c>
      <c r="CL419" s="4">
        <v>4</v>
      </c>
      <c r="CM419" s="4">
        <v>83</v>
      </c>
      <c r="CN419" s="4">
        <v>154</v>
      </c>
      <c r="CO419" s="4">
        <v>10</v>
      </c>
      <c r="CP419" s="4">
        <v>2</v>
      </c>
      <c r="CQ419" s="4">
        <v>2</v>
      </c>
      <c r="CR419" s="4">
        <v>6</v>
      </c>
      <c r="CS419" s="4">
        <v>198</v>
      </c>
      <c r="CT419" s="4">
        <v>18</v>
      </c>
      <c r="CU419" s="4">
        <v>7</v>
      </c>
      <c r="CV419" s="4">
        <v>61</v>
      </c>
      <c r="CW419" s="4">
        <v>13</v>
      </c>
      <c r="CX419" s="3">
        <v>13</v>
      </c>
    </row>
    <row r="420" spans="1:102" ht="15.75" x14ac:dyDescent="0.25">
      <c r="A420" s="4" t="s">
        <v>463</v>
      </c>
      <c r="B420" s="4" t="s">
        <v>464</v>
      </c>
      <c r="C420" s="4">
        <v>2019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3">
        <v>0</v>
      </c>
    </row>
    <row r="421" spans="1:102" ht="15.75" x14ac:dyDescent="0.25">
      <c r="A421" s="4" t="s">
        <v>465</v>
      </c>
      <c r="B421" s="4" t="s">
        <v>466</v>
      </c>
      <c r="C421" s="4">
        <v>2019</v>
      </c>
      <c r="D421" s="4">
        <v>28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1</v>
      </c>
      <c r="O421" s="4">
        <v>1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1</v>
      </c>
      <c r="AK421" s="4">
        <v>1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2</v>
      </c>
      <c r="AY421" s="4">
        <v>0</v>
      </c>
      <c r="AZ421" s="4">
        <v>0</v>
      </c>
      <c r="BA421" s="4">
        <v>0</v>
      </c>
      <c r="BB421" s="4">
        <v>1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1</v>
      </c>
      <c r="BK421" s="4">
        <v>1</v>
      </c>
      <c r="BL421" s="4">
        <v>0</v>
      </c>
      <c r="BM421" s="4">
        <v>0</v>
      </c>
      <c r="BN421" s="4">
        <v>1</v>
      </c>
      <c r="BO421" s="4">
        <v>0</v>
      </c>
      <c r="BP421" s="4">
        <v>0</v>
      </c>
      <c r="BQ421" s="4">
        <v>1</v>
      </c>
      <c r="BR421" s="4">
        <v>0</v>
      </c>
      <c r="BS421" s="4">
        <v>2</v>
      </c>
      <c r="BT421" s="4">
        <v>0</v>
      </c>
      <c r="BU421" s="4">
        <v>0</v>
      </c>
      <c r="BV421" s="4">
        <v>1</v>
      </c>
      <c r="BW421" s="4">
        <v>1</v>
      </c>
      <c r="BX421" s="4">
        <v>1</v>
      </c>
      <c r="BY421" s="4">
        <v>0</v>
      </c>
      <c r="BZ421" s="4">
        <v>0</v>
      </c>
      <c r="CA421" s="4">
        <v>1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1</v>
      </c>
      <c r="CO421" s="4">
        <v>0</v>
      </c>
      <c r="CP421" s="4">
        <v>0</v>
      </c>
      <c r="CQ421" s="4">
        <v>0</v>
      </c>
      <c r="CR421" s="4">
        <v>0</v>
      </c>
      <c r="CS421" s="4">
        <v>3</v>
      </c>
      <c r="CT421" s="4">
        <v>1</v>
      </c>
      <c r="CU421" s="4">
        <v>0</v>
      </c>
      <c r="CV421" s="4">
        <v>1</v>
      </c>
      <c r="CW421" s="4">
        <v>1</v>
      </c>
      <c r="CX421" s="3">
        <v>1</v>
      </c>
    </row>
    <row r="422" spans="1:102" ht="15.75" x14ac:dyDescent="0.25">
      <c r="A422" s="4" t="s">
        <v>467</v>
      </c>
      <c r="B422" s="4" t="s">
        <v>468</v>
      </c>
      <c r="C422" s="4">
        <v>2019</v>
      </c>
      <c r="D422" s="4">
        <v>141</v>
      </c>
      <c r="E422" s="4">
        <v>1</v>
      </c>
      <c r="F422" s="4">
        <v>0</v>
      </c>
      <c r="G422" s="4">
        <v>0</v>
      </c>
      <c r="H422" s="4">
        <v>0</v>
      </c>
      <c r="I422" s="4">
        <v>0</v>
      </c>
      <c r="J422" s="4">
        <v>7</v>
      </c>
      <c r="K422" s="4">
        <v>0</v>
      </c>
      <c r="L422" s="4">
        <v>0</v>
      </c>
      <c r="M422" s="4">
        <v>0</v>
      </c>
      <c r="N422" s="4">
        <v>2</v>
      </c>
      <c r="O422" s="4">
        <v>50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17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1</v>
      </c>
      <c r="AJ422" s="4">
        <v>5</v>
      </c>
      <c r="AK422" s="4">
        <v>1</v>
      </c>
      <c r="AL422" s="4">
        <v>0</v>
      </c>
      <c r="AM422" s="4">
        <v>0</v>
      </c>
      <c r="AN422" s="4">
        <v>1</v>
      </c>
      <c r="AO422" s="4">
        <v>7</v>
      </c>
      <c r="AP422" s="4">
        <v>0</v>
      </c>
      <c r="AQ422" s="4">
        <v>2</v>
      </c>
      <c r="AR422" s="4">
        <v>0</v>
      </c>
      <c r="AS422" s="4">
        <v>1</v>
      </c>
      <c r="AT422" s="4">
        <v>0</v>
      </c>
      <c r="AU422" s="4">
        <v>1</v>
      </c>
      <c r="AV422" s="4">
        <v>0</v>
      </c>
      <c r="AW422" s="4">
        <v>0</v>
      </c>
      <c r="AX422" s="4">
        <v>0</v>
      </c>
      <c r="AY422" s="4">
        <v>0</v>
      </c>
      <c r="AZ422" s="4">
        <v>6</v>
      </c>
      <c r="BA422" s="4">
        <v>0</v>
      </c>
      <c r="BB422" s="4">
        <v>8</v>
      </c>
      <c r="BC422" s="4">
        <v>0</v>
      </c>
      <c r="BD422" s="4">
        <v>0</v>
      </c>
      <c r="BE422" s="4">
        <v>0</v>
      </c>
      <c r="BF422" s="4">
        <v>6</v>
      </c>
      <c r="BG422" s="4">
        <v>0</v>
      </c>
      <c r="BH422" s="4">
        <v>0</v>
      </c>
      <c r="BI422" s="4">
        <v>0</v>
      </c>
      <c r="BJ422" s="4">
        <v>2</v>
      </c>
      <c r="BK422" s="4">
        <v>10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1</v>
      </c>
      <c r="BT422" s="4">
        <v>0</v>
      </c>
      <c r="BU422" s="4">
        <v>0</v>
      </c>
      <c r="BV422" s="4">
        <v>2</v>
      </c>
      <c r="BW422" s="4">
        <v>1</v>
      </c>
      <c r="BX422" s="4">
        <v>1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1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1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1</v>
      </c>
      <c r="CW422" s="4">
        <v>0</v>
      </c>
      <c r="CX422" s="3">
        <v>0</v>
      </c>
    </row>
    <row r="423" spans="1:102" ht="15.75" x14ac:dyDescent="0.25">
      <c r="A423" s="4" t="s">
        <v>469</v>
      </c>
      <c r="B423" s="4" t="s">
        <v>470</v>
      </c>
      <c r="C423" s="4">
        <v>2019</v>
      </c>
      <c r="D423" s="4">
        <v>5060</v>
      </c>
      <c r="E423" s="4">
        <v>5</v>
      </c>
      <c r="F423" s="4">
        <v>9</v>
      </c>
      <c r="G423" s="4">
        <v>12</v>
      </c>
      <c r="H423" s="4">
        <v>6</v>
      </c>
      <c r="I423" s="4">
        <v>48</v>
      </c>
      <c r="J423" s="4">
        <v>14</v>
      </c>
      <c r="K423" s="4">
        <v>9</v>
      </c>
      <c r="L423" s="4">
        <v>24</v>
      </c>
      <c r="M423" s="4">
        <v>28</v>
      </c>
      <c r="N423" s="4">
        <v>50</v>
      </c>
      <c r="O423" s="4">
        <v>80</v>
      </c>
      <c r="P423" s="4">
        <v>0</v>
      </c>
      <c r="Q423" s="4">
        <v>6</v>
      </c>
      <c r="R423" s="4">
        <v>1</v>
      </c>
      <c r="S423" s="4">
        <v>4</v>
      </c>
      <c r="T423" s="4">
        <v>2</v>
      </c>
      <c r="U423" s="4">
        <v>2</v>
      </c>
      <c r="V423" s="4">
        <v>22</v>
      </c>
      <c r="W423" s="4">
        <v>13</v>
      </c>
      <c r="X423" s="4">
        <v>4</v>
      </c>
      <c r="Y423" s="4">
        <v>0</v>
      </c>
      <c r="Z423" s="4">
        <v>538</v>
      </c>
      <c r="AA423" s="4">
        <v>118</v>
      </c>
      <c r="AB423" s="4">
        <v>10</v>
      </c>
      <c r="AC423" s="4">
        <v>0</v>
      </c>
      <c r="AD423" s="4">
        <v>0</v>
      </c>
      <c r="AE423" s="4">
        <v>18</v>
      </c>
      <c r="AF423" s="4">
        <v>1</v>
      </c>
      <c r="AG423" s="4">
        <v>132</v>
      </c>
      <c r="AH423" s="4">
        <v>28</v>
      </c>
      <c r="AI423" s="4">
        <v>51</v>
      </c>
      <c r="AJ423" s="4">
        <v>179</v>
      </c>
      <c r="AK423" s="4">
        <v>77</v>
      </c>
      <c r="AL423" s="4">
        <v>2</v>
      </c>
      <c r="AM423" s="4">
        <v>58</v>
      </c>
      <c r="AN423" s="4">
        <v>85</v>
      </c>
      <c r="AO423" s="4">
        <v>83</v>
      </c>
      <c r="AP423" s="4">
        <v>4</v>
      </c>
      <c r="AQ423" s="4">
        <v>25</v>
      </c>
      <c r="AR423" s="4">
        <v>5</v>
      </c>
      <c r="AS423" s="4">
        <v>29</v>
      </c>
      <c r="AT423" s="4">
        <v>55</v>
      </c>
      <c r="AU423" s="4">
        <v>69</v>
      </c>
      <c r="AV423" s="4">
        <v>326</v>
      </c>
      <c r="AW423" s="4">
        <v>116</v>
      </c>
      <c r="AX423" s="4">
        <v>102</v>
      </c>
      <c r="AY423" s="4">
        <v>5</v>
      </c>
      <c r="AZ423" s="4">
        <v>13</v>
      </c>
      <c r="BA423" s="4">
        <v>0</v>
      </c>
      <c r="BB423" s="4">
        <v>134</v>
      </c>
      <c r="BC423" s="4">
        <v>35</v>
      </c>
      <c r="BD423" s="4">
        <v>22</v>
      </c>
      <c r="BE423" s="4">
        <v>49</v>
      </c>
      <c r="BF423" s="4">
        <v>101</v>
      </c>
      <c r="BG423" s="4">
        <v>8</v>
      </c>
      <c r="BH423" s="4">
        <v>10</v>
      </c>
      <c r="BI423" s="4">
        <v>1</v>
      </c>
      <c r="BJ423" s="4">
        <v>102</v>
      </c>
      <c r="BK423" s="4">
        <v>155</v>
      </c>
      <c r="BL423" s="4">
        <v>0</v>
      </c>
      <c r="BM423" s="4">
        <v>10</v>
      </c>
      <c r="BN423" s="4">
        <v>83</v>
      </c>
      <c r="BO423" s="4">
        <v>1</v>
      </c>
      <c r="BP423" s="4">
        <v>18</v>
      </c>
      <c r="BQ423" s="4">
        <v>69</v>
      </c>
      <c r="BR423" s="4">
        <v>34</v>
      </c>
      <c r="BS423" s="4">
        <v>139</v>
      </c>
      <c r="BT423" s="4">
        <v>73</v>
      </c>
      <c r="BU423" s="4">
        <v>11</v>
      </c>
      <c r="BV423" s="4">
        <v>272</v>
      </c>
      <c r="BW423" s="4">
        <v>60</v>
      </c>
      <c r="BX423" s="4">
        <v>505</v>
      </c>
      <c r="BY423" s="4">
        <v>6</v>
      </c>
      <c r="BZ423" s="4">
        <v>0</v>
      </c>
      <c r="CA423" s="4">
        <v>22</v>
      </c>
      <c r="CB423" s="4">
        <v>8</v>
      </c>
      <c r="CC423" s="4">
        <v>1</v>
      </c>
      <c r="CD423" s="4">
        <v>11</v>
      </c>
      <c r="CE423" s="4">
        <v>6</v>
      </c>
      <c r="CF423" s="4">
        <v>7</v>
      </c>
      <c r="CG423" s="4">
        <v>11</v>
      </c>
      <c r="CH423" s="4">
        <v>12</v>
      </c>
      <c r="CI423" s="4">
        <v>12</v>
      </c>
      <c r="CJ423" s="4">
        <v>124</v>
      </c>
      <c r="CK423" s="4">
        <v>33</v>
      </c>
      <c r="CL423" s="4">
        <v>1</v>
      </c>
      <c r="CM423" s="4">
        <v>22</v>
      </c>
      <c r="CN423" s="4">
        <v>119</v>
      </c>
      <c r="CO423" s="4">
        <v>16</v>
      </c>
      <c r="CP423" s="4">
        <v>32</v>
      </c>
      <c r="CQ423" s="4">
        <v>0</v>
      </c>
      <c r="CR423" s="4">
        <v>3</v>
      </c>
      <c r="CS423" s="4">
        <v>5</v>
      </c>
      <c r="CT423" s="4">
        <v>47</v>
      </c>
      <c r="CU423" s="4">
        <v>6</v>
      </c>
      <c r="CV423" s="4">
        <v>189</v>
      </c>
      <c r="CW423" s="4">
        <v>6</v>
      </c>
      <c r="CX423" s="3">
        <v>6</v>
      </c>
    </row>
    <row r="424" spans="1:102" ht="15.75" x14ac:dyDescent="0.25">
      <c r="A424" s="4" t="s">
        <v>471</v>
      </c>
      <c r="B424" s="4" t="s">
        <v>472</v>
      </c>
      <c r="C424" s="4">
        <v>2019</v>
      </c>
      <c r="D424" s="4">
        <v>5556</v>
      </c>
      <c r="E424" s="4">
        <v>1</v>
      </c>
      <c r="F424" s="4">
        <v>3</v>
      </c>
      <c r="G424" s="4">
        <v>10</v>
      </c>
      <c r="H424" s="4">
        <v>6</v>
      </c>
      <c r="I424" s="4">
        <v>14</v>
      </c>
      <c r="J424" s="4">
        <v>4</v>
      </c>
      <c r="K424" s="4">
        <v>2</v>
      </c>
      <c r="L424" s="4">
        <v>12</v>
      </c>
      <c r="M424" s="4">
        <v>3</v>
      </c>
      <c r="N424" s="4">
        <v>22</v>
      </c>
      <c r="O424" s="4">
        <v>445</v>
      </c>
      <c r="P424" s="4">
        <v>0</v>
      </c>
      <c r="Q424" s="4">
        <v>0</v>
      </c>
      <c r="R424" s="4">
        <v>7</v>
      </c>
      <c r="S424" s="4">
        <v>0</v>
      </c>
      <c r="T424" s="4">
        <v>0</v>
      </c>
      <c r="U424" s="4">
        <v>0</v>
      </c>
      <c r="V424" s="4">
        <v>4</v>
      </c>
      <c r="W424" s="4">
        <v>3</v>
      </c>
      <c r="X424" s="4">
        <v>1</v>
      </c>
      <c r="Y424" s="4">
        <v>0</v>
      </c>
      <c r="Z424" s="4">
        <v>0</v>
      </c>
      <c r="AA424" s="4">
        <v>127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56</v>
      </c>
      <c r="AH424" s="4">
        <v>2</v>
      </c>
      <c r="AI424" s="4">
        <v>13</v>
      </c>
      <c r="AJ424" s="4">
        <v>152</v>
      </c>
      <c r="AK424" s="4">
        <v>45</v>
      </c>
      <c r="AL424" s="4">
        <v>0</v>
      </c>
      <c r="AM424" s="4">
        <v>13</v>
      </c>
      <c r="AN424" s="4">
        <v>19</v>
      </c>
      <c r="AO424" s="4">
        <v>76</v>
      </c>
      <c r="AP424" s="4">
        <v>1</v>
      </c>
      <c r="AQ424" s="4">
        <v>20</v>
      </c>
      <c r="AR424" s="4">
        <v>1</v>
      </c>
      <c r="AS424" s="4">
        <v>6</v>
      </c>
      <c r="AT424" s="4">
        <v>10</v>
      </c>
      <c r="AU424" s="4">
        <v>30</v>
      </c>
      <c r="AV424" s="4">
        <v>51</v>
      </c>
      <c r="AW424" s="4">
        <v>53</v>
      </c>
      <c r="AX424" s="4">
        <v>132</v>
      </c>
      <c r="AY424" s="4">
        <v>7</v>
      </c>
      <c r="AZ424" s="4">
        <v>31</v>
      </c>
      <c r="BA424" s="4">
        <v>0</v>
      </c>
      <c r="BB424" s="4">
        <v>2306</v>
      </c>
      <c r="BC424" s="4">
        <v>19</v>
      </c>
      <c r="BD424" s="4">
        <v>0</v>
      </c>
      <c r="BE424" s="4">
        <v>22</v>
      </c>
      <c r="BF424" s="4">
        <v>36</v>
      </c>
      <c r="BG424" s="4">
        <v>2</v>
      </c>
      <c r="BH424" s="4">
        <v>3</v>
      </c>
      <c r="BI424" s="4">
        <v>0</v>
      </c>
      <c r="BJ424" s="4">
        <v>268</v>
      </c>
      <c r="BK424" s="4">
        <v>104</v>
      </c>
      <c r="BL424" s="4">
        <v>0</v>
      </c>
      <c r="BM424" s="4">
        <v>6</v>
      </c>
      <c r="BN424" s="4">
        <v>65</v>
      </c>
      <c r="BO424" s="4">
        <v>1</v>
      </c>
      <c r="BP424" s="4">
        <v>6</v>
      </c>
      <c r="BQ424" s="4">
        <v>86</v>
      </c>
      <c r="BR424" s="4">
        <v>5</v>
      </c>
      <c r="BS424" s="4">
        <v>201</v>
      </c>
      <c r="BT424" s="4">
        <v>72</v>
      </c>
      <c r="BU424" s="4">
        <v>4</v>
      </c>
      <c r="BV424" s="4">
        <v>18</v>
      </c>
      <c r="BW424" s="4">
        <v>8</v>
      </c>
      <c r="BX424" s="4">
        <v>193</v>
      </c>
      <c r="BY424" s="4">
        <v>3</v>
      </c>
      <c r="BZ424" s="4">
        <v>0</v>
      </c>
      <c r="CA424" s="4">
        <v>66</v>
      </c>
      <c r="CB424" s="4">
        <v>72</v>
      </c>
      <c r="CC424" s="4">
        <v>0</v>
      </c>
      <c r="CD424" s="4">
        <v>10</v>
      </c>
      <c r="CE424" s="4">
        <v>0</v>
      </c>
      <c r="CF424" s="4">
        <v>5</v>
      </c>
      <c r="CG424" s="4">
        <v>50</v>
      </c>
      <c r="CH424" s="4">
        <v>3</v>
      </c>
      <c r="CI424" s="4">
        <v>5</v>
      </c>
      <c r="CJ424" s="4">
        <v>23</v>
      </c>
      <c r="CK424" s="4">
        <v>2</v>
      </c>
      <c r="CL424" s="4">
        <v>0</v>
      </c>
      <c r="CM424" s="4">
        <v>43</v>
      </c>
      <c r="CN424" s="4">
        <v>173</v>
      </c>
      <c r="CO424" s="4">
        <v>24</v>
      </c>
      <c r="CP424" s="4">
        <v>4</v>
      </c>
      <c r="CQ424" s="4">
        <v>0</v>
      </c>
      <c r="CR424" s="4">
        <v>38</v>
      </c>
      <c r="CS424" s="4">
        <v>107</v>
      </c>
      <c r="CT424" s="4">
        <v>16</v>
      </c>
      <c r="CU424" s="4">
        <v>4</v>
      </c>
      <c r="CV424" s="4">
        <v>67</v>
      </c>
      <c r="CW424" s="4">
        <v>29</v>
      </c>
      <c r="CX424" s="3">
        <v>29</v>
      </c>
    </row>
    <row r="425" spans="1:102" ht="15.75" x14ac:dyDescent="0.25">
      <c r="A425" s="4" t="s">
        <v>473</v>
      </c>
      <c r="B425" s="4" t="s">
        <v>474</v>
      </c>
      <c r="C425" s="4">
        <v>2019</v>
      </c>
      <c r="D425" s="4">
        <v>19</v>
      </c>
      <c r="E425" s="4">
        <v>0</v>
      </c>
      <c r="F425" s="4">
        <v>0</v>
      </c>
      <c r="G425" s="4">
        <v>0</v>
      </c>
      <c r="H425" s="4">
        <v>0</v>
      </c>
      <c r="I425" s="4">
        <v>1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1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1</v>
      </c>
      <c r="AR425" s="4">
        <v>0</v>
      </c>
      <c r="AS425" s="4">
        <v>0</v>
      </c>
      <c r="AT425" s="4">
        <v>0</v>
      </c>
      <c r="AU425" s="4">
        <v>0</v>
      </c>
      <c r="AV425" s="4">
        <v>1</v>
      </c>
      <c r="AW425" s="4">
        <v>0</v>
      </c>
      <c r="AX425" s="4">
        <v>1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2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1</v>
      </c>
      <c r="BR425" s="4">
        <v>0</v>
      </c>
      <c r="BS425" s="4">
        <v>1</v>
      </c>
      <c r="BT425" s="4">
        <v>0</v>
      </c>
      <c r="BU425" s="4">
        <v>0</v>
      </c>
      <c r="BV425" s="4">
        <v>1</v>
      </c>
      <c r="BW425" s="4">
        <v>0</v>
      </c>
      <c r="BX425" s="4">
        <v>1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1</v>
      </c>
      <c r="CW425" s="4">
        <v>0</v>
      </c>
      <c r="CX425" s="3">
        <v>0</v>
      </c>
    </row>
    <row r="426" spans="1:102" ht="15.75" x14ac:dyDescent="0.25">
      <c r="A426" s="4" t="s">
        <v>475</v>
      </c>
      <c r="B426" s="4" t="s">
        <v>476</v>
      </c>
      <c r="C426" s="4">
        <v>2019</v>
      </c>
      <c r="D426" s="4">
        <v>292</v>
      </c>
      <c r="E426" s="4">
        <v>0</v>
      </c>
      <c r="F426" s="4">
        <v>2</v>
      </c>
      <c r="G426" s="4">
        <v>0</v>
      </c>
      <c r="H426" s="4">
        <v>1</v>
      </c>
      <c r="I426" s="4">
        <v>1</v>
      </c>
      <c r="J426" s="4">
        <v>1</v>
      </c>
      <c r="K426" s="4">
        <v>1</v>
      </c>
      <c r="L426" s="4">
        <v>1</v>
      </c>
      <c r="M426" s="4">
        <v>1</v>
      </c>
      <c r="N426" s="4">
        <v>7</v>
      </c>
      <c r="O426" s="4">
        <v>9</v>
      </c>
      <c r="P426" s="4">
        <v>0</v>
      </c>
      <c r="Q426" s="4">
        <v>0</v>
      </c>
      <c r="R426" s="4">
        <v>0</v>
      </c>
      <c r="S426" s="4">
        <v>0</v>
      </c>
      <c r="T426" s="4">
        <v>3</v>
      </c>
      <c r="U426" s="4">
        <v>2</v>
      </c>
      <c r="V426" s="4">
        <v>0</v>
      </c>
      <c r="W426" s="4">
        <v>1</v>
      </c>
      <c r="X426" s="4">
        <v>0</v>
      </c>
      <c r="Y426" s="4">
        <v>0</v>
      </c>
      <c r="Z426" s="4">
        <v>0</v>
      </c>
      <c r="AA426" s="4">
        <v>1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4</v>
      </c>
      <c r="AH426" s="4">
        <v>2</v>
      </c>
      <c r="AI426" s="4">
        <v>4</v>
      </c>
      <c r="AJ426" s="4">
        <v>5</v>
      </c>
      <c r="AK426" s="4">
        <v>9</v>
      </c>
      <c r="AL426" s="4">
        <v>0</v>
      </c>
      <c r="AM426" s="4">
        <v>4</v>
      </c>
      <c r="AN426" s="4">
        <v>10</v>
      </c>
      <c r="AO426" s="4">
        <v>10</v>
      </c>
      <c r="AP426" s="4">
        <v>4</v>
      </c>
      <c r="AQ426" s="4">
        <v>3</v>
      </c>
      <c r="AR426" s="4">
        <v>1</v>
      </c>
      <c r="AS426" s="4">
        <v>3</v>
      </c>
      <c r="AT426" s="4">
        <v>4</v>
      </c>
      <c r="AU426" s="4">
        <v>6</v>
      </c>
      <c r="AV426" s="4">
        <v>12</v>
      </c>
      <c r="AW426" s="4">
        <v>20</v>
      </c>
      <c r="AX426" s="4">
        <v>4</v>
      </c>
      <c r="AY426" s="4">
        <v>0</v>
      </c>
      <c r="AZ426" s="4">
        <v>3</v>
      </c>
      <c r="BA426" s="4">
        <v>0</v>
      </c>
      <c r="BB426" s="4">
        <v>1</v>
      </c>
      <c r="BC426" s="4">
        <v>1</v>
      </c>
      <c r="BD426" s="4">
        <v>0</v>
      </c>
      <c r="BE426" s="4">
        <v>4</v>
      </c>
      <c r="BF426" s="4">
        <v>19</v>
      </c>
      <c r="BG426" s="4">
        <v>1</v>
      </c>
      <c r="BH426" s="4">
        <v>1</v>
      </c>
      <c r="BI426" s="4">
        <v>0</v>
      </c>
      <c r="BJ426" s="4">
        <v>5</v>
      </c>
      <c r="BK426" s="4">
        <v>11</v>
      </c>
      <c r="BL426" s="4">
        <v>0</v>
      </c>
      <c r="BM426" s="4">
        <v>1</v>
      </c>
      <c r="BN426" s="4">
        <v>6</v>
      </c>
      <c r="BO426" s="4">
        <v>0</v>
      </c>
      <c r="BP426" s="4">
        <v>1</v>
      </c>
      <c r="BQ426" s="4">
        <v>8</v>
      </c>
      <c r="BR426" s="4">
        <v>1</v>
      </c>
      <c r="BS426" s="4">
        <v>19</v>
      </c>
      <c r="BT426" s="4">
        <v>7</v>
      </c>
      <c r="BU426" s="4">
        <v>1</v>
      </c>
      <c r="BV426" s="4">
        <v>7</v>
      </c>
      <c r="BW426" s="4">
        <v>3</v>
      </c>
      <c r="BX426" s="4">
        <v>4</v>
      </c>
      <c r="BY426" s="4">
        <v>0</v>
      </c>
      <c r="BZ426" s="4">
        <v>0</v>
      </c>
      <c r="CA426" s="4">
        <v>3</v>
      </c>
      <c r="CB426" s="4">
        <v>1</v>
      </c>
      <c r="CC426" s="4">
        <v>0</v>
      </c>
      <c r="CD426" s="4">
        <v>1</v>
      </c>
      <c r="CE426" s="4">
        <v>0</v>
      </c>
      <c r="CF426" s="4">
        <v>0</v>
      </c>
      <c r="CG426" s="4">
        <v>0</v>
      </c>
      <c r="CH426" s="4">
        <v>0</v>
      </c>
      <c r="CI426" s="4">
        <v>1</v>
      </c>
      <c r="CJ426" s="4">
        <v>12</v>
      </c>
      <c r="CK426" s="4">
        <v>3</v>
      </c>
      <c r="CL426" s="4">
        <v>0</v>
      </c>
      <c r="CM426" s="4">
        <v>2</v>
      </c>
      <c r="CN426" s="4">
        <v>9</v>
      </c>
      <c r="CO426" s="4">
        <v>1</v>
      </c>
      <c r="CP426" s="4">
        <v>1</v>
      </c>
      <c r="CQ426" s="4">
        <v>0</v>
      </c>
      <c r="CR426" s="4">
        <v>0</v>
      </c>
      <c r="CS426" s="4">
        <v>0</v>
      </c>
      <c r="CT426" s="4">
        <v>4</v>
      </c>
      <c r="CU426" s="4">
        <v>2</v>
      </c>
      <c r="CV426" s="4">
        <v>17</v>
      </c>
      <c r="CW426" s="4">
        <v>1</v>
      </c>
      <c r="CX426" s="3">
        <v>1</v>
      </c>
    </row>
    <row r="427" spans="1:102" ht="15.75" x14ac:dyDescent="0.25">
      <c r="A427" s="4" t="s">
        <v>477</v>
      </c>
      <c r="B427" s="4" t="s">
        <v>478</v>
      </c>
      <c r="C427" s="4">
        <v>2019</v>
      </c>
      <c r="D427" s="4">
        <v>815</v>
      </c>
      <c r="E427" s="4">
        <v>1</v>
      </c>
      <c r="F427" s="4">
        <v>1</v>
      </c>
      <c r="G427" s="4">
        <v>1</v>
      </c>
      <c r="H427" s="4">
        <v>0</v>
      </c>
      <c r="I427" s="4">
        <v>1</v>
      </c>
      <c r="J427" s="4">
        <v>2</v>
      </c>
      <c r="K427" s="4">
        <v>1</v>
      </c>
      <c r="L427" s="4">
        <v>4</v>
      </c>
      <c r="M427" s="4">
        <v>0</v>
      </c>
      <c r="N427" s="4">
        <v>3</v>
      </c>
      <c r="O427" s="4">
        <v>12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1</v>
      </c>
      <c r="V427" s="4">
        <v>1</v>
      </c>
      <c r="W427" s="4">
        <v>0</v>
      </c>
      <c r="X427" s="4">
        <v>0</v>
      </c>
      <c r="Y427" s="4">
        <v>0</v>
      </c>
      <c r="Z427" s="4">
        <v>0</v>
      </c>
      <c r="AA427" s="4">
        <v>4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18</v>
      </c>
      <c r="AH427" s="4">
        <v>2</v>
      </c>
      <c r="AI427" s="4">
        <v>9</v>
      </c>
      <c r="AJ427" s="4">
        <v>10</v>
      </c>
      <c r="AK427" s="4">
        <v>12</v>
      </c>
      <c r="AL427" s="4">
        <v>0</v>
      </c>
      <c r="AM427" s="4">
        <v>12</v>
      </c>
      <c r="AN427" s="4">
        <v>12</v>
      </c>
      <c r="AO427" s="4">
        <v>12</v>
      </c>
      <c r="AP427" s="4">
        <v>0</v>
      </c>
      <c r="AQ427" s="4">
        <v>26</v>
      </c>
      <c r="AR427" s="4">
        <v>0</v>
      </c>
      <c r="AS427" s="4">
        <v>14</v>
      </c>
      <c r="AT427" s="4">
        <v>13</v>
      </c>
      <c r="AU427" s="4">
        <v>6</v>
      </c>
      <c r="AV427" s="4">
        <v>19</v>
      </c>
      <c r="AW427" s="4">
        <v>4</v>
      </c>
      <c r="AX427" s="4">
        <v>25</v>
      </c>
      <c r="AY427" s="4">
        <v>0</v>
      </c>
      <c r="AZ427" s="4">
        <v>2</v>
      </c>
      <c r="BA427" s="4">
        <v>0</v>
      </c>
      <c r="BB427" s="4">
        <v>133</v>
      </c>
      <c r="BC427" s="4">
        <v>1</v>
      </c>
      <c r="BD427" s="4">
        <v>0</v>
      </c>
      <c r="BE427" s="4">
        <v>2</v>
      </c>
      <c r="BF427" s="4">
        <v>21</v>
      </c>
      <c r="BG427" s="4">
        <v>1</v>
      </c>
      <c r="BH427" s="4">
        <v>1</v>
      </c>
      <c r="BI427" s="4">
        <v>0</v>
      </c>
      <c r="BJ427" s="4">
        <v>12</v>
      </c>
      <c r="BK427" s="4">
        <v>18</v>
      </c>
      <c r="BL427" s="4">
        <v>0</v>
      </c>
      <c r="BM427" s="4">
        <v>2</v>
      </c>
      <c r="BN427" s="4">
        <v>7</v>
      </c>
      <c r="BO427" s="4">
        <v>0</v>
      </c>
      <c r="BP427" s="4">
        <v>1</v>
      </c>
      <c r="BQ427" s="4">
        <v>15</v>
      </c>
      <c r="BR427" s="4">
        <v>2</v>
      </c>
      <c r="BS427" s="4">
        <v>43</v>
      </c>
      <c r="BT427" s="4">
        <v>11</v>
      </c>
      <c r="BU427" s="4">
        <v>0</v>
      </c>
      <c r="BV427" s="4">
        <v>123</v>
      </c>
      <c r="BW427" s="4">
        <v>2</v>
      </c>
      <c r="BX427" s="4">
        <v>36</v>
      </c>
      <c r="BY427" s="4">
        <v>0</v>
      </c>
      <c r="BZ427" s="4">
        <v>0</v>
      </c>
      <c r="CA427" s="4">
        <v>1</v>
      </c>
      <c r="CB427" s="4">
        <v>0</v>
      </c>
      <c r="CC427" s="4">
        <v>0</v>
      </c>
      <c r="CD427" s="4">
        <v>1</v>
      </c>
      <c r="CE427" s="4">
        <v>1</v>
      </c>
      <c r="CF427" s="4">
        <v>1</v>
      </c>
      <c r="CG427" s="4">
        <v>27</v>
      </c>
      <c r="CH427" s="4">
        <v>1</v>
      </c>
      <c r="CI427" s="4">
        <v>2</v>
      </c>
      <c r="CJ427" s="4">
        <v>31</v>
      </c>
      <c r="CK427" s="4">
        <v>7</v>
      </c>
      <c r="CL427" s="4">
        <v>0</v>
      </c>
      <c r="CM427" s="4">
        <v>27</v>
      </c>
      <c r="CN427" s="4">
        <v>14</v>
      </c>
      <c r="CO427" s="4">
        <v>1</v>
      </c>
      <c r="CP427" s="4">
        <v>1</v>
      </c>
      <c r="CQ427" s="4">
        <v>0</v>
      </c>
      <c r="CR427" s="4">
        <v>0</v>
      </c>
      <c r="CS427" s="4">
        <v>1</v>
      </c>
      <c r="CT427" s="4">
        <v>9</v>
      </c>
      <c r="CU427" s="4">
        <v>2</v>
      </c>
      <c r="CV427" s="4">
        <v>27</v>
      </c>
      <c r="CW427" s="4">
        <v>1</v>
      </c>
      <c r="CX427" s="3">
        <v>1</v>
      </c>
    </row>
    <row r="428" spans="1:102" ht="15.75" x14ac:dyDescent="0.25">
      <c r="A428" s="4" t="s">
        <v>479</v>
      </c>
      <c r="B428" s="4" t="s">
        <v>480</v>
      </c>
      <c r="C428" s="4">
        <v>2019</v>
      </c>
      <c r="D428" s="4">
        <v>37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1</v>
      </c>
      <c r="K428" s="4">
        <v>0</v>
      </c>
      <c r="L428" s="4">
        <v>0</v>
      </c>
      <c r="M428" s="4">
        <v>0</v>
      </c>
      <c r="N428" s="4">
        <v>1</v>
      </c>
      <c r="O428" s="4">
        <v>3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1</v>
      </c>
      <c r="AK428" s="4">
        <v>1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1</v>
      </c>
      <c r="AW428" s="4">
        <v>0</v>
      </c>
      <c r="AX428" s="4">
        <v>1</v>
      </c>
      <c r="AY428" s="4">
        <v>0</v>
      </c>
      <c r="AZ428" s="4">
        <v>1</v>
      </c>
      <c r="BA428" s="4">
        <v>0</v>
      </c>
      <c r="BB428" s="4">
        <v>0</v>
      </c>
      <c r="BC428" s="4">
        <v>0</v>
      </c>
      <c r="BD428" s="4">
        <v>0</v>
      </c>
      <c r="BE428" s="4">
        <v>1</v>
      </c>
      <c r="BF428" s="4">
        <v>2</v>
      </c>
      <c r="BG428" s="4">
        <v>0</v>
      </c>
      <c r="BH428" s="4">
        <v>0</v>
      </c>
      <c r="BI428" s="4">
        <v>0</v>
      </c>
      <c r="BJ428" s="4">
        <v>1</v>
      </c>
      <c r="BK428" s="4">
        <v>1</v>
      </c>
      <c r="BL428" s="4">
        <v>0</v>
      </c>
      <c r="BM428" s="4">
        <v>1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3</v>
      </c>
      <c r="BT428" s="4">
        <v>0</v>
      </c>
      <c r="BU428" s="4">
        <v>0</v>
      </c>
      <c r="BV428" s="4">
        <v>0</v>
      </c>
      <c r="BW428" s="4">
        <v>1</v>
      </c>
      <c r="BX428" s="4">
        <v>1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1</v>
      </c>
      <c r="CG428" s="4">
        <v>0</v>
      </c>
      <c r="CH428" s="4">
        <v>1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1</v>
      </c>
      <c r="CO428" s="4">
        <v>0</v>
      </c>
      <c r="CP428" s="4">
        <v>0</v>
      </c>
      <c r="CQ428" s="4">
        <v>0</v>
      </c>
      <c r="CR428" s="4">
        <v>0</v>
      </c>
      <c r="CS428" s="4">
        <v>1</v>
      </c>
      <c r="CT428" s="4">
        <v>5</v>
      </c>
      <c r="CU428" s="4">
        <v>0</v>
      </c>
      <c r="CV428" s="4">
        <v>2</v>
      </c>
      <c r="CW428" s="4">
        <v>0</v>
      </c>
      <c r="CX428" s="3">
        <v>0</v>
      </c>
    </row>
    <row r="429" spans="1:102" ht="15.75" x14ac:dyDescent="0.25">
      <c r="A429" s="4" t="s">
        <v>481</v>
      </c>
      <c r="B429" s="4" t="s">
        <v>482</v>
      </c>
      <c r="C429" s="4">
        <v>2019</v>
      </c>
      <c r="D429" s="4">
        <v>4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1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1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2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1</v>
      </c>
      <c r="CW429" s="4">
        <v>0</v>
      </c>
      <c r="CX429" s="3">
        <v>0</v>
      </c>
    </row>
    <row r="430" spans="1:102" ht="15.75" x14ac:dyDescent="0.25">
      <c r="A430" s="4" t="s">
        <v>483</v>
      </c>
      <c r="B430" s="4" t="s">
        <v>484</v>
      </c>
      <c r="C430" s="4">
        <v>2019</v>
      </c>
      <c r="D430" s="4">
        <v>242</v>
      </c>
      <c r="E430" s="4">
        <v>0</v>
      </c>
      <c r="F430" s="4">
        <v>1</v>
      </c>
      <c r="G430" s="4">
        <v>1</v>
      </c>
      <c r="H430" s="4">
        <v>0</v>
      </c>
      <c r="I430" s="4">
        <v>0</v>
      </c>
      <c r="J430" s="4">
        <v>0</v>
      </c>
      <c r="K430" s="4">
        <v>1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184</v>
      </c>
      <c r="AB430" s="4">
        <v>9</v>
      </c>
      <c r="AC430" s="4">
        <v>0</v>
      </c>
      <c r="AD430" s="4">
        <v>0</v>
      </c>
      <c r="AE430" s="4">
        <v>0</v>
      </c>
      <c r="AF430" s="4">
        <v>0</v>
      </c>
      <c r="AG430" s="4">
        <v>1</v>
      </c>
      <c r="AH430" s="4">
        <v>0</v>
      </c>
      <c r="AI430" s="4">
        <v>1</v>
      </c>
      <c r="AJ430" s="4">
        <v>0</v>
      </c>
      <c r="AK430" s="4">
        <v>1</v>
      </c>
      <c r="AL430" s="4">
        <v>0</v>
      </c>
      <c r="AM430" s="4">
        <v>0</v>
      </c>
      <c r="AN430" s="4">
        <v>0</v>
      </c>
      <c r="AO430" s="4">
        <v>1</v>
      </c>
      <c r="AP430" s="4">
        <v>0</v>
      </c>
      <c r="AQ430" s="4">
        <v>0</v>
      </c>
      <c r="AR430" s="4">
        <v>0</v>
      </c>
      <c r="AS430" s="4">
        <v>0</v>
      </c>
      <c r="AT430" s="4">
        <v>2</v>
      </c>
      <c r="AU430" s="4">
        <v>0</v>
      </c>
      <c r="AV430" s="4">
        <v>0</v>
      </c>
      <c r="AW430" s="4">
        <v>0</v>
      </c>
      <c r="AX430" s="4">
        <v>2</v>
      </c>
      <c r="AY430" s="4">
        <v>0</v>
      </c>
      <c r="AZ430" s="4">
        <v>1</v>
      </c>
      <c r="BA430" s="4">
        <v>0</v>
      </c>
      <c r="BB430" s="4">
        <v>2</v>
      </c>
      <c r="BC430" s="4">
        <v>1</v>
      </c>
      <c r="BD430" s="4">
        <v>0</v>
      </c>
      <c r="BE430" s="4">
        <v>2</v>
      </c>
      <c r="BF430" s="4">
        <v>3</v>
      </c>
      <c r="BG430" s="4">
        <v>0</v>
      </c>
      <c r="BH430" s="4">
        <v>0</v>
      </c>
      <c r="BI430" s="4">
        <v>0</v>
      </c>
      <c r="BJ430" s="4">
        <v>2</v>
      </c>
      <c r="BK430" s="4">
        <v>5</v>
      </c>
      <c r="BL430" s="4">
        <v>0</v>
      </c>
      <c r="BM430" s="4">
        <v>0</v>
      </c>
      <c r="BN430" s="4">
        <v>1</v>
      </c>
      <c r="BO430" s="4">
        <v>0</v>
      </c>
      <c r="BP430" s="4">
        <v>0</v>
      </c>
      <c r="BQ430" s="4">
        <v>4</v>
      </c>
      <c r="BR430" s="4">
        <v>0</v>
      </c>
      <c r="BS430" s="4">
        <v>2</v>
      </c>
      <c r="BT430" s="4">
        <v>0</v>
      </c>
      <c r="BU430" s="4">
        <v>0</v>
      </c>
      <c r="BV430" s="4">
        <v>1</v>
      </c>
      <c r="BW430" s="4">
        <v>4</v>
      </c>
      <c r="BX430" s="4">
        <v>3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1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1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1</v>
      </c>
      <c r="CW430" s="4">
        <v>0</v>
      </c>
      <c r="CX430" s="3">
        <v>0</v>
      </c>
    </row>
    <row r="431" spans="1:102" ht="15.75" x14ac:dyDescent="0.25">
      <c r="A431" s="4" t="s">
        <v>485</v>
      </c>
      <c r="B431" s="4" t="s">
        <v>486</v>
      </c>
      <c r="C431" s="4">
        <v>2019</v>
      </c>
      <c r="D431" s="4">
        <v>13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3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2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1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1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1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1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1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3">
        <v>0</v>
      </c>
    </row>
    <row r="432" spans="1:102" ht="15.75" x14ac:dyDescent="0.25">
      <c r="A432" s="4" t="s">
        <v>487</v>
      </c>
      <c r="B432" s="4" t="s">
        <v>488</v>
      </c>
      <c r="C432" s="4">
        <v>2019</v>
      </c>
      <c r="D432" s="4">
        <v>14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6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1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3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3">
        <v>0</v>
      </c>
    </row>
    <row r="433" spans="1:102" ht="15.75" x14ac:dyDescent="0.25">
      <c r="A433" s="4" t="s">
        <v>489</v>
      </c>
      <c r="B433" s="4" t="s">
        <v>490</v>
      </c>
      <c r="C433" s="4">
        <v>2019</v>
      </c>
      <c r="D433" s="4">
        <v>7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4</v>
      </c>
      <c r="O433" s="4">
        <v>3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3">
        <v>0</v>
      </c>
    </row>
    <row r="434" spans="1:102" ht="15.75" x14ac:dyDescent="0.25">
      <c r="A434" s="4" t="s">
        <v>491</v>
      </c>
      <c r="B434" s="4" t="s">
        <v>492</v>
      </c>
      <c r="C434" s="4">
        <v>2019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0</v>
      </c>
      <c r="CX434" s="3">
        <v>0</v>
      </c>
    </row>
    <row r="435" spans="1:102" ht="15.75" x14ac:dyDescent="0.25">
      <c r="A435" s="4" t="s">
        <v>493</v>
      </c>
      <c r="B435" s="4" t="s">
        <v>494</v>
      </c>
      <c r="C435" s="4">
        <v>2019</v>
      </c>
      <c r="D435" s="4">
        <v>52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19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1</v>
      </c>
      <c r="AL435" s="4">
        <v>0</v>
      </c>
      <c r="AM435" s="4">
        <v>1</v>
      </c>
      <c r="AN435" s="4">
        <v>1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1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6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15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3">
        <v>0</v>
      </c>
    </row>
    <row r="436" spans="1:102" ht="15.75" x14ac:dyDescent="0.25">
      <c r="A436" s="4" t="s">
        <v>495</v>
      </c>
      <c r="B436" s="4" t="s">
        <v>496</v>
      </c>
      <c r="C436" s="4">
        <v>2019</v>
      </c>
      <c r="D436" s="4">
        <v>8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1</v>
      </c>
      <c r="BY436" s="4">
        <v>0</v>
      </c>
      <c r="BZ436" s="4">
        <v>0</v>
      </c>
      <c r="CA436" s="4">
        <v>0</v>
      </c>
      <c r="CB436" s="4">
        <v>1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3">
        <v>0</v>
      </c>
    </row>
    <row r="437" spans="1:102" ht="15.75" x14ac:dyDescent="0.25">
      <c r="A437" s="4" t="s">
        <v>497</v>
      </c>
      <c r="B437" s="4" t="s">
        <v>498</v>
      </c>
      <c r="C437" s="4">
        <v>2019</v>
      </c>
      <c r="D437" s="4">
        <v>10</v>
      </c>
      <c r="E437" s="4">
        <v>0</v>
      </c>
      <c r="F437" s="4">
        <v>0</v>
      </c>
      <c r="G437" s="4">
        <v>3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1</v>
      </c>
      <c r="BD437" s="4">
        <v>0</v>
      </c>
      <c r="BE437" s="4">
        <v>0</v>
      </c>
      <c r="BF437" s="4">
        <v>4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4">
        <v>1</v>
      </c>
      <c r="CW437" s="4">
        <v>0</v>
      </c>
      <c r="CX437" s="3">
        <v>0</v>
      </c>
    </row>
    <row r="438" spans="1:102" ht="15.75" x14ac:dyDescent="0.25">
      <c r="A438" s="4" t="s">
        <v>499</v>
      </c>
      <c r="B438" s="4" t="s">
        <v>500</v>
      </c>
      <c r="C438" s="4">
        <v>2019</v>
      </c>
      <c r="D438" s="4">
        <v>1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1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1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0</v>
      </c>
      <c r="CX438" s="3">
        <v>0</v>
      </c>
    </row>
    <row r="439" spans="1:102" ht="15.75" x14ac:dyDescent="0.25">
      <c r="A439" s="4" t="s">
        <v>501</v>
      </c>
      <c r="B439" s="4" t="s">
        <v>502</v>
      </c>
      <c r="C439" s="4">
        <v>2019</v>
      </c>
      <c r="D439" s="4">
        <v>2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1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1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3">
        <v>0</v>
      </c>
    </row>
    <row r="440" spans="1:102" ht="15.75" x14ac:dyDescent="0.25">
      <c r="A440" s="4" t="s">
        <v>503</v>
      </c>
      <c r="B440" s="4" t="s">
        <v>504</v>
      </c>
      <c r="C440" s="4">
        <v>2019</v>
      </c>
      <c r="D440" s="4">
        <v>30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17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6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1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1</v>
      </c>
      <c r="BK440" s="4">
        <v>1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1</v>
      </c>
      <c r="BT440" s="4">
        <v>0</v>
      </c>
      <c r="BU440" s="4">
        <v>0</v>
      </c>
      <c r="BV440" s="4">
        <v>0</v>
      </c>
      <c r="BW440" s="4">
        <v>1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1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3">
        <v>0</v>
      </c>
    </row>
    <row r="441" spans="1:102" ht="15.75" x14ac:dyDescent="0.25">
      <c r="A441" s="4" t="s">
        <v>505</v>
      </c>
      <c r="B441" s="4" t="s">
        <v>506</v>
      </c>
      <c r="C441" s="4">
        <v>2019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3">
        <v>0</v>
      </c>
    </row>
    <row r="442" spans="1:102" ht="15.75" x14ac:dyDescent="0.25">
      <c r="A442" s="4" t="s">
        <v>507</v>
      </c>
      <c r="B442" s="4" t="s">
        <v>508</v>
      </c>
      <c r="C442" s="4">
        <v>2019</v>
      </c>
      <c r="D442" s="4">
        <v>22</v>
      </c>
      <c r="E442" s="4">
        <v>0</v>
      </c>
      <c r="F442" s="4">
        <v>1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4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1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1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1</v>
      </c>
      <c r="BO442" s="4">
        <v>0</v>
      </c>
      <c r="BP442" s="4">
        <v>0</v>
      </c>
      <c r="BQ442" s="4">
        <v>1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3">
        <v>0</v>
      </c>
    </row>
    <row r="443" spans="1:102" ht="15.75" x14ac:dyDescent="0.25">
      <c r="A443" s="4" t="s">
        <v>509</v>
      </c>
      <c r="B443" s="4" t="s">
        <v>510</v>
      </c>
      <c r="C443" s="4">
        <v>2019</v>
      </c>
      <c r="D443" s="4">
        <v>1255</v>
      </c>
      <c r="E443" s="4">
        <v>3</v>
      </c>
      <c r="F443" s="4">
        <v>0</v>
      </c>
      <c r="G443" s="4">
        <v>4</v>
      </c>
      <c r="H443" s="4">
        <v>4</v>
      </c>
      <c r="I443" s="4">
        <v>10</v>
      </c>
      <c r="J443" s="4">
        <v>5</v>
      </c>
      <c r="K443" s="4">
        <v>1</v>
      </c>
      <c r="L443" s="4">
        <v>3</v>
      </c>
      <c r="M443" s="4">
        <v>13</v>
      </c>
      <c r="N443" s="4">
        <v>20</v>
      </c>
      <c r="O443" s="4">
        <v>36</v>
      </c>
      <c r="P443" s="4">
        <v>1</v>
      </c>
      <c r="Q443" s="4">
        <v>0</v>
      </c>
      <c r="R443" s="4">
        <v>6</v>
      </c>
      <c r="S443" s="4">
        <v>0</v>
      </c>
      <c r="T443" s="4">
        <v>12</v>
      </c>
      <c r="U443" s="4">
        <v>3</v>
      </c>
      <c r="V443" s="4">
        <v>10</v>
      </c>
      <c r="W443" s="4">
        <v>24</v>
      </c>
      <c r="X443" s="4">
        <v>5</v>
      </c>
      <c r="Y443" s="4">
        <v>1</v>
      </c>
      <c r="Z443" s="4">
        <v>0</v>
      </c>
      <c r="AA443" s="4">
        <v>2</v>
      </c>
      <c r="AB443" s="4">
        <v>0</v>
      </c>
      <c r="AC443" s="4">
        <v>0</v>
      </c>
      <c r="AD443" s="4">
        <v>0</v>
      </c>
      <c r="AE443" s="4">
        <v>1</v>
      </c>
      <c r="AF443" s="4">
        <v>0</v>
      </c>
      <c r="AG443" s="4">
        <v>8</v>
      </c>
      <c r="AH443" s="4">
        <v>4</v>
      </c>
      <c r="AI443" s="4">
        <v>15</v>
      </c>
      <c r="AJ443" s="4">
        <v>61</v>
      </c>
      <c r="AK443" s="4">
        <v>45</v>
      </c>
      <c r="AL443" s="4">
        <v>2</v>
      </c>
      <c r="AM443" s="4">
        <v>20</v>
      </c>
      <c r="AN443" s="4">
        <v>7</v>
      </c>
      <c r="AO443" s="4">
        <v>33</v>
      </c>
      <c r="AP443" s="4">
        <v>3</v>
      </c>
      <c r="AQ443" s="4">
        <v>5</v>
      </c>
      <c r="AR443" s="4">
        <v>0</v>
      </c>
      <c r="AS443" s="4">
        <v>8</v>
      </c>
      <c r="AT443" s="4">
        <v>16</v>
      </c>
      <c r="AU443" s="4">
        <v>31</v>
      </c>
      <c r="AV443" s="4">
        <v>10</v>
      </c>
      <c r="AW443" s="4">
        <v>12</v>
      </c>
      <c r="AX443" s="4">
        <v>31</v>
      </c>
      <c r="AY443" s="4">
        <v>1</v>
      </c>
      <c r="AZ443" s="4">
        <v>6</v>
      </c>
      <c r="BA443" s="4">
        <v>0</v>
      </c>
      <c r="BB443" s="4">
        <v>67</v>
      </c>
      <c r="BC443" s="4">
        <v>5</v>
      </c>
      <c r="BD443" s="4">
        <v>0</v>
      </c>
      <c r="BE443" s="4">
        <v>20</v>
      </c>
      <c r="BF443" s="4">
        <v>24</v>
      </c>
      <c r="BG443" s="4">
        <v>4</v>
      </c>
      <c r="BH443" s="4">
        <v>15</v>
      </c>
      <c r="BI443" s="4">
        <v>0</v>
      </c>
      <c r="BJ443" s="4">
        <v>42</v>
      </c>
      <c r="BK443" s="4">
        <v>39</v>
      </c>
      <c r="BL443" s="4">
        <v>0</v>
      </c>
      <c r="BM443" s="4">
        <v>3</v>
      </c>
      <c r="BN443" s="4">
        <v>9</v>
      </c>
      <c r="BO443" s="4">
        <v>0</v>
      </c>
      <c r="BP443" s="4">
        <v>2</v>
      </c>
      <c r="BQ443" s="4">
        <v>8</v>
      </c>
      <c r="BR443" s="4">
        <v>1</v>
      </c>
      <c r="BS443" s="4">
        <v>50</v>
      </c>
      <c r="BT443" s="4">
        <v>204</v>
      </c>
      <c r="BU443" s="4">
        <v>1</v>
      </c>
      <c r="BV443" s="4">
        <v>18</v>
      </c>
      <c r="BW443" s="4">
        <v>2</v>
      </c>
      <c r="BX443" s="4">
        <v>95</v>
      </c>
      <c r="BY443" s="4">
        <v>1</v>
      </c>
      <c r="BZ443" s="4">
        <v>0</v>
      </c>
      <c r="CA443" s="4">
        <v>13</v>
      </c>
      <c r="CB443" s="4">
        <v>2</v>
      </c>
      <c r="CC443" s="4">
        <v>0</v>
      </c>
      <c r="CD443" s="4">
        <v>1</v>
      </c>
      <c r="CE443" s="4">
        <v>0</v>
      </c>
      <c r="CF443" s="4">
        <v>1</v>
      </c>
      <c r="CG443" s="4">
        <v>1</v>
      </c>
      <c r="CH443" s="4">
        <v>1</v>
      </c>
      <c r="CI443" s="4">
        <v>2</v>
      </c>
      <c r="CJ443" s="4">
        <v>7</v>
      </c>
      <c r="CK443" s="4">
        <v>1</v>
      </c>
      <c r="CL443" s="4">
        <v>0</v>
      </c>
      <c r="CM443" s="4">
        <v>13</v>
      </c>
      <c r="CN443" s="4">
        <v>43</v>
      </c>
      <c r="CO443" s="4">
        <v>15</v>
      </c>
      <c r="CP443" s="4">
        <v>6</v>
      </c>
      <c r="CQ443" s="4">
        <v>0</v>
      </c>
      <c r="CR443" s="4">
        <v>2</v>
      </c>
      <c r="CS443" s="4">
        <v>18</v>
      </c>
      <c r="CT443" s="4">
        <v>6</v>
      </c>
      <c r="CU443" s="4">
        <v>4</v>
      </c>
      <c r="CV443" s="4">
        <v>16</v>
      </c>
      <c r="CW443" s="4">
        <v>7</v>
      </c>
      <c r="CX443" s="3">
        <v>7</v>
      </c>
    </row>
    <row r="444" spans="1:102" ht="15.75" x14ac:dyDescent="0.25">
      <c r="A444" s="4" t="s">
        <v>511</v>
      </c>
      <c r="B444" s="4" t="s">
        <v>512</v>
      </c>
      <c r="C444" s="4">
        <v>2019</v>
      </c>
      <c r="D444" s="4">
        <v>6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1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4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3">
        <v>0</v>
      </c>
    </row>
    <row r="445" spans="1:102" ht="15.75" x14ac:dyDescent="0.25">
      <c r="A445" s="4" t="s">
        <v>513</v>
      </c>
      <c r="B445" s="4" t="s">
        <v>514</v>
      </c>
      <c r="C445" s="4">
        <v>2019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3">
        <v>0</v>
      </c>
    </row>
    <row r="446" spans="1:102" ht="15.75" x14ac:dyDescent="0.25">
      <c r="A446" s="4" t="s">
        <v>515</v>
      </c>
      <c r="B446" s="4" t="s">
        <v>516</v>
      </c>
      <c r="C446" s="4">
        <v>2019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3">
        <v>0</v>
      </c>
    </row>
    <row r="447" spans="1:102" ht="15.75" x14ac:dyDescent="0.25">
      <c r="A447" s="4" t="s">
        <v>517</v>
      </c>
      <c r="B447" s="4" t="s">
        <v>518</v>
      </c>
      <c r="C447" s="4">
        <v>2019</v>
      </c>
      <c r="D447" s="4">
        <v>15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1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3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1</v>
      </c>
      <c r="BK447" s="4">
        <v>2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1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1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1</v>
      </c>
      <c r="CO447" s="4">
        <v>0</v>
      </c>
      <c r="CP447" s="4">
        <v>0</v>
      </c>
      <c r="CQ447" s="4">
        <v>0</v>
      </c>
      <c r="CR447" s="4">
        <v>0</v>
      </c>
      <c r="CS447" s="4">
        <v>1</v>
      </c>
      <c r="CT447" s="4">
        <v>0</v>
      </c>
      <c r="CU447" s="4">
        <v>1</v>
      </c>
      <c r="CV447" s="4">
        <v>0</v>
      </c>
      <c r="CW447" s="4">
        <v>0</v>
      </c>
      <c r="CX447" s="3">
        <v>0</v>
      </c>
    </row>
    <row r="448" spans="1:102" ht="15.75" x14ac:dyDescent="0.25">
      <c r="A448" s="4" t="s">
        <v>519</v>
      </c>
      <c r="B448" s="4" t="s">
        <v>520</v>
      </c>
      <c r="C448" s="4">
        <v>2019</v>
      </c>
      <c r="D448" s="4">
        <v>195</v>
      </c>
      <c r="E448" s="4">
        <v>0</v>
      </c>
      <c r="F448" s="4">
        <v>0</v>
      </c>
      <c r="G448" s="4">
        <v>0</v>
      </c>
      <c r="H448" s="4">
        <v>0</v>
      </c>
      <c r="I448" s="4">
        <v>16</v>
      </c>
      <c r="J448" s="4">
        <v>0</v>
      </c>
      <c r="K448" s="4">
        <v>0</v>
      </c>
      <c r="L448" s="4">
        <v>0</v>
      </c>
      <c r="M448" s="4">
        <v>0</v>
      </c>
      <c r="N448" s="4">
        <v>1</v>
      </c>
      <c r="O448" s="4">
        <v>10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2</v>
      </c>
      <c r="V448" s="4">
        <v>2</v>
      </c>
      <c r="W448" s="4">
        <v>0</v>
      </c>
      <c r="X448" s="4">
        <v>0</v>
      </c>
      <c r="Y448" s="4">
        <v>0</v>
      </c>
      <c r="Z448" s="4">
        <v>0</v>
      </c>
      <c r="AA448" s="4">
        <v>34</v>
      </c>
      <c r="AB448" s="4">
        <v>1</v>
      </c>
      <c r="AC448" s="4">
        <v>0</v>
      </c>
      <c r="AD448" s="4">
        <v>0</v>
      </c>
      <c r="AE448" s="4">
        <v>0</v>
      </c>
      <c r="AF448" s="4">
        <v>0</v>
      </c>
      <c r="AG448" s="4">
        <v>1</v>
      </c>
      <c r="AH448" s="4">
        <v>0</v>
      </c>
      <c r="AI448" s="4">
        <v>3</v>
      </c>
      <c r="AJ448" s="4">
        <v>10</v>
      </c>
      <c r="AK448" s="4">
        <v>5</v>
      </c>
      <c r="AL448" s="4">
        <v>0</v>
      </c>
      <c r="AM448" s="4">
        <v>1</v>
      </c>
      <c r="AN448" s="4">
        <v>3</v>
      </c>
      <c r="AO448" s="4">
        <v>4</v>
      </c>
      <c r="AP448" s="4">
        <v>0</v>
      </c>
      <c r="AQ448" s="4">
        <v>1</v>
      </c>
      <c r="AR448" s="4">
        <v>0</v>
      </c>
      <c r="AS448" s="4">
        <v>1</v>
      </c>
      <c r="AT448" s="4">
        <v>16</v>
      </c>
      <c r="AU448" s="4">
        <v>0</v>
      </c>
      <c r="AV448" s="4">
        <v>3</v>
      </c>
      <c r="AW448" s="4">
        <v>5</v>
      </c>
      <c r="AX448" s="4">
        <v>4</v>
      </c>
      <c r="AY448" s="4">
        <v>0</v>
      </c>
      <c r="AZ448" s="4">
        <v>1</v>
      </c>
      <c r="BA448" s="4">
        <v>0</v>
      </c>
      <c r="BB448" s="4">
        <v>3</v>
      </c>
      <c r="BC448" s="4">
        <v>0</v>
      </c>
      <c r="BD448" s="4">
        <v>0</v>
      </c>
      <c r="BE448" s="4">
        <v>1</v>
      </c>
      <c r="BF448" s="4">
        <v>2</v>
      </c>
      <c r="BG448" s="4">
        <v>0</v>
      </c>
      <c r="BH448" s="4">
        <v>0</v>
      </c>
      <c r="BI448" s="4">
        <v>0</v>
      </c>
      <c r="BJ448" s="4">
        <v>3</v>
      </c>
      <c r="BK448" s="4">
        <v>9</v>
      </c>
      <c r="BL448" s="4">
        <v>0</v>
      </c>
      <c r="BM448" s="4">
        <v>0</v>
      </c>
      <c r="BN448" s="4">
        <v>1</v>
      </c>
      <c r="BO448" s="4">
        <v>0</v>
      </c>
      <c r="BP448" s="4">
        <v>0</v>
      </c>
      <c r="BQ448" s="4">
        <v>3</v>
      </c>
      <c r="BR448" s="4">
        <v>0</v>
      </c>
      <c r="BS448" s="4">
        <v>9</v>
      </c>
      <c r="BT448" s="4">
        <v>2</v>
      </c>
      <c r="BU448" s="4">
        <v>0</v>
      </c>
      <c r="BV448" s="4">
        <v>2</v>
      </c>
      <c r="BW448" s="4">
        <v>0</v>
      </c>
      <c r="BX448" s="4">
        <v>17</v>
      </c>
      <c r="BY448" s="4">
        <v>0</v>
      </c>
      <c r="BZ448" s="4">
        <v>0</v>
      </c>
      <c r="CA448" s="4">
        <v>1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1</v>
      </c>
      <c r="CN448" s="4">
        <v>8</v>
      </c>
      <c r="CO448" s="4">
        <v>1</v>
      </c>
      <c r="CP448" s="4">
        <v>0</v>
      </c>
      <c r="CQ448" s="4">
        <v>0</v>
      </c>
      <c r="CR448" s="4">
        <v>0</v>
      </c>
      <c r="CS448" s="4">
        <v>0</v>
      </c>
      <c r="CT448" s="4">
        <v>1</v>
      </c>
      <c r="CU448" s="4">
        <v>0</v>
      </c>
      <c r="CV448" s="4">
        <v>3</v>
      </c>
      <c r="CW448" s="4">
        <v>1</v>
      </c>
      <c r="CX448" s="3">
        <v>1</v>
      </c>
    </row>
    <row r="449" spans="1:102" ht="15.75" x14ac:dyDescent="0.25">
      <c r="A449" s="4" t="s">
        <v>521</v>
      </c>
      <c r="B449" s="4" t="s">
        <v>522</v>
      </c>
      <c r="C449" s="4">
        <v>2019</v>
      </c>
      <c r="D449" s="4">
        <v>1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1</v>
      </c>
      <c r="CU449" s="4">
        <v>0</v>
      </c>
      <c r="CV449" s="4">
        <v>0</v>
      </c>
      <c r="CW449" s="4">
        <v>0</v>
      </c>
      <c r="CX449" s="3">
        <v>0</v>
      </c>
    </row>
    <row r="450" spans="1:102" ht="15.75" x14ac:dyDescent="0.25">
      <c r="A450" s="4" t="s">
        <v>523</v>
      </c>
      <c r="B450" s="4" t="s">
        <v>524</v>
      </c>
      <c r="C450" s="4">
        <v>2019</v>
      </c>
      <c r="D450" s="4">
        <v>5549</v>
      </c>
      <c r="E450" s="4">
        <v>3</v>
      </c>
      <c r="F450" s="4">
        <v>0</v>
      </c>
      <c r="G450" s="4">
        <v>23</v>
      </c>
      <c r="H450" s="4">
        <v>2</v>
      </c>
      <c r="I450" s="4">
        <v>12</v>
      </c>
      <c r="J450" s="4">
        <v>6</v>
      </c>
      <c r="K450" s="4">
        <v>3</v>
      </c>
      <c r="L450" s="4">
        <v>7</v>
      </c>
      <c r="M450" s="4">
        <v>6</v>
      </c>
      <c r="N450" s="4">
        <v>25</v>
      </c>
      <c r="O450" s="4">
        <v>246</v>
      </c>
      <c r="P450" s="4">
        <v>7</v>
      </c>
      <c r="Q450" s="4">
        <v>0</v>
      </c>
      <c r="R450" s="4">
        <v>17</v>
      </c>
      <c r="S450" s="4">
        <v>0</v>
      </c>
      <c r="T450" s="4">
        <v>33</v>
      </c>
      <c r="U450" s="4">
        <v>9</v>
      </c>
      <c r="V450" s="4">
        <v>16</v>
      </c>
      <c r="W450" s="4">
        <v>485</v>
      </c>
      <c r="X450" s="4">
        <v>1</v>
      </c>
      <c r="Y450" s="4">
        <v>0</v>
      </c>
      <c r="Z450" s="4">
        <v>0</v>
      </c>
      <c r="AA450" s="4">
        <v>7</v>
      </c>
      <c r="AB450" s="4">
        <v>15</v>
      </c>
      <c r="AC450" s="4">
        <v>0</v>
      </c>
      <c r="AD450" s="4">
        <v>1</v>
      </c>
      <c r="AE450" s="4">
        <v>0</v>
      </c>
      <c r="AF450" s="4">
        <v>0</v>
      </c>
      <c r="AG450" s="4">
        <v>90</v>
      </c>
      <c r="AH450" s="4">
        <v>6</v>
      </c>
      <c r="AI450" s="4">
        <v>61</v>
      </c>
      <c r="AJ450" s="4">
        <v>170</v>
      </c>
      <c r="AK450" s="4">
        <v>61</v>
      </c>
      <c r="AL450" s="4">
        <v>2</v>
      </c>
      <c r="AM450" s="4">
        <v>75</v>
      </c>
      <c r="AN450" s="4">
        <v>30</v>
      </c>
      <c r="AO450" s="4">
        <v>87</v>
      </c>
      <c r="AP450" s="4">
        <v>2</v>
      </c>
      <c r="AQ450" s="4">
        <v>24</v>
      </c>
      <c r="AR450" s="4">
        <v>0</v>
      </c>
      <c r="AS450" s="4">
        <v>40</v>
      </c>
      <c r="AT450" s="4">
        <v>25</v>
      </c>
      <c r="AU450" s="4">
        <v>29</v>
      </c>
      <c r="AV450" s="4">
        <v>140</v>
      </c>
      <c r="AW450" s="4">
        <v>35</v>
      </c>
      <c r="AX450" s="4">
        <v>70</v>
      </c>
      <c r="AY450" s="4">
        <v>1</v>
      </c>
      <c r="AZ450" s="4">
        <v>37</v>
      </c>
      <c r="BA450" s="4">
        <v>0</v>
      </c>
      <c r="BB450" s="4">
        <v>1261</v>
      </c>
      <c r="BC450" s="4">
        <v>83</v>
      </c>
      <c r="BD450" s="4">
        <v>1</v>
      </c>
      <c r="BE450" s="4">
        <v>23</v>
      </c>
      <c r="BF450" s="4">
        <v>37</v>
      </c>
      <c r="BG450" s="4">
        <v>6</v>
      </c>
      <c r="BH450" s="4">
        <v>9</v>
      </c>
      <c r="BI450" s="4">
        <v>1</v>
      </c>
      <c r="BJ450" s="4">
        <v>63</v>
      </c>
      <c r="BK450" s="4">
        <v>59</v>
      </c>
      <c r="BL450" s="4">
        <v>0</v>
      </c>
      <c r="BM450" s="4">
        <v>2</v>
      </c>
      <c r="BN450" s="4">
        <v>28</v>
      </c>
      <c r="BO450" s="4">
        <v>0</v>
      </c>
      <c r="BP450" s="4">
        <v>8</v>
      </c>
      <c r="BQ450" s="4">
        <v>72</v>
      </c>
      <c r="BR450" s="4">
        <v>3</v>
      </c>
      <c r="BS450" s="4">
        <v>82</v>
      </c>
      <c r="BT450" s="4">
        <v>40</v>
      </c>
      <c r="BU450" s="4">
        <v>1</v>
      </c>
      <c r="BV450" s="4">
        <v>119</v>
      </c>
      <c r="BW450" s="4">
        <v>16</v>
      </c>
      <c r="BX450" s="4">
        <v>170</v>
      </c>
      <c r="BY450" s="4">
        <v>0</v>
      </c>
      <c r="BZ450" s="4">
        <v>0</v>
      </c>
      <c r="CA450" s="4">
        <v>61</v>
      </c>
      <c r="CB450" s="4">
        <v>29</v>
      </c>
      <c r="CC450" s="4">
        <v>0</v>
      </c>
      <c r="CD450" s="4">
        <v>2</v>
      </c>
      <c r="CE450" s="4">
        <v>3</v>
      </c>
      <c r="CF450" s="4">
        <v>4</v>
      </c>
      <c r="CG450" s="4">
        <v>12</v>
      </c>
      <c r="CH450" s="4">
        <v>3</v>
      </c>
      <c r="CI450" s="4">
        <v>1</v>
      </c>
      <c r="CJ450" s="4">
        <v>29</v>
      </c>
      <c r="CK450" s="4">
        <v>2</v>
      </c>
      <c r="CL450" s="4">
        <v>0</v>
      </c>
      <c r="CM450" s="4">
        <v>24</v>
      </c>
      <c r="CN450" s="4">
        <v>131</v>
      </c>
      <c r="CO450" s="4">
        <v>15</v>
      </c>
      <c r="CP450" s="4">
        <v>5</v>
      </c>
      <c r="CQ450" s="4">
        <v>0</v>
      </c>
      <c r="CR450" s="4">
        <v>6</v>
      </c>
      <c r="CS450" s="4">
        <v>2</v>
      </c>
      <c r="CT450" s="4">
        <v>42</v>
      </c>
      <c r="CU450" s="4">
        <v>16</v>
      </c>
      <c r="CV450" s="4">
        <v>52</v>
      </c>
      <c r="CW450" s="4">
        <v>1116</v>
      </c>
      <c r="CX450" s="3">
        <v>1116</v>
      </c>
    </row>
    <row r="451" spans="1:102" ht="15.75" x14ac:dyDescent="0.25">
      <c r="A451" s="4" t="s">
        <v>525</v>
      </c>
      <c r="B451" s="4" t="s">
        <v>526</v>
      </c>
      <c r="C451" s="4">
        <v>2019</v>
      </c>
      <c r="D451" s="4">
        <v>111</v>
      </c>
      <c r="E451" s="4">
        <v>0</v>
      </c>
      <c r="F451" s="4">
        <v>2</v>
      </c>
      <c r="G451" s="4">
        <v>2</v>
      </c>
      <c r="H451" s="4">
        <v>0</v>
      </c>
      <c r="I451" s="4">
        <v>5</v>
      </c>
      <c r="J451" s="4">
        <v>1</v>
      </c>
      <c r="K451" s="4">
        <v>0</v>
      </c>
      <c r="L451" s="4">
        <v>2</v>
      </c>
      <c r="M451" s="4">
        <v>0</v>
      </c>
      <c r="N451" s="4">
        <v>1</v>
      </c>
      <c r="O451" s="4">
        <v>7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3</v>
      </c>
      <c r="AJ451" s="4">
        <v>3</v>
      </c>
      <c r="AK451" s="4">
        <v>4</v>
      </c>
      <c r="AL451" s="4">
        <v>0</v>
      </c>
      <c r="AM451" s="4">
        <v>1</v>
      </c>
      <c r="AN451" s="4">
        <v>1</v>
      </c>
      <c r="AO451" s="4">
        <v>4</v>
      </c>
      <c r="AP451" s="4">
        <v>0</v>
      </c>
      <c r="AQ451" s="4">
        <v>1</v>
      </c>
      <c r="AR451" s="4">
        <v>0</v>
      </c>
      <c r="AS451" s="4">
        <v>1</v>
      </c>
      <c r="AT451" s="4">
        <v>1</v>
      </c>
      <c r="AU451" s="4">
        <v>1</v>
      </c>
      <c r="AV451" s="4">
        <v>2</v>
      </c>
      <c r="AW451" s="4">
        <v>0</v>
      </c>
      <c r="AX451" s="4">
        <v>6</v>
      </c>
      <c r="AY451" s="4">
        <v>0</v>
      </c>
      <c r="AZ451" s="4">
        <v>1</v>
      </c>
      <c r="BA451" s="4">
        <v>0</v>
      </c>
      <c r="BB451" s="4">
        <v>3</v>
      </c>
      <c r="BC451" s="4">
        <v>0</v>
      </c>
      <c r="BD451" s="4">
        <v>0</v>
      </c>
      <c r="BE451" s="4">
        <v>2</v>
      </c>
      <c r="BF451" s="4">
        <v>4</v>
      </c>
      <c r="BG451" s="4">
        <v>1</v>
      </c>
      <c r="BH451" s="4">
        <v>0</v>
      </c>
      <c r="BI451" s="4">
        <v>0</v>
      </c>
      <c r="BJ451" s="4">
        <v>7</v>
      </c>
      <c r="BK451" s="4">
        <v>2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1</v>
      </c>
      <c r="BS451" s="4">
        <v>2</v>
      </c>
      <c r="BT451" s="4">
        <v>0</v>
      </c>
      <c r="BU451" s="4">
        <v>0</v>
      </c>
      <c r="BV451" s="4">
        <v>3</v>
      </c>
      <c r="BW451" s="4">
        <v>4</v>
      </c>
      <c r="BX451" s="4">
        <v>12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1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1</v>
      </c>
      <c r="CK451" s="4">
        <v>0</v>
      </c>
      <c r="CL451" s="4">
        <v>0</v>
      </c>
      <c r="CM451" s="4">
        <v>0</v>
      </c>
      <c r="CN451" s="4">
        <v>5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9</v>
      </c>
      <c r="CU451" s="4">
        <v>0</v>
      </c>
      <c r="CV451" s="4">
        <v>5</v>
      </c>
      <c r="CW451" s="4">
        <v>1</v>
      </c>
      <c r="CX451" s="3">
        <v>1</v>
      </c>
    </row>
    <row r="452" spans="1:102" ht="15.75" x14ac:dyDescent="0.25">
      <c r="A452" s="4" t="s">
        <v>527</v>
      </c>
      <c r="B452" s="4" t="s">
        <v>528</v>
      </c>
      <c r="C452" s="4">
        <v>2019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3">
        <v>0</v>
      </c>
    </row>
    <row r="453" spans="1:102" ht="15.75" x14ac:dyDescent="0.25">
      <c r="A453" s="4" t="s">
        <v>529</v>
      </c>
      <c r="B453" s="4" t="s">
        <v>530</v>
      </c>
      <c r="C453" s="4">
        <v>2019</v>
      </c>
      <c r="D453" s="4">
        <v>1428</v>
      </c>
      <c r="E453" s="4">
        <v>0</v>
      </c>
      <c r="F453" s="4">
        <v>7</v>
      </c>
      <c r="G453" s="4">
        <v>3</v>
      </c>
      <c r="H453" s="4">
        <v>38</v>
      </c>
      <c r="I453" s="4">
        <v>3</v>
      </c>
      <c r="J453" s="4">
        <v>1</v>
      </c>
      <c r="K453" s="4">
        <v>1</v>
      </c>
      <c r="L453" s="4">
        <v>4</v>
      </c>
      <c r="M453" s="4">
        <v>4</v>
      </c>
      <c r="N453" s="4">
        <v>5</v>
      </c>
      <c r="O453" s="4">
        <v>236</v>
      </c>
      <c r="P453" s="4">
        <v>0</v>
      </c>
      <c r="Q453" s="4">
        <v>0</v>
      </c>
      <c r="R453" s="4">
        <v>3</v>
      </c>
      <c r="S453" s="4">
        <v>1</v>
      </c>
      <c r="T453" s="4">
        <v>12</v>
      </c>
      <c r="U453" s="4">
        <v>2</v>
      </c>
      <c r="V453" s="4">
        <v>1</v>
      </c>
      <c r="W453" s="4">
        <v>42</v>
      </c>
      <c r="X453" s="4">
        <v>6</v>
      </c>
      <c r="Y453" s="4">
        <v>0</v>
      </c>
      <c r="Z453" s="4">
        <v>0</v>
      </c>
      <c r="AA453" s="4">
        <v>3</v>
      </c>
      <c r="AB453" s="4">
        <v>0</v>
      </c>
      <c r="AC453" s="4">
        <v>0</v>
      </c>
      <c r="AD453" s="4">
        <v>0</v>
      </c>
      <c r="AE453" s="4">
        <v>2</v>
      </c>
      <c r="AF453" s="4">
        <v>0</v>
      </c>
      <c r="AG453" s="4">
        <v>10</v>
      </c>
      <c r="AH453" s="4">
        <v>8</v>
      </c>
      <c r="AI453" s="4">
        <v>12</v>
      </c>
      <c r="AJ453" s="4">
        <v>168</v>
      </c>
      <c r="AK453" s="4">
        <v>19</v>
      </c>
      <c r="AL453" s="4">
        <v>0</v>
      </c>
      <c r="AM453" s="4">
        <v>14</v>
      </c>
      <c r="AN453" s="4">
        <v>8</v>
      </c>
      <c r="AO453" s="4">
        <v>59</v>
      </c>
      <c r="AP453" s="4">
        <v>0</v>
      </c>
      <c r="AQ453" s="4">
        <v>3</v>
      </c>
      <c r="AR453" s="4">
        <v>0</v>
      </c>
      <c r="AS453" s="4">
        <v>8</v>
      </c>
      <c r="AT453" s="4">
        <v>5</v>
      </c>
      <c r="AU453" s="4">
        <v>11</v>
      </c>
      <c r="AV453" s="4">
        <v>27</v>
      </c>
      <c r="AW453" s="4">
        <v>30</v>
      </c>
      <c r="AX453" s="4">
        <v>13</v>
      </c>
      <c r="AY453" s="4">
        <v>1</v>
      </c>
      <c r="AZ453" s="4">
        <v>7</v>
      </c>
      <c r="BA453" s="4">
        <v>0</v>
      </c>
      <c r="BB453" s="4">
        <v>61</v>
      </c>
      <c r="BC453" s="4">
        <v>3</v>
      </c>
      <c r="BD453" s="4">
        <v>0</v>
      </c>
      <c r="BE453" s="4">
        <v>12</v>
      </c>
      <c r="BF453" s="4">
        <v>52</v>
      </c>
      <c r="BG453" s="4">
        <v>3</v>
      </c>
      <c r="BH453" s="4">
        <v>4</v>
      </c>
      <c r="BI453" s="4">
        <v>0</v>
      </c>
      <c r="BJ453" s="4">
        <v>23</v>
      </c>
      <c r="BK453" s="4">
        <v>40</v>
      </c>
      <c r="BL453" s="4">
        <v>0</v>
      </c>
      <c r="BM453" s="4">
        <v>3</v>
      </c>
      <c r="BN453" s="4">
        <v>22</v>
      </c>
      <c r="BO453" s="4">
        <v>0</v>
      </c>
      <c r="BP453" s="4">
        <v>3</v>
      </c>
      <c r="BQ453" s="4">
        <v>34</v>
      </c>
      <c r="BR453" s="4">
        <v>1</v>
      </c>
      <c r="BS453" s="4">
        <v>37</v>
      </c>
      <c r="BT453" s="4">
        <v>22</v>
      </c>
      <c r="BU453" s="4">
        <v>1</v>
      </c>
      <c r="BV453" s="4">
        <v>8</v>
      </c>
      <c r="BW453" s="4">
        <v>8</v>
      </c>
      <c r="BX453" s="4">
        <v>128</v>
      </c>
      <c r="BY453" s="4">
        <v>0</v>
      </c>
      <c r="BZ453" s="4">
        <v>0</v>
      </c>
      <c r="CA453" s="4">
        <v>26</v>
      </c>
      <c r="CB453" s="4">
        <v>2</v>
      </c>
      <c r="CC453" s="4">
        <v>0</v>
      </c>
      <c r="CD453" s="4">
        <v>1</v>
      </c>
      <c r="CE453" s="4">
        <v>0</v>
      </c>
      <c r="CF453" s="4">
        <v>1</v>
      </c>
      <c r="CG453" s="4">
        <v>1</v>
      </c>
      <c r="CH453" s="4">
        <v>1</v>
      </c>
      <c r="CI453" s="4">
        <v>4</v>
      </c>
      <c r="CJ453" s="4">
        <v>13</v>
      </c>
      <c r="CK453" s="4">
        <v>2</v>
      </c>
      <c r="CL453" s="4">
        <v>0</v>
      </c>
      <c r="CM453" s="4">
        <v>14</v>
      </c>
      <c r="CN453" s="4">
        <v>49</v>
      </c>
      <c r="CO453" s="4">
        <v>6</v>
      </c>
      <c r="CP453" s="4">
        <v>5</v>
      </c>
      <c r="CQ453" s="4">
        <v>0</v>
      </c>
      <c r="CR453" s="4">
        <v>15</v>
      </c>
      <c r="CS453" s="4">
        <v>6</v>
      </c>
      <c r="CT453" s="4">
        <v>3</v>
      </c>
      <c r="CU453" s="4">
        <v>8</v>
      </c>
      <c r="CV453" s="4">
        <v>21</v>
      </c>
      <c r="CW453" s="4">
        <v>5</v>
      </c>
      <c r="CX453" s="3">
        <v>5</v>
      </c>
    </row>
    <row r="454" spans="1:102" ht="15.75" x14ac:dyDescent="0.25">
      <c r="A454" s="4" t="s">
        <v>531</v>
      </c>
      <c r="B454" s="4" t="s">
        <v>532</v>
      </c>
      <c r="C454" s="4">
        <v>2019</v>
      </c>
      <c r="D454" s="4">
        <v>125</v>
      </c>
      <c r="E454" s="4">
        <v>0</v>
      </c>
      <c r="F454" s="4">
        <v>0</v>
      </c>
      <c r="G454" s="4">
        <v>0</v>
      </c>
      <c r="H454" s="4">
        <v>0</v>
      </c>
      <c r="I454" s="4">
        <v>1</v>
      </c>
      <c r="J454" s="4">
        <v>0</v>
      </c>
      <c r="K454" s="4">
        <v>0</v>
      </c>
      <c r="L454" s="4">
        <v>0</v>
      </c>
      <c r="M454" s="4">
        <v>0</v>
      </c>
      <c r="N454" s="4">
        <v>2</v>
      </c>
      <c r="O454" s="4">
        <v>11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1</v>
      </c>
      <c r="AJ454" s="4">
        <v>0</v>
      </c>
      <c r="AK454" s="4">
        <v>1</v>
      </c>
      <c r="AL454" s="4">
        <v>0</v>
      </c>
      <c r="AM454" s="4">
        <v>1</v>
      </c>
      <c r="AN454" s="4">
        <v>0</v>
      </c>
      <c r="AO454" s="4">
        <v>2</v>
      </c>
      <c r="AP454" s="4">
        <v>0</v>
      </c>
      <c r="AQ454" s="4">
        <v>1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2</v>
      </c>
      <c r="AY454" s="4">
        <v>0</v>
      </c>
      <c r="AZ454" s="4">
        <v>2</v>
      </c>
      <c r="BA454" s="4">
        <v>0</v>
      </c>
      <c r="BB454" s="4">
        <v>1</v>
      </c>
      <c r="BC454" s="4">
        <v>1</v>
      </c>
      <c r="BD454" s="4">
        <v>0</v>
      </c>
      <c r="BE454" s="4">
        <v>1</v>
      </c>
      <c r="BF454" s="4">
        <v>3</v>
      </c>
      <c r="BG454" s="4">
        <v>0</v>
      </c>
      <c r="BH454" s="4">
        <v>0</v>
      </c>
      <c r="BI454" s="4">
        <v>0</v>
      </c>
      <c r="BJ454" s="4">
        <v>2</v>
      </c>
      <c r="BK454" s="4">
        <v>6</v>
      </c>
      <c r="BL454" s="4">
        <v>0</v>
      </c>
      <c r="BM454" s="4">
        <v>0</v>
      </c>
      <c r="BN454" s="4">
        <v>2</v>
      </c>
      <c r="BO454" s="4">
        <v>0</v>
      </c>
      <c r="BP454" s="4">
        <v>0</v>
      </c>
      <c r="BQ454" s="4">
        <v>6</v>
      </c>
      <c r="BR454" s="4">
        <v>3</v>
      </c>
      <c r="BS454" s="4">
        <v>6</v>
      </c>
      <c r="BT454" s="4">
        <v>1</v>
      </c>
      <c r="BU454" s="4">
        <v>0</v>
      </c>
      <c r="BV454" s="4">
        <v>4</v>
      </c>
      <c r="BW454" s="4">
        <v>43</v>
      </c>
      <c r="BX454" s="4">
        <v>6</v>
      </c>
      <c r="BY454" s="4">
        <v>0</v>
      </c>
      <c r="BZ454" s="4">
        <v>0</v>
      </c>
      <c r="CA454" s="4">
        <v>1</v>
      </c>
      <c r="CB454" s="4">
        <v>0</v>
      </c>
      <c r="CC454" s="4">
        <v>0</v>
      </c>
      <c r="CD454" s="4">
        <v>0</v>
      </c>
      <c r="CE454" s="4">
        <v>0</v>
      </c>
      <c r="CF454" s="4">
        <v>2</v>
      </c>
      <c r="CG454" s="4">
        <v>0</v>
      </c>
      <c r="CH454" s="4">
        <v>1</v>
      </c>
      <c r="CI454" s="4">
        <v>0</v>
      </c>
      <c r="CJ454" s="4">
        <v>1</v>
      </c>
      <c r="CK454" s="4">
        <v>0</v>
      </c>
      <c r="CL454" s="4">
        <v>0</v>
      </c>
      <c r="CM454" s="4">
        <v>0</v>
      </c>
      <c r="CN454" s="4">
        <v>5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1</v>
      </c>
      <c r="CU454" s="4">
        <v>0</v>
      </c>
      <c r="CV454" s="4">
        <v>2</v>
      </c>
      <c r="CW454" s="4">
        <v>0</v>
      </c>
      <c r="CX454" s="3">
        <v>0</v>
      </c>
    </row>
    <row r="455" spans="1:102" ht="15.75" x14ac:dyDescent="0.25">
      <c r="A455" s="4" t="s">
        <v>533</v>
      </c>
      <c r="B455" s="4" t="s">
        <v>534</v>
      </c>
      <c r="C455" s="4">
        <v>2019</v>
      </c>
      <c r="D455" s="4">
        <v>667</v>
      </c>
      <c r="E455" s="4">
        <v>0</v>
      </c>
      <c r="F455" s="4">
        <v>0</v>
      </c>
      <c r="G455" s="4">
        <v>0</v>
      </c>
      <c r="H455" s="4">
        <v>5</v>
      </c>
      <c r="I455" s="4">
        <v>0</v>
      </c>
      <c r="J455" s="4">
        <v>0</v>
      </c>
      <c r="K455" s="4">
        <v>0</v>
      </c>
      <c r="L455" s="4">
        <v>8</v>
      </c>
      <c r="M455" s="4">
        <v>2</v>
      </c>
      <c r="N455" s="4">
        <v>3</v>
      </c>
      <c r="O455" s="4">
        <v>127</v>
      </c>
      <c r="P455" s="4">
        <v>0</v>
      </c>
      <c r="Q455" s="4">
        <v>0</v>
      </c>
      <c r="R455" s="4">
        <v>1</v>
      </c>
      <c r="S455" s="4">
        <v>0</v>
      </c>
      <c r="T455" s="4">
        <v>0</v>
      </c>
      <c r="U455" s="4">
        <v>41</v>
      </c>
      <c r="V455" s="4">
        <v>2</v>
      </c>
      <c r="W455" s="4">
        <v>0</v>
      </c>
      <c r="X455" s="4">
        <v>1</v>
      </c>
      <c r="Y455" s="4">
        <v>2</v>
      </c>
      <c r="Z455" s="4">
        <v>0</v>
      </c>
      <c r="AA455" s="4">
        <v>25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4</v>
      </c>
      <c r="AH455" s="4">
        <v>0</v>
      </c>
      <c r="AI455" s="4">
        <v>6</v>
      </c>
      <c r="AJ455" s="4">
        <v>62</v>
      </c>
      <c r="AK455" s="4">
        <v>13</v>
      </c>
      <c r="AL455" s="4">
        <v>3</v>
      </c>
      <c r="AM455" s="4">
        <v>4</v>
      </c>
      <c r="AN455" s="4">
        <v>7</v>
      </c>
      <c r="AO455" s="4">
        <v>34</v>
      </c>
      <c r="AP455" s="4">
        <v>0</v>
      </c>
      <c r="AQ455" s="4">
        <v>2</v>
      </c>
      <c r="AR455" s="4">
        <v>0</v>
      </c>
      <c r="AS455" s="4">
        <v>4</v>
      </c>
      <c r="AT455" s="4">
        <v>2</v>
      </c>
      <c r="AU455" s="4">
        <v>1</v>
      </c>
      <c r="AV455" s="4">
        <v>1</v>
      </c>
      <c r="AW455" s="4">
        <v>2</v>
      </c>
      <c r="AX455" s="4">
        <v>3</v>
      </c>
      <c r="AY455" s="4">
        <v>0</v>
      </c>
      <c r="AZ455" s="4">
        <v>3</v>
      </c>
      <c r="BA455" s="4">
        <v>0</v>
      </c>
      <c r="BB455" s="4">
        <v>9</v>
      </c>
      <c r="BC455" s="4">
        <v>4</v>
      </c>
      <c r="BD455" s="4">
        <v>0</v>
      </c>
      <c r="BE455" s="4">
        <v>5</v>
      </c>
      <c r="BF455" s="4">
        <v>52</v>
      </c>
      <c r="BG455" s="4">
        <v>0</v>
      </c>
      <c r="BH455" s="4">
        <v>0</v>
      </c>
      <c r="BI455" s="4">
        <v>0</v>
      </c>
      <c r="BJ455" s="4">
        <v>8</v>
      </c>
      <c r="BK455" s="4">
        <v>10</v>
      </c>
      <c r="BL455" s="4">
        <v>0</v>
      </c>
      <c r="BM455" s="4">
        <v>0</v>
      </c>
      <c r="BN455" s="4">
        <v>3</v>
      </c>
      <c r="BO455" s="4">
        <v>0</v>
      </c>
      <c r="BP455" s="4">
        <v>0</v>
      </c>
      <c r="BQ455" s="4">
        <v>4</v>
      </c>
      <c r="BR455" s="4">
        <v>1</v>
      </c>
      <c r="BS455" s="4">
        <v>10</v>
      </c>
      <c r="BT455" s="4">
        <v>7</v>
      </c>
      <c r="BU455" s="4">
        <v>0</v>
      </c>
      <c r="BV455" s="4">
        <v>8</v>
      </c>
      <c r="BW455" s="4">
        <v>2</v>
      </c>
      <c r="BX455" s="4">
        <v>57</v>
      </c>
      <c r="BY455" s="4">
        <v>0</v>
      </c>
      <c r="BZ455" s="4">
        <v>0</v>
      </c>
      <c r="CA455" s="4">
        <v>79</v>
      </c>
      <c r="CB455" s="4">
        <v>0</v>
      </c>
      <c r="CC455" s="4">
        <v>0</v>
      </c>
      <c r="CD455" s="4">
        <v>0</v>
      </c>
      <c r="CE455" s="4">
        <v>0</v>
      </c>
      <c r="CF455" s="4">
        <v>1</v>
      </c>
      <c r="CG455" s="4">
        <v>0</v>
      </c>
      <c r="CH455" s="4">
        <v>1</v>
      </c>
      <c r="CI455" s="4">
        <v>0</v>
      </c>
      <c r="CJ455" s="4">
        <v>5</v>
      </c>
      <c r="CK455" s="4">
        <v>0</v>
      </c>
      <c r="CL455" s="4">
        <v>0</v>
      </c>
      <c r="CM455" s="4">
        <v>1</v>
      </c>
      <c r="CN455" s="4">
        <v>9</v>
      </c>
      <c r="CO455" s="4">
        <v>3</v>
      </c>
      <c r="CP455" s="4">
        <v>4</v>
      </c>
      <c r="CQ455" s="4">
        <v>0</v>
      </c>
      <c r="CR455" s="4">
        <v>0</v>
      </c>
      <c r="CS455" s="4">
        <v>2</v>
      </c>
      <c r="CT455" s="4">
        <v>2</v>
      </c>
      <c r="CU455" s="4">
        <v>1</v>
      </c>
      <c r="CV455" s="4">
        <v>5</v>
      </c>
      <c r="CW455" s="4">
        <v>2</v>
      </c>
      <c r="CX455" s="3">
        <v>2</v>
      </c>
    </row>
    <row r="456" spans="1:102" ht="15.75" x14ac:dyDescent="0.25">
      <c r="A456" s="4" t="s">
        <v>535</v>
      </c>
      <c r="B456" s="4" t="s">
        <v>536</v>
      </c>
      <c r="C456" s="4">
        <v>2019</v>
      </c>
      <c r="D456" s="4">
        <v>40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2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1</v>
      </c>
      <c r="AJ456" s="4">
        <v>2</v>
      </c>
      <c r="AK456" s="4">
        <v>1</v>
      </c>
      <c r="AL456" s="4">
        <v>0</v>
      </c>
      <c r="AM456" s="4">
        <v>1</v>
      </c>
      <c r="AN456" s="4">
        <v>1</v>
      </c>
      <c r="AO456" s="4">
        <v>2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2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1</v>
      </c>
      <c r="BF456" s="4">
        <v>2</v>
      </c>
      <c r="BG456" s="4">
        <v>0</v>
      </c>
      <c r="BH456" s="4">
        <v>0</v>
      </c>
      <c r="BI456" s="4">
        <v>0</v>
      </c>
      <c r="BJ456" s="4">
        <v>1</v>
      </c>
      <c r="BK456" s="4">
        <v>3</v>
      </c>
      <c r="BL456" s="4">
        <v>0</v>
      </c>
      <c r="BM456" s="4">
        <v>0</v>
      </c>
      <c r="BN456" s="4">
        <v>1</v>
      </c>
      <c r="BO456" s="4">
        <v>0</v>
      </c>
      <c r="BP456" s="4">
        <v>1</v>
      </c>
      <c r="BQ456" s="4">
        <v>2</v>
      </c>
      <c r="BR456" s="4">
        <v>0</v>
      </c>
      <c r="BS456" s="4">
        <v>1</v>
      </c>
      <c r="BT456" s="4">
        <v>1</v>
      </c>
      <c r="BU456" s="4">
        <v>0</v>
      </c>
      <c r="BV456" s="4">
        <v>0</v>
      </c>
      <c r="BW456" s="4">
        <v>3</v>
      </c>
      <c r="BX456" s="4">
        <v>3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2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2</v>
      </c>
      <c r="CW456" s="4">
        <v>1</v>
      </c>
      <c r="CX456" s="3">
        <v>1</v>
      </c>
    </row>
    <row r="457" spans="1:102" ht="15.75" x14ac:dyDescent="0.25">
      <c r="A457" s="4" t="s">
        <v>537</v>
      </c>
      <c r="B457" s="4" t="s">
        <v>538</v>
      </c>
      <c r="C457" s="4">
        <v>2019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3">
        <v>0</v>
      </c>
    </row>
    <row r="458" spans="1:102" ht="15.75" x14ac:dyDescent="0.25">
      <c r="A458" s="4" t="s">
        <v>539</v>
      </c>
      <c r="B458" s="4" t="s">
        <v>540</v>
      </c>
      <c r="C458" s="4">
        <v>2019</v>
      </c>
      <c r="D458" s="4">
        <v>58893</v>
      </c>
      <c r="E458" s="4">
        <v>29</v>
      </c>
      <c r="F458" s="4">
        <v>41</v>
      </c>
      <c r="G458" s="4">
        <v>75</v>
      </c>
      <c r="H458" s="4">
        <v>331</v>
      </c>
      <c r="I458" s="4">
        <v>115</v>
      </c>
      <c r="J458" s="4">
        <v>25</v>
      </c>
      <c r="K458" s="4">
        <v>20</v>
      </c>
      <c r="L458" s="4">
        <v>62</v>
      </c>
      <c r="M458" s="4">
        <v>18</v>
      </c>
      <c r="N458" s="4">
        <v>104</v>
      </c>
      <c r="O458" s="4">
        <v>1826</v>
      </c>
      <c r="P458" s="4">
        <v>0</v>
      </c>
      <c r="Q458" s="4">
        <v>0</v>
      </c>
      <c r="R458" s="4">
        <v>18</v>
      </c>
      <c r="S458" s="4">
        <v>3</v>
      </c>
      <c r="T458" s="4">
        <v>0</v>
      </c>
      <c r="U458" s="4">
        <v>10</v>
      </c>
      <c r="V458" s="4">
        <v>19</v>
      </c>
      <c r="W458" s="4">
        <v>423</v>
      </c>
      <c r="X458" s="4">
        <v>24</v>
      </c>
      <c r="Y458" s="4">
        <v>1</v>
      </c>
      <c r="Z458" s="4">
        <v>1096</v>
      </c>
      <c r="AA458" s="4">
        <v>2428</v>
      </c>
      <c r="AB458" s="4">
        <v>6</v>
      </c>
      <c r="AC458" s="4">
        <v>0</v>
      </c>
      <c r="AD458" s="4">
        <v>5</v>
      </c>
      <c r="AE458" s="4">
        <v>7</v>
      </c>
      <c r="AF458" s="4">
        <v>1</v>
      </c>
      <c r="AG458" s="4">
        <v>3321</v>
      </c>
      <c r="AH458" s="4">
        <v>227</v>
      </c>
      <c r="AI458" s="4">
        <v>142</v>
      </c>
      <c r="AJ458" s="4">
        <v>5919</v>
      </c>
      <c r="AK458" s="4">
        <v>452</v>
      </c>
      <c r="AL458" s="4">
        <v>13</v>
      </c>
      <c r="AM458" s="4">
        <v>245</v>
      </c>
      <c r="AN458" s="4">
        <v>330</v>
      </c>
      <c r="AO458" s="4">
        <v>837</v>
      </c>
      <c r="AP458" s="4">
        <v>57</v>
      </c>
      <c r="AQ458" s="4">
        <v>190</v>
      </c>
      <c r="AR458" s="4">
        <v>17</v>
      </c>
      <c r="AS458" s="4">
        <v>236</v>
      </c>
      <c r="AT458" s="4">
        <v>262</v>
      </c>
      <c r="AU458" s="4">
        <v>437</v>
      </c>
      <c r="AV458" s="4">
        <v>355</v>
      </c>
      <c r="AW458" s="4">
        <v>850</v>
      </c>
      <c r="AX458" s="4">
        <v>755</v>
      </c>
      <c r="AY458" s="4">
        <v>46</v>
      </c>
      <c r="AZ458" s="4">
        <v>165</v>
      </c>
      <c r="BA458" s="4">
        <v>0</v>
      </c>
      <c r="BB458" s="4">
        <v>4774</v>
      </c>
      <c r="BC458" s="4">
        <v>651</v>
      </c>
      <c r="BD458" s="4">
        <v>22</v>
      </c>
      <c r="BE458" s="4">
        <v>379</v>
      </c>
      <c r="BF458" s="4">
        <v>1371</v>
      </c>
      <c r="BG458" s="4">
        <v>97</v>
      </c>
      <c r="BH458" s="4">
        <v>84</v>
      </c>
      <c r="BI458" s="4">
        <v>3</v>
      </c>
      <c r="BJ458" s="4">
        <v>1275</v>
      </c>
      <c r="BK458" s="4">
        <v>1283</v>
      </c>
      <c r="BL458" s="4">
        <v>0</v>
      </c>
      <c r="BM458" s="4">
        <v>76</v>
      </c>
      <c r="BN458" s="4">
        <v>522</v>
      </c>
      <c r="BO458" s="4">
        <v>6</v>
      </c>
      <c r="BP458" s="4">
        <v>173</v>
      </c>
      <c r="BQ458" s="4">
        <v>676</v>
      </c>
      <c r="BR458" s="4">
        <v>29</v>
      </c>
      <c r="BS458" s="4">
        <v>1495</v>
      </c>
      <c r="BT458" s="4">
        <v>646</v>
      </c>
      <c r="BU458" s="4">
        <v>22</v>
      </c>
      <c r="BV458" s="4">
        <v>438</v>
      </c>
      <c r="BW458" s="4">
        <v>406</v>
      </c>
      <c r="BX458" s="4">
        <v>8685</v>
      </c>
      <c r="BY458" s="4">
        <v>4</v>
      </c>
      <c r="BZ458" s="4">
        <v>1</v>
      </c>
      <c r="CA458" s="4">
        <v>2438</v>
      </c>
      <c r="CB458" s="4">
        <v>253</v>
      </c>
      <c r="CC458" s="4">
        <v>2</v>
      </c>
      <c r="CD458" s="4">
        <v>60</v>
      </c>
      <c r="CE458" s="4">
        <v>15</v>
      </c>
      <c r="CF458" s="4">
        <v>112</v>
      </c>
      <c r="CG458" s="4">
        <v>441</v>
      </c>
      <c r="CH458" s="4">
        <v>71</v>
      </c>
      <c r="CI458" s="4">
        <v>41</v>
      </c>
      <c r="CJ458" s="4">
        <v>399</v>
      </c>
      <c r="CK458" s="4">
        <v>57</v>
      </c>
      <c r="CL458" s="4">
        <v>0</v>
      </c>
      <c r="CM458" s="4">
        <v>311</v>
      </c>
      <c r="CN458" s="4">
        <v>2077</v>
      </c>
      <c r="CO458" s="4">
        <v>313</v>
      </c>
      <c r="CP458" s="4">
        <v>103</v>
      </c>
      <c r="CQ458" s="4">
        <v>2</v>
      </c>
      <c r="CR458" s="4">
        <v>2739</v>
      </c>
      <c r="CS458" s="4">
        <v>286</v>
      </c>
      <c r="CT458" s="4">
        <v>164</v>
      </c>
      <c r="CU458" s="4">
        <v>59</v>
      </c>
      <c r="CV458" s="4">
        <v>1322</v>
      </c>
      <c r="CW458" s="4">
        <v>2964</v>
      </c>
      <c r="CX458" s="3">
        <v>2964</v>
      </c>
    </row>
    <row r="459" spans="1:102" ht="15.75" x14ac:dyDescent="0.25">
      <c r="A459" s="4" t="s">
        <v>541</v>
      </c>
      <c r="B459" s="4" t="s">
        <v>542</v>
      </c>
      <c r="C459" s="4">
        <v>2019</v>
      </c>
      <c r="D459" s="4">
        <v>139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1</v>
      </c>
      <c r="M459" s="4">
        <v>0</v>
      </c>
      <c r="N459" s="4">
        <v>0</v>
      </c>
      <c r="O459" s="4">
        <v>32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1</v>
      </c>
      <c r="AH459" s="4">
        <v>0</v>
      </c>
      <c r="AI459" s="4">
        <v>1</v>
      </c>
      <c r="AJ459" s="4">
        <v>60</v>
      </c>
      <c r="AK459" s="4">
        <v>4</v>
      </c>
      <c r="AL459" s="4">
        <v>0</v>
      </c>
      <c r="AM459" s="4">
        <v>0</v>
      </c>
      <c r="AN459" s="4">
        <v>0</v>
      </c>
      <c r="AO459" s="4">
        <v>2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5</v>
      </c>
      <c r="AW459" s="4">
        <v>0</v>
      </c>
      <c r="AX459" s="4">
        <v>1</v>
      </c>
      <c r="AY459" s="4">
        <v>0</v>
      </c>
      <c r="AZ459" s="4">
        <v>0</v>
      </c>
      <c r="BA459" s="4">
        <v>0</v>
      </c>
      <c r="BB459" s="4">
        <v>0</v>
      </c>
      <c r="BC459" s="4">
        <v>1</v>
      </c>
      <c r="BD459" s="4">
        <v>0</v>
      </c>
      <c r="BE459" s="4">
        <v>1</v>
      </c>
      <c r="BF459" s="4">
        <v>4</v>
      </c>
      <c r="BG459" s="4">
        <v>0</v>
      </c>
      <c r="BH459" s="4">
        <v>0</v>
      </c>
      <c r="BI459" s="4">
        <v>0</v>
      </c>
      <c r="BJ459" s="4">
        <v>1</v>
      </c>
      <c r="BK459" s="4">
        <v>4</v>
      </c>
      <c r="BL459" s="4">
        <v>0</v>
      </c>
      <c r="BM459" s="4">
        <v>0</v>
      </c>
      <c r="BN459" s="4">
        <v>1</v>
      </c>
      <c r="BO459" s="4">
        <v>0</v>
      </c>
      <c r="BP459" s="4">
        <v>0</v>
      </c>
      <c r="BQ459" s="4">
        <v>0</v>
      </c>
      <c r="BR459" s="4">
        <v>0</v>
      </c>
      <c r="BS459" s="4">
        <v>1</v>
      </c>
      <c r="BT459" s="4">
        <v>1</v>
      </c>
      <c r="BU459" s="4">
        <v>0</v>
      </c>
      <c r="BV459" s="4">
        <v>1</v>
      </c>
      <c r="BW459" s="4">
        <v>1</v>
      </c>
      <c r="BX459" s="4">
        <v>3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1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8</v>
      </c>
      <c r="CW459" s="4">
        <v>0</v>
      </c>
      <c r="CX459" s="3">
        <v>0</v>
      </c>
    </row>
    <row r="460" spans="1:102" ht="15.75" x14ac:dyDescent="0.25">
      <c r="A460" s="4" t="s">
        <v>543</v>
      </c>
      <c r="B460" s="4" t="s">
        <v>544</v>
      </c>
      <c r="C460" s="4">
        <v>2019</v>
      </c>
      <c r="D460" s="4">
        <v>48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10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1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1</v>
      </c>
      <c r="BA460" s="4">
        <v>0</v>
      </c>
      <c r="BB460" s="4">
        <v>12</v>
      </c>
      <c r="BC460" s="4">
        <v>4</v>
      </c>
      <c r="BD460" s="4">
        <v>0</v>
      </c>
      <c r="BE460" s="4">
        <v>0</v>
      </c>
      <c r="BF460" s="4">
        <v>2</v>
      </c>
      <c r="BG460" s="4">
        <v>0</v>
      </c>
      <c r="BH460" s="4">
        <v>3</v>
      </c>
      <c r="BI460" s="4">
        <v>0</v>
      </c>
      <c r="BJ460" s="4">
        <v>1</v>
      </c>
      <c r="BK460" s="4">
        <v>1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1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3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1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4">
        <v>4</v>
      </c>
      <c r="CW460" s="4">
        <v>0</v>
      </c>
      <c r="CX460" s="3">
        <v>0</v>
      </c>
    </row>
    <row r="461" spans="1:102" ht="15.75" x14ac:dyDescent="0.25">
      <c r="A461" s="4" t="s">
        <v>545</v>
      </c>
      <c r="B461" s="4" t="s">
        <v>546</v>
      </c>
      <c r="C461" s="4">
        <v>2019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3">
        <v>0</v>
      </c>
    </row>
    <row r="462" spans="1:102" ht="15.75" x14ac:dyDescent="0.25">
      <c r="A462" s="4" t="s">
        <v>547</v>
      </c>
      <c r="B462" s="4" t="s">
        <v>548</v>
      </c>
      <c r="C462" s="4">
        <v>2019</v>
      </c>
      <c r="D462" s="4">
        <v>15</v>
      </c>
      <c r="E462" s="4">
        <v>0</v>
      </c>
      <c r="F462" s="4">
        <v>3</v>
      </c>
      <c r="G462" s="4">
        <v>1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1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2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1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1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1</v>
      </c>
      <c r="CW462" s="4">
        <v>0</v>
      </c>
      <c r="CX462" s="3">
        <v>0</v>
      </c>
    </row>
    <row r="463" spans="1:102" ht="15.75" x14ac:dyDescent="0.25">
      <c r="A463" s="4" t="s">
        <v>549</v>
      </c>
      <c r="B463" s="4" t="s">
        <v>550</v>
      </c>
      <c r="C463" s="4">
        <v>2019</v>
      </c>
      <c r="D463" s="4">
        <v>24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8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3</v>
      </c>
      <c r="AY463" s="4">
        <v>0</v>
      </c>
      <c r="AZ463" s="4">
        <v>1</v>
      </c>
      <c r="BA463" s="4">
        <v>0</v>
      </c>
      <c r="BB463" s="4">
        <v>0</v>
      </c>
      <c r="BC463" s="4">
        <v>0</v>
      </c>
      <c r="BD463" s="4">
        <v>0</v>
      </c>
      <c r="BE463" s="4">
        <v>1</v>
      </c>
      <c r="BF463" s="4">
        <v>1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7</v>
      </c>
      <c r="CU463" s="4">
        <v>0</v>
      </c>
      <c r="CV463" s="4">
        <v>0</v>
      </c>
      <c r="CW463" s="4">
        <v>0</v>
      </c>
      <c r="CX463" s="3">
        <v>0</v>
      </c>
    </row>
    <row r="464" spans="1:102" ht="15.75" x14ac:dyDescent="0.25">
      <c r="A464" s="4" t="s">
        <v>551</v>
      </c>
      <c r="B464" s="4" t="s">
        <v>552</v>
      </c>
      <c r="C464" s="4">
        <v>2019</v>
      </c>
      <c r="D464" s="4">
        <v>14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1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1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1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1</v>
      </c>
      <c r="BT464" s="4">
        <v>0</v>
      </c>
      <c r="BU464" s="4">
        <v>0</v>
      </c>
      <c r="BV464" s="4">
        <v>0</v>
      </c>
      <c r="BW464" s="4">
        <v>0</v>
      </c>
      <c r="BX464" s="4">
        <v>1</v>
      </c>
      <c r="BY464" s="4">
        <v>0</v>
      </c>
      <c r="BZ464" s="4">
        <v>0</v>
      </c>
      <c r="CA464" s="4">
        <v>0</v>
      </c>
      <c r="CB464" s="4">
        <v>3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2</v>
      </c>
      <c r="CS464" s="4">
        <v>0</v>
      </c>
      <c r="CT464" s="4">
        <v>0</v>
      </c>
      <c r="CU464" s="4">
        <v>0</v>
      </c>
      <c r="CV464" s="4">
        <v>0</v>
      </c>
      <c r="CW464" s="4">
        <v>0</v>
      </c>
      <c r="CX464" s="3">
        <v>0</v>
      </c>
    </row>
    <row r="465" spans="1:102" ht="15.75" x14ac:dyDescent="0.25">
      <c r="A465" s="4" t="s">
        <v>553</v>
      </c>
      <c r="B465" s="4" t="s">
        <v>554</v>
      </c>
      <c r="C465" s="4">
        <v>2019</v>
      </c>
      <c r="D465" s="4">
        <v>7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1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1</v>
      </c>
      <c r="AV465" s="4">
        <v>0</v>
      </c>
      <c r="AW465" s="4">
        <v>0</v>
      </c>
      <c r="AX465" s="4">
        <v>1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1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2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3">
        <v>0</v>
      </c>
    </row>
    <row r="466" spans="1:102" ht="15.75" x14ac:dyDescent="0.25">
      <c r="A466" s="4" t="s">
        <v>555</v>
      </c>
      <c r="B466" s="4" t="s">
        <v>556</v>
      </c>
      <c r="C466" s="4">
        <v>2019</v>
      </c>
      <c r="D466" s="4">
        <v>642</v>
      </c>
      <c r="E466" s="4">
        <v>1</v>
      </c>
      <c r="F466" s="4">
        <v>7</v>
      </c>
      <c r="G466" s="4">
        <v>1</v>
      </c>
      <c r="H466" s="4">
        <v>9</v>
      </c>
      <c r="I466" s="4">
        <v>4</v>
      </c>
      <c r="J466" s="4">
        <v>1</v>
      </c>
      <c r="K466" s="4">
        <v>0</v>
      </c>
      <c r="L466" s="4">
        <v>1</v>
      </c>
      <c r="M466" s="4">
        <v>14</v>
      </c>
      <c r="N466" s="4">
        <v>3</v>
      </c>
      <c r="O466" s="4">
        <v>23</v>
      </c>
      <c r="P466" s="4">
        <v>0</v>
      </c>
      <c r="Q466" s="4">
        <v>0</v>
      </c>
      <c r="R466" s="4">
        <v>1</v>
      </c>
      <c r="S466" s="4">
        <v>0</v>
      </c>
      <c r="T466" s="4">
        <v>16</v>
      </c>
      <c r="U466" s="4">
        <v>1</v>
      </c>
      <c r="V466" s="4">
        <v>7</v>
      </c>
      <c r="W466" s="4">
        <v>34</v>
      </c>
      <c r="X466" s="4">
        <v>2</v>
      </c>
      <c r="Y466" s="4">
        <v>0</v>
      </c>
      <c r="Z466" s="4">
        <v>0</v>
      </c>
      <c r="AA466" s="4">
        <v>3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3</v>
      </c>
      <c r="AH466" s="4">
        <v>1</v>
      </c>
      <c r="AI466" s="4">
        <v>12</v>
      </c>
      <c r="AJ466" s="4">
        <v>79</v>
      </c>
      <c r="AK466" s="4">
        <v>11</v>
      </c>
      <c r="AL466" s="4">
        <v>1</v>
      </c>
      <c r="AM466" s="4">
        <v>9</v>
      </c>
      <c r="AN466" s="4">
        <v>11</v>
      </c>
      <c r="AO466" s="4">
        <v>26</v>
      </c>
      <c r="AP466" s="4">
        <v>7</v>
      </c>
      <c r="AQ466" s="4">
        <v>1</v>
      </c>
      <c r="AR466" s="4">
        <v>0</v>
      </c>
      <c r="AS466" s="4">
        <v>2</v>
      </c>
      <c r="AT466" s="4">
        <v>13</v>
      </c>
      <c r="AU466" s="4">
        <v>6</v>
      </c>
      <c r="AV466" s="4">
        <v>5</v>
      </c>
      <c r="AW466" s="4">
        <v>5</v>
      </c>
      <c r="AX466" s="4">
        <v>15</v>
      </c>
      <c r="AY466" s="4">
        <v>0</v>
      </c>
      <c r="AZ466" s="4">
        <v>16</v>
      </c>
      <c r="BA466" s="4">
        <v>0</v>
      </c>
      <c r="BB466" s="4">
        <v>19</v>
      </c>
      <c r="BC466" s="4">
        <v>2</v>
      </c>
      <c r="BD466" s="4">
        <v>0</v>
      </c>
      <c r="BE466" s="4">
        <v>12</v>
      </c>
      <c r="BF466" s="4">
        <v>30</v>
      </c>
      <c r="BG466" s="4">
        <v>6</v>
      </c>
      <c r="BH466" s="4">
        <v>7</v>
      </c>
      <c r="BI466" s="4">
        <v>0</v>
      </c>
      <c r="BJ466" s="4">
        <v>12</v>
      </c>
      <c r="BK466" s="4">
        <v>21</v>
      </c>
      <c r="BL466" s="4">
        <v>0</v>
      </c>
      <c r="BM466" s="4">
        <v>4</v>
      </c>
      <c r="BN466" s="4">
        <v>4</v>
      </c>
      <c r="BO466" s="4">
        <v>0</v>
      </c>
      <c r="BP466" s="4">
        <v>1</v>
      </c>
      <c r="BQ466" s="4">
        <v>14</v>
      </c>
      <c r="BR466" s="4">
        <v>0</v>
      </c>
      <c r="BS466" s="4">
        <v>26</v>
      </c>
      <c r="BT466" s="4">
        <v>13</v>
      </c>
      <c r="BU466" s="4">
        <v>0</v>
      </c>
      <c r="BV466" s="4">
        <v>2</v>
      </c>
      <c r="BW466" s="4">
        <v>1</v>
      </c>
      <c r="BX466" s="4">
        <v>24</v>
      </c>
      <c r="BY466" s="4">
        <v>0</v>
      </c>
      <c r="BZ466" s="4">
        <v>0</v>
      </c>
      <c r="CA466" s="4">
        <v>5</v>
      </c>
      <c r="CB466" s="4">
        <v>4</v>
      </c>
      <c r="CC466" s="4">
        <v>0</v>
      </c>
      <c r="CD466" s="4">
        <v>4</v>
      </c>
      <c r="CE466" s="4">
        <v>0</v>
      </c>
      <c r="CF466" s="4">
        <v>1</v>
      </c>
      <c r="CG466" s="4">
        <v>0</v>
      </c>
      <c r="CH466" s="4">
        <v>0</v>
      </c>
      <c r="CI466" s="4">
        <v>0</v>
      </c>
      <c r="CJ466" s="4">
        <v>10</v>
      </c>
      <c r="CK466" s="4">
        <v>1</v>
      </c>
      <c r="CL466" s="4">
        <v>0</v>
      </c>
      <c r="CM466" s="4">
        <v>7</v>
      </c>
      <c r="CN466" s="4">
        <v>38</v>
      </c>
      <c r="CO466" s="4">
        <v>1</v>
      </c>
      <c r="CP466" s="4">
        <v>0</v>
      </c>
      <c r="CQ466" s="4">
        <v>0</v>
      </c>
      <c r="CR466" s="4">
        <v>0</v>
      </c>
      <c r="CS466" s="4">
        <v>0</v>
      </c>
      <c r="CT466" s="4">
        <v>5</v>
      </c>
      <c r="CU466" s="4">
        <v>1</v>
      </c>
      <c r="CV466" s="4">
        <v>12</v>
      </c>
      <c r="CW466" s="4">
        <v>3</v>
      </c>
      <c r="CX466" s="3">
        <v>3</v>
      </c>
    </row>
    <row r="467" spans="1:102" ht="15.75" x14ac:dyDescent="0.25">
      <c r="A467" s="4" t="s">
        <v>557</v>
      </c>
      <c r="B467" s="4" t="s">
        <v>558</v>
      </c>
      <c r="C467" s="4">
        <v>2019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3">
        <v>0</v>
      </c>
    </row>
    <row r="468" spans="1:102" ht="15.75" x14ac:dyDescent="0.25">
      <c r="A468" s="4" t="s">
        <v>559</v>
      </c>
      <c r="B468" s="4" t="s">
        <v>560</v>
      </c>
      <c r="C468" s="4">
        <v>2019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0</v>
      </c>
      <c r="CU468" s="4">
        <v>0</v>
      </c>
      <c r="CV468" s="4">
        <v>0</v>
      </c>
      <c r="CW468" s="4">
        <v>0</v>
      </c>
      <c r="CX468" s="3">
        <v>0</v>
      </c>
    </row>
    <row r="469" spans="1:102" ht="15.75" x14ac:dyDescent="0.25">
      <c r="A469" s="4" t="s">
        <v>561</v>
      </c>
      <c r="B469" s="4" t="s">
        <v>562</v>
      </c>
      <c r="C469" s="4">
        <v>2019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3">
        <v>0</v>
      </c>
    </row>
    <row r="470" spans="1:102" ht="15.75" x14ac:dyDescent="0.25">
      <c r="A470" s="4" t="s">
        <v>563</v>
      </c>
      <c r="B470" s="4" t="s">
        <v>564</v>
      </c>
      <c r="C470" s="4">
        <v>2019</v>
      </c>
      <c r="D470" s="4">
        <v>8</v>
      </c>
      <c r="E470" s="4">
        <v>0</v>
      </c>
      <c r="F470" s="4">
        <v>4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1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3">
        <v>0</v>
      </c>
    </row>
    <row r="471" spans="1:102" ht="15.75" x14ac:dyDescent="0.25">
      <c r="A471" s="4" t="s">
        <v>565</v>
      </c>
      <c r="B471" s="4" t="s">
        <v>566</v>
      </c>
      <c r="C471" s="4">
        <v>2019</v>
      </c>
      <c r="D471" s="4">
        <v>49</v>
      </c>
      <c r="E471" s="4">
        <v>0</v>
      </c>
      <c r="F471" s="4">
        <v>0</v>
      </c>
      <c r="G471" s="4">
        <v>1</v>
      </c>
      <c r="H471" s="4">
        <v>0</v>
      </c>
      <c r="I471" s="4">
        <v>0</v>
      </c>
      <c r="J471" s="4">
        <v>3</v>
      </c>
      <c r="K471" s="4">
        <v>0</v>
      </c>
      <c r="L471" s="4">
        <v>0</v>
      </c>
      <c r="M471" s="4">
        <v>0</v>
      </c>
      <c r="N471" s="4">
        <v>1</v>
      </c>
      <c r="O471" s="4">
        <v>1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1</v>
      </c>
      <c r="AJ471" s="4">
        <v>3</v>
      </c>
      <c r="AK471" s="4">
        <v>0</v>
      </c>
      <c r="AL471" s="4">
        <v>0</v>
      </c>
      <c r="AM471" s="4">
        <v>0</v>
      </c>
      <c r="AN471" s="4">
        <v>0</v>
      </c>
      <c r="AO471" s="4">
        <v>1</v>
      </c>
      <c r="AP471" s="4">
        <v>0</v>
      </c>
      <c r="AQ471" s="4">
        <v>0</v>
      </c>
      <c r="AR471" s="4">
        <v>0</v>
      </c>
      <c r="AS471" s="4">
        <v>1</v>
      </c>
      <c r="AT471" s="4">
        <v>0</v>
      </c>
      <c r="AU471" s="4">
        <v>0</v>
      </c>
      <c r="AV471" s="4">
        <v>0</v>
      </c>
      <c r="AW471" s="4">
        <v>0</v>
      </c>
      <c r="AX471" s="4">
        <v>1</v>
      </c>
      <c r="AY471" s="4">
        <v>0</v>
      </c>
      <c r="AZ471" s="4">
        <v>4</v>
      </c>
      <c r="BA471" s="4">
        <v>0</v>
      </c>
      <c r="BB471" s="4">
        <v>1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1</v>
      </c>
      <c r="BK471" s="4">
        <v>4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21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1</v>
      </c>
      <c r="CW471" s="4">
        <v>0</v>
      </c>
      <c r="CX471" s="3">
        <v>0</v>
      </c>
    </row>
    <row r="472" spans="1:102" ht="15.75" x14ac:dyDescent="0.25">
      <c r="A472" s="4" t="s">
        <v>567</v>
      </c>
      <c r="B472" s="4" t="s">
        <v>568</v>
      </c>
      <c r="C472" s="4">
        <v>2019</v>
      </c>
      <c r="D472" s="4">
        <v>1953</v>
      </c>
      <c r="E472" s="4">
        <v>7</v>
      </c>
      <c r="F472" s="4">
        <v>6</v>
      </c>
      <c r="G472" s="4">
        <v>6</v>
      </c>
      <c r="H472" s="4">
        <v>0</v>
      </c>
      <c r="I472" s="4">
        <v>19</v>
      </c>
      <c r="J472" s="4">
        <v>3</v>
      </c>
      <c r="K472" s="4">
        <v>3</v>
      </c>
      <c r="L472" s="4">
        <v>16</v>
      </c>
      <c r="M472" s="4">
        <v>11</v>
      </c>
      <c r="N472" s="4">
        <v>20</v>
      </c>
      <c r="O472" s="4">
        <v>153</v>
      </c>
      <c r="P472" s="4">
        <v>0</v>
      </c>
      <c r="Q472" s="4">
        <v>0</v>
      </c>
      <c r="R472" s="4">
        <v>5</v>
      </c>
      <c r="S472" s="4">
        <v>0</v>
      </c>
      <c r="T472" s="4">
        <v>0</v>
      </c>
      <c r="U472" s="4">
        <v>1</v>
      </c>
      <c r="V472" s="4">
        <v>2</v>
      </c>
      <c r="W472" s="4">
        <v>0</v>
      </c>
      <c r="X472" s="4">
        <v>2</v>
      </c>
      <c r="Y472" s="4">
        <v>0</v>
      </c>
      <c r="Z472" s="4">
        <v>0</v>
      </c>
      <c r="AA472" s="4">
        <v>52</v>
      </c>
      <c r="AB472" s="4">
        <v>0</v>
      </c>
      <c r="AC472" s="4">
        <v>0</v>
      </c>
      <c r="AD472" s="4">
        <v>1</v>
      </c>
      <c r="AE472" s="4">
        <v>0</v>
      </c>
      <c r="AF472" s="4">
        <v>0</v>
      </c>
      <c r="AG472" s="4">
        <v>15</v>
      </c>
      <c r="AH472" s="4">
        <v>6</v>
      </c>
      <c r="AI472" s="4">
        <v>21</v>
      </c>
      <c r="AJ472" s="4">
        <v>126</v>
      </c>
      <c r="AK472" s="4">
        <v>58</v>
      </c>
      <c r="AL472" s="4">
        <v>1</v>
      </c>
      <c r="AM472" s="4">
        <v>17</v>
      </c>
      <c r="AN472" s="4">
        <v>31</v>
      </c>
      <c r="AO472" s="4">
        <v>59</v>
      </c>
      <c r="AP472" s="4">
        <v>0</v>
      </c>
      <c r="AQ472" s="4">
        <v>9</v>
      </c>
      <c r="AR472" s="4">
        <v>1</v>
      </c>
      <c r="AS472" s="4">
        <v>13</v>
      </c>
      <c r="AT472" s="4">
        <v>10</v>
      </c>
      <c r="AU472" s="4">
        <v>35</v>
      </c>
      <c r="AV472" s="4">
        <v>12</v>
      </c>
      <c r="AW472" s="4">
        <v>17</v>
      </c>
      <c r="AX472" s="4">
        <v>37</v>
      </c>
      <c r="AY472" s="4">
        <v>8</v>
      </c>
      <c r="AZ472" s="4">
        <v>11</v>
      </c>
      <c r="BA472" s="4">
        <v>0</v>
      </c>
      <c r="BB472" s="4">
        <v>114</v>
      </c>
      <c r="BC472" s="4">
        <v>14</v>
      </c>
      <c r="BD472" s="4">
        <v>1</v>
      </c>
      <c r="BE472" s="4">
        <v>22</v>
      </c>
      <c r="BF472" s="4">
        <v>69</v>
      </c>
      <c r="BG472" s="4">
        <v>8</v>
      </c>
      <c r="BH472" s="4">
        <v>2</v>
      </c>
      <c r="BI472" s="4">
        <v>1</v>
      </c>
      <c r="BJ472" s="4">
        <v>70</v>
      </c>
      <c r="BK472" s="4">
        <v>71</v>
      </c>
      <c r="BL472" s="4">
        <v>0</v>
      </c>
      <c r="BM472" s="4">
        <v>4</v>
      </c>
      <c r="BN472" s="4">
        <v>30</v>
      </c>
      <c r="BO472" s="4">
        <v>0</v>
      </c>
      <c r="BP472" s="4">
        <v>4</v>
      </c>
      <c r="BQ472" s="4">
        <v>63</v>
      </c>
      <c r="BR472" s="4">
        <v>6</v>
      </c>
      <c r="BS472" s="4">
        <v>104</v>
      </c>
      <c r="BT472" s="4">
        <v>56</v>
      </c>
      <c r="BU472" s="4">
        <v>1</v>
      </c>
      <c r="BV472" s="4">
        <v>41</v>
      </c>
      <c r="BW472" s="4">
        <v>40</v>
      </c>
      <c r="BX472" s="4">
        <v>161</v>
      </c>
      <c r="BY472" s="4">
        <v>2</v>
      </c>
      <c r="BZ472" s="4">
        <v>0</v>
      </c>
      <c r="CA472" s="4">
        <v>23</v>
      </c>
      <c r="CB472" s="4">
        <v>2</v>
      </c>
      <c r="CC472" s="4">
        <v>0</v>
      </c>
      <c r="CD472" s="4">
        <v>5</v>
      </c>
      <c r="CE472" s="4">
        <v>0</v>
      </c>
      <c r="CF472" s="4">
        <v>4</v>
      </c>
      <c r="CG472" s="4">
        <v>1</v>
      </c>
      <c r="CH472" s="4">
        <v>1</v>
      </c>
      <c r="CI472" s="4">
        <v>1</v>
      </c>
      <c r="CJ472" s="4">
        <v>11</v>
      </c>
      <c r="CK472" s="4">
        <v>2</v>
      </c>
      <c r="CL472" s="4">
        <v>0</v>
      </c>
      <c r="CM472" s="4">
        <v>8</v>
      </c>
      <c r="CN472" s="4">
        <v>57</v>
      </c>
      <c r="CO472" s="4">
        <v>10</v>
      </c>
      <c r="CP472" s="4">
        <v>2</v>
      </c>
      <c r="CQ472" s="4">
        <v>0</v>
      </c>
      <c r="CR472" s="4">
        <v>8</v>
      </c>
      <c r="CS472" s="4">
        <v>2</v>
      </c>
      <c r="CT472" s="4">
        <v>24</v>
      </c>
      <c r="CU472" s="4">
        <v>6</v>
      </c>
      <c r="CV472" s="4">
        <v>94</v>
      </c>
      <c r="CW472" s="4">
        <v>12</v>
      </c>
      <c r="CX472" s="3">
        <v>12</v>
      </c>
    </row>
    <row r="473" spans="1:102" ht="15.75" x14ac:dyDescent="0.25">
      <c r="A473" s="4" t="s">
        <v>569</v>
      </c>
      <c r="B473" s="4" t="s">
        <v>570</v>
      </c>
      <c r="C473" s="4">
        <v>2019</v>
      </c>
      <c r="D473" s="4">
        <v>68</v>
      </c>
      <c r="E473" s="4">
        <v>2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1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1</v>
      </c>
      <c r="AK473" s="4">
        <v>0</v>
      </c>
      <c r="AL473" s="4">
        <v>0</v>
      </c>
      <c r="AM473" s="4">
        <v>11</v>
      </c>
      <c r="AN473" s="4">
        <v>0</v>
      </c>
      <c r="AO473" s="4">
        <v>1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4</v>
      </c>
      <c r="BC473" s="4">
        <v>0</v>
      </c>
      <c r="BD473" s="4">
        <v>0</v>
      </c>
      <c r="BE473" s="4">
        <v>2</v>
      </c>
      <c r="BF473" s="4">
        <v>0</v>
      </c>
      <c r="BG473" s="4">
        <v>0</v>
      </c>
      <c r="BH473" s="4">
        <v>0</v>
      </c>
      <c r="BI473" s="4">
        <v>0</v>
      </c>
      <c r="BJ473" s="4">
        <v>2</v>
      </c>
      <c r="BK473" s="4">
        <v>1</v>
      </c>
      <c r="BL473" s="4">
        <v>0</v>
      </c>
      <c r="BM473" s="4">
        <v>0</v>
      </c>
      <c r="BN473" s="4">
        <v>1</v>
      </c>
      <c r="BO473" s="4">
        <v>0</v>
      </c>
      <c r="BP473" s="4">
        <v>0</v>
      </c>
      <c r="BQ473" s="4">
        <v>1</v>
      </c>
      <c r="BR473" s="4">
        <v>0</v>
      </c>
      <c r="BS473" s="4">
        <v>2</v>
      </c>
      <c r="BT473" s="4">
        <v>1</v>
      </c>
      <c r="BU473" s="4">
        <v>0</v>
      </c>
      <c r="BV473" s="4">
        <v>4</v>
      </c>
      <c r="BW473" s="4">
        <v>23</v>
      </c>
      <c r="BX473" s="4">
        <v>3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1</v>
      </c>
      <c r="CK473" s="4">
        <v>0</v>
      </c>
      <c r="CL473" s="4">
        <v>0</v>
      </c>
      <c r="CM473" s="4">
        <v>0</v>
      </c>
      <c r="CN473" s="4">
        <v>3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1</v>
      </c>
      <c r="CU473" s="4">
        <v>0</v>
      </c>
      <c r="CV473" s="4">
        <v>2</v>
      </c>
      <c r="CW473" s="4">
        <v>0</v>
      </c>
      <c r="CX473" s="3">
        <v>0</v>
      </c>
    </row>
    <row r="474" spans="1:102" ht="15.75" x14ac:dyDescent="0.25">
      <c r="A474" s="4" t="s">
        <v>571</v>
      </c>
      <c r="B474" s="4" t="s">
        <v>572</v>
      </c>
      <c r="C474" s="4">
        <v>2019</v>
      </c>
      <c r="D474" s="4">
        <v>41</v>
      </c>
      <c r="E474" s="4">
        <v>1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1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1</v>
      </c>
      <c r="AK474" s="4">
        <v>0</v>
      </c>
      <c r="AL474" s="4">
        <v>0</v>
      </c>
      <c r="AM474" s="4">
        <v>0</v>
      </c>
      <c r="AN474" s="4">
        <v>0</v>
      </c>
      <c r="AO474" s="4">
        <v>1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1</v>
      </c>
      <c r="BA474" s="4">
        <v>0</v>
      </c>
      <c r="BB474" s="4">
        <v>0</v>
      </c>
      <c r="BC474" s="4">
        <v>0</v>
      </c>
      <c r="BD474" s="4">
        <v>0</v>
      </c>
      <c r="BE474" s="4">
        <v>1</v>
      </c>
      <c r="BF474" s="4">
        <v>1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1</v>
      </c>
      <c r="BN474" s="4">
        <v>1</v>
      </c>
      <c r="BO474" s="4">
        <v>0</v>
      </c>
      <c r="BP474" s="4">
        <v>0</v>
      </c>
      <c r="BQ474" s="4">
        <v>1</v>
      </c>
      <c r="BR474" s="4">
        <v>0</v>
      </c>
      <c r="BS474" s="4">
        <v>1</v>
      </c>
      <c r="BT474" s="4">
        <v>0</v>
      </c>
      <c r="BU474" s="4">
        <v>0</v>
      </c>
      <c r="BV474" s="4">
        <v>1</v>
      </c>
      <c r="BW474" s="4">
        <v>15</v>
      </c>
      <c r="BX474" s="4">
        <v>9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2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1</v>
      </c>
      <c r="CW474" s="4">
        <v>0</v>
      </c>
      <c r="CX474" s="3">
        <v>0</v>
      </c>
    </row>
    <row r="475" spans="1:102" ht="15.75" x14ac:dyDescent="0.25">
      <c r="A475" s="4" t="s">
        <v>101</v>
      </c>
      <c r="B475" s="4" t="s">
        <v>102</v>
      </c>
      <c r="C475" s="4">
        <v>2020</v>
      </c>
      <c r="D475" s="4">
        <v>9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3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2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1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1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3">
        <v>0</v>
      </c>
    </row>
    <row r="476" spans="1:102" ht="15.75" x14ac:dyDescent="0.25">
      <c r="A476" s="4" t="s">
        <v>103</v>
      </c>
      <c r="B476" s="4" t="s">
        <v>104</v>
      </c>
      <c r="C476" s="4">
        <v>2020</v>
      </c>
      <c r="D476" s="4">
        <v>4344</v>
      </c>
      <c r="E476" s="4">
        <v>8</v>
      </c>
      <c r="F476" s="4">
        <v>7</v>
      </c>
      <c r="G476" s="4">
        <v>19</v>
      </c>
      <c r="H476" s="4">
        <v>9</v>
      </c>
      <c r="I476" s="4">
        <v>65</v>
      </c>
      <c r="J476" s="4">
        <v>22</v>
      </c>
      <c r="K476" s="4">
        <v>5</v>
      </c>
      <c r="L476" s="4">
        <v>33</v>
      </c>
      <c r="M476" s="4">
        <v>8</v>
      </c>
      <c r="N476" s="4">
        <v>39</v>
      </c>
      <c r="O476" s="4">
        <v>72</v>
      </c>
      <c r="P476" s="4">
        <v>0</v>
      </c>
      <c r="Q476" s="4">
        <v>0</v>
      </c>
      <c r="R476" s="4">
        <v>4</v>
      </c>
      <c r="S476" s="4">
        <v>1</v>
      </c>
      <c r="T476" s="4">
        <v>0</v>
      </c>
      <c r="U476" s="4">
        <v>18</v>
      </c>
      <c r="V476" s="4">
        <v>7</v>
      </c>
      <c r="W476" s="4">
        <v>9</v>
      </c>
      <c r="X476" s="4">
        <v>3</v>
      </c>
      <c r="Y476" s="4">
        <v>0</v>
      </c>
      <c r="Z476" s="4">
        <v>42</v>
      </c>
      <c r="AA476" s="4">
        <v>4</v>
      </c>
      <c r="AB476" s="4">
        <v>0</v>
      </c>
      <c r="AC476" s="4">
        <v>0</v>
      </c>
      <c r="AD476" s="4">
        <v>0</v>
      </c>
      <c r="AE476" s="4">
        <v>1</v>
      </c>
      <c r="AF476" s="4">
        <v>0</v>
      </c>
      <c r="AG476" s="4">
        <v>24</v>
      </c>
      <c r="AH476" s="4">
        <v>1</v>
      </c>
      <c r="AI476" s="4">
        <v>37</v>
      </c>
      <c r="AJ476" s="4">
        <v>166</v>
      </c>
      <c r="AK476" s="4">
        <v>108</v>
      </c>
      <c r="AL476" s="4">
        <v>1</v>
      </c>
      <c r="AM476" s="4">
        <v>15</v>
      </c>
      <c r="AN476" s="4">
        <v>20</v>
      </c>
      <c r="AO476" s="4">
        <v>40</v>
      </c>
      <c r="AP476" s="4">
        <v>2</v>
      </c>
      <c r="AQ476" s="4">
        <v>24</v>
      </c>
      <c r="AR476" s="4">
        <v>2</v>
      </c>
      <c r="AS476" s="4">
        <v>16</v>
      </c>
      <c r="AT476" s="4">
        <v>21</v>
      </c>
      <c r="AU476" s="4">
        <v>24</v>
      </c>
      <c r="AV476" s="4">
        <v>33</v>
      </c>
      <c r="AW476" s="4">
        <v>49</v>
      </c>
      <c r="AX476" s="4">
        <v>89</v>
      </c>
      <c r="AY476" s="4">
        <v>3</v>
      </c>
      <c r="AZ476" s="4">
        <v>53</v>
      </c>
      <c r="BA476" s="4">
        <v>0</v>
      </c>
      <c r="BB476" s="4">
        <v>1063</v>
      </c>
      <c r="BC476" s="4">
        <v>63</v>
      </c>
      <c r="BD476" s="4">
        <v>0</v>
      </c>
      <c r="BE476" s="4">
        <v>34</v>
      </c>
      <c r="BF476" s="4">
        <v>32</v>
      </c>
      <c r="BG476" s="4">
        <v>2</v>
      </c>
      <c r="BH476" s="4">
        <v>6</v>
      </c>
      <c r="BI476" s="4">
        <v>2</v>
      </c>
      <c r="BJ476" s="4">
        <v>141</v>
      </c>
      <c r="BK476" s="4">
        <v>127</v>
      </c>
      <c r="BL476" s="4">
        <v>0</v>
      </c>
      <c r="BM476" s="4">
        <v>7</v>
      </c>
      <c r="BN476" s="4">
        <v>99</v>
      </c>
      <c r="BO476" s="4">
        <v>1</v>
      </c>
      <c r="BP476" s="4">
        <v>20</v>
      </c>
      <c r="BQ476" s="4">
        <v>161</v>
      </c>
      <c r="BR476" s="4">
        <v>10</v>
      </c>
      <c r="BS476" s="4">
        <v>146</v>
      </c>
      <c r="BT476" s="4">
        <v>61</v>
      </c>
      <c r="BU476" s="4">
        <v>3</v>
      </c>
      <c r="BV476" s="4">
        <v>33</v>
      </c>
      <c r="BW476" s="4">
        <v>5</v>
      </c>
      <c r="BX476" s="4">
        <v>259</v>
      </c>
      <c r="BY476" s="4">
        <v>2</v>
      </c>
      <c r="BZ476" s="4">
        <v>0</v>
      </c>
      <c r="CA476" s="4">
        <v>41</v>
      </c>
      <c r="CB476" s="4">
        <v>27</v>
      </c>
      <c r="CC476" s="4">
        <v>1</v>
      </c>
      <c r="CD476" s="4">
        <v>21</v>
      </c>
      <c r="CE476" s="4">
        <v>1</v>
      </c>
      <c r="CF476" s="4">
        <v>10</v>
      </c>
      <c r="CG476" s="4">
        <v>38</v>
      </c>
      <c r="CH476" s="4">
        <v>11</v>
      </c>
      <c r="CI476" s="4">
        <v>10</v>
      </c>
      <c r="CJ476" s="4">
        <v>54</v>
      </c>
      <c r="CK476" s="4">
        <v>10</v>
      </c>
      <c r="CL476" s="4">
        <v>0</v>
      </c>
      <c r="CM476" s="4">
        <v>28</v>
      </c>
      <c r="CN476" s="4">
        <v>174</v>
      </c>
      <c r="CO476" s="4">
        <v>67</v>
      </c>
      <c r="CP476" s="4">
        <v>3</v>
      </c>
      <c r="CQ476" s="4">
        <v>0</v>
      </c>
      <c r="CR476" s="4">
        <v>19</v>
      </c>
      <c r="CS476" s="4">
        <v>81</v>
      </c>
      <c r="CT476" s="4">
        <v>13</v>
      </c>
      <c r="CU476" s="4">
        <v>8</v>
      </c>
      <c r="CV476" s="4">
        <v>137</v>
      </c>
      <c r="CW476" s="4">
        <v>207</v>
      </c>
      <c r="CX476" s="5">
        <v>208</v>
      </c>
    </row>
    <row r="477" spans="1:102" ht="15.75" x14ac:dyDescent="0.25">
      <c r="A477" s="4" t="s">
        <v>105</v>
      </c>
      <c r="B477" s="4" t="s">
        <v>106</v>
      </c>
      <c r="C477" s="4">
        <v>2020</v>
      </c>
      <c r="D477" s="4">
        <v>52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1</v>
      </c>
      <c r="M477" s="4">
        <v>0</v>
      </c>
      <c r="N477" s="4">
        <v>0</v>
      </c>
      <c r="O477" s="4">
        <v>31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3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1</v>
      </c>
      <c r="BG477" s="4">
        <v>0</v>
      </c>
      <c r="BH477" s="4">
        <v>0</v>
      </c>
      <c r="BI477" s="4">
        <v>0</v>
      </c>
      <c r="BJ477" s="4">
        <v>1</v>
      </c>
      <c r="BK477" s="4">
        <v>1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3</v>
      </c>
      <c r="BR477" s="4">
        <v>0</v>
      </c>
      <c r="BS477" s="4">
        <v>1</v>
      </c>
      <c r="BT477" s="4">
        <v>0</v>
      </c>
      <c r="BU477" s="4">
        <v>2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1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3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5">
        <v>0</v>
      </c>
    </row>
    <row r="478" spans="1:102" ht="15.75" x14ac:dyDescent="0.25">
      <c r="A478" s="4" t="s">
        <v>107</v>
      </c>
      <c r="B478" s="4" t="s">
        <v>108</v>
      </c>
      <c r="C478" s="4">
        <v>2020</v>
      </c>
      <c r="D478" s="4">
        <v>23</v>
      </c>
      <c r="E478" s="4">
        <v>0</v>
      </c>
      <c r="F478" s="4">
        <v>0</v>
      </c>
      <c r="G478" s="4">
        <v>1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1</v>
      </c>
      <c r="O478" s="4">
        <v>1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1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1</v>
      </c>
      <c r="AU478" s="4">
        <v>0</v>
      </c>
      <c r="AV478" s="4">
        <v>0</v>
      </c>
      <c r="AW478" s="4">
        <v>0</v>
      </c>
      <c r="AX478" s="4">
        <v>2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2</v>
      </c>
      <c r="BK478" s="4">
        <v>1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8</v>
      </c>
      <c r="CC478" s="4">
        <v>0</v>
      </c>
      <c r="CD478" s="4">
        <v>0</v>
      </c>
      <c r="CE478" s="4">
        <v>0</v>
      </c>
      <c r="CF478" s="4">
        <v>1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1</v>
      </c>
      <c r="CW478" s="4">
        <v>0</v>
      </c>
      <c r="CX478" s="5">
        <v>0</v>
      </c>
    </row>
    <row r="479" spans="1:102" ht="15.75" x14ac:dyDescent="0.25">
      <c r="A479" s="4" t="s">
        <v>109</v>
      </c>
      <c r="B479" s="4" t="s">
        <v>110</v>
      </c>
      <c r="C479" s="4">
        <v>2020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4">
        <v>0</v>
      </c>
      <c r="CV479" s="4">
        <v>0</v>
      </c>
      <c r="CW479" s="4">
        <v>0</v>
      </c>
      <c r="CX479" s="5">
        <v>0</v>
      </c>
    </row>
    <row r="480" spans="1:102" ht="15.75" x14ac:dyDescent="0.25">
      <c r="A480" s="4" t="s">
        <v>111</v>
      </c>
      <c r="B480" s="4" t="s">
        <v>112</v>
      </c>
      <c r="C480" s="4">
        <v>2020</v>
      </c>
      <c r="D480" s="4">
        <v>12</v>
      </c>
      <c r="E480" s="4">
        <v>0</v>
      </c>
      <c r="F480" s="4">
        <v>1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1</v>
      </c>
      <c r="O480" s="4">
        <v>1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1</v>
      </c>
      <c r="AJ480" s="4">
        <v>1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1</v>
      </c>
      <c r="BR480" s="4">
        <v>0</v>
      </c>
      <c r="BS480" s="4">
        <v>0</v>
      </c>
      <c r="BT480" s="4">
        <v>0</v>
      </c>
      <c r="BU480" s="4">
        <v>0</v>
      </c>
      <c r="BV480" s="4">
        <v>1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1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1</v>
      </c>
      <c r="CW480" s="4">
        <v>0</v>
      </c>
      <c r="CX480" s="5">
        <v>0</v>
      </c>
    </row>
    <row r="481" spans="1:102" ht="15.75" x14ac:dyDescent="0.25">
      <c r="A481" s="4" t="s">
        <v>113</v>
      </c>
      <c r="B481" s="4" t="s">
        <v>114</v>
      </c>
      <c r="C481" s="4">
        <v>2020</v>
      </c>
      <c r="D481" s="4">
        <v>16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5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1</v>
      </c>
      <c r="BF481" s="4">
        <v>3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1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1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5">
        <v>0</v>
      </c>
    </row>
    <row r="482" spans="1:102" ht="15.75" x14ac:dyDescent="0.25">
      <c r="A482" s="4" t="s">
        <v>115</v>
      </c>
      <c r="B482" s="4" t="s">
        <v>116</v>
      </c>
      <c r="C482" s="4">
        <v>2020</v>
      </c>
      <c r="D482" s="4">
        <v>291</v>
      </c>
      <c r="E482" s="4">
        <v>0</v>
      </c>
      <c r="F482" s="4">
        <v>9</v>
      </c>
      <c r="G482" s="4">
        <v>1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5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1</v>
      </c>
      <c r="W482" s="4">
        <v>0</v>
      </c>
      <c r="X482" s="4">
        <v>0</v>
      </c>
      <c r="Y482" s="4">
        <v>0</v>
      </c>
      <c r="Z482" s="4">
        <v>0</v>
      </c>
      <c r="AA482" s="4">
        <v>30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1</v>
      </c>
      <c r="AH482" s="4">
        <v>2</v>
      </c>
      <c r="AI482" s="4">
        <v>7</v>
      </c>
      <c r="AJ482" s="4">
        <v>0</v>
      </c>
      <c r="AK482" s="4">
        <v>2</v>
      </c>
      <c r="AL482" s="4">
        <v>0</v>
      </c>
      <c r="AM482" s="4">
        <v>6</v>
      </c>
      <c r="AN482" s="4">
        <v>3</v>
      </c>
      <c r="AO482" s="4">
        <v>20</v>
      </c>
      <c r="AP482" s="4">
        <v>0</v>
      </c>
      <c r="AQ482" s="4">
        <v>2</v>
      </c>
      <c r="AR482" s="4">
        <v>0</v>
      </c>
      <c r="AS482" s="4">
        <v>0</v>
      </c>
      <c r="AT482" s="4">
        <v>1</v>
      </c>
      <c r="AU482" s="4">
        <v>1</v>
      </c>
      <c r="AV482" s="4">
        <v>10</v>
      </c>
      <c r="AW482" s="4">
        <v>1</v>
      </c>
      <c r="AX482" s="4">
        <v>12</v>
      </c>
      <c r="AY482" s="4">
        <v>0</v>
      </c>
      <c r="AZ482" s="4">
        <v>0</v>
      </c>
      <c r="BA482" s="4">
        <v>0</v>
      </c>
      <c r="BB482" s="4">
        <v>20</v>
      </c>
      <c r="BC482" s="4">
        <v>1</v>
      </c>
      <c r="BD482" s="4">
        <v>0</v>
      </c>
      <c r="BE482" s="4">
        <v>4</v>
      </c>
      <c r="BF482" s="4">
        <v>8</v>
      </c>
      <c r="BG482" s="4">
        <v>0</v>
      </c>
      <c r="BH482" s="4">
        <v>1</v>
      </c>
      <c r="BI482" s="4">
        <v>0</v>
      </c>
      <c r="BJ482" s="4">
        <v>71</v>
      </c>
      <c r="BK482" s="4">
        <v>17</v>
      </c>
      <c r="BL482" s="4">
        <v>0</v>
      </c>
      <c r="BM482" s="4">
        <v>0</v>
      </c>
      <c r="BN482" s="4">
        <v>2</v>
      </c>
      <c r="BO482" s="4">
        <v>0</v>
      </c>
      <c r="BP482" s="4">
        <v>0</v>
      </c>
      <c r="BQ482" s="4">
        <v>4</v>
      </c>
      <c r="BR482" s="4">
        <v>0</v>
      </c>
      <c r="BS482" s="4">
        <v>6</v>
      </c>
      <c r="BT482" s="4">
        <v>9</v>
      </c>
      <c r="BU482" s="4">
        <v>0</v>
      </c>
      <c r="BV482" s="4">
        <v>1</v>
      </c>
      <c r="BW482" s="4">
        <v>2</v>
      </c>
      <c r="BX482" s="4">
        <v>6</v>
      </c>
      <c r="BY482" s="4">
        <v>0</v>
      </c>
      <c r="BZ482" s="4">
        <v>0</v>
      </c>
      <c r="CA482" s="4">
        <v>0</v>
      </c>
      <c r="CB482" s="4">
        <v>1</v>
      </c>
      <c r="CC482" s="4">
        <v>0</v>
      </c>
      <c r="CD482" s="4">
        <v>1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1</v>
      </c>
      <c r="CK482" s="4">
        <v>0</v>
      </c>
      <c r="CL482" s="4">
        <v>0</v>
      </c>
      <c r="CM482" s="4">
        <v>4</v>
      </c>
      <c r="CN482" s="4">
        <v>8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3</v>
      </c>
      <c r="CU482" s="4">
        <v>0</v>
      </c>
      <c r="CV482" s="4">
        <v>2</v>
      </c>
      <c r="CW482" s="4">
        <v>3</v>
      </c>
      <c r="CX482" s="5">
        <v>3</v>
      </c>
    </row>
    <row r="483" spans="1:102" ht="15.75" x14ac:dyDescent="0.25">
      <c r="A483" s="4" t="s">
        <v>117</v>
      </c>
      <c r="B483" s="4" t="s">
        <v>118</v>
      </c>
      <c r="C483" s="4">
        <v>2020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5">
        <v>0</v>
      </c>
    </row>
    <row r="484" spans="1:102" ht="15.75" x14ac:dyDescent="0.25">
      <c r="A484" s="4" t="s">
        <v>119</v>
      </c>
      <c r="B484" s="4" t="s">
        <v>120</v>
      </c>
      <c r="C484" s="4">
        <v>2020</v>
      </c>
      <c r="D484" s="4">
        <v>300</v>
      </c>
      <c r="E484" s="4">
        <v>0</v>
      </c>
      <c r="F484" s="4">
        <v>0</v>
      </c>
      <c r="G484" s="4">
        <v>0</v>
      </c>
      <c r="H484" s="4">
        <v>0</v>
      </c>
      <c r="I484" s="4">
        <v>1</v>
      </c>
      <c r="J484" s="4">
        <v>0</v>
      </c>
      <c r="K484" s="4">
        <v>0</v>
      </c>
      <c r="L484" s="4">
        <v>2</v>
      </c>
      <c r="M484" s="4">
        <v>0</v>
      </c>
      <c r="N484" s="4">
        <v>2</v>
      </c>
      <c r="O484" s="4">
        <v>17</v>
      </c>
      <c r="P484" s="4">
        <v>1</v>
      </c>
      <c r="Q484" s="4">
        <v>0</v>
      </c>
      <c r="R484" s="4">
        <v>1</v>
      </c>
      <c r="S484" s="4">
        <v>0</v>
      </c>
      <c r="T484" s="4">
        <v>0</v>
      </c>
      <c r="U484" s="4">
        <v>0</v>
      </c>
      <c r="V484" s="4">
        <v>2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14</v>
      </c>
      <c r="AH484" s="4">
        <v>1</v>
      </c>
      <c r="AI484" s="4">
        <v>2</v>
      </c>
      <c r="AJ484" s="4">
        <v>62</v>
      </c>
      <c r="AK484" s="4">
        <v>12</v>
      </c>
      <c r="AL484" s="4">
        <v>2</v>
      </c>
      <c r="AM484" s="4">
        <v>5</v>
      </c>
      <c r="AN484" s="4">
        <v>2</v>
      </c>
      <c r="AO484" s="4">
        <v>19</v>
      </c>
      <c r="AP484" s="4">
        <v>0</v>
      </c>
      <c r="AQ484" s="4">
        <v>1</v>
      </c>
      <c r="AR484" s="4">
        <v>0</v>
      </c>
      <c r="AS484" s="4">
        <v>1</v>
      </c>
      <c r="AT484" s="4">
        <v>0</v>
      </c>
      <c r="AU484" s="4">
        <v>2</v>
      </c>
      <c r="AV484" s="4">
        <v>5</v>
      </c>
      <c r="AW484" s="4">
        <v>65</v>
      </c>
      <c r="AX484" s="4">
        <v>4</v>
      </c>
      <c r="AY484" s="4">
        <v>0</v>
      </c>
      <c r="AZ484" s="4">
        <v>1</v>
      </c>
      <c r="BA484" s="4">
        <v>0</v>
      </c>
      <c r="BB484" s="4">
        <v>7</v>
      </c>
      <c r="BC484" s="4">
        <v>1</v>
      </c>
      <c r="BD484" s="4">
        <v>0</v>
      </c>
      <c r="BE484" s="4">
        <v>2</v>
      </c>
      <c r="BF484" s="4">
        <v>8</v>
      </c>
      <c r="BG484" s="4">
        <v>0</v>
      </c>
      <c r="BH484" s="4">
        <v>0</v>
      </c>
      <c r="BI484" s="4">
        <v>0</v>
      </c>
      <c r="BJ484" s="4">
        <v>5</v>
      </c>
      <c r="BK484" s="4">
        <v>7</v>
      </c>
      <c r="BL484" s="4">
        <v>0</v>
      </c>
      <c r="BM484" s="4">
        <v>0</v>
      </c>
      <c r="BN484" s="4">
        <v>1</v>
      </c>
      <c r="BO484" s="4">
        <v>0</v>
      </c>
      <c r="BP484" s="4">
        <v>0</v>
      </c>
      <c r="BQ484" s="4">
        <v>4</v>
      </c>
      <c r="BR484" s="4">
        <v>1</v>
      </c>
      <c r="BS484" s="4">
        <v>5</v>
      </c>
      <c r="BT484" s="4">
        <v>6</v>
      </c>
      <c r="BU484" s="4">
        <v>0</v>
      </c>
      <c r="BV484" s="4">
        <v>2</v>
      </c>
      <c r="BW484" s="4">
        <v>0</v>
      </c>
      <c r="BX484" s="4">
        <v>4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2</v>
      </c>
      <c r="CN484" s="4">
        <v>10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3</v>
      </c>
      <c r="CU484" s="4">
        <v>0</v>
      </c>
      <c r="CV484" s="4">
        <v>3</v>
      </c>
      <c r="CW484" s="4">
        <v>1</v>
      </c>
      <c r="CX484" s="5">
        <v>1</v>
      </c>
    </row>
    <row r="485" spans="1:102" ht="15.75" x14ac:dyDescent="0.25">
      <c r="A485" s="4" t="s">
        <v>121</v>
      </c>
      <c r="B485" s="4" t="s">
        <v>122</v>
      </c>
      <c r="C485" s="4">
        <v>2020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>
        <v>0</v>
      </c>
      <c r="CW485" s="4">
        <v>0</v>
      </c>
      <c r="CX485" s="5">
        <v>0</v>
      </c>
    </row>
    <row r="486" spans="1:102" ht="15.75" x14ac:dyDescent="0.25">
      <c r="A486" s="4" t="s">
        <v>123</v>
      </c>
      <c r="B486" s="4" t="s">
        <v>124</v>
      </c>
      <c r="C486" s="4">
        <v>2020</v>
      </c>
      <c r="D486" s="4">
        <v>1783</v>
      </c>
      <c r="E486" s="4">
        <v>0</v>
      </c>
      <c r="F486" s="4">
        <v>8</v>
      </c>
      <c r="G486" s="4">
        <v>6</v>
      </c>
      <c r="H486" s="4">
        <v>2</v>
      </c>
      <c r="I486" s="4">
        <v>4</v>
      </c>
      <c r="J486" s="4">
        <v>6</v>
      </c>
      <c r="K486" s="4">
        <v>2</v>
      </c>
      <c r="L486" s="4">
        <v>8</v>
      </c>
      <c r="M486" s="4">
        <v>7</v>
      </c>
      <c r="N486" s="4">
        <v>15</v>
      </c>
      <c r="O486" s="4">
        <v>32</v>
      </c>
      <c r="P486" s="4">
        <v>0</v>
      </c>
      <c r="Q486" s="4">
        <v>1</v>
      </c>
      <c r="R486" s="4">
        <v>0</v>
      </c>
      <c r="S486" s="4">
        <v>0</v>
      </c>
      <c r="T486" s="4">
        <v>3</v>
      </c>
      <c r="U486" s="4">
        <v>1</v>
      </c>
      <c r="V486" s="4">
        <v>1</v>
      </c>
      <c r="W486" s="4">
        <v>14</v>
      </c>
      <c r="X486" s="4">
        <v>1</v>
      </c>
      <c r="Y486" s="4">
        <v>0</v>
      </c>
      <c r="Z486" s="4">
        <v>0</v>
      </c>
      <c r="AA486" s="4">
        <v>3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16</v>
      </c>
      <c r="AH486" s="4">
        <v>5</v>
      </c>
      <c r="AI486" s="4">
        <v>37</v>
      </c>
      <c r="AJ486" s="4">
        <v>104</v>
      </c>
      <c r="AK486" s="4">
        <v>16</v>
      </c>
      <c r="AL486" s="4">
        <v>1</v>
      </c>
      <c r="AM486" s="4">
        <v>26</v>
      </c>
      <c r="AN486" s="4">
        <v>22</v>
      </c>
      <c r="AO486" s="4">
        <v>34</v>
      </c>
      <c r="AP486" s="4">
        <v>1</v>
      </c>
      <c r="AQ486" s="4">
        <v>9</v>
      </c>
      <c r="AR486" s="4">
        <v>1</v>
      </c>
      <c r="AS486" s="4">
        <v>9</v>
      </c>
      <c r="AT486" s="4">
        <v>25</v>
      </c>
      <c r="AU486" s="4">
        <v>36</v>
      </c>
      <c r="AV486" s="4">
        <v>19</v>
      </c>
      <c r="AW486" s="4">
        <v>65</v>
      </c>
      <c r="AX486" s="4">
        <v>43</v>
      </c>
      <c r="AY486" s="4">
        <v>1</v>
      </c>
      <c r="AZ486" s="4">
        <v>4</v>
      </c>
      <c r="BA486" s="4">
        <v>0</v>
      </c>
      <c r="BB486" s="4">
        <v>80</v>
      </c>
      <c r="BC486" s="4">
        <v>7</v>
      </c>
      <c r="BD486" s="4">
        <v>0</v>
      </c>
      <c r="BE486" s="4">
        <v>13</v>
      </c>
      <c r="BF486" s="4">
        <v>55</v>
      </c>
      <c r="BG486" s="4">
        <v>2</v>
      </c>
      <c r="BH486" s="4">
        <v>3</v>
      </c>
      <c r="BI486" s="4">
        <v>0</v>
      </c>
      <c r="BJ486" s="4">
        <v>37</v>
      </c>
      <c r="BK486" s="4">
        <v>55</v>
      </c>
      <c r="BL486" s="4">
        <v>0</v>
      </c>
      <c r="BM486" s="4">
        <v>8</v>
      </c>
      <c r="BN486" s="4">
        <v>25</v>
      </c>
      <c r="BO486" s="4">
        <v>1</v>
      </c>
      <c r="BP486" s="4">
        <v>12</v>
      </c>
      <c r="BQ486" s="4">
        <v>32</v>
      </c>
      <c r="BR486" s="4">
        <v>4</v>
      </c>
      <c r="BS486" s="4">
        <v>59</v>
      </c>
      <c r="BT486" s="4">
        <v>42</v>
      </c>
      <c r="BU486" s="4">
        <v>1</v>
      </c>
      <c r="BV486" s="4">
        <v>59</v>
      </c>
      <c r="BW486" s="4">
        <v>10</v>
      </c>
      <c r="BX486" s="4">
        <v>148</v>
      </c>
      <c r="BY486" s="4">
        <v>1</v>
      </c>
      <c r="BZ486" s="4">
        <v>0</v>
      </c>
      <c r="CA486" s="4">
        <v>8</v>
      </c>
      <c r="CB486" s="4">
        <v>1</v>
      </c>
      <c r="CC486" s="4">
        <v>0</v>
      </c>
      <c r="CD486" s="4">
        <v>54</v>
      </c>
      <c r="CE486" s="4">
        <v>0</v>
      </c>
      <c r="CF486" s="4">
        <v>3</v>
      </c>
      <c r="CG486" s="4">
        <v>1</v>
      </c>
      <c r="CH486" s="4">
        <v>3</v>
      </c>
      <c r="CI486" s="4">
        <v>8</v>
      </c>
      <c r="CJ486" s="4">
        <v>66</v>
      </c>
      <c r="CK486" s="4">
        <v>17</v>
      </c>
      <c r="CL486" s="4">
        <v>1</v>
      </c>
      <c r="CM486" s="4">
        <v>10</v>
      </c>
      <c r="CN486" s="4">
        <v>38</v>
      </c>
      <c r="CO486" s="4">
        <v>4</v>
      </c>
      <c r="CP486" s="4">
        <v>5</v>
      </c>
      <c r="CQ486" s="4">
        <v>0</v>
      </c>
      <c r="CR486" s="4">
        <v>5</v>
      </c>
      <c r="CS486" s="4">
        <v>4</v>
      </c>
      <c r="CT486" s="4">
        <v>17</v>
      </c>
      <c r="CU486" s="4">
        <v>4</v>
      </c>
      <c r="CV486" s="4">
        <v>65</v>
      </c>
      <c r="CW486" s="4">
        <v>227</v>
      </c>
      <c r="CX486" s="5">
        <v>228</v>
      </c>
    </row>
    <row r="487" spans="1:102" ht="15.75" x14ac:dyDescent="0.25">
      <c r="A487" s="4" t="s">
        <v>125</v>
      </c>
      <c r="B487" s="4" t="s">
        <v>126</v>
      </c>
      <c r="C487" s="4">
        <v>2020</v>
      </c>
      <c r="D487" s="4">
        <v>4341</v>
      </c>
      <c r="E487" s="4">
        <v>21</v>
      </c>
      <c r="F487" s="4">
        <v>3</v>
      </c>
      <c r="G487" s="4">
        <v>19</v>
      </c>
      <c r="H487" s="4">
        <v>11</v>
      </c>
      <c r="I487" s="4">
        <v>77</v>
      </c>
      <c r="J487" s="4">
        <v>10</v>
      </c>
      <c r="K487" s="4">
        <v>10</v>
      </c>
      <c r="L487" s="4">
        <v>32</v>
      </c>
      <c r="M487" s="4">
        <v>19</v>
      </c>
      <c r="N487" s="4">
        <v>61</v>
      </c>
      <c r="O487" s="4">
        <v>211</v>
      </c>
      <c r="P487" s="4">
        <v>0</v>
      </c>
      <c r="Q487" s="4">
        <v>4</v>
      </c>
      <c r="R487" s="4">
        <v>2</v>
      </c>
      <c r="S487" s="4">
        <v>1</v>
      </c>
      <c r="T487" s="4">
        <v>0</v>
      </c>
      <c r="U487" s="4">
        <v>2</v>
      </c>
      <c r="V487" s="4">
        <v>4</v>
      </c>
      <c r="W487" s="4">
        <v>2</v>
      </c>
      <c r="X487" s="4">
        <v>4</v>
      </c>
      <c r="Y487" s="4">
        <v>1</v>
      </c>
      <c r="Z487" s="4">
        <v>0</v>
      </c>
      <c r="AA487" s="4">
        <v>6</v>
      </c>
      <c r="AB487" s="4">
        <v>0</v>
      </c>
      <c r="AC487" s="4">
        <v>0</v>
      </c>
      <c r="AD487" s="4">
        <v>0</v>
      </c>
      <c r="AE487" s="4">
        <v>2</v>
      </c>
      <c r="AF487" s="4">
        <v>2</v>
      </c>
      <c r="AG487" s="4">
        <v>42</v>
      </c>
      <c r="AH487" s="4">
        <v>4</v>
      </c>
      <c r="AI487" s="4">
        <v>33</v>
      </c>
      <c r="AJ487" s="4">
        <v>548</v>
      </c>
      <c r="AK487" s="4">
        <v>106</v>
      </c>
      <c r="AL487" s="4">
        <v>2</v>
      </c>
      <c r="AM487" s="4">
        <v>18</v>
      </c>
      <c r="AN487" s="4">
        <v>38</v>
      </c>
      <c r="AO487" s="4">
        <v>79</v>
      </c>
      <c r="AP487" s="4">
        <v>3</v>
      </c>
      <c r="AQ487" s="4">
        <v>17</v>
      </c>
      <c r="AR487" s="4">
        <v>2</v>
      </c>
      <c r="AS487" s="4">
        <v>25</v>
      </c>
      <c r="AT487" s="4">
        <v>28</v>
      </c>
      <c r="AU487" s="4">
        <v>57</v>
      </c>
      <c r="AV487" s="4">
        <v>25</v>
      </c>
      <c r="AW487" s="4">
        <v>86</v>
      </c>
      <c r="AX487" s="4">
        <v>92</v>
      </c>
      <c r="AY487" s="4">
        <v>2</v>
      </c>
      <c r="AZ487" s="4">
        <v>23</v>
      </c>
      <c r="BA487" s="4">
        <v>0</v>
      </c>
      <c r="BB487" s="4">
        <v>69</v>
      </c>
      <c r="BC487" s="4">
        <v>15</v>
      </c>
      <c r="BD487" s="4">
        <v>1</v>
      </c>
      <c r="BE487" s="4">
        <v>47</v>
      </c>
      <c r="BF487" s="4">
        <v>172</v>
      </c>
      <c r="BG487" s="4">
        <v>5</v>
      </c>
      <c r="BH487" s="4">
        <v>5</v>
      </c>
      <c r="BI487" s="4">
        <v>1</v>
      </c>
      <c r="BJ487" s="4">
        <v>156</v>
      </c>
      <c r="BK487" s="4">
        <v>190</v>
      </c>
      <c r="BL487" s="4">
        <v>0</v>
      </c>
      <c r="BM487" s="4">
        <v>4</v>
      </c>
      <c r="BN487" s="4">
        <v>31</v>
      </c>
      <c r="BO487" s="4">
        <v>1</v>
      </c>
      <c r="BP487" s="4">
        <v>10</v>
      </c>
      <c r="BQ487" s="4">
        <v>59</v>
      </c>
      <c r="BR487" s="4">
        <v>7</v>
      </c>
      <c r="BS487" s="4">
        <v>99</v>
      </c>
      <c r="BT487" s="4">
        <v>69</v>
      </c>
      <c r="BU487" s="4">
        <v>5</v>
      </c>
      <c r="BV487" s="4">
        <v>75</v>
      </c>
      <c r="BW487" s="4">
        <v>104</v>
      </c>
      <c r="BX487" s="4">
        <v>407</v>
      </c>
      <c r="BY487" s="4">
        <v>6</v>
      </c>
      <c r="BZ487" s="4">
        <v>1</v>
      </c>
      <c r="CA487" s="4">
        <v>33</v>
      </c>
      <c r="CB487" s="4">
        <v>6</v>
      </c>
      <c r="CC487" s="4">
        <v>0</v>
      </c>
      <c r="CD487" s="4">
        <v>13</v>
      </c>
      <c r="CE487" s="4">
        <v>1</v>
      </c>
      <c r="CF487" s="4">
        <v>10</v>
      </c>
      <c r="CG487" s="4">
        <v>4</v>
      </c>
      <c r="CH487" s="4">
        <v>5</v>
      </c>
      <c r="CI487" s="4">
        <v>10</v>
      </c>
      <c r="CJ487" s="4">
        <v>330</v>
      </c>
      <c r="CK487" s="4">
        <v>39</v>
      </c>
      <c r="CL487" s="4">
        <v>0</v>
      </c>
      <c r="CM487" s="4">
        <v>21</v>
      </c>
      <c r="CN487" s="4">
        <v>140</v>
      </c>
      <c r="CO487" s="4">
        <v>27</v>
      </c>
      <c r="CP487" s="4">
        <v>4</v>
      </c>
      <c r="CQ487" s="4">
        <v>0</v>
      </c>
      <c r="CR487" s="4">
        <v>22</v>
      </c>
      <c r="CS487" s="4">
        <v>8</v>
      </c>
      <c r="CT487" s="4">
        <v>52</v>
      </c>
      <c r="CU487" s="4">
        <v>30</v>
      </c>
      <c r="CV487" s="4">
        <v>276</v>
      </c>
      <c r="CW487" s="4">
        <v>39</v>
      </c>
      <c r="CX487" s="5">
        <v>39</v>
      </c>
    </row>
    <row r="488" spans="1:102" ht="15.75" x14ac:dyDescent="0.25">
      <c r="A488" s="4" t="s">
        <v>127</v>
      </c>
      <c r="B488" s="4" t="s">
        <v>128</v>
      </c>
      <c r="C488" s="4">
        <v>2020</v>
      </c>
      <c r="D488" s="4">
        <v>8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6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0</v>
      </c>
      <c r="CV488" s="4">
        <v>0</v>
      </c>
      <c r="CW488" s="4">
        <v>0</v>
      </c>
      <c r="CX488" s="5">
        <v>0</v>
      </c>
    </row>
    <row r="489" spans="1:102" ht="15.75" x14ac:dyDescent="0.25">
      <c r="A489" s="4" t="s">
        <v>129</v>
      </c>
      <c r="B489" s="4" t="s">
        <v>130</v>
      </c>
      <c r="C489" s="4">
        <v>2020</v>
      </c>
      <c r="D489" s="4">
        <v>400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31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</v>
      </c>
      <c r="AH489" s="4">
        <v>1</v>
      </c>
      <c r="AI489" s="4">
        <v>1</v>
      </c>
      <c r="AJ489" s="4">
        <v>0</v>
      </c>
      <c r="AK489" s="4">
        <v>1</v>
      </c>
      <c r="AL489" s="4">
        <v>0</v>
      </c>
      <c r="AM489" s="4">
        <v>2</v>
      </c>
      <c r="AN489" s="4">
        <v>16</v>
      </c>
      <c r="AO489" s="4">
        <v>4</v>
      </c>
      <c r="AP489" s="4">
        <v>0</v>
      </c>
      <c r="AQ489" s="4">
        <v>4</v>
      </c>
      <c r="AR489" s="4">
        <v>0</v>
      </c>
      <c r="AS489" s="4">
        <v>0</v>
      </c>
      <c r="AT489" s="4">
        <v>1</v>
      </c>
      <c r="AU489" s="4">
        <v>0</v>
      </c>
      <c r="AV489" s="4">
        <v>15</v>
      </c>
      <c r="AW489" s="4">
        <v>1</v>
      </c>
      <c r="AX489" s="4">
        <v>12</v>
      </c>
      <c r="AY489" s="4">
        <v>0</v>
      </c>
      <c r="AZ489" s="4">
        <v>6</v>
      </c>
      <c r="BA489" s="4">
        <v>0</v>
      </c>
      <c r="BB489" s="4">
        <v>169</v>
      </c>
      <c r="BC489" s="4">
        <v>2</v>
      </c>
      <c r="BD489" s="4">
        <v>0</v>
      </c>
      <c r="BE489" s="4">
        <v>6</v>
      </c>
      <c r="BF489" s="4">
        <v>5</v>
      </c>
      <c r="BG489" s="4">
        <v>0</v>
      </c>
      <c r="BH489" s="4">
        <v>1</v>
      </c>
      <c r="BI489" s="4">
        <v>0</v>
      </c>
      <c r="BJ489" s="4">
        <v>29</v>
      </c>
      <c r="BK489" s="4">
        <v>26</v>
      </c>
      <c r="BL489" s="4">
        <v>0</v>
      </c>
      <c r="BM489" s="4">
        <v>0</v>
      </c>
      <c r="BN489" s="4">
        <v>1</v>
      </c>
      <c r="BO489" s="4">
        <v>0</v>
      </c>
      <c r="BP489" s="4">
        <v>0</v>
      </c>
      <c r="BQ489" s="4">
        <v>3</v>
      </c>
      <c r="BR489" s="4">
        <v>0</v>
      </c>
      <c r="BS489" s="4">
        <v>9</v>
      </c>
      <c r="BT489" s="4">
        <v>2</v>
      </c>
      <c r="BU489" s="4">
        <v>0</v>
      </c>
      <c r="BV489" s="4">
        <v>0</v>
      </c>
      <c r="BW489" s="4">
        <v>1</v>
      </c>
      <c r="BX489" s="4">
        <v>13</v>
      </c>
      <c r="BY489" s="4">
        <v>0</v>
      </c>
      <c r="BZ489" s="4">
        <v>0</v>
      </c>
      <c r="CA489" s="4">
        <v>2</v>
      </c>
      <c r="CB489" s="4">
        <v>0</v>
      </c>
      <c r="CC489" s="4">
        <v>0</v>
      </c>
      <c r="CD489" s="4">
        <v>2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2</v>
      </c>
      <c r="CK489" s="4">
        <v>0</v>
      </c>
      <c r="CL489" s="4">
        <v>0</v>
      </c>
      <c r="CM489" s="4">
        <v>2</v>
      </c>
      <c r="CN489" s="4">
        <v>12</v>
      </c>
      <c r="CO489" s="4">
        <v>0</v>
      </c>
      <c r="CP489" s="4">
        <v>0</v>
      </c>
      <c r="CQ489" s="4">
        <v>0</v>
      </c>
      <c r="CR489" s="4">
        <v>0</v>
      </c>
      <c r="CS489" s="4">
        <v>3</v>
      </c>
      <c r="CT489" s="4">
        <v>0</v>
      </c>
      <c r="CU489" s="4">
        <v>1</v>
      </c>
      <c r="CV489" s="4">
        <v>4</v>
      </c>
      <c r="CW489" s="4">
        <v>3</v>
      </c>
      <c r="CX489" s="5">
        <v>3</v>
      </c>
    </row>
    <row r="490" spans="1:102" ht="15.75" x14ac:dyDescent="0.25">
      <c r="A490" s="4" t="s">
        <v>131</v>
      </c>
      <c r="B490" s="4" t="s">
        <v>132</v>
      </c>
      <c r="C490" s="4">
        <v>2020</v>
      </c>
      <c r="D490" s="4">
        <v>28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1</v>
      </c>
      <c r="O490" s="4">
        <v>1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1</v>
      </c>
      <c r="AJ490" s="4">
        <v>2</v>
      </c>
      <c r="AK490" s="4">
        <v>1</v>
      </c>
      <c r="AL490" s="4">
        <v>0</v>
      </c>
      <c r="AM490" s="4">
        <v>3</v>
      </c>
      <c r="AN490" s="4">
        <v>0</v>
      </c>
      <c r="AO490" s="4">
        <v>1</v>
      </c>
      <c r="AP490" s="4">
        <v>0</v>
      </c>
      <c r="AQ490" s="4">
        <v>0</v>
      </c>
      <c r="AR490" s="4">
        <v>0</v>
      </c>
      <c r="AS490" s="4">
        <v>1</v>
      </c>
      <c r="AT490" s="4">
        <v>1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2</v>
      </c>
      <c r="BC490" s="4">
        <v>0</v>
      </c>
      <c r="BD490" s="4">
        <v>0</v>
      </c>
      <c r="BE490" s="4">
        <v>0</v>
      </c>
      <c r="BF490" s="4">
        <v>3</v>
      </c>
      <c r="BG490" s="4">
        <v>0</v>
      </c>
      <c r="BH490" s="4">
        <v>0</v>
      </c>
      <c r="BI490" s="4">
        <v>0</v>
      </c>
      <c r="BJ490" s="4">
        <v>1</v>
      </c>
      <c r="BK490" s="4">
        <v>1</v>
      </c>
      <c r="BL490" s="4">
        <v>0</v>
      </c>
      <c r="BM490" s="4">
        <v>0</v>
      </c>
      <c r="BN490" s="4">
        <v>2</v>
      </c>
      <c r="BO490" s="4">
        <v>0</v>
      </c>
      <c r="BP490" s="4">
        <v>0</v>
      </c>
      <c r="BQ490" s="4">
        <v>1</v>
      </c>
      <c r="BR490" s="4">
        <v>0</v>
      </c>
      <c r="BS490" s="4">
        <v>1</v>
      </c>
      <c r="BT490" s="4">
        <v>0</v>
      </c>
      <c r="BU490" s="4">
        <v>0</v>
      </c>
      <c r="BV490" s="4">
        <v>1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1</v>
      </c>
      <c r="CK490" s="4">
        <v>0</v>
      </c>
      <c r="CL490" s="4">
        <v>0</v>
      </c>
      <c r="CM490" s="4">
        <v>0</v>
      </c>
      <c r="CN490" s="4">
        <v>1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0</v>
      </c>
      <c r="CV490" s="4">
        <v>1</v>
      </c>
      <c r="CW490" s="4">
        <v>0</v>
      </c>
      <c r="CX490" s="5">
        <v>0</v>
      </c>
    </row>
    <row r="491" spans="1:102" ht="15.75" x14ac:dyDescent="0.25">
      <c r="A491" s="4" t="s">
        <v>133</v>
      </c>
      <c r="B491" s="4" t="s">
        <v>134</v>
      </c>
      <c r="C491" s="4">
        <v>2020</v>
      </c>
      <c r="D491" s="4">
        <v>47</v>
      </c>
      <c r="E491" s="4">
        <v>0</v>
      </c>
      <c r="F491" s="4">
        <v>1</v>
      </c>
      <c r="G491" s="4">
        <v>2</v>
      </c>
      <c r="H491" s="4">
        <v>0</v>
      </c>
      <c r="I491" s="4">
        <v>1</v>
      </c>
      <c r="J491" s="4">
        <v>1</v>
      </c>
      <c r="K491" s="4">
        <v>1</v>
      </c>
      <c r="L491" s="4">
        <v>0</v>
      </c>
      <c r="M491" s="4">
        <v>0</v>
      </c>
      <c r="N491" s="4">
        <v>2</v>
      </c>
      <c r="O491" s="4">
        <v>2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2</v>
      </c>
      <c r="AK491" s="4">
        <v>2</v>
      </c>
      <c r="AL491" s="4">
        <v>0</v>
      </c>
      <c r="AM491" s="4">
        <v>0</v>
      </c>
      <c r="AN491" s="4">
        <v>0</v>
      </c>
      <c r="AO491" s="4">
        <v>1</v>
      </c>
      <c r="AP491" s="4">
        <v>0</v>
      </c>
      <c r="AQ491" s="4">
        <v>0</v>
      </c>
      <c r="AR491" s="4">
        <v>0</v>
      </c>
      <c r="AS491" s="4">
        <v>1</v>
      </c>
      <c r="AT491" s="4">
        <v>1</v>
      </c>
      <c r="AU491" s="4">
        <v>1</v>
      </c>
      <c r="AV491" s="4">
        <v>1</v>
      </c>
      <c r="AW491" s="4">
        <v>0</v>
      </c>
      <c r="AX491" s="4">
        <v>2</v>
      </c>
      <c r="AY491" s="4">
        <v>0</v>
      </c>
      <c r="AZ491" s="4">
        <v>0</v>
      </c>
      <c r="BA491" s="4">
        <v>0</v>
      </c>
      <c r="BB491" s="4">
        <v>2</v>
      </c>
      <c r="BC491" s="4">
        <v>0</v>
      </c>
      <c r="BD491" s="4">
        <v>0</v>
      </c>
      <c r="BE491" s="4">
        <v>0</v>
      </c>
      <c r="BF491" s="4">
        <v>2</v>
      </c>
      <c r="BG491" s="4">
        <v>0</v>
      </c>
      <c r="BH491" s="4">
        <v>0</v>
      </c>
      <c r="BI491" s="4">
        <v>0</v>
      </c>
      <c r="BJ491" s="4">
        <v>1</v>
      </c>
      <c r="BK491" s="4">
        <v>1</v>
      </c>
      <c r="BL491" s="4">
        <v>0</v>
      </c>
      <c r="BM491" s="4">
        <v>0</v>
      </c>
      <c r="BN491" s="4">
        <v>0</v>
      </c>
      <c r="BO491" s="4">
        <v>0</v>
      </c>
      <c r="BP491" s="4">
        <v>1</v>
      </c>
      <c r="BQ491" s="4">
        <v>0</v>
      </c>
      <c r="BR491" s="4">
        <v>0</v>
      </c>
      <c r="BS491" s="4">
        <v>2</v>
      </c>
      <c r="BT491" s="4">
        <v>1</v>
      </c>
      <c r="BU491" s="4">
        <v>0</v>
      </c>
      <c r="BV491" s="4">
        <v>2</v>
      </c>
      <c r="BW491" s="4">
        <v>1</v>
      </c>
      <c r="BX491" s="4">
        <v>2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2</v>
      </c>
      <c r="CG491" s="4">
        <v>0</v>
      </c>
      <c r="CH491" s="4">
        <v>0</v>
      </c>
      <c r="CI491" s="4">
        <v>0</v>
      </c>
      <c r="CJ491" s="4">
        <v>1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2</v>
      </c>
      <c r="CU491" s="4">
        <v>0</v>
      </c>
      <c r="CV491" s="4">
        <v>3</v>
      </c>
      <c r="CW491" s="4">
        <v>1</v>
      </c>
      <c r="CX491" s="5">
        <v>1</v>
      </c>
    </row>
    <row r="492" spans="1:102" ht="15.75" x14ac:dyDescent="0.25">
      <c r="A492" s="4" t="s">
        <v>135</v>
      </c>
      <c r="B492" s="4" t="s">
        <v>136</v>
      </c>
      <c r="C492" s="4">
        <v>2020</v>
      </c>
      <c r="D492" s="4">
        <v>250</v>
      </c>
      <c r="E492" s="4">
        <v>1</v>
      </c>
      <c r="F492" s="4">
        <v>0</v>
      </c>
      <c r="G492" s="4">
        <v>2</v>
      </c>
      <c r="H492" s="4">
        <v>0</v>
      </c>
      <c r="I492" s="4">
        <v>0</v>
      </c>
      <c r="J492" s="4">
        <v>1</v>
      </c>
      <c r="K492" s="4">
        <v>0</v>
      </c>
      <c r="L492" s="4">
        <v>0</v>
      </c>
      <c r="M492" s="4">
        <v>2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1</v>
      </c>
      <c r="U492" s="4">
        <v>2</v>
      </c>
      <c r="V492" s="4">
        <v>1</v>
      </c>
      <c r="W492" s="4">
        <v>54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3</v>
      </c>
      <c r="AH492" s="4">
        <v>0</v>
      </c>
      <c r="AI492" s="4">
        <v>1</v>
      </c>
      <c r="AJ492" s="4">
        <v>2</v>
      </c>
      <c r="AK492" s="4">
        <v>2</v>
      </c>
      <c r="AL492" s="4">
        <v>0</v>
      </c>
      <c r="AM492" s="4">
        <v>2</v>
      </c>
      <c r="AN492" s="4">
        <v>1</v>
      </c>
      <c r="AO492" s="4">
        <v>3</v>
      </c>
      <c r="AP492" s="4">
        <v>0</v>
      </c>
      <c r="AQ492" s="4">
        <v>0</v>
      </c>
      <c r="AR492" s="4">
        <v>0</v>
      </c>
      <c r="AS492" s="4">
        <v>1</v>
      </c>
      <c r="AT492" s="4">
        <v>3</v>
      </c>
      <c r="AU492" s="4">
        <v>1</v>
      </c>
      <c r="AV492" s="4">
        <v>3</v>
      </c>
      <c r="AW492" s="4">
        <v>1</v>
      </c>
      <c r="AX492" s="4">
        <v>3</v>
      </c>
      <c r="AY492" s="4">
        <v>0</v>
      </c>
      <c r="AZ492" s="4">
        <v>13</v>
      </c>
      <c r="BA492" s="4">
        <v>0</v>
      </c>
      <c r="BB492" s="4">
        <v>25</v>
      </c>
      <c r="BC492" s="4">
        <v>1</v>
      </c>
      <c r="BD492" s="4">
        <v>0</v>
      </c>
      <c r="BE492" s="4">
        <v>1</v>
      </c>
      <c r="BF492" s="4">
        <v>6</v>
      </c>
      <c r="BG492" s="4">
        <v>0</v>
      </c>
      <c r="BH492" s="4">
        <v>2</v>
      </c>
      <c r="BI492" s="4">
        <v>0</v>
      </c>
      <c r="BJ492" s="4">
        <v>4</v>
      </c>
      <c r="BK492" s="4">
        <v>18</v>
      </c>
      <c r="BL492" s="4">
        <v>0</v>
      </c>
      <c r="BM492" s="4">
        <v>0</v>
      </c>
      <c r="BN492" s="4">
        <v>1</v>
      </c>
      <c r="BO492" s="4">
        <v>1</v>
      </c>
      <c r="BP492" s="4">
        <v>1</v>
      </c>
      <c r="BQ492" s="4">
        <v>2</v>
      </c>
      <c r="BR492" s="4">
        <v>0</v>
      </c>
      <c r="BS492" s="4">
        <v>5</v>
      </c>
      <c r="BT492" s="4">
        <v>4</v>
      </c>
      <c r="BU492" s="4">
        <v>0</v>
      </c>
      <c r="BV492" s="4">
        <v>0</v>
      </c>
      <c r="BW492" s="4">
        <v>1</v>
      </c>
      <c r="BX492" s="4">
        <v>13</v>
      </c>
      <c r="BY492" s="4">
        <v>0</v>
      </c>
      <c r="BZ492" s="4">
        <v>0</v>
      </c>
      <c r="CA492" s="4">
        <v>41</v>
      </c>
      <c r="CB492" s="4">
        <v>0</v>
      </c>
      <c r="CC492" s="4">
        <v>0</v>
      </c>
      <c r="CD492" s="4">
        <v>1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1</v>
      </c>
      <c r="CN492" s="4">
        <v>13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2</v>
      </c>
      <c r="CU492" s="4">
        <v>0</v>
      </c>
      <c r="CV492" s="4">
        <v>1</v>
      </c>
      <c r="CW492" s="4">
        <v>1</v>
      </c>
      <c r="CX492" s="5">
        <v>1</v>
      </c>
    </row>
    <row r="493" spans="1:102" ht="15.75" x14ac:dyDescent="0.25">
      <c r="A493" s="4" t="s">
        <v>137</v>
      </c>
      <c r="B493" s="4" t="s">
        <v>138</v>
      </c>
      <c r="C493" s="4">
        <v>2020</v>
      </c>
      <c r="D493" s="4">
        <v>11057</v>
      </c>
      <c r="E493" s="4">
        <v>2</v>
      </c>
      <c r="F493" s="4">
        <v>83</v>
      </c>
      <c r="G493" s="4">
        <v>91</v>
      </c>
      <c r="H493" s="4">
        <v>39</v>
      </c>
      <c r="I493" s="4">
        <v>80</v>
      </c>
      <c r="J493" s="4">
        <v>40</v>
      </c>
      <c r="K493" s="4">
        <v>11</v>
      </c>
      <c r="L493" s="4">
        <v>41</v>
      </c>
      <c r="M493" s="4">
        <v>21</v>
      </c>
      <c r="N493" s="4">
        <v>40</v>
      </c>
      <c r="O493" s="4">
        <v>291</v>
      </c>
      <c r="P493" s="4">
        <v>0</v>
      </c>
      <c r="Q493" s="4">
        <v>4</v>
      </c>
      <c r="R493" s="4">
        <v>61</v>
      </c>
      <c r="S493" s="4">
        <v>0</v>
      </c>
      <c r="T493" s="4">
        <v>2</v>
      </c>
      <c r="U493" s="4">
        <v>5</v>
      </c>
      <c r="V493" s="4">
        <v>22</v>
      </c>
      <c r="W493" s="4">
        <v>354</v>
      </c>
      <c r="X493" s="4">
        <v>7</v>
      </c>
      <c r="Y493" s="4">
        <v>10</v>
      </c>
      <c r="Z493" s="4">
        <v>45</v>
      </c>
      <c r="AA493" s="4">
        <v>880</v>
      </c>
      <c r="AB493" s="4">
        <v>312</v>
      </c>
      <c r="AC493" s="4">
        <v>17</v>
      </c>
      <c r="AD493" s="4">
        <v>11</v>
      </c>
      <c r="AE493" s="4">
        <v>40</v>
      </c>
      <c r="AF493" s="4">
        <v>6</v>
      </c>
      <c r="AG493" s="4">
        <v>566</v>
      </c>
      <c r="AH493" s="4">
        <v>52</v>
      </c>
      <c r="AI493" s="4">
        <v>163</v>
      </c>
      <c r="AJ493" s="4">
        <v>1548</v>
      </c>
      <c r="AK493" s="4">
        <v>424</v>
      </c>
      <c r="AL493" s="4">
        <v>8</v>
      </c>
      <c r="AM493" s="4">
        <v>313</v>
      </c>
      <c r="AN493" s="4">
        <v>79</v>
      </c>
      <c r="AO493" s="4">
        <v>245</v>
      </c>
      <c r="AP493" s="4">
        <v>2</v>
      </c>
      <c r="AQ493" s="4">
        <v>137</v>
      </c>
      <c r="AR493" s="4">
        <v>28</v>
      </c>
      <c r="AS493" s="4">
        <v>66</v>
      </c>
      <c r="AT493" s="4">
        <v>54</v>
      </c>
      <c r="AU493" s="4">
        <v>146</v>
      </c>
      <c r="AV493" s="4">
        <v>158</v>
      </c>
      <c r="AW493" s="4">
        <v>171</v>
      </c>
      <c r="AX493" s="4">
        <v>137</v>
      </c>
      <c r="AY493" s="4">
        <v>3</v>
      </c>
      <c r="AZ493" s="4">
        <v>25</v>
      </c>
      <c r="BA493" s="4">
        <v>0</v>
      </c>
      <c r="BB493" s="4">
        <v>212</v>
      </c>
      <c r="BC493" s="4">
        <v>17</v>
      </c>
      <c r="BD493" s="4">
        <v>2</v>
      </c>
      <c r="BE493" s="4">
        <v>48</v>
      </c>
      <c r="BF493" s="4">
        <v>155</v>
      </c>
      <c r="BG493" s="4">
        <v>7</v>
      </c>
      <c r="BH493" s="4">
        <v>55</v>
      </c>
      <c r="BI493" s="4">
        <v>2</v>
      </c>
      <c r="BJ493" s="4">
        <v>159</v>
      </c>
      <c r="BK493" s="4">
        <v>297</v>
      </c>
      <c r="BL493" s="4">
        <v>0</v>
      </c>
      <c r="BM493" s="4">
        <v>15</v>
      </c>
      <c r="BN493" s="4">
        <v>60</v>
      </c>
      <c r="BO493" s="4">
        <v>1</v>
      </c>
      <c r="BP493" s="4">
        <v>8</v>
      </c>
      <c r="BQ493" s="4">
        <v>76</v>
      </c>
      <c r="BR493" s="4">
        <v>10</v>
      </c>
      <c r="BS493" s="4">
        <v>190</v>
      </c>
      <c r="BT493" s="4">
        <v>86</v>
      </c>
      <c r="BU493" s="4">
        <v>13</v>
      </c>
      <c r="BV493" s="4">
        <v>117</v>
      </c>
      <c r="BW493" s="4">
        <v>112</v>
      </c>
      <c r="BX493" s="4">
        <v>1576</v>
      </c>
      <c r="BY493" s="4">
        <v>1</v>
      </c>
      <c r="BZ493" s="4">
        <v>0</v>
      </c>
      <c r="CA493" s="4">
        <v>23</v>
      </c>
      <c r="CB493" s="4">
        <v>1</v>
      </c>
      <c r="CC493" s="4">
        <v>1</v>
      </c>
      <c r="CD493" s="4">
        <v>12</v>
      </c>
      <c r="CE493" s="4">
        <v>3</v>
      </c>
      <c r="CF493" s="4">
        <v>13</v>
      </c>
      <c r="CG493" s="4">
        <v>9</v>
      </c>
      <c r="CH493" s="4">
        <v>8</v>
      </c>
      <c r="CI493" s="4">
        <v>16</v>
      </c>
      <c r="CJ493" s="4">
        <v>166</v>
      </c>
      <c r="CK493" s="4">
        <v>51</v>
      </c>
      <c r="CL493" s="4">
        <v>0</v>
      </c>
      <c r="CM493" s="4">
        <v>13</v>
      </c>
      <c r="CN493" s="4">
        <v>325</v>
      </c>
      <c r="CO493" s="4">
        <v>52</v>
      </c>
      <c r="CP493" s="4">
        <v>6</v>
      </c>
      <c r="CQ493" s="4">
        <v>0</v>
      </c>
      <c r="CR493" s="4">
        <v>18</v>
      </c>
      <c r="CS493" s="4">
        <v>10</v>
      </c>
      <c r="CT493" s="4">
        <v>83</v>
      </c>
      <c r="CU493" s="4">
        <v>10</v>
      </c>
      <c r="CV493" s="4">
        <v>168</v>
      </c>
      <c r="CW493" s="4">
        <v>10</v>
      </c>
      <c r="CX493" s="5">
        <v>10</v>
      </c>
    </row>
    <row r="494" spans="1:102" ht="15.75" x14ac:dyDescent="0.25">
      <c r="A494" s="4" t="s">
        <v>139</v>
      </c>
      <c r="B494" s="4" t="s">
        <v>140</v>
      </c>
      <c r="C494" s="4">
        <v>2020</v>
      </c>
      <c r="D494" s="4">
        <v>14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1</v>
      </c>
      <c r="AL494" s="4">
        <v>0</v>
      </c>
      <c r="AM494" s="4">
        <v>0</v>
      </c>
      <c r="AN494" s="4">
        <v>0</v>
      </c>
      <c r="AO494" s="4">
        <v>1</v>
      </c>
      <c r="AP494" s="4">
        <v>0</v>
      </c>
      <c r="AQ494" s="4">
        <v>1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2</v>
      </c>
      <c r="BF494" s="4">
        <v>0</v>
      </c>
      <c r="BG494" s="4">
        <v>0</v>
      </c>
      <c r="BH494" s="4">
        <v>0</v>
      </c>
      <c r="BI494" s="4">
        <v>0</v>
      </c>
      <c r="BJ494" s="4">
        <v>1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1</v>
      </c>
      <c r="BR494" s="4">
        <v>0</v>
      </c>
      <c r="BS494" s="4">
        <v>1</v>
      </c>
      <c r="BT494" s="4">
        <v>0</v>
      </c>
      <c r="BU494" s="4">
        <v>0</v>
      </c>
      <c r="BV494" s="4">
        <v>1</v>
      </c>
      <c r="BW494" s="4">
        <v>2</v>
      </c>
      <c r="BX494" s="4">
        <v>0</v>
      </c>
      <c r="BY494" s="4">
        <v>0</v>
      </c>
      <c r="BZ494" s="4">
        <v>0</v>
      </c>
      <c r="CA494" s="4">
        <v>1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0</v>
      </c>
      <c r="CX494" s="5">
        <v>0</v>
      </c>
    </row>
    <row r="495" spans="1:102" ht="15.75" x14ac:dyDescent="0.25">
      <c r="A495" s="4" t="s">
        <v>141</v>
      </c>
      <c r="B495" s="4" t="s">
        <v>142</v>
      </c>
      <c r="C495" s="4">
        <v>2020</v>
      </c>
      <c r="D495" s="4">
        <v>390</v>
      </c>
      <c r="E495" s="4">
        <v>0</v>
      </c>
      <c r="F495" s="4">
        <v>3</v>
      </c>
      <c r="G495" s="4">
        <v>3</v>
      </c>
      <c r="H495" s="4">
        <v>2</v>
      </c>
      <c r="I495" s="4">
        <v>2</v>
      </c>
      <c r="J495" s="4">
        <v>1</v>
      </c>
      <c r="K495" s="4">
        <v>0</v>
      </c>
      <c r="L495" s="4">
        <v>6</v>
      </c>
      <c r="M495" s="4">
        <v>10</v>
      </c>
      <c r="N495" s="4">
        <v>6</v>
      </c>
      <c r="O495" s="4">
        <v>46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1</v>
      </c>
      <c r="V495" s="4">
        <v>3</v>
      </c>
      <c r="W495" s="4">
        <v>3</v>
      </c>
      <c r="X495" s="4">
        <v>3</v>
      </c>
      <c r="Y495" s="4">
        <v>0</v>
      </c>
      <c r="Z495" s="4">
        <v>22</v>
      </c>
      <c r="AA495" s="4">
        <v>1</v>
      </c>
      <c r="AB495" s="4">
        <v>0</v>
      </c>
      <c r="AC495" s="4">
        <v>0</v>
      </c>
      <c r="AD495" s="4">
        <v>0</v>
      </c>
      <c r="AE495" s="4">
        <v>0</v>
      </c>
      <c r="AF495" s="4">
        <v>1</v>
      </c>
      <c r="AG495" s="4">
        <v>4</v>
      </c>
      <c r="AH495" s="4">
        <v>3</v>
      </c>
      <c r="AI495" s="4">
        <v>4</v>
      </c>
      <c r="AJ495" s="4">
        <v>18</v>
      </c>
      <c r="AK495" s="4">
        <v>14</v>
      </c>
      <c r="AL495" s="4">
        <v>2</v>
      </c>
      <c r="AM495" s="4">
        <v>5</v>
      </c>
      <c r="AN495" s="4">
        <v>4</v>
      </c>
      <c r="AO495" s="4">
        <v>7</v>
      </c>
      <c r="AP495" s="4">
        <v>1</v>
      </c>
      <c r="AQ495" s="4">
        <v>1</v>
      </c>
      <c r="AR495" s="4">
        <v>0</v>
      </c>
      <c r="AS495" s="4">
        <v>3</v>
      </c>
      <c r="AT495" s="4">
        <v>7</v>
      </c>
      <c r="AU495" s="4">
        <v>4</v>
      </c>
      <c r="AV495" s="4">
        <v>2</v>
      </c>
      <c r="AW495" s="4">
        <v>2</v>
      </c>
      <c r="AX495" s="4">
        <v>6</v>
      </c>
      <c r="AY495" s="4">
        <v>0</v>
      </c>
      <c r="AZ495" s="4">
        <v>2</v>
      </c>
      <c r="BA495" s="4">
        <v>0</v>
      </c>
      <c r="BB495" s="4">
        <v>2</v>
      </c>
      <c r="BC495" s="4">
        <v>4</v>
      </c>
      <c r="BD495" s="4">
        <v>0</v>
      </c>
      <c r="BE495" s="4">
        <v>4</v>
      </c>
      <c r="BF495" s="4">
        <v>25</v>
      </c>
      <c r="BG495" s="4">
        <v>0</v>
      </c>
      <c r="BH495" s="4">
        <v>1</v>
      </c>
      <c r="BI495" s="4">
        <v>0</v>
      </c>
      <c r="BJ495" s="4">
        <v>7</v>
      </c>
      <c r="BK495" s="4">
        <v>12</v>
      </c>
      <c r="BL495" s="4">
        <v>0</v>
      </c>
      <c r="BM495" s="4">
        <v>1</v>
      </c>
      <c r="BN495" s="4">
        <v>9</v>
      </c>
      <c r="BO495" s="4">
        <v>0</v>
      </c>
      <c r="BP495" s="4">
        <v>4</v>
      </c>
      <c r="BQ495" s="4">
        <v>9</v>
      </c>
      <c r="BR495" s="4">
        <v>1</v>
      </c>
      <c r="BS495" s="4">
        <v>14</v>
      </c>
      <c r="BT495" s="4">
        <v>5</v>
      </c>
      <c r="BU495" s="4">
        <v>0</v>
      </c>
      <c r="BV495" s="4">
        <v>5</v>
      </c>
      <c r="BW495" s="4">
        <v>9</v>
      </c>
      <c r="BX495" s="4">
        <v>7</v>
      </c>
      <c r="BY495" s="4">
        <v>0</v>
      </c>
      <c r="BZ495" s="4">
        <v>0</v>
      </c>
      <c r="CA495" s="4">
        <v>18</v>
      </c>
      <c r="CB495" s="4">
        <v>0</v>
      </c>
      <c r="CC495" s="4">
        <v>0</v>
      </c>
      <c r="CD495" s="4">
        <v>2</v>
      </c>
      <c r="CE495" s="4">
        <v>0</v>
      </c>
      <c r="CF495" s="4">
        <v>1</v>
      </c>
      <c r="CG495" s="4">
        <v>0</v>
      </c>
      <c r="CH495" s="4">
        <v>1</v>
      </c>
      <c r="CI495" s="4">
        <v>1</v>
      </c>
      <c r="CJ495" s="4">
        <v>10</v>
      </c>
      <c r="CK495" s="4">
        <v>5</v>
      </c>
      <c r="CL495" s="4">
        <v>1</v>
      </c>
      <c r="CM495" s="4">
        <v>2</v>
      </c>
      <c r="CN495" s="4">
        <v>11</v>
      </c>
      <c r="CO495" s="4">
        <v>1</v>
      </c>
      <c r="CP495" s="4">
        <v>2</v>
      </c>
      <c r="CQ495" s="4">
        <v>0</v>
      </c>
      <c r="CR495" s="4">
        <v>0</v>
      </c>
      <c r="CS495" s="4">
        <v>0</v>
      </c>
      <c r="CT495" s="4">
        <v>3</v>
      </c>
      <c r="CU495" s="4">
        <v>1</v>
      </c>
      <c r="CV495" s="4">
        <v>10</v>
      </c>
      <c r="CW495" s="4">
        <v>0</v>
      </c>
      <c r="CX495" s="5">
        <v>0</v>
      </c>
    </row>
    <row r="496" spans="1:102" ht="15.75" x14ac:dyDescent="0.25">
      <c r="A496" s="4" t="s">
        <v>143</v>
      </c>
      <c r="B496" s="4" t="s">
        <v>144</v>
      </c>
      <c r="C496" s="4">
        <v>2020</v>
      </c>
      <c r="D496" s="4">
        <v>282</v>
      </c>
      <c r="E496" s="4">
        <v>3</v>
      </c>
      <c r="F496" s="4">
        <v>0</v>
      </c>
      <c r="G496" s="4">
        <v>3</v>
      </c>
      <c r="H496" s="4">
        <v>1</v>
      </c>
      <c r="I496" s="4">
        <v>7</v>
      </c>
      <c r="J496" s="4">
        <v>3</v>
      </c>
      <c r="K496" s="4">
        <v>1</v>
      </c>
      <c r="L496" s="4">
        <v>2</v>
      </c>
      <c r="M496" s="4">
        <v>1</v>
      </c>
      <c r="N496" s="4">
        <v>4</v>
      </c>
      <c r="O496" s="4">
        <v>4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1</v>
      </c>
      <c r="X496" s="4">
        <v>0</v>
      </c>
      <c r="Y496" s="4">
        <v>0</v>
      </c>
      <c r="Z496" s="4">
        <v>0</v>
      </c>
      <c r="AA496" s="4">
        <v>2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1</v>
      </c>
      <c r="AH496" s="4">
        <v>0</v>
      </c>
      <c r="AI496" s="4">
        <v>1</v>
      </c>
      <c r="AJ496" s="4">
        <v>4</v>
      </c>
      <c r="AK496" s="4">
        <v>3</v>
      </c>
      <c r="AL496" s="4">
        <v>0</v>
      </c>
      <c r="AM496" s="4">
        <v>0</v>
      </c>
      <c r="AN496" s="4">
        <v>3</v>
      </c>
      <c r="AO496" s="4">
        <v>3</v>
      </c>
      <c r="AP496" s="4">
        <v>0</v>
      </c>
      <c r="AQ496" s="4">
        <v>1</v>
      </c>
      <c r="AR496" s="4">
        <v>0</v>
      </c>
      <c r="AS496" s="4">
        <v>1</v>
      </c>
      <c r="AT496" s="4">
        <v>2</v>
      </c>
      <c r="AU496" s="4">
        <v>3</v>
      </c>
      <c r="AV496" s="4">
        <v>5</v>
      </c>
      <c r="AW496" s="4">
        <v>2</v>
      </c>
      <c r="AX496" s="4">
        <v>9</v>
      </c>
      <c r="AY496" s="4">
        <v>0</v>
      </c>
      <c r="AZ496" s="4">
        <v>5</v>
      </c>
      <c r="BA496" s="4">
        <v>0</v>
      </c>
      <c r="BB496" s="4">
        <v>72</v>
      </c>
      <c r="BC496" s="4">
        <v>2</v>
      </c>
      <c r="BD496" s="4">
        <v>0</v>
      </c>
      <c r="BE496" s="4">
        <v>1</v>
      </c>
      <c r="BF496" s="4">
        <v>2</v>
      </c>
      <c r="BG496" s="4">
        <v>0</v>
      </c>
      <c r="BH496" s="4">
        <v>0</v>
      </c>
      <c r="BI496" s="4">
        <v>0</v>
      </c>
      <c r="BJ496" s="4">
        <v>17</v>
      </c>
      <c r="BK496" s="4">
        <v>6</v>
      </c>
      <c r="BL496" s="4">
        <v>0</v>
      </c>
      <c r="BM496" s="4">
        <v>0</v>
      </c>
      <c r="BN496" s="4">
        <v>1</v>
      </c>
      <c r="BO496" s="4">
        <v>0</v>
      </c>
      <c r="BP496" s="4">
        <v>1</v>
      </c>
      <c r="BQ496" s="4">
        <v>2</v>
      </c>
      <c r="BR496" s="4">
        <v>1</v>
      </c>
      <c r="BS496" s="4">
        <v>14</v>
      </c>
      <c r="BT496" s="4">
        <v>6</v>
      </c>
      <c r="BU496" s="4">
        <v>0</v>
      </c>
      <c r="BV496" s="4">
        <v>2</v>
      </c>
      <c r="BW496" s="4">
        <v>0</v>
      </c>
      <c r="BX496" s="4">
        <v>37</v>
      </c>
      <c r="BY496" s="4">
        <v>0</v>
      </c>
      <c r="BZ496" s="4">
        <v>0</v>
      </c>
      <c r="CA496" s="4">
        <v>11</v>
      </c>
      <c r="CB496" s="4">
        <v>1</v>
      </c>
      <c r="CC496" s="4">
        <v>0</v>
      </c>
      <c r="CD496" s="4">
        <v>2</v>
      </c>
      <c r="CE496" s="4">
        <v>0</v>
      </c>
      <c r="CF496" s="4">
        <v>1</v>
      </c>
      <c r="CG496" s="4">
        <v>0</v>
      </c>
      <c r="CH496" s="4">
        <v>1</v>
      </c>
      <c r="CI496" s="4">
        <v>1</v>
      </c>
      <c r="CJ496" s="4">
        <v>4</v>
      </c>
      <c r="CK496" s="4">
        <v>0</v>
      </c>
      <c r="CL496" s="4">
        <v>0</v>
      </c>
      <c r="CM496" s="4">
        <v>1</v>
      </c>
      <c r="CN496" s="4">
        <v>7</v>
      </c>
      <c r="CO496" s="4">
        <v>1</v>
      </c>
      <c r="CP496" s="4">
        <v>0</v>
      </c>
      <c r="CQ496" s="4">
        <v>0</v>
      </c>
      <c r="CR496" s="4">
        <v>1</v>
      </c>
      <c r="CS496" s="4">
        <v>1</v>
      </c>
      <c r="CT496" s="4">
        <v>2</v>
      </c>
      <c r="CU496" s="4">
        <v>0</v>
      </c>
      <c r="CV496" s="4">
        <v>6</v>
      </c>
      <c r="CW496" s="4">
        <v>2</v>
      </c>
      <c r="CX496" s="5">
        <v>2</v>
      </c>
    </row>
    <row r="497" spans="1:102" ht="15.75" x14ac:dyDescent="0.25">
      <c r="A497" s="4" t="s">
        <v>145</v>
      </c>
      <c r="B497" s="4" t="s">
        <v>146</v>
      </c>
      <c r="C497" s="4">
        <v>2020</v>
      </c>
      <c r="D497" s="4">
        <v>1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1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5">
        <v>0</v>
      </c>
    </row>
    <row r="498" spans="1:102" ht="15.75" x14ac:dyDescent="0.25">
      <c r="A498" s="4" t="s">
        <v>147</v>
      </c>
      <c r="B498" s="4" t="s">
        <v>148</v>
      </c>
      <c r="C498" s="4">
        <v>2020</v>
      </c>
      <c r="D498" s="4">
        <v>20</v>
      </c>
      <c r="E498" s="4">
        <v>0</v>
      </c>
      <c r="F498" s="4">
        <v>8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1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1</v>
      </c>
      <c r="BR498" s="4">
        <v>0</v>
      </c>
      <c r="BS498" s="4">
        <v>0</v>
      </c>
      <c r="BT498" s="4">
        <v>0</v>
      </c>
      <c r="BU498" s="4">
        <v>0</v>
      </c>
      <c r="BV498" s="4">
        <v>1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0</v>
      </c>
      <c r="CV498" s="4">
        <v>1</v>
      </c>
      <c r="CW498" s="4">
        <v>0</v>
      </c>
      <c r="CX498" s="5">
        <v>0</v>
      </c>
    </row>
    <row r="499" spans="1:102" ht="15.75" x14ac:dyDescent="0.25">
      <c r="A499" s="4" t="s">
        <v>149</v>
      </c>
      <c r="B499" s="4" t="s">
        <v>150</v>
      </c>
      <c r="C499" s="4">
        <v>2020</v>
      </c>
      <c r="D499" s="4">
        <v>166</v>
      </c>
      <c r="E499" s="4">
        <v>0</v>
      </c>
      <c r="F499" s="4">
        <v>0</v>
      </c>
      <c r="G499" s="4">
        <v>0</v>
      </c>
      <c r="H499" s="4">
        <v>0</v>
      </c>
      <c r="I499" s="4">
        <v>1</v>
      </c>
      <c r="J499" s="4">
        <v>0</v>
      </c>
      <c r="K499" s="4">
        <v>0</v>
      </c>
      <c r="L499" s="4">
        <v>0</v>
      </c>
      <c r="M499" s="4">
        <v>0</v>
      </c>
      <c r="N499" s="4">
        <v>2</v>
      </c>
      <c r="O499" s="4">
        <v>2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10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1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1</v>
      </c>
      <c r="BT499" s="4">
        <v>1</v>
      </c>
      <c r="BU499" s="4">
        <v>0</v>
      </c>
      <c r="BV499" s="4">
        <v>1</v>
      </c>
      <c r="BW499" s="4">
        <v>0</v>
      </c>
      <c r="BX499" s="4">
        <v>1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1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139</v>
      </c>
      <c r="CS499" s="4">
        <v>0</v>
      </c>
      <c r="CT499" s="4">
        <v>0</v>
      </c>
      <c r="CU499" s="4">
        <v>0</v>
      </c>
      <c r="CV499" s="4">
        <v>1</v>
      </c>
      <c r="CW499" s="4">
        <v>0</v>
      </c>
      <c r="CX499" s="5">
        <v>0</v>
      </c>
    </row>
    <row r="500" spans="1:102" ht="15.75" x14ac:dyDescent="0.25">
      <c r="A500" s="4" t="s">
        <v>151</v>
      </c>
      <c r="B500" s="4" t="s">
        <v>152</v>
      </c>
      <c r="C500" s="4">
        <v>2020</v>
      </c>
      <c r="D500" s="4">
        <v>218</v>
      </c>
      <c r="E500" s="4">
        <v>0</v>
      </c>
      <c r="F500" s="4">
        <v>1</v>
      </c>
      <c r="G500" s="4">
        <v>0</v>
      </c>
      <c r="H500" s="4">
        <v>0</v>
      </c>
      <c r="I500" s="4">
        <v>2</v>
      </c>
      <c r="J500" s="4">
        <v>1</v>
      </c>
      <c r="K500" s="4">
        <v>0</v>
      </c>
      <c r="L500" s="4">
        <v>0</v>
      </c>
      <c r="M500" s="4">
        <v>0</v>
      </c>
      <c r="N500" s="4">
        <v>1</v>
      </c>
      <c r="O500" s="4">
        <v>107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73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1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1</v>
      </c>
      <c r="AW500" s="4">
        <v>0</v>
      </c>
      <c r="AX500" s="4">
        <v>2</v>
      </c>
      <c r="AY500" s="4">
        <v>0</v>
      </c>
      <c r="AZ500" s="4">
        <v>0</v>
      </c>
      <c r="BA500" s="4">
        <v>0</v>
      </c>
      <c r="BB500" s="4">
        <v>4</v>
      </c>
      <c r="BC500" s="4">
        <v>0</v>
      </c>
      <c r="BD500" s="4">
        <v>0</v>
      </c>
      <c r="BE500" s="4">
        <v>1</v>
      </c>
      <c r="BF500" s="4">
        <v>1</v>
      </c>
      <c r="BG500" s="4">
        <v>0</v>
      </c>
      <c r="BH500" s="4">
        <v>0</v>
      </c>
      <c r="BI500" s="4">
        <v>0</v>
      </c>
      <c r="BJ500" s="4">
        <v>3</v>
      </c>
      <c r="BK500" s="4">
        <v>2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1</v>
      </c>
      <c r="BR500" s="4">
        <v>0</v>
      </c>
      <c r="BS500" s="4">
        <v>4</v>
      </c>
      <c r="BT500" s="4">
        <v>1</v>
      </c>
      <c r="BU500" s="4">
        <v>0</v>
      </c>
      <c r="BV500" s="4">
        <v>0</v>
      </c>
      <c r="BW500" s="4">
        <v>0</v>
      </c>
      <c r="BX500" s="4">
        <v>6</v>
      </c>
      <c r="BY500" s="4">
        <v>0</v>
      </c>
      <c r="BZ500" s="4">
        <v>0</v>
      </c>
      <c r="CA500" s="4">
        <v>1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2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1</v>
      </c>
      <c r="CW500" s="4">
        <v>1</v>
      </c>
      <c r="CX500" s="5">
        <v>1</v>
      </c>
    </row>
    <row r="501" spans="1:102" ht="15.75" x14ac:dyDescent="0.25">
      <c r="A501" s="4" t="s">
        <v>153</v>
      </c>
      <c r="B501" s="4" t="s">
        <v>154</v>
      </c>
      <c r="C501" s="4">
        <v>2020</v>
      </c>
      <c r="D501" s="4">
        <v>12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2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1</v>
      </c>
      <c r="AK501" s="4">
        <v>0</v>
      </c>
      <c r="AL501" s="4">
        <v>0</v>
      </c>
      <c r="AM501" s="4">
        <v>0</v>
      </c>
      <c r="AN501" s="4">
        <v>0</v>
      </c>
      <c r="AO501" s="4">
        <v>3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1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1</v>
      </c>
      <c r="BW501" s="4">
        <v>0</v>
      </c>
      <c r="BX501" s="4">
        <v>1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1</v>
      </c>
      <c r="CN501" s="4">
        <v>1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5">
        <v>0</v>
      </c>
    </row>
    <row r="502" spans="1:102" ht="15.75" x14ac:dyDescent="0.25">
      <c r="A502" s="4" t="s">
        <v>155</v>
      </c>
      <c r="B502" s="4" t="s">
        <v>156</v>
      </c>
      <c r="C502" s="4">
        <v>2020</v>
      </c>
      <c r="D502" s="4">
        <v>10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10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5">
        <v>0</v>
      </c>
    </row>
    <row r="503" spans="1:102" ht="15.75" x14ac:dyDescent="0.25">
      <c r="A503" s="4" t="s">
        <v>157</v>
      </c>
      <c r="B503" s="4" t="s">
        <v>158</v>
      </c>
      <c r="C503" s="4">
        <v>2020</v>
      </c>
      <c r="D503" s="4">
        <v>1890</v>
      </c>
      <c r="E503" s="4">
        <v>2</v>
      </c>
      <c r="F503" s="4">
        <v>0</v>
      </c>
      <c r="G503" s="4">
        <v>1</v>
      </c>
      <c r="H503" s="4">
        <v>0</v>
      </c>
      <c r="I503" s="4">
        <v>1</v>
      </c>
      <c r="J503" s="4">
        <v>3</v>
      </c>
      <c r="K503" s="4">
        <v>0</v>
      </c>
      <c r="L503" s="4">
        <v>5</v>
      </c>
      <c r="M503" s="4">
        <v>7</v>
      </c>
      <c r="N503" s="4">
        <v>12</v>
      </c>
      <c r="O503" s="4">
        <v>72</v>
      </c>
      <c r="P503" s="4">
        <v>0</v>
      </c>
      <c r="Q503" s="4">
        <v>0</v>
      </c>
      <c r="R503" s="4">
        <v>7</v>
      </c>
      <c r="S503" s="4">
        <v>0</v>
      </c>
      <c r="T503" s="4">
        <v>0</v>
      </c>
      <c r="U503" s="4">
        <v>1</v>
      </c>
      <c r="V503" s="4">
        <v>2</v>
      </c>
      <c r="W503" s="4">
        <v>2</v>
      </c>
      <c r="X503" s="4">
        <v>3</v>
      </c>
      <c r="Y503" s="4">
        <v>0</v>
      </c>
      <c r="Z503" s="4">
        <v>0</v>
      </c>
      <c r="AA503" s="4">
        <v>6</v>
      </c>
      <c r="AB503" s="4">
        <v>0</v>
      </c>
      <c r="AC503" s="4">
        <v>0</v>
      </c>
      <c r="AD503" s="4">
        <v>1</v>
      </c>
      <c r="AE503" s="4">
        <v>1</v>
      </c>
      <c r="AF503" s="4">
        <v>0</v>
      </c>
      <c r="AG503" s="4">
        <v>102</v>
      </c>
      <c r="AH503" s="4">
        <v>4</v>
      </c>
      <c r="AI503" s="4">
        <v>13</v>
      </c>
      <c r="AJ503" s="4">
        <v>178</v>
      </c>
      <c r="AK503" s="4">
        <v>12</v>
      </c>
      <c r="AL503" s="4">
        <v>16</v>
      </c>
      <c r="AM503" s="4">
        <v>30</v>
      </c>
      <c r="AN503" s="4">
        <v>27</v>
      </c>
      <c r="AO503" s="4">
        <v>156</v>
      </c>
      <c r="AP503" s="4">
        <v>0</v>
      </c>
      <c r="AQ503" s="4">
        <v>12</v>
      </c>
      <c r="AR503" s="4">
        <v>0</v>
      </c>
      <c r="AS503" s="4">
        <v>5</v>
      </c>
      <c r="AT503" s="4">
        <v>5</v>
      </c>
      <c r="AU503" s="4">
        <v>10</v>
      </c>
      <c r="AV503" s="4">
        <v>44</v>
      </c>
      <c r="AW503" s="4">
        <v>29</v>
      </c>
      <c r="AX503" s="4">
        <v>64</v>
      </c>
      <c r="AY503" s="4">
        <v>1</v>
      </c>
      <c r="AZ503" s="4">
        <v>5</v>
      </c>
      <c r="BA503" s="4">
        <v>0</v>
      </c>
      <c r="BB503" s="4">
        <v>332</v>
      </c>
      <c r="BC503" s="4">
        <v>24</v>
      </c>
      <c r="BD503" s="4">
        <v>0</v>
      </c>
      <c r="BE503" s="4">
        <v>43</v>
      </c>
      <c r="BF503" s="4">
        <v>23</v>
      </c>
      <c r="BG503" s="4">
        <v>2</v>
      </c>
      <c r="BH503" s="4">
        <v>12</v>
      </c>
      <c r="BI503" s="4">
        <v>0</v>
      </c>
      <c r="BJ503" s="4">
        <v>82</v>
      </c>
      <c r="BK503" s="4">
        <v>61</v>
      </c>
      <c r="BL503" s="4">
        <v>0</v>
      </c>
      <c r="BM503" s="4">
        <v>1</v>
      </c>
      <c r="BN503" s="4">
        <v>6</v>
      </c>
      <c r="BO503" s="4">
        <v>0</v>
      </c>
      <c r="BP503" s="4">
        <v>4</v>
      </c>
      <c r="BQ503" s="4">
        <v>14</v>
      </c>
      <c r="BR503" s="4">
        <v>1</v>
      </c>
      <c r="BS503" s="4">
        <v>37</v>
      </c>
      <c r="BT503" s="4">
        <v>23</v>
      </c>
      <c r="BU503" s="4">
        <v>3</v>
      </c>
      <c r="BV503" s="4">
        <v>29</v>
      </c>
      <c r="BW503" s="4">
        <v>2</v>
      </c>
      <c r="BX503" s="4">
        <v>71</v>
      </c>
      <c r="BY503" s="4">
        <v>0</v>
      </c>
      <c r="BZ503" s="4">
        <v>0</v>
      </c>
      <c r="CA503" s="4">
        <v>65</v>
      </c>
      <c r="CB503" s="4">
        <v>89</v>
      </c>
      <c r="CC503" s="4">
        <v>0</v>
      </c>
      <c r="CD503" s="4">
        <v>1</v>
      </c>
      <c r="CE503" s="4">
        <v>0</v>
      </c>
      <c r="CF503" s="4">
        <v>0</v>
      </c>
      <c r="CG503" s="4">
        <v>1</v>
      </c>
      <c r="CH503" s="4">
        <v>0</v>
      </c>
      <c r="CI503" s="4">
        <v>0</v>
      </c>
      <c r="CJ503" s="4">
        <v>1</v>
      </c>
      <c r="CK503" s="4">
        <v>0</v>
      </c>
      <c r="CL503" s="4">
        <v>0</v>
      </c>
      <c r="CM503" s="4">
        <v>16</v>
      </c>
      <c r="CN503" s="4">
        <v>50</v>
      </c>
      <c r="CO503" s="4">
        <v>1</v>
      </c>
      <c r="CP503" s="4">
        <v>1</v>
      </c>
      <c r="CQ503" s="4">
        <v>0</v>
      </c>
      <c r="CR503" s="4">
        <v>3</v>
      </c>
      <c r="CS503" s="4">
        <v>0</v>
      </c>
      <c r="CT503" s="4">
        <v>6</v>
      </c>
      <c r="CU503" s="4">
        <v>0</v>
      </c>
      <c r="CV503" s="4">
        <v>22</v>
      </c>
      <c r="CW503" s="4">
        <v>25</v>
      </c>
      <c r="CX503" s="5">
        <v>25</v>
      </c>
    </row>
    <row r="504" spans="1:102" ht="15.75" x14ac:dyDescent="0.25">
      <c r="A504" s="4" t="s">
        <v>159</v>
      </c>
      <c r="B504" s="4" t="s">
        <v>160</v>
      </c>
      <c r="C504" s="4">
        <v>2020</v>
      </c>
      <c r="D504" s="4">
        <v>34</v>
      </c>
      <c r="E504" s="4">
        <v>0</v>
      </c>
      <c r="F504" s="4">
        <v>0</v>
      </c>
      <c r="G504" s="4">
        <v>0</v>
      </c>
      <c r="H504" s="4">
        <v>0</v>
      </c>
      <c r="I504" s="4">
        <v>3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1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2</v>
      </c>
      <c r="AK504" s="4">
        <v>1</v>
      </c>
      <c r="AL504" s="4">
        <v>0</v>
      </c>
      <c r="AM504" s="4">
        <v>0</v>
      </c>
      <c r="AN504" s="4">
        <v>0</v>
      </c>
      <c r="AO504" s="4">
        <v>1</v>
      </c>
      <c r="AP504" s="4">
        <v>0</v>
      </c>
      <c r="AQ504" s="4">
        <v>0</v>
      </c>
      <c r="AR504" s="4">
        <v>1</v>
      </c>
      <c r="AS504" s="4">
        <v>0</v>
      </c>
      <c r="AT504" s="4">
        <v>1</v>
      </c>
      <c r="AU504" s="4">
        <v>0</v>
      </c>
      <c r="AV504" s="4">
        <v>0</v>
      </c>
      <c r="AW504" s="4">
        <v>0</v>
      </c>
      <c r="AX504" s="4">
        <v>3</v>
      </c>
      <c r="AY504" s="4">
        <v>0</v>
      </c>
      <c r="AZ504" s="4">
        <v>1</v>
      </c>
      <c r="BA504" s="4">
        <v>0</v>
      </c>
      <c r="BB504" s="4">
        <v>0</v>
      </c>
      <c r="BC504" s="4">
        <v>0</v>
      </c>
      <c r="BD504" s="4">
        <v>0</v>
      </c>
      <c r="BE504" s="4">
        <v>6</v>
      </c>
      <c r="BF504" s="4">
        <v>1</v>
      </c>
      <c r="BG504" s="4">
        <v>0</v>
      </c>
      <c r="BH504" s="4">
        <v>0</v>
      </c>
      <c r="BI504" s="4">
        <v>0</v>
      </c>
      <c r="BJ504" s="4">
        <v>0</v>
      </c>
      <c r="BK504" s="4">
        <v>1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1</v>
      </c>
      <c r="BT504" s="4">
        <v>1</v>
      </c>
      <c r="BU504" s="4">
        <v>0</v>
      </c>
      <c r="BV504" s="4">
        <v>0</v>
      </c>
      <c r="BW504" s="4">
        <v>0</v>
      </c>
      <c r="BX504" s="4">
        <v>1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2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1</v>
      </c>
      <c r="CT504" s="4">
        <v>1</v>
      </c>
      <c r="CU504" s="4">
        <v>0</v>
      </c>
      <c r="CV504" s="4">
        <v>1</v>
      </c>
      <c r="CW504" s="4">
        <v>0</v>
      </c>
      <c r="CX504" s="5">
        <v>0</v>
      </c>
    </row>
    <row r="505" spans="1:102" ht="15.75" x14ac:dyDescent="0.25">
      <c r="A505" s="4" t="s">
        <v>161</v>
      </c>
      <c r="B505" s="4" t="s">
        <v>162</v>
      </c>
      <c r="C505" s="4">
        <v>2020</v>
      </c>
      <c r="D505" s="4">
        <v>1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1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5">
        <v>0</v>
      </c>
    </row>
    <row r="506" spans="1:102" ht="15.75" x14ac:dyDescent="0.25">
      <c r="A506" s="4" t="s">
        <v>163</v>
      </c>
      <c r="B506" s="4" t="s">
        <v>164</v>
      </c>
      <c r="C506" s="4">
        <v>2020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5">
        <v>0</v>
      </c>
    </row>
    <row r="507" spans="1:102" ht="15.75" x14ac:dyDescent="0.25">
      <c r="A507" s="4" t="s">
        <v>165</v>
      </c>
      <c r="B507" s="4" t="s">
        <v>166</v>
      </c>
      <c r="C507" s="4">
        <v>2020</v>
      </c>
      <c r="D507" s="4">
        <v>13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1</v>
      </c>
      <c r="AK507" s="4">
        <v>0</v>
      </c>
      <c r="AL507" s="4">
        <v>0</v>
      </c>
      <c r="AM507" s="4">
        <v>0</v>
      </c>
      <c r="AN507" s="4">
        <v>0</v>
      </c>
      <c r="AO507" s="4">
        <v>1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1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1</v>
      </c>
      <c r="BO507" s="4">
        <v>0</v>
      </c>
      <c r="BP507" s="4">
        <v>0</v>
      </c>
      <c r="BQ507" s="4">
        <v>1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2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1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>
        <v>1</v>
      </c>
      <c r="CW507" s="4">
        <v>0</v>
      </c>
      <c r="CX507" s="5">
        <v>0</v>
      </c>
    </row>
    <row r="508" spans="1:102" ht="15.75" x14ac:dyDescent="0.25">
      <c r="A508" s="4" t="s">
        <v>167</v>
      </c>
      <c r="B508" s="4" t="s">
        <v>168</v>
      </c>
      <c r="C508" s="4">
        <v>2020</v>
      </c>
      <c r="D508" s="4">
        <v>74</v>
      </c>
      <c r="E508" s="4">
        <v>4</v>
      </c>
      <c r="F508" s="4">
        <v>0</v>
      </c>
      <c r="G508" s="4">
        <v>0</v>
      </c>
      <c r="H508" s="4">
        <v>8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2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</v>
      </c>
      <c r="AH508" s="4">
        <v>0</v>
      </c>
      <c r="AI508" s="4">
        <v>1</v>
      </c>
      <c r="AJ508" s="4">
        <v>5</v>
      </c>
      <c r="AK508" s="4">
        <v>1</v>
      </c>
      <c r="AL508" s="4">
        <v>0</v>
      </c>
      <c r="AM508" s="4">
        <v>1</v>
      </c>
      <c r="AN508" s="4">
        <v>1</v>
      </c>
      <c r="AO508" s="4">
        <v>2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1</v>
      </c>
      <c r="AY508" s="4">
        <v>0</v>
      </c>
      <c r="AZ508" s="4">
        <v>0</v>
      </c>
      <c r="BA508" s="4">
        <v>0</v>
      </c>
      <c r="BB508" s="4">
        <v>2</v>
      </c>
      <c r="BC508" s="4">
        <v>19</v>
      </c>
      <c r="BD508" s="4">
        <v>0</v>
      </c>
      <c r="BE508" s="4">
        <v>1</v>
      </c>
      <c r="BF508" s="4">
        <v>4</v>
      </c>
      <c r="BG508" s="4">
        <v>0</v>
      </c>
      <c r="BH508" s="4">
        <v>0</v>
      </c>
      <c r="BI508" s="4">
        <v>0</v>
      </c>
      <c r="BJ508" s="4">
        <v>2</v>
      </c>
      <c r="BK508" s="4">
        <v>2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1</v>
      </c>
      <c r="BR508" s="4">
        <v>0</v>
      </c>
      <c r="BS508" s="4">
        <v>2</v>
      </c>
      <c r="BT508" s="4">
        <v>0</v>
      </c>
      <c r="BU508" s="4">
        <v>0</v>
      </c>
      <c r="BV508" s="4">
        <v>2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1</v>
      </c>
      <c r="CK508" s="4">
        <v>0</v>
      </c>
      <c r="CL508" s="4">
        <v>0</v>
      </c>
      <c r="CM508" s="4">
        <v>0</v>
      </c>
      <c r="CN508" s="4">
        <v>2</v>
      </c>
      <c r="CO508" s="4">
        <v>1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5">
        <v>0</v>
      </c>
    </row>
    <row r="509" spans="1:102" ht="15.75" x14ac:dyDescent="0.25">
      <c r="A509" s="4" t="s">
        <v>169</v>
      </c>
      <c r="B509" s="4" t="s">
        <v>170</v>
      </c>
      <c r="C509" s="4">
        <v>2020</v>
      </c>
      <c r="D509" s="4">
        <v>7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1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2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5">
        <v>0</v>
      </c>
    </row>
    <row r="510" spans="1:102" ht="15.75" x14ac:dyDescent="0.25">
      <c r="A510" s="4" t="s">
        <v>171</v>
      </c>
      <c r="B510" s="4" t="s">
        <v>172</v>
      </c>
      <c r="C510" s="4">
        <v>2020</v>
      </c>
      <c r="D510" s="4">
        <v>6221</v>
      </c>
      <c r="E510" s="4">
        <v>3</v>
      </c>
      <c r="F510" s="4">
        <v>32</v>
      </c>
      <c r="G510" s="4">
        <v>16</v>
      </c>
      <c r="H510" s="4">
        <v>19</v>
      </c>
      <c r="I510" s="4">
        <v>39</v>
      </c>
      <c r="J510" s="4">
        <v>6</v>
      </c>
      <c r="K510" s="4">
        <v>8</v>
      </c>
      <c r="L510" s="4">
        <v>55</v>
      </c>
      <c r="M510" s="4">
        <v>13</v>
      </c>
      <c r="N510" s="4">
        <v>30</v>
      </c>
      <c r="O510" s="4">
        <v>183</v>
      </c>
      <c r="P510" s="4">
        <v>0</v>
      </c>
      <c r="Q510" s="4">
        <v>1</v>
      </c>
      <c r="R510" s="4">
        <v>0</v>
      </c>
      <c r="S510" s="4">
        <v>0</v>
      </c>
      <c r="T510" s="4">
        <v>0</v>
      </c>
      <c r="U510" s="4">
        <v>1</v>
      </c>
      <c r="V510" s="4">
        <v>2</v>
      </c>
      <c r="W510" s="4">
        <v>89</v>
      </c>
      <c r="X510" s="4">
        <v>7</v>
      </c>
      <c r="Y510" s="4">
        <v>5</v>
      </c>
      <c r="Z510" s="4">
        <v>0</v>
      </c>
      <c r="AA510" s="4">
        <v>110</v>
      </c>
      <c r="AB510" s="4">
        <v>0</v>
      </c>
      <c r="AC510" s="4">
        <v>0</v>
      </c>
      <c r="AD510" s="4">
        <v>0</v>
      </c>
      <c r="AE510" s="4">
        <v>6</v>
      </c>
      <c r="AF510" s="4">
        <v>0</v>
      </c>
      <c r="AG510" s="4">
        <v>19</v>
      </c>
      <c r="AH510" s="4">
        <v>3</v>
      </c>
      <c r="AI510" s="4">
        <v>11</v>
      </c>
      <c r="AJ510" s="4">
        <v>564</v>
      </c>
      <c r="AK510" s="4">
        <v>56</v>
      </c>
      <c r="AL510" s="4">
        <v>4</v>
      </c>
      <c r="AM510" s="4">
        <v>22</v>
      </c>
      <c r="AN510" s="4">
        <v>21</v>
      </c>
      <c r="AO510" s="4">
        <v>116</v>
      </c>
      <c r="AP510" s="4">
        <v>1</v>
      </c>
      <c r="AQ510" s="4">
        <v>23</v>
      </c>
      <c r="AR510" s="4">
        <v>1</v>
      </c>
      <c r="AS510" s="4">
        <v>19</v>
      </c>
      <c r="AT510" s="4">
        <v>17</v>
      </c>
      <c r="AU510" s="4">
        <v>20</v>
      </c>
      <c r="AV510" s="4">
        <v>32</v>
      </c>
      <c r="AW510" s="4">
        <v>1459</v>
      </c>
      <c r="AX510" s="4">
        <v>92</v>
      </c>
      <c r="AY510" s="4">
        <v>3</v>
      </c>
      <c r="AZ510" s="4">
        <v>11</v>
      </c>
      <c r="BA510" s="4">
        <v>0</v>
      </c>
      <c r="BB510" s="4">
        <v>360</v>
      </c>
      <c r="BC510" s="4">
        <v>26</v>
      </c>
      <c r="BD510" s="4">
        <v>1</v>
      </c>
      <c r="BE510" s="4">
        <v>32</v>
      </c>
      <c r="BF510" s="4">
        <v>78</v>
      </c>
      <c r="BG510" s="4">
        <v>4</v>
      </c>
      <c r="BH510" s="4">
        <v>6</v>
      </c>
      <c r="BI510" s="4">
        <v>0</v>
      </c>
      <c r="BJ510" s="4">
        <v>125</v>
      </c>
      <c r="BK510" s="4">
        <v>107</v>
      </c>
      <c r="BL510" s="4">
        <v>0</v>
      </c>
      <c r="BM510" s="4">
        <v>7</v>
      </c>
      <c r="BN510" s="4">
        <v>60</v>
      </c>
      <c r="BO510" s="4">
        <v>0</v>
      </c>
      <c r="BP510" s="4">
        <v>15</v>
      </c>
      <c r="BQ510" s="4">
        <v>52</v>
      </c>
      <c r="BR510" s="4">
        <v>9</v>
      </c>
      <c r="BS510" s="4">
        <v>88</v>
      </c>
      <c r="BT510" s="4">
        <v>131</v>
      </c>
      <c r="BU510" s="4">
        <v>3</v>
      </c>
      <c r="BV510" s="4">
        <v>55</v>
      </c>
      <c r="BW510" s="4">
        <v>15</v>
      </c>
      <c r="BX510" s="4">
        <v>470</v>
      </c>
      <c r="BY510" s="4">
        <v>6</v>
      </c>
      <c r="BZ510" s="4">
        <v>0</v>
      </c>
      <c r="CA510" s="4">
        <v>492</v>
      </c>
      <c r="CB510" s="4">
        <v>3</v>
      </c>
      <c r="CC510" s="4">
        <v>0</v>
      </c>
      <c r="CD510" s="4">
        <v>8</v>
      </c>
      <c r="CE510" s="4">
        <v>0</v>
      </c>
      <c r="CF510" s="4">
        <v>3</v>
      </c>
      <c r="CG510" s="4">
        <v>17</v>
      </c>
      <c r="CH510" s="4">
        <v>2</v>
      </c>
      <c r="CI510" s="4">
        <v>6</v>
      </c>
      <c r="CJ510" s="4">
        <v>34</v>
      </c>
      <c r="CK510" s="4">
        <v>3</v>
      </c>
      <c r="CL510" s="4">
        <v>0</v>
      </c>
      <c r="CM510" s="4">
        <v>39</v>
      </c>
      <c r="CN510" s="4">
        <v>124</v>
      </c>
      <c r="CO510" s="4">
        <v>11</v>
      </c>
      <c r="CP510" s="4">
        <v>13</v>
      </c>
      <c r="CQ510" s="4">
        <v>0</v>
      </c>
      <c r="CR510" s="4">
        <v>19</v>
      </c>
      <c r="CS510" s="4">
        <v>4</v>
      </c>
      <c r="CT510" s="4">
        <v>14</v>
      </c>
      <c r="CU510" s="4">
        <v>4</v>
      </c>
      <c r="CV510" s="4">
        <v>65</v>
      </c>
      <c r="CW510" s="4">
        <v>589</v>
      </c>
      <c r="CX510" s="5">
        <v>589</v>
      </c>
    </row>
    <row r="511" spans="1:102" ht="15.75" x14ac:dyDescent="0.25">
      <c r="A511" s="4" t="s">
        <v>173</v>
      </c>
      <c r="B511" s="4" t="s">
        <v>174</v>
      </c>
      <c r="C511" s="4">
        <v>2020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5">
        <v>0</v>
      </c>
    </row>
    <row r="512" spans="1:102" ht="15.75" x14ac:dyDescent="0.25">
      <c r="A512" s="4" t="s">
        <v>175</v>
      </c>
      <c r="B512" s="4" t="s">
        <v>176</v>
      </c>
      <c r="C512" s="4">
        <v>2020</v>
      </c>
      <c r="D512" s="4">
        <v>28</v>
      </c>
      <c r="E512" s="4">
        <v>0</v>
      </c>
      <c r="F512" s="4">
        <v>1</v>
      </c>
      <c r="G512" s="4">
        <v>0</v>
      </c>
      <c r="H512" s="4">
        <v>0</v>
      </c>
      <c r="I512" s="4">
        <v>1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1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1</v>
      </c>
      <c r="AJ512" s="4">
        <v>0</v>
      </c>
      <c r="AK512" s="4">
        <v>0</v>
      </c>
      <c r="AL512" s="4">
        <v>0</v>
      </c>
      <c r="AM512" s="4">
        <v>4</v>
      </c>
      <c r="AN512" s="4">
        <v>0</v>
      </c>
      <c r="AO512" s="4">
        <v>3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4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1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1</v>
      </c>
      <c r="BX512" s="4">
        <v>6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1</v>
      </c>
      <c r="CX512" s="5">
        <v>1</v>
      </c>
    </row>
    <row r="513" spans="1:102" ht="15.75" x14ac:dyDescent="0.25">
      <c r="A513" s="4" t="s">
        <v>177</v>
      </c>
      <c r="B513" s="4" t="s">
        <v>178</v>
      </c>
      <c r="C513" s="4">
        <v>2020</v>
      </c>
      <c r="D513" s="4">
        <v>4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1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1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5">
        <v>0</v>
      </c>
    </row>
    <row r="514" spans="1:102" ht="15.75" x14ac:dyDescent="0.25">
      <c r="A514" s="4" t="s">
        <v>179</v>
      </c>
      <c r="B514" s="4" t="s">
        <v>180</v>
      </c>
      <c r="C514" s="4">
        <v>2020</v>
      </c>
      <c r="D514" s="4">
        <v>26</v>
      </c>
      <c r="E514" s="4">
        <v>0</v>
      </c>
      <c r="F514" s="4">
        <v>2</v>
      </c>
      <c r="G514" s="4">
        <v>3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1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1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3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1</v>
      </c>
      <c r="AY514" s="4">
        <v>0</v>
      </c>
      <c r="AZ514" s="4">
        <v>0</v>
      </c>
      <c r="BA514" s="4">
        <v>0</v>
      </c>
      <c r="BB514" s="4">
        <v>1</v>
      </c>
      <c r="BC514" s="4">
        <v>0</v>
      </c>
      <c r="BD514" s="4">
        <v>0</v>
      </c>
      <c r="BE514" s="4">
        <v>0</v>
      </c>
      <c r="BF514" s="4">
        <v>2</v>
      </c>
      <c r="BG514" s="4">
        <v>0</v>
      </c>
      <c r="BH514" s="4">
        <v>0</v>
      </c>
      <c r="BI514" s="4">
        <v>0</v>
      </c>
      <c r="BJ514" s="4">
        <v>2</v>
      </c>
      <c r="BK514" s="4">
        <v>1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1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1</v>
      </c>
      <c r="BX514" s="4">
        <v>2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1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5">
        <v>0</v>
      </c>
    </row>
    <row r="515" spans="1:102" ht="15.75" x14ac:dyDescent="0.25">
      <c r="A515" s="4" t="s">
        <v>181</v>
      </c>
      <c r="B515" s="4" t="s">
        <v>182</v>
      </c>
      <c r="C515" s="4">
        <v>2020</v>
      </c>
      <c r="D515" s="4">
        <v>12171</v>
      </c>
      <c r="E515" s="4">
        <v>1</v>
      </c>
      <c r="F515" s="4">
        <v>14</v>
      </c>
      <c r="G515" s="4">
        <v>6</v>
      </c>
      <c r="H515" s="4">
        <v>5</v>
      </c>
      <c r="I515" s="4">
        <v>14</v>
      </c>
      <c r="J515" s="4">
        <v>4</v>
      </c>
      <c r="K515" s="4">
        <v>4</v>
      </c>
      <c r="L515" s="4">
        <v>11</v>
      </c>
      <c r="M515" s="4">
        <v>6</v>
      </c>
      <c r="N515" s="4">
        <v>39</v>
      </c>
      <c r="O515" s="4">
        <v>152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3</v>
      </c>
      <c r="V515" s="4">
        <v>4</v>
      </c>
      <c r="W515" s="4">
        <v>37</v>
      </c>
      <c r="X515" s="4">
        <v>3</v>
      </c>
      <c r="Y515" s="4">
        <v>0</v>
      </c>
      <c r="Z515" s="4">
        <v>0</v>
      </c>
      <c r="AA515" s="4">
        <v>2</v>
      </c>
      <c r="AB515" s="4">
        <v>0</v>
      </c>
      <c r="AC515" s="4">
        <v>0</v>
      </c>
      <c r="AD515" s="4">
        <v>0</v>
      </c>
      <c r="AE515" s="4">
        <v>2</v>
      </c>
      <c r="AF515" s="4">
        <v>0</v>
      </c>
      <c r="AG515" s="4">
        <v>548</v>
      </c>
      <c r="AH515" s="4">
        <v>13</v>
      </c>
      <c r="AI515" s="4">
        <v>20</v>
      </c>
      <c r="AJ515" s="4">
        <v>375</v>
      </c>
      <c r="AK515" s="4">
        <v>141</v>
      </c>
      <c r="AL515" s="4">
        <v>0</v>
      </c>
      <c r="AM515" s="4">
        <v>25</v>
      </c>
      <c r="AN515" s="4">
        <v>29</v>
      </c>
      <c r="AO515" s="4">
        <v>82</v>
      </c>
      <c r="AP515" s="4">
        <v>1</v>
      </c>
      <c r="AQ515" s="4">
        <v>11</v>
      </c>
      <c r="AR515" s="4">
        <v>2</v>
      </c>
      <c r="AS515" s="4">
        <v>17</v>
      </c>
      <c r="AT515" s="4">
        <v>26</v>
      </c>
      <c r="AU515" s="4">
        <v>119</v>
      </c>
      <c r="AV515" s="4">
        <v>19</v>
      </c>
      <c r="AW515" s="4">
        <v>967</v>
      </c>
      <c r="AX515" s="4">
        <v>44</v>
      </c>
      <c r="AY515" s="4">
        <v>2</v>
      </c>
      <c r="AZ515" s="4">
        <v>12</v>
      </c>
      <c r="BA515" s="4">
        <v>0</v>
      </c>
      <c r="BB515" s="4">
        <v>160</v>
      </c>
      <c r="BC515" s="4">
        <v>7</v>
      </c>
      <c r="BD515" s="4">
        <v>0</v>
      </c>
      <c r="BE515" s="4">
        <v>13</v>
      </c>
      <c r="BF515" s="4">
        <v>45</v>
      </c>
      <c r="BG515" s="4">
        <v>3</v>
      </c>
      <c r="BH515" s="4">
        <v>3</v>
      </c>
      <c r="BI515" s="4">
        <v>5</v>
      </c>
      <c r="BJ515" s="4">
        <v>51</v>
      </c>
      <c r="BK515" s="4">
        <v>135</v>
      </c>
      <c r="BL515" s="4">
        <v>0</v>
      </c>
      <c r="BM515" s="4">
        <v>17</v>
      </c>
      <c r="BN515" s="4">
        <v>56</v>
      </c>
      <c r="BO515" s="4">
        <v>1</v>
      </c>
      <c r="BP515" s="4">
        <v>10</v>
      </c>
      <c r="BQ515" s="4">
        <v>101</v>
      </c>
      <c r="BR515" s="4">
        <v>4</v>
      </c>
      <c r="BS515" s="4">
        <v>91</v>
      </c>
      <c r="BT515" s="4">
        <v>53</v>
      </c>
      <c r="BU515" s="4">
        <v>6</v>
      </c>
      <c r="BV515" s="4">
        <v>39</v>
      </c>
      <c r="BW515" s="4">
        <v>9</v>
      </c>
      <c r="BX515" s="4">
        <v>357</v>
      </c>
      <c r="BY515" s="4">
        <v>1</v>
      </c>
      <c r="BZ515" s="4">
        <v>0</v>
      </c>
      <c r="CA515" s="4">
        <v>73</v>
      </c>
      <c r="CB515" s="4">
        <v>16</v>
      </c>
      <c r="CC515" s="4">
        <v>1</v>
      </c>
      <c r="CD515" s="4">
        <v>8</v>
      </c>
      <c r="CE515" s="4">
        <v>0</v>
      </c>
      <c r="CF515" s="4">
        <v>12</v>
      </c>
      <c r="CG515" s="4">
        <v>4</v>
      </c>
      <c r="CH515" s="4">
        <v>6</v>
      </c>
      <c r="CI515" s="4">
        <v>12</v>
      </c>
      <c r="CJ515" s="4">
        <v>54</v>
      </c>
      <c r="CK515" s="4">
        <v>7</v>
      </c>
      <c r="CL515" s="4">
        <v>0</v>
      </c>
      <c r="CM515" s="4">
        <v>17</v>
      </c>
      <c r="CN515" s="4">
        <v>118</v>
      </c>
      <c r="CO515" s="4">
        <v>147</v>
      </c>
      <c r="CP515" s="4">
        <v>16</v>
      </c>
      <c r="CQ515" s="4">
        <v>0</v>
      </c>
      <c r="CR515" s="4">
        <v>454</v>
      </c>
      <c r="CS515" s="4">
        <v>680</v>
      </c>
      <c r="CT515" s="4">
        <v>34</v>
      </c>
      <c r="CU515" s="4">
        <v>2</v>
      </c>
      <c r="CV515" s="4">
        <v>118</v>
      </c>
      <c r="CW515" s="4">
        <v>6458</v>
      </c>
      <c r="CX515" s="5">
        <v>6466</v>
      </c>
    </row>
    <row r="516" spans="1:102" ht="15.75" x14ac:dyDescent="0.25">
      <c r="A516" s="4" t="s">
        <v>183</v>
      </c>
      <c r="B516" s="4" t="s">
        <v>184</v>
      </c>
      <c r="C516" s="4">
        <v>2020</v>
      </c>
      <c r="D516" s="4">
        <v>110</v>
      </c>
      <c r="E516" s="4">
        <v>0</v>
      </c>
      <c r="F516" s="4">
        <v>3</v>
      </c>
      <c r="G516" s="4">
        <v>9</v>
      </c>
      <c r="H516" s="4">
        <v>0</v>
      </c>
      <c r="I516" s="4">
        <v>1</v>
      </c>
      <c r="J516" s="4">
        <v>0</v>
      </c>
      <c r="K516" s="4">
        <v>0</v>
      </c>
      <c r="L516" s="4">
        <v>0</v>
      </c>
      <c r="M516" s="4">
        <v>0</v>
      </c>
      <c r="N516" s="4">
        <v>2</v>
      </c>
      <c r="O516" s="4">
        <v>3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6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</v>
      </c>
      <c r="AH516" s="4">
        <v>0</v>
      </c>
      <c r="AI516" s="4">
        <v>1</v>
      </c>
      <c r="AJ516" s="4">
        <v>0</v>
      </c>
      <c r="AK516" s="4">
        <v>2</v>
      </c>
      <c r="AL516" s="4">
        <v>0</v>
      </c>
      <c r="AM516" s="4">
        <v>1</v>
      </c>
      <c r="AN516" s="4">
        <v>0</v>
      </c>
      <c r="AO516" s="4">
        <v>3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1</v>
      </c>
      <c r="AV516" s="4">
        <v>2</v>
      </c>
      <c r="AW516" s="4">
        <v>0</v>
      </c>
      <c r="AX516" s="4">
        <v>3</v>
      </c>
      <c r="AY516" s="4">
        <v>0</v>
      </c>
      <c r="AZ516" s="4">
        <v>25</v>
      </c>
      <c r="BA516" s="4">
        <v>0</v>
      </c>
      <c r="BB516" s="4">
        <v>1</v>
      </c>
      <c r="BC516" s="4">
        <v>0</v>
      </c>
      <c r="BD516" s="4">
        <v>0</v>
      </c>
      <c r="BE516" s="4">
        <v>2</v>
      </c>
      <c r="BF516" s="4">
        <v>3</v>
      </c>
      <c r="BG516" s="4">
        <v>0</v>
      </c>
      <c r="BH516" s="4">
        <v>0</v>
      </c>
      <c r="BI516" s="4">
        <v>0</v>
      </c>
      <c r="BJ516" s="4">
        <v>3</v>
      </c>
      <c r="BK516" s="4">
        <v>3</v>
      </c>
      <c r="BL516" s="4">
        <v>0</v>
      </c>
      <c r="BM516" s="4">
        <v>0</v>
      </c>
      <c r="BN516" s="4">
        <v>1</v>
      </c>
      <c r="BO516" s="4">
        <v>0</v>
      </c>
      <c r="BP516" s="4">
        <v>0</v>
      </c>
      <c r="BQ516" s="4">
        <v>4</v>
      </c>
      <c r="BR516" s="4">
        <v>0</v>
      </c>
      <c r="BS516" s="4">
        <v>1</v>
      </c>
      <c r="BT516" s="4">
        <v>1</v>
      </c>
      <c r="BU516" s="4">
        <v>0</v>
      </c>
      <c r="BV516" s="4">
        <v>2</v>
      </c>
      <c r="BW516" s="4">
        <v>5</v>
      </c>
      <c r="BX516" s="4">
        <v>6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1</v>
      </c>
      <c r="CE516" s="4">
        <v>0</v>
      </c>
      <c r="CF516" s="4">
        <v>1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1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1</v>
      </c>
      <c r="CU516" s="4">
        <v>0</v>
      </c>
      <c r="CV516" s="4">
        <v>2</v>
      </c>
      <c r="CW516" s="4">
        <v>1</v>
      </c>
      <c r="CX516" s="5">
        <v>1</v>
      </c>
    </row>
    <row r="517" spans="1:102" ht="15.75" x14ac:dyDescent="0.25">
      <c r="A517" s="4" t="s">
        <v>185</v>
      </c>
      <c r="B517" s="4" t="s">
        <v>186</v>
      </c>
      <c r="C517" s="4">
        <v>2020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5">
        <v>0</v>
      </c>
    </row>
    <row r="518" spans="1:102" ht="15.75" x14ac:dyDescent="0.25">
      <c r="A518" s="4" t="s">
        <v>187</v>
      </c>
      <c r="B518" s="4" t="s">
        <v>188</v>
      </c>
      <c r="C518" s="4">
        <v>2020</v>
      </c>
      <c r="D518" s="4">
        <v>408</v>
      </c>
      <c r="E518" s="4">
        <v>0</v>
      </c>
      <c r="F518" s="4">
        <v>0</v>
      </c>
      <c r="G518" s="4">
        <v>0</v>
      </c>
      <c r="H518" s="4">
        <v>0</v>
      </c>
      <c r="I518" s="4">
        <v>1</v>
      </c>
      <c r="J518" s="4">
        <v>1</v>
      </c>
      <c r="K518" s="4">
        <v>0</v>
      </c>
      <c r="L518" s="4">
        <v>8</v>
      </c>
      <c r="M518" s="4">
        <v>6</v>
      </c>
      <c r="N518" s="4">
        <v>3</v>
      </c>
      <c r="O518" s="4">
        <v>24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1</v>
      </c>
      <c r="W518" s="4">
        <v>0</v>
      </c>
      <c r="X518" s="4">
        <v>5</v>
      </c>
      <c r="Y518" s="4">
        <v>0</v>
      </c>
      <c r="Z518" s="4">
        <v>0</v>
      </c>
      <c r="AA518" s="4">
        <v>1</v>
      </c>
      <c r="AB518" s="4">
        <v>0</v>
      </c>
      <c r="AC518" s="4">
        <v>0</v>
      </c>
      <c r="AD518" s="4">
        <v>1</v>
      </c>
      <c r="AE518" s="4">
        <v>0</v>
      </c>
      <c r="AF518" s="4">
        <v>0</v>
      </c>
      <c r="AG518" s="4">
        <v>4</v>
      </c>
      <c r="AH518" s="4">
        <v>3</v>
      </c>
      <c r="AI518" s="4">
        <v>4</v>
      </c>
      <c r="AJ518" s="4">
        <v>42</v>
      </c>
      <c r="AK518" s="4">
        <v>20</v>
      </c>
      <c r="AL518" s="4">
        <v>2</v>
      </c>
      <c r="AM518" s="4">
        <v>9</v>
      </c>
      <c r="AN518" s="4">
        <v>5</v>
      </c>
      <c r="AO518" s="4">
        <v>19</v>
      </c>
      <c r="AP518" s="4">
        <v>0</v>
      </c>
      <c r="AQ518" s="4">
        <v>2</v>
      </c>
      <c r="AR518" s="4">
        <v>0</v>
      </c>
      <c r="AS518" s="4">
        <v>2</v>
      </c>
      <c r="AT518" s="4">
        <v>3</v>
      </c>
      <c r="AU518" s="4">
        <v>3</v>
      </c>
      <c r="AV518" s="4">
        <v>1</v>
      </c>
      <c r="AW518" s="4">
        <v>4</v>
      </c>
      <c r="AX518" s="4">
        <v>6</v>
      </c>
      <c r="AY518" s="4">
        <v>0</v>
      </c>
      <c r="AZ518" s="4">
        <v>7</v>
      </c>
      <c r="BA518" s="4">
        <v>0</v>
      </c>
      <c r="BB518" s="4">
        <v>57</v>
      </c>
      <c r="BC518" s="4">
        <v>9</v>
      </c>
      <c r="BD518" s="4">
        <v>0</v>
      </c>
      <c r="BE518" s="4">
        <v>5</v>
      </c>
      <c r="BF518" s="4">
        <v>23</v>
      </c>
      <c r="BG518" s="4">
        <v>0</v>
      </c>
      <c r="BH518" s="4">
        <v>0</v>
      </c>
      <c r="BI518" s="4">
        <v>0</v>
      </c>
      <c r="BJ518" s="4">
        <v>10</v>
      </c>
      <c r="BK518" s="4">
        <v>20</v>
      </c>
      <c r="BL518" s="4">
        <v>0</v>
      </c>
      <c r="BM518" s="4">
        <v>1</v>
      </c>
      <c r="BN518" s="4">
        <v>4</v>
      </c>
      <c r="BO518" s="4">
        <v>0</v>
      </c>
      <c r="BP518" s="4">
        <v>1</v>
      </c>
      <c r="BQ518" s="4">
        <v>4</v>
      </c>
      <c r="BR518" s="4">
        <v>1</v>
      </c>
      <c r="BS518" s="4">
        <v>13</v>
      </c>
      <c r="BT518" s="4">
        <v>5</v>
      </c>
      <c r="BU518" s="4">
        <v>1</v>
      </c>
      <c r="BV518" s="4">
        <v>4</v>
      </c>
      <c r="BW518" s="4">
        <v>1</v>
      </c>
      <c r="BX518" s="4">
        <v>22</v>
      </c>
      <c r="BY518" s="4">
        <v>0</v>
      </c>
      <c r="BZ518" s="4">
        <v>0</v>
      </c>
      <c r="CA518" s="4">
        <v>1</v>
      </c>
      <c r="CB518" s="4">
        <v>0</v>
      </c>
      <c r="CC518" s="4">
        <v>0</v>
      </c>
      <c r="CD518" s="4">
        <v>0</v>
      </c>
      <c r="CE518" s="4">
        <v>0</v>
      </c>
      <c r="CF518" s="4">
        <v>1</v>
      </c>
      <c r="CG518" s="4">
        <v>1</v>
      </c>
      <c r="CH518" s="4">
        <v>0</v>
      </c>
      <c r="CI518" s="4">
        <v>0</v>
      </c>
      <c r="CJ518" s="4">
        <v>3</v>
      </c>
      <c r="CK518" s="4">
        <v>0</v>
      </c>
      <c r="CL518" s="4">
        <v>0</v>
      </c>
      <c r="CM518" s="4">
        <v>2</v>
      </c>
      <c r="CN518" s="4">
        <v>21</v>
      </c>
      <c r="CO518" s="4">
        <v>0</v>
      </c>
      <c r="CP518" s="4">
        <v>0</v>
      </c>
      <c r="CQ518" s="4">
        <v>0</v>
      </c>
      <c r="CR518" s="4">
        <v>1</v>
      </c>
      <c r="CS518" s="4">
        <v>0</v>
      </c>
      <c r="CT518" s="4">
        <v>2</v>
      </c>
      <c r="CU518" s="4">
        <v>1</v>
      </c>
      <c r="CV518" s="4">
        <v>7</v>
      </c>
      <c r="CW518" s="4">
        <v>2</v>
      </c>
      <c r="CX518" s="5">
        <v>2</v>
      </c>
    </row>
    <row r="519" spans="1:102" ht="15.75" x14ac:dyDescent="0.25">
      <c r="A519" s="4" t="s">
        <v>189</v>
      </c>
      <c r="B519" s="4" t="s">
        <v>190</v>
      </c>
      <c r="C519" s="4">
        <v>2020</v>
      </c>
      <c r="D519" s="4">
        <v>48</v>
      </c>
      <c r="E519" s="4">
        <v>0</v>
      </c>
      <c r="F519" s="4">
        <v>0</v>
      </c>
      <c r="G519" s="4">
        <v>2</v>
      </c>
      <c r="H519" s="4">
        <v>0</v>
      </c>
      <c r="I519" s="4">
        <v>1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4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1</v>
      </c>
      <c r="V519" s="4">
        <v>0</v>
      </c>
      <c r="W519" s="4">
        <v>0</v>
      </c>
      <c r="X519" s="4">
        <v>1</v>
      </c>
      <c r="Y519" s="4">
        <v>0</v>
      </c>
      <c r="Z519" s="4">
        <v>0</v>
      </c>
      <c r="AA519" s="4">
        <v>3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2</v>
      </c>
      <c r="AJ519" s="4">
        <v>0</v>
      </c>
      <c r="AK519" s="4">
        <v>1</v>
      </c>
      <c r="AL519" s="4">
        <v>0</v>
      </c>
      <c r="AM519" s="4">
        <v>0</v>
      </c>
      <c r="AN519" s="4">
        <v>0</v>
      </c>
      <c r="AO519" s="4">
        <v>1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2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1</v>
      </c>
      <c r="BF519" s="4">
        <v>2</v>
      </c>
      <c r="BG519" s="4">
        <v>0</v>
      </c>
      <c r="BH519" s="4">
        <v>0</v>
      </c>
      <c r="BI519" s="4">
        <v>0</v>
      </c>
      <c r="BJ519" s="4">
        <v>2</v>
      </c>
      <c r="BK519" s="4">
        <v>1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5</v>
      </c>
      <c r="BR519" s="4">
        <v>0</v>
      </c>
      <c r="BS519" s="4">
        <v>1</v>
      </c>
      <c r="BT519" s="4">
        <v>1</v>
      </c>
      <c r="BU519" s="4">
        <v>0</v>
      </c>
      <c r="BV519" s="4">
        <v>0</v>
      </c>
      <c r="BW519" s="4">
        <v>0</v>
      </c>
      <c r="BX519" s="4">
        <v>4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1</v>
      </c>
      <c r="CG519" s="4">
        <v>0</v>
      </c>
      <c r="CH519" s="4">
        <v>1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1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3</v>
      </c>
      <c r="CU519" s="4">
        <v>0</v>
      </c>
      <c r="CV519" s="4">
        <v>1</v>
      </c>
      <c r="CW519" s="4">
        <v>0</v>
      </c>
      <c r="CX519" s="5">
        <v>0</v>
      </c>
    </row>
    <row r="520" spans="1:102" ht="15.75" x14ac:dyDescent="0.25">
      <c r="A520" s="4" t="s">
        <v>191</v>
      </c>
      <c r="B520" s="4" t="s">
        <v>192</v>
      </c>
      <c r="C520" s="4">
        <v>2020</v>
      </c>
      <c r="D520" s="4">
        <v>17986</v>
      </c>
      <c r="E520" s="4">
        <v>2</v>
      </c>
      <c r="F520" s="4">
        <v>306</v>
      </c>
      <c r="G520" s="4">
        <v>59</v>
      </c>
      <c r="H520" s="4">
        <v>49</v>
      </c>
      <c r="I520" s="4">
        <v>8</v>
      </c>
      <c r="J520" s="4">
        <v>5</v>
      </c>
      <c r="K520" s="4">
        <v>2</v>
      </c>
      <c r="L520" s="4">
        <v>18</v>
      </c>
      <c r="M520" s="4">
        <v>2</v>
      </c>
      <c r="N520" s="4">
        <v>132</v>
      </c>
      <c r="O520" s="4">
        <v>169</v>
      </c>
      <c r="P520" s="4">
        <v>29</v>
      </c>
      <c r="Q520" s="4">
        <v>0</v>
      </c>
      <c r="R520" s="4">
        <v>6</v>
      </c>
      <c r="S520" s="4">
        <v>1</v>
      </c>
      <c r="T520" s="4">
        <v>19</v>
      </c>
      <c r="U520" s="4">
        <v>56</v>
      </c>
      <c r="V520" s="4">
        <v>15</v>
      </c>
      <c r="W520" s="4">
        <v>274</v>
      </c>
      <c r="X520" s="4">
        <v>7</v>
      </c>
      <c r="Y520" s="4">
        <v>0</v>
      </c>
      <c r="Z520" s="4">
        <v>3337</v>
      </c>
      <c r="AA520" s="4">
        <v>79</v>
      </c>
      <c r="AB520" s="4">
        <v>1</v>
      </c>
      <c r="AC520" s="4">
        <v>0</v>
      </c>
      <c r="AD520" s="4">
        <v>0</v>
      </c>
      <c r="AE520" s="4">
        <v>9</v>
      </c>
      <c r="AF520" s="4">
        <v>0</v>
      </c>
      <c r="AG520" s="4">
        <v>80</v>
      </c>
      <c r="AH520" s="4">
        <v>25</v>
      </c>
      <c r="AI520" s="4">
        <v>74</v>
      </c>
      <c r="AJ520" s="4">
        <v>1572</v>
      </c>
      <c r="AK520" s="4">
        <v>133</v>
      </c>
      <c r="AL520" s="4">
        <v>15</v>
      </c>
      <c r="AM520" s="4">
        <v>119</v>
      </c>
      <c r="AN520" s="4">
        <v>114</v>
      </c>
      <c r="AO520" s="4">
        <v>348</v>
      </c>
      <c r="AP520" s="4">
        <v>2</v>
      </c>
      <c r="AQ520" s="4">
        <v>64</v>
      </c>
      <c r="AR520" s="4">
        <v>2</v>
      </c>
      <c r="AS520" s="4">
        <v>38</v>
      </c>
      <c r="AT520" s="4">
        <v>76</v>
      </c>
      <c r="AU520" s="4">
        <v>71</v>
      </c>
      <c r="AV520" s="4">
        <v>74</v>
      </c>
      <c r="AW520" s="4">
        <v>1216</v>
      </c>
      <c r="AX520" s="4">
        <v>167</v>
      </c>
      <c r="AY520" s="4">
        <v>8</v>
      </c>
      <c r="AZ520" s="4">
        <v>32</v>
      </c>
      <c r="BA520" s="4">
        <v>0</v>
      </c>
      <c r="BB520" s="4">
        <v>459</v>
      </c>
      <c r="BC520" s="4">
        <v>258</v>
      </c>
      <c r="BD520" s="4">
        <v>0</v>
      </c>
      <c r="BE520" s="4">
        <v>57</v>
      </c>
      <c r="BF520" s="4">
        <v>300</v>
      </c>
      <c r="BG520" s="4">
        <v>27</v>
      </c>
      <c r="BH520" s="4">
        <v>37</v>
      </c>
      <c r="BI520" s="4">
        <v>0</v>
      </c>
      <c r="BJ520" s="4">
        <v>352</v>
      </c>
      <c r="BK520" s="4">
        <v>265</v>
      </c>
      <c r="BL520" s="4">
        <v>0</v>
      </c>
      <c r="BM520" s="4">
        <v>16</v>
      </c>
      <c r="BN520" s="4">
        <v>70</v>
      </c>
      <c r="BO520" s="4">
        <v>1</v>
      </c>
      <c r="BP520" s="4">
        <v>23</v>
      </c>
      <c r="BQ520" s="4">
        <v>118</v>
      </c>
      <c r="BR520" s="4">
        <v>19</v>
      </c>
      <c r="BS520" s="4">
        <v>532</v>
      </c>
      <c r="BT520" s="4">
        <v>248</v>
      </c>
      <c r="BU520" s="4">
        <v>5</v>
      </c>
      <c r="BV520" s="4">
        <v>196</v>
      </c>
      <c r="BW520" s="4">
        <v>29</v>
      </c>
      <c r="BX520" s="4">
        <v>3531</v>
      </c>
      <c r="BY520" s="4">
        <v>8</v>
      </c>
      <c r="BZ520" s="4">
        <v>0</v>
      </c>
      <c r="CA520" s="4">
        <v>171</v>
      </c>
      <c r="CB520" s="4">
        <v>422</v>
      </c>
      <c r="CC520" s="4">
        <v>0</v>
      </c>
      <c r="CD520" s="4">
        <v>5</v>
      </c>
      <c r="CE520" s="4">
        <v>0</v>
      </c>
      <c r="CF520" s="4">
        <v>9</v>
      </c>
      <c r="CG520" s="4">
        <v>51</v>
      </c>
      <c r="CH520" s="4">
        <v>3</v>
      </c>
      <c r="CI520" s="4">
        <v>11</v>
      </c>
      <c r="CJ520" s="4">
        <v>55</v>
      </c>
      <c r="CK520" s="4">
        <v>50</v>
      </c>
      <c r="CL520" s="4">
        <v>0</v>
      </c>
      <c r="CM520" s="4">
        <v>69</v>
      </c>
      <c r="CN520" s="4">
        <v>647</v>
      </c>
      <c r="CO520" s="4">
        <v>19</v>
      </c>
      <c r="CP520" s="4">
        <v>13</v>
      </c>
      <c r="CQ520" s="4">
        <v>0</v>
      </c>
      <c r="CR520" s="4">
        <v>19</v>
      </c>
      <c r="CS520" s="4">
        <v>13</v>
      </c>
      <c r="CT520" s="4">
        <v>28</v>
      </c>
      <c r="CU520" s="4">
        <v>11</v>
      </c>
      <c r="CV520" s="4">
        <v>138</v>
      </c>
      <c r="CW520" s="4">
        <v>882</v>
      </c>
      <c r="CX520" s="5">
        <v>875</v>
      </c>
    </row>
    <row r="521" spans="1:102" ht="15.75" x14ac:dyDescent="0.25">
      <c r="A521" s="4" t="s">
        <v>193</v>
      </c>
      <c r="B521" s="4" t="s">
        <v>194</v>
      </c>
      <c r="C521" s="4">
        <v>2020</v>
      </c>
      <c r="D521" s="4">
        <v>455</v>
      </c>
      <c r="E521" s="4">
        <v>0</v>
      </c>
      <c r="F521" s="4">
        <v>0</v>
      </c>
      <c r="G521" s="4">
        <v>0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 s="4">
        <v>1</v>
      </c>
      <c r="N521" s="4">
        <v>2</v>
      </c>
      <c r="O521" s="4">
        <v>49</v>
      </c>
      <c r="P521" s="4">
        <v>0</v>
      </c>
      <c r="Q521" s="4">
        <v>0</v>
      </c>
      <c r="R521" s="4">
        <v>1</v>
      </c>
      <c r="S521" s="4">
        <v>0</v>
      </c>
      <c r="T521" s="4">
        <v>0</v>
      </c>
      <c r="U521" s="4">
        <v>0</v>
      </c>
      <c r="V521" s="4">
        <v>1</v>
      </c>
      <c r="W521" s="4">
        <v>0</v>
      </c>
      <c r="X521" s="4">
        <v>0</v>
      </c>
      <c r="Y521" s="4">
        <v>1</v>
      </c>
      <c r="Z521" s="4">
        <v>0</v>
      </c>
      <c r="AA521" s="4">
        <v>116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6</v>
      </c>
      <c r="AH521" s="4">
        <v>0</v>
      </c>
      <c r="AI521" s="4">
        <v>3</v>
      </c>
      <c r="AJ521" s="4">
        <v>45</v>
      </c>
      <c r="AK521" s="4">
        <v>9</v>
      </c>
      <c r="AL521" s="4">
        <v>2</v>
      </c>
      <c r="AM521" s="4">
        <v>3</v>
      </c>
      <c r="AN521" s="4">
        <v>1</v>
      </c>
      <c r="AO521" s="4">
        <v>29</v>
      </c>
      <c r="AP521" s="4">
        <v>0</v>
      </c>
      <c r="AQ521" s="4">
        <v>1</v>
      </c>
      <c r="AR521" s="4">
        <v>0</v>
      </c>
      <c r="AS521" s="4">
        <v>1</v>
      </c>
      <c r="AT521" s="4">
        <v>2</v>
      </c>
      <c r="AU521" s="4">
        <v>1</v>
      </c>
      <c r="AV521" s="4">
        <v>7</v>
      </c>
      <c r="AW521" s="4">
        <v>1</v>
      </c>
      <c r="AX521" s="4">
        <v>3</v>
      </c>
      <c r="AY521" s="4">
        <v>0</v>
      </c>
      <c r="AZ521" s="4">
        <v>3</v>
      </c>
      <c r="BA521" s="4">
        <v>0</v>
      </c>
      <c r="BB521" s="4">
        <v>67</v>
      </c>
      <c r="BC521" s="4">
        <v>3</v>
      </c>
      <c r="BD521" s="4">
        <v>0</v>
      </c>
      <c r="BE521" s="4">
        <v>3</v>
      </c>
      <c r="BF521" s="4">
        <v>6</v>
      </c>
      <c r="BG521" s="4">
        <v>0</v>
      </c>
      <c r="BH521" s="4">
        <v>0</v>
      </c>
      <c r="BI521" s="4">
        <v>0</v>
      </c>
      <c r="BJ521" s="4">
        <v>6</v>
      </c>
      <c r="BK521" s="4">
        <v>9</v>
      </c>
      <c r="BL521" s="4">
        <v>0</v>
      </c>
      <c r="BM521" s="4">
        <v>0</v>
      </c>
      <c r="BN521" s="4">
        <v>2</v>
      </c>
      <c r="BO521" s="4">
        <v>0</v>
      </c>
      <c r="BP521" s="4">
        <v>0</v>
      </c>
      <c r="BQ521" s="4">
        <v>1</v>
      </c>
      <c r="BR521" s="4">
        <v>0</v>
      </c>
      <c r="BS521" s="4">
        <v>4</v>
      </c>
      <c r="BT521" s="4">
        <v>6</v>
      </c>
      <c r="BU521" s="4">
        <v>0</v>
      </c>
      <c r="BV521" s="4">
        <v>2</v>
      </c>
      <c r="BW521" s="4">
        <v>3</v>
      </c>
      <c r="BX521" s="4">
        <v>20</v>
      </c>
      <c r="BY521" s="4">
        <v>0</v>
      </c>
      <c r="BZ521" s="4">
        <v>0</v>
      </c>
      <c r="CA521" s="4">
        <v>5</v>
      </c>
      <c r="CB521" s="4">
        <v>3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1</v>
      </c>
      <c r="CK521" s="4">
        <v>0</v>
      </c>
      <c r="CL521" s="4">
        <v>0</v>
      </c>
      <c r="CM521" s="4">
        <v>2</v>
      </c>
      <c r="CN521" s="4">
        <v>9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5</v>
      </c>
      <c r="CU521" s="4">
        <v>0</v>
      </c>
      <c r="CV521" s="4">
        <v>5</v>
      </c>
      <c r="CW521" s="4">
        <v>1</v>
      </c>
      <c r="CX521" s="5">
        <v>1</v>
      </c>
    </row>
    <row r="522" spans="1:102" ht="15.75" x14ac:dyDescent="0.25">
      <c r="A522" s="4" t="s">
        <v>195</v>
      </c>
      <c r="B522" s="4" t="s">
        <v>196</v>
      </c>
      <c r="C522" s="4">
        <v>2020</v>
      </c>
      <c r="D522" s="4">
        <v>51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1</v>
      </c>
      <c r="L522" s="4">
        <v>1</v>
      </c>
      <c r="M522" s="4">
        <v>0</v>
      </c>
      <c r="N522" s="4">
        <v>0</v>
      </c>
      <c r="O522" s="4">
        <v>2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1</v>
      </c>
      <c r="AH522" s="4">
        <v>0</v>
      </c>
      <c r="AI522" s="4">
        <v>0</v>
      </c>
      <c r="AJ522" s="4">
        <v>3</v>
      </c>
      <c r="AK522" s="4">
        <v>1</v>
      </c>
      <c r="AL522" s="4">
        <v>2</v>
      </c>
      <c r="AM522" s="4">
        <v>1</v>
      </c>
      <c r="AN522" s="4">
        <v>2</v>
      </c>
      <c r="AO522" s="4">
        <v>4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1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1</v>
      </c>
      <c r="BF522" s="4">
        <v>3</v>
      </c>
      <c r="BG522" s="4">
        <v>0</v>
      </c>
      <c r="BH522" s="4">
        <v>0</v>
      </c>
      <c r="BI522" s="4">
        <v>0</v>
      </c>
      <c r="BJ522" s="4">
        <v>0</v>
      </c>
      <c r="BK522" s="4">
        <v>3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1</v>
      </c>
      <c r="BR522" s="4">
        <v>0</v>
      </c>
      <c r="BS522" s="4">
        <v>1</v>
      </c>
      <c r="BT522" s="4">
        <v>1</v>
      </c>
      <c r="BU522" s="4">
        <v>0</v>
      </c>
      <c r="BV522" s="4">
        <v>1</v>
      </c>
      <c r="BW522" s="4">
        <v>0</v>
      </c>
      <c r="BX522" s="4">
        <v>15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2</v>
      </c>
      <c r="CO522" s="4">
        <v>0</v>
      </c>
      <c r="CP522" s="4">
        <v>1</v>
      </c>
      <c r="CQ522" s="4">
        <v>0</v>
      </c>
      <c r="CR522" s="4">
        <v>0</v>
      </c>
      <c r="CS522" s="4">
        <v>0</v>
      </c>
      <c r="CT522" s="4">
        <v>1</v>
      </c>
      <c r="CU522" s="4">
        <v>0</v>
      </c>
      <c r="CV522" s="4">
        <v>1</v>
      </c>
      <c r="CW522" s="4">
        <v>1</v>
      </c>
      <c r="CX522" s="5">
        <v>1</v>
      </c>
    </row>
    <row r="523" spans="1:102" ht="15.75" x14ac:dyDescent="0.25">
      <c r="A523" s="4" t="s">
        <v>197</v>
      </c>
      <c r="B523" s="4" t="s">
        <v>198</v>
      </c>
      <c r="C523" s="4">
        <v>2020</v>
      </c>
      <c r="D523" s="4">
        <v>8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2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</v>
      </c>
      <c r="AH523" s="4">
        <v>0</v>
      </c>
      <c r="AI523" s="4">
        <v>0</v>
      </c>
      <c r="AJ523" s="4">
        <v>1</v>
      </c>
      <c r="AK523" s="4">
        <v>1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2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1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5">
        <v>0</v>
      </c>
    </row>
    <row r="524" spans="1:102" ht="15.75" x14ac:dyDescent="0.25">
      <c r="A524" s="4" t="s">
        <v>199</v>
      </c>
      <c r="B524" s="4" t="s">
        <v>200</v>
      </c>
      <c r="C524" s="4">
        <v>2020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1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5">
        <v>0</v>
      </c>
    </row>
    <row r="525" spans="1:102" ht="15.75" x14ac:dyDescent="0.25">
      <c r="A525" s="4" t="s">
        <v>201</v>
      </c>
      <c r="B525" s="4" t="s">
        <v>202</v>
      </c>
      <c r="C525" s="4">
        <v>2020</v>
      </c>
      <c r="D525" s="4">
        <v>7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5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1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5">
        <v>0</v>
      </c>
    </row>
    <row r="526" spans="1:102" ht="15.75" x14ac:dyDescent="0.25">
      <c r="A526" s="4" t="s">
        <v>203</v>
      </c>
      <c r="B526" s="4" t="s">
        <v>204</v>
      </c>
      <c r="C526" s="4">
        <v>2020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5">
        <v>0</v>
      </c>
    </row>
    <row r="527" spans="1:102" ht="15.75" x14ac:dyDescent="0.25">
      <c r="A527" s="4" t="s">
        <v>205</v>
      </c>
      <c r="B527" s="4" t="s">
        <v>206</v>
      </c>
      <c r="C527" s="4">
        <v>2020</v>
      </c>
      <c r="D527" s="4">
        <v>471</v>
      </c>
      <c r="E527" s="4">
        <v>0</v>
      </c>
      <c r="F527" s="4">
        <v>5</v>
      </c>
      <c r="G527" s="4">
        <v>3</v>
      </c>
      <c r="H527" s="4">
        <v>4</v>
      </c>
      <c r="I527" s="4">
        <v>14</v>
      </c>
      <c r="J527" s="4">
        <v>4</v>
      </c>
      <c r="K527" s="4">
        <v>2</v>
      </c>
      <c r="L527" s="4">
        <v>8</v>
      </c>
      <c r="M527" s="4">
        <v>4</v>
      </c>
      <c r="N527" s="4">
        <v>12</v>
      </c>
      <c r="O527" s="4">
        <v>18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</v>
      </c>
      <c r="AB527" s="4">
        <v>0</v>
      </c>
      <c r="AC527" s="4">
        <v>0</v>
      </c>
      <c r="AD527" s="4">
        <v>0</v>
      </c>
      <c r="AE527" s="4">
        <v>1</v>
      </c>
      <c r="AF527" s="4">
        <v>0</v>
      </c>
      <c r="AG527" s="4">
        <v>2</v>
      </c>
      <c r="AH527" s="4">
        <v>0</v>
      </c>
      <c r="AI527" s="4">
        <v>4</v>
      </c>
      <c r="AJ527" s="4">
        <v>13</v>
      </c>
      <c r="AK527" s="4">
        <v>11</v>
      </c>
      <c r="AL527" s="4">
        <v>0</v>
      </c>
      <c r="AM527" s="4">
        <v>2</v>
      </c>
      <c r="AN527" s="4">
        <v>1</v>
      </c>
      <c r="AO527" s="4">
        <v>9</v>
      </c>
      <c r="AP527" s="4">
        <v>0</v>
      </c>
      <c r="AQ527" s="4">
        <v>1</v>
      </c>
      <c r="AR527" s="4">
        <v>0</v>
      </c>
      <c r="AS527" s="4">
        <v>3</v>
      </c>
      <c r="AT527" s="4">
        <v>2</v>
      </c>
      <c r="AU527" s="4">
        <v>2</v>
      </c>
      <c r="AV527" s="4">
        <v>1</v>
      </c>
      <c r="AW527" s="4">
        <v>1</v>
      </c>
      <c r="AX527" s="4">
        <v>9</v>
      </c>
      <c r="AY527" s="4">
        <v>0</v>
      </c>
      <c r="AZ527" s="4">
        <v>0</v>
      </c>
      <c r="BA527" s="4">
        <v>0</v>
      </c>
      <c r="BB527" s="4">
        <v>1</v>
      </c>
      <c r="BC527" s="4">
        <v>1</v>
      </c>
      <c r="BD527" s="4">
        <v>0</v>
      </c>
      <c r="BE527" s="4">
        <v>1</v>
      </c>
      <c r="BF527" s="4">
        <v>7</v>
      </c>
      <c r="BG527" s="4">
        <v>0</v>
      </c>
      <c r="BH527" s="4">
        <v>0</v>
      </c>
      <c r="BI527" s="4">
        <v>0</v>
      </c>
      <c r="BJ527" s="4">
        <v>3</v>
      </c>
      <c r="BK527" s="4">
        <v>8</v>
      </c>
      <c r="BL527" s="4">
        <v>0</v>
      </c>
      <c r="BM527" s="4">
        <v>1</v>
      </c>
      <c r="BN527" s="4">
        <v>6</v>
      </c>
      <c r="BO527" s="4">
        <v>0</v>
      </c>
      <c r="BP527" s="4">
        <v>1</v>
      </c>
      <c r="BQ527" s="4">
        <v>11</v>
      </c>
      <c r="BR527" s="4">
        <v>2</v>
      </c>
      <c r="BS527" s="4">
        <v>9</v>
      </c>
      <c r="BT527" s="4">
        <v>3</v>
      </c>
      <c r="BU527" s="4">
        <v>0</v>
      </c>
      <c r="BV527" s="4">
        <v>6</v>
      </c>
      <c r="BW527" s="4">
        <v>13</v>
      </c>
      <c r="BX527" s="4">
        <v>78</v>
      </c>
      <c r="BY527" s="4">
        <v>0</v>
      </c>
      <c r="BZ527" s="4">
        <v>0</v>
      </c>
      <c r="CA527" s="4">
        <v>58</v>
      </c>
      <c r="CB527" s="4">
        <v>59</v>
      </c>
      <c r="CC527" s="4">
        <v>0</v>
      </c>
      <c r="CD527" s="4">
        <v>0</v>
      </c>
      <c r="CE527" s="4">
        <v>0</v>
      </c>
      <c r="CF527" s="4">
        <v>1</v>
      </c>
      <c r="CG527" s="4">
        <v>0</v>
      </c>
      <c r="CH527" s="4">
        <v>1</v>
      </c>
      <c r="CI527" s="4">
        <v>2</v>
      </c>
      <c r="CJ527" s="4">
        <v>27</v>
      </c>
      <c r="CK527" s="4">
        <v>8</v>
      </c>
      <c r="CL527" s="4">
        <v>0</v>
      </c>
      <c r="CM527" s="4">
        <v>0</v>
      </c>
      <c r="CN527" s="4">
        <v>4</v>
      </c>
      <c r="CO527" s="4">
        <v>2</v>
      </c>
      <c r="CP527" s="4">
        <v>0</v>
      </c>
      <c r="CQ527" s="4">
        <v>0</v>
      </c>
      <c r="CR527" s="4">
        <v>1</v>
      </c>
      <c r="CS527" s="4">
        <v>1</v>
      </c>
      <c r="CT527" s="4">
        <v>2</v>
      </c>
      <c r="CU527" s="4">
        <v>0</v>
      </c>
      <c r="CV527" s="4">
        <v>13</v>
      </c>
      <c r="CW527" s="4">
        <v>1</v>
      </c>
      <c r="CX527" s="5">
        <v>1</v>
      </c>
    </row>
    <row r="528" spans="1:102" ht="15.75" x14ac:dyDescent="0.25">
      <c r="A528" s="4" t="s">
        <v>207</v>
      </c>
      <c r="B528" s="4" t="s">
        <v>208</v>
      </c>
      <c r="C528" s="4">
        <v>2020</v>
      </c>
      <c r="D528" s="4">
        <v>2156</v>
      </c>
      <c r="E528" s="4">
        <v>0</v>
      </c>
      <c r="F528" s="4">
        <v>7</v>
      </c>
      <c r="G528" s="4">
        <v>5</v>
      </c>
      <c r="H528" s="4">
        <v>2</v>
      </c>
      <c r="I528" s="4">
        <v>8</v>
      </c>
      <c r="J528" s="4">
        <v>8</v>
      </c>
      <c r="K528" s="4">
        <v>3</v>
      </c>
      <c r="L528" s="4">
        <v>40</v>
      </c>
      <c r="M528" s="4">
        <v>18</v>
      </c>
      <c r="N528" s="4">
        <v>16</v>
      </c>
      <c r="O528" s="4">
        <v>113</v>
      </c>
      <c r="P528" s="4">
        <v>1</v>
      </c>
      <c r="Q528" s="4">
        <v>0</v>
      </c>
      <c r="R528" s="4">
        <v>1</v>
      </c>
      <c r="S528" s="4">
        <v>0</v>
      </c>
      <c r="T528" s="4">
        <v>0</v>
      </c>
      <c r="U528" s="4">
        <v>9</v>
      </c>
      <c r="V528" s="4">
        <v>4</v>
      </c>
      <c r="W528" s="4">
        <v>4</v>
      </c>
      <c r="X528" s="4">
        <v>2</v>
      </c>
      <c r="Y528" s="4">
        <v>0</v>
      </c>
      <c r="Z528" s="4">
        <v>0</v>
      </c>
      <c r="AA528" s="4">
        <v>4</v>
      </c>
      <c r="AB528" s="4">
        <v>0</v>
      </c>
      <c r="AC528" s="4">
        <v>0</v>
      </c>
      <c r="AD528" s="4">
        <v>1</v>
      </c>
      <c r="AE528" s="4">
        <v>1</v>
      </c>
      <c r="AF528" s="4">
        <v>0</v>
      </c>
      <c r="AG528" s="4">
        <v>17</v>
      </c>
      <c r="AH528" s="4">
        <v>21</v>
      </c>
      <c r="AI528" s="4">
        <v>20</v>
      </c>
      <c r="AJ528" s="4">
        <v>88</v>
      </c>
      <c r="AK528" s="4">
        <v>133</v>
      </c>
      <c r="AL528" s="4">
        <v>2</v>
      </c>
      <c r="AM528" s="4">
        <v>38</v>
      </c>
      <c r="AN528" s="4">
        <v>42</v>
      </c>
      <c r="AO528" s="4">
        <v>58</v>
      </c>
      <c r="AP528" s="4">
        <v>5</v>
      </c>
      <c r="AQ528" s="4">
        <v>12</v>
      </c>
      <c r="AR528" s="4">
        <v>3</v>
      </c>
      <c r="AS528" s="4">
        <v>22</v>
      </c>
      <c r="AT528" s="4">
        <v>36</v>
      </c>
      <c r="AU528" s="4">
        <v>19</v>
      </c>
      <c r="AV528" s="4">
        <v>37</v>
      </c>
      <c r="AW528" s="4">
        <v>31</v>
      </c>
      <c r="AX528" s="4">
        <v>82</v>
      </c>
      <c r="AY528" s="4">
        <v>1</v>
      </c>
      <c r="AZ528" s="4">
        <v>5</v>
      </c>
      <c r="BA528" s="4">
        <v>0</v>
      </c>
      <c r="BB528" s="4">
        <v>12</v>
      </c>
      <c r="BC528" s="4">
        <v>7</v>
      </c>
      <c r="BD528" s="4">
        <v>4</v>
      </c>
      <c r="BE528" s="4">
        <v>35</v>
      </c>
      <c r="BF528" s="4">
        <v>58</v>
      </c>
      <c r="BG528" s="4">
        <v>4</v>
      </c>
      <c r="BH528" s="4">
        <v>9</v>
      </c>
      <c r="BI528" s="4">
        <v>1</v>
      </c>
      <c r="BJ528" s="4">
        <v>65</v>
      </c>
      <c r="BK528" s="4">
        <v>146</v>
      </c>
      <c r="BL528" s="4">
        <v>0</v>
      </c>
      <c r="BM528" s="4">
        <v>20</v>
      </c>
      <c r="BN528" s="4">
        <v>109</v>
      </c>
      <c r="BO528" s="4">
        <v>0</v>
      </c>
      <c r="BP528" s="4">
        <v>11</v>
      </c>
      <c r="BQ528" s="4">
        <v>81</v>
      </c>
      <c r="BR528" s="4">
        <v>4</v>
      </c>
      <c r="BS528" s="4">
        <v>134</v>
      </c>
      <c r="BT528" s="4">
        <v>45</v>
      </c>
      <c r="BU528" s="4">
        <v>5</v>
      </c>
      <c r="BV528" s="4">
        <v>44</v>
      </c>
      <c r="BW528" s="4">
        <v>18</v>
      </c>
      <c r="BX528" s="4">
        <v>51</v>
      </c>
      <c r="BY528" s="4">
        <v>2</v>
      </c>
      <c r="BZ528" s="4">
        <v>0</v>
      </c>
      <c r="CA528" s="4">
        <v>10</v>
      </c>
      <c r="CB528" s="4">
        <v>0</v>
      </c>
      <c r="CC528" s="4">
        <v>0</v>
      </c>
      <c r="CD528" s="4">
        <v>4</v>
      </c>
      <c r="CE528" s="4">
        <v>0</v>
      </c>
      <c r="CF528" s="4">
        <v>4</v>
      </c>
      <c r="CG528" s="4">
        <v>3</v>
      </c>
      <c r="CH528" s="4">
        <v>12</v>
      </c>
      <c r="CI528" s="4">
        <v>7</v>
      </c>
      <c r="CJ528" s="4">
        <v>63</v>
      </c>
      <c r="CK528" s="4">
        <v>15</v>
      </c>
      <c r="CL528" s="4">
        <v>0</v>
      </c>
      <c r="CM528" s="4">
        <v>16</v>
      </c>
      <c r="CN528" s="4">
        <v>55</v>
      </c>
      <c r="CO528" s="4">
        <v>7</v>
      </c>
      <c r="CP528" s="4">
        <v>6</v>
      </c>
      <c r="CQ528" s="4">
        <v>0</v>
      </c>
      <c r="CR528" s="4">
        <v>0</v>
      </c>
      <c r="CS528" s="4">
        <v>1</v>
      </c>
      <c r="CT528" s="4">
        <v>23</v>
      </c>
      <c r="CU528" s="4">
        <v>3</v>
      </c>
      <c r="CV528" s="4">
        <v>145</v>
      </c>
      <c r="CW528" s="4">
        <v>3</v>
      </c>
      <c r="CX528" s="5">
        <v>3</v>
      </c>
    </row>
    <row r="529" spans="1:102" ht="15.75" x14ac:dyDescent="0.25">
      <c r="A529" s="4" t="s">
        <v>209</v>
      </c>
      <c r="B529" s="4" t="s">
        <v>210</v>
      </c>
      <c r="C529" s="4">
        <v>2020</v>
      </c>
      <c r="D529" s="4">
        <v>32916</v>
      </c>
      <c r="E529" s="4">
        <v>17</v>
      </c>
      <c r="F529" s="4">
        <v>159</v>
      </c>
      <c r="G529" s="4">
        <v>112</v>
      </c>
      <c r="H529" s="4">
        <v>56</v>
      </c>
      <c r="I529" s="4">
        <v>94</v>
      </c>
      <c r="J529" s="4">
        <v>73</v>
      </c>
      <c r="K529" s="4">
        <v>25</v>
      </c>
      <c r="L529" s="4">
        <v>108</v>
      </c>
      <c r="M529" s="4">
        <v>84</v>
      </c>
      <c r="N529" s="4">
        <v>234</v>
      </c>
      <c r="O529" s="4">
        <v>577</v>
      </c>
      <c r="P529" s="4">
        <v>1</v>
      </c>
      <c r="Q529" s="4">
        <v>39</v>
      </c>
      <c r="R529" s="4">
        <v>15</v>
      </c>
      <c r="S529" s="4">
        <v>3</v>
      </c>
      <c r="T529" s="4">
        <v>21</v>
      </c>
      <c r="U529" s="4">
        <v>20</v>
      </c>
      <c r="V529" s="4">
        <v>45</v>
      </c>
      <c r="W529" s="4">
        <v>245</v>
      </c>
      <c r="X529" s="4">
        <v>33</v>
      </c>
      <c r="Y529" s="4">
        <v>26</v>
      </c>
      <c r="Z529" s="4">
        <v>2077</v>
      </c>
      <c r="AA529" s="4">
        <v>95</v>
      </c>
      <c r="AB529" s="4">
        <v>27</v>
      </c>
      <c r="AC529" s="4">
        <v>0</v>
      </c>
      <c r="AD529" s="4">
        <v>7</v>
      </c>
      <c r="AE529" s="4">
        <v>44</v>
      </c>
      <c r="AF529" s="4">
        <v>10</v>
      </c>
      <c r="AG529" s="4">
        <v>1430</v>
      </c>
      <c r="AH529" s="4">
        <v>161</v>
      </c>
      <c r="AI529" s="4">
        <v>221</v>
      </c>
      <c r="AJ529" s="4">
        <v>2379</v>
      </c>
      <c r="AK529" s="4">
        <v>397</v>
      </c>
      <c r="AL529" s="4">
        <v>13</v>
      </c>
      <c r="AM529" s="4">
        <v>490</v>
      </c>
      <c r="AN529" s="4">
        <v>343</v>
      </c>
      <c r="AO529" s="4">
        <v>909</v>
      </c>
      <c r="AP529" s="4">
        <v>17</v>
      </c>
      <c r="AQ529" s="4">
        <v>146</v>
      </c>
      <c r="AR529" s="4">
        <v>24</v>
      </c>
      <c r="AS529" s="4">
        <v>259</v>
      </c>
      <c r="AT529" s="4">
        <v>308</v>
      </c>
      <c r="AU529" s="4">
        <v>309</v>
      </c>
      <c r="AV529" s="4">
        <v>441</v>
      </c>
      <c r="AW529" s="4">
        <v>2131</v>
      </c>
      <c r="AX529" s="4">
        <v>606</v>
      </c>
      <c r="AY529" s="4">
        <v>9</v>
      </c>
      <c r="AZ529" s="4">
        <v>51</v>
      </c>
      <c r="BA529" s="4">
        <v>0</v>
      </c>
      <c r="BB529" s="4">
        <v>1460</v>
      </c>
      <c r="BC529" s="4">
        <v>91</v>
      </c>
      <c r="BD529" s="4">
        <v>51</v>
      </c>
      <c r="BE529" s="4">
        <v>143</v>
      </c>
      <c r="BF529" s="4">
        <v>460</v>
      </c>
      <c r="BG529" s="4">
        <v>25</v>
      </c>
      <c r="BH529" s="4">
        <v>32</v>
      </c>
      <c r="BI529" s="4">
        <v>9</v>
      </c>
      <c r="BJ529" s="4">
        <v>497</v>
      </c>
      <c r="BK529" s="4">
        <v>830</v>
      </c>
      <c r="BL529" s="4">
        <v>1</v>
      </c>
      <c r="BM529" s="4">
        <v>103</v>
      </c>
      <c r="BN529" s="4">
        <v>594</v>
      </c>
      <c r="BO529" s="4">
        <v>7</v>
      </c>
      <c r="BP529" s="4">
        <v>63</v>
      </c>
      <c r="BQ529" s="4">
        <v>617</v>
      </c>
      <c r="BR529" s="4">
        <v>170</v>
      </c>
      <c r="BS529" s="4">
        <v>840</v>
      </c>
      <c r="BT529" s="4">
        <v>744</v>
      </c>
      <c r="BU529" s="4">
        <v>78</v>
      </c>
      <c r="BV529" s="4">
        <v>798</v>
      </c>
      <c r="BW529" s="4">
        <v>82</v>
      </c>
      <c r="BX529" s="4">
        <v>1702</v>
      </c>
      <c r="BY529" s="4">
        <v>15</v>
      </c>
      <c r="BZ529" s="4">
        <v>0</v>
      </c>
      <c r="CA529" s="4">
        <v>2433</v>
      </c>
      <c r="CB529" s="4">
        <v>45</v>
      </c>
      <c r="CC529" s="4">
        <v>4</v>
      </c>
      <c r="CD529" s="4">
        <v>44</v>
      </c>
      <c r="CE529" s="4">
        <v>26</v>
      </c>
      <c r="CF529" s="4">
        <v>63</v>
      </c>
      <c r="CG529" s="4">
        <v>64</v>
      </c>
      <c r="CH529" s="4">
        <v>73</v>
      </c>
      <c r="CI529" s="4">
        <v>95</v>
      </c>
      <c r="CJ529" s="4">
        <v>1358</v>
      </c>
      <c r="CK529" s="4">
        <v>352</v>
      </c>
      <c r="CL529" s="4">
        <v>1</v>
      </c>
      <c r="CM529" s="4">
        <v>188</v>
      </c>
      <c r="CN529" s="4">
        <v>855</v>
      </c>
      <c r="CO529" s="4">
        <v>103</v>
      </c>
      <c r="CP529" s="4">
        <v>68</v>
      </c>
      <c r="CQ529" s="4">
        <v>0</v>
      </c>
      <c r="CR529" s="4">
        <v>17</v>
      </c>
      <c r="CS529" s="4">
        <v>64</v>
      </c>
      <c r="CT529" s="4">
        <v>531</v>
      </c>
      <c r="CU529" s="4">
        <v>34</v>
      </c>
      <c r="CV529" s="4">
        <v>1102</v>
      </c>
      <c r="CW529" s="4">
        <v>1091</v>
      </c>
      <c r="CX529" s="5">
        <v>1090</v>
      </c>
    </row>
    <row r="530" spans="1:102" ht="15.75" x14ac:dyDescent="0.25">
      <c r="A530" s="4" t="s">
        <v>211</v>
      </c>
      <c r="B530" s="4" t="s">
        <v>212</v>
      </c>
      <c r="C530" s="4">
        <v>2020</v>
      </c>
      <c r="D530" s="4">
        <v>20</v>
      </c>
      <c r="E530" s="4">
        <v>0</v>
      </c>
      <c r="F530" s="4">
        <v>0</v>
      </c>
      <c r="G530" s="4">
        <v>0</v>
      </c>
      <c r="H530" s="4">
        <v>0</v>
      </c>
      <c r="I530" s="4">
        <v>1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6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2</v>
      </c>
      <c r="AX530" s="4">
        <v>0</v>
      </c>
      <c r="AY530" s="4">
        <v>0</v>
      </c>
      <c r="AZ530" s="4">
        <v>1</v>
      </c>
      <c r="BA530" s="4">
        <v>0</v>
      </c>
      <c r="BB530" s="4">
        <v>0</v>
      </c>
      <c r="BC530" s="4">
        <v>0</v>
      </c>
      <c r="BD530" s="4">
        <v>0</v>
      </c>
      <c r="BE530" s="4">
        <v>1</v>
      </c>
      <c r="BF530" s="4">
        <v>2</v>
      </c>
      <c r="BG530" s="4">
        <v>0</v>
      </c>
      <c r="BH530" s="4">
        <v>0</v>
      </c>
      <c r="BI530" s="4">
        <v>0</v>
      </c>
      <c r="BJ530" s="4">
        <v>0</v>
      </c>
      <c r="BK530" s="4">
        <v>1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2</v>
      </c>
      <c r="BU530" s="4">
        <v>0</v>
      </c>
      <c r="BV530" s="4">
        <v>0</v>
      </c>
      <c r="BW530" s="4">
        <v>1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5">
        <v>0</v>
      </c>
    </row>
    <row r="531" spans="1:102" ht="15.75" x14ac:dyDescent="0.25">
      <c r="A531" s="4" t="s">
        <v>213</v>
      </c>
      <c r="B531" s="4" t="s">
        <v>214</v>
      </c>
      <c r="C531" s="4">
        <v>2020</v>
      </c>
      <c r="D531" s="4">
        <v>2397</v>
      </c>
      <c r="E531" s="4">
        <v>3</v>
      </c>
      <c r="F531" s="4">
        <v>42</v>
      </c>
      <c r="G531" s="4">
        <v>46</v>
      </c>
      <c r="H531" s="4">
        <v>25</v>
      </c>
      <c r="I531" s="4">
        <v>28</v>
      </c>
      <c r="J531" s="4">
        <v>15</v>
      </c>
      <c r="K531" s="4">
        <v>15</v>
      </c>
      <c r="L531" s="4">
        <v>10</v>
      </c>
      <c r="M531" s="4">
        <v>18</v>
      </c>
      <c r="N531" s="4">
        <v>34</v>
      </c>
      <c r="O531" s="4">
        <v>68</v>
      </c>
      <c r="P531" s="4">
        <v>0</v>
      </c>
      <c r="Q531" s="4">
        <v>0</v>
      </c>
      <c r="R531" s="4">
        <v>0</v>
      </c>
      <c r="S531" s="4">
        <v>0</v>
      </c>
      <c r="T531" s="4">
        <v>1</v>
      </c>
      <c r="U531" s="4">
        <v>5</v>
      </c>
      <c r="V531" s="4">
        <v>5</v>
      </c>
      <c r="W531" s="4">
        <v>6</v>
      </c>
      <c r="X531" s="4">
        <v>15</v>
      </c>
      <c r="Y531" s="4">
        <v>0</v>
      </c>
      <c r="Z531" s="4">
        <v>6</v>
      </c>
      <c r="AA531" s="4">
        <v>88</v>
      </c>
      <c r="AB531" s="4">
        <v>2</v>
      </c>
      <c r="AC531" s="4">
        <v>0</v>
      </c>
      <c r="AD531" s="4">
        <v>2</v>
      </c>
      <c r="AE531" s="4">
        <v>4</v>
      </c>
      <c r="AF531" s="4">
        <v>1</v>
      </c>
      <c r="AG531" s="4">
        <v>35</v>
      </c>
      <c r="AH531" s="4">
        <v>12</v>
      </c>
      <c r="AI531" s="4">
        <v>26</v>
      </c>
      <c r="AJ531" s="4">
        <v>81</v>
      </c>
      <c r="AK531" s="4">
        <v>63</v>
      </c>
      <c r="AL531" s="4">
        <v>3</v>
      </c>
      <c r="AM531" s="4">
        <v>36</v>
      </c>
      <c r="AN531" s="4">
        <v>46</v>
      </c>
      <c r="AO531" s="4">
        <v>73</v>
      </c>
      <c r="AP531" s="4">
        <v>2</v>
      </c>
      <c r="AQ531" s="4">
        <v>11</v>
      </c>
      <c r="AR531" s="4">
        <v>5</v>
      </c>
      <c r="AS531" s="4">
        <v>13</v>
      </c>
      <c r="AT531" s="4">
        <v>57</v>
      </c>
      <c r="AU531" s="4">
        <v>70</v>
      </c>
      <c r="AV531" s="4">
        <v>62</v>
      </c>
      <c r="AW531" s="4">
        <v>10</v>
      </c>
      <c r="AX531" s="4">
        <v>67</v>
      </c>
      <c r="AY531" s="4">
        <v>3</v>
      </c>
      <c r="AZ531" s="4">
        <v>3</v>
      </c>
      <c r="BA531" s="4">
        <v>0</v>
      </c>
      <c r="BB531" s="4">
        <v>111</v>
      </c>
      <c r="BC531" s="4">
        <v>4</v>
      </c>
      <c r="BD531" s="4">
        <v>1</v>
      </c>
      <c r="BE531" s="4">
        <v>19</v>
      </c>
      <c r="BF531" s="4">
        <v>78</v>
      </c>
      <c r="BG531" s="4">
        <v>2</v>
      </c>
      <c r="BH531" s="4">
        <v>3</v>
      </c>
      <c r="BI531" s="4">
        <v>1</v>
      </c>
      <c r="BJ531" s="4">
        <v>59</v>
      </c>
      <c r="BK531" s="4">
        <v>71</v>
      </c>
      <c r="BL531" s="4">
        <v>1</v>
      </c>
      <c r="BM531" s="4">
        <v>10</v>
      </c>
      <c r="BN531" s="4">
        <v>40</v>
      </c>
      <c r="BO531" s="4">
        <v>1</v>
      </c>
      <c r="BP531" s="4">
        <v>6</v>
      </c>
      <c r="BQ531" s="4">
        <v>143</v>
      </c>
      <c r="BR531" s="4">
        <v>4</v>
      </c>
      <c r="BS531" s="4">
        <v>68</v>
      </c>
      <c r="BT531" s="4">
        <v>46</v>
      </c>
      <c r="BU531" s="4">
        <v>2</v>
      </c>
      <c r="BV531" s="4">
        <v>35</v>
      </c>
      <c r="BW531" s="4">
        <v>27</v>
      </c>
      <c r="BX531" s="4">
        <v>122</v>
      </c>
      <c r="BY531" s="4">
        <v>1</v>
      </c>
      <c r="BZ531" s="4">
        <v>0</v>
      </c>
      <c r="CA531" s="4">
        <v>11</v>
      </c>
      <c r="CB531" s="4">
        <v>1</v>
      </c>
      <c r="CC531" s="4">
        <v>2</v>
      </c>
      <c r="CD531" s="4">
        <v>7</v>
      </c>
      <c r="CE531" s="4">
        <v>0</v>
      </c>
      <c r="CF531" s="4">
        <v>4</v>
      </c>
      <c r="CG531" s="4">
        <v>3</v>
      </c>
      <c r="CH531" s="4">
        <v>4</v>
      </c>
      <c r="CI531" s="4">
        <v>9</v>
      </c>
      <c r="CJ531" s="4">
        <v>65</v>
      </c>
      <c r="CK531" s="4">
        <v>17</v>
      </c>
      <c r="CL531" s="4">
        <v>0</v>
      </c>
      <c r="CM531" s="4">
        <v>20</v>
      </c>
      <c r="CN531" s="4">
        <v>91</v>
      </c>
      <c r="CO531" s="4">
        <v>14</v>
      </c>
      <c r="CP531" s="4">
        <v>19</v>
      </c>
      <c r="CQ531" s="4">
        <v>1</v>
      </c>
      <c r="CR531" s="4">
        <v>1</v>
      </c>
      <c r="CS531" s="4">
        <v>1</v>
      </c>
      <c r="CT531" s="4">
        <v>46</v>
      </c>
      <c r="CU531" s="4">
        <v>4</v>
      </c>
      <c r="CV531" s="4">
        <v>103</v>
      </c>
      <c r="CW531" s="4">
        <v>5</v>
      </c>
      <c r="CX531" s="5">
        <v>5</v>
      </c>
    </row>
    <row r="532" spans="1:102" ht="15.75" x14ac:dyDescent="0.25">
      <c r="A532" s="4" t="s">
        <v>215</v>
      </c>
      <c r="B532" s="4" t="s">
        <v>216</v>
      </c>
      <c r="C532" s="4">
        <v>2020</v>
      </c>
      <c r="D532" s="4">
        <v>7</v>
      </c>
      <c r="E532" s="4">
        <v>0</v>
      </c>
      <c r="F532" s="4">
        <v>0</v>
      </c>
      <c r="G532" s="4">
        <v>1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1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1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5">
        <v>0</v>
      </c>
    </row>
    <row r="533" spans="1:102" ht="15.75" x14ac:dyDescent="0.25">
      <c r="A533" s="4" t="s">
        <v>217</v>
      </c>
      <c r="B533" s="4" t="s">
        <v>218</v>
      </c>
      <c r="C533" s="4">
        <v>2020</v>
      </c>
      <c r="D533" s="4">
        <v>87</v>
      </c>
      <c r="E533" s="4">
        <v>0</v>
      </c>
      <c r="F533" s="4">
        <v>1</v>
      </c>
      <c r="G533" s="4">
        <v>8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1</v>
      </c>
      <c r="O533" s="4">
        <v>21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1</v>
      </c>
      <c r="AH533" s="4">
        <v>0</v>
      </c>
      <c r="AI533" s="4">
        <v>2</v>
      </c>
      <c r="AJ533" s="4">
        <v>8</v>
      </c>
      <c r="AK533" s="4">
        <v>0</v>
      </c>
      <c r="AL533" s="4">
        <v>0</v>
      </c>
      <c r="AM533" s="4">
        <v>1</v>
      </c>
      <c r="AN533" s="4">
        <v>5</v>
      </c>
      <c r="AO533" s="4">
        <v>2</v>
      </c>
      <c r="AP533" s="4">
        <v>0</v>
      </c>
      <c r="AQ533" s="4">
        <v>1</v>
      </c>
      <c r="AR533" s="4">
        <v>0</v>
      </c>
      <c r="AS533" s="4">
        <v>2</v>
      </c>
      <c r="AT533" s="4">
        <v>2</v>
      </c>
      <c r="AU533" s="4">
        <v>8</v>
      </c>
      <c r="AV533" s="4">
        <v>0</v>
      </c>
      <c r="AW533" s="4">
        <v>0</v>
      </c>
      <c r="AX533" s="4">
        <v>2</v>
      </c>
      <c r="AY533" s="4">
        <v>0</v>
      </c>
      <c r="AZ533" s="4">
        <v>1</v>
      </c>
      <c r="BA533" s="4">
        <v>0</v>
      </c>
      <c r="BB533" s="4">
        <v>1</v>
      </c>
      <c r="BC533" s="4">
        <v>0</v>
      </c>
      <c r="BD533" s="4">
        <v>0</v>
      </c>
      <c r="BE533" s="4">
        <v>1</v>
      </c>
      <c r="BF533" s="4">
        <v>3</v>
      </c>
      <c r="BG533" s="4">
        <v>0</v>
      </c>
      <c r="BH533" s="4">
        <v>0</v>
      </c>
      <c r="BI533" s="4">
        <v>0</v>
      </c>
      <c r="BJ533" s="4">
        <v>1</v>
      </c>
      <c r="BK533" s="4">
        <v>1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1</v>
      </c>
      <c r="BT533" s="4">
        <v>1</v>
      </c>
      <c r="BU533" s="4">
        <v>0</v>
      </c>
      <c r="BV533" s="4">
        <v>1</v>
      </c>
      <c r="BW533" s="4">
        <v>0</v>
      </c>
      <c r="BX533" s="4">
        <v>2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4</v>
      </c>
      <c r="CU533" s="4">
        <v>0</v>
      </c>
      <c r="CV533" s="4">
        <v>2</v>
      </c>
      <c r="CW533" s="4">
        <v>1</v>
      </c>
      <c r="CX533" s="5">
        <v>1</v>
      </c>
    </row>
    <row r="534" spans="1:102" ht="15.75" x14ac:dyDescent="0.25">
      <c r="A534" s="4" t="s">
        <v>219</v>
      </c>
      <c r="B534" s="4" t="s">
        <v>220</v>
      </c>
      <c r="C534" s="4">
        <v>2020</v>
      </c>
      <c r="D534" s="4">
        <v>344</v>
      </c>
      <c r="E534" s="4">
        <v>2</v>
      </c>
      <c r="F534" s="4">
        <v>0</v>
      </c>
      <c r="G534" s="4">
        <v>21</v>
      </c>
      <c r="H534" s="4">
        <v>0</v>
      </c>
      <c r="I534" s="4">
        <v>27</v>
      </c>
      <c r="J534" s="4">
        <v>0</v>
      </c>
      <c r="K534" s="4">
        <v>0</v>
      </c>
      <c r="L534" s="4">
        <v>0</v>
      </c>
      <c r="M534" s="4">
        <v>0</v>
      </c>
      <c r="N534" s="4">
        <v>1</v>
      </c>
      <c r="O534" s="4">
        <v>124</v>
      </c>
      <c r="P534" s="4">
        <v>0</v>
      </c>
      <c r="Q534" s="4">
        <v>0</v>
      </c>
      <c r="R534" s="4">
        <v>1</v>
      </c>
      <c r="S534" s="4">
        <v>0</v>
      </c>
      <c r="T534" s="4">
        <v>0</v>
      </c>
      <c r="U534" s="4">
        <v>0</v>
      </c>
      <c r="V534" s="4">
        <v>2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</v>
      </c>
      <c r="AH534" s="4">
        <v>1</v>
      </c>
      <c r="AI534" s="4">
        <v>5</v>
      </c>
      <c r="AJ534" s="4">
        <v>29</v>
      </c>
      <c r="AK534" s="4">
        <v>5</v>
      </c>
      <c r="AL534" s="4">
        <v>1</v>
      </c>
      <c r="AM534" s="4">
        <v>1</v>
      </c>
      <c r="AN534" s="4">
        <v>2</v>
      </c>
      <c r="AO534" s="4">
        <v>9</v>
      </c>
      <c r="AP534" s="4">
        <v>0</v>
      </c>
      <c r="AQ534" s="4">
        <v>1</v>
      </c>
      <c r="AR534" s="4">
        <v>0</v>
      </c>
      <c r="AS534" s="4">
        <v>1</v>
      </c>
      <c r="AT534" s="4">
        <v>0</v>
      </c>
      <c r="AU534" s="4">
        <v>1</v>
      </c>
      <c r="AV534" s="4">
        <v>6</v>
      </c>
      <c r="AW534" s="4">
        <v>1</v>
      </c>
      <c r="AX534" s="4">
        <v>17</v>
      </c>
      <c r="AY534" s="4">
        <v>0</v>
      </c>
      <c r="AZ534" s="4">
        <v>3</v>
      </c>
      <c r="BA534" s="4">
        <v>0</v>
      </c>
      <c r="BB534" s="4">
        <v>3</v>
      </c>
      <c r="BC534" s="4">
        <v>0</v>
      </c>
      <c r="BD534" s="4">
        <v>0</v>
      </c>
      <c r="BE534" s="4">
        <v>2</v>
      </c>
      <c r="BF534" s="4">
        <v>2</v>
      </c>
      <c r="BG534" s="4">
        <v>0</v>
      </c>
      <c r="BH534" s="4">
        <v>3</v>
      </c>
      <c r="BI534" s="4">
        <v>0</v>
      </c>
      <c r="BJ534" s="4">
        <v>9</v>
      </c>
      <c r="BK534" s="4">
        <v>12</v>
      </c>
      <c r="BL534" s="4">
        <v>0</v>
      </c>
      <c r="BM534" s="4">
        <v>0</v>
      </c>
      <c r="BN534" s="4">
        <v>2</v>
      </c>
      <c r="BO534" s="4">
        <v>0</v>
      </c>
      <c r="BP534" s="4">
        <v>1</v>
      </c>
      <c r="BQ534" s="4">
        <v>10</v>
      </c>
      <c r="BR534" s="4">
        <v>0</v>
      </c>
      <c r="BS534" s="4">
        <v>7</v>
      </c>
      <c r="BT534" s="4">
        <v>5</v>
      </c>
      <c r="BU534" s="4">
        <v>0</v>
      </c>
      <c r="BV534" s="4">
        <v>1</v>
      </c>
      <c r="BW534" s="4">
        <v>1</v>
      </c>
      <c r="BX534" s="4">
        <v>0</v>
      </c>
      <c r="BY534" s="4">
        <v>0</v>
      </c>
      <c r="BZ534" s="4">
        <v>0</v>
      </c>
      <c r="CA534" s="4">
        <v>4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2</v>
      </c>
      <c r="CK534" s="4">
        <v>0</v>
      </c>
      <c r="CL534" s="4">
        <v>0</v>
      </c>
      <c r="CM534" s="4">
        <v>3</v>
      </c>
      <c r="CN534" s="4">
        <v>11</v>
      </c>
      <c r="CO534" s="4">
        <v>0</v>
      </c>
      <c r="CP534" s="4">
        <v>0</v>
      </c>
      <c r="CQ534" s="4">
        <v>0</v>
      </c>
      <c r="CR534" s="4">
        <v>0</v>
      </c>
      <c r="CS534" s="4">
        <v>1</v>
      </c>
      <c r="CT534" s="4">
        <v>1</v>
      </c>
      <c r="CU534" s="4">
        <v>0</v>
      </c>
      <c r="CV534" s="4">
        <v>1</v>
      </c>
      <c r="CW534" s="4">
        <v>3</v>
      </c>
      <c r="CX534" s="5">
        <v>3</v>
      </c>
    </row>
    <row r="535" spans="1:102" ht="15.75" x14ac:dyDescent="0.25">
      <c r="A535" s="4" t="s">
        <v>221</v>
      </c>
      <c r="B535" s="4" t="s">
        <v>222</v>
      </c>
      <c r="C535" s="4">
        <v>2020</v>
      </c>
      <c r="D535" s="4">
        <v>76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1</v>
      </c>
      <c r="M535" s="4">
        <v>1</v>
      </c>
      <c r="N535" s="4">
        <v>1</v>
      </c>
      <c r="O535" s="4">
        <v>11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1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1</v>
      </c>
      <c r="AJ535" s="4">
        <v>25</v>
      </c>
      <c r="AK535" s="4">
        <v>1</v>
      </c>
      <c r="AL535" s="4">
        <v>0</v>
      </c>
      <c r="AM535" s="4">
        <v>1</v>
      </c>
      <c r="AN535" s="4">
        <v>1</v>
      </c>
      <c r="AO535" s="4">
        <v>5</v>
      </c>
      <c r="AP535" s="4">
        <v>0</v>
      </c>
      <c r="AQ535" s="4">
        <v>2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1</v>
      </c>
      <c r="BG535" s="4">
        <v>0</v>
      </c>
      <c r="BH535" s="4">
        <v>0</v>
      </c>
      <c r="BI535" s="4">
        <v>0</v>
      </c>
      <c r="BJ535" s="4">
        <v>1</v>
      </c>
      <c r="BK535" s="4">
        <v>1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1</v>
      </c>
      <c r="BT535" s="4">
        <v>0</v>
      </c>
      <c r="BU535" s="4">
        <v>0</v>
      </c>
      <c r="BV535" s="4">
        <v>1</v>
      </c>
      <c r="BW535" s="4">
        <v>0</v>
      </c>
      <c r="BX535" s="4">
        <v>8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3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4</v>
      </c>
      <c r="CW535" s="4">
        <v>0</v>
      </c>
      <c r="CX535" s="5">
        <v>0</v>
      </c>
    </row>
    <row r="536" spans="1:102" ht="15.75" x14ac:dyDescent="0.25">
      <c r="A536" s="4" t="s">
        <v>223</v>
      </c>
      <c r="B536" s="4" t="s">
        <v>224</v>
      </c>
      <c r="C536" s="4">
        <v>2020</v>
      </c>
      <c r="D536" s="4">
        <v>232</v>
      </c>
      <c r="E536" s="4">
        <v>0</v>
      </c>
      <c r="F536" s="4">
        <v>0</v>
      </c>
      <c r="G536" s="4">
        <v>0</v>
      </c>
      <c r="H536" s="4">
        <v>3</v>
      </c>
      <c r="I536" s="4">
        <v>2</v>
      </c>
      <c r="J536" s="4">
        <v>1</v>
      </c>
      <c r="K536" s="4">
        <v>0</v>
      </c>
      <c r="L536" s="4">
        <v>1</v>
      </c>
      <c r="M536" s="4">
        <v>3</v>
      </c>
      <c r="N536" s="4">
        <v>4</v>
      </c>
      <c r="O536" s="4">
        <v>14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3</v>
      </c>
      <c r="V536" s="4">
        <v>0</v>
      </c>
      <c r="W536" s="4">
        <v>0</v>
      </c>
      <c r="X536" s="4">
        <v>1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1</v>
      </c>
      <c r="AH536" s="4">
        <v>0</v>
      </c>
      <c r="AI536" s="4">
        <v>4</v>
      </c>
      <c r="AJ536" s="4">
        <v>7</v>
      </c>
      <c r="AK536" s="4">
        <v>5</v>
      </c>
      <c r="AL536" s="4">
        <v>3</v>
      </c>
      <c r="AM536" s="4">
        <v>4</v>
      </c>
      <c r="AN536" s="4">
        <v>3</v>
      </c>
      <c r="AO536" s="4">
        <v>7</v>
      </c>
      <c r="AP536" s="4">
        <v>0</v>
      </c>
      <c r="AQ536" s="4">
        <v>2</v>
      </c>
      <c r="AR536" s="4">
        <v>0</v>
      </c>
      <c r="AS536" s="4">
        <v>6</v>
      </c>
      <c r="AT536" s="4">
        <v>7</v>
      </c>
      <c r="AU536" s="4">
        <v>2</v>
      </c>
      <c r="AV536" s="4">
        <v>1</v>
      </c>
      <c r="AW536" s="4">
        <v>1</v>
      </c>
      <c r="AX536" s="4">
        <v>5</v>
      </c>
      <c r="AY536" s="4">
        <v>0</v>
      </c>
      <c r="AZ536" s="4">
        <v>0</v>
      </c>
      <c r="BA536" s="4">
        <v>0</v>
      </c>
      <c r="BB536" s="4">
        <v>1</v>
      </c>
      <c r="BC536" s="4">
        <v>0</v>
      </c>
      <c r="BD536" s="4">
        <v>0</v>
      </c>
      <c r="BE536" s="4">
        <v>3</v>
      </c>
      <c r="BF536" s="4">
        <v>12</v>
      </c>
      <c r="BG536" s="4">
        <v>0</v>
      </c>
      <c r="BH536" s="4">
        <v>0</v>
      </c>
      <c r="BI536" s="4">
        <v>0</v>
      </c>
      <c r="BJ536" s="4">
        <v>5</v>
      </c>
      <c r="BK536" s="4">
        <v>8</v>
      </c>
      <c r="BL536" s="4">
        <v>0</v>
      </c>
      <c r="BM536" s="4">
        <v>1</v>
      </c>
      <c r="BN536" s="4">
        <v>7</v>
      </c>
      <c r="BO536" s="4">
        <v>0</v>
      </c>
      <c r="BP536" s="4">
        <v>2</v>
      </c>
      <c r="BQ536" s="4">
        <v>15</v>
      </c>
      <c r="BR536" s="4">
        <v>0</v>
      </c>
      <c r="BS536" s="4">
        <v>15</v>
      </c>
      <c r="BT536" s="4">
        <v>12</v>
      </c>
      <c r="BU536" s="4">
        <v>0</v>
      </c>
      <c r="BV536" s="4">
        <v>12</v>
      </c>
      <c r="BW536" s="4">
        <v>1</v>
      </c>
      <c r="BX536" s="4">
        <v>2</v>
      </c>
      <c r="BY536" s="4">
        <v>0</v>
      </c>
      <c r="BZ536" s="4">
        <v>0</v>
      </c>
      <c r="CA536" s="4">
        <v>1</v>
      </c>
      <c r="CB536" s="4">
        <v>1</v>
      </c>
      <c r="CC536" s="4">
        <v>0</v>
      </c>
      <c r="CD536" s="4">
        <v>1</v>
      </c>
      <c r="CE536" s="4">
        <v>0</v>
      </c>
      <c r="CF536" s="4">
        <v>0</v>
      </c>
      <c r="CG536" s="4">
        <v>0</v>
      </c>
      <c r="CH536" s="4">
        <v>0</v>
      </c>
      <c r="CI536" s="4">
        <v>1</v>
      </c>
      <c r="CJ536" s="4">
        <v>9</v>
      </c>
      <c r="CK536" s="4">
        <v>2</v>
      </c>
      <c r="CL536" s="4">
        <v>0</v>
      </c>
      <c r="CM536" s="4">
        <v>1</v>
      </c>
      <c r="CN536" s="4">
        <v>6</v>
      </c>
      <c r="CO536" s="4">
        <v>1</v>
      </c>
      <c r="CP536" s="4">
        <v>1</v>
      </c>
      <c r="CQ536" s="4">
        <v>0</v>
      </c>
      <c r="CR536" s="4">
        <v>0</v>
      </c>
      <c r="CS536" s="4">
        <v>0</v>
      </c>
      <c r="CT536" s="4">
        <v>2</v>
      </c>
      <c r="CU536" s="4">
        <v>1</v>
      </c>
      <c r="CV536" s="4">
        <v>15</v>
      </c>
      <c r="CW536" s="4">
        <v>1</v>
      </c>
      <c r="CX536" s="5">
        <v>1</v>
      </c>
    </row>
    <row r="537" spans="1:102" ht="15.75" x14ac:dyDescent="0.25">
      <c r="A537" s="4" t="s">
        <v>225</v>
      </c>
      <c r="B537" s="4" t="s">
        <v>226</v>
      </c>
      <c r="C537" s="4">
        <v>2020</v>
      </c>
      <c r="D537" s="4">
        <v>1136</v>
      </c>
      <c r="E537" s="4">
        <v>12</v>
      </c>
      <c r="F537" s="4">
        <v>0</v>
      </c>
      <c r="G537" s="4">
        <v>16</v>
      </c>
      <c r="H537" s="4">
        <v>2</v>
      </c>
      <c r="I537" s="4">
        <v>3</v>
      </c>
      <c r="J537" s="4">
        <v>62</v>
      </c>
      <c r="K537" s="4">
        <v>0</v>
      </c>
      <c r="L537" s="4">
        <v>6</v>
      </c>
      <c r="M537" s="4">
        <v>3</v>
      </c>
      <c r="N537" s="4">
        <v>3</v>
      </c>
      <c r="O537" s="4">
        <v>54</v>
      </c>
      <c r="P537" s="4">
        <v>0</v>
      </c>
      <c r="Q537" s="4">
        <v>0</v>
      </c>
      <c r="R537" s="4">
        <v>3</v>
      </c>
      <c r="S537" s="4">
        <v>0</v>
      </c>
      <c r="T537" s="4">
        <v>0</v>
      </c>
      <c r="U537" s="4">
        <v>0</v>
      </c>
      <c r="V537" s="4">
        <v>10</v>
      </c>
      <c r="W537" s="4">
        <v>157</v>
      </c>
      <c r="X537" s="4">
        <v>2</v>
      </c>
      <c r="Y537" s="4">
        <v>6</v>
      </c>
      <c r="Z537" s="4">
        <v>0</v>
      </c>
      <c r="AA537" s="4">
        <v>29</v>
      </c>
      <c r="AB537" s="4">
        <v>4</v>
      </c>
      <c r="AC537" s="4">
        <v>0</v>
      </c>
      <c r="AD537" s="4">
        <v>0</v>
      </c>
      <c r="AE537" s="4">
        <v>0</v>
      </c>
      <c r="AF537" s="4">
        <v>0</v>
      </c>
      <c r="AG537" s="4">
        <v>10</v>
      </c>
      <c r="AH537" s="4">
        <v>2</v>
      </c>
      <c r="AI537" s="4">
        <v>15</v>
      </c>
      <c r="AJ537" s="4">
        <v>104</v>
      </c>
      <c r="AK537" s="4">
        <v>17</v>
      </c>
      <c r="AL537" s="4">
        <v>3</v>
      </c>
      <c r="AM537" s="4">
        <v>11</v>
      </c>
      <c r="AN537" s="4">
        <v>10</v>
      </c>
      <c r="AO537" s="4">
        <v>25</v>
      </c>
      <c r="AP537" s="4">
        <v>1</v>
      </c>
      <c r="AQ537" s="4">
        <v>4</v>
      </c>
      <c r="AR537" s="4">
        <v>1</v>
      </c>
      <c r="AS537" s="4">
        <v>14</v>
      </c>
      <c r="AT537" s="4">
        <v>5</v>
      </c>
      <c r="AU537" s="4">
        <v>2</v>
      </c>
      <c r="AV537" s="4">
        <v>33</v>
      </c>
      <c r="AW537" s="4">
        <v>17</v>
      </c>
      <c r="AX537" s="4">
        <v>16</v>
      </c>
      <c r="AY537" s="4">
        <v>0</v>
      </c>
      <c r="AZ537" s="4">
        <v>32</v>
      </c>
      <c r="BA537" s="4">
        <v>0</v>
      </c>
      <c r="BB537" s="4">
        <v>59</v>
      </c>
      <c r="BC537" s="4">
        <v>7</v>
      </c>
      <c r="BD537" s="4">
        <v>0</v>
      </c>
      <c r="BE537" s="4">
        <v>16</v>
      </c>
      <c r="BF537" s="4">
        <v>23</v>
      </c>
      <c r="BG537" s="4">
        <v>2</v>
      </c>
      <c r="BH537" s="4">
        <v>2</v>
      </c>
      <c r="BI537" s="4">
        <v>0</v>
      </c>
      <c r="BJ537" s="4">
        <v>35</v>
      </c>
      <c r="BK537" s="4">
        <v>33</v>
      </c>
      <c r="BL537" s="4">
        <v>0</v>
      </c>
      <c r="BM537" s="4">
        <v>1</v>
      </c>
      <c r="BN537" s="4">
        <v>8</v>
      </c>
      <c r="BO537" s="4">
        <v>0</v>
      </c>
      <c r="BP537" s="4">
        <v>0</v>
      </c>
      <c r="BQ537" s="4">
        <v>9</v>
      </c>
      <c r="BR537" s="4">
        <v>1</v>
      </c>
      <c r="BS537" s="4">
        <v>27</v>
      </c>
      <c r="BT537" s="4">
        <v>33</v>
      </c>
      <c r="BU537" s="4">
        <v>0</v>
      </c>
      <c r="BV537" s="4">
        <v>3</v>
      </c>
      <c r="BW537" s="4">
        <v>6</v>
      </c>
      <c r="BX537" s="4">
        <v>76</v>
      </c>
      <c r="BY537" s="4">
        <v>0</v>
      </c>
      <c r="BZ537" s="4">
        <v>0</v>
      </c>
      <c r="CA537" s="4">
        <v>2</v>
      </c>
      <c r="CB537" s="4">
        <v>4</v>
      </c>
      <c r="CC537" s="4">
        <v>0</v>
      </c>
      <c r="CD537" s="4">
        <v>4</v>
      </c>
      <c r="CE537" s="4">
        <v>0</v>
      </c>
      <c r="CF537" s="4">
        <v>1</v>
      </c>
      <c r="CG537" s="4">
        <v>0</v>
      </c>
      <c r="CH537" s="4">
        <v>2</v>
      </c>
      <c r="CI537" s="4">
        <v>0</v>
      </c>
      <c r="CJ537" s="4">
        <v>3</v>
      </c>
      <c r="CK537" s="4">
        <v>0</v>
      </c>
      <c r="CL537" s="4">
        <v>0</v>
      </c>
      <c r="CM537" s="4">
        <v>4</v>
      </c>
      <c r="CN537" s="4">
        <v>31</v>
      </c>
      <c r="CO537" s="4">
        <v>1</v>
      </c>
      <c r="CP537" s="4">
        <v>1</v>
      </c>
      <c r="CQ537" s="4">
        <v>0</v>
      </c>
      <c r="CR537" s="4">
        <v>1</v>
      </c>
      <c r="CS537" s="4">
        <v>1</v>
      </c>
      <c r="CT537" s="4">
        <v>9</v>
      </c>
      <c r="CU537" s="4">
        <v>21</v>
      </c>
      <c r="CV537" s="4">
        <v>14</v>
      </c>
      <c r="CW537" s="4">
        <v>4</v>
      </c>
      <c r="CX537" s="5">
        <v>4</v>
      </c>
    </row>
    <row r="538" spans="1:102" ht="15.75" x14ac:dyDescent="0.25">
      <c r="A538" s="4" t="s">
        <v>227</v>
      </c>
      <c r="B538" s="4" t="s">
        <v>228</v>
      </c>
      <c r="C538" s="4">
        <v>2020</v>
      </c>
      <c r="D538" s="4">
        <v>1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1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5">
        <v>0</v>
      </c>
    </row>
    <row r="539" spans="1:102" ht="15.75" x14ac:dyDescent="0.25">
      <c r="A539" s="4" t="s">
        <v>229</v>
      </c>
      <c r="B539" s="4" t="s">
        <v>230</v>
      </c>
      <c r="C539" s="4">
        <v>2020</v>
      </c>
      <c r="D539" s="4">
        <v>8270</v>
      </c>
      <c r="E539" s="4">
        <v>13</v>
      </c>
      <c r="F539" s="4">
        <v>37</v>
      </c>
      <c r="G539" s="4">
        <v>42</v>
      </c>
      <c r="H539" s="4">
        <v>160</v>
      </c>
      <c r="I539" s="4">
        <v>80</v>
      </c>
      <c r="J539" s="4">
        <v>53</v>
      </c>
      <c r="K539" s="4">
        <v>8</v>
      </c>
      <c r="L539" s="4">
        <v>41</v>
      </c>
      <c r="M539" s="4">
        <v>24</v>
      </c>
      <c r="N539" s="4">
        <v>61</v>
      </c>
      <c r="O539" s="4">
        <v>322</v>
      </c>
      <c r="P539" s="4">
        <v>1</v>
      </c>
      <c r="Q539" s="4">
        <v>3</v>
      </c>
      <c r="R539" s="4">
        <v>2</v>
      </c>
      <c r="S539" s="4">
        <v>1</v>
      </c>
      <c r="T539" s="4">
        <v>13</v>
      </c>
      <c r="U539" s="4">
        <v>15</v>
      </c>
      <c r="V539" s="4">
        <v>17</v>
      </c>
      <c r="W539" s="4">
        <v>190</v>
      </c>
      <c r="X539" s="4">
        <v>23</v>
      </c>
      <c r="Y539" s="4">
        <v>3</v>
      </c>
      <c r="Z539" s="4">
        <v>189</v>
      </c>
      <c r="AA539" s="4">
        <v>215</v>
      </c>
      <c r="AB539" s="4">
        <v>25</v>
      </c>
      <c r="AC539" s="4">
        <v>0</v>
      </c>
      <c r="AD539" s="4">
        <v>1</v>
      </c>
      <c r="AE539" s="4">
        <v>2</v>
      </c>
      <c r="AF539" s="4">
        <v>5</v>
      </c>
      <c r="AG539" s="4">
        <v>135</v>
      </c>
      <c r="AH539" s="4">
        <v>275</v>
      </c>
      <c r="AI539" s="4">
        <v>99</v>
      </c>
      <c r="AJ539" s="4">
        <v>594</v>
      </c>
      <c r="AK539" s="4">
        <v>212</v>
      </c>
      <c r="AL539" s="4">
        <v>13</v>
      </c>
      <c r="AM539" s="4">
        <v>100</v>
      </c>
      <c r="AN539" s="4">
        <v>114</v>
      </c>
      <c r="AO539" s="4">
        <v>203</v>
      </c>
      <c r="AP539" s="4">
        <v>3</v>
      </c>
      <c r="AQ539" s="4">
        <v>32</v>
      </c>
      <c r="AR539" s="4">
        <v>6</v>
      </c>
      <c r="AS539" s="4">
        <v>47</v>
      </c>
      <c r="AT539" s="4">
        <v>82</v>
      </c>
      <c r="AU539" s="4">
        <v>63</v>
      </c>
      <c r="AV539" s="4">
        <v>175</v>
      </c>
      <c r="AW539" s="4">
        <v>70</v>
      </c>
      <c r="AX539" s="4">
        <v>171</v>
      </c>
      <c r="AY539" s="4">
        <v>4</v>
      </c>
      <c r="AZ539" s="4">
        <v>20</v>
      </c>
      <c r="BA539" s="4">
        <v>0</v>
      </c>
      <c r="BB539" s="4">
        <v>465</v>
      </c>
      <c r="BC539" s="4">
        <v>17</v>
      </c>
      <c r="BD539" s="4">
        <v>2</v>
      </c>
      <c r="BE539" s="4">
        <v>34</v>
      </c>
      <c r="BF539" s="4">
        <v>116</v>
      </c>
      <c r="BG539" s="4">
        <v>7</v>
      </c>
      <c r="BH539" s="4">
        <v>8</v>
      </c>
      <c r="BI539" s="4">
        <v>4</v>
      </c>
      <c r="BJ539" s="4">
        <v>167</v>
      </c>
      <c r="BK539" s="4">
        <v>183</v>
      </c>
      <c r="BL539" s="4">
        <v>3</v>
      </c>
      <c r="BM539" s="4">
        <v>21</v>
      </c>
      <c r="BN539" s="4">
        <v>111</v>
      </c>
      <c r="BO539" s="4">
        <v>1</v>
      </c>
      <c r="BP539" s="4">
        <v>24</v>
      </c>
      <c r="BQ539" s="4">
        <v>191</v>
      </c>
      <c r="BR539" s="4">
        <v>37</v>
      </c>
      <c r="BS539" s="4">
        <v>232</v>
      </c>
      <c r="BT539" s="4">
        <v>99</v>
      </c>
      <c r="BU539" s="4">
        <v>22</v>
      </c>
      <c r="BV539" s="4">
        <v>235</v>
      </c>
      <c r="BW539" s="4">
        <v>37</v>
      </c>
      <c r="BX539" s="4">
        <v>808</v>
      </c>
      <c r="BY539" s="4">
        <v>5</v>
      </c>
      <c r="BZ539" s="4">
        <v>0</v>
      </c>
      <c r="CA539" s="4">
        <v>125</v>
      </c>
      <c r="CB539" s="4">
        <v>37</v>
      </c>
      <c r="CC539" s="4">
        <v>2</v>
      </c>
      <c r="CD539" s="4">
        <v>16</v>
      </c>
      <c r="CE539" s="4">
        <v>13</v>
      </c>
      <c r="CF539" s="4">
        <v>18</v>
      </c>
      <c r="CG539" s="4">
        <v>6</v>
      </c>
      <c r="CH539" s="4">
        <v>12</v>
      </c>
      <c r="CI539" s="4">
        <v>24</v>
      </c>
      <c r="CJ539" s="4">
        <v>243</v>
      </c>
      <c r="CK539" s="4">
        <v>86</v>
      </c>
      <c r="CL539" s="4">
        <v>1</v>
      </c>
      <c r="CM539" s="4">
        <v>94</v>
      </c>
      <c r="CN539" s="4">
        <v>165</v>
      </c>
      <c r="CO539" s="4">
        <v>37</v>
      </c>
      <c r="CP539" s="4">
        <v>11</v>
      </c>
      <c r="CQ539" s="4">
        <v>0</v>
      </c>
      <c r="CR539" s="4">
        <v>4</v>
      </c>
      <c r="CS539" s="4">
        <v>10</v>
      </c>
      <c r="CT539" s="4">
        <v>83</v>
      </c>
      <c r="CU539" s="4">
        <v>14</v>
      </c>
      <c r="CV539" s="4">
        <v>271</v>
      </c>
      <c r="CW539" s="4">
        <v>202</v>
      </c>
      <c r="CX539" s="5">
        <v>204</v>
      </c>
    </row>
    <row r="540" spans="1:102" ht="15.75" x14ac:dyDescent="0.25">
      <c r="A540" s="4" t="s">
        <v>231</v>
      </c>
      <c r="B540" s="4" t="s">
        <v>232</v>
      </c>
      <c r="C540" s="4">
        <v>2020</v>
      </c>
      <c r="D540" s="4">
        <v>306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5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1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2</v>
      </c>
      <c r="AK540" s="4">
        <v>1</v>
      </c>
      <c r="AL540" s="4">
        <v>0</v>
      </c>
      <c r="AM540" s="4">
        <v>0</v>
      </c>
      <c r="AN540" s="4">
        <v>0</v>
      </c>
      <c r="AO540" s="4">
        <v>4</v>
      </c>
      <c r="AP540" s="4">
        <v>0</v>
      </c>
      <c r="AQ540" s="4">
        <v>1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3</v>
      </c>
      <c r="AY540" s="4">
        <v>0</v>
      </c>
      <c r="AZ540" s="4">
        <v>4</v>
      </c>
      <c r="BA540" s="4">
        <v>0</v>
      </c>
      <c r="BB540" s="4">
        <v>151</v>
      </c>
      <c r="BC540" s="4">
        <v>4</v>
      </c>
      <c r="BD540" s="4">
        <v>0</v>
      </c>
      <c r="BE540" s="4">
        <v>1</v>
      </c>
      <c r="BF540" s="4">
        <v>10</v>
      </c>
      <c r="BG540" s="4">
        <v>0</v>
      </c>
      <c r="BH540" s="4">
        <v>0</v>
      </c>
      <c r="BI540" s="4">
        <v>0</v>
      </c>
      <c r="BJ540" s="4">
        <v>3</v>
      </c>
      <c r="BK540" s="4">
        <v>52</v>
      </c>
      <c r="BL540" s="4">
        <v>0</v>
      </c>
      <c r="BM540" s="4">
        <v>0</v>
      </c>
      <c r="BN540" s="4">
        <v>2</v>
      </c>
      <c r="BO540" s="4">
        <v>0</v>
      </c>
      <c r="BP540" s="4">
        <v>0</v>
      </c>
      <c r="BQ540" s="4">
        <v>6</v>
      </c>
      <c r="BR540" s="4">
        <v>0</v>
      </c>
      <c r="BS540" s="4">
        <v>20</v>
      </c>
      <c r="BT540" s="4">
        <v>7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6</v>
      </c>
      <c r="CB540" s="4">
        <v>0</v>
      </c>
      <c r="CC540" s="4">
        <v>0</v>
      </c>
      <c r="CD540" s="4">
        <v>1</v>
      </c>
      <c r="CE540" s="4">
        <v>0</v>
      </c>
      <c r="CF540" s="4">
        <v>0</v>
      </c>
      <c r="CG540" s="4">
        <v>1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3</v>
      </c>
      <c r="CN540" s="4">
        <v>11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0</v>
      </c>
      <c r="CV540" s="4">
        <v>1</v>
      </c>
      <c r="CW540" s="4">
        <v>1</v>
      </c>
      <c r="CX540" s="5">
        <v>1</v>
      </c>
    </row>
    <row r="541" spans="1:102" ht="15.75" x14ac:dyDescent="0.25">
      <c r="A541" s="4" t="s">
        <v>233</v>
      </c>
      <c r="B541" s="4" t="s">
        <v>234</v>
      </c>
      <c r="C541" s="4">
        <v>2020</v>
      </c>
      <c r="D541" s="4">
        <v>1263</v>
      </c>
      <c r="E541" s="4">
        <v>0</v>
      </c>
      <c r="F541" s="4">
        <v>0</v>
      </c>
      <c r="G541" s="4">
        <v>1</v>
      </c>
      <c r="H541" s="4">
        <v>0</v>
      </c>
      <c r="I541" s="4">
        <v>13</v>
      </c>
      <c r="J541" s="4">
        <v>4</v>
      </c>
      <c r="K541" s="4">
        <v>1</v>
      </c>
      <c r="L541" s="4">
        <v>5</v>
      </c>
      <c r="M541" s="4">
        <v>18</v>
      </c>
      <c r="N541" s="4">
        <v>14</v>
      </c>
      <c r="O541" s="4">
        <v>28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2</v>
      </c>
      <c r="V541" s="4">
        <v>13</v>
      </c>
      <c r="W541" s="4">
        <v>46</v>
      </c>
      <c r="X541" s="4">
        <v>2</v>
      </c>
      <c r="Y541" s="4">
        <v>2</v>
      </c>
      <c r="Z541" s="4">
        <v>67</v>
      </c>
      <c r="AA541" s="4">
        <v>3</v>
      </c>
      <c r="AB541" s="4">
        <v>19</v>
      </c>
      <c r="AC541" s="4">
        <v>0</v>
      </c>
      <c r="AD541" s="4">
        <v>0</v>
      </c>
      <c r="AE541" s="4">
        <v>2</v>
      </c>
      <c r="AF541" s="4">
        <v>18</v>
      </c>
      <c r="AG541" s="4">
        <v>35</v>
      </c>
      <c r="AH541" s="4">
        <v>13</v>
      </c>
      <c r="AI541" s="4">
        <v>17</v>
      </c>
      <c r="AJ541" s="4">
        <v>24</v>
      </c>
      <c r="AK541" s="4">
        <v>16</v>
      </c>
      <c r="AL541" s="4">
        <v>1</v>
      </c>
      <c r="AM541" s="4">
        <v>24</v>
      </c>
      <c r="AN541" s="4">
        <v>19</v>
      </c>
      <c r="AO541" s="4">
        <v>39</v>
      </c>
      <c r="AP541" s="4">
        <v>1</v>
      </c>
      <c r="AQ541" s="4">
        <v>7</v>
      </c>
      <c r="AR541" s="4">
        <v>0</v>
      </c>
      <c r="AS541" s="4">
        <v>20</v>
      </c>
      <c r="AT541" s="4">
        <v>30</v>
      </c>
      <c r="AU541" s="4">
        <v>11</v>
      </c>
      <c r="AV541" s="4">
        <v>32</v>
      </c>
      <c r="AW541" s="4">
        <v>12</v>
      </c>
      <c r="AX541" s="4">
        <v>44</v>
      </c>
      <c r="AY541" s="4">
        <v>1</v>
      </c>
      <c r="AZ541" s="4">
        <v>23</v>
      </c>
      <c r="BA541" s="4">
        <v>0</v>
      </c>
      <c r="BB541" s="4">
        <v>14</v>
      </c>
      <c r="BC541" s="4">
        <v>10</v>
      </c>
      <c r="BD541" s="4">
        <v>0</v>
      </c>
      <c r="BE541" s="4">
        <v>18</v>
      </c>
      <c r="BF541" s="4">
        <v>53</v>
      </c>
      <c r="BG541" s="4">
        <v>2</v>
      </c>
      <c r="BH541" s="4">
        <v>4</v>
      </c>
      <c r="BI541" s="4">
        <v>0</v>
      </c>
      <c r="BJ541" s="4">
        <v>33</v>
      </c>
      <c r="BK541" s="4">
        <v>55</v>
      </c>
      <c r="BL541" s="4">
        <v>0</v>
      </c>
      <c r="BM541" s="4">
        <v>8</v>
      </c>
      <c r="BN541" s="4">
        <v>23</v>
      </c>
      <c r="BO541" s="4">
        <v>0</v>
      </c>
      <c r="BP541" s="4">
        <v>2</v>
      </c>
      <c r="BQ541" s="4">
        <v>17</v>
      </c>
      <c r="BR541" s="4">
        <v>3</v>
      </c>
      <c r="BS541" s="4">
        <v>45</v>
      </c>
      <c r="BT541" s="4">
        <v>28</v>
      </c>
      <c r="BU541" s="4">
        <v>1</v>
      </c>
      <c r="BV541" s="4">
        <v>23</v>
      </c>
      <c r="BW541" s="4">
        <v>10</v>
      </c>
      <c r="BX541" s="4">
        <v>76</v>
      </c>
      <c r="BY541" s="4">
        <v>1</v>
      </c>
      <c r="BZ541" s="4">
        <v>0</v>
      </c>
      <c r="CA541" s="4">
        <v>16</v>
      </c>
      <c r="CB541" s="4">
        <v>8</v>
      </c>
      <c r="CC541" s="4">
        <v>0</v>
      </c>
      <c r="CD541" s="4">
        <v>3</v>
      </c>
      <c r="CE541" s="4">
        <v>0</v>
      </c>
      <c r="CF541" s="4">
        <v>2</v>
      </c>
      <c r="CG541" s="4">
        <v>2</v>
      </c>
      <c r="CH541" s="4">
        <v>2</v>
      </c>
      <c r="CI541" s="4">
        <v>3</v>
      </c>
      <c r="CJ541" s="4">
        <v>30</v>
      </c>
      <c r="CK541" s="4">
        <v>7</v>
      </c>
      <c r="CL541" s="4">
        <v>0</v>
      </c>
      <c r="CM541" s="4">
        <v>5</v>
      </c>
      <c r="CN541" s="4">
        <v>59</v>
      </c>
      <c r="CO541" s="4">
        <v>3</v>
      </c>
      <c r="CP541" s="4">
        <v>4</v>
      </c>
      <c r="CQ541" s="4">
        <v>0</v>
      </c>
      <c r="CR541" s="4">
        <v>0</v>
      </c>
      <c r="CS541" s="4">
        <v>1</v>
      </c>
      <c r="CT541" s="4">
        <v>13</v>
      </c>
      <c r="CU541" s="4">
        <v>2</v>
      </c>
      <c r="CV541" s="4">
        <v>45</v>
      </c>
      <c r="CW541" s="4">
        <v>3</v>
      </c>
      <c r="CX541" s="5">
        <v>3</v>
      </c>
    </row>
    <row r="542" spans="1:102" ht="15.75" x14ac:dyDescent="0.25">
      <c r="A542" s="4" t="s">
        <v>235</v>
      </c>
      <c r="B542" s="4" t="s">
        <v>236</v>
      </c>
      <c r="C542" s="4">
        <v>2020</v>
      </c>
      <c r="D542" s="4">
        <v>7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1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1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1</v>
      </c>
      <c r="CU542" s="4">
        <v>0</v>
      </c>
      <c r="CV542" s="4">
        <v>0</v>
      </c>
      <c r="CW542" s="4">
        <v>0</v>
      </c>
      <c r="CX542" s="5">
        <v>0</v>
      </c>
    </row>
    <row r="543" spans="1:102" ht="15.75" x14ac:dyDescent="0.25">
      <c r="A543" s="4" t="s">
        <v>237</v>
      </c>
      <c r="B543" s="4" t="s">
        <v>238</v>
      </c>
      <c r="C543" s="4">
        <v>2020</v>
      </c>
      <c r="D543" s="4">
        <v>54</v>
      </c>
      <c r="E543" s="4">
        <v>0</v>
      </c>
      <c r="F543" s="4">
        <v>1</v>
      </c>
      <c r="G543" s="4">
        <v>0</v>
      </c>
      <c r="H543" s="4">
        <v>0</v>
      </c>
      <c r="I543" s="4">
        <v>1</v>
      </c>
      <c r="J543" s="4">
        <v>1</v>
      </c>
      <c r="K543" s="4">
        <v>0</v>
      </c>
      <c r="L543" s="4">
        <v>1</v>
      </c>
      <c r="M543" s="4">
        <v>0</v>
      </c>
      <c r="N543" s="4">
        <v>3</v>
      </c>
      <c r="O543" s="4">
        <v>2</v>
      </c>
      <c r="P543" s="4">
        <v>0</v>
      </c>
      <c r="Q543" s="4">
        <v>0</v>
      </c>
      <c r="R543" s="4">
        <v>0</v>
      </c>
      <c r="S543" s="4">
        <v>1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2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2</v>
      </c>
      <c r="AK543" s="4">
        <v>1</v>
      </c>
      <c r="AL543" s="4">
        <v>0</v>
      </c>
      <c r="AM543" s="4">
        <v>0</v>
      </c>
      <c r="AN543" s="4">
        <v>1</v>
      </c>
      <c r="AO543" s="4">
        <v>1</v>
      </c>
      <c r="AP543" s="4">
        <v>0</v>
      </c>
      <c r="AQ543" s="4">
        <v>0</v>
      </c>
      <c r="AR543" s="4">
        <v>1</v>
      </c>
      <c r="AS543" s="4">
        <v>0</v>
      </c>
      <c r="AT543" s="4">
        <v>1</v>
      </c>
      <c r="AU543" s="4">
        <v>2</v>
      </c>
      <c r="AV543" s="4">
        <v>1</v>
      </c>
      <c r="AW543" s="4">
        <v>0</v>
      </c>
      <c r="AX543" s="4">
        <v>4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1</v>
      </c>
      <c r="BF543" s="4">
        <v>2</v>
      </c>
      <c r="BG543" s="4">
        <v>0</v>
      </c>
      <c r="BH543" s="4">
        <v>0</v>
      </c>
      <c r="BI543" s="4">
        <v>0</v>
      </c>
      <c r="BJ543" s="4">
        <v>1</v>
      </c>
      <c r="BK543" s="4">
        <v>3</v>
      </c>
      <c r="BL543" s="4">
        <v>0</v>
      </c>
      <c r="BM543" s="4">
        <v>0</v>
      </c>
      <c r="BN543" s="4">
        <v>0</v>
      </c>
      <c r="BO543" s="4">
        <v>0</v>
      </c>
      <c r="BP543" s="4">
        <v>1</v>
      </c>
      <c r="BQ543" s="4">
        <v>1</v>
      </c>
      <c r="BR543" s="4">
        <v>0</v>
      </c>
      <c r="BS543" s="4">
        <v>2</v>
      </c>
      <c r="BT543" s="4">
        <v>0</v>
      </c>
      <c r="BU543" s="4">
        <v>0</v>
      </c>
      <c r="BV543" s="4">
        <v>1</v>
      </c>
      <c r="BW543" s="4">
        <v>3</v>
      </c>
      <c r="BX543" s="4">
        <v>2</v>
      </c>
      <c r="BY543" s="4">
        <v>0</v>
      </c>
      <c r="BZ543" s="4">
        <v>0</v>
      </c>
      <c r="CA543" s="4">
        <v>1</v>
      </c>
      <c r="CB543" s="4">
        <v>0</v>
      </c>
      <c r="CC543" s="4">
        <v>0</v>
      </c>
      <c r="CD543" s="4">
        <v>1</v>
      </c>
      <c r="CE543" s="4">
        <v>0</v>
      </c>
      <c r="CF543" s="4">
        <v>1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1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3</v>
      </c>
      <c r="CW543" s="4">
        <v>2</v>
      </c>
      <c r="CX543" s="5">
        <v>2</v>
      </c>
    </row>
    <row r="544" spans="1:102" ht="15.75" x14ac:dyDescent="0.25">
      <c r="A544" s="4" t="s">
        <v>239</v>
      </c>
      <c r="B544" s="4" t="s">
        <v>240</v>
      </c>
      <c r="C544" s="4">
        <v>2020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5">
        <v>0</v>
      </c>
    </row>
    <row r="545" spans="1:102" ht="15.75" x14ac:dyDescent="0.25">
      <c r="A545" s="4" t="s">
        <v>241</v>
      </c>
      <c r="B545" s="4" t="s">
        <v>242</v>
      </c>
      <c r="C545" s="4">
        <v>2020</v>
      </c>
      <c r="D545" s="4">
        <v>34</v>
      </c>
      <c r="E545" s="4">
        <v>0</v>
      </c>
      <c r="F545" s="4">
        <v>0</v>
      </c>
      <c r="G545" s="4">
        <v>0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  <c r="M545" s="4">
        <v>16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5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1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2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1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5">
        <v>0</v>
      </c>
    </row>
    <row r="546" spans="1:102" ht="15.75" x14ac:dyDescent="0.25">
      <c r="A546" s="4" t="s">
        <v>243</v>
      </c>
      <c r="B546" s="4" t="s">
        <v>244</v>
      </c>
      <c r="C546" s="4">
        <v>2020</v>
      </c>
      <c r="D546" s="4">
        <v>18728</v>
      </c>
      <c r="E546" s="4">
        <v>68</v>
      </c>
      <c r="F546" s="4">
        <v>297</v>
      </c>
      <c r="G546" s="4">
        <v>120</v>
      </c>
      <c r="H546" s="4">
        <v>519</v>
      </c>
      <c r="I546" s="4">
        <v>143</v>
      </c>
      <c r="J546" s="4">
        <v>103</v>
      </c>
      <c r="K546" s="4">
        <v>10</v>
      </c>
      <c r="L546" s="4">
        <v>87</v>
      </c>
      <c r="M546" s="4">
        <v>90</v>
      </c>
      <c r="N546" s="4">
        <v>93</v>
      </c>
      <c r="O546" s="4">
        <v>616</v>
      </c>
      <c r="P546" s="4">
        <v>2</v>
      </c>
      <c r="Q546" s="4">
        <v>11</v>
      </c>
      <c r="R546" s="4">
        <v>9</v>
      </c>
      <c r="S546" s="4">
        <v>4</v>
      </c>
      <c r="T546" s="4">
        <v>17</v>
      </c>
      <c r="U546" s="4">
        <v>6</v>
      </c>
      <c r="V546" s="4">
        <v>16</v>
      </c>
      <c r="W546" s="4">
        <v>51</v>
      </c>
      <c r="X546" s="4">
        <v>31</v>
      </c>
      <c r="Y546" s="4">
        <v>4</v>
      </c>
      <c r="Z546" s="4">
        <v>462</v>
      </c>
      <c r="AA546" s="4">
        <v>139</v>
      </c>
      <c r="AB546" s="4">
        <v>210</v>
      </c>
      <c r="AC546" s="4">
        <v>56</v>
      </c>
      <c r="AD546" s="4">
        <v>9</v>
      </c>
      <c r="AE546" s="4">
        <v>8</v>
      </c>
      <c r="AF546" s="4">
        <v>10</v>
      </c>
      <c r="AG546" s="4">
        <v>262</v>
      </c>
      <c r="AH546" s="4">
        <v>193</v>
      </c>
      <c r="AI546" s="4">
        <v>141</v>
      </c>
      <c r="AJ546" s="4">
        <v>1026</v>
      </c>
      <c r="AK546" s="4">
        <v>310</v>
      </c>
      <c r="AL546" s="4">
        <v>12</v>
      </c>
      <c r="AM546" s="4">
        <v>224</v>
      </c>
      <c r="AN546" s="4">
        <v>249</v>
      </c>
      <c r="AO546" s="4">
        <v>472</v>
      </c>
      <c r="AP546" s="4">
        <v>7</v>
      </c>
      <c r="AQ546" s="4">
        <v>107</v>
      </c>
      <c r="AR546" s="4">
        <v>31</v>
      </c>
      <c r="AS546" s="4">
        <v>189</v>
      </c>
      <c r="AT546" s="4">
        <v>196</v>
      </c>
      <c r="AU546" s="4">
        <v>216</v>
      </c>
      <c r="AV546" s="4">
        <v>232</v>
      </c>
      <c r="AW546" s="4">
        <v>272</v>
      </c>
      <c r="AX546" s="4">
        <v>481</v>
      </c>
      <c r="AY546" s="4">
        <v>6</v>
      </c>
      <c r="AZ546" s="4">
        <v>38</v>
      </c>
      <c r="BA546" s="4">
        <v>0</v>
      </c>
      <c r="BB546" s="4">
        <v>983</v>
      </c>
      <c r="BC546" s="4">
        <v>56</v>
      </c>
      <c r="BD546" s="4">
        <v>2</v>
      </c>
      <c r="BE546" s="4">
        <v>100</v>
      </c>
      <c r="BF546" s="4">
        <v>401</v>
      </c>
      <c r="BG546" s="4">
        <v>10</v>
      </c>
      <c r="BH546" s="4">
        <v>23</v>
      </c>
      <c r="BI546" s="4">
        <v>7</v>
      </c>
      <c r="BJ546" s="4">
        <v>322</v>
      </c>
      <c r="BK546" s="4">
        <v>526</v>
      </c>
      <c r="BL546" s="4">
        <v>5</v>
      </c>
      <c r="BM546" s="4">
        <v>116</v>
      </c>
      <c r="BN546" s="4">
        <v>256</v>
      </c>
      <c r="BO546" s="4">
        <v>3</v>
      </c>
      <c r="BP546" s="4">
        <v>63</v>
      </c>
      <c r="BQ546" s="4">
        <v>372</v>
      </c>
      <c r="BR546" s="4">
        <v>56</v>
      </c>
      <c r="BS546" s="4">
        <v>462</v>
      </c>
      <c r="BT546" s="4">
        <v>236</v>
      </c>
      <c r="BU546" s="4">
        <v>98</v>
      </c>
      <c r="BV546" s="4">
        <v>412</v>
      </c>
      <c r="BW546" s="4">
        <v>144</v>
      </c>
      <c r="BX546" s="4">
        <v>629</v>
      </c>
      <c r="BY546" s="4">
        <v>10</v>
      </c>
      <c r="BZ546" s="4">
        <v>1</v>
      </c>
      <c r="CA546" s="4">
        <v>2261</v>
      </c>
      <c r="CB546" s="4">
        <v>54</v>
      </c>
      <c r="CC546" s="4">
        <v>3</v>
      </c>
      <c r="CD546" s="4">
        <v>66</v>
      </c>
      <c r="CE546" s="4">
        <v>28</v>
      </c>
      <c r="CF546" s="4">
        <v>53</v>
      </c>
      <c r="CG546" s="4">
        <v>143</v>
      </c>
      <c r="CH546" s="4">
        <v>40</v>
      </c>
      <c r="CI546" s="4">
        <v>67</v>
      </c>
      <c r="CJ546" s="4">
        <v>602</v>
      </c>
      <c r="CK546" s="4">
        <v>224</v>
      </c>
      <c r="CL546" s="4">
        <v>1</v>
      </c>
      <c r="CM546" s="4">
        <v>92</v>
      </c>
      <c r="CN546" s="4">
        <v>414</v>
      </c>
      <c r="CO546" s="4">
        <v>109</v>
      </c>
      <c r="CP546" s="4">
        <v>37</v>
      </c>
      <c r="CQ546" s="4">
        <v>1</v>
      </c>
      <c r="CR546" s="4">
        <v>55</v>
      </c>
      <c r="CS546" s="4">
        <v>405</v>
      </c>
      <c r="CT546" s="4">
        <v>258</v>
      </c>
      <c r="CU546" s="4">
        <v>25</v>
      </c>
      <c r="CV546" s="4">
        <v>598</v>
      </c>
      <c r="CW546" s="4">
        <v>41</v>
      </c>
      <c r="CX546" s="5">
        <v>41</v>
      </c>
    </row>
    <row r="547" spans="1:102" ht="15.75" x14ac:dyDescent="0.25">
      <c r="A547" s="4" t="s">
        <v>245</v>
      </c>
      <c r="B547" s="4" t="s">
        <v>246</v>
      </c>
      <c r="C547" s="4">
        <v>2020</v>
      </c>
      <c r="D547" s="4">
        <v>42</v>
      </c>
      <c r="E547" s="4">
        <v>0</v>
      </c>
      <c r="F547" s="4">
        <v>7</v>
      </c>
      <c r="G547" s="4">
        <v>1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2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1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1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3</v>
      </c>
      <c r="AY547" s="4">
        <v>0</v>
      </c>
      <c r="AZ547" s="4">
        <v>12</v>
      </c>
      <c r="BA547" s="4">
        <v>0</v>
      </c>
      <c r="BB547" s="4">
        <v>2</v>
      </c>
      <c r="BC547" s="4">
        <v>0</v>
      </c>
      <c r="BD547" s="4">
        <v>0</v>
      </c>
      <c r="BE547" s="4">
        <v>1</v>
      </c>
      <c r="BF547" s="4">
        <v>1</v>
      </c>
      <c r="BG547" s="4">
        <v>0</v>
      </c>
      <c r="BH547" s="4">
        <v>0</v>
      </c>
      <c r="BI547" s="4">
        <v>0</v>
      </c>
      <c r="BJ547" s="4">
        <v>2</v>
      </c>
      <c r="BK547" s="4">
        <v>4</v>
      </c>
      <c r="BL547" s="4">
        <v>0</v>
      </c>
      <c r="BM547" s="4">
        <v>0</v>
      </c>
      <c r="BN547" s="4">
        <v>1</v>
      </c>
      <c r="BO547" s="4">
        <v>0</v>
      </c>
      <c r="BP547" s="4">
        <v>0</v>
      </c>
      <c r="BQ547" s="4">
        <v>0</v>
      </c>
      <c r="BR547" s="4">
        <v>0</v>
      </c>
      <c r="BS547" s="4">
        <v>1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1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1</v>
      </c>
      <c r="CU547" s="4">
        <v>0</v>
      </c>
      <c r="CV547" s="4">
        <v>0</v>
      </c>
      <c r="CW547" s="4">
        <v>1</v>
      </c>
      <c r="CX547" s="5">
        <v>1</v>
      </c>
    </row>
    <row r="548" spans="1:102" ht="15.75" x14ac:dyDescent="0.25">
      <c r="A548" s="4" t="s">
        <v>247</v>
      </c>
      <c r="B548" s="4" t="s">
        <v>248</v>
      </c>
      <c r="C548" s="4">
        <v>2020</v>
      </c>
      <c r="D548" s="4">
        <v>8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1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1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4">
        <v>0</v>
      </c>
      <c r="CV548" s="4">
        <v>0</v>
      </c>
      <c r="CW548" s="4">
        <v>0</v>
      </c>
      <c r="CX548" s="5">
        <v>0</v>
      </c>
    </row>
    <row r="549" spans="1:102" ht="15.75" x14ac:dyDescent="0.25">
      <c r="A549" s="4" t="s">
        <v>249</v>
      </c>
      <c r="B549" s="4" t="s">
        <v>250</v>
      </c>
      <c r="C549" s="4">
        <v>2020</v>
      </c>
      <c r="D549" s="4">
        <v>73</v>
      </c>
      <c r="E549" s="4">
        <v>0</v>
      </c>
      <c r="F549" s="4">
        <v>0</v>
      </c>
      <c r="G549" s="4">
        <v>0</v>
      </c>
      <c r="H549" s="4">
        <v>2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13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8</v>
      </c>
      <c r="AK549" s="4">
        <v>1</v>
      </c>
      <c r="AL549" s="4">
        <v>0</v>
      </c>
      <c r="AM549" s="4">
        <v>0</v>
      </c>
      <c r="AN549" s="4">
        <v>0</v>
      </c>
      <c r="AO549" s="4">
        <v>2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3</v>
      </c>
      <c r="AX549" s="4">
        <v>1</v>
      </c>
      <c r="AY549" s="4">
        <v>0</v>
      </c>
      <c r="AZ549" s="4">
        <v>0</v>
      </c>
      <c r="BA549" s="4">
        <v>0</v>
      </c>
      <c r="BB549" s="4">
        <v>1</v>
      </c>
      <c r="BC549" s="4">
        <v>0</v>
      </c>
      <c r="BD549" s="4">
        <v>0</v>
      </c>
      <c r="BE549" s="4">
        <v>1</v>
      </c>
      <c r="BF549" s="4">
        <v>3</v>
      </c>
      <c r="BG549" s="4">
        <v>0</v>
      </c>
      <c r="BH549" s="4">
        <v>0</v>
      </c>
      <c r="BI549" s="4">
        <v>0</v>
      </c>
      <c r="BJ549" s="4">
        <v>1</v>
      </c>
      <c r="BK549" s="4">
        <v>1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1</v>
      </c>
      <c r="BR549" s="4">
        <v>0</v>
      </c>
      <c r="BS549" s="4">
        <v>1</v>
      </c>
      <c r="BT549" s="4">
        <v>1</v>
      </c>
      <c r="BU549" s="4">
        <v>0</v>
      </c>
      <c r="BV549" s="4">
        <v>1</v>
      </c>
      <c r="BW549" s="4">
        <v>0</v>
      </c>
      <c r="BX549" s="4">
        <v>12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3</v>
      </c>
      <c r="CK549" s="4">
        <v>0</v>
      </c>
      <c r="CL549" s="4">
        <v>0</v>
      </c>
      <c r="CM549" s="4">
        <v>0</v>
      </c>
      <c r="CN549" s="4">
        <v>2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4</v>
      </c>
      <c r="CV549" s="4">
        <v>1</v>
      </c>
      <c r="CW549" s="4">
        <v>1</v>
      </c>
      <c r="CX549" s="5">
        <v>1</v>
      </c>
    </row>
    <row r="550" spans="1:102" ht="15.75" x14ac:dyDescent="0.25">
      <c r="A550" s="4" t="s">
        <v>251</v>
      </c>
      <c r="B550" s="4" t="s">
        <v>252</v>
      </c>
      <c r="C550" s="4">
        <v>2020</v>
      </c>
      <c r="D550" s="4">
        <v>220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17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19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1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4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1</v>
      </c>
      <c r="BO550" s="4">
        <v>0</v>
      </c>
      <c r="BP550" s="4">
        <v>0</v>
      </c>
      <c r="BQ550" s="4">
        <v>1</v>
      </c>
      <c r="BR550" s="4">
        <v>0</v>
      </c>
      <c r="BS550" s="4">
        <v>0</v>
      </c>
      <c r="BT550" s="4">
        <v>1</v>
      </c>
      <c r="BU550" s="4">
        <v>0</v>
      </c>
      <c r="BV550" s="4">
        <v>0</v>
      </c>
      <c r="BW550" s="4">
        <v>0</v>
      </c>
      <c r="BX550" s="4">
        <v>1</v>
      </c>
      <c r="BY550" s="4">
        <v>0</v>
      </c>
      <c r="BZ550" s="4">
        <v>0</v>
      </c>
      <c r="CA550" s="4">
        <v>55</v>
      </c>
      <c r="CB550" s="4">
        <v>114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1</v>
      </c>
      <c r="CO550" s="4">
        <v>0</v>
      </c>
      <c r="CP550" s="4">
        <v>0</v>
      </c>
      <c r="CQ550" s="4">
        <v>0</v>
      </c>
      <c r="CR550" s="4">
        <v>1</v>
      </c>
      <c r="CS550" s="4">
        <v>1</v>
      </c>
      <c r="CT550" s="4">
        <v>0</v>
      </c>
      <c r="CU550" s="4">
        <v>0</v>
      </c>
      <c r="CV550" s="4">
        <v>1</v>
      </c>
      <c r="CW550" s="4">
        <v>0</v>
      </c>
      <c r="CX550" s="5">
        <v>0</v>
      </c>
    </row>
    <row r="551" spans="1:102" ht="15.75" x14ac:dyDescent="0.25">
      <c r="A551" s="4" t="s">
        <v>253</v>
      </c>
      <c r="B551" s="4" t="s">
        <v>254</v>
      </c>
      <c r="C551" s="4">
        <v>2020</v>
      </c>
      <c r="D551" s="4">
        <v>338</v>
      </c>
      <c r="E551" s="4">
        <v>0</v>
      </c>
      <c r="F551" s="4">
        <v>12</v>
      </c>
      <c r="G551" s="4">
        <v>4</v>
      </c>
      <c r="H551" s="4">
        <v>0</v>
      </c>
      <c r="I551" s="4">
        <v>4</v>
      </c>
      <c r="J551" s="4">
        <v>2</v>
      </c>
      <c r="K551" s="4">
        <v>1</v>
      </c>
      <c r="L551" s="4">
        <v>1</v>
      </c>
      <c r="M551" s="4">
        <v>1</v>
      </c>
      <c r="N551" s="4">
        <v>10</v>
      </c>
      <c r="O551" s="4">
        <v>6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61</v>
      </c>
      <c r="V551" s="4">
        <v>0</v>
      </c>
      <c r="W551" s="4">
        <v>2</v>
      </c>
      <c r="X551" s="4">
        <v>1</v>
      </c>
      <c r="Y551" s="4">
        <v>0</v>
      </c>
      <c r="Z551" s="4">
        <v>0</v>
      </c>
      <c r="AA551" s="4">
        <v>18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</v>
      </c>
      <c r="AH551" s="4">
        <v>0</v>
      </c>
      <c r="AI551" s="4">
        <v>8</v>
      </c>
      <c r="AJ551" s="4">
        <v>15</v>
      </c>
      <c r="AK551" s="4">
        <v>18</v>
      </c>
      <c r="AL551" s="4">
        <v>0</v>
      </c>
      <c r="AM551" s="4">
        <v>1</v>
      </c>
      <c r="AN551" s="4">
        <v>1</v>
      </c>
      <c r="AO551" s="4">
        <v>7</v>
      </c>
      <c r="AP551" s="4">
        <v>0</v>
      </c>
      <c r="AQ551" s="4">
        <v>3</v>
      </c>
      <c r="AR551" s="4">
        <v>0</v>
      </c>
      <c r="AS551" s="4">
        <v>1</v>
      </c>
      <c r="AT551" s="4">
        <v>1</v>
      </c>
      <c r="AU551" s="4">
        <v>1</v>
      </c>
      <c r="AV551" s="4">
        <v>2</v>
      </c>
      <c r="AW551" s="4">
        <v>2</v>
      </c>
      <c r="AX551" s="4">
        <v>9</v>
      </c>
      <c r="AY551" s="4">
        <v>0</v>
      </c>
      <c r="AZ551" s="4">
        <v>4</v>
      </c>
      <c r="BA551" s="4">
        <v>0</v>
      </c>
      <c r="BB551" s="4">
        <v>2</v>
      </c>
      <c r="BC551" s="4">
        <v>1</v>
      </c>
      <c r="BD551" s="4">
        <v>0</v>
      </c>
      <c r="BE551" s="4">
        <v>10</v>
      </c>
      <c r="BF551" s="4">
        <v>12</v>
      </c>
      <c r="BG551" s="4">
        <v>1</v>
      </c>
      <c r="BH551" s="4">
        <v>1</v>
      </c>
      <c r="BI551" s="4">
        <v>0</v>
      </c>
      <c r="BJ551" s="4">
        <v>15</v>
      </c>
      <c r="BK551" s="4">
        <v>8</v>
      </c>
      <c r="BL551" s="4">
        <v>0</v>
      </c>
      <c r="BM551" s="4">
        <v>0</v>
      </c>
      <c r="BN551" s="4">
        <v>3</v>
      </c>
      <c r="BO551" s="4">
        <v>0</v>
      </c>
      <c r="BP551" s="4">
        <v>2</v>
      </c>
      <c r="BQ551" s="4">
        <v>4</v>
      </c>
      <c r="BR551" s="4">
        <v>1</v>
      </c>
      <c r="BS551" s="4">
        <v>9</v>
      </c>
      <c r="BT551" s="4">
        <v>3</v>
      </c>
      <c r="BU551" s="4">
        <v>0</v>
      </c>
      <c r="BV551" s="4">
        <v>6</v>
      </c>
      <c r="BW551" s="4">
        <v>5</v>
      </c>
      <c r="BX551" s="4">
        <v>5</v>
      </c>
      <c r="BY551" s="4">
        <v>0</v>
      </c>
      <c r="BZ551" s="4">
        <v>0</v>
      </c>
      <c r="CA551" s="4">
        <v>0</v>
      </c>
      <c r="CB551" s="4">
        <v>2</v>
      </c>
      <c r="CC551" s="4">
        <v>0</v>
      </c>
      <c r="CD551" s="4">
        <v>1</v>
      </c>
      <c r="CE551" s="4">
        <v>0</v>
      </c>
      <c r="CF551" s="4">
        <v>7</v>
      </c>
      <c r="CG551" s="4">
        <v>0</v>
      </c>
      <c r="CH551" s="4">
        <v>1</v>
      </c>
      <c r="CI551" s="4">
        <v>0</v>
      </c>
      <c r="CJ551" s="4">
        <v>2</v>
      </c>
      <c r="CK551" s="4">
        <v>1</v>
      </c>
      <c r="CL551" s="4">
        <v>0</v>
      </c>
      <c r="CM551" s="4">
        <v>1</v>
      </c>
      <c r="CN551" s="4">
        <v>8</v>
      </c>
      <c r="CO551" s="4">
        <v>1</v>
      </c>
      <c r="CP551" s="4">
        <v>0</v>
      </c>
      <c r="CQ551" s="4">
        <v>0</v>
      </c>
      <c r="CR551" s="4">
        <v>0</v>
      </c>
      <c r="CS551" s="4">
        <v>0</v>
      </c>
      <c r="CT551" s="4">
        <v>9</v>
      </c>
      <c r="CU551" s="4">
        <v>0</v>
      </c>
      <c r="CV551" s="4">
        <v>15</v>
      </c>
      <c r="CW551" s="4">
        <v>3</v>
      </c>
      <c r="CX551" s="5">
        <v>3</v>
      </c>
    </row>
    <row r="552" spans="1:102" ht="15.75" x14ac:dyDescent="0.25">
      <c r="A552" s="4" t="s">
        <v>255</v>
      </c>
      <c r="B552" s="4" t="s">
        <v>256</v>
      </c>
      <c r="C552" s="4">
        <v>2020</v>
      </c>
      <c r="D552" s="4">
        <v>665</v>
      </c>
      <c r="E552" s="4">
        <v>0</v>
      </c>
      <c r="F552" s="4">
        <v>4</v>
      </c>
      <c r="G552" s="4">
        <v>1</v>
      </c>
      <c r="H552" s="4">
        <v>1</v>
      </c>
      <c r="I552" s="4">
        <v>3</v>
      </c>
      <c r="J552" s="4">
        <v>3</v>
      </c>
      <c r="K552" s="4">
        <v>1</v>
      </c>
      <c r="L552" s="4">
        <v>1</v>
      </c>
      <c r="M552" s="4">
        <v>0</v>
      </c>
      <c r="N552" s="4">
        <v>9</v>
      </c>
      <c r="O552" s="4">
        <v>4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233</v>
      </c>
      <c r="AA552" s="4">
        <v>44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1</v>
      </c>
      <c r="AJ552" s="4">
        <v>16</v>
      </c>
      <c r="AK552" s="4">
        <v>5</v>
      </c>
      <c r="AL552" s="4">
        <v>0</v>
      </c>
      <c r="AM552" s="4">
        <v>0</v>
      </c>
      <c r="AN552" s="4">
        <v>1</v>
      </c>
      <c r="AO552" s="4">
        <v>3</v>
      </c>
      <c r="AP552" s="4">
        <v>0</v>
      </c>
      <c r="AQ552" s="4">
        <v>3</v>
      </c>
      <c r="AR552" s="4">
        <v>1</v>
      </c>
      <c r="AS552" s="4">
        <v>1</v>
      </c>
      <c r="AT552" s="4">
        <v>2</v>
      </c>
      <c r="AU552" s="4">
        <v>1</v>
      </c>
      <c r="AV552" s="4">
        <v>0</v>
      </c>
      <c r="AW552" s="4">
        <v>0</v>
      </c>
      <c r="AX552" s="4">
        <v>4</v>
      </c>
      <c r="AY552" s="4">
        <v>0</v>
      </c>
      <c r="AZ552" s="4">
        <v>0</v>
      </c>
      <c r="BA552" s="4">
        <v>0</v>
      </c>
      <c r="BB552" s="4">
        <v>3</v>
      </c>
      <c r="BC552" s="4">
        <v>0</v>
      </c>
      <c r="BD552" s="4">
        <v>0</v>
      </c>
      <c r="BE552" s="4">
        <v>1</v>
      </c>
      <c r="BF552" s="4">
        <v>1</v>
      </c>
      <c r="BG552" s="4">
        <v>0</v>
      </c>
      <c r="BH552" s="4">
        <v>0</v>
      </c>
      <c r="BI552" s="4">
        <v>0</v>
      </c>
      <c r="BJ552" s="4">
        <v>3</v>
      </c>
      <c r="BK552" s="4">
        <v>3</v>
      </c>
      <c r="BL552" s="4">
        <v>0</v>
      </c>
      <c r="BM552" s="4">
        <v>2</v>
      </c>
      <c r="BN552" s="4">
        <v>6</v>
      </c>
      <c r="BO552" s="4">
        <v>0</v>
      </c>
      <c r="BP552" s="4">
        <v>1</v>
      </c>
      <c r="BQ552" s="4">
        <v>9</v>
      </c>
      <c r="BR552" s="4">
        <v>2</v>
      </c>
      <c r="BS552" s="4">
        <v>7</v>
      </c>
      <c r="BT552" s="4">
        <v>3</v>
      </c>
      <c r="BU552" s="4">
        <v>0</v>
      </c>
      <c r="BV552" s="4">
        <v>5</v>
      </c>
      <c r="BW552" s="4">
        <v>0</v>
      </c>
      <c r="BX552" s="4">
        <v>129</v>
      </c>
      <c r="BY552" s="4">
        <v>0</v>
      </c>
      <c r="BZ552" s="4">
        <v>0</v>
      </c>
      <c r="CA552" s="4">
        <v>0</v>
      </c>
      <c r="CB552" s="4">
        <v>116</v>
      </c>
      <c r="CC552" s="4">
        <v>0</v>
      </c>
      <c r="CD552" s="4">
        <v>1</v>
      </c>
      <c r="CE552" s="4">
        <v>0</v>
      </c>
      <c r="CF552" s="4">
        <v>1</v>
      </c>
      <c r="CG552" s="4">
        <v>0</v>
      </c>
      <c r="CH552" s="4">
        <v>1</v>
      </c>
      <c r="CI552" s="4">
        <v>0</v>
      </c>
      <c r="CJ552" s="4">
        <v>4</v>
      </c>
      <c r="CK552" s="4">
        <v>1</v>
      </c>
      <c r="CL552" s="4">
        <v>0</v>
      </c>
      <c r="CM552" s="4">
        <v>2</v>
      </c>
      <c r="CN552" s="4">
        <v>6</v>
      </c>
      <c r="CO552" s="4">
        <v>0</v>
      </c>
      <c r="CP552" s="4">
        <v>0</v>
      </c>
      <c r="CQ552" s="4">
        <v>0</v>
      </c>
      <c r="CR552" s="4">
        <v>4</v>
      </c>
      <c r="CS552" s="4">
        <v>0</v>
      </c>
      <c r="CT552" s="4">
        <v>2</v>
      </c>
      <c r="CU552" s="4">
        <v>0</v>
      </c>
      <c r="CV552" s="4">
        <v>5</v>
      </c>
      <c r="CW552" s="4">
        <v>3</v>
      </c>
      <c r="CX552" s="5">
        <v>3</v>
      </c>
    </row>
    <row r="553" spans="1:102" ht="15.75" x14ac:dyDescent="0.25">
      <c r="A553" s="4" t="s">
        <v>257</v>
      </c>
      <c r="B553" s="4" t="s">
        <v>258</v>
      </c>
      <c r="C553" s="4">
        <v>2020</v>
      </c>
      <c r="D553" s="4">
        <v>1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1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>
        <v>0</v>
      </c>
      <c r="CT553" s="4">
        <v>0</v>
      </c>
      <c r="CU553" s="4">
        <v>0</v>
      </c>
      <c r="CV553" s="4">
        <v>0</v>
      </c>
      <c r="CW553" s="4">
        <v>0</v>
      </c>
      <c r="CX553" s="5">
        <v>0</v>
      </c>
    </row>
    <row r="554" spans="1:102" ht="15.75" x14ac:dyDescent="0.25">
      <c r="A554" s="4" t="s">
        <v>259</v>
      </c>
      <c r="B554" s="4" t="s">
        <v>260</v>
      </c>
      <c r="C554" s="4">
        <v>2020</v>
      </c>
      <c r="D554" s="4">
        <v>26</v>
      </c>
      <c r="E554" s="4">
        <v>0</v>
      </c>
      <c r="F554" s="4">
        <v>0</v>
      </c>
      <c r="G554" s="4">
        <v>0</v>
      </c>
      <c r="H554" s="4">
        <v>0</v>
      </c>
      <c r="I554" s="4">
        <v>1</v>
      </c>
      <c r="J554" s="4">
        <v>1</v>
      </c>
      <c r="K554" s="4">
        <v>0</v>
      </c>
      <c r="L554" s="4">
        <v>0</v>
      </c>
      <c r="M554" s="4">
        <v>0</v>
      </c>
      <c r="N554" s="4">
        <v>2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1</v>
      </c>
      <c r="AK554" s="4">
        <v>1</v>
      </c>
      <c r="AL554" s="4">
        <v>0</v>
      </c>
      <c r="AM554" s="4">
        <v>0</v>
      </c>
      <c r="AN554" s="4">
        <v>0</v>
      </c>
      <c r="AO554" s="4">
        <v>1</v>
      </c>
      <c r="AP554" s="4">
        <v>0</v>
      </c>
      <c r="AQ554" s="4">
        <v>0</v>
      </c>
      <c r="AR554" s="4">
        <v>0</v>
      </c>
      <c r="AS554" s="4">
        <v>0</v>
      </c>
      <c r="AT554" s="4">
        <v>1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1</v>
      </c>
      <c r="BO554" s="4">
        <v>0</v>
      </c>
      <c r="BP554" s="4">
        <v>0</v>
      </c>
      <c r="BQ554" s="4">
        <v>0</v>
      </c>
      <c r="BR554" s="4">
        <v>0</v>
      </c>
      <c r="BS554" s="4">
        <v>2</v>
      </c>
      <c r="BT554" s="4">
        <v>0</v>
      </c>
      <c r="BU554" s="4">
        <v>0</v>
      </c>
      <c r="BV554" s="4">
        <v>0</v>
      </c>
      <c r="BW554" s="4">
        <v>0</v>
      </c>
      <c r="BX554" s="4">
        <v>3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3</v>
      </c>
      <c r="CG554" s="4">
        <v>0</v>
      </c>
      <c r="CH554" s="4">
        <v>1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1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1</v>
      </c>
      <c r="CU554" s="4">
        <v>0</v>
      </c>
      <c r="CV554" s="4">
        <v>2</v>
      </c>
      <c r="CW554" s="4">
        <v>0</v>
      </c>
      <c r="CX554" s="5">
        <v>0</v>
      </c>
    </row>
    <row r="555" spans="1:102" ht="15.75" x14ac:dyDescent="0.25">
      <c r="A555" s="4" t="s">
        <v>261</v>
      </c>
      <c r="B555" s="4" t="s">
        <v>262</v>
      </c>
      <c r="C555" s="4">
        <v>2020</v>
      </c>
      <c r="D555" s="4">
        <v>30</v>
      </c>
      <c r="E555" s="4">
        <v>0</v>
      </c>
      <c r="F555" s="4">
        <v>2</v>
      </c>
      <c r="G555" s="4">
        <v>1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1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1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1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6</v>
      </c>
      <c r="BA555" s="4">
        <v>0</v>
      </c>
      <c r="BB555" s="4">
        <v>0</v>
      </c>
      <c r="BC555" s="4">
        <v>5</v>
      </c>
      <c r="BD555" s="4">
        <v>0</v>
      </c>
      <c r="BE555" s="4">
        <v>1</v>
      </c>
      <c r="BF555" s="4">
        <v>0</v>
      </c>
      <c r="BG555" s="4">
        <v>0</v>
      </c>
      <c r="BH555" s="4">
        <v>0</v>
      </c>
      <c r="BI555" s="4">
        <v>0</v>
      </c>
      <c r="BJ555" s="4">
        <v>1</v>
      </c>
      <c r="BK555" s="4">
        <v>1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1</v>
      </c>
      <c r="BR555" s="4">
        <v>0</v>
      </c>
      <c r="BS555" s="4">
        <v>2</v>
      </c>
      <c r="BT555" s="4">
        <v>0</v>
      </c>
      <c r="BU555" s="4">
        <v>0</v>
      </c>
      <c r="BV555" s="4">
        <v>0</v>
      </c>
      <c r="BW555" s="4">
        <v>1</v>
      </c>
      <c r="BX555" s="4">
        <v>2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1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1</v>
      </c>
      <c r="CW555" s="4">
        <v>0</v>
      </c>
      <c r="CX555" s="5">
        <v>0</v>
      </c>
    </row>
    <row r="556" spans="1:102" ht="15.75" x14ac:dyDescent="0.25">
      <c r="A556" s="4" t="s">
        <v>263</v>
      </c>
      <c r="B556" s="4" t="s">
        <v>264</v>
      </c>
      <c r="C556" s="4">
        <v>2020</v>
      </c>
      <c r="D556" s="4">
        <v>33</v>
      </c>
      <c r="E556" s="4">
        <v>0</v>
      </c>
      <c r="F556" s="4">
        <v>5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1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1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1</v>
      </c>
      <c r="AY556" s="4">
        <v>0</v>
      </c>
      <c r="AZ556" s="4">
        <v>0</v>
      </c>
      <c r="BA556" s="4">
        <v>0</v>
      </c>
      <c r="BB556" s="4">
        <v>5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5</v>
      </c>
      <c r="BK556" s="4">
        <v>2</v>
      </c>
      <c r="BL556" s="4">
        <v>0</v>
      </c>
      <c r="BM556" s="4">
        <v>0</v>
      </c>
      <c r="BN556" s="4">
        <v>1</v>
      </c>
      <c r="BO556" s="4">
        <v>0</v>
      </c>
      <c r="BP556" s="4">
        <v>0</v>
      </c>
      <c r="BQ556" s="4">
        <v>1</v>
      </c>
      <c r="BR556" s="4">
        <v>0</v>
      </c>
      <c r="BS556" s="4">
        <v>1</v>
      </c>
      <c r="BT556" s="4">
        <v>2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1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5">
        <v>0</v>
      </c>
    </row>
    <row r="557" spans="1:102" ht="15.75" x14ac:dyDescent="0.25">
      <c r="A557" s="4" t="s">
        <v>265</v>
      </c>
      <c r="B557" s="4" t="s">
        <v>266</v>
      </c>
      <c r="C557" s="4">
        <v>2020</v>
      </c>
      <c r="D557" s="4">
        <v>1046</v>
      </c>
      <c r="E557" s="4">
        <v>0</v>
      </c>
      <c r="F557" s="4">
        <v>2</v>
      </c>
      <c r="G557" s="4">
        <v>7</v>
      </c>
      <c r="H557" s="4">
        <v>10</v>
      </c>
      <c r="I557" s="4">
        <v>12</v>
      </c>
      <c r="J557" s="4">
        <v>9</v>
      </c>
      <c r="K557" s="4">
        <v>1</v>
      </c>
      <c r="L557" s="4">
        <v>10</v>
      </c>
      <c r="M557" s="4">
        <v>7</v>
      </c>
      <c r="N557" s="4">
        <v>17</v>
      </c>
      <c r="O557" s="4">
        <v>85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1</v>
      </c>
      <c r="W557" s="4">
        <v>19</v>
      </c>
      <c r="X557" s="4">
        <v>1</v>
      </c>
      <c r="Y557" s="4">
        <v>0</v>
      </c>
      <c r="Z557" s="4">
        <v>18</v>
      </c>
      <c r="AA557" s="4">
        <v>45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7</v>
      </c>
      <c r="AH557" s="4">
        <v>1</v>
      </c>
      <c r="AI557" s="4">
        <v>24</v>
      </c>
      <c r="AJ557" s="4">
        <v>61</v>
      </c>
      <c r="AK557" s="4">
        <v>34</v>
      </c>
      <c r="AL557" s="4">
        <v>1</v>
      </c>
      <c r="AM557" s="4">
        <v>18</v>
      </c>
      <c r="AN557" s="4">
        <v>10</v>
      </c>
      <c r="AO557" s="4">
        <v>38</v>
      </c>
      <c r="AP557" s="4">
        <v>1</v>
      </c>
      <c r="AQ557" s="4">
        <v>4</v>
      </c>
      <c r="AR557" s="4">
        <v>1</v>
      </c>
      <c r="AS557" s="4">
        <v>5</v>
      </c>
      <c r="AT557" s="4">
        <v>8</v>
      </c>
      <c r="AU557" s="4">
        <v>7</v>
      </c>
      <c r="AV557" s="4">
        <v>9</v>
      </c>
      <c r="AW557" s="4">
        <v>23</v>
      </c>
      <c r="AX557" s="4">
        <v>20</v>
      </c>
      <c r="AY557" s="4">
        <v>0</v>
      </c>
      <c r="AZ557" s="4">
        <v>6</v>
      </c>
      <c r="BA557" s="4">
        <v>0</v>
      </c>
      <c r="BB557" s="4">
        <v>4</v>
      </c>
      <c r="BC557" s="4">
        <v>1</v>
      </c>
      <c r="BD557" s="4">
        <v>0</v>
      </c>
      <c r="BE557" s="4">
        <v>4</v>
      </c>
      <c r="BF557" s="4">
        <v>13</v>
      </c>
      <c r="BG557" s="4">
        <v>1</v>
      </c>
      <c r="BH557" s="4">
        <v>1</v>
      </c>
      <c r="BI557" s="4">
        <v>0</v>
      </c>
      <c r="BJ557" s="4">
        <v>16</v>
      </c>
      <c r="BK557" s="4">
        <v>19</v>
      </c>
      <c r="BL557" s="4">
        <v>0</v>
      </c>
      <c r="BM557" s="4">
        <v>2</v>
      </c>
      <c r="BN557" s="4">
        <v>17</v>
      </c>
      <c r="BO557" s="4">
        <v>0</v>
      </c>
      <c r="BP557" s="4">
        <v>1</v>
      </c>
      <c r="BQ557" s="4">
        <v>67</v>
      </c>
      <c r="BR557" s="4">
        <v>3</v>
      </c>
      <c r="BS557" s="4">
        <v>18</v>
      </c>
      <c r="BT557" s="4">
        <v>10</v>
      </c>
      <c r="BU557" s="4">
        <v>2</v>
      </c>
      <c r="BV557" s="4">
        <v>11</v>
      </c>
      <c r="BW557" s="4">
        <v>6</v>
      </c>
      <c r="BX557" s="4">
        <v>62</v>
      </c>
      <c r="BY557" s="4">
        <v>0</v>
      </c>
      <c r="BZ557" s="4">
        <v>0</v>
      </c>
      <c r="CA557" s="4">
        <v>2</v>
      </c>
      <c r="CB557" s="4">
        <v>114</v>
      </c>
      <c r="CC557" s="4">
        <v>0</v>
      </c>
      <c r="CD557" s="4">
        <v>2</v>
      </c>
      <c r="CE557" s="4">
        <v>0</v>
      </c>
      <c r="CF557" s="4">
        <v>1</v>
      </c>
      <c r="CG557" s="4">
        <v>2</v>
      </c>
      <c r="CH557" s="4">
        <v>1</v>
      </c>
      <c r="CI557" s="4">
        <v>3</v>
      </c>
      <c r="CJ557" s="4">
        <v>51</v>
      </c>
      <c r="CK557" s="4">
        <v>11</v>
      </c>
      <c r="CL557" s="4">
        <v>0</v>
      </c>
      <c r="CM557" s="4">
        <v>4</v>
      </c>
      <c r="CN557" s="4">
        <v>14</v>
      </c>
      <c r="CO557" s="4">
        <v>6</v>
      </c>
      <c r="CP557" s="4">
        <v>2</v>
      </c>
      <c r="CQ557" s="4">
        <v>0</v>
      </c>
      <c r="CR557" s="4">
        <v>1</v>
      </c>
      <c r="CS557" s="4">
        <v>2</v>
      </c>
      <c r="CT557" s="4">
        <v>13</v>
      </c>
      <c r="CU557" s="4">
        <v>2</v>
      </c>
      <c r="CV557" s="4">
        <v>36</v>
      </c>
      <c r="CW557" s="4">
        <v>1</v>
      </c>
      <c r="CX557" s="5">
        <v>1</v>
      </c>
    </row>
    <row r="558" spans="1:102" ht="15.75" x14ac:dyDescent="0.25">
      <c r="A558" s="4" t="s">
        <v>267</v>
      </c>
      <c r="B558" s="4" t="s">
        <v>268</v>
      </c>
      <c r="C558" s="4">
        <v>2020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5">
        <v>0</v>
      </c>
    </row>
    <row r="559" spans="1:102" ht="15.75" x14ac:dyDescent="0.25">
      <c r="A559" s="4" t="s">
        <v>269</v>
      </c>
      <c r="B559" s="4" t="s">
        <v>270</v>
      </c>
      <c r="C559" s="4">
        <v>2020</v>
      </c>
      <c r="D559" s="4">
        <v>34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1</v>
      </c>
      <c r="K559" s="4">
        <v>0</v>
      </c>
      <c r="L559" s="4">
        <v>0</v>
      </c>
      <c r="M559" s="4">
        <v>0</v>
      </c>
      <c r="N559" s="4">
        <v>1</v>
      </c>
      <c r="O559" s="4">
        <v>4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2</v>
      </c>
      <c r="AK559" s="4">
        <v>1</v>
      </c>
      <c r="AL559" s="4">
        <v>0</v>
      </c>
      <c r="AM559" s="4">
        <v>1</v>
      </c>
      <c r="AN559" s="4">
        <v>0</v>
      </c>
      <c r="AO559" s="4">
        <v>3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1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1</v>
      </c>
      <c r="BG559" s="4">
        <v>0</v>
      </c>
      <c r="BH559" s="4">
        <v>0</v>
      </c>
      <c r="BI559" s="4">
        <v>0</v>
      </c>
      <c r="BJ559" s="4">
        <v>0</v>
      </c>
      <c r="BK559" s="4">
        <v>1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1</v>
      </c>
      <c r="BT559" s="4">
        <v>1</v>
      </c>
      <c r="BU559" s="4">
        <v>0</v>
      </c>
      <c r="BV559" s="4">
        <v>1</v>
      </c>
      <c r="BW559" s="4">
        <v>0</v>
      </c>
      <c r="BX559" s="4">
        <v>7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1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1</v>
      </c>
      <c r="CU559" s="4">
        <v>0</v>
      </c>
      <c r="CV559" s="4">
        <v>1</v>
      </c>
      <c r="CW559" s="4">
        <v>0</v>
      </c>
      <c r="CX559" s="5">
        <v>0</v>
      </c>
    </row>
    <row r="560" spans="1:102" ht="15.75" x14ac:dyDescent="0.25">
      <c r="A560" s="4" t="s">
        <v>271</v>
      </c>
      <c r="B560" s="4" t="s">
        <v>272</v>
      </c>
      <c r="C560" s="4">
        <v>2020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4">
        <v>0</v>
      </c>
      <c r="CV560" s="4">
        <v>0</v>
      </c>
      <c r="CW560" s="4">
        <v>0</v>
      </c>
      <c r="CX560" s="5">
        <v>0</v>
      </c>
    </row>
    <row r="561" spans="1:102" ht="15.75" x14ac:dyDescent="0.25">
      <c r="A561" s="4" t="s">
        <v>273</v>
      </c>
      <c r="B561" s="4" t="s">
        <v>274</v>
      </c>
      <c r="C561" s="4">
        <v>2020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5">
        <v>0</v>
      </c>
    </row>
    <row r="562" spans="1:102" ht="15.75" x14ac:dyDescent="0.25">
      <c r="A562" s="4" t="s">
        <v>275</v>
      </c>
      <c r="B562" s="4" t="s">
        <v>276</v>
      </c>
      <c r="C562" s="4">
        <v>2020</v>
      </c>
      <c r="D562" s="4">
        <v>74</v>
      </c>
      <c r="E562" s="4">
        <v>0</v>
      </c>
      <c r="F562" s="4">
        <v>0</v>
      </c>
      <c r="G562" s="4">
        <v>1</v>
      </c>
      <c r="H562" s="4">
        <v>0</v>
      </c>
      <c r="I562" s="4">
        <v>1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</v>
      </c>
      <c r="AH562" s="4">
        <v>0</v>
      </c>
      <c r="AI562" s="4">
        <v>0</v>
      </c>
      <c r="AJ562" s="4">
        <v>1</v>
      </c>
      <c r="AK562" s="4">
        <v>1</v>
      </c>
      <c r="AL562" s="4">
        <v>0</v>
      </c>
      <c r="AM562" s="4">
        <v>0</v>
      </c>
      <c r="AN562" s="4">
        <v>0</v>
      </c>
      <c r="AO562" s="4">
        <v>1</v>
      </c>
      <c r="AP562" s="4">
        <v>0</v>
      </c>
      <c r="AQ562" s="4">
        <v>2</v>
      </c>
      <c r="AR562" s="4">
        <v>0</v>
      </c>
      <c r="AS562" s="4">
        <v>0</v>
      </c>
      <c r="AT562" s="4">
        <v>1</v>
      </c>
      <c r="AU562" s="4">
        <v>0</v>
      </c>
      <c r="AV562" s="4">
        <v>0</v>
      </c>
      <c r="AW562" s="4">
        <v>0</v>
      </c>
      <c r="AX562" s="4">
        <v>4</v>
      </c>
      <c r="AY562" s="4">
        <v>0</v>
      </c>
      <c r="AZ562" s="4">
        <v>1</v>
      </c>
      <c r="BA562" s="4">
        <v>0</v>
      </c>
      <c r="BB562" s="4">
        <v>1</v>
      </c>
      <c r="BC562" s="4">
        <v>1</v>
      </c>
      <c r="BD562" s="4">
        <v>0</v>
      </c>
      <c r="BE562" s="4">
        <v>1</v>
      </c>
      <c r="BF562" s="4">
        <v>6</v>
      </c>
      <c r="BG562" s="4">
        <v>0</v>
      </c>
      <c r="BH562" s="4">
        <v>0</v>
      </c>
      <c r="BI562" s="4">
        <v>0</v>
      </c>
      <c r="BJ562" s="4">
        <v>4</v>
      </c>
      <c r="BK562" s="4">
        <v>2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2</v>
      </c>
      <c r="BT562" s="4">
        <v>1</v>
      </c>
      <c r="BU562" s="4">
        <v>0</v>
      </c>
      <c r="BV562" s="4">
        <v>1</v>
      </c>
      <c r="BW562" s="4">
        <v>10</v>
      </c>
      <c r="BX562" s="4">
        <v>1</v>
      </c>
      <c r="BY562" s="4">
        <v>0</v>
      </c>
      <c r="BZ562" s="4">
        <v>0</v>
      </c>
      <c r="CA562" s="4">
        <v>0</v>
      </c>
      <c r="CB562" s="4">
        <v>26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1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1</v>
      </c>
      <c r="CU562" s="4">
        <v>0</v>
      </c>
      <c r="CV562" s="4">
        <v>1</v>
      </c>
      <c r="CW562" s="4">
        <v>1</v>
      </c>
      <c r="CX562" s="5">
        <v>1</v>
      </c>
    </row>
    <row r="563" spans="1:102" ht="15.75" x14ac:dyDescent="0.25">
      <c r="A563" s="4" t="s">
        <v>277</v>
      </c>
      <c r="B563" s="4" t="s">
        <v>278</v>
      </c>
      <c r="C563" s="4">
        <v>2020</v>
      </c>
      <c r="D563" s="4">
        <v>7982</v>
      </c>
      <c r="E563" s="4">
        <v>33</v>
      </c>
      <c r="F563" s="4">
        <v>90</v>
      </c>
      <c r="G563" s="4">
        <v>22</v>
      </c>
      <c r="H563" s="4">
        <v>10</v>
      </c>
      <c r="I563" s="4">
        <v>26</v>
      </c>
      <c r="J563" s="4">
        <v>12</v>
      </c>
      <c r="K563" s="4">
        <v>4</v>
      </c>
      <c r="L563" s="4">
        <v>16</v>
      </c>
      <c r="M563" s="4">
        <v>6</v>
      </c>
      <c r="N563" s="4">
        <v>20</v>
      </c>
      <c r="O563" s="4">
        <v>179</v>
      </c>
      <c r="P563" s="4">
        <v>0</v>
      </c>
      <c r="Q563" s="4">
        <v>0</v>
      </c>
      <c r="R563" s="4">
        <v>0</v>
      </c>
      <c r="S563" s="4">
        <v>3</v>
      </c>
      <c r="T563" s="4">
        <v>0</v>
      </c>
      <c r="U563" s="4">
        <v>0</v>
      </c>
      <c r="V563" s="4">
        <v>1</v>
      </c>
      <c r="W563" s="4">
        <v>22</v>
      </c>
      <c r="X563" s="4">
        <v>3</v>
      </c>
      <c r="Y563" s="4">
        <v>0</v>
      </c>
      <c r="Z563" s="4">
        <v>0</v>
      </c>
      <c r="AA563" s="4">
        <v>3</v>
      </c>
      <c r="AB563" s="4">
        <v>0</v>
      </c>
      <c r="AC563" s="4">
        <v>0</v>
      </c>
      <c r="AD563" s="4">
        <v>0</v>
      </c>
      <c r="AE563" s="4">
        <v>1</v>
      </c>
      <c r="AF563" s="4">
        <v>0</v>
      </c>
      <c r="AG563" s="4">
        <v>10</v>
      </c>
      <c r="AH563" s="4">
        <v>1</v>
      </c>
      <c r="AI563" s="4">
        <v>16</v>
      </c>
      <c r="AJ563" s="4">
        <v>56</v>
      </c>
      <c r="AK563" s="4">
        <v>99</v>
      </c>
      <c r="AL563" s="4">
        <v>0</v>
      </c>
      <c r="AM563" s="4">
        <v>14</v>
      </c>
      <c r="AN563" s="4">
        <v>23</v>
      </c>
      <c r="AO563" s="4">
        <v>40</v>
      </c>
      <c r="AP563" s="4">
        <v>8</v>
      </c>
      <c r="AQ563" s="4">
        <v>13</v>
      </c>
      <c r="AR563" s="4">
        <v>1</v>
      </c>
      <c r="AS563" s="4">
        <v>12</v>
      </c>
      <c r="AT563" s="4">
        <v>23</v>
      </c>
      <c r="AU563" s="4">
        <v>74</v>
      </c>
      <c r="AV563" s="4">
        <v>16</v>
      </c>
      <c r="AW563" s="4">
        <v>2067</v>
      </c>
      <c r="AX563" s="4">
        <v>113</v>
      </c>
      <c r="AY563" s="4">
        <v>3</v>
      </c>
      <c r="AZ563" s="4">
        <v>4</v>
      </c>
      <c r="BA563" s="4">
        <v>0</v>
      </c>
      <c r="BB563" s="4">
        <v>2061</v>
      </c>
      <c r="BC563" s="4">
        <v>25</v>
      </c>
      <c r="BD563" s="4">
        <v>0</v>
      </c>
      <c r="BE563" s="4">
        <v>15</v>
      </c>
      <c r="BF563" s="4">
        <v>24</v>
      </c>
      <c r="BG563" s="4">
        <v>2</v>
      </c>
      <c r="BH563" s="4">
        <v>1</v>
      </c>
      <c r="BI563" s="4">
        <v>5</v>
      </c>
      <c r="BJ563" s="4">
        <v>165</v>
      </c>
      <c r="BK563" s="4">
        <v>35</v>
      </c>
      <c r="BL563" s="4">
        <v>0</v>
      </c>
      <c r="BM563" s="4">
        <v>13</v>
      </c>
      <c r="BN563" s="4">
        <v>68</v>
      </c>
      <c r="BO563" s="4">
        <v>1</v>
      </c>
      <c r="BP563" s="4">
        <v>33</v>
      </c>
      <c r="BQ563" s="4">
        <v>122</v>
      </c>
      <c r="BR563" s="4">
        <v>10</v>
      </c>
      <c r="BS563" s="4">
        <v>247</v>
      </c>
      <c r="BT563" s="4">
        <v>94</v>
      </c>
      <c r="BU563" s="4">
        <v>1</v>
      </c>
      <c r="BV563" s="4">
        <v>43</v>
      </c>
      <c r="BW563" s="4">
        <v>13</v>
      </c>
      <c r="BX563" s="4">
        <v>98</v>
      </c>
      <c r="BY563" s="4">
        <v>4</v>
      </c>
      <c r="BZ563" s="4">
        <v>2</v>
      </c>
      <c r="CA563" s="4">
        <v>16</v>
      </c>
      <c r="CB563" s="4">
        <v>59</v>
      </c>
      <c r="CC563" s="4">
        <v>0</v>
      </c>
      <c r="CD563" s="4">
        <v>4</v>
      </c>
      <c r="CE563" s="4">
        <v>0</v>
      </c>
      <c r="CF563" s="4">
        <v>6</v>
      </c>
      <c r="CG563" s="4">
        <v>17</v>
      </c>
      <c r="CH563" s="4">
        <v>3</v>
      </c>
      <c r="CI563" s="4">
        <v>146</v>
      </c>
      <c r="CJ563" s="4">
        <v>112</v>
      </c>
      <c r="CK563" s="4">
        <v>31</v>
      </c>
      <c r="CL563" s="4">
        <v>0</v>
      </c>
      <c r="CM563" s="4">
        <v>58</v>
      </c>
      <c r="CN563" s="4">
        <v>235</v>
      </c>
      <c r="CO563" s="4">
        <v>150</v>
      </c>
      <c r="CP563" s="4">
        <v>37</v>
      </c>
      <c r="CQ563" s="4">
        <v>0</v>
      </c>
      <c r="CR563" s="4">
        <v>212</v>
      </c>
      <c r="CS563" s="4">
        <v>315</v>
      </c>
      <c r="CT563" s="4">
        <v>15</v>
      </c>
      <c r="CU563" s="4">
        <v>19</v>
      </c>
      <c r="CV563" s="4">
        <v>95</v>
      </c>
      <c r="CW563" s="4">
        <v>317</v>
      </c>
      <c r="CX563" s="5">
        <v>317</v>
      </c>
    </row>
    <row r="564" spans="1:102" ht="15.75" x14ac:dyDescent="0.25">
      <c r="A564" s="4" t="s">
        <v>279</v>
      </c>
      <c r="B564" s="4" t="s">
        <v>280</v>
      </c>
      <c r="C564" s="4">
        <v>2020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5">
        <v>0</v>
      </c>
    </row>
    <row r="565" spans="1:102" ht="15.75" x14ac:dyDescent="0.25">
      <c r="A565" s="4" t="s">
        <v>281</v>
      </c>
      <c r="B565" s="4" t="s">
        <v>282</v>
      </c>
      <c r="C565" s="4">
        <v>2020</v>
      </c>
      <c r="D565" s="4">
        <v>9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1</v>
      </c>
      <c r="W565" s="4">
        <v>0</v>
      </c>
      <c r="X565" s="4">
        <v>0</v>
      </c>
      <c r="Y565" s="4">
        <v>0</v>
      </c>
      <c r="Z565" s="4">
        <v>0</v>
      </c>
      <c r="AA565" s="4">
        <v>1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1</v>
      </c>
      <c r="AK565" s="4">
        <v>1</v>
      </c>
      <c r="AL565" s="4">
        <v>0</v>
      </c>
      <c r="AM565" s="4">
        <v>0</v>
      </c>
      <c r="AN565" s="4">
        <v>1</v>
      </c>
      <c r="AO565" s="4">
        <v>1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1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5">
        <v>0</v>
      </c>
    </row>
    <row r="566" spans="1:102" ht="15.75" x14ac:dyDescent="0.25">
      <c r="A566" s="4" t="s">
        <v>283</v>
      </c>
      <c r="B566" s="4" t="s">
        <v>284</v>
      </c>
      <c r="C566" s="4">
        <v>2020</v>
      </c>
      <c r="D566" s="4">
        <v>231</v>
      </c>
      <c r="E566" s="4">
        <v>0</v>
      </c>
      <c r="F566" s="4">
        <v>0</v>
      </c>
      <c r="G566" s="4">
        <v>1</v>
      </c>
      <c r="H566" s="4">
        <v>2</v>
      </c>
      <c r="I566" s="4">
        <v>1</v>
      </c>
      <c r="J566" s="4">
        <v>1</v>
      </c>
      <c r="K566" s="4">
        <v>0</v>
      </c>
      <c r="L566" s="4">
        <v>4</v>
      </c>
      <c r="M566" s="4">
        <v>1</v>
      </c>
      <c r="N566" s="4">
        <v>8</v>
      </c>
      <c r="O566" s="4">
        <v>21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1</v>
      </c>
      <c r="AF566" s="4">
        <v>0</v>
      </c>
      <c r="AG566" s="4">
        <v>1</v>
      </c>
      <c r="AH566" s="4">
        <v>0</v>
      </c>
      <c r="AI566" s="4">
        <v>3</v>
      </c>
      <c r="AJ566" s="4">
        <v>4</v>
      </c>
      <c r="AK566" s="4">
        <v>8</v>
      </c>
      <c r="AL566" s="4">
        <v>0</v>
      </c>
      <c r="AM566" s="4">
        <v>4</v>
      </c>
      <c r="AN566" s="4">
        <v>4</v>
      </c>
      <c r="AO566" s="4">
        <v>10</v>
      </c>
      <c r="AP566" s="4">
        <v>0</v>
      </c>
      <c r="AQ566" s="4">
        <v>1</v>
      </c>
      <c r="AR566" s="4">
        <v>0</v>
      </c>
      <c r="AS566" s="4">
        <v>2</v>
      </c>
      <c r="AT566" s="4">
        <v>3</v>
      </c>
      <c r="AU566" s="4">
        <v>1</v>
      </c>
      <c r="AV566" s="4">
        <v>2</v>
      </c>
      <c r="AW566" s="4">
        <v>2</v>
      </c>
      <c r="AX566" s="4">
        <v>3</v>
      </c>
      <c r="AY566" s="4">
        <v>1</v>
      </c>
      <c r="AZ566" s="4">
        <v>0</v>
      </c>
      <c r="BA566" s="4">
        <v>0</v>
      </c>
      <c r="BB566" s="4">
        <v>1</v>
      </c>
      <c r="BC566" s="4">
        <v>1</v>
      </c>
      <c r="BD566" s="4">
        <v>0</v>
      </c>
      <c r="BE566" s="4">
        <v>2</v>
      </c>
      <c r="BF566" s="4">
        <v>9</v>
      </c>
      <c r="BG566" s="4">
        <v>0</v>
      </c>
      <c r="BH566" s="4">
        <v>2</v>
      </c>
      <c r="BI566" s="4">
        <v>0</v>
      </c>
      <c r="BJ566" s="4">
        <v>4</v>
      </c>
      <c r="BK566" s="4">
        <v>5</v>
      </c>
      <c r="BL566" s="4">
        <v>0</v>
      </c>
      <c r="BM566" s="4">
        <v>5</v>
      </c>
      <c r="BN566" s="4">
        <v>30</v>
      </c>
      <c r="BO566" s="4">
        <v>0</v>
      </c>
      <c r="BP566" s="4">
        <v>1</v>
      </c>
      <c r="BQ566" s="4">
        <v>12</v>
      </c>
      <c r="BR566" s="4">
        <v>1</v>
      </c>
      <c r="BS566" s="4">
        <v>6</v>
      </c>
      <c r="BT566" s="4">
        <v>4</v>
      </c>
      <c r="BU566" s="4">
        <v>0</v>
      </c>
      <c r="BV566" s="4">
        <v>3</v>
      </c>
      <c r="BW566" s="4">
        <v>2</v>
      </c>
      <c r="BX566" s="4">
        <v>3</v>
      </c>
      <c r="BY566" s="4">
        <v>0</v>
      </c>
      <c r="BZ566" s="4">
        <v>0</v>
      </c>
      <c r="CA566" s="4">
        <v>0</v>
      </c>
      <c r="CB566" s="4">
        <v>14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1</v>
      </c>
      <c r="CJ566" s="4">
        <v>9</v>
      </c>
      <c r="CK566" s="4">
        <v>3</v>
      </c>
      <c r="CL566" s="4">
        <v>0</v>
      </c>
      <c r="CM566" s="4">
        <v>0</v>
      </c>
      <c r="CN566" s="4">
        <v>6</v>
      </c>
      <c r="CO566" s="4">
        <v>5</v>
      </c>
      <c r="CP566" s="4">
        <v>0</v>
      </c>
      <c r="CQ566" s="4">
        <v>0</v>
      </c>
      <c r="CR566" s="4">
        <v>0</v>
      </c>
      <c r="CS566" s="4">
        <v>0</v>
      </c>
      <c r="CT566" s="4">
        <v>3</v>
      </c>
      <c r="CU566" s="4">
        <v>0</v>
      </c>
      <c r="CV566" s="4">
        <v>9</v>
      </c>
      <c r="CW566" s="4">
        <v>0</v>
      </c>
      <c r="CX566" s="5">
        <v>0</v>
      </c>
    </row>
    <row r="567" spans="1:102" ht="15.75" x14ac:dyDescent="0.25">
      <c r="A567" s="4" t="s">
        <v>285</v>
      </c>
      <c r="B567" s="4" t="s">
        <v>286</v>
      </c>
      <c r="C567" s="4">
        <v>2020</v>
      </c>
      <c r="D567" s="4">
        <v>10</v>
      </c>
      <c r="E567" s="4">
        <v>0</v>
      </c>
      <c r="F567" s="4">
        <v>5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1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1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1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1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1</v>
      </c>
      <c r="CU567" s="4">
        <v>0</v>
      </c>
      <c r="CV567" s="4">
        <v>0</v>
      </c>
      <c r="CW567" s="4">
        <v>0</v>
      </c>
      <c r="CX567" s="5">
        <v>0</v>
      </c>
    </row>
    <row r="568" spans="1:102" ht="15.75" x14ac:dyDescent="0.25">
      <c r="A568" s="4" t="s">
        <v>287</v>
      </c>
      <c r="B568" s="4" t="s">
        <v>288</v>
      </c>
      <c r="C568" s="4">
        <v>2020</v>
      </c>
      <c r="D568" s="4">
        <v>1260</v>
      </c>
      <c r="E568" s="4">
        <v>10</v>
      </c>
      <c r="F568" s="4">
        <v>2</v>
      </c>
      <c r="G568" s="4">
        <v>6</v>
      </c>
      <c r="H568" s="4">
        <v>1</v>
      </c>
      <c r="I568" s="4">
        <v>4</v>
      </c>
      <c r="J568" s="4">
        <v>2</v>
      </c>
      <c r="K568" s="4">
        <v>1</v>
      </c>
      <c r="L568" s="4">
        <v>19</v>
      </c>
      <c r="M568" s="4">
        <v>4</v>
      </c>
      <c r="N568" s="4">
        <v>12</v>
      </c>
      <c r="O568" s="4">
        <v>10</v>
      </c>
      <c r="P568" s="4">
        <v>0</v>
      </c>
      <c r="Q568" s="4">
        <v>1</v>
      </c>
      <c r="R568" s="4">
        <v>6</v>
      </c>
      <c r="S568" s="4">
        <v>0</v>
      </c>
      <c r="T568" s="4">
        <v>0</v>
      </c>
      <c r="U568" s="4">
        <v>15</v>
      </c>
      <c r="V568" s="4">
        <v>2</v>
      </c>
      <c r="W568" s="4">
        <v>3</v>
      </c>
      <c r="X568" s="4">
        <v>3</v>
      </c>
      <c r="Y568" s="4">
        <v>0</v>
      </c>
      <c r="Z568" s="4">
        <v>0</v>
      </c>
      <c r="AA568" s="4">
        <v>5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69</v>
      </c>
      <c r="AH568" s="4">
        <v>1</v>
      </c>
      <c r="AI568" s="4">
        <v>13</v>
      </c>
      <c r="AJ568" s="4">
        <v>106</v>
      </c>
      <c r="AK568" s="4">
        <v>33</v>
      </c>
      <c r="AL568" s="4">
        <v>2</v>
      </c>
      <c r="AM568" s="4">
        <v>19</v>
      </c>
      <c r="AN568" s="4">
        <v>25</v>
      </c>
      <c r="AO568" s="4">
        <v>73</v>
      </c>
      <c r="AP568" s="4">
        <v>2</v>
      </c>
      <c r="AQ568" s="4">
        <v>7</v>
      </c>
      <c r="AR568" s="4">
        <v>1</v>
      </c>
      <c r="AS568" s="4">
        <v>14</v>
      </c>
      <c r="AT568" s="4">
        <v>20</v>
      </c>
      <c r="AU568" s="4">
        <v>11</v>
      </c>
      <c r="AV568" s="4">
        <v>10</v>
      </c>
      <c r="AW568" s="4">
        <v>10</v>
      </c>
      <c r="AX568" s="4">
        <v>24</v>
      </c>
      <c r="AY568" s="4">
        <v>1</v>
      </c>
      <c r="AZ568" s="4">
        <v>1</v>
      </c>
      <c r="BA568" s="4">
        <v>0</v>
      </c>
      <c r="BB568" s="4">
        <v>46</v>
      </c>
      <c r="BC568" s="4">
        <v>1</v>
      </c>
      <c r="BD568" s="4">
        <v>1</v>
      </c>
      <c r="BE568" s="4">
        <v>13</v>
      </c>
      <c r="BF568" s="4">
        <v>52</v>
      </c>
      <c r="BG568" s="4">
        <v>3</v>
      </c>
      <c r="BH568" s="4">
        <v>3</v>
      </c>
      <c r="BI568" s="4">
        <v>0</v>
      </c>
      <c r="BJ568" s="4">
        <v>34</v>
      </c>
      <c r="BK568" s="4">
        <v>39</v>
      </c>
      <c r="BL568" s="4">
        <v>0</v>
      </c>
      <c r="BM568" s="4">
        <v>4</v>
      </c>
      <c r="BN568" s="4">
        <v>47</v>
      </c>
      <c r="BO568" s="4">
        <v>1</v>
      </c>
      <c r="BP568" s="4">
        <v>15</v>
      </c>
      <c r="BQ568" s="4">
        <v>36</v>
      </c>
      <c r="BR568" s="4">
        <v>4</v>
      </c>
      <c r="BS568" s="4">
        <v>52</v>
      </c>
      <c r="BT568" s="4">
        <v>23</v>
      </c>
      <c r="BU568" s="4">
        <v>1</v>
      </c>
      <c r="BV568" s="4">
        <v>24</v>
      </c>
      <c r="BW568" s="4">
        <v>6</v>
      </c>
      <c r="BX568" s="4">
        <v>120</v>
      </c>
      <c r="BY568" s="4">
        <v>1</v>
      </c>
      <c r="BZ568" s="4">
        <v>0</v>
      </c>
      <c r="CA568" s="4">
        <v>2</v>
      </c>
      <c r="CB568" s="4">
        <v>0</v>
      </c>
      <c r="CC568" s="4">
        <v>0</v>
      </c>
      <c r="CD568" s="4">
        <v>3</v>
      </c>
      <c r="CE568" s="4">
        <v>0</v>
      </c>
      <c r="CF568" s="4">
        <v>1</v>
      </c>
      <c r="CG568" s="4">
        <v>1</v>
      </c>
      <c r="CH568" s="4">
        <v>8</v>
      </c>
      <c r="CI568" s="4">
        <v>1</v>
      </c>
      <c r="CJ568" s="4">
        <v>41</v>
      </c>
      <c r="CK568" s="4">
        <v>6</v>
      </c>
      <c r="CL568" s="4">
        <v>0</v>
      </c>
      <c r="CM568" s="4">
        <v>8</v>
      </c>
      <c r="CN568" s="4">
        <v>27</v>
      </c>
      <c r="CO568" s="4">
        <v>12</v>
      </c>
      <c r="CP568" s="4">
        <v>14</v>
      </c>
      <c r="CQ568" s="4">
        <v>0</v>
      </c>
      <c r="CR568" s="4">
        <v>0</v>
      </c>
      <c r="CS568" s="4">
        <v>1</v>
      </c>
      <c r="CT568" s="4">
        <v>20</v>
      </c>
      <c r="CU568" s="4">
        <v>2</v>
      </c>
      <c r="CV568" s="4">
        <v>38</v>
      </c>
      <c r="CW568" s="4">
        <v>1</v>
      </c>
      <c r="CX568" s="5">
        <v>1</v>
      </c>
    </row>
    <row r="569" spans="1:102" ht="15.75" x14ac:dyDescent="0.25">
      <c r="A569" s="4" t="s">
        <v>289</v>
      </c>
      <c r="B569" s="4" t="s">
        <v>290</v>
      </c>
      <c r="C569" s="4">
        <v>2020</v>
      </c>
      <c r="D569" s="4">
        <v>584</v>
      </c>
      <c r="E569" s="4">
        <v>0</v>
      </c>
      <c r="F569" s="4">
        <v>0</v>
      </c>
      <c r="G569" s="4">
        <v>0</v>
      </c>
      <c r="H569" s="4">
        <v>1</v>
      </c>
      <c r="I569" s="4">
        <v>2</v>
      </c>
      <c r="J569" s="4">
        <v>2</v>
      </c>
      <c r="K569" s="4">
        <v>0</v>
      </c>
      <c r="L569" s="4">
        <v>0</v>
      </c>
      <c r="M569" s="4">
        <v>2</v>
      </c>
      <c r="N569" s="4">
        <v>9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36</v>
      </c>
      <c r="U569" s="4">
        <v>0</v>
      </c>
      <c r="V569" s="4">
        <v>6</v>
      </c>
      <c r="W569" s="4">
        <v>57</v>
      </c>
      <c r="X569" s="4">
        <v>0</v>
      </c>
      <c r="Y569" s="4">
        <v>0</v>
      </c>
      <c r="Z569" s="4">
        <v>0</v>
      </c>
      <c r="AA569" s="4">
        <v>1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9</v>
      </c>
      <c r="AH569" s="4">
        <v>3</v>
      </c>
      <c r="AI569" s="4">
        <v>9</v>
      </c>
      <c r="AJ569" s="4">
        <v>54</v>
      </c>
      <c r="AK569" s="4">
        <v>28</v>
      </c>
      <c r="AL569" s="4">
        <v>0</v>
      </c>
      <c r="AM569" s="4">
        <v>8</v>
      </c>
      <c r="AN569" s="4">
        <v>14</v>
      </c>
      <c r="AO569" s="4">
        <v>18</v>
      </c>
      <c r="AP569" s="4">
        <v>1</v>
      </c>
      <c r="AQ569" s="4">
        <v>2</v>
      </c>
      <c r="AR569" s="4">
        <v>0</v>
      </c>
      <c r="AS569" s="4">
        <v>8</v>
      </c>
      <c r="AT569" s="4">
        <v>6</v>
      </c>
      <c r="AU569" s="4">
        <v>3</v>
      </c>
      <c r="AV569" s="4">
        <v>6</v>
      </c>
      <c r="AW569" s="4">
        <v>3</v>
      </c>
      <c r="AX569" s="4">
        <v>9</v>
      </c>
      <c r="AY569" s="4">
        <v>1</v>
      </c>
      <c r="AZ569" s="4">
        <v>4</v>
      </c>
      <c r="BA569" s="4">
        <v>0</v>
      </c>
      <c r="BB569" s="4">
        <v>12</v>
      </c>
      <c r="BC569" s="4">
        <v>4</v>
      </c>
      <c r="BD569" s="4">
        <v>0</v>
      </c>
      <c r="BE569" s="4">
        <v>8</v>
      </c>
      <c r="BF569" s="4">
        <v>13</v>
      </c>
      <c r="BG569" s="4">
        <v>1</v>
      </c>
      <c r="BH569" s="4">
        <v>1</v>
      </c>
      <c r="BI569" s="4">
        <v>0</v>
      </c>
      <c r="BJ569" s="4">
        <v>40</v>
      </c>
      <c r="BK569" s="4">
        <v>30</v>
      </c>
      <c r="BL569" s="4">
        <v>0</v>
      </c>
      <c r="BM569" s="4">
        <v>2</v>
      </c>
      <c r="BN569" s="4">
        <v>3</v>
      </c>
      <c r="BO569" s="4">
        <v>0</v>
      </c>
      <c r="BP569" s="4">
        <v>1</v>
      </c>
      <c r="BQ569" s="4">
        <v>5</v>
      </c>
      <c r="BR569" s="4">
        <v>1</v>
      </c>
      <c r="BS569" s="4">
        <v>53</v>
      </c>
      <c r="BT569" s="4">
        <v>10</v>
      </c>
      <c r="BU569" s="4">
        <v>1</v>
      </c>
      <c r="BV569" s="4">
        <v>2</v>
      </c>
      <c r="BW569" s="4">
        <v>3</v>
      </c>
      <c r="BX569" s="4">
        <v>21</v>
      </c>
      <c r="BY569" s="4">
        <v>0</v>
      </c>
      <c r="BZ569" s="4">
        <v>0</v>
      </c>
      <c r="CA569" s="4">
        <v>6</v>
      </c>
      <c r="CB569" s="4">
        <v>8</v>
      </c>
      <c r="CC569" s="4">
        <v>0</v>
      </c>
      <c r="CD569" s="4">
        <v>1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2</v>
      </c>
      <c r="CK569" s="4">
        <v>0</v>
      </c>
      <c r="CL569" s="4">
        <v>0</v>
      </c>
      <c r="CM569" s="4">
        <v>5</v>
      </c>
      <c r="CN569" s="4">
        <v>26</v>
      </c>
      <c r="CO569" s="4">
        <v>1</v>
      </c>
      <c r="CP569" s="4">
        <v>0</v>
      </c>
      <c r="CQ569" s="4">
        <v>0</v>
      </c>
      <c r="CR569" s="4">
        <v>0</v>
      </c>
      <c r="CS569" s="4">
        <v>0</v>
      </c>
      <c r="CT569" s="4">
        <v>2</v>
      </c>
      <c r="CU569" s="4">
        <v>3</v>
      </c>
      <c r="CV569" s="4">
        <v>6</v>
      </c>
      <c r="CW569" s="4">
        <v>5</v>
      </c>
      <c r="CX569" s="5">
        <v>5</v>
      </c>
    </row>
    <row r="570" spans="1:102" ht="15.75" x14ac:dyDescent="0.25">
      <c r="A570" s="4" t="s">
        <v>291</v>
      </c>
      <c r="B570" s="4" t="s">
        <v>292</v>
      </c>
      <c r="C570" s="4">
        <v>2020</v>
      </c>
      <c r="D570" s="4">
        <v>21908</v>
      </c>
      <c r="E570" s="4">
        <v>232</v>
      </c>
      <c r="F570" s="4">
        <v>485</v>
      </c>
      <c r="G570" s="4">
        <v>547</v>
      </c>
      <c r="H570" s="4">
        <v>155</v>
      </c>
      <c r="I570" s="4">
        <v>649</v>
      </c>
      <c r="J570" s="4">
        <v>439</v>
      </c>
      <c r="K570" s="4">
        <v>116</v>
      </c>
      <c r="L570" s="4">
        <v>353</v>
      </c>
      <c r="M570" s="4">
        <v>251</v>
      </c>
      <c r="N570" s="4">
        <v>295</v>
      </c>
      <c r="O570" s="4">
        <v>561</v>
      </c>
      <c r="P570" s="4">
        <v>4</v>
      </c>
      <c r="Q570" s="4">
        <v>11</v>
      </c>
      <c r="R570" s="4">
        <v>3</v>
      </c>
      <c r="S570" s="4">
        <v>96</v>
      </c>
      <c r="T570" s="4">
        <v>0</v>
      </c>
      <c r="U570" s="4">
        <v>3</v>
      </c>
      <c r="V570" s="4">
        <v>62</v>
      </c>
      <c r="W570" s="4">
        <v>16</v>
      </c>
      <c r="X570" s="4">
        <v>77</v>
      </c>
      <c r="Y570" s="4">
        <v>45</v>
      </c>
      <c r="Z570" s="4">
        <v>61</v>
      </c>
      <c r="AA570" s="4">
        <v>1073</v>
      </c>
      <c r="AB570" s="4">
        <v>375</v>
      </c>
      <c r="AC570" s="4">
        <v>60</v>
      </c>
      <c r="AD570" s="4">
        <v>14</v>
      </c>
      <c r="AE570" s="4">
        <v>55</v>
      </c>
      <c r="AF570" s="4">
        <v>4</v>
      </c>
      <c r="AG570" s="4">
        <v>892</v>
      </c>
      <c r="AH570" s="4">
        <v>79</v>
      </c>
      <c r="AI570" s="4">
        <v>146</v>
      </c>
      <c r="AJ570" s="4">
        <v>1369</v>
      </c>
      <c r="AK570" s="4">
        <v>615</v>
      </c>
      <c r="AL570" s="4">
        <v>49</v>
      </c>
      <c r="AM570" s="4">
        <v>250</v>
      </c>
      <c r="AN570" s="4">
        <v>271</v>
      </c>
      <c r="AO570" s="4">
        <v>378</v>
      </c>
      <c r="AP570" s="4">
        <v>5</v>
      </c>
      <c r="AQ570" s="4">
        <v>123</v>
      </c>
      <c r="AR570" s="4">
        <v>143</v>
      </c>
      <c r="AS570" s="4">
        <v>505</v>
      </c>
      <c r="AT570" s="4">
        <v>244</v>
      </c>
      <c r="AU570" s="4">
        <v>340</v>
      </c>
      <c r="AV570" s="4">
        <v>378</v>
      </c>
      <c r="AW570" s="4">
        <v>241</v>
      </c>
      <c r="AX570" s="4">
        <v>787</v>
      </c>
      <c r="AY570" s="4">
        <v>7</v>
      </c>
      <c r="AZ570" s="4">
        <v>72</v>
      </c>
      <c r="BA570" s="4">
        <v>1</v>
      </c>
      <c r="BB570" s="4">
        <v>360</v>
      </c>
      <c r="BC570" s="4">
        <v>20</v>
      </c>
      <c r="BD570" s="4">
        <v>17</v>
      </c>
      <c r="BE570" s="4">
        <v>94</v>
      </c>
      <c r="BF570" s="4">
        <v>460</v>
      </c>
      <c r="BG570" s="4">
        <v>21</v>
      </c>
      <c r="BH570" s="4">
        <v>51</v>
      </c>
      <c r="BI570" s="4">
        <v>15</v>
      </c>
      <c r="BJ570" s="4">
        <v>220</v>
      </c>
      <c r="BK570" s="4">
        <v>368</v>
      </c>
      <c r="BL570" s="4">
        <v>3</v>
      </c>
      <c r="BM570" s="4">
        <v>71</v>
      </c>
      <c r="BN570" s="4">
        <v>836</v>
      </c>
      <c r="BO570" s="4">
        <v>154</v>
      </c>
      <c r="BP570" s="4">
        <v>14</v>
      </c>
      <c r="BQ570" s="4">
        <v>746</v>
      </c>
      <c r="BR570" s="4">
        <v>295</v>
      </c>
      <c r="BS570" s="4">
        <v>396</v>
      </c>
      <c r="BT570" s="4">
        <v>206</v>
      </c>
      <c r="BU570" s="4">
        <v>62</v>
      </c>
      <c r="BV570" s="4">
        <v>201</v>
      </c>
      <c r="BW570" s="4">
        <v>270</v>
      </c>
      <c r="BX570" s="4">
        <v>424</v>
      </c>
      <c r="BY570" s="4">
        <v>8</v>
      </c>
      <c r="BZ570" s="4">
        <v>0</v>
      </c>
      <c r="CA570" s="4">
        <v>31</v>
      </c>
      <c r="CB570" s="4">
        <v>3</v>
      </c>
      <c r="CC570" s="4">
        <v>9</v>
      </c>
      <c r="CD570" s="4">
        <v>142</v>
      </c>
      <c r="CE570" s="4">
        <v>46</v>
      </c>
      <c r="CF570" s="4">
        <v>217</v>
      </c>
      <c r="CG570" s="4">
        <v>18</v>
      </c>
      <c r="CH570" s="4">
        <v>71</v>
      </c>
      <c r="CI570" s="4">
        <v>57</v>
      </c>
      <c r="CJ570" s="4">
        <v>980</v>
      </c>
      <c r="CK570" s="4">
        <v>241</v>
      </c>
      <c r="CL570" s="4">
        <v>1</v>
      </c>
      <c r="CM570" s="4">
        <v>44</v>
      </c>
      <c r="CN570" s="4">
        <v>282</v>
      </c>
      <c r="CO570" s="4">
        <v>63</v>
      </c>
      <c r="CP570" s="4">
        <v>34</v>
      </c>
      <c r="CQ570" s="4">
        <v>1</v>
      </c>
      <c r="CR570" s="4">
        <v>1</v>
      </c>
      <c r="CS570" s="4">
        <v>45</v>
      </c>
      <c r="CT570" s="4">
        <v>336</v>
      </c>
      <c r="CU570" s="4">
        <v>24</v>
      </c>
      <c r="CV570" s="4">
        <v>973</v>
      </c>
      <c r="CW570" s="4">
        <v>41</v>
      </c>
      <c r="CX570" s="5">
        <v>41</v>
      </c>
    </row>
    <row r="571" spans="1:102" ht="15.75" x14ac:dyDescent="0.25">
      <c r="A571" s="4" t="s">
        <v>293</v>
      </c>
      <c r="B571" s="4" t="s">
        <v>294</v>
      </c>
      <c r="C571" s="4">
        <v>2020</v>
      </c>
      <c r="D571" s="4">
        <v>1683</v>
      </c>
      <c r="E571" s="4">
        <v>4</v>
      </c>
      <c r="F571" s="4">
        <v>0</v>
      </c>
      <c r="G571" s="4">
        <v>3</v>
      </c>
      <c r="H571" s="4">
        <v>1</v>
      </c>
      <c r="I571" s="4">
        <v>17</v>
      </c>
      <c r="J571" s="4">
        <v>3</v>
      </c>
      <c r="K571" s="4">
        <v>2</v>
      </c>
      <c r="L571" s="4">
        <v>13</v>
      </c>
      <c r="M571" s="4">
        <v>1</v>
      </c>
      <c r="N571" s="4">
        <v>8</v>
      </c>
      <c r="O571" s="4">
        <v>43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2</v>
      </c>
      <c r="V571" s="4">
        <v>1</v>
      </c>
      <c r="W571" s="4">
        <v>0</v>
      </c>
      <c r="X571" s="4">
        <v>2</v>
      </c>
      <c r="Y571" s="4">
        <v>0</v>
      </c>
      <c r="Z571" s="4">
        <v>0</v>
      </c>
      <c r="AA571" s="4">
        <v>10</v>
      </c>
      <c r="AB571" s="4">
        <v>0</v>
      </c>
      <c r="AC571" s="4">
        <v>0</v>
      </c>
      <c r="AD571" s="4">
        <v>0</v>
      </c>
      <c r="AE571" s="4">
        <v>2</v>
      </c>
      <c r="AF571" s="4">
        <v>0</v>
      </c>
      <c r="AG571" s="4">
        <v>8</v>
      </c>
      <c r="AH571" s="4">
        <v>3</v>
      </c>
      <c r="AI571" s="4">
        <v>12</v>
      </c>
      <c r="AJ571" s="4">
        <v>154</v>
      </c>
      <c r="AK571" s="4">
        <v>28</v>
      </c>
      <c r="AL571" s="4">
        <v>1</v>
      </c>
      <c r="AM571" s="4">
        <v>15</v>
      </c>
      <c r="AN571" s="4">
        <v>19</v>
      </c>
      <c r="AO571" s="4">
        <v>45</v>
      </c>
      <c r="AP571" s="4">
        <v>0</v>
      </c>
      <c r="AQ571" s="4">
        <v>3</v>
      </c>
      <c r="AR571" s="4">
        <v>0</v>
      </c>
      <c r="AS571" s="4">
        <v>7</v>
      </c>
      <c r="AT571" s="4">
        <v>14</v>
      </c>
      <c r="AU571" s="4">
        <v>32</v>
      </c>
      <c r="AV571" s="4">
        <v>6</v>
      </c>
      <c r="AW571" s="4">
        <v>8</v>
      </c>
      <c r="AX571" s="4">
        <v>20</v>
      </c>
      <c r="AY571" s="4">
        <v>1</v>
      </c>
      <c r="AZ571" s="4">
        <v>9</v>
      </c>
      <c r="BA571" s="4">
        <v>0</v>
      </c>
      <c r="BB571" s="4">
        <v>292</v>
      </c>
      <c r="BC571" s="4">
        <v>1</v>
      </c>
      <c r="BD571" s="4">
        <v>0</v>
      </c>
      <c r="BE571" s="4">
        <v>10</v>
      </c>
      <c r="BF571" s="4">
        <v>47</v>
      </c>
      <c r="BG571" s="4">
        <v>1</v>
      </c>
      <c r="BH571" s="4">
        <v>2</v>
      </c>
      <c r="BI571" s="4">
        <v>0</v>
      </c>
      <c r="BJ571" s="4">
        <v>25</v>
      </c>
      <c r="BK571" s="4">
        <v>37</v>
      </c>
      <c r="BL571" s="4">
        <v>0</v>
      </c>
      <c r="BM571" s="4">
        <v>5</v>
      </c>
      <c r="BN571" s="4">
        <v>24</v>
      </c>
      <c r="BO571" s="4">
        <v>0</v>
      </c>
      <c r="BP571" s="4">
        <v>5</v>
      </c>
      <c r="BQ571" s="4">
        <v>27</v>
      </c>
      <c r="BR571" s="4">
        <v>3</v>
      </c>
      <c r="BS571" s="4">
        <v>33</v>
      </c>
      <c r="BT571" s="4">
        <v>22</v>
      </c>
      <c r="BU571" s="4">
        <v>1</v>
      </c>
      <c r="BV571" s="4">
        <v>7</v>
      </c>
      <c r="BW571" s="4">
        <v>26</v>
      </c>
      <c r="BX571" s="4">
        <v>129</v>
      </c>
      <c r="BY571" s="4">
        <v>0</v>
      </c>
      <c r="BZ571" s="4">
        <v>0</v>
      </c>
      <c r="CA571" s="4">
        <v>12</v>
      </c>
      <c r="CB571" s="4">
        <v>0</v>
      </c>
      <c r="CC571" s="4">
        <v>0</v>
      </c>
      <c r="CD571" s="4">
        <v>2</v>
      </c>
      <c r="CE571" s="4">
        <v>0</v>
      </c>
      <c r="CF571" s="4">
        <v>2</v>
      </c>
      <c r="CG571" s="4">
        <v>1</v>
      </c>
      <c r="CH571" s="4">
        <v>3</v>
      </c>
      <c r="CI571" s="4">
        <v>8</v>
      </c>
      <c r="CJ571" s="4">
        <v>243</v>
      </c>
      <c r="CK571" s="4">
        <v>81</v>
      </c>
      <c r="CL571" s="4">
        <v>0</v>
      </c>
      <c r="CM571" s="4">
        <v>14</v>
      </c>
      <c r="CN571" s="4">
        <v>43</v>
      </c>
      <c r="CO571" s="4">
        <v>14</v>
      </c>
      <c r="CP571" s="4">
        <v>4</v>
      </c>
      <c r="CQ571" s="4">
        <v>0</v>
      </c>
      <c r="CR571" s="4">
        <v>13</v>
      </c>
      <c r="CS571" s="4">
        <v>4</v>
      </c>
      <c r="CT571" s="4">
        <v>7</v>
      </c>
      <c r="CU571" s="4">
        <v>3</v>
      </c>
      <c r="CV571" s="4">
        <v>27</v>
      </c>
      <c r="CW571" s="4">
        <v>6</v>
      </c>
      <c r="CX571" s="5">
        <v>6</v>
      </c>
    </row>
    <row r="572" spans="1:102" ht="15.75" x14ac:dyDescent="0.25">
      <c r="A572" s="4" t="s">
        <v>295</v>
      </c>
      <c r="B572" s="4" t="s">
        <v>296</v>
      </c>
      <c r="C572" s="4">
        <v>2020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5">
        <v>0</v>
      </c>
    </row>
    <row r="573" spans="1:102" ht="15.75" x14ac:dyDescent="0.25">
      <c r="A573" s="4" t="s">
        <v>297</v>
      </c>
      <c r="B573" s="4" t="s">
        <v>298</v>
      </c>
      <c r="C573" s="4">
        <v>2020</v>
      </c>
      <c r="D573" s="4">
        <v>3229</v>
      </c>
      <c r="E573" s="4">
        <v>1</v>
      </c>
      <c r="F573" s="4">
        <v>0</v>
      </c>
      <c r="G573" s="4">
        <v>1</v>
      </c>
      <c r="H573" s="4">
        <v>0</v>
      </c>
      <c r="I573" s="4">
        <v>6</v>
      </c>
      <c r="J573" s="4">
        <v>2</v>
      </c>
      <c r="K573" s="4">
        <v>1</v>
      </c>
      <c r="L573" s="4">
        <v>5</v>
      </c>
      <c r="M573" s="4">
        <v>3</v>
      </c>
      <c r="N573" s="4">
        <v>7</v>
      </c>
      <c r="O573" s="4">
        <v>112</v>
      </c>
      <c r="P573" s="4">
        <v>0</v>
      </c>
      <c r="Q573" s="4">
        <v>0</v>
      </c>
      <c r="R573" s="4">
        <v>13</v>
      </c>
      <c r="S573" s="4">
        <v>6</v>
      </c>
      <c r="T573" s="4">
        <v>104</v>
      </c>
      <c r="U573" s="4">
        <v>4</v>
      </c>
      <c r="V573" s="4">
        <v>18</v>
      </c>
      <c r="W573" s="4">
        <v>379</v>
      </c>
      <c r="X573" s="4">
        <v>2</v>
      </c>
      <c r="Y573" s="4">
        <v>1</v>
      </c>
      <c r="Z573" s="4">
        <v>46</v>
      </c>
      <c r="AA573" s="4">
        <v>19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61</v>
      </c>
      <c r="AH573" s="4">
        <v>163</v>
      </c>
      <c r="AI573" s="4">
        <v>26</v>
      </c>
      <c r="AJ573" s="4">
        <v>110</v>
      </c>
      <c r="AK573" s="4">
        <v>25</v>
      </c>
      <c r="AL573" s="4">
        <v>7</v>
      </c>
      <c r="AM573" s="4">
        <v>29</v>
      </c>
      <c r="AN573" s="4">
        <v>19</v>
      </c>
      <c r="AO573" s="4">
        <v>85</v>
      </c>
      <c r="AP573" s="4">
        <v>3</v>
      </c>
      <c r="AQ573" s="4">
        <v>24</v>
      </c>
      <c r="AR573" s="4">
        <v>1</v>
      </c>
      <c r="AS573" s="4">
        <v>15</v>
      </c>
      <c r="AT573" s="4">
        <v>16</v>
      </c>
      <c r="AU573" s="4">
        <v>27</v>
      </c>
      <c r="AV573" s="4">
        <v>29</v>
      </c>
      <c r="AW573" s="4">
        <v>279</v>
      </c>
      <c r="AX573" s="4">
        <v>110</v>
      </c>
      <c r="AY573" s="4">
        <v>6</v>
      </c>
      <c r="AZ573" s="4">
        <v>32</v>
      </c>
      <c r="BA573" s="4">
        <v>0</v>
      </c>
      <c r="BB573" s="4">
        <v>202</v>
      </c>
      <c r="BC573" s="4">
        <v>16</v>
      </c>
      <c r="BD573" s="4">
        <v>0</v>
      </c>
      <c r="BE573" s="4">
        <v>39</v>
      </c>
      <c r="BF573" s="4">
        <v>55</v>
      </c>
      <c r="BG573" s="4">
        <v>8</v>
      </c>
      <c r="BH573" s="4">
        <v>12</v>
      </c>
      <c r="BI573" s="4">
        <v>1</v>
      </c>
      <c r="BJ573" s="4">
        <v>141</v>
      </c>
      <c r="BK573" s="4">
        <v>174</v>
      </c>
      <c r="BL573" s="4">
        <v>0</v>
      </c>
      <c r="BM573" s="4">
        <v>12</v>
      </c>
      <c r="BN573" s="4">
        <v>30</v>
      </c>
      <c r="BO573" s="4">
        <v>0</v>
      </c>
      <c r="BP573" s="4">
        <v>5</v>
      </c>
      <c r="BQ573" s="4">
        <v>44</v>
      </c>
      <c r="BR573" s="4">
        <v>3</v>
      </c>
      <c r="BS573" s="4">
        <v>168</v>
      </c>
      <c r="BT573" s="4">
        <v>54</v>
      </c>
      <c r="BU573" s="4">
        <v>0</v>
      </c>
      <c r="BV573" s="4">
        <v>31</v>
      </c>
      <c r="BW573" s="4">
        <v>1</v>
      </c>
      <c r="BX573" s="4">
        <v>27</v>
      </c>
      <c r="BY573" s="4">
        <v>4</v>
      </c>
      <c r="BZ573" s="4">
        <v>0</v>
      </c>
      <c r="CA573" s="4">
        <v>83</v>
      </c>
      <c r="CB573" s="4">
        <v>5</v>
      </c>
      <c r="CC573" s="4">
        <v>0</v>
      </c>
      <c r="CD573" s="4">
        <v>3</v>
      </c>
      <c r="CE573" s="4">
        <v>0</v>
      </c>
      <c r="CF573" s="4">
        <v>4</v>
      </c>
      <c r="CG573" s="4">
        <v>6</v>
      </c>
      <c r="CH573" s="4">
        <v>2</v>
      </c>
      <c r="CI573" s="4">
        <v>1</v>
      </c>
      <c r="CJ573" s="4">
        <v>7</v>
      </c>
      <c r="CK573" s="4">
        <v>1</v>
      </c>
      <c r="CL573" s="4">
        <v>0</v>
      </c>
      <c r="CM573" s="4">
        <v>32</v>
      </c>
      <c r="CN573" s="4">
        <v>155</v>
      </c>
      <c r="CO573" s="4">
        <v>3</v>
      </c>
      <c r="CP573" s="4">
        <v>5</v>
      </c>
      <c r="CQ573" s="4">
        <v>0</v>
      </c>
      <c r="CR573" s="4">
        <v>7</v>
      </c>
      <c r="CS573" s="4">
        <v>6</v>
      </c>
      <c r="CT573" s="4">
        <v>10</v>
      </c>
      <c r="CU573" s="4">
        <v>1</v>
      </c>
      <c r="CV573" s="4">
        <v>49</v>
      </c>
      <c r="CW573" s="4">
        <v>24</v>
      </c>
      <c r="CX573" s="5">
        <v>24</v>
      </c>
    </row>
    <row r="574" spans="1:102" ht="15.75" x14ac:dyDescent="0.25">
      <c r="A574" s="4" t="s">
        <v>299</v>
      </c>
      <c r="B574" s="4" t="s">
        <v>300</v>
      </c>
      <c r="C574" s="4">
        <v>2020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5">
        <v>0</v>
      </c>
    </row>
    <row r="575" spans="1:102" ht="15.75" x14ac:dyDescent="0.25">
      <c r="A575" s="4" t="s">
        <v>301</v>
      </c>
      <c r="B575" s="4" t="s">
        <v>302</v>
      </c>
      <c r="C575" s="4">
        <v>2020</v>
      </c>
      <c r="D575" s="4">
        <v>366</v>
      </c>
      <c r="E575" s="4">
        <v>0</v>
      </c>
      <c r="F575" s="4">
        <v>0</v>
      </c>
      <c r="G575" s="4">
        <v>1</v>
      </c>
      <c r="H575" s="4">
        <v>0</v>
      </c>
      <c r="I575" s="4">
        <v>4</v>
      </c>
      <c r="J575" s="4">
        <v>0</v>
      </c>
      <c r="K575" s="4">
        <v>0</v>
      </c>
      <c r="L575" s="4">
        <v>2</v>
      </c>
      <c r="M575" s="4">
        <v>1</v>
      </c>
      <c r="N575" s="4">
        <v>11</v>
      </c>
      <c r="O575" s="4">
        <v>15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15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3</v>
      </c>
      <c r="AH575" s="4">
        <v>2</v>
      </c>
      <c r="AI575" s="4">
        <v>4</v>
      </c>
      <c r="AJ575" s="4">
        <v>61</v>
      </c>
      <c r="AK575" s="4">
        <v>11</v>
      </c>
      <c r="AL575" s="4">
        <v>0</v>
      </c>
      <c r="AM575" s="4">
        <v>19</v>
      </c>
      <c r="AN575" s="4">
        <v>0</v>
      </c>
      <c r="AO575" s="4">
        <v>13</v>
      </c>
      <c r="AP575" s="4">
        <v>0</v>
      </c>
      <c r="AQ575" s="4">
        <v>1</v>
      </c>
      <c r="AR575" s="4">
        <v>0</v>
      </c>
      <c r="AS575" s="4">
        <v>0</v>
      </c>
      <c r="AT575" s="4">
        <v>0</v>
      </c>
      <c r="AU575" s="4">
        <v>0</v>
      </c>
      <c r="AV575" s="4">
        <v>1</v>
      </c>
      <c r="AW575" s="4">
        <v>1</v>
      </c>
      <c r="AX575" s="4">
        <v>3</v>
      </c>
      <c r="AY575" s="4">
        <v>1</v>
      </c>
      <c r="AZ575" s="4">
        <v>14</v>
      </c>
      <c r="BA575" s="4">
        <v>0</v>
      </c>
      <c r="BB575" s="4">
        <v>7</v>
      </c>
      <c r="BC575" s="4">
        <v>1</v>
      </c>
      <c r="BD575" s="4">
        <v>0</v>
      </c>
      <c r="BE575" s="4">
        <v>4</v>
      </c>
      <c r="BF575" s="4">
        <v>16</v>
      </c>
      <c r="BG575" s="4">
        <v>1</v>
      </c>
      <c r="BH575" s="4">
        <v>1</v>
      </c>
      <c r="BI575" s="4">
        <v>0</v>
      </c>
      <c r="BJ575" s="4">
        <v>16</v>
      </c>
      <c r="BK575" s="4">
        <v>34</v>
      </c>
      <c r="BL575" s="4">
        <v>0</v>
      </c>
      <c r="BM575" s="4">
        <v>0</v>
      </c>
      <c r="BN575" s="4">
        <v>1</v>
      </c>
      <c r="BO575" s="4">
        <v>0</v>
      </c>
      <c r="BP575" s="4">
        <v>0</v>
      </c>
      <c r="BQ575" s="4">
        <v>3</v>
      </c>
      <c r="BR575" s="4">
        <v>0</v>
      </c>
      <c r="BS575" s="4">
        <v>13</v>
      </c>
      <c r="BT575" s="4">
        <v>41</v>
      </c>
      <c r="BU575" s="4">
        <v>0</v>
      </c>
      <c r="BV575" s="4">
        <v>4</v>
      </c>
      <c r="BW575" s="4">
        <v>1</v>
      </c>
      <c r="BX575" s="4">
        <v>16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1</v>
      </c>
      <c r="CG575" s="4">
        <v>0</v>
      </c>
      <c r="CH575" s="4">
        <v>0</v>
      </c>
      <c r="CI575" s="4">
        <v>0</v>
      </c>
      <c r="CJ575" s="4">
        <v>1</v>
      </c>
      <c r="CK575" s="4">
        <v>0</v>
      </c>
      <c r="CL575" s="4">
        <v>0</v>
      </c>
      <c r="CM575" s="4">
        <v>2</v>
      </c>
      <c r="CN575" s="4">
        <v>9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1</v>
      </c>
      <c r="CU575" s="4">
        <v>0</v>
      </c>
      <c r="CV575" s="4">
        <v>4</v>
      </c>
      <c r="CW575" s="4">
        <v>1</v>
      </c>
      <c r="CX575" s="5">
        <v>1</v>
      </c>
    </row>
    <row r="576" spans="1:102" ht="15.75" x14ac:dyDescent="0.25">
      <c r="A576" s="4" t="s">
        <v>303</v>
      </c>
      <c r="B576" s="4" t="s">
        <v>304</v>
      </c>
      <c r="C576" s="4">
        <v>2020</v>
      </c>
      <c r="D576" s="4">
        <v>62</v>
      </c>
      <c r="E576" s="4">
        <v>2</v>
      </c>
      <c r="F576" s="4">
        <v>0</v>
      </c>
      <c r="G576" s="4">
        <v>0</v>
      </c>
      <c r="H576" s="4">
        <v>0</v>
      </c>
      <c r="I576" s="4">
        <v>0</v>
      </c>
      <c r="J576" s="4">
        <v>1</v>
      </c>
      <c r="K576" s="4">
        <v>0</v>
      </c>
      <c r="L576" s="4">
        <v>0</v>
      </c>
      <c r="M576" s="4">
        <v>0</v>
      </c>
      <c r="N576" s="4">
        <v>2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5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2</v>
      </c>
      <c r="AH576" s="4">
        <v>1</v>
      </c>
      <c r="AI576" s="4">
        <v>2</v>
      </c>
      <c r="AJ576" s="4">
        <v>12</v>
      </c>
      <c r="AK576" s="4">
        <v>1</v>
      </c>
      <c r="AL576" s="4">
        <v>0</v>
      </c>
      <c r="AM576" s="4">
        <v>1</v>
      </c>
      <c r="AN576" s="4">
        <v>0</v>
      </c>
      <c r="AO576" s="4">
        <v>8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1</v>
      </c>
      <c r="AY576" s="4">
        <v>0</v>
      </c>
      <c r="AZ576" s="4">
        <v>0</v>
      </c>
      <c r="BA576" s="4">
        <v>0</v>
      </c>
      <c r="BB576" s="4">
        <v>0</v>
      </c>
      <c r="BC576" s="4">
        <v>3</v>
      </c>
      <c r="BD576" s="4">
        <v>0</v>
      </c>
      <c r="BE576" s="4">
        <v>0</v>
      </c>
      <c r="BF576" s="4">
        <v>1</v>
      </c>
      <c r="BG576" s="4">
        <v>0</v>
      </c>
      <c r="BH576" s="4">
        <v>0</v>
      </c>
      <c r="BI576" s="4">
        <v>0</v>
      </c>
      <c r="BJ576" s="4">
        <v>3</v>
      </c>
      <c r="BK576" s="4">
        <v>1</v>
      </c>
      <c r="BL576" s="4">
        <v>0</v>
      </c>
      <c r="BM576" s="4">
        <v>0</v>
      </c>
      <c r="BN576" s="4">
        <v>1</v>
      </c>
      <c r="BO576" s="4">
        <v>0</v>
      </c>
      <c r="BP576" s="4">
        <v>0</v>
      </c>
      <c r="BQ576" s="4">
        <v>0</v>
      </c>
      <c r="BR576" s="4">
        <v>0</v>
      </c>
      <c r="BS576" s="4">
        <v>1</v>
      </c>
      <c r="BT576" s="4">
        <v>1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3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8</v>
      </c>
      <c r="CW576" s="4">
        <v>0</v>
      </c>
      <c r="CX576" s="5">
        <v>0</v>
      </c>
    </row>
    <row r="577" spans="1:102" ht="15.75" x14ac:dyDescent="0.25">
      <c r="A577" s="4" t="s">
        <v>305</v>
      </c>
      <c r="B577" s="4" t="s">
        <v>306</v>
      </c>
      <c r="C577" s="4">
        <v>2020</v>
      </c>
      <c r="D577" s="4">
        <v>318</v>
      </c>
      <c r="E577" s="4">
        <v>0</v>
      </c>
      <c r="F577" s="4">
        <v>2</v>
      </c>
      <c r="G577" s="4">
        <v>2</v>
      </c>
      <c r="H577" s="4">
        <v>1</v>
      </c>
      <c r="I577" s="4">
        <v>13</v>
      </c>
      <c r="J577" s="4">
        <v>6</v>
      </c>
      <c r="K577" s="4">
        <v>2</v>
      </c>
      <c r="L577" s="4">
        <v>5</v>
      </c>
      <c r="M577" s="4">
        <v>37</v>
      </c>
      <c r="N577" s="4">
        <v>8</v>
      </c>
      <c r="O577" s="4">
        <v>10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1</v>
      </c>
      <c r="W577" s="4">
        <v>0</v>
      </c>
      <c r="X577" s="4">
        <v>0</v>
      </c>
      <c r="Y577" s="4">
        <v>4</v>
      </c>
      <c r="Z577" s="4">
        <v>0</v>
      </c>
      <c r="AA577" s="4">
        <v>12</v>
      </c>
      <c r="AB577" s="4">
        <v>0</v>
      </c>
      <c r="AC577" s="4">
        <v>0</v>
      </c>
      <c r="AD577" s="4">
        <v>0</v>
      </c>
      <c r="AE577" s="4">
        <v>1</v>
      </c>
      <c r="AF577" s="4">
        <v>0</v>
      </c>
      <c r="AG577" s="4">
        <v>3</v>
      </c>
      <c r="AH577" s="4">
        <v>0</v>
      </c>
      <c r="AI577" s="4">
        <v>1</v>
      </c>
      <c r="AJ577" s="4">
        <v>2</v>
      </c>
      <c r="AK577" s="4">
        <v>9</v>
      </c>
      <c r="AL577" s="4">
        <v>3</v>
      </c>
      <c r="AM577" s="4">
        <v>1</v>
      </c>
      <c r="AN577" s="4">
        <v>2</v>
      </c>
      <c r="AO577" s="4">
        <v>6</v>
      </c>
      <c r="AP577" s="4">
        <v>0</v>
      </c>
      <c r="AQ577" s="4">
        <v>1</v>
      </c>
      <c r="AR577" s="4">
        <v>0</v>
      </c>
      <c r="AS577" s="4">
        <v>6</v>
      </c>
      <c r="AT577" s="4">
        <v>4</v>
      </c>
      <c r="AU577" s="4">
        <v>2</v>
      </c>
      <c r="AV577" s="4">
        <v>1</v>
      </c>
      <c r="AW577" s="4">
        <v>1</v>
      </c>
      <c r="AX577" s="4">
        <v>9</v>
      </c>
      <c r="AY577" s="4">
        <v>0</v>
      </c>
      <c r="AZ577" s="4">
        <v>1</v>
      </c>
      <c r="BA577" s="4">
        <v>0</v>
      </c>
      <c r="BB577" s="4">
        <v>1</v>
      </c>
      <c r="BC577" s="4">
        <v>0</v>
      </c>
      <c r="BD577" s="4">
        <v>0</v>
      </c>
      <c r="BE577" s="4">
        <v>1</v>
      </c>
      <c r="BF577" s="4">
        <v>6</v>
      </c>
      <c r="BG577" s="4">
        <v>0</v>
      </c>
      <c r="BH577" s="4">
        <v>0</v>
      </c>
      <c r="BI577" s="4">
        <v>0</v>
      </c>
      <c r="BJ577" s="4">
        <v>3</v>
      </c>
      <c r="BK577" s="4">
        <v>4</v>
      </c>
      <c r="BL577" s="4">
        <v>0</v>
      </c>
      <c r="BM577" s="4">
        <v>0</v>
      </c>
      <c r="BN577" s="4">
        <v>50</v>
      </c>
      <c r="BO577" s="4">
        <v>0</v>
      </c>
      <c r="BP577" s="4">
        <v>1</v>
      </c>
      <c r="BQ577" s="4">
        <v>8</v>
      </c>
      <c r="BR577" s="4">
        <v>2</v>
      </c>
      <c r="BS577" s="4">
        <v>5</v>
      </c>
      <c r="BT577" s="4">
        <v>2</v>
      </c>
      <c r="BU577" s="4">
        <v>0</v>
      </c>
      <c r="BV577" s="4">
        <v>4</v>
      </c>
      <c r="BW577" s="4">
        <v>2</v>
      </c>
      <c r="BX577" s="4">
        <v>13</v>
      </c>
      <c r="BY577" s="4">
        <v>0</v>
      </c>
      <c r="BZ577" s="4">
        <v>0</v>
      </c>
      <c r="CA577" s="4">
        <v>1</v>
      </c>
      <c r="CB577" s="4">
        <v>0</v>
      </c>
      <c r="CC577" s="4">
        <v>0</v>
      </c>
      <c r="CD577" s="4">
        <v>2</v>
      </c>
      <c r="CE577" s="4">
        <v>0</v>
      </c>
      <c r="CF577" s="4">
        <v>2</v>
      </c>
      <c r="CG577" s="4">
        <v>0</v>
      </c>
      <c r="CH577" s="4">
        <v>1</v>
      </c>
      <c r="CI577" s="4">
        <v>1</v>
      </c>
      <c r="CJ577" s="4">
        <v>11</v>
      </c>
      <c r="CK577" s="4">
        <v>1</v>
      </c>
      <c r="CL577" s="4">
        <v>0</v>
      </c>
      <c r="CM577" s="4">
        <v>1</v>
      </c>
      <c r="CN577" s="4">
        <v>11</v>
      </c>
      <c r="CO577" s="4">
        <v>1</v>
      </c>
      <c r="CP577" s="4">
        <v>1</v>
      </c>
      <c r="CQ577" s="4">
        <v>0</v>
      </c>
      <c r="CR577" s="4">
        <v>0</v>
      </c>
      <c r="CS577" s="4">
        <v>0</v>
      </c>
      <c r="CT577" s="4">
        <v>6</v>
      </c>
      <c r="CU577" s="4">
        <v>0</v>
      </c>
      <c r="CV577" s="4">
        <v>13</v>
      </c>
      <c r="CW577" s="4">
        <v>4</v>
      </c>
      <c r="CX577" s="5">
        <v>4</v>
      </c>
    </row>
    <row r="578" spans="1:102" ht="15.75" x14ac:dyDescent="0.25">
      <c r="A578" s="4" t="s">
        <v>307</v>
      </c>
      <c r="B578" s="4" t="s">
        <v>308</v>
      </c>
      <c r="C578" s="4">
        <v>2020</v>
      </c>
      <c r="D578" s="4">
        <v>8838</v>
      </c>
      <c r="E578" s="4">
        <v>8</v>
      </c>
      <c r="F578" s="4">
        <v>64</v>
      </c>
      <c r="G578" s="4">
        <v>36</v>
      </c>
      <c r="H578" s="4">
        <v>83</v>
      </c>
      <c r="I578" s="4">
        <v>48</v>
      </c>
      <c r="J578" s="4">
        <v>35</v>
      </c>
      <c r="K578" s="4">
        <v>17</v>
      </c>
      <c r="L578" s="4">
        <v>23</v>
      </c>
      <c r="M578" s="4">
        <v>31</v>
      </c>
      <c r="N578" s="4">
        <v>27</v>
      </c>
      <c r="O578" s="4">
        <v>170</v>
      </c>
      <c r="P578" s="4">
        <v>30</v>
      </c>
      <c r="Q578" s="4">
        <v>1</v>
      </c>
      <c r="R578" s="4">
        <v>9</v>
      </c>
      <c r="S578" s="4">
        <v>0</v>
      </c>
      <c r="T578" s="4">
        <v>0</v>
      </c>
      <c r="U578" s="4">
        <v>30</v>
      </c>
      <c r="V578" s="4">
        <v>16</v>
      </c>
      <c r="W578" s="4">
        <v>215</v>
      </c>
      <c r="X578" s="4">
        <v>14</v>
      </c>
      <c r="Y578" s="4">
        <v>0</v>
      </c>
      <c r="Z578" s="4">
        <v>521</v>
      </c>
      <c r="AA578" s="4">
        <v>48</v>
      </c>
      <c r="AB578" s="4">
        <v>13</v>
      </c>
      <c r="AC578" s="4">
        <v>0</v>
      </c>
      <c r="AD578" s="4">
        <v>3</v>
      </c>
      <c r="AE578" s="4">
        <v>3</v>
      </c>
      <c r="AF578" s="4">
        <v>3</v>
      </c>
      <c r="AG578" s="4">
        <v>169</v>
      </c>
      <c r="AH578" s="4">
        <v>62</v>
      </c>
      <c r="AI578" s="4">
        <v>122</v>
      </c>
      <c r="AJ578" s="4">
        <v>385</v>
      </c>
      <c r="AK578" s="4">
        <v>141</v>
      </c>
      <c r="AL578" s="4">
        <v>3</v>
      </c>
      <c r="AM578" s="4">
        <v>165</v>
      </c>
      <c r="AN578" s="4">
        <v>137</v>
      </c>
      <c r="AO578" s="4">
        <v>224</v>
      </c>
      <c r="AP578" s="4">
        <v>20</v>
      </c>
      <c r="AQ578" s="4">
        <v>50</v>
      </c>
      <c r="AR578" s="4">
        <v>7</v>
      </c>
      <c r="AS578" s="4">
        <v>64</v>
      </c>
      <c r="AT578" s="4">
        <v>152</v>
      </c>
      <c r="AU578" s="4">
        <v>102</v>
      </c>
      <c r="AV578" s="4">
        <v>167</v>
      </c>
      <c r="AW578" s="4">
        <v>328</v>
      </c>
      <c r="AX578" s="4">
        <v>193</v>
      </c>
      <c r="AY578" s="4">
        <v>4</v>
      </c>
      <c r="AZ578" s="4">
        <v>29</v>
      </c>
      <c r="BA578" s="4">
        <v>0</v>
      </c>
      <c r="BB578" s="4">
        <v>142</v>
      </c>
      <c r="BC578" s="4">
        <v>67</v>
      </c>
      <c r="BD578" s="4">
        <v>3</v>
      </c>
      <c r="BE578" s="4">
        <v>38</v>
      </c>
      <c r="BF578" s="4">
        <v>179</v>
      </c>
      <c r="BG578" s="4">
        <v>13</v>
      </c>
      <c r="BH578" s="4">
        <v>12</v>
      </c>
      <c r="BI578" s="4">
        <v>3</v>
      </c>
      <c r="BJ578" s="4">
        <v>233</v>
      </c>
      <c r="BK578" s="4">
        <v>259</v>
      </c>
      <c r="BL578" s="4">
        <v>4</v>
      </c>
      <c r="BM578" s="4">
        <v>50</v>
      </c>
      <c r="BN578" s="4">
        <v>157</v>
      </c>
      <c r="BO578" s="4">
        <v>2</v>
      </c>
      <c r="BP578" s="4">
        <v>31</v>
      </c>
      <c r="BQ578" s="4">
        <v>208</v>
      </c>
      <c r="BR578" s="4">
        <v>28</v>
      </c>
      <c r="BS578" s="4">
        <v>273</v>
      </c>
      <c r="BT578" s="4">
        <v>127</v>
      </c>
      <c r="BU578" s="4">
        <v>28</v>
      </c>
      <c r="BV578" s="4">
        <v>196</v>
      </c>
      <c r="BW578" s="4">
        <v>27</v>
      </c>
      <c r="BX578" s="4">
        <v>918</v>
      </c>
      <c r="BY578" s="4">
        <v>7</v>
      </c>
      <c r="BZ578" s="4">
        <v>0</v>
      </c>
      <c r="CA578" s="4">
        <v>303</v>
      </c>
      <c r="CB578" s="4">
        <v>31</v>
      </c>
      <c r="CC578" s="4">
        <v>1</v>
      </c>
      <c r="CD578" s="4">
        <v>17</v>
      </c>
      <c r="CE578" s="4">
        <v>11</v>
      </c>
      <c r="CF578" s="4">
        <v>14</v>
      </c>
      <c r="CG578" s="4">
        <v>9</v>
      </c>
      <c r="CH578" s="4">
        <v>12</v>
      </c>
      <c r="CI578" s="4">
        <v>73</v>
      </c>
      <c r="CJ578" s="4">
        <v>391</v>
      </c>
      <c r="CK578" s="4">
        <v>130</v>
      </c>
      <c r="CL578" s="4">
        <v>1</v>
      </c>
      <c r="CM578" s="4">
        <v>46</v>
      </c>
      <c r="CN578" s="4">
        <v>224</v>
      </c>
      <c r="CO578" s="4">
        <v>56</v>
      </c>
      <c r="CP578" s="4">
        <v>24</v>
      </c>
      <c r="CQ578" s="4">
        <v>0</v>
      </c>
      <c r="CR578" s="4">
        <v>21</v>
      </c>
      <c r="CS578" s="4">
        <v>78</v>
      </c>
      <c r="CT578" s="4">
        <v>111</v>
      </c>
      <c r="CU578" s="4">
        <v>8</v>
      </c>
      <c r="CV578" s="4">
        <v>274</v>
      </c>
      <c r="CW578" s="4">
        <v>26</v>
      </c>
      <c r="CX578" s="5">
        <v>26</v>
      </c>
    </row>
    <row r="579" spans="1:102" ht="15.75" x14ac:dyDescent="0.25">
      <c r="A579" s="4" t="s">
        <v>309</v>
      </c>
      <c r="B579" s="4" t="s">
        <v>310</v>
      </c>
      <c r="C579" s="4">
        <v>2020</v>
      </c>
      <c r="D579" s="4">
        <v>340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125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55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2</v>
      </c>
      <c r="AK579" s="4">
        <v>1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1</v>
      </c>
      <c r="BO579" s="4">
        <v>0</v>
      </c>
      <c r="BP579" s="4">
        <v>0</v>
      </c>
      <c r="BQ579" s="4">
        <v>2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1</v>
      </c>
      <c r="BY579" s="4">
        <v>0</v>
      </c>
      <c r="BZ579" s="4">
        <v>0</v>
      </c>
      <c r="CA579" s="4">
        <v>60</v>
      </c>
      <c r="CB579" s="4">
        <v>79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1</v>
      </c>
      <c r="CK579" s="4">
        <v>0</v>
      </c>
      <c r="CL579" s="4">
        <v>0</v>
      </c>
      <c r="CM579" s="4">
        <v>0</v>
      </c>
      <c r="CN579" s="4">
        <v>1</v>
      </c>
      <c r="CO579" s="4">
        <v>1</v>
      </c>
      <c r="CP579" s="4">
        <v>1</v>
      </c>
      <c r="CQ579" s="4">
        <v>0</v>
      </c>
      <c r="CR579" s="4">
        <v>6</v>
      </c>
      <c r="CS579" s="4">
        <v>1</v>
      </c>
      <c r="CT579" s="4">
        <v>0</v>
      </c>
      <c r="CU579" s="4">
        <v>0</v>
      </c>
      <c r="CV579" s="4">
        <v>1</v>
      </c>
      <c r="CW579" s="4">
        <v>0</v>
      </c>
      <c r="CX579" s="5">
        <v>0</v>
      </c>
    </row>
    <row r="580" spans="1:102" ht="15.75" x14ac:dyDescent="0.25">
      <c r="A580" s="4" t="s">
        <v>311</v>
      </c>
      <c r="B580" s="4" t="s">
        <v>312</v>
      </c>
      <c r="C580" s="4">
        <v>2020</v>
      </c>
      <c r="D580" s="4">
        <v>46</v>
      </c>
      <c r="E580" s="4">
        <v>0</v>
      </c>
      <c r="F580" s="4">
        <v>0</v>
      </c>
      <c r="G580" s="4">
        <v>0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  <c r="M580" s="4">
        <v>2</v>
      </c>
      <c r="N580" s="4">
        <v>1</v>
      </c>
      <c r="O580" s="4">
        <v>1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2</v>
      </c>
      <c r="AK580" s="4">
        <v>3</v>
      </c>
      <c r="AL580" s="4">
        <v>0</v>
      </c>
      <c r="AM580" s="4">
        <v>1</v>
      </c>
      <c r="AN580" s="4">
        <v>0</v>
      </c>
      <c r="AO580" s="4">
        <v>1</v>
      </c>
      <c r="AP580" s="4">
        <v>0</v>
      </c>
      <c r="AQ580" s="4">
        <v>0</v>
      </c>
      <c r="AR580" s="4">
        <v>0</v>
      </c>
      <c r="AS580" s="4">
        <v>0</v>
      </c>
      <c r="AT580" s="4">
        <v>1</v>
      </c>
      <c r="AU580" s="4">
        <v>0</v>
      </c>
      <c r="AV580" s="4">
        <v>0</v>
      </c>
      <c r="AW580" s="4">
        <v>0</v>
      </c>
      <c r="AX580" s="4">
        <v>2</v>
      </c>
      <c r="AY580" s="4">
        <v>0</v>
      </c>
      <c r="AZ580" s="4">
        <v>2</v>
      </c>
      <c r="BA580" s="4">
        <v>0</v>
      </c>
      <c r="BB580" s="4">
        <v>0</v>
      </c>
      <c r="BC580" s="4">
        <v>0</v>
      </c>
      <c r="BD580" s="4">
        <v>0</v>
      </c>
      <c r="BE580" s="4">
        <v>1</v>
      </c>
      <c r="BF580" s="4">
        <v>3</v>
      </c>
      <c r="BG580" s="4">
        <v>0</v>
      </c>
      <c r="BH580" s="4">
        <v>0</v>
      </c>
      <c r="BI580" s="4">
        <v>0</v>
      </c>
      <c r="BJ580" s="4">
        <v>2</v>
      </c>
      <c r="BK580" s="4">
        <v>1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1</v>
      </c>
      <c r="BT580" s="4">
        <v>0</v>
      </c>
      <c r="BU580" s="4">
        <v>0</v>
      </c>
      <c r="BV580" s="4">
        <v>1</v>
      </c>
      <c r="BW580" s="4">
        <v>1</v>
      </c>
      <c r="BX580" s="4">
        <v>5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1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3</v>
      </c>
      <c r="CU580" s="4">
        <v>0</v>
      </c>
      <c r="CV580" s="4">
        <v>4</v>
      </c>
      <c r="CW580" s="4">
        <v>1</v>
      </c>
      <c r="CX580" s="5">
        <v>1</v>
      </c>
    </row>
    <row r="581" spans="1:102" ht="15.75" x14ac:dyDescent="0.25">
      <c r="A581" s="4" t="s">
        <v>313</v>
      </c>
      <c r="B581" s="4" t="s">
        <v>314</v>
      </c>
      <c r="C581" s="4">
        <v>2020</v>
      </c>
      <c r="D581" s="4">
        <v>247</v>
      </c>
      <c r="E581" s="4">
        <v>7</v>
      </c>
      <c r="F581" s="4">
        <v>3</v>
      </c>
      <c r="G581" s="4">
        <v>3</v>
      </c>
      <c r="H581" s="4">
        <v>0</v>
      </c>
      <c r="I581" s="4">
        <v>6</v>
      </c>
      <c r="J581" s="4">
        <v>2</v>
      </c>
      <c r="K581" s="4">
        <v>1</v>
      </c>
      <c r="L581" s="4">
        <v>13</v>
      </c>
      <c r="M581" s="4">
        <v>1</v>
      </c>
      <c r="N581" s="4">
        <v>10</v>
      </c>
      <c r="O581" s="4">
        <v>4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3</v>
      </c>
      <c r="V581" s="4">
        <v>1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2</v>
      </c>
      <c r="AH581" s="4">
        <v>0</v>
      </c>
      <c r="AI581" s="4">
        <v>6</v>
      </c>
      <c r="AJ581" s="4">
        <v>13</v>
      </c>
      <c r="AK581" s="4">
        <v>8</v>
      </c>
      <c r="AL581" s="4">
        <v>0</v>
      </c>
      <c r="AM581" s="4">
        <v>2</v>
      </c>
      <c r="AN581" s="4">
        <v>2</v>
      </c>
      <c r="AO581" s="4">
        <v>4</v>
      </c>
      <c r="AP581" s="4">
        <v>0</v>
      </c>
      <c r="AQ581" s="4">
        <v>1</v>
      </c>
      <c r="AR581" s="4">
        <v>0</v>
      </c>
      <c r="AS581" s="4">
        <v>1</v>
      </c>
      <c r="AT581" s="4">
        <v>1</v>
      </c>
      <c r="AU581" s="4">
        <v>0</v>
      </c>
      <c r="AV581" s="4">
        <v>0</v>
      </c>
      <c r="AW581" s="4">
        <v>2</v>
      </c>
      <c r="AX581" s="4">
        <v>3</v>
      </c>
      <c r="AY581" s="4">
        <v>0</v>
      </c>
      <c r="AZ581" s="4">
        <v>1</v>
      </c>
      <c r="BA581" s="4">
        <v>0</v>
      </c>
      <c r="BB581" s="4">
        <v>52</v>
      </c>
      <c r="BC581" s="4">
        <v>0</v>
      </c>
      <c r="BD581" s="4">
        <v>0</v>
      </c>
      <c r="BE581" s="4">
        <v>1</v>
      </c>
      <c r="BF581" s="4">
        <v>4</v>
      </c>
      <c r="BG581" s="4">
        <v>1</v>
      </c>
      <c r="BH581" s="4">
        <v>0</v>
      </c>
      <c r="BI581" s="4">
        <v>0</v>
      </c>
      <c r="BJ581" s="4">
        <v>5</v>
      </c>
      <c r="BK581" s="4">
        <v>12</v>
      </c>
      <c r="BL581" s="4">
        <v>0</v>
      </c>
      <c r="BM581" s="4">
        <v>0</v>
      </c>
      <c r="BN581" s="4">
        <v>7</v>
      </c>
      <c r="BO581" s="4">
        <v>0</v>
      </c>
      <c r="BP581" s="4">
        <v>1</v>
      </c>
      <c r="BQ581" s="4">
        <v>4</v>
      </c>
      <c r="BR581" s="4">
        <v>0</v>
      </c>
      <c r="BS581" s="4">
        <v>5</v>
      </c>
      <c r="BT581" s="4">
        <v>8</v>
      </c>
      <c r="BU581" s="4">
        <v>0</v>
      </c>
      <c r="BV581" s="4">
        <v>2</v>
      </c>
      <c r="BW581" s="4">
        <v>3</v>
      </c>
      <c r="BX581" s="4">
        <v>10</v>
      </c>
      <c r="BY581" s="4">
        <v>0</v>
      </c>
      <c r="BZ581" s="4">
        <v>0</v>
      </c>
      <c r="CA581" s="4">
        <v>4</v>
      </c>
      <c r="CB581" s="4">
        <v>0</v>
      </c>
      <c r="CC581" s="4">
        <v>0</v>
      </c>
      <c r="CD581" s="4">
        <v>2</v>
      </c>
      <c r="CE581" s="4">
        <v>0</v>
      </c>
      <c r="CF581" s="4">
        <v>1</v>
      </c>
      <c r="CG581" s="4">
        <v>3</v>
      </c>
      <c r="CH581" s="4">
        <v>2</v>
      </c>
      <c r="CI581" s="4">
        <v>0</v>
      </c>
      <c r="CJ581" s="4">
        <v>1</v>
      </c>
      <c r="CK581" s="4">
        <v>0</v>
      </c>
      <c r="CL581" s="4">
        <v>0</v>
      </c>
      <c r="CM581" s="4">
        <v>1</v>
      </c>
      <c r="CN581" s="4">
        <v>4</v>
      </c>
      <c r="CO581" s="4">
        <v>1</v>
      </c>
      <c r="CP581" s="4">
        <v>0</v>
      </c>
      <c r="CQ581" s="4">
        <v>0</v>
      </c>
      <c r="CR581" s="4">
        <v>0</v>
      </c>
      <c r="CS581" s="4">
        <v>0</v>
      </c>
      <c r="CT581" s="4">
        <v>9</v>
      </c>
      <c r="CU581" s="4">
        <v>0</v>
      </c>
      <c r="CV581" s="4">
        <v>5</v>
      </c>
      <c r="CW581" s="4">
        <v>1</v>
      </c>
      <c r="CX581" s="5">
        <v>1</v>
      </c>
    </row>
    <row r="582" spans="1:102" ht="15.75" x14ac:dyDescent="0.25">
      <c r="A582" s="4" t="s">
        <v>315</v>
      </c>
      <c r="B582" s="4" t="s">
        <v>316</v>
      </c>
      <c r="C582" s="4">
        <v>2020</v>
      </c>
      <c r="D582" s="4">
        <v>6341</v>
      </c>
      <c r="E582" s="4">
        <v>30</v>
      </c>
      <c r="F582" s="4">
        <v>11</v>
      </c>
      <c r="G582" s="4">
        <v>3</v>
      </c>
      <c r="H582" s="4">
        <v>8</v>
      </c>
      <c r="I582" s="4">
        <v>43</v>
      </c>
      <c r="J582" s="4">
        <v>4</v>
      </c>
      <c r="K582" s="4">
        <v>1</v>
      </c>
      <c r="L582" s="4">
        <v>18</v>
      </c>
      <c r="M582" s="4">
        <v>17</v>
      </c>
      <c r="N582" s="4">
        <v>10</v>
      </c>
      <c r="O582" s="4">
        <v>158</v>
      </c>
      <c r="P582" s="4">
        <v>0</v>
      </c>
      <c r="Q582" s="4">
        <v>0</v>
      </c>
      <c r="R582" s="4">
        <v>2</v>
      </c>
      <c r="S582" s="4">
        <v>0</v>
      </c>
      <c r="T582" s="4">
        <v>0</v>
      </c>
      <c r="U582" s="4">
        <v>3</v>
      </c>
      <c r="V582" s="4">
        <v>5</v>
      </c>
      <c r="W582" s="4">
        <v>28</v>
      </c>
      <c r="X582" s="4">
        <v>2</v>
      </c>
      <c r="Y582" s="4">
        <v>0</v>
      </c>
      <c r="Z582" s="4">
        <v>0</v>
      </c>
      <c r="AA582" s="4">
        <v>5</v>
      </c>
      <c r="AB582" s="4">
        <v>0</v>
      </c>
      <c r="AC582" s="4">
        <v>0</v>
      </c>
      <c r="AD582" s="4">
        <v>2</v>
      </c>
      <c r="AE582" s="4">
        <v>0</v>
      </c>
      <c r="AF582" s="4">
        <v>0</v>
      </c>
      <c r="AG582" s="4">
        <v>60</v>
      </c>
      <c r="AH582" s="4">
        <v>9</v>
      </c>
      <c r="AI582" s="4">
        <v>20</v>
      </c>
      <c r="AJ582" s="4">
        <v>486</v>
      </c>
      <c r="AK582" s="4">
        <v>58</v>
      </c>
      <c r="AL582" s="4">
        <v>0</v>
      </c>
      <c r="AM582" s="4">
        <v>29</v>
      </c>
      <c r="AN582" s="4">
        <v>21</v>
      </c>
      <c r="AO582" s="4">
        <v>212</v>
      </c>
      <c r="AP582" s="4">
        <v>4</v>
      </c>
      <c r="AQ582" s="4">
        <v>10</v>
      </c>
      <c r="AR582" s="4">
        <v>3</v>
      </c>
      <c r="AS582" s="4">
        <v>15</v>
      </c>
      <c r="AT582" s="4">
        <v>38</v>
      </c>
      <c r="AU582" s="4">
        <v>41</v>
      </c>
      <c r="AV582" s="4">
        <v>14</v>
      </c>
      <c r="AW582" s="4">
        <v>1189</v>
      </c>
      <c r="AX582" s="4">
        <v>96</v>
      </c>
      <c r="AY582" s="4">
        <v>1</v>
      </c>
      <c r="AZ582" s="4">
        <v>26</v>
      </c>
      <c r="BA582" s="4">
        <v>0</v>
      </c>
      <c r="BB582" s="4">
        <v>558</v>
      </c>
      <c r="BC582" s="4">
        <v>96</v>
      </c>
      <c r="BD582" s="4">
        <v>1</v>
      </c>
      <c r="BE582" s="4">
        <v>16</v>
      </c>
      <c r="BF582" s="4">
        <v>118</v>
      </c>
      <c r="BG582" s="4">
        <v>5</v>
      </c>
      <c r="BH582" s="4">
        <v>3</v>
      </c>
      <c r="BI582" s="4">
        <v>0</v>
      </c>
      <c r="BJ582" s="4">
        <v>109</v>
      </c>
      <c r="BK582" s="4">
        <v>116</v>
      </c>
      <c r="BL582" s="4">
        <v>0</v>
      </c>
      <c r="BM582" s="4">
        <v>8</v>
      </c>
      <c r="BN582" s="4">
        <v>30</v>
      </c>
      <c r="BO582" s="4">
        <v>0</v>
      </c>
      <c r="BP582" s="4">
        <v>7</v>
      </c>
      <c r="BQ582" s="4">
        <v>36</v>
      </c>
      <c r="BR582" s="4">
        <v>5</v>
      </c>
      <c r="BS582" s="4">
        <v>245</v>
      </c>
      <c r="BT582" s="4">
        <v>306</v>
      </c>
      <c r="BU582" s="4">
        <v>7</v>
      </c>
      <c r="BV582" s="4">
        <v>66</v>
      </c>
      <c r="BW582" s="4">
        <v>23</v>
      </c>
      <c r="BX582" s="4">
        <v>814</v>
      </c>
      <c r="BY582" s="4">
        <v>3</v>
      </c>
      <c r="BZ582" s="4">
        <v>0</v>
      </c>
      <c r="CA582" s="4">
        <v>82</v>
      </c>
      <c r="CB582" s="4">
        <v>202</v>
      </c>
      <c r="CC582" s="4">
        <v>0</v>
      </c>
      <c r="CD582" s="4">
        <v>4</v>
      </c>
      <c r="CE582" s="4">
        <v>0</v>
      </c>
      <c r="CF582" s="4">
        <v>7</v>
      </c>
      <c r="CG582" s="4">
        <v>10</v>
      </c>
      <c r="CH582" s="4">
        <v>2</v>
      </c>
      <c r="CI582" s="4">
        <v>18</v>
      </c>
      <c r="CJ582" s="4">
        <v>68</v>
      </c>
      <c r="CK582" s="4">
        <v>16</v>
      </c>
      <c r="CL582" s="4">
        <v>0</v>
      </c>
      <c r="CM582" s="4">
        <v>49</v>
      </c>
      <c r="CN582" s="4">
        <v>266</v>
      </c>
      <c r="CO582" s="4">
        <v>64</v>
      </c>
      <c r="CP582" s="4">
        <v>14</v>
      </c>
      <c r="CQ582" s="4">
        <v>0</v>
      </c>
      <c r="CR582" s="4">
        <v>46</v>
      </c>
      <c r="CS582" s="4">
        <v>30</v>
      </c>
      <c r="CT582" s="4">
        <v>27</v>
      </c>
      <c r="CU582" s="4">
        <v>12</v>
      </c>
      <c r="CV582" s="4">
        <v>90</v>
      </c>
      <c r="CW582" s="4">
        <v>76</v>
      </c>
      <c r="CX582" s="5">
        <v>76</v>
      </c>
    </row>
    <row r="583" spans="1:102" ht="15.75" x14ac:dyDescent="0.25">
      <c r="A583" s="4" t="s">
        <v>317</v>
      </c>
      <c r="B583" s="4" t="s">
        <v>318</v>
      </c>
      <c r="C583" s="4">
        <v>2020</v>
      </c>
      <c r="D583" s="4">
        <v>277</v>
      </c>
      <c r="E583" s="4">
        <v>1</v>
      </c>
      <c r="F583" s="4">
        <v>0</v>
      </c>
      <c r="G583" s="4">
        <v>0</v>
      </c>
      <c r="H583" s="4">
        <v>0</v>
      </c>
      <c r="I583" s="4">
        <v>3</v>
      </c>
      <c r="J583" s="4">
        <v>2</v>
      </c>
      <c r="K583" s="4">
        <v>0</v>
      </c>
      <c r="L583" s="4">
        <v>1</v>
      </c>
      <c r="M583" s="4">
        <v>3</v>
      </c>
      <c r="N583" s="4">
        <v>5</v>
      </c>
      <c r="O583" s="4">
        <v>13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6</v>
      </c>
      <c r="V583" s="4">
        <v>0</v>
      </c>
      <c r="W583" s="4">
        <v>2</v>
      </c>
      <c r="X583" s="4">
        <v>1</v>
      </c>
      <c r="Y583" s="4">
        <v>0</v>
      </c>
      <c r="Z583" s="4">
        <v>0</v>
      </c>
      <c r="AA583" s="4">
        <v>12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</v>
      </c>
      <c r="AH583" s="4">
        <v>1</v>
      </c>
      <c r="AI583" s="4">
        <v>3</v>
      </c>
      <c r="AJ583" s="4">
        <v>20</v>
      </c>
      <c r="AK583" s="4">
        <v>4</v>
      </c>
      <c r="AL583" s="4">
        <v>2</v>
      </c>
      <c r="AM583" s="4">
        <v>2</v>
      </c>
      <c r="AN583" s="4">
        <v>1</v>
      </c>
      <c r="AO583" s="4">
        <v>9</v>
      </c>
      <c r="AP583" s="4">
        <v>0</v>
      </c>
      <c r="AQ583" s="4">
        <v>1</v>
      </c>
      <c r="AR583" s="4">
        <v>0</v>
      </c>
      <c r="AS583" s="4">
        <v>16</v>
      </c>
      <c r="AT583" s="4">
        <v>1</v>
      </c>
      <c r="AU583" s="4">
        <v>1</v>
      </c>
      <c r="AV583" s="4">
        <v>1</v>
      </c>
      <c r="AW583" s="4">
        <v>1</v>
      </c>
      <c r="AX583" s="4">
        <v>3</v>
      </c>
      <c r="AY583" s="4">
        <v>0</v>
      </c>
      <c r="AZ583" s="4">
        <v>3</v>
      </c>
      <c r="BA583" s="4">
        <v>0</v>
      </c>
      <c r="BB583" s="4">
        <v>2</v>
      </c>
      <c r="BC583" s="4">
        <v>0</v>
      </c>
      <c r="BD583" s="4">
        <v>0</v>
      </c>
      <c r="BE583" s="4">
        <v>2</v>
      </c>
      <c r="BF583" s="4">
        <v>7</v>
      </c>
      <c r="BG583" s="4">
        <v>0</v>
      </c>
      <c r="BH583" s="4">
        <v>1</v>
      </c>
      <c r="BI583" s="4">
        <v>0</v>
      </c>
      <c r="BJ583" s="4">
        <v>5</v>
      </c>
      <c r="BK583" s="4">
        <v>8</v>
      </c>
      <c r="BL583" s="4">
        <v>0</v>
      </c>
      <c r="BM583" s="4">
        <v>1</v>
      </c>
      <c r="BN583" s="4">
        <v>7</v>
      </c>
      <c r="BO583" s="4">
        <v>0</v>
      </c>
      <c r="BP583" s="4">
        <v>1</v>
      </c>
      <c r="BQ583" s="4">
        <v>17</v>
      </c>
      <c r="BR583" s="4">
        <v>0</v>
      </c>
      <c r="BS583" s="4">
        <v>4</v>
      </c>
      <c r="BT583" s="4">
        <v>1</v>
      </c>
      <c r="BU583" s="4">
        <v>0</v>
      </c>
      <c r="BV583" s="4">
        <v>5</v>
      </c>
      <c r="BW583" s="4">
        <v>35</v>
      </c>
      <c r="BX583" s="4">
        <v>32</v>
      </c>
      <c r="BY583" s="4">
        <v>0</v>
      </c>
      <c r="BZ583" s="4">
        <v>0</v>
      </c>
      <c r="CA583" s="4">
        <v>5</v>
      </c>
      <c r="CB583" s="4">
        <v>0</v>
      </c>
      <c r="CC583" s="4">
        <v>0</v>
      </c>
      <c r="CD583" s="4">
        <v>0</v>
      </c>
      <c r="CE583" s="4">
        <v>0</v>
      </c>
      <c r="CF583" s="4">
        <v>3</v>
      </c>
      <c r="CG583" s="4">
        <v>1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5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3</v>
      </c>
      <c r="CU583" s="4">
        <v>1</v>
      </c>
      <c r="CV583" s="4">
        <v>7</v>
      </c>
      <c r="CW583" s="4">
        <v>1</v>
      </c>
      <c r="CX583" s="5">
        <v>1</v>
      </c>
    </row>
    <row r="584" spans="1:102" ht="15.75" x14ac:dyDescent="0.25">
      <c r="A584" s="4" t="s">
        <v>319</v>
      </c>
      <c r="B584" s="4" t="s">
        <v>320</v>
      </c>
      <c r="C584" s="4">
        <v>2020</v>
      </c>
      <c r="D584" s="4">
        <v>4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1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2</v>
      </c>
      <c r="CU584" s="4">
        <v>0</v>
      </c>
      <c r="CV584" s="4">
        <v>0</v>
      </c>
      <c r="CW584" s="4">
        <v>0</v>
      </c>
      <c r="CX584" s="5">
        <v>0</v>
      </c>
    </row>
    <row r="585" spans="1:102" ht="15.75" x14ac:dyDescent="0.25">
      <c r="A585" s="4" t="s">
        <v>321</v>
      </c>
      <c r="B585" s="4" t="s">
        <v>322</v>
      </c>
      <c r="C585" s="4">
        <v>2020</v>
      </c>
      <c r="D585" s="4">
        <v>40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3</v>
      </c>
      <c r="N585" s="4">
        <v>1</v>
      </c>
      <c r="O585" s="4">
        <v>5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2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1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1</v>
      </c>
      <c r="BG585" s="4">
        <v>1</v>
      </c>
      <c r="BH585" s="4">
        <v>0</v>
      </c>
      <c r="BI585" s="4">
        <v>0</v>
      </c>
      <c r="BJ585" s="4">
        <v>1</v>
      </c>
      <c r="BK585" s="4">
        <v>1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4</v>
      </c>
      <c r="BR585" s="4">
        <v>0</v>
      </c>
      <c r="BS585" s="4">
        <v>1</v>
      </c>
      <c r="BT585" s="4">
        <v>0</v>
      </c>
      <c r="BU585" s="4">
        <v>0</v>
      </c>
      <c r="BV585" s="4">
        <v>0</v>
      </c>
      <c r="BW585" s="4">
        <v>0</v>
      </c>
      <c r="BX585" s="4">
        <v>11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1</v>
      </c>
      <c r="CJ585" s="4">
        <v>2</v>
      </c>
      <c r="CK585" s="4">
        <v>0</v>
      </c>
      <c r="CL585" s="4">
        <v>0</v>
      </c>
      <c r="CM585" s="4">
        <v>0</v>
      </c>
      <c r="CN585" s="4">
        <v>0</v>
      </c>
      <c r="CO585" s="4">
        <v>1</v>
      </c>
      <c r="CP585" s="4">
        <v>0</v>
      </c>
      <c r="CQ585" s="4">
        <v>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5">
        <v>0</v>
      </c>
    </row>
    <row r="586" spans="1:102" ht="15.75" x14ac:dyDescent="0.25">
      <c r="A586" s="4" t="s">
        <v>323</v>
      </c>
      <c r="B586" s="4" t="s">
        <v>324</v>
      </c>
      <c r="C586" s="4">
        <v>2020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>
        <v>0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5">
        <v>0</v>
      </c>
    </row>
    <row r="587" spans="1:102" ht="15.75" x14ac:dyDescent="0.25">
      <c r="A587" s="4" t="s">
        <v>325</v>
      </c>
      <c r="B587" s="4" t="s">
        <v>326</v>
      </c>
      <c r="C587" s="4">
        <v>2020</v>
      </c>
      <c r="D587" s="4">
        <v>0</v>
      </c>
      <c r="E587" s="4">
        <v>0</v>
      </c>
      <c r="F587" s="4">
        <v>1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5">
        <v>0</v>
      </c>
    </row>
    <row r="588" spans="1:102" ht="15.75" x14ac:dyDescent="0.25">
      <c r="A588" s="4" t="s">
        <v>327</v>
      </c>
      <c r="B588" s="4" t="s">
        <v>328</v>
      </c>
      <c r="C588" s="4">
        <v>2020</v>
      </c>
      <c r="D588" s="4">
        <v>6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1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1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3</v>
      </c>
      <c r="CU588" s="4">
        <v>0</v>
      </c>
      <c r="CV588" s="4">
        <v>0</v>
      </c>
      <c r="CW588" s="4">
        <v>0</v>
      </c>
      <c r="CX588" s="5">
        <v>0</v>
      </c>
    </row>
    <row r="589" spans="1:102" ht="15.75" x14ac:dyDescent="0.25">
      <c r="A589" s="4" t="s">
        <v>329</v>
      </c>
      <c r="B589" s="4" t="s">
        <v>330</v>
      </c>
      <c r="C589" s="4">
        <v>2020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5">
        <v>0</v>
      </c>
    </row>
    <row r="590" spans="1:102" ht="15.75" x14ac:dyDescent="0.25">
      <c r="A590" s="4" t="s">
        <v>331</v>
      </c>
      <c r="B590" s="4" t="s">
        <v>332</v>
      </c>
      <c r="C590" s="4">
        <v>2020</v>
      </c>
      <c r="D590" s="4">
        <v>4862</v>
      </c>
      <c r="E590" s="4">
        <v>2</v>
      </c>
      <c r="F590" s="4">
        <v>6</v>
      </c>
      <c r="G590" s="4">
        <v>5</v>
      </c>
      <c r="H590" s="4">
        <v>40</v>
      </c>
      <c r="I590" s="4">
        <v>3</v>
      </c>
      <c r="J590" s="4">
        <v>2</v>
      </c>
      <c r="K590" s="4">
        <v>1</v>
      </c>
      <c r="L590" s="4">
        <v>14</v>
      </c>
      <c r="M590" s="4">
        <v>9</v>
      </c>
      <c r="N590" s="4">
        <v>17</v>
      </c>
      <c r="O590" s="4">
        <v>72</v>
      </c>
      <c r="P590" s="4">
        <v>0</v>
      </c>
      <c r="Q590" s="4">
        <v>0</v>
      </c>
      <c r="R590" s="4">
        <v>1</v>
      </c>
      <c r="S590" s="4">
        <v>0</v>
      </c>
      <c r="T590" s="4">
        <v>0</v>
      </c>
      <c r="U590" s="4">
        <v>7</v>
      </c>
      <c r="V590" s="4">
        <v>3</v>
      </c>
      <c r="W590" s="4">
        <v>56</v>
      </c>
      <c r="X590" s="4">
        <v>2</v>
      </c>
      <c r="Y590" s="4">
        <v>0</v>
      </c>
      <c r="Z590" s="4">
        <v>1102</v>
      </c>
      <c r="AA590" s="4">
        <v>5</v>
      </c>
      <c r="AB590" s="4">
        <v>0</v>
      </c>
      <c r="AC590" s="4">
        <v>0</v>
      </c>
      <c r="AD590" s="4">
        <v>0</v>
      </c>
      <c r="AE590" s="4">
        <v>2</v>
      </c>
      <c r="AF590" s="4">
        <v>0</v>
      </c>
      <c r="AG590" s="4">
        <v>105</v>
      </c>
      <c r="AH590" s="4">
        <v>64</v>
      </c>
      <c r="AI590" s="4">
        <v>25</v>
      </c>
      <c r="AJ590" s="4">
        <v>194</v>
      </c>
      <c r="AK590" s="4">
        <v>45</v>
      </c>
      <c r="AL590" s="4">
        <v>1</v>
      </c>
      <c r="AM590" s="4">
        <v>50</v>
      </c>
      <c r="AN590" s="4">
        <v>26</v>
      </c>
      <c r="AO590" s="4">
        <v>92</v>
      </c>
      <c r="AP590" s="4">
        <v>1</v>
      </c>
      <c r="AQ590" s="4">
        <v>7</v>
      </c>
      <c r="AR590" s="4">
        <v>1</v>
      </c>
      <c r="AS590" s="4">
        <v>12</v>
      </c>
      <c r="AT590" s="4">
        <v>18</v>
      </c>
      <c r="AU590" s="4">
        <v>43</v>
      </c>
      <c r="AV590" s="4">
        <v>15</v>
      </c>
      <c r="AW590" s="4">
        <v>242</v>
      </c>
      <c r="AX590" s="4">
        <v>31</v>
      </c>
      <c r="AY590" s="4">
        <v>4</v>
      </c>
      <c r="AZ590" s="4">
        <v>19</v>
      </c>
      <c r="BA590" s="4">
        <v>0</v>
      </c>
      <c r="BB590" s="4">
        <v>433</v>
      </c>
      <c r="BC590" s="4">
        <v>68</v>
      </c>
      <c r="BD590" s="4">
        <v>1</v>
      </c>
      <c r="BE590" s="4">
        <v>11</v>
      </c>
      <c r="BF590" s="4">
        <v>53</v>
      </c>
      <c r="BG590" s="4">
        <v>3</v>
      </c>
      <c r="BH590" s="4">
        <v>3</v>
      </c>
      <c r="BI590" s="4">
        <v>0</v>
      </c>
      <c r="BJ590" s="4">
        <v>95</v>
      </c>
      <c r="BK590" s="4">
        <v>66</v>
      </c>
      <c r="BL590" s="4">
        <v>0</v>
      </c>
      <c r="BM590" s="4">
        <v>5</v>
      </c>
      <c r="BN590" s="4">
        <v>76</v>
      </c>
      <c r="BO590" s="4">
        <v>0</v>
      </c>
      <c r="BP590" s="4">
        <v>6</v>
      </c>
      <c r="BQ590" s="4">
        <v>31</v>
      </c>
      <c r="BR590" s="4">
        <v>3</v>
      </c>
      <c r="BS590" s="4">
        <v>122</v>
      </c>
      <c r="BT590" s="4">
        <v>62</v>
      </c>
      <c r="BU590" s="4">
        <v>12</v>
      </c>
      <c r="BV590" s="4">
        <v>34</v>
      </c>
      <c r="BW590" s="4">
        <v>14</v>
      </c>
      <c r="BX590" s="4">
        <v>412</v>
      </c>
      <c r="BY590" s="4">
        <v>3</v>
      </c>
      <c r="BZ590" s="4">
        <v>0</v>
      </c>
      <c r="CA590" s="4">
        <v>58</v>
      </c>
      <c r="CB590" s="4">
        <v>310</v>
      </c>
      <c r="CC590" s="4">
        <v>0</v>
      </c>
      <c r="CD590" s="4">
        <v>1</v>
      </c>
      <c r="CE590" s="4">
        <v>0</v>
      </c>
      <c r="CF590" s="4">
        <v>4</v>
      </c>
      <c r="CG590" s="4">
        <v>3</v>
      </c>
      <c r="CH590" s="4">
        <v>2</v>
      </c>
      <c r="CI590" s="4">
        <v>81</v>
      </c>
      <c r="CJ590" s="4">
        <v>94</v>
      </c>
      <c r="CK590" s="4">
        <v>24</v>
      </c>
      <c r="CL590" s="4">
        <v>0</v>
      </c>
      <c r="CM590" s="4">
        <v>74</v>
      </c>
      <c r="CN590" s="4">
        <v>222</v>
      </c>
      <c r="CO590" s="4">
        <v>19</v>
      </c>
      <c r="CP590" s="4">
        <v>4</v>
      </c>
      <c r="CQ590" s="4">
        <v>1</v>
      </c>
      <c r="CR590" s="4">
        <v>22</v>
      </c>
      <c r="CS590" s="4">
        <v>5</v>
      </c>
      <c r="CT590" s="4">
        <v>6</v>
      </c>
      <c r="CU590" s="4">
        <v>24</v>
      </c>
      <c r="CV590" s="4">
        <v>35</v>
      </c>
      <c r="CW590" s="4">
        <v>12</v>
      </c>
      <c r="CX590" s="5">
        <v>12</v>
      </c>
    </row>
    <row r="591" spans="1:102" ht="15.75" x14ac:dyDescent="0.25">
      <c r="A591" s="4" t="s">
        <v>333</v>
      </c>
      <c r="B591" s="4" t="s">
        <v>334</v>
      </c>
      <c r="C591" s="4">
        <v>2020</v>
      </c>
      <c r="D591" s="4">
        <v>428</v>
      </c>
      <c r="E591" s="4">
        <v>1</v>
      </c>
      <c r="F591" s="4">
        <v>7</v>
      </c>
      <c r="G591" s="4">
        <v>4</v>
      </c>
      <c r="H591" s="4">
        <v>0</v>
      </c>
      <c r="I591" s="4">
        <v>22</v>
      </c>
      <c r="J591" s="4">
        <v>3</v>
      </c>
      <c r="K591" s="4">
        <v>2</v>
      </c>
      <c r="L591" s="4">
        <v>14</v>
      </c>
      <c r="M591" s="4">
        <v>1</v>
      </c>
      <c r="N591" s="4">
        <v>6</v>
      </c>
      <c r="O591" s="4">
        <v>1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1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4</v>
      </c>
      <c r="AH591" s="4">
        <v>0</v>
      </c>
      <c r="AI591" s="4">
        <v>2</v>
      </c>
      <c r="AJ591" s="4">
        <v>28</v>
      </c>
      <c r="AK591" s="4">
        <v>13</v>
      </c>
      <c r="AL591" s="4">
        <v>0</v>
      </c>
      <c r="AM591" s="4">
        <v>1</v>
      </c>
      <c r="AN591" s="4">
        <v>4</v>
      </c>
      <c r="AO591" s="4">
        <v>15</v>
      </c>
      <c r="AP591" s="4">
        <v>0</v>
      </c>
      <c r="AQ591" s="4">
        <v>2</v>
      </c>
      <c r="AR591" s="4">
        <v>0</v>
      </c>
      <c r="AS591" s="4">
        <v>2</v>
      </c>
      <c r="AT591" s="4">
        <v>6</v>
      </c>
      <c r="AU591" s="4">
        <v>2</v>
      </c>
      <c r="AV591" s="4">
        <v>2</v>
      </c>
      <c r="AW591" s="4">
        <v>3</v>
      </c>
      <c r="AX591" s="4">
        <v>9</v>
      </c>
      <c r="AY591" s="4">
        <v>1</v>
      </c>
      <c r="AZ591" s="4">
        <v>7</v>
      </c>
      <c r="BA591" s="4">
        <v>0</v>
      </c>
      <c r="BB591" s="4">
        <v>5</v>
      </c>
      <c r="BC591" s="4">
        <v>1</v>
      </c>
      <c r="BD591" s="4">
        <v>0</v>
      </c>
      <c r="BE591" s="4">
        <v>4</v>
      </c>
      <c r="BF591" s="4">
        <v>4</v>
      </c>
      <c r="BG591" s="4">
        <v>0</v>
      </c>
      <c r="BH591" s="4">
        <v>0</v>
      </c>
      <c r="BI591" s="4">
        <v>0</v>
      </c>
      <c r="BJ591" s="4">
        <v>10</v>
      </c>
      <c r="BK591" s="4">
        <v>14</v>
      </c>
      <c r="BL591" s="4">
        <v>0</v>
      </c>
      <c r="BM591" s="4">
        <v>0</v>
      </c>
      <c r="BN591" s="4">
        <v>2</v>
      </c>
      <c r="BO591" s="4">
        <v>0</v>
      </c>
      <c r="BP591" s="4">
        <v>0</v>
      </c>
      <c r="BQ591" s="4">
        <v>6</v>
      </c>
      <c r="BR591" s="4">
        <v>1</v>
      </c>
      <c r="BS591" s="4">
        <v>19</v>
      </c>
      <c r="BT591" s="4">
        <v>4</v>
      </c>
      <c r="BU591" s="4">
        <v>0</v>
      </c>
      <c r="BV591" s="4">
        <v>4</v>
      </c>
      <c r="BW591" s="4">
        <v>2</v>
      </c>
      <c r="BX591" s="4">
        <v>75</v>
      </c>
      <c r="BY591" s="4">
        <v>1</v>
      </c>
      <c r="BZ591" s="4">
        <v>0</v>
      </c>
      <c r="CA591" s="4">
        <v>6</v>
      </c>
      <c r="CB591" s="4">
        <v>0</v>
      </c>
      <c r="CC591" s="4">
        <v>0</v>
      </c>
      <c r="CD591" s="4">
        <v>3</v>
      </c>
      <c r="CE591" s="4">
        <v>0</v>
      </c>
      <c r="CF591" s="4">
        <v>4</v>
      </c>
      <c r="CG591" s="4">
        <v>0</v>
      </c>
      <c r="CH591" s="4">
        <v>2</v>
      </c>
      <c r="CI591" s="4">
        <v>8</v>
      </c>
      <c r="CJ591" s="4">
        <v>25</v>
      </c>
      <c r="CK591" s="4">
        <v>6</v>
      </c>
      <c r="CL591" s="4">
        <v>0</v>
      </c>
      <c r="CM591" s="4">
        <v>5</v>
      </c>
      <c r="CN591" s="4">
        <v>19</v>
      </c>
      <c r="CO591" s="4">
        <v>9</v>
      </c>
      <c r="CP591" s="4">
        <v>0</v>
      </c>
      <c r="CQ591" s="4">
        <v>0</v>
      </c>
      <c r="CR591" s="4">
        <v>4</v>
      </c>
      <c r="CS591" s="4">
        <v>3</v>
      </c>
      <c r="CT591" s="4">
        <v>6</v>
      </c>
      <c r="CU591" s="4">
        <v>1</v>
      </c>
      <c r="CV591" s="4">
        <v>7</v>
      </c>
      <c r="CW591" s="4">
        <v>2</v>
      </c>
      <c r="CX591" s="5">
        <v>2</v>
      </c>
    </row>
    <row r="592" spans="1:102" ht="15.75" x14ac:dyDescent="0.25">
      <c r="A592" s="4" t="s">
        <v>335</v>
      </c>
      <c r="B592" s="4" t="s">
        <v>336</v>
      </c>
      <c r="C592" s="4">
        <v>2020</v>
      </c>
      <c r="D592" s="4">
        <v>37</v>
      </c>
      <c r="E592" s="4">
        <v>0</v>
      </c>
      <c r="F592" s="4">
        <v>0</v>
      </c>
      <c r="G592" s="4">
        <v>0</v>
      </c>
      <c r="H592" s="4">
        <v>0</v>
      </c>
      <c r="I592" s="4">
        <v>1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1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7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1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1</v>
      </c>
      <c r="BX592" s="4">
        <v>2</v>
      </c>
      <c r="BY592" s="4">
        <v>0</v>
      </c>
      <c r="BZ592" s="4">
        <v>0</v>
      </c>
      <c r="CA592" s="4">
        <v>0</v>
      </c>
      <c r="CB592" s="4">
        <v>12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1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1</v>
      </c>
      <c r="CS592" s="4">
        <v>3</v>
      </c>
      <c r="CT592" s="4">
        <v>0</v>
      </c>
      <c r="CU592" s="4">
        <v>0</v>
      </c>
      <c r="CV592" s="4">
        <v>1</v>
      </c>
      <c r="CW592" s="4">
        <v>0</v>
      </c>
      <c r="CX592" s="5">
        <v>0</v>
      </c>
    </row>
    <row r="593" spans="1:102" ht="15.75" x14ac:dyDescent="0.25">
      <c r="A593" s="4" t="s">
        <v>337</v>
      </c>
      <c r="B593" s="4" t="s">
        <v>338</v>
      </c>
      <c r="C593" s="4">
        <v>2020</v>
      </c>
      <c r="D593" s="4">
        <v>265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1</v>
      </c>
      <c r="K593" s="4">
        <v>0</v>
      </c>
      <c r="L593" s="4">
        <v>0</v>
      </c>
      <c r="M593" s="4">
        <v>0</v>
      </c>
      <c r="N593" s="4">
        <v>0</v>
      </c>
      <c r="O593" s="4">
        <v>53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1</v>
      </c>
      <c r="AI593" s="4">
        <v>2</v>
      </c>
      <c r="AJ593" s="4">
        <v>6</v>
      </c>
      <c r="AK593" s="4">
        <v>0</v>
      </c>
      <c r="AL593" s="4">
        <v>0</v>
      </c>
      <c r="AM593" s="4">
        <v>5</v>
      </c>
      <c r="AN593" s="4">
        <v>2</v>
      </c>
      <c r="AO593" s="4">
        <v>4</v>
      </c>
      <c r="AP593" s="4">
        <v>0</v>
      </c>
      <c r="AQ593" s="4">
        <v>2</v>
      </c>
      <c r="AR593" s="4">
        <v>0</v>
      </c>
      <c r="AS593" s="4">
        <v>8</v>
      </c>
      <c r="AT593" s="4">
        <v>1</v>
      </c>
      <c r="AU593" s="4">
        <v>1</v>
      </c>
      <c r="AV593" s="4">
        <v>10</v>
      </c>
      <c r="AW593" s="4">
        <v>1</v>
      </c>
      <c r="AX593" s="4">
        <v>11</v>
      </c>
      <c r="AY593" s="4">
        <v>0</v>
      </c>
      <c r="AZ593" s="4">
        <v>2</v>
      </c>
      <c r="BA593" s="4">
        <v>0</v>
      </c>
      <c r="BB593" s="4">
        <v>10</v>
      </c>
      <c r="BC593" s="4">
        <v>3</v>
      </c>
      <c r="BD593" s="4">
        <v>0</v>
      </c>
      <c r="BE593" s="4">
        <v>2</v>
      </c>
      <c r="BF593" s="4">
        <v>22</v>
      </c>
      <c r="BG593" s="4">
        <v>0</v>
      </c>
      <c r="BH593" s="4">
        <v>0</v>
      </c>
      <c r="BI593" s="4">
        <v>0</v>
      </c>
      <c r="BJ593" s="4">
        <v>17</v>
      </c>
      <c r="BK593" s="4">
        <v>20</v>
      </c>
      <c r="BL593" s="4">
        <v>0</v>
      </c>
      <c r="BM593" s="4">
        <v>0</v>
      </c>
      <c r="BN593" s="4">
        <v>2</v>
      </c>
      <c r="BO593" s="4">
        <v>0</v>
      </c>
      <c r="BP593" s="4">
        <v>0</v>
      </c>
      <c r="BQ593" s="4">
        <v>5</v>
      </c>
      <c r="BR593" s="4">
        <v>0</v>
      </c>
      <c r="BS593" s="4">
        <v>17</v>
      </c>
      <c r="BT593" s="4">
        <v>6</v>
      </c>
      <c r="BU593" s="4">
        <v>0</v>
      </c>
      <c r="BV593" s="4">
        <v>0</v>
      </c>
      <c r="BW593" s="4">
        <v>0</v>
      </c>
      <c r="BX593" s="4">
        <v>1</v>
      </c>
      <c r="BY593" s="4">
        <v>0</v>
      </c>
      <c r="BZ593" s="4">
        <v>0</v>
      </c>
      <c r="CA593" s="4">
        <v>2</v>
      </c>
      <c r="CB593" s="4">
        <v>0</v>
      </c>
      <c r="CC593" s="4">
        <v>0</v>
      </c>
      <c r="CD593" s="4">
        <v>6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1</v>
      </c>
      <c r="CK593" s="4">
        <v>0</v>
      </c>
      <c r="CL593" s="4">
        <v>0</v>
      </c>
      <c r="CM593" s="4">
        <v>2</v>
      </c>
      <c r="CN593" s="4">
        <v>27</v>
      </c>
      <c r="CO593" s="4">
        <v>2</v>
      </c>
      <c r="CP593" s="4">
        <v>0</v>
      </c>
      <c r="CQ593" s="4">
        <v>0</v>
      </c>
      <c r="CR593" s="4">
        <v>3</v>
      </c>
      <c r="CS593" s="4">
        <v>2</v>
      </c>
      <c r="CT593" s="4">
        <v>0</v>
      </c>
      <c r="CU593" s="4">
        <v>0</v>
      </c>
      <c r="CV593" s="4">
        <v>2</v>
      </c>
      <c r="CW593" s="4">
        <v>2</v>
      </c>
      <c r="CX593" s="5">
        <v>2</v>
      </c>
    </row>
    <row r="594" spans="1:102" ht="15.75" x14ac:dyDescent="0.25">
      <c r="A594" s="4" t="s">
        <v>339</v>
      </c>
      <c r="B594" s="4" t="s">
        <v>340</v>
      </c>
      <c r="C594" s="4">
        <v>2020</v>
      </c>
      <c r="D594" s="4">
        <v>2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5">
        <v>0</v>
      </c>
    </row>
    <row r="595" spans="1:102" ht="15.75" x14ac:dyDescent="0.25">
      <c r="A595" s="4" t="s">
        <v>341</v>
      </c>
      <c r="B595" s="4" t="s">
        <v>342</v>
      </c>
      <c r="C595" s="4">
        <v>2020</v>
      </c>
      <c r="D595" s="4">
        <v>215</v>
      </c>
      <c r="E595" s="4">
        <v>0</v>
      </c>
      <c r="F595" s="4">
        <v>1</v>
      </c>
      <c r="G595" s="4">
        <v>9</v>
      </c>
      <c r="H595" s="4">
        <v>1</v>
      </c>
      <c r="I595" s="4">
        <v>1</v>
      </c>
      <c r="J595" s="4">
        <v>2</v>
      </c>
      <c r="K595" s="4">
        <v>1</v>
      </c>
      <c r="L595" s="4">
        <v>2</v>
      </c>
      <c r="M595" s="4">
        <v>1</v>
      </c>
      <c r="N595" s="4">
        <v>4</v>
      </c>
      <c r="O595" s="4">
        <v>38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17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1</v>
      </c>
      <c r="AH595" s="4">
        <v>0</v>
      </c>
      <c r="AI595" s="4">
        <v>2</v>
      </c>
      <c r="AJ595" s="4">
        <v>24</v>
      </c>
      <c r="AK595" s="4">
        <v>3</v>
      </c>
      <c r="AL595" s="4">
        <v>0</v>
      </c>
      <c r="AM595" s="4">
        <v>1</v>
      </c>
      <c r="AN595" s="4">
        <v>0</v>
      </c>
      <c r="AO595" s="4">
        <v>4</v>
      </c>
      <c r="AP595" s="4">
        <v>0</v>
      </c>
      <c r="AQ595" s="4">
        <v>1</v>
      </c>
      <c r="AR595" s="4">
        <v>0</v>
      </c>
      <c r="AS595" s="4">
        <v>1</v>
      </c>
      <c r="AT595" s="4">
        <v>2</v>
      </c>
      <c r="AU595" s="4">
        <v>0</v>
      </c>
      <c r="AV595" s="4">
        <v>0</v>
      </c>
      <c r="AW595" s="4">
        <v>1</v>
      </c>
      <c r="AX595" s="4">
        <v>1</v>
      </c>
      <c r="AY595" s="4">
        <v>0</v>
      </c>
      <c r="AZ595" s="4">
        <v>4</v>
      </c>
      <c r="BA595" s="4">
        <v>0</v>
      </c>
      <c r="BB595" s="4">
        <v>14</v>
      </c>
      <c r="BC595" s="4">
        <v>36</v>
      </c>
      <c r="BD595" s="4">
        <v>0</v>
      </c>
      <c r="BE595" s="4">
        <v>0</v>
      </c>
      <c r="BF595" s="4">
        <v>1</v>
      </c>
      <c r="BG595" s="4">
        <v>0</v>
      </c>
      <c r="BH595" s="4">
        <v>0</v>
      </c>
      <c r="BI595" s="4">
        <v>0</v>
      </c>
      <c r="BJ595" s="4">
        <v>2</v>
      </c>
      <c r="BK595" s="4">
        <v>3</v>
      </c>
      <c r="BL595" s="4">
        <v>0</v>
      </c>
      <c r="BM595" s="4">
        <v>0</v>
      </c>
      <c r="BN595" s="4">
        <v>2</v>
      </c>
      <c r="BO595" s="4">
        <v>0</v>
      </c>
      <c r="BP595" s="4">
        <v>0</v>
      </c>
      <c r="BQ595" s="4">
        <v>1</v>
      </c>
      <c r="BR595" s="4">
        <v>0</v>
      </c>
      <c r="BS595" s="4">
        <v>3</v>
      </c>
      <c r="BT595" s="4">
        <v>2</v>
      </c>
      <c r="BU595" s="4">
        <v>0</v>
      </c>
      <c r="BV595" s="4">
        <v>2</v>
      </c>
      <c r="BW595" s="4">
        <v>0</v>
      </c>
      <c r="BX595" s="4">
        <v>9</v>
      </c>
      <c r="BY595" s="4">
        <v>0</v>
      </c>
      <c r="BZ595" s="4">
        <v>0</v>
      </c>
      <c r="CA595" s="4">
        <v>0</v>
      </c>
      <c r="CB595" s="4">
        <v>3</v>
      </c>
      <c r="CC595" s="4">
        <v>0</v>
      </c>
      <c r="CD595" s="4">
        <v>0</v>
      </c>
      <c r="CE595" s="4">
        <v>0</v>
      </c>
      <c r="CF595" s="4">
        <v>1</v>
      </c>
      <c r="CG595" s="4">
        <v>0</v>
      </c>
      <c r="CH595" s="4">
        <v>0</v>
      </c>
      <c r="CI595" s="4">
        <v>0</v>
      </c>
      <c r="CJ595" s="4">
        <v>2</v>
      </c>
      <c r="CK595" s="4">
        <v>0</v>
      </c>
      <c r="CL595" s="4">
        <v>0</v>
      </c>
      <c r="CM595" s="4">
        <v>2</v>
      </c>
      <c r="CN595" s="4">
        <v>3</v>
      </c>
      <c r="CO595" s="4">
        <v>2</v>
      </c>
      <c r="CP595" s="4">
        <v>0</v>
      </c>
      <c r="CQ595" s="4">
        <v>0</v>
      </c>
      <c r="CR595" s="4">
        <v>1</v>
      </c>
      <c r="CS595" s="4">
        <v>0</v>
      </c>
      <c r="CT595" s="4">
        <v>0</v>
      </c>
      <c r="CU595" s="4">
        <v>0</v>
      </c>
      <c r="CV595" s="4">
        <v>5</v>
      </c>
      <c r="CW595" s="4">
        <v>0</v>
      </c>
      <c r="CX595" s="5">
        <v>0</v>
      </c>
    </row>
    <row r="596" spans="1:102" ht="15.75" x14ac:dyDescent="0.25">
      <c r="A596" s="4" t="s">
        <v>343</v>
      </c>
      <c r="B596" s="4" t="s">
        <v>344</v>
      </c>
      <c r="C596" s="4">
        <v>2020</v>
      </c>
      <c r="D596" s="4">
        <v>20</v>
      </c>
      <c r="E596" s="4">
        <v>0</v>
      </c>
      <c r="F596" s="4">
        <v>2</v>
      </c>
      <c r="G596" s="4">
        <v>2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1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1</v>
      </c>
      <c r="AW596" s="4">
        <v>0</v>
      </c>
      <c r="AX596" s="4">
        <v>1</v>
      </c>
      <c r="AY596" s="4">
        <v>0</v>
      </c>
      <c r="AZ596" s="4">
        <v>0</v>
      </c>
      <c r="BA596" s="4">
        <v>0</v>
      </c>
      <c r="BB596" s="4">
        <v>3</v>
      </c>
      <c r="BC596" s="4">
        <v>0</v>
      </c>
      <c r="BD596" s="4">
        <v>0</v>
      </c>
      <c r="BE596" s="4">
        <v>0</v>
      </c>
      <c r="BF596" s="4">
        <v>0</v>
      </c>
      <c r="BG596" s="4">
        <v>1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2</v>
      </c>
      <c r="BT596" s="4">
        <v>0</v>
      </c>
      <c r="BU596" s="4">
        <v>0</v>
      </c>
      <c r="BV596" s="4">
        <v>0</v>
      </c>
      <c r="BW596" s="4">
        <v>1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1</v>
      </c>
      <c r="CS596" s="4">
        <v>0</v>
      </c>
      <c r="CT596" s="4">
        <v>0</v>
      </c>
      <c r="CU596" s="4">
        <v>0</v>
      </c>
      <c r="CV596" s="4">
        <v>1</v>
      </c>
      <c r="CW596" s="4">
        <v>0</v>
      </c>
      <c r="CX596" s="5">
        <v>0</v>
      </c>
    </row>
    <row r="597" spans="1:102" ht="15.75" x14ac:dyDescent="0.25">
      <c r="A597" s="4" t="s">
        <v>345</v>
      </c>
      <c r="B597" s="4" t="s">
        <v>346</v>
      </c>
      <c r="C597" s="4">
        <v>2020</v>
      </c>
      <c r="D597" s="4">
        <v>70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2</v>
      </c>
      <c r="BO597" s="4">
        <v>0</v>
      </c>
      <c r="BP597" s="4">
        <v>0</v>
      </c>
      <c r="BQ597" s="4">
        <v>0</v>
      </c>
      <c r="BR597" s="4">
        <v>0</v>
      </c>
      <c r="BS597" s="4">
        <v>10</v>
      </c>
      <c r="BT597" s="4">
        <v>0</v>
      </c>
      <c r="BU597" s="4">
        <v>0</v>
      </c>
      <c r="BV597" s="4">
        <v>0</v>
      </c>
      <c r="BW597" s="4">
        <v>0</v>
      </c>
      <c r="BX597" s="4">
        <v>2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1</v>
      </c>
      <c r="CO597" s="4">
        <v>0</v>
      </c>
      <c r="CP597" s="4">
        <v>0</v>
      </c>
      <c r="CQ597" s="4">
        <v>0</v>
      </c>
      <c r="CR597" s="4">
        <v>54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5">
        <v>0</v>
      </c>
    </row>
    <row r="598" spans="1:102" ht="15.75" x14ac:dyDescent="0.25">
      <c r="A598" s="4" t="s">
        <v>347</v>
      </c>
      <c r="B598" s="4" t="s">
        <v>348</v>
      </c>
      <c r="C598" s="4">
        <v>2020</v>
      </c>
      <c r="D598" s="4">
        <v>139</v>
      </c>
      <c r="E598" s="4">
        <v>0</v>
      </c>
      <c r="F598" s="4">
        <v>0</v>
      </c>
      <c r="G598" s="4">
        <v>2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3</v>
      </c>
      <c r="N598" s="4">
        <v>3</v>
      </c>
      <c r="O598" s="4">
        <v>5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3</v>
      </c>
      <c r="V598" s="4">
        <v>1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</v>
      </c>
      <c r="AH598" s="4">
        <v>1</v>
      </c>
      <c r="AI598" s="4">
        <v>3</v>
      </c>
      <c r="AJ598" s="4">
        <v>5</v>
      </c>
      <c r="AK598" s="4">
        <v>3</v>
      </c>
      <c r="AL598" s="4">
        <v>1</v>
      </c>
      <c r="AM598" s="4">
        <v>1</v>
      </c>
      <c r="AN598" s="4">
        <v>1</v>
      </c>
      <c r="AO598" s="4">
        <v>4</v>
      </c>
      <c r="AP598" s="4">
        <v>0</v>
      </c>
      <c r="AQ598" s="4">
        <v>0</v>
      </c>
      <c r="AR598" s="4">
        <v>0</v>
      </c>
      <c r="AS598" s="4">
        <v>16</v>
      </c>
      <c r="AT598" s="4">
        <v>8</v>
      </c>
      <c r="AU598" s="4">
        <v>1</v>
      </c>
      <c r="AV598" s="4">
        <v>2</v>
      </c>
      <c r="AW598" s="4">
        <v>0</v>
      </c>
      <c r="AX598" s="4">
        <v>7</v>
      </c>
      <c r="AY598" s="4">
        <v>0</v>
      </c>
      <c r="AZ598" s="4">
        <v>4</v>
      </c>
      <c r="BA598" s="4">
        <v>0</v>
      </c>
      <c r="BB598" s="4">
        <v>8</v>
      </c>
      <c r="BC598" s="4">
        <v>0</v>
      </c>
      <c r="BD598" s="4">
        <v>0</v>
      </c>
      <c r="BE598" s="4">
        <v>2</v>
      </c>
      <c r="BF598" s="4">
        <v>4</v>
      </c>
      <c r="BG598" s="4">
        <v>0</v>
      </c>
      <c r="BH598" s="4">
        <v>0</v>
      </c>
      <c r="BI598" s="4">
        <v>0</v>
      </c>
      <c r="BJ598" s="4">
        <v>2</v>
      </c>
      <c r="BK598" s="4">
        <v>3</v>
      </c>
      <c r="BL598" s="4">
        <v>0</v>
      </c>
      <c r="BM598" s="4">
        <v>0</v>
      </c>
      <c r="BN598" s="4">
        <v>1</v>
      </c>
      <c r="BO598" s="4">
        <v>0</v>
      </c>
      <c r="BP598" s="4">
        <v>0</v>
      </c>
      <c r="BQ598" s="4">
        <v>1</v>
      </c>
      <c r="BR598" s="4">
        <v>0</v>
      </c>
      <c r="BS598" s="4">
        <v>3</v>
      </c>
      <c r="BT598" s="4">
        <v>1</v>
      </c>
      <c r="BU598" s="4">
        <v>0</v>
      </c>
      <c r="BV598" s="4">
        <v>1</v>
      </c>
      <c r="BW598" s="4">
        <v>2</v>
      </c>
      <c r="BX598" s="4">
        <v>17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1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1</v>
      </c>
      <c r="CK598" s="4">
        <v>0</v>
      </c>
      <c r="CL598" s="4">
        <v>0</v>
      </c>
      <c r="CM598" s="4">
        <v>1</v>
      </c>
      <c r="CN598" s="4">
        <v>5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3</v>
      </c>
      <c r="CU598" s="4">
        <v>0</v>
      </c>
      <c r="CV598" s="4">
        <v>4</v>
      </c>
      <c r="CW598" s="4">
        <v>2</v>
      </c>
      <c r="CX598" s="5">
        <v>2</v>
      </c>
    </row>
    <row r="599" spans="1:102" ht="15.75" x14ac:dyDescent="0.25">
      <c r="A599" s="4" t="s">
        <v>349</v>
      </c>
      <c r="B599" s="4" t="s">
        <v>350</v>
      </c>
      <c r="C599" s="4">
        <v>2020</v>
      </c>
      <c r="D599" s="4">
        <v>6</v>
      </c>
      <c r="E599" s="4">
        <v>0</v>
      </c>
      <c r="F599" s="4">
        <v>2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5">
        <v>0</v>
      </c>
    </row>
    <row r="600" spans="1:102" ht="15.75" x14ac:dyDescent="0.25">
      <c r="A600" s="4" t="s">
        <v>351</v>
      </c>
      <c r="B600" s="4" t="s">
        <v>352</v>
      </c>
      <c r="C600" s="4">
        <v>2020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5">
        <v>0</v>
      </c>
    </row>
    <row r="601" spans="1:102" ht="15.75" x14ac:dyDescent="0.25">
      <c r="A601" s="4" t="s">
        <v>353</v>
      </c>
      <c r="B601" s="4" t="s">
        <v>354</v>
      </c>
      <c r="C601" s="4">
        <v>2020</v>
      </c>
      <c r="D601" s="4">
        <v>500</v>
      </c>
      <c r="E601" s="4">
        <v>0</v>
      </c>
      <c r="F601" s="4">
        <v>1</v>
      </c>
      <c r="G601" s="4">
        <v>4</v>
      </c>
      <c r="H601" s="4">
        <v>6</v>
      </c>
      <c r="I601" s="4">
        <v>1</v>
      </c>
      <c r="J601" s="4">
        <v>1</v>
      </c>
      <c r="K601" s="4">
        <v>1</v>
      </c>
      <c r="L601" s="4">
        <v>9</v>
      </c>
      <c r="M601" s="4">
        <v>1</v>
      </c>
      <c r="N601" s="4">
        <v>5</v>
      </c>
      <c r="O601" s="4">
        <v>73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20</v>
      </c>
      <c r="V601" s="4">
        <v>1</v>
      </c>
      <c r="W601" s="4">
        <v>7</v>
      </c>
      <c r="X601" s="4">
        <v>1</v>
      </c>
      <c r="Y601" s="4">
        <v>0</v>
      </c>
      <c r="Z601" s="4">
        <v>20</v>
      </c>
      <c r="AA601" s="4">
        <v>4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5</v>
      </c>
      <c r="AH601" s="4">
        <v>1</v>
      </c>
      <c r="AI601" s="4">
        <v>3</v>
      </c>
      <c r="AJ601" s="4">
        <v>10</v>
      </c>
      <c r="AK601" s="4">
        <v>10</v>
      </c>
      <c r="AL601" s="4">
        <v>12</v>
      </c>
      <c r="AM601" s="4">
        <v>19</v>
      </c>
      <c r="AN601" s="4">
        <v>9</v>
      </c>
      <c r="AO601" s="4">
        <v>15</v>
      </c>
      <c r="AP601" s="4">
        <v>0</v>
      </c>
      <c r="AQ601" s="4">
        <v>1</v>
      </c>
      <c r="AR601" s="4">
        <v>0</v>
      </c>
      <c r="AS601" s="4">
        <v>4</v>
      </c>
      <c r="AT601" s="4">
        <v>21</v>
      </c>
      <c r="AU601" s="4">
        <v>3</v>
      </c>
      <c r="AV601" s="4">
        <v>3</v>
      </c>
      <c r="AW601" s="4">
        <v>19</v>
      </c>
      <c r="AX601" s="4">
        <v>6</v>
      </c>
      <c r="AY601" s="4">
        <v>0</v>
      </c>
      <c r="AZ601" s="4">
        <v>0</v>
      </c>
      <c r="BA601" s="4">
        <v>0</v>
      </c>
      <c r="BB601" s="4">
        <v>4</v>
      </c>
      <c r="BC601" s="4">
        <v>0</v>
      </c>
      <c r="BD601" s="4">
        <v>0</v>
      </c>
      <c r="BE601" s="4">
        <v>4</v>
      </c>
      <c r="BF601" s="4">
        <v>21</v>
      </c>
      <c r="BG601" s="4">
        <v>0</v>
      </c>
      <c r="BH601" s="4">
        <v>0</v>
      </c>
      <c r="BI601" s="4">
        <v>0</v>
      </c>
      <c r="BJ601" s="4">
        <v>6</v>
      </c>
      <c r="BK601" s="4">
        <v>10</v>
      </c>
      <c r="BL601" s="4">
        <v>0</v>
      </c>
      <c r="BM601" s="4">
        <v>1</v>
      </c>
      <c r="BN601" s="4">
        <v>5</v>
      </c>
      <c r="BO601" s="4">
        <v>0</v>
      </c>
      <c r="BP601" s="4">
        <v>3</v>
      </c>
      <c r="BQ601" s="4">
        <v>10</v>
      </c>
      <c r="BR601" s="4">
        <v>0</v>
      </c>
      <c r="BS601" s="4">
        <v>21</v>
      </c>
      <c r="BT601" s="4">
        <v>6</v>
      </c>
      <c r="BU601" s="4">
        <v>1</v>
      </c>
      <c r="BV601" s="4">
        <v>6</v>
      </c>
      <c r="BW601" s="4">
        <v>3</v>
      </c>
      <c r="BX601" s="4">
        <v>11</v>
      </c>
      <c r="BY601" s="4">
        <v>0</v>
      </c>
      <c r="BZ601" s="4">
        <v>0</v>
      </c>
      <c r="CA601" s="4">
        <v>3</v>
      </c>
      <c r="CB601" s="4">
        <v>5</v>
      </c>
      <c r="CC601" s="4">
        <v>0</v>
      </c>
      <c r="CD601" s="4">
        <v>1</v>
      </c>
      <c r="CE601" s="4">
        <v>0</v>
      </c>
      <c r="CF601" s="4">
        <v>1</v>
      </c>
      <c r="CG601" s="4">
        <v>0</v>
      </c>
      <c r="CH601" s="4">
        <v>0</v>
      </c>
      <c r="CI601" s="4">
        <v>1</v>
      </c>
      <c r="CJ601" s="4">
        <v>11</v>
      </c>
      <c r="CK601" s="4">
        <v>2</v>
      </c>
      <c r="CL601" s="4">
        <v>0</v>
      </c>
      <c r="CM601" s="4">
        <v>1</v>
      </c>
      <c r="CN601" s="4">
        <v>32</v>
      </c>
      <c r="CO601" s="4">
        <v>1</v>
      </c>
      <c r="CP601" s="4">
        <v>1</v>
      </c>
      <c r="CQ601" s="4">
        <v>0</v>
      </c>
      <c r="CR601" s="4">
        <v>0</v>
      </c>
      <c r="CS601" s="4">
        <v>0</v>
      </c>
      <c r="CT601" s="4">
        <v>13</v>
      </c>
      <c r="CU601" s="4">
        <v>1</v>
      </c>
      <c r="CV601" s="4">
        <v>14</v>
      </c>
      <c r="CW601" s="4">
        <v>0</v>
      </c>
      <c r="CX601" s="5">
        <v>0</v>
      </c>
    </row>
    <row r="602" spans="1:102" ht="15.75" x14ac:dyDescent="0.25">
      <c r="A602" s="4" t="s">
        <v>355</v>
      </c>
      <c r="B602" s="4" t="s">
        <v>356</v>
      </c>
      <c r="C602" s="4">
        <v>2020</v>
      </c>
      <c r="D602" s="4">
        <v>239</v>
      </c>
      <c r="E602" s="4">
        <v>0</v>
      </c>
      <c r="F602" s="4">
        <v>0</v>
      </c>
      <c r="G602" s="4">
        <v>1</v>
      </c>
      <c r="H602" s="4">
        <v>4</v>
      </c>
      <c r="I602" s="4">
        <v>0</v>
      </c>
      <c r="J602" s="4">
        <v>0</v>
      </c>
      <c r="K602" s="4">
        <v>0</v>
      </c>
      <c r="L602" s="4">
        <v>1</v>
      </c>
      <c r="M602" s="4">
        <v>0</v>
      </c>
      <c r="N602" s="4">
        <v>5</v>
      </c>
      <c r="O602" s="4">
        <v>2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13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</v>
      </c>
      <c r="AH602" s="4">
        <v>0</v>
      </c>
      <c r="AI602" s="4">
        <v>9</v>
      </c>
      <c r="AJ602" s="4">
        <v>1</v>
      </c>
      <c r="AK602" s="4">
        <v>3</v>
      </c>
      <c r="AL602" s="4">
        <v>0</v>
      </c>
      <c r="AM602" s="4">
        <v>10</v>
      </c>
      <c r="AN602" s="4">
        <v>30</v>
      </c>
      <c r="AO602" s="4">
        <v>3</v>
      </c>
      <c r="AP602" s="4">
        <v>0</v>
      </c>
      <c r="AQ602" s="4">
        <v>2</v>
      </c>
      <c r="AR602" s="4">
        <v>1</v>
      </c>
      <c r="AS602" s="4">
        <v>11</v>
      </c>
      <c r="AT602" s="4">
        <v>3</v>
      </c>
      <c r="AU602" s="4">
        <v>5</v>
      </c>
      <c r="AV602" s="4">
        <v>2</v>
      </c>
      <c r="AW602" s="4">
        <v>6</v>
      </c>
      <c r="AX602" s="4">
        <v>4</v>
      </c>
      <c r="AY602" s="4">
        <v>0</v>
      </c>
      <c r="AZ602" s="4">
        <v>0</v>
      </c>
      <c r="BA602" s="4">
        <v>0</v>
      </c>
      <c r="BB602" s="4">
        <v>5</v>
      </c>
      <c r="BC602" s="4">
        <v>0</v>
      </c>
      <c r="BD602" s="4">
        <v>0</v>
      </c>
      <c r="BE602" s="4">
        <v>2</v>
      </c>
      <c r="BF602" s="4">
        <v>4</v>
      </c>
      <c r="BG602" s="4">
        <v>2</v>
      </c>
      <c r="BH602" s="4">
        <v>0</v>
      </c>
      <c r="BI602" s="4">
        <v>0</v>
      </c>
      <c r="BJ602" s="4">
        <v>5</v>
      </c>
      <c r="BK602" s="4">
        <v>3</v>
      </c>
      <c r="BL602" s="4">
        <v>0</v>
      </c>
      <c r="BM602" s="4">
        <v>1</v>
      </c>
      <c r="BN602" s="4">
        <v>6</v>
      </c>
      <c r="BO602" s="4">
        <v>0</v>
      </c>
      <c r="BP602" s="4">
        <v>1</v>
      </c>
      <c r="BQ602" s="4">
        <v>11</v>
      </c>
      <c r="BR602" s="4">
        <v>1</v>
      </c>
      <c r="BS602" s="4">
        <v>7</v>
      </c>
      <c r="BT602" s="4">
        <v>2</v>
      </c>
      <c r="BU602" s="4">
        <v>0</v>
      </c>
      <c r="BV602" s="4">
        <v>2</v>
      </c>
      <c r="BW602" s="4">
        <v>0</v>
      </c>
      <c r="BX602" s="4">
        <v>16</v>
      </c>
      <c r="BY602" s="4">
        <v>0</v>
      </c>
      <c r="BZ602" s="4">
        <v>0</v>
      </c>
      <c r="CA602" s="4">
        <v>2</v>
      </c>
      <c r="CB602" s="4">
        <v>0</v>
      </c>
      <c r="CC602" s="4">
        <v>0</v>
      </c>
      <c r="CD602" s="4">
        <v>0</v>
      </c>
      <c r="CE602" s="4">
        <v>0</v>
      </c>
      <c r="CF602" s="4">
        <v>2</v>
      </c>
      <c r="CG602" s="4">
        <v>0</v>
      </c>
      <c r="CH602" s="4">
        <v>2</v>
      </c>
      <c r="CI602" s="4">
        <v>3</v>
      </c>
      <c r="CJ602" s="4">
        <v>10</v>
      </c>
      <c r="CK602" s="4">
        <v>3</v>
      </c>
      <c r="CL602" s="4">
        <v>0</v>
      </c>
      <c r="CM602" s="4">
        <v>1</v>
      </c>
      <c r="CN602" s="4">
        <v>5</v>
      </c>
      <c r="CO602" s="4">
        <v>2</v>
      </c>
      <c r="CP602" s="4">
        <v>0</v>
      </c>
      <c r="CQ602" s="4">
        <v>0</v>
      </c>
      <c r="CR602" s="4">
        <v>0</v>
      </c>
      <c r="CS602" s="4">
        <v>1</v>
      </c>
      <c r="CT602" s="4">
        <v>4</v>
      </c>
      <c r="CU602" s="4">
        <v>1</v>
      </c>
      <c r="CV602" s="4">
        <v>18</v>
      </c>
      <c r="CW602" s="4">
        <v>0</v>
      </c>
      <c r="CX602" s="5">
        <v>0</v>
      </c>
    </row>
    <row r="603" spans="1:102" ht="15.75" x14ac:dyDescent="0.25">
      <c r="A603" s="4" t="s">
        <v>357</v>
      </c>
      <c r="B603" s="4" t="s">
        <v>358</v>
      </c>
      <c r="C603" s="4">
        <v>2020</v>
      </c>
      <c r="D603" s="4">
        <v>429</v>
      </c>
      <c r="E603" s="4">
        <v>0</v>
      </c>
      <c r="F603" s="4">
        <v>1</v>
      </c>
      <c r="G603" s="4">
        <v>0</v>
      </c>
      <c r="H603" s="4">
        <v>6</v>
      </c>
      <c r="I603" s="4">
        <v>1</v>
      </c>
      <c r="J603" s="4">
        <v>1</v>
      </c>
      <c r="K603" s="4">
        <v>1</v>
      </c>
      <c r="L603" s="4">
        <v>1</v>
      </c>
      <c r="M603" s="4">
        <v>1</v>
      </c>
      <c r="N603" s="4">
        <v>4</v>
      </c>
      <c r="O603" s="4">
        <v>229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11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</v>
      </c>
      <c r="AH603" s="4">
        <v>0</v>
      </c>
      <c r="AI603" s="4">
        <v>2</v>
      </c>
      <c r="AJ603" s="4">
        <v>2</v>
      </c>
      <c r="AK603" s="4">
        <v>8</v>
      </c>
      <c r="AL603" s="4">
        <v>5</v>
      </c>
      <c r="AM603" s="4">
        <v>2</v>
      </c>
      <c r="AN603" s="4">
        <v>3</v>
      </c>
      <c r="AO603" s="4">
        <v>10</v>
      </c>
      <c r="AP603" s="4">
        <v>0</v>
      </c>
      <c r="AQ603" s="4">
        <v>1</v>
      </c>
      <c r="AR603" s="4">
        <v>0</v>
      </c>
      <c r="AS603" s="4">
        <v>3</v>
      </c>
      <c r="AT603" s="4">
        <v>5</v>
      </c>
      <c r="AU603" s="4">
        <v>2</v>
      </c>
      <c r="AV603" s="4">
        <v>2</v>
      </c>
      <c r="AW603" s="4">
        <v>0</v>
      </c>
      <c r="AX603" s="4">
        <v>5</v>
      </c>
      <c r="AY603" s="4">
        <v>0</v>
      </c>
      <c r="AZ603" s="4">
        <v>1</v>
      </c>
      <c r="BA603" s="4">
        <v>0</v>
      </c>
      <c r="BB603" s="4">
        <v>1</v>
      </c>
      <c r="BC603" s="4">
        <v>1</v>
      </c>
      <c r="BD603" s="4">
        <v>0</v>
      </c>
      <c r="BE603" s="4">
        <v>2</v>
      </c>
      <c r="BF603" s="4">
        <v>7</v>
      </c>
      <c r="BG603" s="4">
        <v>0</v>
      </c>
      <c r="BH603" s="4">
        <v>0</v>
      </c>
      <c r="BI603" s="4">
        <v>0</v>
      </c>
      <c r="BJ603" s="4">
        <v>7</v>
      </c>
      <c r="BK603" s="4">
        <v>5</v>
      </c>
      <c r="BL603" s="4">
        <v>0</v>
      </c>
      <c r="BM603" s="4">
        <v>1</v>
      </c>
      <c r="BN603" s="4">
        <v>8</v>
      </c>
      <c r="BO603" s="4">
        <v>0</v>
      </c>
      <c r="BP603" s="4">
        <v>1</v>
      </c>
      <c r="BQ603" s="4">
        <v>14</v>
      </c>
      <c r="BR603" s="4">
        <v>0</v>
      </c>
      <c r="BS603" s="4">
        <v>8</v>
      </c>
      <c r="BT603" s="4">
        <v>3</v>
      </c>
      <c r="BU603" s="4">
        <v>0</v>
      </c>
      <c r="BV603" s="4">
        <v>4</v>
      </c>
      <c r="BW603" s="4">
        <v>1</v>
      </c>
      <c r="BX603" s="4">
        <v>19</v>
      </c>
      <c r="BY603" s="4">
        <v>1</v>
      </c>
      <c r="BZ603" s="4">
        <v>0</v>
      </c>
      <c r="CA603" s="4">
        <v>1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1</v>
      </c>
      <c r="CJ603" s="4">
        <v>12</v>
      </c>
      <c r="CK603" s="4">
        <v>2</v>
      </c>
      <c r="CL603" s="4">
        <v>0</v>
      </c>
      <c r="CM603" s="4">
        <v>0</v>
      </c>
      <c r="CN603" s="4">
        <v>5</v>
      </c>
      <c r="CO603" s="4">
        <v>2</v>
      </c>
      <c r="CP603" s="4">
        <v>1</v>
      </c>
      <c r="CQ603" s="4">
        <v>0</v>
      </c>
      <c r="CR603" s="4">
        <v>0</v>
      </c>
      <c r="CS603" s="4">
        <v>1</v>
      </c>
      <c r="CT603" s="4">
        <v>2</v>
      </c>
      <c r="CU603" s="4">
        <v>0</v>
      </c>
      <c r="CV603" s="4">
        <v>9</v>
      </c>
      <c r="CW603" s="4">
        <v>0</v>
      </c>
      <c r="CX603" s="5">
        <v>0</v>
      </c>
    </row>
    <row r="604" spans="1:102" ht="15.75" x14ac:dyDescent="0.25">
      <c r="A604" s="4" t="s">
        <v>359</v>
      </c>
      <c r="B604" s="4" t="s">
        <v>360</v>
      </c>
      <c r="C604" s="4">
        <v>2020</v>
      </c>
      <c r="D604" s="4">
        <v>147</v>
      </c>
      <c r="E604" s="4">
        <v>0</v>
      </c>
      <c r="F604" s="4">
        <v>1</v>
      </c>
      <c r="G604" s="4">
        <v>4</v>
      </c>
      <c r="H604" s="4">
        <v>0</v>
      </c>
      <c r="I604" s="4">
        <v>1</v>
      </c>
      <c r="J604" s="4">
        <v>0</v>
      </c>
      <c r="K604" s="4">
        <v>0</v>
      </c>
      <c r="L604" s="4">
        <v>6</v>
      </c>
      <c r="M604" s="4">
        <v>0</v>
      </c>
      <c r="N604" s="4">
        <v>2</v>
      </c>
      <c r="O604" s="4">
        <v>25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2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</v>
      </c>
      <c r="AH604" s="4">
        <v>0</v>
      </c>
      <c r="AI604" s="4">
        <v>1</v>
      </c>
      <c r="AJ604" s="4">
        <v>20</v>
      </c>
      <c r="AK604" s="4">
        <v>5</v>
      </c>
      <c r="AL604" s="4">
        <v>0</v>
      </c>
      <c r="AM604" s="4">
        <v>0</v>
      </c>
      <c r="AN604" s="4">
        <v>0</v>
      </c>
      <c r="AO604" s="4">
        <v>7</v>
      </c>
      <c r="AP604" s="4">
        <v>0</v>
      </c>
      <c r="AQ604" s="4">
        <v>2</v>
      </c>
      <c r="AR604" s="4">
        <v>0</v>
      </c>
      <c r="AS604" s="4">
        <v>0</v>
      </c>
      <c r="AT604" s="4">
        <v>0</v>
      </c>
      <c r="AU604" s="4">
        <v>0</v>
      </c>
      <c r="AV604" s="4">
        <v>10</v>
      </c>
      <c r="AW604" s="4">
        <v>0</v>
      </c>
      <c r="AX604" s="4">
        <v>5</v>
      </c>
      <c r="AY604" s="4">
        <v>0</v>
      </c>
      <c r="AZ604" s="4">
        <v>3</v>
      </c>
      <c r="BA604" s="4">
        <v>0</v>
      </c>
      <c r="BB604" s="4">
        <v>2</v>
      </c>
      <c r="BC604" s="4">
        <v>0</v>
      </c>
      <c r="BD604" s="4">
        <v>0</v>
      </c>
      <c r="BE604" s="4">
        <v>0</v>
      </c>
      <c r="BF604" s="4">
        <v>4</v>
      </c>
      <c r="BG604" s="4">
        <v>0</v>
      </c>
      <c r="BH604" s="4">
        <v>0</v>
      </c>
      <c r="BI604" s="4">
        <v>0</v>
      </c>
      <c r="BJ604" s="4">
        <v>4</v>
      </c>
      <c r="BK604" s="4">
        <v>4</v>
      </c>
      <c r="BL604" s="4">
        <v>0</v>
      </c>
      <c r="BM604" s="4">
        <v>0</v>
      </c>
      <c r="BN604" s="4">
        <v>2</v>
      </c>
      <c r="BO604" s="4">
        <v>0</v>
      </c>
      <c r="BP604" s="4">
        <v>0</v>
      </c>
      <c r="BQ604" s="4">
        <v>1</v>
      </c>
      <c r="BR604" s="4">
        <v>1</v>
      </c>
      <c r="BS604" s="4">
        <v>5</v>
      </c>
      <c r="BT604" s="4">
        <v>5</v>
      </c>
      <c r="BU604" s="4">
        <v>0</v>
      </c>
      <c r="BV604" s="4">
        <v>1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1</v>
      </c>
      <c r="CG604" s="4">
        <v>0</v>
      </c>
      <c r="CH604" s="4">
        <v>0</v>
      </c>
      <c r="CI604" s="4">
        <v>0</v>
      </c>
      <c r="CJ604" s="4">
        <v>2</v>
      </c>
      <c r="CK604" s="4">
        <v>0</v>
      </c>
      <c r="CL604" s="4">
        <v>0</v>
      </c>
      <c r="CM604" s="4">
        <v>1</v>
      </c>
      <c r="CN604" s="4">
        <v>8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2</v>
      </c>
      <c r="CU604" s="4">
        <v>0</v>
      </c>
      <c r="CV604" s="4">
        <v>1</v>
      </c>
      <c r="CW604" s="4">
        <v>1</v>
      </c>
      <c r="CX604" s="5">
        <v>1</v>
      </c>
    </row>
    <row r="605" spans="1:102" ht="15.75" x14ac:dyDescent="0.25">
      <c r="A605" s="4" t="s">
        <v>361</v>
      </c>
      <c r="B605" s="4" t="s">
        <v>362</v>
      </c>
      <c r="C605" s="4">
        <v>2020</v>
      </c>
      <c r="D605" s="4">
        <v>527</v>
      </c>
      <c r="E605" s="4">
        <v>0</v>
      </c>
      <c r="F605" s="4">
        <v>0</v>
      </c>
      <c r="G605" s="4">
        <v>2</v>
      </c>
      <c r="H605" s="4">
        <v>0</v>
      </c>
      <c r="I605" s="4">
        <v>22</v>
      </c>
      <c r="J605" s="4">
        <v>8</v>
      </c>
      <c r="K605" s="4">
        <v>0</v>
      </c>
      <c r="L605" s="4">
        <v>0</v>
      </c>
      <c r="M605" s="4">
        <v>1</v>
      </c>
      <c r="N605" s="4">
        <v>1</v>
      </c>
      <c r="O605" s="4">
        <v>17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1</v>
      </c>
      <c r="V605" s="4">
        <v>3</v>
      </c>
      <c r="W605" s="4">
        <v>10</v>
      </c>
      <c r="X605" s="4">
        <v>0</v>
      </c>
      <c r="Y605" s="4">
        <v>0</v>
      </c>
      <c r="Z605" s="4">
        <v>0</v>
      </c>
      <c r="AA605" s="4">
        <v>155</v>
      </c>
      <c r="AB605" s="4">
        <v>53</v>
      </c>
      <c r="AC605" s="4">
        <v>0</v>
      </c>
      <c r="AD605" s="4">
        <v>0</v>
      </c>
      <c r="AE605" s="4">
        <v>0</v>
      </c>
      <c r="AF605" s="4">
        <v>0</v>
      </c>
      <c r="AG605" s="4">
        <v>3</v>
      </c>
      <c r="AH605" s="4">
        <v>3</v>
      </c>
      <c r="AI605" s="4">
        <v>3</v>
      </c>
      <c r="AJ605" s="4">
        <v>23</v>
      </c>
      <c r="AK605" s="4">
        <v>3</v>
      </c>
      <c r="AL605" s="4">
        <v>8</v>
      </c>
      <c r="AM605" s="4">
        <v>5</v>
      </c>
      <c r="AN605" s="4">
        <v>5</v>
      </c>
      <c r="AO605" s="4">
        <v>7</v>
      </c>
      <c r="AP605" s="4">
        <v>0</v>
      </c>
      <c r="AQ605" s="4">
        <v>2</v>
      </c>
      <c r="AR605" s="4">
        <v>0</v>
      </c>
      <c r="AS605" s="4">
        <v>1</v>
      </c>
      <c r="AT605" s="4">
        <v>14</v>
      </c>
      <c r="AU605" s="4">
        <v>3</v>
      </c>
      <c r="AV605" s="4">
        <v>15</v>
      </c>
      <c r="AW605" s="4">
        <v>0</v>
      </c>
      <c r="AX605" s="4">
        <v>5</v>
      </c>
      <c r="AY605" s="4">
        <v>0</v>
      </c>
      <c r="AZ605" s="4">
        <v>0</v>
      </c>
      <c r="BA605" s="4">
        <v>0</v>
      </c>
      <c r="BB605" s="4">
        <v>2</v>
      </c>
      <c r="BC605" s="4">
        <v>1</v>
      </c>
      <c r="BD605" s="4">
        <v>0</v>
      </c>
      <c r="BE605" s="4">
        <v>3</v>
      </c>
      <c r="BF605" s="4">
        <v>6</v>
      </c>
      <c r="BG605" s="4">
        <v>0</v>
      </c>
      <c r="BH605" s="4">
        <v>0</v>
      </c>
      <c r="BI605" s="4">
        <v>0</v>
      </c>
      <c r="BJ605" s="4">
        <v>5</v>
      </c>
      <c r="BK605" s="4">
        <v>8</v>
      </c>
      <c r="BL605" s="4">
        <v>0</v>
      </c>
      <c r="BM605" s="4">
        <v>1</v>
      </c>
      <c r="BN605" s="4">
        <v>3</v>
      </c>
      <c r="BO605" s="4">
        <v>0</v>
      </c>
      <c r="BP605" s="4">
        <v>0</v>
      </c>
      <c r="BQ605" s="4">
        <v>9</v>
      </c>
      <c r="BR605" s="4">
        <v>0</v>
      </c>
      <c r="BS605" s="4">
        <v>9</v>
      </c>
      <c r="BT605" s="4">
        <v>7</v>
      </c>
      <c r="BU605" s="4">
        <v>0</v>
      </c>
      <c r="BV605" s="4">
        <v>4</v>
      </c>
      <c r="BW605" s="4">
        <v>1</v>
      </c>
      <c r="BX605" s="4">
        <v>44</v>
      </c>
      <c r="BY605" s="4">
        <v>0</v>
      </c>
      <c r="BZ605" s="4">
        <v>0</v>
      </c>
      <c r="CA605" s="4">
        <v>30</v>
      </c>
      <c r="CB605" s="4">
        <v>0</v>
      </c>
      <c r="CC605" s="4">
        <v>0</v>
      </c>
      <c r="CD605" s="4">
        <v>1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1</v>
      </c>
      <c r="CK605" s="4">
        <v>0</v>
      </c>
      <c r="CL605" s="4">
        <v>0</v>
      </c>
      <c r="CM605" s="4">
        <v>1</v>
      </c>
      <c r="CN605" s="4">
        <v>4</v>
      </c>
      <c r="CO605" s="4">
        <v>1</v>
      </c>
      <c r="CP605" s="4">
        <v>0</v>
      </c>
      <c r="CQ605" s="4">
        <v>0</v>
      </c>
      <c r="CR605" s="4">
        <v>1</v>
      </c>
      <c r="CS605" s="4">
        <v>0</v>
      </c>
      <c r="CT605" s="4">
        <v>3</v>
      </c>
      <c r="CU605" s="4">
        <v>0</v>
      </c>
      <c r="CV605" s="4">
        <v>6</v>
      </c>
      <c r="CW605" s="4">
        <v>1</v>
      </c>
      <c r="CX605" s="5">
        <v>1</v>
      </c>
    </row>
    <row r="606" spans="1:102" ht="15.75" x14ac:dyDescent="0.25">
      <c r="A606" s="4" t="s">
        <v>363</v>
      </c>
      <c r="B606" s="4" t="s">
        <v>364</v>
      </c>
      <c r="C606" s="4">
        <v>2020</v>
      </c>
      <c r="D606" s="4">
        <v>28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3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2</v>
      </c>
      <c r="AK606" s="4">
        <v>0</v>
      </c>
      <c r="AL606" s="4">
        <v>0</v>
      </c>
      <c r="AM606" s="4">
        <v>0</v>
      </c>
      <c r="AN606" s="4">
        <v>0</v>
      </c>
      <c r="AO606" s="4">
        <v>1</v>
      </c>
      <c r="AP606" s="4">
        <v>0</v>
      </c>
      <c r="AQ606" s="4">
        <v>0</v>
      </c>
      <c r="AR606" s="4">
        <v>0</v>
      </c>
      <c r="AS606" s="4">
        <v>0</v>
      </c>
      <c r="AT606" s="4">
        <v>4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3</v>
      </c>
      <c r="BG606" s="4">
        <v>0</v>
      </c>
      <c r="BH606" s="4">
        <v>0</v>
      </c>
      <c r="BI606" s="4">
        <v>0</v>
      </c>
      <c r="BJ606" s="4">
        <v>0</v>
      </c>
      <c r="BK606" s="4">
        <v>1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1</v>
      </c>
      <c r="BX606" s="4">
        <v>5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1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1</v>
      </c>
      <c r="CU606" s="4">
        <v>0</v>
      </c>
      <c r="CV606" s="4">
        <v>1</v>
      </c>
      <c r="CW606" s="4">
        <v>0</v>
      </c>
      <c r="CX606" s="5">
        <v>0</v>
      </c>
    </row>
    <row r="607" spans="1:102" ht="15.75" x14ac:dyDescent="0.25">
      <c r="A607" s="4" t="s">
        <v>365</v>
      </c>
      <c r="B607" s="4" t="s">
        <v>366</v>
      </c>
      <c r="C607" s="4">
        <v>2020</v>
      </c>
      <c r="D607" s="4">
        <v>16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4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1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5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1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5">
        <v>0</v>
      </c>
    </row>
    <row r="608" spans="1:102" ht="15.75" x14ac:dyDescent="0.25">
      <c r="A608" s="4" t="s">
        <v>367</v>
      </c>
      <c r="B608" s="4" t="s">
        <v>368</v>
      </c>
      <c r="C608" s="4">
        <v>2020</v>
      </c>
      <c r="D608" s="4">
        <v>6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1</v>
      </c>
      <c r="AP608" s="4">
        <v>0</v>
      </c>
      <c r="AQ608" s="4">
        <v>0</v>
      </c>
      <c r="AR608" s="4">
        <v>0</v>
      </c>
      <c r="AS608" s="4">
        <v>0</v>
      </c>
      <c r="AT608" s="4">
        <v>1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1</v>
      </c>
      <c r="BC608" s="4">
        <v>0</v>
      </c>
      <c r="BD608" s="4">
        <v>0</v>
      </c>
      <c r="BE608" s="4">
        <v>0</v>
      </c>
      <c r="BF608" s="4">
        <v>1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5">
        <v>0</v>
      </c>
    </row>
    <row r="609" spans="1:102" ht="15.75" x14ac:dyDescent="0.25">
      <c r="A609" s="4" t="s">
        <v>369</v>
      </c>
      <c r="B609" s="4" t="s">
        <v>370</v>
      </c>
      <c r="C609" s="4">
        <v>2020</v>
      </c>
      <c r="D609" s="4">
        <v>22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22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5">
        <v>0</v>
      </c>
    </row>
    <row r="610" spans="1:102" ht="15.75" x14ac:dyDescent="0.25">
      <c r="A610" s="4" t="s">
        <v>371</v>
      </c>
      <c r="B610" s="4" t="s">
        <v>372</v>
      </c>
      <c r="C610" s="4">
        <v>2020</v>
      </c>
      <c r="D610" s="4">
        <v>1146</v>
      </c>
      <c r="E610" s="4">
        <v>0</v>
      </c>
      <c r="F610" s="4">
        <v>1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2</v>
      </c>
      <c r="O610" s="4">
        <v>3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205</v>
      </c>
      <c r="AI610" s="4">
        <v>0</v>
      </c>
      <c r="AJ610" s="4">
        <v>2</v>
      </c>
      <c r="AK610" s="4">
        <v>0</v>
      </c>
      <c r="AL610" s="4">
        <v>0</v>
      </c>
      <c r="AM610" s="4">
        <v>0</v>
      </c>
      <c r="AN610" s="4">
        <v>2</v>
      </c>
      <c r="AO610" s="4">
        <v>5</v>
      </c>
      <c r="AP610" s="4">
        <v>0</v>
      </c>
      <c r="AQ610" s="4">
        <v>0</v>
      </c>
      <c r="AR610" s="4">
        <v>0</v>
      </c>
      <c r="AS610" s="4">
        <v>0</v>
      </c>
      <c r="AT610" s="4">
        <v>4</v>
      </c>
      <c r="AU610" s="4">
        <v>0</v>
      </c>
      <c r="AV610" s="4">
        <v>0</v>
      </c>
      <c r="AW610" s="4">
        <v>899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1</v>
      </c>
      <c r="BG610" s="4">
        <v>0</v>
      </c>
      <c r="BH610" s="4">
        <v>0</v>
      </c>
      <c r="BI610" s="4">
        <v>0</v>
      </c>
      <c r="BJ610" s="4">
        <v>1</v>
      </c>
      <c r="BK610" s="4">
        <v>3</v>
      </c>
      <c r="BL610" s="4">
        <v>0</v>
      </c>
      <c r="BM610" s="4">
        <v>0</v>
      </c>
      <c r="BN610" s="4">
        <v>2</v>
      </c>
      <c r="BO610" s="4">
        <v>0</v>
      </c>
      <c r="BP610" s="4">
        <v>0</v>
      </c>
      <c r="BQ610" s="4">
        <v>1</v>
      </c>
      <c r="BR610" s="4">
        <v>0</v>
      </c>
      <c r="BS610" s="4">
        <v>1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1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4</v>
      </c>
      <c r="CU610" s="4">
        <v>0</v>
      </c>
      <c r="CV610" s="4">
        <v>1</v>
      </c>
      <c r="CW610" s="4">
        <v>0</v>
      </c>
      <c r="CX610" s="5">
        <v>0</v>
      </c>
    </row>
    <row r="611" spans="1:102" ht="15.75" x14ac:dyDescent="0.25">
      <c r="A611" s="4" t="s">
        <v>373</v>
      </c>
      <c r="B611" s="4" t="s">
        <v>374</v>
      </c>
      <c r="C611" s="4">
        <v>2020</v>
      </c>
      <c r="D611" s="4">
        <v>61</v>
      </c>
      <c r="E611" s="4">
        <v>0</v>
      </c>
      <c r="F611" s="4">
        <v>0</v>
      </c>
      <c r="G611" s="4">
        <v>4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2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1</v>
      </c>
      <c r="AK611" s="4">
        <v>0</v>
      </c>
      <c r="AL611" s="4">
        <v>0</v>
      </c>
      <c r="AM611" s="4">
        <v>0</v>
      </c>
      <c r="AN611" s="4">
        <v>0</v>
      </c>
      <c r="AO611" s="4">
        <v>1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1</v>
      </c>
      <c r="BC611" s="4">
        <v>0</v>
      </c>
      <c r="BD611" s="4">
        <v>0</v>
      </c>
      <c r="BE611" s="4">
        <v>0</v>
      </c>
      <c r="BF611" s="4">
        <v>1</v>
      </c>
      <c r="BG611" s="4">
        <v>0</v>
      </c>
      <c r="BH611" s="4">
        <v>0</v>
      </c>
      <c r="BI611" s="4">
        <v>0</v>
      </c>
      <c r="BJ611" s="4">
        <v>1</v>
      </c>
      <c r="BK611" s="4">
        <v>1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1</v>
      </c>
      <c r="BR611" s="4">
        <v>0</v>
      </c>
      <c r="BS611" s="4">
        <v>4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38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1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5">
        <v>0</v>
      </c>
    </row>
    <row r="612" spans="1:102" ht="15.75" x14ac:dyDescent="0.25">
      <c r="A612" s="4" t="s">
        <v>375</v>
      </c>
      <c r="B612" s="4" t="s">
        <v>376</v>
      </c>
      <c r="C612" s="4">
        <v>2020</v>
      </c>
      <c r="D612" s="4">
        <v>34</v>
      </c>
      <c r="E612" s="4">
        <v>1</v>
      </c>
      <c r="F612" s="4">
        <v>0</v>
      </c>
      <c r="G612" s="4">
        <v>1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4</v>
      </c>
      <c r="N612" s="4">
        <v>2</v>
      </c>
      <c r="O612" s="4">
        <v>3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2</v>
      </c>
      <c r="AK612" s="4">
        <v>1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1</v>
      </c>
      <c r="AT612" s="4">
        <v>0</v>
      </c>
      <c r="AU612" s="4">
        <v>1</v>
      </c>
      <c r="AV612" s="4">
        <v>1</v>
      </c>
      <c r="AW612" s="4">
        <v>0</v>
      </c>
      <c r="AX612" s="4">
        <v>0</v>
      </c>
      <c r="AY612" s="4">
        <v>0</v>
      </c>
      <c r="AZ612" s="4">
        <v>4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1</v>
      </c>
      <c r="BH612" s="4">
        <v>0</v>
      </c>
      <c r="BI612" s="4">
        <v>0</v>
      </c>
      <c r="BJ612" s="4">
        <v>1</v>
      </c>
      <c r="BK612" s="4">
        <v>1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1</v>
      </c>
      <c r="BR612" s="4">
        <v>0</v>
      </c>
      <c r="BS612" s="4">
        <v>1</v>
      </c>
      <c r="BT612" s="4">
        <v>0</v>
      </c>
      <c r="BU612" s="4">
        <v>0</v>
      </c>
      <c r="BV612" s="4">
        <v>0</v>
      </c>
      <c r="BW612" s="4">
        <v>0</v>
      </c>
      <c r="BX612" s="4">
        <v>4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1</v>
      </c>
      <c r="CK612" s="4">
        <v>0</v>
      </c>
      <c r="CL612" s="4">
        <v>0</v>
      </c>
      <c r="CM612" s="4">
        <v>0</v>
      </c>
      <c r="CN612" s="4">
        <v>2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5">
        <v>0</v>
      </c>
    </row>
    <row r="613" spans="1:102" ht="15.75" x14ac:dyDescent="0.25">
      <c r="A613" s="4" t="s">
        <v>377</v>
      </c>
      <c r="B613" s="4" t="s">
        <v>378</v>
      </c>
      <c r="C613" s="4">
        <v>2020</v>
      </c>
      <c r="D613" s="4">
        <v>16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4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1</v>
      </c>
      <c r="BC613" s="4">
        <v>1</v>
      </c>
      <c r="BD613" s="4">
        <v>0</v>
      </c>
      <c r="BE613" s="4">
        <v>0</v>
      </c>
      <c r="BF613" s="4">
        <v>1</v>
      </c>
      <c r="BG613" s="4">
        <v>0</v>
      </c>
      <c r="BH613" s="4">
        <v>0</v>
      </c>
      <c r="BI613" s="4">
        <v>0</v>
      </c>
      <c r="BJ613" s="4">
        <v>0</v>
      </c>
      <c r="BK613" s="4">
        <v>2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1</v>
      </c>
      <c r="BW613" s="4">
        <v>0</v>
      </c>
      <c r="BX613" s="4">
        <v>2</v>
      </c>
      <c r="BY613" s="4">
        <v>2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1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5">
        <v>0</v>
      </c>
    </row>
    <row r="614" spans="1:102" ht="15.75" x14ac:dyDescent="0.25">
      <c r="A614" s="4" t="s">
        <v>379</v>
      </c>
      <c r="B614" s="4" t="s">
        <v>380</v>
      </c>
      <c r="C614" s="4">
        <v>2020</v>
      </c>
      <c r="D614" s="4">
        <v>124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7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2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1</v>
      </c>
      <c r="AR614" s="4">
        <v>1</v>
      </c>
      <c r="AS614" s="4">
        <v>0</v>
      </c>
      <c r="AT614" s="4">
        <v>0</v>
      </c>
      <c r="AU614" s="4">
        <v>1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1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1</v>
      </c>
      <c r="BR614" s="4">
        <v>0</v>
      </c>
      <c r="BS614" s="4">
        <v>1</v>
      </c>
      <c r="BT614" s="4">
        <v>0</v>
      </c>
      <c r="BU614" s="4">
        <v>0</v>
      </c>
      <c r="BV614" s="4">
        <v>1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48</v>
      </c>
      <c r="CJ614" s="4">
        <v>18</v>
      </c>
      <c r="CK614" s="4">
        <v>7</v>
      </c>
      <c r="CL614" s="4">
        <v>0</v>
      </c>
      <c r="CM614" s="4">
        <v>0</v>
      </c>
      <c r="CN614" s="4">
        <v>1</v>
      </c>
      <c r="CO614" s="4">
        <v>14</v>
      </c>
      <c r="CP614" s="4">
        <v>3</v>
      </c>
      <c r="CQ614" s="4">
        <v>0</v>
      </c>
      <c r="CR614" s="4">
        <v>2</v>
      </c>
      <c r="CS614" s="4">
        <v>6</v>
      </c>
      <c r="CT614" s="4">
        <v>0</v>
      </c>
      <c r="CU614" s="4">
        <v>1</v>
      </c>
      <c r="CV614" s="4">
        <v>3</v>
      </c>
      <c r="CW614" s="4">
        <v>0</v>
      </c>
      <c r="CX614" s="5">
        <v>0</v>
      </c>
    </row>
    <row r="615" spans="1:102" ht="15.75" x14ac:dyDescent="0.25">
      <c r="A615" s="4" t="s">
        <v>381</v>
      </c>
      <c r="B615" s="4" t="s">
        <v>382</v>
      </c>
      <c r="C615" s="4">
        <v>2020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5">
        <v>0</v>
      </c>
    </row>
    <row r="616" spans="1:102" ht="15.75" x14ac:dyDescent="0.25">
      <c r="A616" s="4" t="s">
        <v>383</v>
      </c>
      <c r="B616" s="4" t="s">
        <v>384</v>
      </c>
      <c r="C616" s="4">
        <v>2020</v>
      </c>
      <c r="D616" s="4">
        <v>9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3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2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4">
        <v>0</v>
      </c>
      <c r="CW616" s="4">
        <v>0</v>
      </c>
      <c r="CX616" s="5">
        <v>0</v>
      </c>
    </row>
    <row r="617" spans="1:102" ht="15.75" x14ac:dyDescent="0.25">
      <c r="A617" s="4" t="s">
        <v>385</v>
      </c>
      <c r="B617" s="4" t="s">
        <v>386</v>
      </c>
      <c r="C617" s="4">
        <v>2020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5">
        <v>0</v>
      </c>
    </row>
    <row r="618" spans="1:102" ht="15.75" x14ac:dyDescent="0.25">
      <c r="A618" s="4" t="s">
        <v>387</v>
      </c>
      <c r="B618" s="4" t="s">
        <v>388</v>
      </c>
      <c r="C618" s="4">
        <v>2020</v>
      </c>
      <c r="D618" s="4">
        <v>493</v>
      </c>
      <c r="E618" s="4">
        <v>0</v>
      </c>
      <c r="F618" s="4">
        <v>3</v>
      </c>
      <c r="G618" s="4">
        <v>3</v>
      </c>
      <c r="H618" s="4">
        <v>2</v>
      </c>
      <c r="I618" s="4">
        <v>16</v>
      </c>
      <c r="J618" s="4">
        <v>4</v>
      </c>
      <c r="K618" s="4">
        <v>1</v>
      </c>
      <c r="L618" s="4">
        <v>8</v>
      </c>
      <c r="M618" s="4">
        <v>3</v>
      </c>
      <c r="N618" s="4">
        <v>9</v>
      </c>
      <c r="O618" s="4">
        <v>10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2</v>
      </c>
      <c r="V618" s="4">
        <v>0</v>
      </c>
      <c r="W618" s="4">
        <v>0</v>
      </c>
      <c r="X618" s="4">
        <v>0</v>
      </c>
      <c r="Y618" s="4">
        <v>8</v>
      </c>
      <c r="Z618" s="4">
        <v>0</v>
      </c>
      <c r="AA618" s="4">
        <v>74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1</v>
      </c>
      <c r="AH618" s="4">
        <v>0</v>
      </c>
      <c r="AI618" s="4">
        <v>5</v>
      </c>
      <c r="AJ618" s="4">
        <v>32</v>
      </c>
      <c r="AK618" s="4">
        <v>14</v>
      </c>
      <c r="AL618" s="4">
        <v>0</v>
      </c>
      <c r="AM618" s="4">
        <v>2</v>
      </c>
      <c r="AN618" s="4">
        <v>9</v>
      </c>
      <c r="AO618" s="4">
        <v>5</v>
      </c>
      <c r="AP618" s="4">
        <v>0</v>
      </c>
      <c r="AQ618" s="4">
        <v>2</v>
      </c>
      <c r="AR618" s="4">
        <v>0</v>
      </c>
      <c r="AS618" s="4">
        <v>32</v>
      </c>
      <c r="AT618" s="4">
        <v>4</v>
      </c>
      <c r="AU618" s="4">
        <v>2</v>
      </c>
      <c r="AV618" s="4">
        <v>2</v>
      </c>
      <c r="AW618" s="4">
        <v>1</v>
      </c>
      <c r="AX618" s="4">
        <v>8</v>
      </c>
      <c r="AY618" s="4">
        <v>0</v>
      </c>
      <c r="AZ618" s="4">
        <v>2</v>
      </c>
      <c r="BA618" s="4">
        <v>0</v>
      </c>
      <c r="BB618" s="4">
        <v>2</v>
      </c>
      <c r="BC618" s="4">
        <v>4</v>
      </c>
      <c r="BD618" s="4">
        <v>0</v>
      </c>
      <c r="BE618" s="4">
        <v>1</v>
      </c>
      <c r="BF618" s="4">
        <v>4</v>
      </c>
      <c r="BG618" s="4">
        <v>0</v>
      </c>
      <c r="BH618" s="4">
        <v>0</v>
      </c>
      <c r="BI618" s="4">
        <v>0</v>
      </c>
      <c r="BJ618" s="4">
        <v>5</v>
      </c>
      <c r="BK618" s="4">
        <v>6</v>
      </c>
      <c r="BL618" s="4">
        <v>0</v>
      </c>
      <c r="BM618" s="4">
        <v>1</v>
      </c>
      <c r="BN618" s="4">
        <v>18</v>
      </c>
      <c r="BO618" s="4">
        <v>0</v>
      </c>
      <c r="BP618" s="4">
        <v>3</v>
      </c>
      <c r="BQ618" s="4">
        <v>10</v>
      </c>
      <c r="BR618" s="4">
        <v>1</v>
      </c>
      <c r="BS618" s="4">
        <v>10</v>
      </c>
      <c r="BT618" s="4">
        <v>4</v>
      </c>
      <c r="BU618" s="4">
        <v>0</v>
      </c>
      <c r="BV618" s="4">
        <v>4</v>
      </c>
      <c r="BW618" s="4">
        <v>6</v>
      </c>
      <c r="BX618" s="4">
        <v>32</v>
      </c>
      <c r="BY618" s="4">
        <v>0</v>
      </c>
      <c r="BZ618" s="4">
        <v>0</v>
      </c>
      <c r="CA618" s="4">
        <v>24</v>
      </c>
      <c r="CB618" s="4">
        <v>30</v>
      </c>
      <c r="CC618" s="4">
        <v>0</v>
      </c>
      <c r="CD618" s="4">
        <v>1</v>
      </c>
      <c r="CE618" s="4">
        <v>0</v>
      </c>
      <c r="CF618" s="4">
        <v>1</v>
      </c>
      <c r="CG618" s="4">
        <v>0</v>
      </c>
      <c r="CH618" s="4">
        <v>1</v>
      </c>
      <c r="CI618" s="4">
        <v>1</v>
      </c>
      <c r="CJ618" s="4">
        <v>23</v>
      </c>
      <c r="CK618" s="4">
        <v>4</v>
      </c>
      <c r="CL618" s="4">
        <v>0</v>
      </c>
      <c r="CM618" s="4">
        <v>0</v>
      </c>
      <c r="CN618" s="4">
        <v>4</v>
      </c>
      <c r="CO618" s="4">
        <v>1</v>
      </c>
      <c r="CP618" s="4">
        <v>0</v>
      </c>
      <c r="CQ618" s="4">
        <v>0</v>
      </c>
      <c r="CR618" s="4">
        <v>0</v>
      </c>
      <c r="CS618" s="4">
        <v>1</v>
      </c>
      <c r="CT618" s="4">
        <v>4</v>
      </c>
      <c r="CU618" s="4">
        <v>1</v>
      </c>
      <c r="CV618" s="4">
        <v>17</v>
      </c>
      <c r="CW618" s="4">
        <v>1</v>
      </c>
      <c r="CX618" s="5">
        <v>1</v>
      </c>
    </row>
    <row r="619" spans="1:102" ht="15.75" x14ac:dyDescent="0.25">
      <c r="A619" s="4" t="s">
        <v>389</v>
      </c>
      <c r="B619" s="4" t="s">
        <v>390</v>
      </c>
      <c r="C619" s="4">
        <v>2020</v>
      </c>
      <c r="D619" s="4">
        <v>53</v>
      </c>
      <c r="E619" s="4">
        <v>0</v>
      </c>
      <c r="F619" s="4">
        <v>0</v>
      </c>
      <c r="G619" s="4">
        <v>1</v>
      </c>
      <c r="H619" s="4">
        <v>0</v>
      </c>
      <c r="I619" s="4">
        <v>5</v>
      </c>
      <c r="J619" s="4">
        <v>0</v>
      </c>
      <c r="K619" s="4">
        <v>0</v>
      </c>
      <c r="L619" s="4">
        <v>0</v>
      </c>
      <c r="M619" s="4">
        <v>0</v>
      </c>
      <c r="N619" s="4">
        <v>1</v>
      </c>
      <c r="O619" s="4">
        <v>4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1</v>
      </c>
      <c r="AJ619" s="4">
        <v>5</v>
      </c>
      <c r="AK619" s="4">
        <v>2</v>
      </c>
      <c r="AL619" s="4">
        <v>0</v>
      </c>
      <c r="AM619" s="4">
        <v>1</v>
      </c>
      <c r="AN619" s="4">
        <v>0</v>
      </c>
      <c r="AO619" s="4">
        <v>1</v>
      </c>
      <c r="AP619" s="4">
        <v>0</v>
      </c>
      <c r="AQ619" s="4">
        <v>0</v>
      </c>
      <c r="AR619" s="4">
        <v>0</v>
      </c>
      <c r="AS619" s="4">
        <v>0</v>
      </c>
      <c r="AT619" s="4">
        <v>1</v>
      </c>
      <c r="AU619" s="4">
        <v>0</v>
      </c>
      <c r="AV619" s="4">
        <v>0</v>
      </c>
      <c r="AW619" s="4">
        <v>0</v>
      </c>
      <c r="AX619" s="4">
        <v>1</v>
      </c>
      <c r="AY619" s="4">
        <v>0</v>
      </c>
      <c r="AZ619" s="4">
        <v>1</v>
      </c>
      <c r="BA619" s="4">
        <v>0</v>
      </c>
      <c r="BB619" s="4">
        <v>0</v>
      </c>
      <c r="BC619" s="4">
        <v>0</v>
      </c>
      <c r="BD619" s="4">
        <v>0</v>
      </c>
      <c r="BE619" s="4">
        <v>1</v>
      </c>
      <c r="BF619" s="4">
        <v>3</v>
      </c>
      <c r="BG619" s="4">
        <v>0</v>
      </c>
      <c r="BH619" s="4">
        <v>0</v>
      </c>
      <c r="BI619" s="4">
        <v>0</v>
      </c>
      <c r="BJ619" s="4">
        <v>1</v>
      </c>
      <c r="BK619" s="4">
        <v>1</v>
      </c>
      <c r="BL619" s="4">
        <v>0</v>
      </c>
      <c r="BM619" s="4">
        <v>0</v>
      </c>
      <c r="BN619" s="4">
        <v>1</v>
      </c>
      <c r="BO619" s="4">
        <v>0</v>
      </c>
      <c r="BP619" s="4">
        <v>0</v>
      </c>
      <c r="BQ619" s="4">
        <v>1</v>
      </c>
      <c r="BR619" s="4">
        <v>0</v>
      </c>
      <c r="BS619" s="4">
        <v>1</v>
      </c>
      <c r="BT619" s="4">
        <v>1</v>
      </c>
      <c r="BU619" s="4">
        <v>0</v>
      </c>
      <c r="BV619" s="4">
        <v>2</v>
      </c>
      <c r="BW619" s="4">
        <v>3</v>
      </c>
      <c r="BX619" s="4">
        <v>6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1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1</v>
      </c>
      <c r="CU619" s="4">
        <v>0</v>
      </c>
      <c r="CV619" s="4">
        <v>2</v>
      </c>
      <c r="CW619" s="4">
        <v>0</v>
      </c>
      <c r="CX619" s="5">
        <v>0</v>
      </c>
    </row>
    <row r="620" spans="1:102" ht="15.75" x14ac:dyDescent="0.25">
      <c r="A620" s="4" t="s">
        <v>391</v>
      </c>
      <c r="B620" s="4" t="s">
        <v>392</v>
      </c>
      <c r="C620" s="4">
        <v>2020</v>
      </c>
      <c r="D620" s="4">
        <v>12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1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1</v>
      </c>
      <c r="AY620" s="4">
        <v>0</v>
      </c>
      <c r="AZ620" s="4">
        <v>1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1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1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2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1</v>
      </c>
      <c r="CW620" s="4">
        <v>0</v>
      </c>
      <c r="CX620" s="5">
        <v>0</v>
      </c>
    </row>
    <row r="621" spans="1:102" ht="15.75" x14ac:dyDescent="0.25">
      <c r="A621" s="4" t="s">
        <v>393</v>
      </c>
      <c r="B621" s="4" t="s">
        <v>394</v>
      </c>
      <c r="C621" s="4">
        <v>2020</v>
      </c>
      <c r="D621" s="4">
        <v>13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1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4</v>
      </c>
      <c r="BX621" s="4">
        <v>1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1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5">
        <v>0</v>
      </c>
    </row>
    <row r="622" spans="1:102" ht="15.75" x14ac:dyDescent="0.25">
      <c r="A622" s="4" t="s">
        <v>395</v>
      </c>
      <c r="B622" s="4" t="s">
        <v>396</v>
      </c>
      <c r="C622" s="4">
        <v>2020</v>
      </c>
      <c r="D622" s="4">
        <v>1095</v>
      </c>
      <c r="E622" s="4">
        <v>0</v>
      </c>
      <c r="F622" s="4">
        <v>0</v>
      </c>
      <c r="G622" s="4">
        <v>0</v>
      </c>
      <c r="H622" s="4">
        <v>0</v>
      </c>
      <c r="I622" s="4">
        <v>1</v>
      </c>
      <c r="J622" s="4">
        <v>0</v>
      </c>
      <c r="K622" s="4">
        <v>0</v>
      </c>
      <c r="L622" s="4">
        <v>6</v>
      </c>
      <c r="M622" s="4">
        <v>2</v>
      </c>
      <c r="N622" s="4">
        <v>5</v>
      </c>
      <c r="O622" s="4">
        <v>99</v>
      </c>
      <c r="P622" s="4">
        <v>0</v>
      </c>
      <c r="Q622" s="4">
        <v>0</v>
      </c>
      <c r="R622" s="4">
        <v>0</v>
      </c>
      <c r="S622" s="4">
        <v>0</v>
      </c>
      <c r="T622" s="4">
        <v>1</v>
      </c>
      <c r="U622" s="4">
        <v>0</v>
      </c>
      <c r="V622" s="4">
        <v>1</v>
      </c>
      <c r="W622" s="4">
        <v>2</v>
      </c>
      <c r="X622" s="4">
        <v>1</v>
      </c>
      <c r="Y622" s="4">
        <v>0</v>
      </c>
      <c r="Z622" s="4">
        <v>0</v>
      </c>
      <c r="AA622" s="4">
        <v>1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45</v>
      </c>
      <c r="AH622" s="4">
        <v>5</v>
      </c>
      <c r="AI622" s="4">
        <v>7</v>
      </c>
      <c r="AJ622" s="4">
        <v>156</v>
      </c>
      <c r="AK622" s="4">
        <v>20</v>
      </c>
      <c r="AL622" s="4">
        <v>4</v>
      </c>
      <c r="AM622" s="4">
        <v>10</v>
      </c>
      <c r="AN622" s="4">
        <v>15</v>
      </c>
      <c r="AO622" s="4">
        <v>28</v>
      </c>
      <c r="AP622" s="4">
        <v>0</v>
      </c>
      <c r="AQ622" s="4">
        <v>8</v>
      </c>
      <c r="AR622" s="4">
        <v>0</v>
      </c>
      <c r="AS622" s="4">
        <v>7</v>
      </c>
      <c r="AT622" s="4">
        <v>5</v>
      </c>
      <c r="AU622" s="4">
        <v>9</v>
      </c>
      <c r="AV622" s="4">
        <v>32</v>
      </c>
      <c r="AW622" s="4">
        <v>10</v>
      </c>
      <c r="AX622" s="4">
        <v>29</v>
      </c>
      <c r="AY622" s="4">
        <v>1</v>
      </c>
      <c r="AZ622" s="4">
        <v>22</v>
      </c>
      <c r="BA622" s="4">
        <v>0</v>
      </c>
      <c r="BB622" s="4">
        <v>97</v>
      </c>
      <c r="BC622" s="4">
        <v>10</v>
      </c>
      <c r="BD622" s="4">
        <v>0</v>
      </c>
      <c r="BE622" s="4">
        <v>16</v>
      </c>
      <c r="BF622" s="4">
        <v>25</v>
      </c>
      <c r="BG622" s="4">
        <v>5</v>
      </c>
      <c r="BH622" s="4">
        <v>7</v>
      </c>
      <c r="BI622" s="4">
        <v>0</v>
      </c>
      <c r="BJ622" s="4">
        <v>31</v>
      </c>
      <c r="BK622" s="4">
        <v>37</v>
      </c>
      <c r="BL622" s="4">
        <v>0</v>
      </c>
      <c r="BM622" s="4">
        <v>3</v>
      </c>
      <c r="BN622" s="4">
        <v>11</v>
      </c>
      <c r="BO622" s="4">
        <v>0</v>
      </c>
      <c r="BP622" s="4">
        <v>1</v>
      </c>
      <c r="BQ622" s="4">
        <v>7</v>
      </c>
      <c r="BR622" s="4">
        <v>1</v>
      </c>
      <c r="BS622" s="4">
        <v>31</v>
      </c>
      <c r="BT622" s="4">
        <v>32</v>
      </c>
      <c r="BU622" s="4">
        <v>1</v>
      </c>
      <c r="BV622" s="4">
        <v>15</v>
      </c>
      <c r="BW622" s="4">
        <v>16</v>
      </c>
      <c r="BX622" s="4">
        <v>72</v>
      </c>
      <c r="BY622" s="4">
        <v>0</v>
      </c>
      <c r="BZ622" s="4">
        <v>0</v>
      </c>
      <c r="CA622" s="4">
        <v>40</v>
      </c>
      <c r="CB622" s="4">
        <v>0</v>
      </c>
      <c r="CC622" s="4">
        <v>0</v>
      </c>
      <c r="CD622" s="4">
        <v>0</v>
      </c>
      <c r="CE622" s="4">
        <v>0</v>
      </c>
      <c r="CF622" s="4">
        <v>1</v>
      </c>
      <c r="CG622" s="4">
        <v>0</v>
      </c>
      <c r="CH622" s="4">
        <v>1</v>
      </c>
      <c r="CI622" s="4">
        <v>1</v>
      </c>
      <c r="CJ622" s="4">
        <v>4</v>
      </c>
      <c r="CK622" s="4">
        <v>1</v>
      </c>
      <c r="CL622" s="4">
        <v>0</v>
      </c>
      <c r="CM622" s="4">
        <v>9</v>
      </c>
      <c r="CN622" s="4">
        <v>45</v>
      </c>
      <c r="CO622" s="4">
        <v>1</v>
      </c>
      <c r="CP622" s="4">
        <v>0</v>
      </c>
      <c r="CQ622" s="4">
        <v>0</v>
      </c>
      <c r="CR622" s="4">
        <v>9</v>
      </c>
      <c r="CS622" s="4">
        <v>0</v>
      </c>
      <c r="CT622" s="4">
        <v>7</v>
      </c>
      <c r="CU622" s="4">
        <v>0</v>
      </c>
      <c r="CV622" s="4">
        <v>18</v>
      </c>
      <c r="CW622" s="4">
        <v>7</v>
      </c>
      <c r="CX622" s="5">
        <v>7</v>
      </c>
    </row>
    <row r="623" spans="1:102" ht="15.75" x14ac:dyDescent="0.25">
      <c r="A623" s="4" t="s">
        <v>397</v>
      </c>
      <c r="B623" s="4" t="s">
        <v>398</v>
      </c>
      <c r="C623" s="4">
        <v>2020</v>
      </c>
      <c r="D623" s="4">
        <v>1416</v>
      </c>
      <c r="E623" s="4">
        <v>4</v>
      </c>
      <c r="F623" s="4">
        <v>1</v>
      </c>
      <c r="G623" s="4">
        <v>6</v>
      </c>
      <c r="H623" s="4">
        <v>1</v>
      </c>
      <c r="I623" s="4">
        <v>10</v>
      </c>
      <c r="J623" s="4">
        <v>3</v>
      </c>
      <c r="K623" s="4">
        <v>1</v>
      </c>
      <c r="L623" s="4">
        <v>4</v>
      </c>
      <c r="M623" s="4">
        <v>2</v>
      </c>
      <c r="N623" s="4">
        <v>7</v>
      </c>
      <c r="O623" s="4">
        <v>17</v>
      </c>
      <c r="P623" s="4">
        <v>0</v>
      </c>
      <c r="Q623" s="4">
        <v>0</v>
      </c>
      <c r="R623" s="4">
        <v>1</v>
      </c>
      <c r="S623" s="4">
        <v>0</v>
      </c>
      <c r="T623" s="4">
        <v>38</v>
      </c>
      <c r="U623" s="4">
        <v>0</v>
      </c>
      <c r="V623" s="4">
        <v>3</v>
      </c>
      <c r="W623" s="4">
        <v>97</v>
      </c>
      <c r="X623" s="4">
        <v>0</v>
      </c>
      <c r="Y623" s="4">
        <v>10</v>
      </c>
      <c r="Z623" s="4">
        <v>0</v>
      </c>
      <c r="AA623" s="4">
        <v>2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9</v>
      </c>
      <c r="AH623" s="4">
        <v>85</v>
      </c>
      <c r="AI623" s="4">
        <v>11</v>
      </c>
      <c r="AJ623" s="4">
        <v>35</v>
      </c>
      <c r="AK623" s="4">
        <v>20</v>
      </c>
      <c r="AL623" s="4">
        <v>0</v>
      </c>
      <c r="AM623" s="4">
        <v>34</v>
      </c>
      <c r="AN623" s="4">
        <v>24</v>
      </c>
      <c r="AO623" s="4">
        <v>25</v>
      </c>
      <c r="AP623" s="4">
        <v>0</v>
      </c>
      <c r="AQ623" s="4">
        <v>9</v>
      </c>
      <c r="AR623" s="4">
        <v>1</v>
      </c>
      <c r="AS623" s="4">
        <v>15</v>
      </c>
      <c r="AT623" s="4">
        <v>13</v>
      </c>
      <c r="AU623" s="4">
        <v>23</v>
      </c>
      <c r="AV623" s="4">
        <v>13</v>
      </c>
      <c r="AW623" s="4">
        <v>8</v>
      </c>
      <c r="AX623" s="4">
        <v>43</v>
      </c>
      <c r="AY623" s="4">
        <v>2</v>
      </c>
      <c r="AZ623" s="4">
        <v>9</v>
      </c>
      <c r="BA623" s="4">
        <v>0</v>
      </c>
      <c r="BB623" s="4">
        <v>130</v>
      </c>
      <c r="BC623" s="4">
        <v>11</v>
      </c>
      <c r="BD623" s="4">
        <v>0</v>
      </c>
      <c r="BE623" s="4">
        <v>10</v>
      </c>
      <c r="BF623" s="4">
        <v>39</v>
      </c>
      <c r="BG623" s="4">
        <v>1</v>
      </c>
      <c r="BH623" s="4">
        <v>1</v>
      </c>
      <c r="BI623" s="4">
        <v>0</v>
      </c>
      <c r="BJ623" s="4">
        <v>54</v>
      </c>
      <c r="BK623" s="4">
        <v>38</v>
      </c>
      <c r="BL623" s="4">
        <v>0</v>
      </c>
      <c r="BM623" s="4">
        <v>2</v>
      </c>
      <c r="BN623" s="4">
        <v>9</v>
      </c>
      <c r="BO623" s="4">
        <v>0</v>
      </c>
      <c r="BP623" s="4">
        <v>4</v>
      </c>
      <c r="BQ623" s="4">
        <v>14</v>
      </c>
      <c r="BR623" s="4">
        <v>1</v>
      </c>
      <c r="BS623" s="4">
        <v>91</v>
      </c>
      <c r="BT623" s="4">
        <v>38</v>
      </c>
      <c r="BU623" s="4">
        <v>1</v>
      </c>
      <c r="BV623" s="4">
        <v>21</v>
      </c>
      <c r="BW623" s="4">
        <v>6</v>
      </c>
      <c r="BX623" s="4">
        <v>185</v>
      </c>
      <c r="BY623" s="4">
        <v>5</v>
      </c>
      <c r="BZ623" s="4">
        <v>0</v>
      </c>
      <c r="CA623" s="4">
        <v>12</v>
      </c>
      <c r="CB623" s="4">
        <v>6</v>
      </c>
      <c r="CC623" s="4">
        <v>0</v>
      </c>
      <c r="CD623" s="4">
        <v>1</v>
      </c>
      <c r="CE623" s="4">
        <v>0</v>
      </c>
      <c r="CF623" s="4">
        <v>1</v>
      </c>
      <c r="CG623" s="4">
        <v>0</v>
      </c>
      <c r="CH623" s="4">
        <v>1</v>
      </c>
      <c r="CI623" s="4">
        <v>2</v>
      </c>
      <c r="CJ623" s="4">
        <v>7</v>
      </c>
      <c r="CK623" s="4">
        <v>1</v>
      </c>
      <c r="CL623" s="4">
        <v>0</v>
      </c>
      <c r="CM623" s="4">
        <v>21</v>
      </c>
      <c r="CN623" s="4">
        <v>53</v>
      </c>
      <c r="CO623" s="4">
        <v>7</v>
      </c>
      <c r="CP623" s="4">
        <v>2</v>
      </c>
      <c r="CQ623" s="4">
        <v>0</v>
      </c>
      <c r="CR623" s="4">
        <v>13</v>
      </c>
      <c r="CS623" s="4">
        <v>4</v>
      </c>
      <c r="CT623" s="4">
        <v>6</v>
      </c>
      <c r="CU623" s="4">
        <v>2</v>
      </c>
      <c r="CV623" s="4">
        <v>19</v>
      </c>
      <c r="CW623" s="4">
        <v>9</v>
      </c>
      <c r="CX623" s="5">
        <v>9</v>
      </c>
    </row>
    <row r="624" spans="1:102" ht="15.75" x14ac:dyDescent="0.25">
      <c r="A624" s="4" t="s">
        <v>399</v>
      </c>
      <c r="B624" s="4" t="s">
        <v>400</v>
      </c>
      <c r="C624" s="4">
        <v>2020</v>
      </c>
      <c r="D624" s="4">
        <v>54</v>
      </c>
      <c r="E624" s="4">
        <v>0</v>
      </c>
      <c r="F624" s="4">
        <v>2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1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3</v>
      </c>
      <c r="AW624" s="4">
        <v>0</v>
      </c>
      <c r="AX624" s="4">
        <v>4</v>
      </c>
      <c r="AY624" s="4">
        <v>0</v>
      </c>
      <c r="AZ624" s="4">
        <v>0</v>
      </c>
      <c r="BA624" s="4">
        <v>0</v>
      </c>
      <c r="BB624" s="4">
        <v>1</v>
      </c>
      <c r="BC624" s="4">
        <v>1</v>
      </c>
      <c r="BD624" s="4">
        <v>0</v>
      </c>
      <c r="BE624" s="4">
        <v>3</v>
      </c>
      <c r="BF624" s="4">
        <v>2</v>
      </c>
      <c r="BG624" s="4">
        <v>0</v>
      </c>
      <c r="BH624" s="4">
        <v>0</v>
      </c>
      <c r="BI624" s="4">
        <v>0</v>
      </c>
      <c r="BJ624" s="4">
        <v>11</v>
      </c>
      <c r="BK624" s="4">
        <v>1</v>
      </c>
      <c r="BL624" s="4">
        <v>0</v>
      </c>
      <c r="BM624" s="4">
        <v>0</v>
      </c>
      <c r="BN624" s="4">
        <v>1</v>
      </c>
      <c r="BO624" s="4">
        <v>0</v>
      </c>
      <c r="BP624" s="4">
        <v>0</v>
      </c>
      <c r="BQ624" s="4">
        <v>2</v>
      </c>
      <c r="BR624" s="4">
        <v>0</v>
      </c>
      <c r="BS624" s="4">
        <v>2</v>
      </c>
      <c r="BT624" s="4">
        <v>2</v>
      </c>
      <c r="BU624" s="4">
        <v>0</v>
      </c>
      <c r="BV624" s="4">
        <v>0</v>
      </c>
      <c r="BW624" s="4">
        <v>5</v>
      </c>
      <c r="BX624" s="4">
        <v>2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3</v>
      </c>
      <c r="CO624" s="4">
        <v>0</v>
      </c>
      <c r="CP624" s="4">
        <v>0</v>
      </c>
      <c r="CQ624" s="4">
        <v>0</v>
      </c>
      <c r="CR624" s="4">
        <v>1</v>
      </c>
      <c r="CS624" s="4">
        <v>0</v>
      </c>
      <c r="CT624" s="4">
        <v>2</v>
      </c>
      <c r="CU624" s="4">
        <v>0</v>
      </c>
      <c r="CV624" s="4">
        <v>0</v>
      </c>
      <c r="CW624" s="4">
        <v>2</v>
      </c>
      <c r="CX624" s="5">
        <v>2</v>
      </c>
    </row>
    <row r="625" spans="1:102" ht="15.75" x14ac:dyDescent="0.25">
      <c r="A625" s="4" t="s">
        <v>401</v>
      </c>
      <c r="B625" s="4" t="s">
        <v>402</v>
      </c>
      <c r="C625" s="4">
        <v>2020</v>
      </c>
      <c r="D625" s="4">
        <v>51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1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11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2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1</v>
      </c>
      <c r="BF625" s="4">
        <v>1</v>
      </c>
      <c r="BG625" s="4">
        <v>0</v>
      </c>
      <c r="BH625" s="4">
        <v>0</v>
      </c>
      <c r="BI625" s="4">
        <v>0</v>
      </c>
      <c r="BJ625" s="4">
        <v>1</v>
      </c>
      <c r="BK625" s="4">
        <v>1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1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20</v>
      </c>
      <c r="BX625" s="4">
        <v>5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1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0</v>
      </c>
      <c r="CV625" s="4">
        <v>1</v>
      </c>
      <c r="CW625" s="4">
        <v>0</v>
      </c>
      <c r="CX625" s="5">
        <v>0</v>
      </c>
    </row>
    <row r="626" spans="1:102" ht="15.75" x14ac:dyDescent="0.25">
      <c r="A626" s="4" t="s">
        <v>403</v>
      </c>
      <c r="B626" s="4" t="s">
        <v>404</v>
      </c>
      <c r="C626" s="4">
        <v>2020</v>
      </c>
      <c r="D626" s="4">
        <v>16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1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1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1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1</v>
      </c>
      <c r="BX626" s="4">
        <v>7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5">
        <v>0</v>
      </c>
    </row>
    <row r="627" spans="1:102" ht="15.75" x14ac:dyDescent="0.25">
      <c r="A627" s="4" t="s">
        <v>405</v>
      </c>
      <c r="B627" s="4" t="s">
        <v>406</v>
      </c>
      <c r="C627" s="4">
        <v>2020</v>
      </c>
      <c r="D627" s="4">
        <v>2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1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5">
        <v>0</v>
      </c>
    </row>
    <row r="628" spans="1:102" ht="15.75" x14ac:dyDescent="0.25">
      <c r="A628" s="4" t="s">
        <v>407</v>
      </c>
      <c r="B628" s="4" t="s">
        <v>408</v>
      </c>
      <c r="C628" s="4">
        <v>2020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0</v>
      </c>
      <c r="CX628" s="5">
        <v>0</v>
      </c>
    </row>
    <row r="629" spans="1:102" ht="15.75" x14ac:dyDescent="0.25">
      <c r="A629" s="4" t="s">
        <v>409</v>
      </c>
      <c r="B629" s="4" t="s">
        <v>410</v>
      </c>
      <c r="C629" s="4">
        <v>2020</v>
      </c>
      <c r="D629" s="4">
        <v>1184</v>
      </c>
      <c r="E629" s="4">
        <v>1</v>
      </c>
      <c r="F629" s="4">
        <v>0</v>
      </c>
      <c r="G629" s="4">
        <v>7</v>
      </c>
      <c r="H629" s="4">
        <v>5</v>
      </c>
      <c r="I629" s="4">
        <v>25</v>
      </c>
      <c r="J629" s="4">
        <v>28</v>
      </c>
      <c r="K629" s="4">
        <v>0</v>
      </c>
      <c r="L629" s="4">
        <v>1</v>
      </c>
      <c r="M629" s="4">
        <v>6</v>
      </c>
      <c r="N629" s="4">
        <v>25</v>
      </c>
      <c r="O629" s="4">
        <v>14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29</v>
      </c>
      <c r="V629" s="4">
        <v>0</v>
      </c>
      <c r="W629" s="4">
        <v>1</v>
      </c>
      <c r="X629" s="4">
        <v>5</v>
      </c>
      <c r="Y629" s="4">
        <v>0</v>
      </c>
      <c r="Z629" s="4">
        <v>0</v>
      </c>
      <c r="AA629" s="4">
        <v>446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5</v>
      </c>
      <c r="AH629" s="4">
        <v>0</v>
      </c>
      <c r="AI629" s="4">
        <v>8</v>
      </c>
      <c r="AJ629" s="4">
        <v>30</v>
      </c>
      <c r="AK629" s="4">
        <v>51</v>
      </c>
      <c r="AL629" s="4">
        <v>0</v>
      </c>
      <c r="AM629" s="4">
        <v>2</v>
      </c>
      <c r="AN629" s="4">
        <v>10</v>
      </c>
      <c r="AO629" s="4">
        <v>13</v>
      </c>
      <c r="AP629" s="4">
        <v>0</v>
      </c>
      <c r="AQ629" s="4">
        <v>4</v>
      </c>
      <c r="AR629" s="4">
        <v>0</v>
      </c>
      <c r="AS629" s="4">
        <v>3</v>
      </c>
      <c r="AT629" s="4">
        <v>54</v>
      </c>
      <c r="AU629" s="4">
        <v>2</v>
      </c>
      <c r="AV629" s="4">
        <v>11</v>
      </c>
      <c r="AW629" s="4">
        <v>2</v>
      </c>
      <c r="AX629" s="4">
        <v>15</v>
      </c>
      <c r="AY629" s="4">
        <v>4</v>
      </c>
      <c r="AZ629" s="4">
        <v>30</v>
      </c>
      <c r="BA629" s="4">
        <v>0</v>
      </c>
      <c r="BB629" s="4">
        <v>37</v>
      </c>
      <c r="BC629" s="4">
        <v>10</v>
      </c>
      <c r="BD629" s="4">
        <v>0</v>
      </c>
      <c r="BE629" s="4">
        <v>13</v>
      </c>
      <c r="BF629" s="4">
        <v>29</v>
      </c>
      <c r="BG629" s="4">
        <v>1</v>
      </c>
      <c r="BH629" s="4">
        <v>1</v>
      </c>
      <c r="BI629" s="4">
        <v>1</v>
      </c>
      <c r="BJ629" s="4">
        <v>32</v>
      </c>
      <c r="BK629" s="4">
        <v>28</v>
      </c>
      <c r="BL629" s="4">
        <v>0</v>
      </c>
      <c r="BM629" s="4">
        <v>1</v>
      </c>
      <c r="BN629" s="4">
        <v>15</v>
      </c>
      <c r="BO629" s="4">
        <v>0</v>
      </c>
      <c r="BP629" s="4">
        <v>2</v>
      </c>
      <c r="BQ629" s="4">
        <v>15</v>
      </c>
      <c r="BR629" s="4">
        <v>1</v>
      </c>
      <c r="BS629" s="4">
        <v>21</v>
      </c>
      <c r="BT629" s="4">
        <v>7</v>
      </c>
      <c r="BU629" s="4">
        <v>1</v>
      </c>
      <c r="BV629" s="4">
        <v>12</v>
      </c>
      <c r="BW629" s="4">
        <v>14</v>
      </c>
      <c r="BX629" s="4">
        <v>22</v>
      </c>
      <c r="BY629" s="4">
        <v>0</v>
      </c>
      <c r="BZ629" s="4">
        <v>0</v>
      </c>
      <c r="CA629" s="4">
        <v>10</v>
      </c>
      <c r="CB629" s="4">
        <v>8</v>
      </c>
      <c r="CC629" s="4">
        <v>0</v>
      </c>
      <c r="CD629" s="4">
        <v>7</v>
      </c>
      <c r="CE629" s="4">
        <v>0</v>
      </c>
      <c r="CF629" s="4">
        <v>5</v>
      </c>
      <c r="CG629" s="4">
        <v>0</v>
      </c>
      <c r="CH629" s="4">
        <v>1</v>
      </c>
      <c r="CI629" s="4">
        <v>0</v>
      </c>
      <c r="CJ629" s="4">
        <v>4</v>
      </c>
      <c r="CK629" s="4">
        <v>1</v>
      </c>
      <c r="CL629" s="4">
        <v>0</v>
      </c>
      <c r="CM629" s="4">
        <v>5</v>
      </c>
      <c r="CN629" s="4">
        <v>14</v>
      </c>
      <c r="CO629" s="4">
        <v>5</v>
      </c>
      <c r="CP629" s="4">
        <v>1</v>
      </c>
      <c r="CQ629" s="4">
        <v>0</v>
      </c>
      <c r="CR629" s="4">
        <v>0</v>
      </c>
      <c r="CS629" s="4">
        <v>1</v>
      </c>
      <c r="CT629" s="4">
        <v>3</v>
      </c>
      <c r="CU629" s="4">
        <v>0</v>
      </c>
      <c r="CV629" s="4">
        <v>11</v>
      </c>
      <c r="CW629" s="4">
        <v>4</v>
      </c>
      <c r="CX629" s="5">
        <v>4</v>
      </c>
    </row>
    <row r="630" spans="1:102" ht="15.75" x14ac:dyDescent="0.25">
      <c r="A630" s="4" t="s">
        <v>411</v>
      </c>
      <c r="B630" s="4" t="s">
        <v>412</v>
      </c>
      <c r="C630" s="4">
        <v>2020</v>
      </c>
      <c r="D630" s="4">
        <v>3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1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1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5">
        <v>0</v>
      </c>
    </row>
    <row r="631" spans="1:102" ht="15.75" x14ac:dyDescent="0.25">
      <c r="A631" s="4" t="s">
        <v>413</v>
      </c>
      <c r="B631" s="4" t="s">
        <v>414</v>
      </c>
      <c r="C631" s="4">
        <v>2020</v>
      </c>
      <c r="D631" s="4">
        <v>20365</v>
      </c>
      <c r="E631" s="4">
        <v>20</v>
      </c>
      <c r="F631" s="4">
        <v>176</v>
      </c>
      <c r="G631" s="4">
        <v>205</v>
      </c>
      <c r="H631" s="4">
        <v>112</v>
      </c>
      <c r="I631" s="4">
        <v>182</v>
      </c>
      <c r="J631" s="4">
        <v>139</v>
      </c>
      <c r="K631" s="4">
        <v>28</v>
      </c>
      <c r="L631" s="4">
        <v>186</v>
      </c>
      <c r="M631" s="4">
        <v>68</v>
      </c>
      <c r="N631" s="4">
        <v>159</v>
      </c>
      <c r="O631" s="4">
        <v>329</v>
      </c>
      <c r="P631" s="4">
        <v>1</v>
      </c>
      <c r="Q631" s="4">
        <v>13</v>
      </c>
      <c r="R631" s="4">
        <v>6</v>
      </c>
      <c r="S631" s="4">
        <v>1</v>
      </c>
      <c r="T631" s="4">
        <v>25</v>
      </c>
      <c r="U631" s="4">
        <v>5</v>
      </c>
      <c r="V631" s="4">
        <v>27</v>
      </c>
      <c r="W631" s="4">
        <v>66</v>
      </c>
      <c r="X631" s="4">
        <v>62</v>
      </c>
      <c r="Y631" s="4">
        <v>6</v>
      </c>
      <c r="Z631" s="4">
        <v>5811</v>
      </c>
      <c r="AA631" s="4">
        <v>1788</v>
      </c>
      <c r="AB631" s="4">
        <v>377</v>
      </c>
      <c r="AC631" s="4">
        <v>16</v>
      </c>
      <c r="AD631" s="4">
        <v>69</v>
      </c>
      <c r="AE631" s="4">
        <v>45</v>
      </c>
      <c r="AF631" s="4">
        <v>39</v>
      </c>
      <c r="AG631" s="4">
        <v>678</v>
      </c>
      <c r="AH631" s="4">
        <v>67</v>
      </c>
      <c r="AI631" s="4">
        <v>179</v>
      </c>
      <c r="AJ631" s="4">
        <v>1296</v>
      </c>
      <c r="AK631" s="4">
        <v>250</v>
      </c>
      <c r="AL631" s="4">
        <v>23</v>
      </c>
      <c r="AM631" s="4">
        <v>203</v>
      </c>
      <c r="AN631" s="4">
        <v>185</v>
      </c>
      <c r="AO631" s="4">
        <v>313</v>
      </c>
      <c r="AP631" s="4">
        <v>10</v>
      </c>
      <c r="AQ631" s="4">
        <v>93</v>
      </c>
      <c r="AR631" s="4">
        <v>20</v>
      </c>
      <c r="AS631" s="4">
        <v>120</v>
      </c>
      <c r="AT631" s="4">
        <v>233</v>
      </c>
      <c r="AU631" s="4">
        <v>86</v>
      </c>
      <c r="AV631" s="4">
        <v>370</v>
      </c>
      <c r="AW631" s="4">
        <v>263</v>
      </c>
      <c r="AX631" s="4">
        <v>323</v>
      </c>
      <c r="AY631" s="4">
        <v>3</v>
      </c>
      <c r="AZ631" s="4">
        <v>21</v>
      </c>
      <c r="BA631" s="4">
        <v>0</v>
      </c>
      <c r="BB631" s="4">
        <v>263</v>
      </c>
      <c r="BC631" s="4">
        <v>44</v>
      </c>
      <c r="BD631" s="4">
        <v>4</v>
      </c>
      <c r="BE631" s="4">
        <v>54</v>
      </c>
      <c r="BF631" s="4">
        <v>181</v>
      </c>
      <c r="BG631" s="4">
        <v>9</v>
      </c>
      <c r="BH631" s="4">
        <v>10</v>
      </c>
      <c r="BI631" s="4">
        <v>2</v>
      </c>
      <c r="BJ631" s="4">
        <v>221</v>
      </c>
      <c r="BK631" s="4">
        <v>348</v>
      </c>
      <c r="BL631" s="4">
        <v>0</v>
      </c>
      <c r="BM631" s="4">
        <v>230</v>
      </c>
      <c r="BN631" s="4">
        <v>315</v>
      </c>
      <c r="BO631" s="4">
        <v>5</v>
      </c>
      <c r="BP631" s="4">
        <v>22</v>
      </c>
      <c r="BQ631" s="4">
        <v>314</v>
      </c>
      <c r="BR631" s="4">
        <v>51</v>
      </c>
      <c r="BS631" s="4">
        <v>318</v>
      </c>
      <c r="BT631" s="4">
        <v>189</v>
      </c>
      <c r="BU631" s="4">
        <v>41</v>
      </c>
      <c r="BV631" s="4">
        <v>160</v>
      </c>
      <c r="BW631" s="4">
        <v>88</v>
      </c>
      <c r="BX631" s="4">
        <v>900</v>
      </c>
      <c r="BY631" s="4">
        <v>1</v>
      </c>
      <c r="BZ631" s="4">
        <v>0</v>
      </c>
      <c r="CA631" s="4">
        <v>109</v>
      </c>
      <c r="CB631" s="4">
        <v>14</v>
      </c>
      <c r="CC631" s="4">
        <v>1</v>
      </c>
      <c r="CD631" s="4">
        <v>29</v>
      </c>
      <c r="CE631" s="4">
        <v>4</v>
      </c>
      <c r="CF631" s="4">
        <v>27</v>
      </c>
      <c r="CG631" s="4">
        <v>6</v>
      </c>
      <c r="CH631" s="4">
        <v>24</v>
      </c>
      <c r="CI631" s="4">
        <v>28</v>
      </c>
      <c r="CJ631" s="4">
        <v>302</v>
      </c>
      <c r="CK631" s="4">
        <v>99</v>
      </c>
      <c r="CL631" s="4">
        <v>1</v>
      </c>
      <c r="CM631" s="4">
        <v>27</v>
      </c>
      <c r="CN631" s="4">
        <v>352</v>
      </c>
      <c r="CO631" s="4">
        <v>37</v>
      </c>
      <c r="CP631" s="4">
        <v>71</v>
      </c>
      <c r="CQ631" s="4">
        <v>0</v>
      </c>
      <c r="CR631" s="4">
        <v>17</v>
      </c>
      <c r="CS631" s="4">
        <v>27</v>
      </c>
      <c r="CT631" s="4">
        <v>202</v>
      </c>
      <c r="CU631" s="4">
        <v>23</v>
      </c>
      <c r="CV631" s="4">
        <v>481</v>
      </c>
      <c r="CW631" s="4">
        <v>18</v>
      </c>
      <c r="CX631" s="5">
        <v>18</v>
      </c>
    </row>
    <row r="632" spans="1:102" ht="15.75" x14ac:dyDescent="0.25">
      <c r="A632" s="4" t="s">
        <v>415</v>
      </c>
      <c r="B632" s="4" t="s">
        <v>416</v>
      </c>
      <c r="C632" s="4">
        <v>2020</v>
      </c>
      <c r="D632" s="4">
        <v>3901</v>
      </c>
      <c r="E632" s="4">
        <v>3</v>
      </c>
      <c r="F632" s="4">
        <v>0</v>
      </c>
      <c r="G632" s="4">
        <v>2</v>
      </c>
      <c r="H632" s="4">
        <v>8</v>
      </c>
      <c r="I632" s="4">
        <v>11</v>
      </c>
      <c r="J632" s="4">
        <v>16</v>
      </c>
      <c r="K632" s="4">
        <v>73</v>
      </c>
      <c r="L632" s="4">
        <v>13</v>
      </c>
      <c r="M632" s="4">
        <v>141</v>
      </c>
      <c r="N632" s="4">
        <v>17</v>
      </c>
      <c r="O632" s="4">
        <v>56</v>
      </c>
      <c r="P632" s="4">
        <v>0</v>
      </c>
      <c r="Q632" s="4">
        <v>0</v>
      </c>
      <c r="R632" s="4">
        <v>1</v>
      </c>
      <c r="S632" s="4">
        <v>1</v>
      </c>
      <c r="T632" s="4">
        <v>0</v>
      </c>
      <c r="U632" s="4">
        <v>1</v>
      </c>
      <c r="V632" s="4">
        <v>6</v>
      </c>
      <c r="W632" s="4">
        <v>16</v>
      </c>
      <c r="X632" s="4">
        <v>2</v>
      </c>
      <c r="Y632" s="4">
        <v>14</v>
      </c>
      <c r="Z632" s="4">
        <v>323</v>
      </c>
      <c r="AA632" s="4">
        <v>36</v>
      </c>
      <c r="AB632" s="4">
        <v>41</v>
      </c>
      <c r="AC632" s="4">
        <v>0</v>
      </c>
      <c r="AD632" s="4">
        <v>0</v>
      </c>
      <c r="AE632" s="4">
        <v>6</v>
      </c>
      <c r="AF632" s="4">
        <v>8</v>
      </c>
      <c r="AG632" s="4">
        <v>16</v>
      </c>
      <c r="AH632" s="4">
        <v>7</v>
      </c>
      <c r="AI632" s="4">
        <v>34</v>
      </c>
      <c r="AJ632" s="4">
        <v>39</v>
      </c>
      <c r="AK632" s="4">
        <v>46</v>
      </c>
      <c r="AL632" s="4">
        <v>0</v>
      </c>
      <c r="AM632" s="4">
        <v>26</v>
      </c>
      <c r="AN632" s="4">
        <v>24</v>
      </c>
      <c r="AO632" s="4">
        <v>102</v>
      </c>
      <c r="AP632" s="4">
        <v>1</v>
      </c>
      <c r="AQ632" s="4">
        <v>20</v>
      </c>
      <c r="AR632" s="4">
        <v>8</v>
      </c>
      <c r="AS632" s="4">
        <v>8</v>
      </c>
      <c r="AT632" s="4">
        <v>24</v>
      </c>
      <c r="AU632" s="4">
        <v>21</v>
      </c>
      <c r="AV632" s="4">
        <v>153</v>
      </c>
      <c r="AW632" s="4">
        <v>56</v>
      </c>
      <c r="AX632" s="4">
        <v>165</v>
      </c>
      <c r="AY632" s="4">
        <v>3</v>
      </c>
      <c r="AZ632" s="4">
        <v>14</v>
      </c>
      <c r="BA632" s="4">
        <v>0</v>
      </c>
      <c r="BB632" s="4">
        <v>242</v>
      </c>
      <c r="BC632" s="4">
        <v>14</v>
      </c>
      <c r="BD632" s="4">
        <v>2</v>
      </c>
      <c r="BE632" s="4">
        <v>82</v>
      </c>
      <c r="BF632" s="4">
        <v>171</v>
      </c>
      <c r="BG632" s="4">
        <v>3</v>
      </c>
      <c r="BH632" s="4">
        <v>7</v>
      </c>
      <c r="BI632" s="4">
        <v>3</v>
      </c>
      <c r="BJ632" s="4">
        <v>253</v>
      </c>
      <c r="BK632" s="4">
        <v>95</v>
      </c>
      <c r="BL632" s="4">
        <v>0</v>
      </c>
      <c r="BM632" s="4">
        <v>3</v>
      </c>
      <c r="BN632" s="4">
        <v>57</v>
      </c>
      <c r="BO632" s="4">
        <v>0</v>
      </c>
      <c r="BP632" s="4">
        <v>8</v>
      </c>
      <c r="BQ632" s="4">
        <v>54</v>
      </c>
      <c r="BR632" s="4">
        <v>4</v>
      </c>
      <c r="BS632" s="4">
        <v>160</v>
      </c>
      <c r="BT632" s="4">
        <v>30</v>
      </c>
      <c r="BU632" s="4">
        <v>6</v>
      </c>
      <c r="BV632" s="4">
        <v>17</v>
      </c>
      <c r="BW632" s="4">
        <v>56</v>
      </c>
      <c r="BX632" s="4">
        <v>213</v>
      </c>
      <c r="BY632" s="4">
        <v>2</v>
      </c>
      <c r="BZ632" s="4">
        <v>0</v>
      </c>
      <c r="CA632" s="4">
        <v>397</v>
      </c>
      <c r="CB632" s="4">
        <v>73</v>
      </c>
      <c r="CC632" s="4">
        <v>0</v>
      </c>
      <c r="CD632" s="4">
        <v>10</v>
      </c>
      <c r="CE632" s="4">
        <v>0</v>
      </c>
      <c r="CF632" s="4">
        <v>6</v>
      </c>
      <c r="CG632" s="4">
        <v>1</v>
      </c>
      <c r="CH632" s="4">
        <v>3</v>
      </c>
      <c r="CI632" s="4">
        <v>5</v>
      </c>
      <c r="CJ632" s="4">
        <v>20</v>
      </c>
      <c r="CK632" s="4">
        <v>4</v>
      </c>
      <c r="CL632" s="4">
        <v>0</v>
      </c>
      <c r="CM632" s="4">
        <v>35</v>
      </c>
      <c r="CN632" s="4">
        <v>116</v>
      </c>
      <c r="CO632" s="4">
        <v>9</v>
      </c>
      <c r="CP632" s="4">
        <v>4</v>
      </c>
      <c r="CQ632" s="4">
        <v>0</v>
      </c>
      <c r="CR632" s="4">
        <v>13</v>
      </c>
      <c r="CS632" s="4">
        <v>19</v>
      </c>
      <c r="CT632" s="4">
        <v>20</v>
      </c>
      <c r="CU632" s="4">
        <v>1</v>
      </c>
      <c r="CV632" s="4">
        <v>67</v>
      </c>
      <c r="CW632" s="4">
        <v>53</v>
      </c>
      <c r="CX632" s="5">
        <v>53</v>
      </c>
    </row>
    <row r="633" spans="1:102" ht="15.75" x14ac:dyDescent="0.25">
      <c r="A633" s="4" t="s">
        <v>417</v>
      </c>
      <c r="B633" s="4" t="s">
        <v>418</v>
      </c>
      <c r="C633" s="4">
        <v>2020</v>
      </c>
      <c r="D633" s="4">
        <v>8</v>
      </c>
      <c r="E633" s="4">
        <v>1</v>
      </c>
      <c r="F633" s="4">
        <v>0</v>
      </c>
      <c r="G633" s="4">
        <v>0</v>
      </c>
      <c r="H633" s="4">
        <v>0</v>
      </c>
      <c r="I633" s="4">
        <v>1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1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1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1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5">
        <v>0</v>
      </c>
    </row>
    <row r="634" spans="1:102" ht="15.75" x14ac:dyDescent="0.25">
      <c r="A634" s="4" t="s">
        <v>419</v>
      </c>
      <c r="B634" s="4" t="s">
        <v>420</v>
      </c>
      <c r="C634" s="4">
        <v>2020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0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5">
        <v>0</v>
      </c>
    </row>
    <row r="635" spans="1:102" ht="15.75" x14ac:dyDescent="0.25">
      <c r="A635" s="4" t="s">
        <v>421</v>
      </c>
      <c r="B635" s="4" t="s">
        <v>422</v>
      </c>
      <c r="C635" s="4">
        <v>2020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5">
        <v>0</v>
      </c>
    </row>
    <row r="636" spans="1:102" ht="15.75" x14ac:dyDescent="0.25">
      <c r="A636" s="4" t="s">
        <v>423</v>
      </c>
      <c r="B636" s="4" t="s">
        <v>424</v>
      </c>
      <c r="C636" s="4">
        <v>2020</v>
      </c>
      <c r="D636" s="4">
        <v>769</v>
      </c>
      <c r="E636" s="4">
        <v>1</v>
      </c>
      <c r="F636" s="4">
        <v>2</v>
      </c>
      <c r="G636" s="4">
        <v>7</v>
      </c>
      <c r="H636" s="4">
        <v>0</v>
      </c>
      <c r="I636" s="4">
        <v>5</v>
      </c>
      <c r="J636" s="4">
        <v>1</v>
      </c>
      <c r="K636" s="4">
        <v>3</v>
      </c>
      <c r="L636" s="4">
        <v>7</v>
      </c>
      <c r="M636" s="4">
        <v>7</v>
      </c>
      <c r="N636" s="4">
        <v>8</v>
      </c>
      <c r="O636" s="4">
        <v>22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1</v>
      </c>
      <c r="X636" s="4">
        <v>1</v>
      </c>
      <c r="Y636" s="4">
        <v>0</v>
      </c>
      <c r="Z636" s="4">
        <v>0</v>
      </c>
      <c r="AA636" s="4">
        <v>4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1</v>
      </c>
      <c r="AH636" s="4">
        <v>1</v>
      </c>
      <c r="AI636" s="4">
        <v>6</v>
      </c>
      <c r="AJ636" s="4">
        <v>33</v>
      </c>
      <c r="AK636" s="4">
        <v>12</v>
      </c>
      <c r="AL636" s="4">
        <v>2</v>
      </c>
      <c r="AM636" s="4">
        <v>3</v>
      </c>
      <c r="AN636" s="4">
        <v>9</v>
      </c>
      <c r="AO636" s="4">
        <v>14</v>
      </c>
      <c r="AP636" s="4">
        <v>1</v>
      </c>
      <c r="AQ636" s="4">
        <v>4</v>
      </c>
      <c r="AR636" s="4">
        <v>1</v>
      </c>
      <c r="AS636" s="4">
        <v>6</v>
      </c>
      <c r="AT636" s="4">
        <v>9</v>
      </c>
      <c r="AU636" s="4">
        <v>19</v>
      </c>
      <c r="AV636" s="4">
        <v>7</v>
      </c>
      <c r="AW636" s="4">
        <v>2</v>
      </c>
      <c r="AX636" s="4">
        <v>17</v>
      </c>
      <c r="AY636" s="4">
        <v>0</v>
      </c>
      <c r="AZ636" s="4">
        <v>2</v>
      </c>
      <c r="BA636" s="4">
        <v>0</v>
      </c>
      <c r="BB636" s="4">
        <v>67</v>
      </c>
      <c r="BC636" s="4">
        <v>4</v>
      </c>
      <c r="BD636" s="4">
        <v>1</v>
      </c>
      <c r="BE636" s="4">
        <v>8</v>
      </c>
      <c r="BF636" s="4">
        <v>40</v>
      </c>
      <c r="BG636" s="4">
        <v>0</v>
      </c>
      <c r="BH636" s="4">
        <v>3</v>
      </c>
      <c r="BI636" s="4">
        <v>1</v>
      </c>
      <c r="BJ636" s="4">
        <v>13</v>
      </c>
      <c r="BK636" s="4">
        <v>26</v>
      </c>
      <c r="BL636" s="4">
        <v>0</v>
      </c>
      <c r="BM636" s="4">
        <v>1</v>
      </c>
      <c r="BN636" s="4">
        <v>2</v>
      </c>
      <c r="BO636" s="4">
        <v>1</v>
      </c>
      <c r="BP636" s="4">
        <v>1</v>
      </c>
      <c r="BQ636" s="4">
        <v>5</v>
      </c>
      <c r="BR636" s="4">
        <v>2</v>
      </c>
      <c r="BS636" s="4">
        <v>15</v>
      </c>
      <c r="BT636" s="4">
        <v>8</v>
      </c>
      <c r="BU636" s="4">
        <v>24</v>
      </c>
      <c r="BV636" s="4">
        <v>16</v>
      </c>
      <c r="BW636" s="4">
        <v>28</v>
      </c>
      <c r="BX636" s="4">
        <v>153</v>
      </c>
      <c r="BY636" s="4">
        <v>0</v>
      </c>
      <c r="BZ636" s="4">
        <v>0</v>
      </c>
      <c r="CA636" s="4">
        <v>16</v>
      </c>
      <c r="CB636" s="4">
        <v>2</v>
      </c>
      <c r="CC636" s="4">
        <v>0</v>
      </c>
      <c r="CD636" s="4">
        <v>3</v>
      </c>
      <c r="CE636" s="4">
        <v>0</v>
      </c>
      <c r="CF636" s="4">
        <v>4</v>
      </c>
      <c r="CG636" s="4">
        <v>1</v>
      </c>
      <c r="CH636" s="4">
        <v>1</v>
      </c>
      <c r="CI636" s="4">
        <v>1</v>
      </c>
      <c r="CJ636" s="4">
        <v>30</v>
      </c>
      <c r="CK636" s="4">
        <v>2</v>
      </c>
      <c r="CL636" s="4">
        <v>0</v>
      </c>
      <c r="CM636" s="4">
        <v>3</v>
      </c>
      <c r="CN636" s="4">
        <v>21</v>
      </c>
      <c r="CO636" s="4">
        <v>1</v>
      </c>
      <c r="CP636" s="4">
        <v>1</v>
      </c>
      <c r="CQ636" s="4">
        <v>0</v>
      </c>
      <c r="CR636" s="4">
        <v>3</v>
      </c>
      <c r="CS636" s="4">
        <v>2</v>
      </c>
      <c r="CT636" s="4">
        <v>8</v>
      </c>
      <c r="CU636" s="4">
        <v>0</v>
      </c>
      <c r="CV636" s="4">
        <v>26</v>
      </c>
      <c r="CW636" s="4">
        <v>8</v>
      </c>
      <c r="CX636" s="5">
        <v>8</v>
      </c>
    </row>
    <row r="637" spans="1:102" ht="15.75" x14ac:dyDescent="0.25">
      <c r="A637" s="4" t="s">
        <v>425</v>
      </c>
      <c r="B637" s="4" t="s">
        <v>426</v>
      </c>
      <c r="C637" s="4">
        <v>2020</v>
      </c>
      <c r="D637" s="4">
        <v>463</v>
      </c>
      <c r="E637" s="4">
        <v>0</v>
      </c>
      <c r="F637" s="4">
        <v>0</v>
      </c>
      <c r="G637" s="4">
        <v>1</v>
      </c>
      <c r="H637" s="4">
        <v>0</v>
      </c>
      <c r="I637" s="4">
        <v>8</v>
      </c>
      <c r="J637" s="4">
        <v>2</v>
      </c>
      <c r="K637" s="4">
        <v>0</v>
      </c>
      <c r="L637" s="4">
        <v>2</v>
      </c>
      <c r="M637" s="4">
        <v>0</v>
      </c>
      <c r="N637" s="4">
        <v>5</v>
      </c>
      <c r="O637" s="4">
        <v>4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1</v>
      </c>
      <c r="W637" s="4">
        <v>1</v>
      </c>
      <c r="X637" s="4">
        <v>0</v>
      </c>
      <c r="Y637" s="4">
        <v>0</v>
      </c>
      <c r="Z637" s="4">
        <v>0</v>
      </c>
      <c r="AA637" s="4">
        <v>1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1</v>
      </c>
      <c r="AH637" s="4">
        <v>0</v>
      </c>
      <c r="AI637" s="4">
        <v>2</v>
      </c>
      <c r="AJ637" s="4">
        <v>22</v>
      </c>
      <c r="AK637" s="4">
        <v>5</v>
      </c>
      <c r="AL637" s="4">
        <v>0</v>
      </c>
      <c r="AM637" s="4">
        <v>3</v>
      </c>
      <c r="AN637" s="4">
        <v>1</v>
      </c>
      <c r="AO637" s="4">
        <v>6</v>
      </c>
      <c r="AP637" s="4">
        <v>0</v>
      </c>
      <c r="AQ637" s="4">
        <v>6</v>
      </c>
      <c r="AR637" s="4">
        <v>1</v>
      </c>
      <c r="AS637" s="4">
        <v>1</v>
      </c>
      <c r="AT637" s="4">
        <v>2</v>
      </c>
      <c r="AU637" s="4">
        <v>3</v>
      </c>
      <c r="AV637" s="4">
        <v>2</v>
      </c>
      <c r="AW637" s="4">
        <v>4</v>
      </c>
      <c r="AX637" s="4">
        <v>12</v>
      </c>
      <c r="AY637" s="4">
        <v>1</v>
      </c>
      <c r="AZ637" s="4">
        <v>4</v>
      </c>
      <c r="BA637" s="4">
        <v>0</v>
      </c>
      <c r="BB637" s="4">
        <v>36</v>
      </c>
      <c r="BC637" s="4">
        <v>1</v>
      </c>
      <c r="BD637" s="4">
        <v>0</v>
      </c>
      <c r="BE637" s="4">
        <v>7</v>
      </c>
      <c r="BF637" s="4">
        <v>7</v>
      </c>
      <c r="BG637" s="4">
        <v>0</v>
      </c>
      <c r="BH637" s="4">
        <v>1</v>
      </c>
      <c r="BI637" s="4">
        <v>1</v>
      </c>
      <c r="BJ637" s="4">
        <v>18</v>
      </c>
      <c r="BK637" s="4">
        <v>26</v>
      </c>
      <c r="BL637" s="4">
        <v>0</v>
      </c>
      <c r="BM637" s="4">
        <v>0</v>
      </c>
      <c r="BN637" s="4">
        <v>2</v>
      </c>
      <c r="BO637" s="4">
        <v>0</v>
      </c>
      <c r="BP637" s="4">
        <v>2</v>
      </c>
      <c r="BQ637" s="4">
        <v>13</v>
      </c>
      <c r="BR637" s="4">
        <v>1</v>
      </c>
      <c r="BS637" s="4">
        <v>23</v>
      </c>
      <c r="BT637" s="4">
        <v>10</v>
      </c>
      <c r="BU637" s="4">
        <v>0</v>
      </c>
      <c r="BV637" s="4">
        <v>1</v>
      </c>
      <c r="BW637" s="4">
        <v>1</v>
      </c>
      <c r="BX637" s="4">
        <v>37</v>
      </c>
      <c r="BY637" s="4">
        <v>0</v>
      </c>
      <c r="BZ637" s="4">
        <v>0</v>
      </c>
      <c r="CA637" s="4">
        <v>73</v>
      </c>
      <c r="CB637" s="4">
        <v>15</v>
      </c>
      <c r="CC637" s="4">
        <v>0</v>
      </c>
      <c r="CD637" s="4">
        <v>3</v>
      </c>
      <c r="CE637" s="4">
        <v>0</v>
      </c>
      <c r="CF637" s="4">
        <v>0</v>
      </c>
      <c r="CG637" s="4">
        <v>1</v>
      </c>
      <c r="CH637" s="4">
        <v>1</v>
      </c>
      <c r="CI637" s="4">
        <v>1</v>
      </c>
      <c r="CJ637" s="4">
        <v>2</v>
      </c>
      <c r="CK637" s="4">
        <v>1</v>
      </c>
      <c r="CL637" s="4">
        <v>0</v>
      </c>
      <c r="CM637" s="4">
        <v>11</v>
      </c>
      <c r="CN637" s="4">
        <v>28</v>
      </c>
      <c r="CO637" s="4">
        <v>5</v>
      </c>
      <c r="CP637" s="4">
        <v>0</v>
      </c>
      <c r="CQ637" s="4">
        <v>0</v>
      </c>
      <c r="CR637" s="4">
        <v>0</v>
      </c>
      <c r="CS637" s="4">
        <v>18</v>
      </c>
      <c r="CT637" s="4">
        <v>1</v>
      </c>
      <c r="CU637" s="4">
        <v>0</v>
      </c>
      <c r="CV637" s="4">
        <v>6</v>
      </c>
      <c r="CW637" s="4">
        <v>4</v>
      </c>
      <c r="CX637" s="5">
        <v>4</v>
      </c>
    </row>
    <row r="638" spans="1:102" ht="15.75" x14ac:dyDescent="0.25">
      <c r="A638" s="4" t="s">
        <v>427</v>
      </c>
      <c r="B638" s="4" t="s">
        <v>428</v>
      </c>
      <c r="C638" s="4">
        <v>2020</v>
      </c>
      <c r="D638" s="4">
        <v>109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</v>
      </c>
      <c r="O638" s="4">
        <v>34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38</v>
      </c>
      <c r="AK638" s="4">
        <v>2</v>
      </c>
      <c r="AL638" s="4">
        <v>0</v>
      </c>
      <c r="AM638" s="4">
        <v>0</v>
      </c>
      <c r="AN638" s="4">
        <v>1</v>
      </c>
      <c r="AO638" s="4">
        <v>3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1</v>
      </c>
      <c r="BC638" s="4">
        <v>0</v>
      </c>
      <c r="BD638" s="4">
        <v>0</v>
      </c>
      <c r="BE638" s="4">
        <v>1</v>
      </c>
      <c r="BF638" s="4">
        <v>0</v>
      </c>
      <c r="BG638" s="4">
        <v>1</v>
      </c>
      <c r="BH638" s="4">
        <v>0</v>
      </c>
      <c r="BI638" s="4">
        <v>0</v>
      </c>
      <c r="BJ638" s="4">
        <v>1</v>
      </c>
      <c r="BK638" s="4">
        <v>6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1</v>
      </c>
      <c r="BT638" s="4">
        <v>1</v>
      </c>
      <c r="BU638" s="4">
        <v>0</v>
      </c>
      <c r="BV638" s="4">
        <v>0</v>
      </c>
      <c r="BW638" s="4">
        <v>3</v>
      </c>
      <c r="BX638" s="4">
        <v>4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1</v>
      </c>
      <c r="CO638" s="4">
        <v>0</v>
      </c>
      <c r="CP638" s="4">
        <v>0</v>
      </c>
      <c r="CQ638" s="4">
        <v>0</v>
      </c>
      <c r="CR638" s="4">
        <v>0</v>
      </c>
      <c r="CS638" s="4">
        <v>0</v>
      </c>
      <c r="CT638" s="4">
        <v>1</v>
      </c>
      <c r="CU638" s="4">
        <v>0</v>
      </c>
      <c r="CV638" s="4">
        <v>1</v>
      </c>
      <c r="CW638" s="4">
        <v>0</v>
      </c>
      <c r="CX638" s="5">
        <v>0</v>
      </c>
    </row>
    <row r="639" spans="1:102" ht="15.75" x14ac:dyDescent="0.25">
      <c r="A639" s="4" t="s">
        <v>429</v>
      </c>
      <c r="B639" s="4" t="s">
        <v>430</v>
      </c>
      <c r="C639" s="4">
        <v>2020</v>
      </c>
      <c r="D639" s="4">
        <v>126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2</v>
      </c>
      <c r="M639" s="4">
        <v>0</v>
      </c>
      <c r="N639" s="4">
        <v>2</v>
      </c>
      <c r="O639" s="4">
        <v>13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1</v>
      </c>
      <c r="V639" s="4">
        <v>1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2</v>
      </c>
      <c r="AH639" s="4">
        <v>1</v>
      </c>
      <c r="AI639" s="4">
        <v>2</v>
      </c>
      <c r="AJ639" s="4">
        <v>12</v>
      </c>
      <c r="AK639" s="4">
        <v>4</v>
      </c>
      <c r="AL639" s="4">
        <v>1</v>
      </c>
      <c r="AM639" s="4">
        <v>4</v>
      </c>
      <c r="AN639" s="4">
        <v>1</v>
      </c>
      <c r="AO639" s="4">
        <v>8</v>
      </c>
      <c r="AP639" s="4">
        <v>0</v>
      </c>
      <c r="AQ639" s="4">
        <v>0</v>
      </c>
      <c r="AR639" s="4">
        <v>0</v>
      </c>
      <c r="AS639" s="4">
        <v>1</v>
      </c>
      <c r="AT639" s="4">
        <v>1</v>
      </c>
      <c r="AU639" s="4">
        <v>1</v>
      </c>
      <c r="AV639" s="4">
        <v>1</v>
      </c>
      <c r="AW639" s="4">
        <v>1</v>
      </c>
      <c r="AX639" s="4">
        <v>3</v>
      </c>
      <c r="AY639" s="4">
        <v>0</v>
      </c>
      <c r="AZ639" s="4">
        <v>2</v>
      </c>
      <c r="BA639" s="4">
        <v>0</v>
      </c>
      <c r="BB639" s="4">
        <v>3</v>
      </c>
      <c r="BC639" s="4">
        <v>2</v>
      </c>
      <c r="BD639" s="4">
        <v>0</v>
      </c>
      <c r="BE639" s="4">
        <v>2</v>
      </c>
      <c r="BF639" s="4">
        <v>4</v>
      </c>
      <c r="BG639" s="4">
        <v>0</v>
      </c>
      <c r="BH639" s="4">
        <v>1</v>
      </c>
      <c r="BI639" s="4">
        <v>0</v>
      </c>
      <c r="BJ639" s="4">
        <v>5</v>
      </c>
      <c r="BK639" s="4">
        <v>7</v>
      </c>
      <c r="BL639" s="4">
        <v>0</v>
      </c>
      <c r="BM639" s="4">
        <v>0</v>
      </c>
      <c r="BN639" s="4">
        <v>3</v>
      </c>
      <c r="BO639" s="4">
        <v>0</v>
      </c>
      <c r="BP639" s="4">
        <v>0</v>
      </c>
      <c r="BQ639" s="4">
        <v>1</v>
      </c>
      <c r="BR639" s="4">
        <v>0</v>
      </c>
      <c r="BS639" s="4">
        <v>3</v>
      </c>
      <c r="BT639" s="4">
        <v>1</v>
      </c>
      <c r="BU639" s="4">
        <v>0</v>
      </c>
      <c r="BV639" s="4">
        <v>1</v>
      </c>
      <c r="BW639" s="4">
        <v>0</v>
      </c>
      <c r="BX639" s="4">
        <v>11</v>
      </c>
      <c r="BY639" s="4">
        <v>0</v>
      </c>
      <c r="BZ639" s="4">
        <v>1</v>
      </c>
      <c r="CA639" s="4">
        <v>0</v>
      </c>
      <c r="CB639" s="4">
        <v>1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1</v>
      </c>
      <c r="CN639" s="4">
        <v>8</v>
      </c>
      <c r="CO639" s="4">
        <v>0</v>
      </c>
      <c r="CP639" s="4">
        <v>0</v>
      </c>
      <c r="CQ639" s="4">
        <v>0</v>
      </c>
      <c r="CR639" s="4">
        <v>1</v>
      </c>
      <c r="CS639" s="4">
        <v>0</v>
      </c>
      <c r="CT639" s="4">
        <v>1</v>
      </c>
      <c r="CU639" s="4">
        <v>1</v>
      </c>
      <c r="CV639" s="4">
        <v>4</v>
      </c>
      <c r="CW639" s="4">
        <v>1</v>
      </c>
      <c r="CX639" s="5">
        <v>1</v>
      </c>
    </row>
    <row r="640" spans="1:102" ht="15.75" x14ac:dyDescent="0.25">
      <c r="A640" s="4" t="s">
        <v>431</v>
      </c>
      <c r="B640" s="4" t="s">
        <v>432</v>
      </c>
      <c r="C640" s="4">
        <v>2020</v>
      </c>
      <c r="D640" s="4">
        <v>6</v>
      </c>
      <c r="E640" s="4">
        <v>0</v>
      </c>
      <c r="F640" s="4">
        <v>3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1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1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5">
        <v>0</v>
      </c>
    </row>
    <row r="641" spans="1:102" ht="15.75" x14ac:dyDescent="0.25">
      <c r="A641" s="4" t="s">
        <v>433</v>
      </c>
      <c r="B641" s="4" t="s">
        <v>434</v>
      </c>
      <c r="C641" s="4">
        <v>2020</v>
      </c>
      <c r="D641" s="4">
        <v>7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1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1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1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5">
        <v>0</v>
      </c>
    </row>
    <row r="642" spans="1:102" ht="15.75" x14ac:dyDescent="0.25">
      <c r="A642" s="4" t="s">
        <v>435</v>
      </c>
      <c r="B642" s="4" t="s">
        <v>436</v>
      </c>
      <c r="C642" s="4">
        <v>2020</v>
      </c>
      <c r="D642" s="4">
        <v>501</v>
      </c>
      <c r="E642" s="4">
        <v>1</v>
      </c>
      <c r="F642" s="4">
        <v>27</v>
      </c>
      <c r="G642" s="4">
        <v>10</v>
      </c>
      <c r="H642" s="4">
        <v>6</v>
      </c>
      <c r="I642" s="4">
        <v>5</v>
      </c>
      <c r="J642" s="4">
        <v>2</v>
      </c>
      <c r="K642" s="4">
        <v>2</v>
      </c>
      <c r="L642" s="4">
        <v>2</v>
      </c>
      <c r="M642" s="4">
        <v>4</v>
      </c>
      <c r="N642" s="4">
        <v>2</v>
      </c>
      <c r="O642" s="4">
        <v>7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1</v>
      </c>
      <c r="W642" s="4">
        <v>1</v>
      </c>
      <c r="X642" s="4">
        <v>1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1</v>
      </c>
      <c r="AF642" s="4">
        <v>0</v>
      </c>
      <c r="AG642" s="4">
        <v>7</v>
      </c>
      <c r="AH642" s="4">
        <v>0</v>
      </c>
      <c r="AI642" s="4">
        <v>5</v>
      </c>
      <c r="AJ642" s="4">
        <v>28</v>
      </c>
      <c r="AK642" s="4">
        <v>24</v>
      </c>
      <c r="AL642" s="4">
        <v>1</v>
      </c>
      <c r="AM642" s="4">
        <v>5</v>
      </c>
      <c r="AN642" s="4">
        <v>2</v>
      </c>
      <c r="AO642" s="4">
        <v>11</v>
      </c>
      <c r="AP642" s="4">
        <v>0</v>
      </c>
      <c r="AQ642" s="4">
        <v>2</v>
      </c>
      <c r="AR642" s="4">
        <v>0</v>
      </c>
      <c r="AS642" s="4">
        <v>32</v>
      </c>
      <c r="AT642" s="4">
        <v>6</v>
      </c>
      <c r="AU642" s="4">
        <v>2</v>
      </c>
      <c r="AV642" s="4">
        <v>1</v>
      </c>
      <c r="AW642" s="4">
        <v>2</v>
      </c>
      <c r="AX642" s="4">
        <v>11</v>
      </c>
      <c r="AY642" s="4">
        <v>1</v>
      </c>
      <c r="AZ642" s="4">
        <v>8</v>
      </c>
      <c r="BA642" s="4">
        <v>0</v>
      </c>
      <c r="BB642" s="4">
        <v>45</v>
      </c>
      <c r="BC642" s="4">
        <v>3</v>
      </c>
      <c r="BD642" s="4">
        <v>0</v>
      </c>
      <c r="BE642" s="4">
        <v>2</v>
      </c>
      <c r="BF642" s="4">
        <v>7</v>
      </c>
      <c r="BG642" s="4">
        <v>1</v>
      </c>
      <c r="BH642" s="4">
        <v>1</v>
      </c>
      <c r="BI642" s="4">
        <v>0</v>
      </c>
      <c r="BJ642" s="4">
        <v>13</v>
      </c>
      <c r="BK642" s="4">
        <v>7</v>
      </c>
      <c r="BL642" s="4">
        <v>0</v>
      </c>
      <c r="BM642" s="4">
        <v>1</v>
      </c>
      <c r="BN642" s="4">
        <v>4</v>
      </c>
      <c r="BO642" s="4">
        <v>0</v>
      </c>
      <c r="BP642" s="4">
        <v>1</v>
      </c>
      <c r="BQ642" s="4">
        <v>9</v>
      </c>
      <c r="BR642" s="4">
        <v>0</v>
      </c>
      <c r="BS642" s="4">
        <v>91</v>
      </c>
      <c r="BT642" s="4">
        <v>14</v>
      </c>
      <c r="BU642" s="4">
        <v>0</v>
      </c>
      <c r="BV642" s="4">
        <v>3</v>
      </c>
      <c r="BW642" s="4">
        <v>1</v>
      </c>
      <c r="BX642" s="4">
        <v>15</v>
      </c>
      <c r="BY642" s="4">
        <v>0</v>
      </c>
      <c r="BZ642" s="4">
        <v>0</v>
      </c>
      <c r="CA642" s="4">
        <v>15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2</v>
      </c>
      <c r="CH642" s="4">
        <v>0</v>
      </c>
      <c r="CI642" s="4">
        <v>0</v>
      </c>
      <c r="CJ642" s="4">
        <v>1</v>
      </c>
      <c r="CK642" s="4">
        <v>0</v>
      </c>
      <c r="CL642" s="4">
        <v>0</v>
      </c>
      <c r="CM642" s="4">
        <v>2</v>
      </c>
      <c r="CN642" s="4">
        <v>11</v>
      </c>
      <c r="CO642" s="4">
        <v>0</v>
      </c>
      <c r="CP642" s="4">
        <v>0</v>
      </c>
      <c r="CQ642" s="4">
        <v>0</v>
      </c>
      <c r="CR642" s="4">
        <v>1</v>
      </c>
      <c r="CS642" s="4">
        <v>0</v>
      </c>
      <c r="CT642" s="4">
        <v>2</v>
      </c>
      <c r="CU642" s="4">
        <v>1</v>
      </c>
      <c r="CV642" s="4">
        <v>6</v>
      </c>
      <c r="CW642" s="4">
        <v>22</v>
      </c>
      <c r="CX642" s="5">
        <v>22</v>
      </c>
    </row>
    <row r="643" spans="1:102" ht="15.75" x14ac:dyDescent="0.25">
      <c r="A643" s="4" t="s">
        <v>437</v>
      </c>
      <c r="B643" s="4" t="s">
        <v>438</v>
      </c>
      <c r="C643" s="4">
        <v>2020</v>
      </c>
      <c r="D643" s="4">
        <v>602</v>
      </c>
      <c r="E643" s="4">
        <v>2</v>
      </c>
      <c r="F643" s="4">
        <v>0</v>
      </c>
      <c r="G643" s="4">
        <v>8</v>
      </c>
      <c r="H643" s="4">
        <v>0</v>
      </c>
      <c r="I643" s="4">
        <v>2</v>
      </c>
      <c r="J643" s="4">
        <v>1</v>
      </c>
      <c r="K643" s="4">
        <v>1</v>
      </c>
      <c r="L643" s="4">
        <v>0</v>
      </c>
      <c r="M643" s="4">
        <v>2</v>
      </c>
      <c r="N643" s="4">
        <v>2</v>
      </c>
      <c r="O643" s="4">
        <v>60</v>
      </c>
      <c r="P643" s="4">
        <v>1</v>
      </c>
      <c r="Q643" s="4">
        <v>0</v>
      </c>
      <c r="R643" s="4">
        <v>0</v>
      </c>
      <c r="S643" s="4">
        <v>1</v>
      </c>
      <c r="T643" s="4">
        <v>7</v>
      </c>
      <c r="U643" s="4">
        <v>10</v>
      </c>
      <c r="V643" s="4">
        <v>1</v>
      </c>
      <c r="W643" s="4">
        <v>280</v>
      </c>
      <c r="X643" s="4">
        <v>0</v>
      </c>
      <c r="Y643" s="4">
        <v>0</v>
      </c>
      <c r="Z643" s="4">
        <v>0</v>
      </c>
      <c r="AA643" s="4">
        <v>1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10</v>
      </c>
      <c r="AH643" s="4">
        <v>1</v>
      </c>
      <c r="AI643" s="4">
        <v>9</v>
      </c>
      <c r="AJ643" s="4">
        <v>11</v>
      </c>
      <c r="AK643" s="4">
        <v>13</v>
      </c>
      <c r="AL643" s="4">
        <v>0</v>
      </c>
      <c r="AM643" s="4">
        <v>6</v>
      </c>
      <c r="AN643" s="4">
        <v>2</v>
      </c>
      <c r="AO643" s="4">
        <v>29</v>
      </c>
      <c r="AP643" s="4">
        <v>0</v>
      </c>
      <c r="AQ643" s="4">
        <v>2</v>
      </c>
      <c r="AR643" s="4">
        <v>0</v>
      </c>
      <c r="AS643" s="4">
        <v>3</v>
      </c>
      <c r="AT643" s="4">
        <v>4</v>
      </c>
      <c r="AU643" s="4">
        <v>1</v>
      </c>
      <c r="AV643" s="4">
        <v>4</v>
      </c>
      <c r="AW643" s="4">
        <v>3</v>
      </c>
      <c r="AX643" s="4">
        <v>3</v>
      </c>
      <c r="AY643" s="4">
        <v>0</v>
      </c>
      <c r="AZ643" s="4">
        <v>6</v>
      </c>
      <c r="BA643" s="4">
        <v>0</v>
      </c>
      <c r="BB643" s="4">
        <v>10</v>
      </c>
      <c r="BC643" s="4">
        <v>3</v>
      </c>
      <c r="BD643" s="4">
        <v>0</v>
      </c>
      <c r="BE643" s="4">
        <v>3</v>
      </c>
      <c r="BF643" s="4">
        <v>5</v>
      </c>
      <c r="BG643" s="4">
        <v>1</v>
      </c>
      <c r="BH643" s="4">
        <v>1</v>
      </c>
      <c r="BI643" s="4">
        <v>0</v>
      </c>
      <c r="BJ643" s="4">
        <v>10</v>
      </c>
      <c r="BK643" s="4">
        <v>10</v>
      </c>
      <c r="BL643" s="4">
        <v>0</v>
      </c>
      <c r="BM643" s="4">
        <v>1</v>
      </c>
      <c r="BN643" s="4">
        <v>11</v>
      </c>
      <c r="BO643" s="4">
        <v>0</v>
      </c>
      <c r="BP643" s="4">
        <v>0</v>
      </c>
      <c r="BQ643" s="4">
        <v>3</v>
      </c>
      <c r="BR643" s="4">
        <v>0</v>
      </c>
      <c r="BS643" s="4">
        <v>5</v>
      </c>
      <c r="BT643" s="4">
        <v>4</v>
      </c>
      <c r="BU643" s="4">
        <v>0</v>
      </c>
      <c r="BV643" s="4">
        <v>3</v>
      </c>
      <c r="BW643" s="4">
        <v>1</v>
      </c>
      <c r="BX643" s="4">
        <v>11</v>
      </c>
      <c r="BY643" s="4">
        <v>0</v>
      </c>
      <c r="BZ643" s="4">
        <v>0</v>
      </c>
      <c r="CA643" s="4">
        <v>11</v>
      </c>
      <c r="CB643" s="4">
        <v>0</v>
      </c>
      <c r="CC643" s="4">
        <v>0</v>
      </c>
      <c r="CD643" s="4">
        <v>0</v>
      </c>
      <c r="CE643" s="4">
        <v>0</v>
      </c>
      <c r="CF643" s="4">
        <v>1</v>
      </c>
      <c r="CG643" s="4">
        <v>0</v>
      </c>
      <c r="CH643" s="4">
        <v>0</v>
      </c>
      <c r="CI643" s="4">
        <v>0</v>
      </c>
      <c r="CJ643" s="4">
        <v>1</v>
      </c>
      <c r="CK643" s="4">
        <v>0</v>
      </c>
      <c r="CL643" s="4">
        <v>0</v>
      </c>
      <c r="CM643" s="4">
        <v>1</v>
      </c>
      <c r="CN643" s="4">
        <v>9</v>
      </c>
      <c r="CO643" s="4">
        <v>1</v>
      </c>
      <c r="CP643" s="4">
        <v>0</v>
      </c>
      <c r="CQ643" s="4">
        <v>0</v>
      </c>
      <c r="CR643" s="4">
        <v>0</v>
      </c>
      <c r="CS643" s="4">
        <v>0</v>
      </c>
      <c r="CT643" s="4">
        <v>2</v>
      </c>
      <c r="CU643" s="4">
        <v>0</v>
      </c>
      <c r="CV643" s="4">
        <v>6</v>
      </c>
      <c r="CW643" s="4">
        <v>2</v>
      </c>
      <c r="CX643" s="5">
        <v>2</v>
      </c>
    </row>
    <row r="644" spans="1:102" ht="15.75" x14ac:dyDescent="0.25">
      <c r="A644" s="4" t="s">
        <v>439</v>
      </c>
      <c r="B644" s="4" t="s">
        <v>440</v>
      </c>
      <c r="C644" s="4">
        <v>2020</v>
      </c>
      <c r="D644" s="4">
        <v>5006</v>
      </c>
      <c r="E644" s="4">
        <v>10</v>
      </c>
      <c r="F644" s="4">
        <v>21</v>
      </c>
      <c r="G644" s="4">
        <v>25</v>
      </c>
      <c r="H644" s="4">
        <v>46</v>
      </c>
      <c r="I644" s="4">
        <v>23</v>
      </c>
      <c r="J644" s="4">
        <v>27</v>
      </c>
      <c r="K644" s="4">
        <v>17</v>
      </c>
      <c r="L644" s="4">
        <v>87</v>
      </c>
      <c r="M644" s="4">
        <v>27</v>
      </c>
      <c r="N644" s="4">
        <v>67</v>
      </c>
      <c r="O644" s="4">
        <v>418</v>
      </c>
      <c r="P644" s="4">
        <v>1</v>
      </c>
      <c r="Q644" s="4">
        <v>1</v>
      </c>
      <c r="R644" s="4">
        <v>3</v>
      </c>
      <c r="S644" s="4">
        <v>0</v>
      </c>
      <c r="T644" s="4">
        <v>0</v>
      </c>
      <c r="U644" s="4">
        <v>35</v>
      </c>
      <c r="V644" s="4">
        <v>7</v>
      </c>
      <c r="W644" s="4">
        <v>22</v>
      </c>
      <c r="X644" s="4">
        <v>9</v>
      </c>
      <c r="Y644" s="4">
        <v>0</v>
      </c>
      <c r="Z644" s="4">
        <v>101</v>
      </c>
      <c r="AA644" s="4">
        <v>17</v>
      </c>
      <c r="AB644" s="4">
        <v>8</v>
      </c>
      <c r="AC644" s="4">
        <v>0</v>
      </c>
      <c r="AD644" s="4">
        <v>3</v>
      </c>
      <c r="AE644" s="4">
        <v>5</v>
      </c>
      <c r="AF644" s="4">
        <v>4</v>
      </c>
      <c r="AG644" s="4">
        <v>78</v>
      </c>
      <c r="AH644" s="4">
        <v>176</v>
      </c>
      <c r="AI644" s="4">
        <v>121</v>
      </c>
      <c r="AJ644" s="4">
        <v>126</v>
      </c>
      <c r="AK644" s="4">
        <v>205</v>
      </c>
      <c r="AL644" s="4">
        <v>14</v>
      </c>
      <c r="AM644" s="4">
        <v>102</v>
      </c>
      <c r="AN644" s="4">
        <v>115</v>
      </c>
      <c r="AO644" s="4">
        <v>155</v>
      </c>
      <c r="AP644" s="4">
        <v>10</v>
      </c>
      <c r="AQ644" s="4">
        <v>37</v>
      </c>
      <c r="AR644" s="4">
        <v>3</v>
      </c>
      <c r="AS644" s="4">
        <v>67</v>
      </c>
      <c r="AT644" s="4">
        <v>141</v>
      </c>
      <c r="AU644" s="4">
        <v>51</v>
      </c>
      <c r="AV644" s="4">
        <v>61</v>
      </c>
      <c r="AW644" s="4">
        <v>56</v>
      </c>
      <c r="AX644" s="4">
        <v>128</v>
      </c>
      <c r="AY644" s="4">
        <v>0</v>
      </c>
      <c r="AZ644" s="4">
        <v>10</v>
      </c>
      <c r="BA644" s="4">
        <v>0</v>
      </c>
      <c r="BB644" s="4">
        <v>53</v>
      </c>
      <c r="BC644" s="4">
        <v>13</v>
      </c>
      <c r="BD644" s="4">
        <v>0</v>
      </c>
      <c r="BE644" s="4">
        <v>39</v>
      </c>
      <c r="BF644" s="4">
        <v>193</v>
      </c>
      <c r="BG644" s="4">
        <v>8</v>
      </c>
      <c r="BH644" s="4">
        <v>8</v>
      </c>
      <c r="BI644" s="4">
        <v>2</v>
      </c>
      <c r="BJ644" s="4">
        <v>96</v>
      </c>
      <c r="BK644" s="4">
        <v>172</v>
      </c>
      <c r="BL644" s="4">
        <v>0</v>
      </c>
      <c r="BM644" s="4">
        <v>14</v>
      </c>
      <c r="BN644" s="4">
        <v>136</v>
      </c>
      <c r="BO644" s="4">
        <v>4</v>
      </c>
      <c r="BP644" s="4">
        <v>11</v>
      </c>
      <c r="BQ644" s="4">
        <v>117</v>
      </c>
      <c r="BR644" s="4">
        <v>15</v>
      </c>
      <c r="BS644" s="4">
        <v>132</v>
      </c>
      <c r="BT644" s="4">
        <v>66</v>
      </c>
      <c r="BU644" s="4">
        <v>5</v>
      </c>
      <c r="BV644" s="4">
        <v>178</v>
      </c>
      <c r="BW644" s="4">
        <v>36</v>
      </c>
      <c r="BX644" s="4">
        <v>257</v>
      </c>
      <c r="BY644" s="4">
        <v>4</v>
      </c>
      <c r="BZ644" s="4">
        <v>0</v>
      </c>
      <c r="CA644" s="4">
        <v>28</v>
      </c>
      <c r="CB644" s="4">
        <v>10</v>
      </c>
      <c r="CC644" s="4">
        <v>1</v>
      </c>
      <c r="CD644" s="4">
        <v>17</v>
      </c>
      <c r="CE644" s="4">
        <v>2</v>
      </c>
      <c r="CF644" s="4">
        <v>9</v>
      </c>
      <c r="CG644" s="4">
        <v>5</v>
      </c>
      <c r="CH644" s="4">
        <v>6</v>
      </c>
      <c r="CI644" s="4">
        <v>12</v>
      </c>
      <c r="CJ644" s="4">
        <v>148</v>
      </c>
      <c r="CK644" s="4">
        <v>71</v>
      </c>
      <c r="CL644" s="4">
        <v>1</v>
      </c>
      <c r="CM644" s="4">
        <v>11</v>
      </c>
      <c r="CN644" s="4">
        <v>80</v>
      </c>
      <c r="CO644" s="4">
        <v>28</v>
      </c>
      <c r="CP644" s="4">
        <v>6</v>
      </c>
      <c r="CQ644" s="4">
        <v>0</v>
      </c>
      <c r="CR644" s="4">
        <v>1</v>
      </c>
      <c r="CS644" s="4">
        <v>8</v>
      </c>
      <c r="CT644" s="4">
        <v>65</v>
      </c>
      <c r="CU644" s="4">
        <v>10</v>
      </c>
      <c r="CV644" s="4">
        <v>282</v>
      </c>
      <c r="CW644" s="4">
        <v>8</v>
      </c>
      <c r="CX644" s="5">
        <v>8</v>
      </c>
    </row>
    <row r="645" spans="1:102" ht="15.75" x14ac:dyDescent="0.25">
      <c r="A645" s="4" t="s">
        <v>441</v>
      </c>
      <c r="B645" s="4" t="s">
        <v>442</v>
      </c>
      <c r="C645" s="4">
        <v>2020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5">
        <v>0</v>
      </c>
    </row>
    <row r="646" spans="1:102" ht="15.75" x14ac:dyDescent="0.25">
      <c r="A646" s="4" t="s">
        <v>443</v>
      </c>
      <c r="B646" s="4" t="s">
        <v>444</v>
      </c>
      <c r="C646" s="4">
        <v>2020</v>
      </c>
      <c r="D646" s="4">
        <v>4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1</v>
      </c>
      <c r="M646" s="4">
        <v>0</v>
      </c>
      <c r="N646" s="4">
        <v>0</v>
      </c>
      <c r="O646" s="4">
        <v>2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2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5">
        <v>0</v>
      </c>
    </row>
    <row r="647" spans="1:102" ht="15.75" x14ac:dyDescent="0.25">
      <c r="A647" s="4" t="s">
        <v>445</v>
      </c>
      <c r="B647" s="4" t="s">
        <v>446</v>
      </c>
      <c r="C647" s="4">
        <v>2020</v>
      </c>
      <c r="D647" s="4">
        <v>1592</v>
      </c>
      <c r="E647" s="4">
        <v>0</v>
      </c>
      <c r="F647" s="4">
        <v>18</v>
      </c>
      <c r="G647" s="4">
        <v>7</v>
      </c>
      <c r="H647" s="4">
        <v>11</v>
      </c>
      <c r="I647" s="4">
        <v>52</v>
      </c>
      <c r="J647" s="4">
        <v>11</v>
      </c>
      <c r="K647" s="4">
        <v>1</v>
      </c>
      <c r="L647" s="4">
        <v>7</v>
      </c>
      <c r="M647" s="4">
        <v>3</v>
      </c>
      <c r="N647" s="4">
        <v>22</v>
      </c>
      <c r="O647" s="4">
        <v>91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2</v>
      </c>
      <c r="V647" s="4">
        <v>9</v>
      </c>
      <c r="W647" s="4">
        <v>58</v>
      </c>
      <c r="X647" s="4">
        <v>6</v>
      </c>
      <c r="Y647" s="4">
        <v>0</v>
      </c>
      <c r="Z647" s="4">
        <v>190</v>
      </c>
      <c r="AA647" s="4">
        <v>11</v>
      </c>
      <c r="AB647" s="4">
        <v>26</v>
      </c>
      <c r="AC647" s="4">
        <v>0</v>
      </c>
      <c r="AD647" s="4">
        <v>0</v>
      </c>
      <c r="AE647" s="4">
        <v>0</v>
      </c>
      <c r="AF647" s="4">
        <v>0</v>
      </c>
      <c r="AG647" s="4">
        <v>11</v>
      </c>
      <c r="AH647" s="4">
        <v>13</v>
      </c>
      <c r="AI647" s="4">
        <v>13</v>
      </c>
      <c r="AJ647" s="4">
        <v>66</v>
      </c>
      <c r="AK647" s="4">
        <v>33</v>
      </c>
      <c r="AL647" s="4">
        <v>0</v>
      </c>
      <c r="AM647" s="4">
        <v>30</v>
      </c>
      <c r="AN647" s="4">
        <v>15</v>
      </c>
      <c r="AO647" s="4">
        <v>161</v>
      </c>
      <c r="AP647" s="4">
        <v>2</v>
      </c>
      <c r="AQ647" s="4">
        <v>6</v>
      </c>
      <c r="AR647" s="4">
        <v>2</v>
      </c>
      <c r="AS647" s="4">
        <v>16</v>
      </c>
      <c r="AT647" s="4">
        <v>41</v>
      </c>
      <c r="AU647" s="4">
        <v>22</v>
      </c>
      <c r="AV647" s="4">
        <v>53</v>
      </c>
      <c r="AW647" s="4">
        <v>17</v>
      </c>
      <c r="AX647" s="4">
        <v>21</v>
      </c>
      <c r="AY647" s="4">
        <v>0</v>
      </c>
      <c r="AZ647" s="4">
        <v>2</v>
      </c>
      <c r="BA647" s="4">
        <v>0</v>
      </c>
      <c r="BB647" s="4">
        <v>7</v>
      </c>
      <c r="BC647" s="4">
        <v>3</v>
      </c>
      <c r="BD647" s="4">
        <v>0</v>
      </c>
      <c r="BE647" s="4">
        <v>12</v>
      </c>
      <c r="BF647" s="4">
        <v>26</v>
      </c>
      <c r="BG647" s="4">
        <v>1</v>
      </c>
      <c r="BH647" s="4">
        <v>2</v>
      </c>
      <c r="BI647" s="4">
        <v>0</v>
      </c>
      <c r="BJ647" s="4">
        <v>18</v>
      </c>
      <c r="BK647" s="4">
        <v>42</v>
      </c>
      <c r="BL647" s="4">
        <v>0</v>
      </c>
      <c r="BM647" s="4">
        <v>5</v>
      </c>
      <c r="BN647" s="4">
        <v>24</v>
      </c>
      <c r="BO647" s="4">
        <v>0</v>
      </c>
      <c r="BP647" s="4">
        <v>5</v>
      </c>
      <c r="BQ647" s="4">
        <v>43</v>
      </c>
      <c r="BR647" s="4">
        <v>5</v>
      </c>
      <c r="BS647" s="4">
        <v>56</v>
      </c>
      <c r="BT647" s="4">
        <v>13</v>
      </c>
      <c r="BU647" s="4">
        <v>1</v>
      </c>
      <c r="BV647" s="4">
        <v>20</v>
      </c>
      <c r="BW647" s="4">
        <v>11</v>
      </c>
      <c r="BX647" s="4">
        <v>74</v>
      </c>
      <c r="BY647" s="4">
        <v>0</v>
      </c>
      <c r="BZ647" s="4">
        <v>0</v>
      </c>
      <c r="CA647" s="4">
        <v>8</v>
      </c>
      <c r="CB647" s="4">
        <v>1</v>
      </c>
      <c r="CC647" s="4">
        <v>0</v>
      </c>
      <c r="CD647" s="4">
        <v>3</v>
      </c>
      <c r="CE647" s="4">
        <v>1</v>
      </c>
      <c r="CF647" s="4">
        <v>2</v>
      </c>
      <c r="CG647" s="4">
        <v>2</v>
      </c>
      <c r="CH647" s="4">
        <v>2</v>
      </c>
      <c r="CI647" s="4">
        <v>3</v>
      </c>
      <c r="CJ647" s="4">
        <v>29</v>
      </c>
      <c r="CK647" s="4">
        <v>15</v>
      </c>
      <c r="CL647" s="4">
        <v>0</v>
      </c>
      <c r="CM647" s="4">
        <v>5</v>
      </c>
      <c r="CN647" s="4">
        <v>28</v>
      </c>
      <c r="CO647" s="4">
        <v>4</v>
      </c>
      <c r="CP647" s="4">
        <v>2</v>
      </c>
      <c r="CQ647" s="4">
        <v>0</v>
      </c>
      <c r="CR647" s="4">
        <v>10</v>
      </c>
      <c r="CS647" s="4">
        <v>2</v>
      </c>
      <c r="CT647" s="4">
        <v>13</v>
      </c>
      <c r="CU647" s="4">
        <v>1</v>
      </c>
      <c r="CV647" s="4">
        <v>41</v>
      </c>
      <c r="CW647" s="4">
        <v>1</v>
      </c>
      <c r="CX647" s="5">
        <v>1</v>
      </c>
    </row>
    <row r="648" spans="1:102" ht="15.75" x14ac:dyDescent="0.25">
      <c r="A648" s="4" t="s">
        <v>447</v>
      </c>
      <c r="B648" s="4" t="s">
        <v>448</v>
      </c>
      <c r="C648" s="4">
        <v>2020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5">
        <v>0</v>
      </c>
    </row>
    <row r="649" spans="1:102" ht="15.75" x14ac:dyDescent="0.25">
      <c r="A649" s="4" t="s">
        <v>449</v>
      </c>
      <c r="B649" s="4" t="s">
        <v>450</v>
      </c>
      <c r="C649" s="4">
        <v>2020</v>
      </c>
      <c r="D649" s="4">
        <v>19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7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1</v>
      </c>
      <c r="AK649" s="4">
        <v>0</v>
      </c>
      <c r="AL649" s="4">
        <v>0</v>
      </c>
      <c r="AM649" s="4">
        <v>0</v>
      </c>
      <c r="AN649" s="4">
        <v>1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2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1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4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1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5">
        <v>0</v>
      </c>
    </row>
    <row r="650" spans="1:102" ht="15.75" x14ac:dyDescent="0.25">
      <c r="A650" s="4" t="s">
        <v>451</v>
      </c>
      <c r="B650" s="4" t="s">
        <v>452</v>
      </c>
      <c r="C650" s="4">
        <v>2020</v>
      </c>
      <c r="D650" s="4">
        <v>2665</v>
      </c>
      <c r="E650" s="4">
        <v>3</v>
      </c>
      <c r="F650" s="4">
        <v>3</v>
      </c>
      <c r="G650" s="4">
        <v>7</v>
      </c>
      <c r="H650" s="4">
        <v>1</v>
      </c>
      <c r="I650" s="4">
        <v>16</v>
      </c>
      <c r="J650" s="4">
        <v>4</v>
      </c>
      <c r="K650" s="4">
        <v>1</v>
      </c>
      <c r="L650" s="4">
        <v>8</v>
      </c>
      <c r="M650" s="4">
        <v>2</v>
      </c>
      <c r="N650" s="4">
        <v>10</v>
      </c>
      <c r="O650" s="4">
        <v>4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1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1</v>
      </c>
      <c r="AH650" s="4">
        <v>0</v>
      </c>
      <c r="AI650" s="4">
        <v>5</v>
      </c>
      <c r="AJ650" s="4">
        <v>50</v>
      </c>
      <c r="AK650" s="4">
        <v>11</v>
      </c>
      <c r="AL650" s="4">
        <v>0</v>
      </c>
      <c r="AM650" s="4">
        <v>2</v>
      </c>
      <c r="AN650" s="4">
        <v>4</v>
      </c>
      <c r="AO650" s="4">
        <v>18</v>
      </c>
      <c r="AP650" s="4">
        <v>0</v>
      </c>
      <c r="AQ650" s="4">
        <v>5</v>
      </c>
      <c r="AR650" s="4">
        <v>1</v>
      </c>
      <c r="AS650" s="4">
        <v>3</v>
      </c>
      <c r="AT650" s="4">
        <v>6</v>
      </c>
      <c r="AU650" s="4">
        <v>14</v>
      </c>
      <c r="AV650" s="4">
        <v>39</v>
      </c>
      <c r="AW650" s="4">
        <v>11</v>
      </c>
      <c r="AX650" s="4">
        <v>38</v>
      </c>
      <c r="AY650" s="4">
        <v>1</v>
      </c>
      <c r="AZ650" s="4">
        <v>14</v>
      </c>
      <c r="BA650" s="4">
        <v>0</v>
      </c>
      <c r="BB650" s="4">
        <v>1101</v>
      </c>
      <c r="BC650" s="4">
        <v>2</v>
      </c>
      <c r="BD650" s="4">
        <v>1</v>
      </c>
      <c r="BE650" s="4">
        <v>10</v>
      </c>
      <c r="BF650" s="4">
        <v>13</v>
      </c>
      <c r="BG650" s="4">
        <v>1</v>
      </c>
      <c r="BH650" s="4">
        <v>1</v>
      </c>
      <c r="BI650" s="4">
        <v>0</v>
      </c>
      <c r="BJ650" s="4">
        <v>59</v>
      </c>
      <c r="BK650" s="4">
        <v>40</v>
      </c>
      <c r="BL650" s="4">
        <v>0</v>
      </c>
      <c r="BM650" s="4">
        <v>0</v>
      </c>
      <c r="BN650" s="4">
        <v>34</v>
      </c>
      <c r="BO650" s="4">
        <v>0</v>
      </c>
      <c r="BP650" s="4">
        <v>3</v>
      </c>
      <c r="BQ650" s="4">
        <v>34</v>
      </c>
      <c r="BR650" s="4">
        <v>2</v>
      </c>
      <c r="BS650" s="4">
        <v>52</v>
      </c>
      <c r="BT650" s="4">
        <v>30</v>
      </c>
      <c r="BU650" s="4">
        <v>0</v>
      </c>
      <c r="BV650" s="4">
        <v>8</v>
      </c>
      <c r="BW650" s="4">
        <v>4</v>
      </c>
      <c r="BX650" s="4">
        <v>102</v>
      </c>
      <c r="BY650" s="4">
        <v>1</v>
      </c>
      <c r="BZ650" s="4">
        <v>0</v>
      </c>
      <c r="CA650" s="4">
        <v>182</v>
      </c>
      <c r="CB650" s="4">
        <v>2</v>
      </c>
      <c r="CC650" s="4">
        <v>0</v>
      </c>
      <c r="CD650" s="4">
        <v>10</v>
      </c>
      <c r="CE650" s="4">
        <v>0</v>
      </c>
      <c r="CF650" s="4">
        <v>3</v>
      </c>
      <c r="CG650" s="4">
        <v>29</v>
      </c>
      <c r="CH650" s="4">
        <v>2</v>
      </c>
      <c r="CI650" s="4">
        <v>7</v>
      </c>
      <c r="CJ650" s="4">
        <v>21</v>
      </c>
      <c r="CK650" s="4">
        <v>6</v>
      </c>
      <c r="CL650" s="4">
        <v>0</v>
      </c>
      <c r="CM650" s="4">
        <v>21</v>
      </c>
      <c r="CN650" s="4">
        <v>73</v>
      </c>
      <c r="CO650" s="4">
        <v>32</v>
      </c>
      <c r="CP650" s="4">
        <v>1</v>
      </c>
      <c r="CQ650" s="4">
        <v>0</v>
      </c>
      <c r="CR650" s="4">
        <v>28</v>
      </c>
      <c r="CS650" s="4">
        <v>409</v>
      </c>
      <c r="CT650" s="4">
        <v>22</v>
      </c>
      <c r="CU650" s="4">
        <v>3</v>
      </c>
      <c r="CV650" s="4">
        <v>14</v>
      </c>
      <c r="CW650" s="4">
        <v>11</v>
      </c>
      <c r="CX650" s="5">
        <v>11</v>
      </c>
    </row>
    <row r="651" spans="1:102" ht="15.75" x14ac:dyDescent="0.25">
      <c r="A651" s="4" t="s">
        <v>453</v>
      </c>
      <c r="B651" s="4" t="s">
        <v>454</v>
      </c>
      <c r="C651" s="4">
        <v>2020</v>
      </c>
      <c r="D651" s="4">
        <v>1251</v>
      </c>
      <c r="E651" s="4">
        <v>0</v>
      </c>
      <c r="F651" s="4">
        <v>10</v>
      </c>
      <c r="G651" s="4">
        <v>3</v>
      </c>
      <c r="H651" s="4">
        <v>9</v>
      </c>
      <c r="I651" s="4">
        <v>5</v>
      </c>
      <c r="J651" s="4">
        <v>2</v>
      </c>
      <c r="K651" s="4">
        <v>2</v>
      </c>
      <c r="L651" s="4">
        <v>7</v>
      </c>
      <c r="M651" s="4">
        <v>3</v>
      </c>
      <c r="N651" s="4">
        <v>9</v>
      </c>
      <c r="O651" s="4">
        <v>150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2</v>
      </c>
      <c r="V651" s="4">
        <v>1</v>
      </c>
      <c r="W651" s="4">
        <v>2</v>
      </c>
      <c r="X651" s="4">
        <v>1</v>
      </c>
      <c r="Y651" s="4">
        <v>0</v>
      </c>
      <c r="Z651" s="4">
        <v>0</v>
      </c>
      <c r="AA651" s="4">
        <v>4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4</v>
      </c>
      <c r="AH651" s="4">
        <v>1</v>
      </c>
      <c r="AI651" s="4">
        <v>14</v>
      </c>
      <c r="AJ651" s="4">
        <v>25</v>
      </c>
      <c r="AK651" s="4">
        <v>26</v>
      </c>
      <c r="AL651" s="4">
        <v>2</v>
      </c>
      <c r="AM651" s="4">
        <v>19</v>
      </c>
      <c r="AN651" s="4">
        <v>23</v>
      </c>
      <c r="AO651" s="4">
        <v>69</v>
      </c>
      <c r="AP651" s="4">
        <v>10</v>
      </c>
      <c r="AQ651" s="4">
        <v>10</v>
      </c>
      <c r="AR651" s="4">
        <v>0</v>
      </c>
      <c r="AS651" s="4">
        <v>6</v>
      </c>
      <c r="AT651" s="4">
        <v>89</v>
      </c>
      <c r="AU651" s="4">
        <v>10</v>
      </c>
      <c r="AV651" s="4">
        <v>23</v>
      </c>
      <c r="AW651" s="4">
        <v>18</v>
      </c>
      <c r="AX651" s="4">
        <v>36</v>
      </c>
      <c r="AY651" s="4">
        <v>5</v>
      </c>
      <c r="AZ651" s="4">
        <v>14</v>
      </c>
      <c r="BA651" s="4">
        <v>0</v>
      </c>
      <c r="BB651" s="4">
        <v>40</v>
      </c>
      <c r="BC651" s="4">
        <v>1</v>
      </c>
      <c r="BD651" s="4">
        <v>0</v>
      </c>
      <c r="BE651" s="4">
        <v>11</v>
      </c>
      <c r="BF651" s="4">
        <v>59</v>
      </c>
      <c r="BG651" s="4">
        <v>2</v>
      </c>
      <c r="BH651" s="4">
        <v>2</v>
      </c>
      <c r="BI651" s="4">
        <v>0</v>
      </c>
      <c r="BJ651" s="4">
        <v>37</v>
      </c>
      <c r="BK651" s="4">
        <v>31</v>
      </c>
      <c r="BL651" s="4">
        <v>0</v>
      </c>
      <c r="BM651" s="4">
        <v>5</v>
      </c>
      <c r="BN651" s="4">
        <v>38</v>
      </c>
      <c r="BO651" s="4">
        <v>0</v>
      </c>
      <c r="BP651" s="4">
        <v>6</v>
      </c>
      <c r="BQ651" s="4">
        <v>19</v>
      </c>
      <c r="BR651" s="4">
        <v>2</v>
      </c>
      <c r="BS651" s="4">
        <v>70</v>
      </c>
      <c r="BT651" s="4">
        <v>28</v>
      </c>
      <c r="BU651" s="4">
        <v>0</v>
      </c>
      <c r="BV651" s="4">
        <v>92</v>
      </c>
      <c r="BW651" s="4">
        <v>6</v>
      </c>
      <c r="BX651" s="4">
        <v>33</v>
      </c>
      <c r="BY651" s="4">
        <v>0</v>
      </c>
      <c r="BZ651" s="4">
        <v>0</v>
      </c>
      <c r="CA651" s="4">
        <v>3</v>
      </c>
      <c r="CB651" s="4">
        <v>0</v>
      </c>
      <c r="CC651" s="4">
        <v>0</v>
      </c>
      <c r="CD651" s="4">
        <v>2</v>
      </c>
      <c r="CE651" s="4">
        <v>1</v>
      </c>
      <c r="CF651" s="4">
        <v>2</v>
      </c>
      <c r="CG651" s="4">
        <v>0</v>
      </c>
      <c r="CH651" s="4">
        <v>1</v>
      </c>
      <c r="CI651" s="4">
        <v>3</v>
      </c>
      <c r="CJ651" s="4">
        <v>30</v>
      </c>
      <c r="CK651" s="4">
        <v>16</v>
      </c>
      <c r="CL651" s="4">
        <v>0</v>
      </c>
      <c r="CM651" s="4">
        <v>7</v>
      </c>
      <c r="CN651" s="4">
        <v>25</v>
      </c>
      <c r="CO651" s="4">
        <v>4</v>
      </c>
      <c r="CP651" s="4">
        <v>2</v>
      </c>
      <c r="CQ651" s="4">
        <v>0</v>
      </c>
      <c r="CR651" s="4">
        <v>0</v>
      </c>
      <c r="CS651" s="4">
        <v>1</v>
      </c>
      <c r="CT651" s="4">
        <v>11</v>
      </c>
      <c r="CU651" s="4">
        <v>2</v>
      </c>
      <c r="CV651" s="4">
        <v>44</v>
      </c>
      <c r="CW651" s="4">
        <v>2</v>
      </c>
      <c r="CX651" s="5">
        <v>2</v>
      </c>
    </row>
    <row r="652" spans="1:102" ht="15.75" x14ac:dyDescent="0.25">
      <c r="A652" s="4" t="s">
        <v>455</v>
      </c>
      <c r="B652" s="4" t="s">
        <v>456</v>
      </c>
      <c r="C652" s="4">
        <v>2020</v>
      </c>
      <c r="D652" s="4">
        <v>242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2</v>
      </c>
      <c r="M652" s="4">
        <v>0</v>
      </c>
      <c r="N652" s="4">
        <v>5</v>
      </c>
      <c r="O652" s="4">
        <v>67</v>
      </c>
      <c r="P652" s="4">
        <v>0</v>
      </c>
      <c r="Q652" s="4">
        <v>0</v>
      </c>
      <c r="R652" s="4">
        <v>1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1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3</v>
      </c>
      <c r="AH652" s="4">
        <v>10</v>
      </c>
      <c r="AI652" s="4">
        <v>5</v>
      </c>
      <c r="AJ652" s="4">
        <v>7</v>
      </c>
      <c r="AK652" s="4">
        <v>4</v>
      </c>
      <c r="AL652" s="4">
        <v>0</v>
      </c>
      <c r="AM652" s="4">
        <v>5</v>
      </c>
      <c r="AN652" s="4">
        <v>4</v>
      </c>
      <c r="AO652" s="4">
        <v>7</v>
      </c>
      <c r="AP652" s="4">
        <v>0</v>
      </c>
      <c r="AQ652" s="4">
        <v>3</v>
      </c>
      <c r="AR652" s="4">
        <v>0</v>
      </c>
      <c r="AS652" s="4">
        <v>1</v>
      </c>
      <c r="AT652" s="4">
        <v>3</v>
      </c>
      <c r="AU652" s="4">
        <v>1</v>
      </c>
      <c r="AV652" s="4">
        <v>1</v>
      </c>
      <c r="AW652" s="4">
        <v>2</v>
      </c>
      <c r="AX652" s="4">
        <v>4</v>
      </c>
      <c r="AY652" s="4">
        <v>0</v>
      </c>
      <c r="AZ652" s="4">
        <v>1</v>
      </c>
      <c r="BA652" s="4">
        <v>0</v>
      </c>
      <c r="BB652" s="4">
        <v>13</v>
      </c>
      <c r="BC652" s="4">
        <v>3</v>
      </c>
      <c r="BD652" s="4">
        <v>0</v>
      </c>
      <c r="BE652" s="4">
        <v>2</v>
      </c>
      <c r="BF652" s="4">
        <v>12</v>
      </c>
      <c r="BG652" s="4">
        <v>1</v>
      </c>
      <c r="BH652" s="4">
        <v>1</v>
      </c>
      <c r="BI652" s="4">
        <v>0</v>
      </c>
      <c r="BJ652" s="4">
        <v>4</v>
      </c>
      <c r="BK652" s="4">
        <v>6</v>
      </c>
      <c r="BL652" s="4">
        <v>0</v>
      </c>
      <c r="BM652" s="4">
        <v>1</v>
      </c>
      <c r="BN652" s="4">
        <v>8</v>
      </c>
      <c r="BO652" s="4">
        <v>0</v>
      </c>
      <c r="BP652" s="4">
        <v>1</v>
      </c>
      <c r="BQ652" s="4">
        <v>3</v>
      </c>
      <c r="BR652" s="4">
        <v>0</v>
      </c>
      <c r="BS652" s="4">
        <v>6</v>
      </c>
      <c r="BT652" s="4">
        <v>4</v>
      </c>
      <c r="BU652" s="4">
        <v>0</v>
      </c>
      <c r="BV652" s="4">
        <v>2</v>
      </c>
      <c r="BW652" s="4">
        <v>0</v>
      </c>
      <c r="BX652" s="4">
        <v>1</v>
      </c>
      <c r="BY652" s="4">
        <v>0</v>
      </c>
      <c r="BZ652" s="4">
        <v>0</v>
      </c>
      <c r="CA652" s="4">
        <v>3</v>
      </c>
      <c r="CB652" s="4">
        <v>0</v>
      </c>
      <c r="CC652" s="4">
        <v>0</v>
      </c>
      <c r="CD652" s="4">
        <v>2</v>
      </c>
      <c r="CE652" s="4">
        <v>0</v>
      </c>
      <c r="CF652" s="4">
        <v>0</v>
      </c>
      <c r="CG652" s="4">
        <v>0</v>
      </c>
      <c r="CH652" s="4">
        <v>1</v>
      </c>
      <c r="CI652" s="4">
        <v>1</v>
      </c>
      <c r="CJ652" s="4">
        <v>3</v>
      </c>
      <c r="CK652" s="4">
        <v>1</v>
      </c>
      <c r="CL652" s="4">
        <v>0</v>
      </c>
      <c r="CM652" s="4">
        <v>1</v>
      </c>
      <c r="CN652" s="4">
        <v>8</v>
      </c>
      <c r="CO652" s="4">
        <v>1</v>
      </c>
      <c r="CP652" s="4">
        <v>1</v>
      </c>
      <c r="CQ652" s="4">
        <v>0</v>
      </c>
      <c r="CR652" s="4">
        <v>0</v>
      </c>
      <c r="CS652" s="4">
        <v>0</v>
      </c>
      <c r="CT652" s="4">
        <v>5</v>
      </c>
      <c r="CU652" s="4">
        <v>0</v>
      </c>
      <c r="CV652" s="4">
        <v>7</v>
      </c>
      <c r="CW652" s="4">
        <v>2</v>
      </c>
      <c r="CX652" s="5">
        <v>2</v>
      </c>
    </row>
    <row r="653" spans="1:102" ht="15.75" x14ac:dyDescent="0.25">
      <c r="A653" s="4" t="s">
        <v>457</v>
      </c>
      <c r="B653" s="4" t="s">
        <v>458</v>
      </c>
      <c r="C653" s="4">
        <v>2020</v>
      </c>
      <c r="D653" s="4">
        <v>2479</v>
      </c>
      <c r="E653" s="4">
        <v>3</v>
      </c>
      <c r="F653" s="4">
        <v>0</v>
      </c>
      <c r="G653" s="4">
        <v>6</v>
      </c>
      <c r="H653" s="4">
        <v>0</v>
      </c>
      <c r="I653" s="4">
        <v>4</v>
      </c>
      <c r="J653" s="4">
        <v>6</v>
      </c>
      <c r="K653" s="4">
        <v>2</v>
      </c>
      <c r="L653" s="4">
        <v>26</v>
      </c>
      <c r="M653" s="4">
        <v>18</v>
      </c>
      <c r="N653" s="4">
        <v>26</v>
      </c>
      <c r="O653" s="4">
        <v>159</v>
      </c>
      <c r="P653" s="4">
        <v>0</v>
      </c>
      <c r="Q653" s="4">
        <v>0</v>
      </c>
      <c r="R653" s="4">
        <v>1</v>
      </c>
      <c r="S653" s="4">
        <v>0</v>
      </c>
      <c r="T653" s="4">
        <v>0</v>
      </c>
      <c r="U653" s="4">
        <v>2</v>
      </c>
      <c r="V653" s="4">
        <v>1</v>
      </c>
      <c r="W653" s="4">
        <v>24</v>
      </c>
      <c r="X653" s="4">
        <v>2</v>
      </c>
      <c r="Y653" s="4">
        <v>0</v>
      </c>
      <c r="Z653" s="4">
        <v>0</v>
      </c>
      <c r="AA653" s="4">
        <v>12</v>
      </c>
      <c r="AB653" s="4">
        <v>0</v>
      </c>
      <c r="AC653" s="4">
        <v>0</v>
      </c>
      <c r="AD653" s="4">
        <v>0</v>
      </c>
      <c r="AE653" s="4">
        <v>1</v>
      </c>
      <c r="AF653" s="4">
        <v>0</v>
      </c>
      <c r="AG653" s="4">
        <v>76</v>
      </c>
      <c r="AH653" s="4">
        <v>10</v>
      </c>
      <c r="AI653" s="4">
        <v>50</v>
      </c>
      <c r="AJ653" s="4">
        <v>239</v>
      </c>
      <c r="AK653" s="4">
        <v>59</v>
      </c>
      <c r="AL653" s="4">
        <v>1</v>
      </c>
      <c r="AM653" s="4">
        <v>30</v>
      </c>
      <c r="AN653" s="4">
        <v>14</v>
      </c>
      <c r="AO653" s="4">
        <v>66</v>
      </c>
      <c r="AP653" s="4">
        <v>0</v>
      </c>
      <c r="AQ653" s="4">
        <v>20</v>
      </c>
      <c r="AR653" s="4">
        <v>0</v>
      </c>
      <c r="AS653" s="4">
        <v>13</v>
      </c>
      <c r="AT653" s="4">
        <v>14</v>
      </c>
      <c r="AU653" s="4">
        <v>16</v>
      </c>
      <c r="AV653" s="4">
        <v>14</v>
      </c>
      <c r="AW653" s="4">
        <v>3</v>
      </c>
      <c r="AX653" s="4">
        <v>26</v>
      </c>
      <c r="AY653" s="4">
        <v>1</v>
      </c>
      <c r="AZ653" s="4">
        <v>21</v>
      </c>
      <c r="BA653" s="4">
        <v>0</v>
      </c>
      <c r="BB653" s="4">
        <v>166</v>
      </c>
      <c r="BC653" s="4">
        <v>17</v>
      </c>
      <c r="BD653" s="4">
        <v>0</v>
      </c>
      <c r="BE653" s="4">
        <v>51</v>
      </c>
      <c r="BF653" s="4">
        <v>166</v>
      </c>
      <c r="BG653" s="4">
        <v>8</v>
      </c>
      <c r="BH653" s="4">
        <v>6</v>
      </c>
      <c r="BI653" s="4">
        <v>0</v>
      </c>
      <c r="BJ653" s="4">
        <v>63</v>
      </c>
      <c r="BK653" s="4">
        <v>123</v>
      </c>
      <c r="BL653" s="4">
        <v>0</v>
      </c>
      <c r="BM653" s="4">
        <v>2</v>
      </c>
      <c r="BN653" s="4">
        <v>16</v>
      </c>
      <c r="BO653" s="4">
        <v>1</v>
      </c>
      <c r="BP653" s="4">
        <v>3</v>
      </c>
      <c r="BQ653" s="4">
        <v>36</v>
      </c>
      <c r="BR653" s="4">
        <v>2</v>
      </c>
      <c r="BS653" s="4">
        <v>52</v>
      </c>
      <c r="BT653" s="4">
        <v>34</v>
      </c>
      <c r="BU653" s="4">
        <v>0</v>
      </c>
      <c r="BV653" s="4">
        <v>57</v>
      </c>
      <c r="BW653" s="4">
        <v>9</v>
      </c>
      <c r="BX653" s="4">
        <v>374</v>
      </c>
      <c r="BY653" s="4">
        <v>0</v>
      </c>
      <c r="BZ653" s="4">
        <v>0</v>
      </c>
      <c r="CA653" s="4">
        <v>42</v>
      </c>
      <c r="CB653" s="4">
        <v>28</v>
      </c>
      <c r="CC653" s="4">
        <v>0</v>
      </c>
      <c r="CD653" s="4">
        <v>1</v>
      </c>
      <c r="CE653" s="4">
        <v>0</v>
      </c>
      <c r="CF653" s="4">
        <v>1</v>
      </c>
      <c r="CG653" s="4">
        <v>22</v>
      </c>
      <c r="CH653" s="4">
        <v>1</v>
      </c>
      <c r="CI653" s="4">
        <v>3</v>
      </c>
      <c r="CJ653" s="4">
        <v>46</v>
      </c>
      <c r="CK653" s="4">
        <v>2</v>
      </c>
      <c r="CL653" s="4">
        <v>0</v>
      </c>
      <c r="CM653" s="4">
        <v>9</v>
      </c>
      <c r="CN653" s="4">
        <v>60</v>
      </c>
      <c r="CO653" s="4">
        <v>13</v>
      </c>
      <c r="CP653" s="4">
        <v>2</v>
      </c>
      <c r="CQ653" s="4">
        <v>0</v>
      </c>
      <c r="CR653" s="4">
        <v>29</v>
      </c>
      <c r="CS653" s="4">
        <v>13</v>
      </c>
      <c r="CT653" s="4">
        <v>9</v>
      </c>
      <c r="CU653" s="4">
        <v>1</v>
      </c>
      <c r="CV653" s="4">
        <v>33</v>
      </c>
      <c r="CW653" s="4">
        <v>12</v>
      </c>
      <c r="CX653" s="5">
        <v>12</v>
      </c>
    </row>
    <row r="654" spans="1:102" ht="15.75" x14ac:dyDescent="0.25">
      <c r="A654" s="4" t="s">
        <v>459</v>
      </c>
      <c r="B654" s="4" t="s">
        <v>460</v>
      </c>
      <c r="C654" s="4">
        <v>2020</v>
      </c>
      <c r="D654" s="4">
        <v>14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3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3</v>
      </c>
      <c r="BL654" s="4">
        <v>0</v>
      </c>
      <c r="BM654" s="4">
        <v>0</v>
      </c>
      <c r="BN654" s="4">
        <v>1</v>
      </c>
      <c r="BO654" s="4">
        <v>0</v>
      </c>
      <c r="BP654" s="4">
        <v>0</v>
      </c>
      <c r="BQ654" s="4">
        <v>1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2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1</v>
      </c>
      <c r="CO654" s="4">
        <v>0</v>
      </c>
      <c r="CP654" s="4">
        <v>0</v>
      </c>
      <c r="CQ654" s="4">
        <v>0</v>
      </c>
      <c r="CR654" s="4">
        <v>0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5">
        <v>0</v>
      </c>
    </row>
    <row r="655" spans="1:102" ht="15.75" x14ac:dyDescent="0.25">
      <c r="A655" s="4" t="s">
        <v>461</v>
      </c>
      <c r="B655" s="4" t="s">
        <v>462</v>
      </c>
      <c r="C655" s="4">
        <v>2020</v>
      </c>
      <c r="D655" s="4">
        <v>2723</v>
      </c>
      <c r="E655" s="4">
        <v>15</v>
      </c>
      <c r="F655" s="4">
        <v>1</v>
      </c>
      <c r="G655" s="4">
        <v>19</v>
      </c>
      <c r="H655" s="4">
        <v>0</v>
      </c>
      <c r="I655" s="4">
        <v>77</v>
      </c>
      <c r="J655" s="4">
        <v>8</v>
      </c>
      <c r="K655" s="4">
        <v>9</v>
      </c>
      <c r="L655" s="4">
        <v>55</v>
      </c>
      <c r="M655" s="4">
        <v>9</v>
      </c>
      <c r="N655" s="4">
        <v>33</v>
      </c>
      <c r="O655" s="4">
        <v>2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8</v>
      </c>
      <c r="W655" s="4">
        <v>42</v>
      </c>
      <c r="X655" s="4">
        <v>0</v>
      </c>
      <c r="Y655" s="4">
        <v>5</v>
      </c>
      <c r="Z655" s="4">
        <v>0</v>
      </c>
      <c r="AA655" s="4">
        <v>4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21</v>
      </c>
      <c r="AH655" s="4">
        <v>5</v>
      </c>
      <c r="AI655" s="4">
        <v>36</v>
      </c>
      <c r="AJ655" s="4">
        <v>238</v>
      </c>
      <c r="AK655" s="4">
        <v>96</v>
      </c>
      <c r="AL655" s="4">
        <v>1</v>
      </c>
      <c r="AM655" s="4">
        <v>24</v>
      </c>
      <c r="AN655" s="4">
        <v>9</v>
      </c>
      <c r="AO655" s="4">
        <v>57</v>
      </c>
      <c r="AP655" s="4">
        <v>0</v>
      </c>
      <c r="AQ655" s="4">
        <v>29</v>
      </c>
      <c r="AR655" s="4">
        <v>2</v>
      </c>
      <c r="AS655" s="4">
        <v>7</v>
      </c>
      <c r="AT655" s="4">
        <v>12</v>
      </c>
      <c r="AU655" s="4">
        <v>9</v>
      </c>
      <c r="AV655" s="4">
        <v>21</v>
      </c>
      <c r="AW655" s="4">
        <v>15</v>
      </c>
      <c r="AX655" s="4">
        <v>108</v>
      </c>
      <c r="AY655" s="4">
        <v>3</v>
      </c>
      <c r="AZ655" s="4">
        <v>47</v>
      </c>
      <c r="BA655" s="4">
        <v>0</v>
      </c>
      <c r="BB655" s="4">
        <v>225</v>
      </c>
      <c r="BC655" s="4">
        <v>7</v>
      </c>
      <c r="BD655" s="4">
        <v>1</v>
      </c>
      <c r="BE655" s="4">
        <v>24</v>
      </c>
      <c r="BF655" s="4">
        <v>63</v>
      </c>
      <c r="BG655" s="4">
        <v>6</v>
      </c>
      <c r="BH655" s="4">
        <v>5</v>
      </c>
      <c r="BI655" s="4">
        <v>0</v>
      </c>
      <c r="BJ655" s="4">
        <v>128</v>
      </c>
      <c r="BK655" s="4">
        <v>84</v>
      </c>
      <c r="BL655" s="4">
        <v>0</v>
      </c>
      <c r="BM655" s="4">
        <v>7</v>
      </c>
      <c r="BN655" s="4">
        <v>33</v>
      </c>
      <c r="BO655" s="4">
        <v>0</v>
      </c>
      <c r="BP655" s="4">
        <v>10</v>
      </c>
      <c r="BQ655" s="4">
        <v>97</v>
      </c>
      <c r="BR655" s="4">
        <v>5</v>
      </c>
      <c r="BS655" s="4">
        <v>116</v>
      </c>
      <c r="BT655" s="4">
        <v>86</v>
      </c>
      <c r="BU655" s="4">
        <v>0</v>
      </c>
      <c r="BV655" s="4">
        <v>14</v>
      </c>
      <c r="BW655" s="4">
        <v>25</v>
      </c>
      <c r="BX655" s="4">
        <v>157</v>
      </c>
      <c r="BY655" s="4">
        <v>2</v>
      </c>
      <c r="BZ655" s="4">
        <v>0</v>
      </c>
      <c r="CA655" s="4">
        <v>88</v>
      </c>
      <c r="CB655" s="4">
        <v>1</v>
      </c>
      <c r="CC655" s="4">
        <v>1</v>
      </c>
      <c r="CD655" s="4">
        <v>9</v>
      </c>
      <c r="CE655" s="4">
        <v>0</v>
      </c>
      <c r="CF655" s="4">
        <v>8</v>
      </c>
      <c r="CG655" s="4">
        <v>15</v>
      </c>
      <c r="CH655" s="4">
        <v>7</v>
      </c>
      <c r="CI655" s="4">
        <v>6</v>
      </c>
      <c r="CJ655" s="4">
        <v>51</v>
      </c>
      <c r="CK655" s="4">
        <v>3</v>
      </c>
      <c r="CL655" s="4">
        <v>0</v>
      </c>
      <c r="CM655" s="4">
        <v>81</v>
      </c>
      <c r="CN655" s="4">
        <v>149</v>
      </c>
      <c r="CO655" s="4">
        <v>5</v>
      </c>
      <c r="CP655" s="4">
        <v>3</v>
      </c>
      <c r="CQ655" s="4">
        <v>0</v>
      </c>
      <c r="CR655" s="4">
        <v>4</v>
      </c>
      <c r="CS655" s="4">
        <v>26</v>
      </c>
      <c r="CT655" s="4">
        <v>26</v>
      </c>
      <c r="CU655" s="4">
        <v>1</v>
      </c>
      <c r="CV655" s="4">
        <v>52</v>
      </c>
      <c r="CW655" s="4">
        <v>58</v>
      </c>
      <c r="CX655" s="5">
        <v>58</v>
      </c>
    </row>
    <row r="656" spans="1:102" ht="15.75" x14ac:dyDescent="0.25">
      <c r="A656" s="4" t="s">
        <v>463</v>
      </c>
      <c r="B656" s="4" t="s">
        <v>464</v>
      </c>
      <c r="C656" s="4">
        <v>2020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5">
        <v>0</v>
      </c>
    </row>
    <row r="657" spans="1:102" ht="15.75" x14ac:dyDescent="0.25">
      <c r="A657" s="4" t="s">
        <v>465</v>
      </c>
      <c r="B657" s="4" t="s">
        <v>466</v>
      </c>
      <c r="C657" s="4">
        <v>2020</v>
      </c>
      <c r="D657" s="4">
        <v>22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3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1</v>
      </c>
      <c r="AK657" s="4">
        <v>1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1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1</v>
      </c>
      <c r="BK657" s="4">
        <v>1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1</v>
      </c>
      <c r="BT657" s="4">
        <v>0</v>
      </c>
      <c r="BU657" s="4">
        <v>0</v>
      </c>
      <c r="BV657" s="4">
        <v>1</v>
      </c>
      <c r="BW657" s="4">
        <v>0</v>
      </c>
      <c r="BX657" s="4">
        <v>0</v>
      </c>
      <c r="BY657" s="4">
        <v>0</v>
      </c>
      <c r="BZ657" s="4">
        <v>0</v>
      </c>
      <c r="CA657" s="4">
        <v>1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1</v>
      </c>
      <c r="CO657" s="4">
        <v>0</v>
      </c>
      <c r="CP657" s="4">
        <v>0</v>
      </c>
      <c r="CQ657" s="4">
        <v>0</v>
      </c>
      <c r="CR657" s="4">
        <v>0</v>
      </c>
      <c r="CS657" s="4">
        <v>2</v>
      </c>
      <c r="CT657" s="4">
        <v>1</v>
      </c>
      <c r="CU657" s="4">
        <v>0</v>
      </c>
      <c r="CV657" s="4">
        <v>1</v>
      </c>
      <c r="CW657" s="4">
        <v>0</v>
      </c>
      <c r="CX657" s="5">
        <v>0</v>
      </c>
    </row>
    <row r="658" spans="1:102" ht="15.75" x14ac:dyDescent="0.25">
      <c r="A658" s="4" t="s">
        <v>467</v>
      </c>
      <c r="B658" s="4" t="s">
        <v>468</v>
      </c>
      <c r="C658" s="4">
        <v>2020</v>
      </c>
      <c r="D658" s="4">
        <v>91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8</v>
      </c>
      <c r="K658" s="4">
        <v>0</v>
      </c>
      <c r="L658" s="4">
        <v>0</v>
      </c>
      <c r="M658" s="4">
        <v>0</v>
      </c>
      <c r="N658" s="4">
        <v>3</v>
      </c>
      <c r="O658" s="4">
        <v>6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14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1</v>
      </c>
      <c r="AH658" s="4">
        <v>0</v>
      </c>
      <c r="AI658" s="4">
        <v>1</v>
      </c>
      <c r="AJ658" s="4">
        <v>5</v>
      </c>
      <c r="AK658" s="4">
        <v>2</v>
      </c>
      <c r="AL658" s="4">
        <v>0</v>
      </c>
      <c r="AM658" s="4">
        <v>0</v>
      </c>
      <c r="AN658" s="4">
        <v>1</v>
      </c>
      <c r="AO658" s="4">
        <v>8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4</v>
      </c>
      <c r="AY658" s="4">
        <v>0</v>
      </c>
      <c r="AZ658" s="4">
        <v>8</v>
      </c>
      <c r="BA658" s="4">
        <v>0</v>
      </c>
      <c r="BB658" s="4">
        <v>4</v>
      </c>
      <c r="BC658" s="4">
        <v>1</v>
      </c>
      <c r="BD658" s="4">
        <v>0</v>
      </c>
      <c r="BE658" s="4">
        <v>0</v>
      </c>
      <c r="BF658" s="4">
        <v>10</v>
      </c>
      <c r="BG658" s="4">
        <v>0</v>
      </c>
      <c r="BH658" s="4">
        <v>0</v>
      </c>
      <c r="BI658" s="4">
        <v>0</v>
      </c>
      <c r="BJ658" s="4">
        <v>2</v>
      </c>
      <c r="BK658" s="4">
        <v>2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1</v>
      </c>
      <c r="BT658" s="4">
        <v>0</v>
      </c>
      <c r="BU658" s="4">
        <v>0</v>
      </c>
      <c r="BV658" s="4">
        <v>2</v>
      </c>
      <c r="BW658" s="4">
        <v>3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1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2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1</v>
      </c>
      <c r="CW658" s="4">
        <v>1</v>
      </c>
      <c r="CX658" s="5">
        <v>1</v>
      </c>
    </row>
    <row r="659" spans="1:102" ht="15.75" x14ac:dyDescent="0.25">
      <c r="A659" s="4" t="s">
        <v>469</v>
      </c>
      <c r="B659" s="4" t="s">
        <v>470</v>
      </c>
      <c r="C659" s="4">
        <v>2020</v>
      </c>
      <c r="D659" s="4">
        <v>4451</v>
      </c>
      <c r="E659" s="4">
        <v>7</v>
      </c>
      <c r="F659" s="4">
        <v>8</v>
      </c>
      <c r="G659" s="4">
        <v>10</v>
      </c>
      <c r="H659" s="4">
        <v>7</v>
      </c>
      <c r="I659" s="4">
        <v>30</v>
      </c>
      <c r="J659" s="4">
        <v>11</v>
      </c>
      <c r="K659" s="4">
        <v>7</v>
      </c>
      <c r="L659" s="4">
        <v>24</v>
      </c>
      <c r="M659" s="4">
        <v>29</v>
      </c>
      <c r="N659" s="4">
        <v>44</v>
      </c>
      <c r="O659" s="4">
        <v>88</v>
      </c>
      <c r="P659" s="4">
        <v>0</v>
      </c>
      <c r="Q659" s="4">
        <v>3</v>
      </c>
      <c r="R659" s="4">
        <v>1</v>
      </c>
      <c r="S659" s="4">
        <v>1</v>
      </c>
      <c r="T659" s="4">
        <v>0</v>
      </c>
      <c r="U659" s="4">
        <v>1</v>
      </c>
      <c r="V659" s="4">
        <v>17</v>
      </c>
      <c r="W659" s="4">
        <v>16</v>
      </c>
      <c r="X659" s="4">
        <v>4</v>
      </c>
      <c r="Y659" s="4">
        <v>0</v>
      </c>
      <c r="Z659" s="4">
        <v>532</v>
      </c>
      <c r="AA659" s="4">
        <v>60</v>
      </c>
      <c r="AB659" s="4">
        <v>11</v>
      </c>
      <c r="AC659" s="4">
        <v>0</v>
      </c>
      <c r="AD659" s="4">
        <v>1</v>
      </c>
      <c r="AE659" s="4">
        <v>12</v>
      </c>
      <c r="AF659" s="4">
        <v>1</v>
      </c>
      <c r="AG659" s="4">
        <v>199</v>
      </c>
      <c r="AH659" s="4">
        <v>61</v>
      </c>
      <c r="AI659" s="4">
        <v>49</v>
      </c>
      <c r="AJ659" s="4">
        <v>131</v>
      </c>
      <c r="AK659" s="4">
        <v>76</v>
      </c>
      <c r="AL659" s="4">
        <v>3</v>
      </c>
      <c r="AM659" s="4">
        <v>50</v>
      </c>
      <c r="AN659" s="4">
        <v>76</v>
      </c>
      <c r="AO659" s="4">
        <v>81</v>
      </c>
      <c r="AP659" s="4">
        <v>2</v>
      </c>
      <c r="AQ659" s="4">
        <v>19</v>
      </c>
      <c r="AR659" s="4">
        <v>6</v>
      </c>
      <c r="AS659" s="4">
        <v>27</v>
      </c>
      <c r="AT659" s="4">
        <v>51</v>
      </c>
      <c r="AU659" s="4">
        <v>59</v>
      </c>
      <c r="AV659" s="4">
        <v>251</v>
      </c>
      <c r="AW659" s="4">
        <v>86</v>
      </c>
      <c r="AX659" s="4">
        <v>95</v>
      </c>
      <c r="AY659" s="4">
        <v>4</v>
      </c>
      <c r="AZ659" s="4">
        <v>23</v>
      </c>
      <c r="BA659" s="4">
        <v>0</v>
      </c>
      <c r="BB659" s="4">
        <v>92</v>
      </c>
      <c r="BC659" s="4">
        <v>27</v>
      </c>
      <c r="BD659" s="4">
        <v>47</v>
      </c>
      <c r="BE659" s="4">
        <v>46</v>
      </c>
      <c r="BF659" s="4">
        <v>84</v>
      </c>
      <c r="BG659" s="4">
        <v>9</v>
      </c>
      <c r="BH659" s="4">
        <v>9</v>
      </c>
      <c r="BI659" s="4">
        <v>1</v>
      </c>
      <c r="BJ659" s="4">
        <v>94</v>
      </c>
      <c r="BK659" s="4">
        <v>142</v>
      </c>
      <c r="BL659" s="4">
        <v>0</v>
      </c>
      <c r="BM659" s="4">
        <v>9</v>
      </c>
      <c r="BN659" s="4">
        <v>78</v>
      </c>
      <c r="BO659" s="4">
        <v>1</v>
      </c>
      <c r="BP659" s="4">
        <v>18</v>
      </c>
      <c r="BQ659" s="4">
        <v>60</v>
      </c>
      <c r="BR659" s="4">
        <v>30</v>
      </c>
      <c r="BS659" s="4">
        <v>122</v>
      </c>
      <c r="BT659" s="4">
        <v>61</v>
      </c>
      <c r="BU659" s="4">
        <v>13</v>
      </c>
      <c r="BV659" s="4">
        <v>218</v>
      </c>
      <c r="BW659" s="4">
        <v>32</v>
      </c>
      <c r="BX659" s="4">
        <v>379</v>
      </c>
      <c r="BY659" s="4">
        <v>5</v>
      </c>
      <c r="BZ659" s="4">
        <v>0</v>
      </c>
      <c r="CA659" s="4">
        <v>26</v>
      </c>
      <c r="CB659" s="4">
        <v>20</v>
      </c>
      <c r="CC659" s="4">
        <v>1</v>
      </c>
      <c r="CD659" s="4">
        <v>11</v>
      </c>
      <c r="CE659" s="4">
        <v>9</v>
      </c>
      <c r="CF659" s="4">
        <v>10</v>
      </c>
      <c r="CG659" s="4">
        <v>5</v>
      </c>
      <c r="CH659" s="4">
        <v>10</v>
      </c>
      <c r="CI659" s="4">
        <v>11</v>
      </c>
      <c r="CJ659" s="4">
        <v>101</v>
      </c>
      <c r="CK659" s="4">
        <v>24</v>
      </c>
      <c r="CL659" s="4">
        <v>1</v>
      </c>
      <c r="CM659" s="4">
        <v>13</v>
      </c>
      <c r="CN659" s="4">
        <v>96</v>
      </c>
      <c r="CO659" s="4">
        <v>14</v>
      </c>
      <c r="CP659" s="4">
        <v>13</v>
      </c>
      <c r="CQ659" s="4">
        <v>0</v>
      </c>
      <c r="CR659" s="4">
        <v>2</v>
      </c>
      <c r="CS659" s="4">
        <v>4</v>
      </c>
      <c r="CT659" s="4">
        <v>43</v>
      </c>
      <c r="CU659" s="4">
        <v>6</v>
      </c>
      <c r="CV659" s="4">
        <v>174</v>
      </c>
      <c r="CW659" s="4">
        <v>6</v>
      </c>
      <c r="CX659" s="5">
        <v>6</v>
      </c>
    </row>
    <row r="660" spans="1:102" ht="15.75" x14ac:dyDescent="0.25">
      <c r="A660" s="4" t="s">
        <v>471</v>
      </c>
      <c r="B660" s="4" t="s">
        <v>472</v>
      </c>
      <c r="C660" s="4">
        <v>2020</v>
      </c>
      <c r="D660" s="4">
        <v>4541</v>
      </c>
      <c r="E660" s="4">
        <v>1</v>
      </c>
      <c r="F660" s="4">
        <v>3</v>
      </c>
      <c r="G660" s="4">
        <v>11</v>
      </c>
      <c r="H660" s="4">
        <v>4</v>
      </c>
      <c r="I660" s="4">
        <v>17</v>
      </c>
      <c r="J660" s="4">
        <v>4</v>
      </c>
      <c r="K660" s="4">
        <v>2</v>
      </c>
      <c r="L660" s="4">
        <v>19</v>
      </c>
      <c r="M660" s="4">
        <v>3</v>
      </c>
      <c r="N660" s="4">
        <v>37</v>
      </c>
      <c r="O660" s="4">
        <v>312</v>
      </c>
      <c r="P660" s="4">
        <v>0</v>
      </c>
      <c r="Q660" s="4">
        <v>0</v>
      </c>
      <c r="R660" s="4">
        <v>7</v>
      </c>
      <c r="S660" s="4">
        <v>0</v>
      </c>
      <c r="T660" s="4">
        <v>0</v>
      </c>
      <c r="U660" s="4">
        <v>0</v>
      </c>
      <c r="V660" s="4">
        <v>3</v>
      </c>
      <c r="W660" s="4">
        <v>1</v>
      </c>
      <c r="X660" s="4">
        <v>1</v>
      </c>
      <c r="Y660" s="4">
        <v>0</v>
      </c>
      <c r="Z660" s="4">
        <v>0</v>
      </c>
      <c r="AA660" s="4">
        <v>66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69</v>
      </c>
      <c r="AH660" s="4">
        <v>2</v>
      </c>
      <c r="AI660" s="4">
        <v>8</v>
      </c>
      <c r="AJ660" s="4">
        <v>116</v>
      </c>
      <c r="AK660" s="4">
        <v>39</v>
      </c>
      <c r="AL660" s="4">
        <v>0</v>
      </c>
      <c r="AM660" s="4">
        <v>11</v>
      </c>
      <c r="AN660" s="4">
        <v>15</v>
      </c>
      <c r="AO660" s="4">
        <v>74</v>
      </c>
      <c r="AP660" s="4">
        <v>0</v>
      </c>
      <c r="AQ660" s="4">
        <v>27</v>
      </c>
      <c r="AR660" s="4">
        <v>0</v>
      </c>
      <c r="AS660" s="4">
        <v>6</v>
      </c>
      <c r="AT660" s="4">
        <v>10</v>
      </c>
      <c r="AU660" s="4">
        <v>20</v>
      </c>
      <c r="AV660" s="4">
        <v>37</v>
      </c>
      <c r="AW660" s="4">
        <v>38</v>
      </c>
      <c r="AX660" s="4">
        <v>93</v>
      </c>
      <c r="AY660" s="4">
        <v>6</v>
      </c>
      <c r="AZ660" s="4">
        <v>31</v>
      </c>
      <c r="BA660" s="4">
        <v>0</v>
      </c>
      <c r="BB660" s="4">
        <v>1973</v>
      </c>
      <c r="BC660" s="4">
        <v>23</v>
      </c>
      <c r="BD660" s="4">
        <v>0</v>
      </c>
      <c r="BE660" s="4">
        <v>24</v>
      </c>
      <c r="BF660" s="4">
        <v>48</v>
      </c>
      <c r="BG660" s="4">
        <v>2</v>
      </c>
      <c r="BH660" s="4">
        <v>5</v>
      </c>
      <c r="BI660" s="4">
        <v>0</v>
      </c>
      <c r="BJ660" s="4">
        <v>214</v>
      </c>
      <c r="BK660" s="4">
        <v>87</v>
      </c>
      <c r="BL660" s="4">
        <v>0</v>
      </c>
      <c r="BM660" s="4">
        <v>4</v>
      </c>
      <c r="BN660" s="4">
        <v>45</v>
      </c>
      <c r="BO660" s="4">
        <v>0</v>
      </c>
      <c r="BP660" s="4">
        <v>4</v>
      </c>
      <c r="BQ660" s="4">
        <v>46</v>
      </c>
      <c r="BR660" s="4">
        <v>4</v>
      </c>
      <c r="BS660" s="4">
        <v>167</v>
      </c>
      <c r="BT660" s="4">
        <v>75</v>
      </c>
      <c r="BU660" s="4">
        <v>6</v>
      </c>
      <c r="BV660" s="4">
        <v>16</v>
      </c>
      <c r="BW660" s="4">
        <v>19</v>
      </c>
      <c r="BX660" s="4">
        <v>177</v>
      </c>
      <c r="BY660" s="4">
        <v>5</v>
      </c>
      <c r="BZ660" s="4">
        <v>0</v>
      </c>
      <c r="CA660" s="4">
        <v>32</v>
      </c>
      <c r="CB660" s="4">
        <v>31</v>
      </c>
      <c r="CC660" s="4">
        <v>0</v>
      </c>
      <c r="CD660" s="4">
        <v>7</v>
      </c>
      <c r="CE660" s="4">
        <v>0</v>
      </c>
      <c r="CF660" s="4">
        <v>3</v>
      </c>
      <c r="CG660" s="4">
        <v>12</v>
      </c>
      <c r="CH660" s="4">
        <v>1</v>
      </c>
      <c r="CI660" s="4">
        <v>5</v>
      </c>
      <c r="CJ660" s="4">
        <v>16</v>
      </c>
      <c r="CK660" s="4">
        <v>2</v>
      </c>
      <c r="CL660" s="4">
        <v>0</v>
      </c>
      <c r="CM660" s="4">
        <v>32</v>
      </c>
      <c r="CN660" s="4">
        <v>147</v>
      </c>
      <c r="CO660" s="4">
        <v>20</v>
      </c>
      <c r="CP660" s="4">
        <v>5</v>
      </c>
      <c r="CQ660" s="4">
        <v>0</v>
      </c>
      <c r="CR660" s="4">
        <v>16</v>
      </c>
      <c r="CS660" s="4">
        <v>47</v>
      </c>
      <c r="CT660" s="4">
        <v>11</v>
      </c>
      <c r="CU660" s="4">
        <v>2</v>
      </c>
      <c r="CV660" s="4">
        <v>60</v>
      </c>
      <c r="CW660" s="4">
        <v>47</v>
      </c>
      <c r="CX660" s="5">
        <v>47</v>
      </c>
    </row>
    <row r="661" spans="1:102" ht="15.75" x14ac:dyDescent="0.25">
      <c r="A661" s="4" t="s">
        <v>473</v>
      </c>
      <c r="B661" s="4" t="s">
        <v>474</v>
      </c>
      <c r="C661" s="4">
        <v>2020</v>
      </c>
      <c r="D661" s="4">
        <v>23</v>
      </c>
      <c r="E661" s="4">
        <v>0</v>
      </c>
      <c r="F661" s="4">
        <v>0</v>
      </c>
      <c r="G661" s="4">
        <v>0</v>
      </c>
      <c r="H661" s="4">
        <v>0</v>
      </c>
      <c r="I661" s="4">
        <v>2</v>
      </c>
      <c r="J661" s="4">
        <v>1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1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1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2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1</v>
      </c>
      <c r="BL661" s="4">
        <v>0</v>
      </c>
      <c r="BM661" s="4">
        <v>0</v>
      </c>
      <c r="BN661" s="4">
        <v>1</v>
      </c>
      <c r="BO661" s="4">
        <v>0</v>
      </c>
      <c r="BP661" s="4">
        <v>0</v>
      </c>
      <c r="BQ661" s="4">
        <v>1</v>
      </c>
      <c r="BR661" s="4">
        <v>0</v>
      </c>
      <c r="BS661" s="4">
        <v>1</v>
      </c>
      <c r="BT661" s="4">
        <v>0</v>
      </c>
      <c r="BU661" s="4">
        <v>0</v>
      </c>
      <c r="BV661" s="4">
        <v>1</v>
      </c>
      <c r="BW661" s="4">
        <v>0</v>
      </c>
      <c r="BX661" s="4">
        <v>1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4</v>
      </c>
      <c r="CS661" s="4">
        <v>0</v>
      </c>
      <c r="CT661" s="4">
        <v>0</v>
      </c>
      <c r="CU661" s="4">
        <v>0</v>
      </c>
      <c r="CV661" s="4">
        <v>1</v>
      </c>
      <c r="CW661" s="4">
        <v>0</v>
      </c>
      <c r="CX661" s="5">
        <v>0</v>
      </c>
    </row>
    <row r="662" spans="1:102" ht="15.75" x14ac:dyDescent="0.25">
      <c r="A662" s="4" t="s">
        <v>475</v>
      </c>
      <c r="B662" s="4" t="s">
        <v>476</v>
      </c>
      <c r="C662" s="4">
        <v>2020</v>
      </c>
      <c r="D662" s="4">
        <v>277</v>
      </c>
      <c r="E662" s="4">
        <v>0</v>
      </c>
      <c r="F662" s="4">
        <v>1</v>
      </c>
      <c r="G662" s="4">
        <v>1</v>
      </c>
      <c r="H662" s="4">
        <v>1</v>
      </c>
      <c r="I662" s="4">
        <v>1</v>
      </c>
      <c r="J662" s="4">
        <v>1</v>
      </c>
      <c r="K662" s="4">
        <v>1</v>
      </c>
      <c r="L662" s="4">
        <v>0</v>
      </c>
      <c r="M662" s="4">
        <v>2</v>
      </c>
      <c r="N662" s="4">
        <v>7</v>
      </c>
      <c r="O662" s="4">
        <v>11</v>
      </c>
      <c r="P662" s="4">
        <v>0</v>
      </c>
      <c r="Q662" s="4">
        <v>0</v>
      </c>
      <c r="R662" s="4">
        <v>0</v>
      </c>
      <c r="S662" s="4">
        <v>0</v>
      </c>
      <c r="T662" s="4">
        <v>1</v>
      </c>
      <c r="U662" s="4">
        <v>1</v>
      </c>
      <c r="V662" s="4">
        <v>0</v>
      </c>
      <c r="W662" s="4">
        <v>0</v>
      </c>
      <c r="X662" s="4">
        <v>0</v>
      </c>
      <c r="Y662" s="4">
        <v>0</v>
      </c>
      <c r="Z662" s="4">
        <v>19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4</v>
      </c>
      <c r="AH662" s="4">
        <v>2</v>
      </c>
      <c r="AI662" s="4">
        <v>4</v>
      </c>
      <c r="AJ662" s="4">
        <v>3</v>
      </c>
      <c r="AK662" s="4">
        <v>12</v>
      </c>
      <c r="AL662" s="4">
        <v>0</v>
      </c>
      <c r="AM662" s="4">
        <v>5</v>
      </c>
      <c r="AN662" s="4">
        <v>9</v>
      </c>
      <c r="AO662" s="4">
        <v>12</v>
      </c>
      <c r="AP662" s="4">
        <v>2</v>
      </c>
      <c r="AQ662" s="4">
        <v>1</v>
      </c>
      <c r="AR662" s="4">
        <v>1</v>
      </c>
      <c r="AS662" s="4">
        <v>2</v>
      </c>
      <c r="AT662" s="4">
        <v>4</v>
      </c>
      <c r="AU662" s="4">
        <v>4</v>
      </c>
      <c r="AV662" s="4">
        <v>3</v>
      </c>
      <c r="AW662" s="4">
        <v>5</v>
      </c>
      <c r="AX662" s="4">
        <v>4</v>
      </c>
      <c r="AY662" s="4">
        <v>0</v>
      </c>
      <c r="AZ662" s="4">
        <v>2</v>
      </c>
      <c r="BA662" s="4">
        <v>0</v>
      </c>
      <c r="BB662" s="4">
        <v>8</v>
      </c>
      <c r="BC662" s="4">
        <v>2</v>
      </c>
      <c r="BD662" s="4">
        <v>0</v>
      </c>
      <c r="BE662" s="4">
        <v>2</v>
      </c>
      <c r="BF662" s="4">
        <v>15</v>
      </c>
      <c r="BG662" s="4">
        <v>0</v>
      </c>
      <c r="BH662" s="4">
        <v>2</v>
      </c>
      <c r="BI662" s="4">
        <v>0</v>
      </c>
      <c r="BJ662" s="4">
        <v>5</v>
      </c>
      <c r="BK662" s="4">
        <v>8</v>
      </c>
      <c r="BL662" s="4">
        <v>0</v>
      </c>
      <c r="BM662" s="4">
        <v>1</v>
      </c>
      <c r="BN662" s="4">
        <v>5</v>
      </c>
      <c r="BO662" s="4">
        <v>0</v>
      </c>
      <c r="BP662" s="4">
        <v>2</v>
      </c>
      <c r="BQ662" s="4">
        <v>8</v>
      </c>
      <c r="BR662" s="4">
        <v>1</v>
      </c>
      <c r="BS662" s="4">
        <v>15</v>
      </c>
      <c r="BT662" s="4">
        <v>7</v>
      </c>
      <c r="BU662" s="4">
        <v>1</v>
      </c>
      <c r="BV662" s="4">
        <v>5</v>
      </c>
      <c r="BW662" s="4">
        <v>2</v>
      </c>
      <c r="BX662" s="4">
        <v>6</v>
      </c>
      <c r="BY662" s="4">
        <v>0</v>
      </c>
      <c r="BZ662" s="4">
        <v>0</v>
      </c>
      <c r="CA662" s="4">
        <v>5</v>
      </c>
      <c r="CB662" s="4">
        <v>6</v>
      </c>
      <c r="CC662" s="4">
        <v>0</v>
      </c>
      <c r="CD662" s="4">
        <v>1</v>
      </c>
      <c r="CE662" s="4">
        <v>0</v>
      </c>
      <c r="CF662" s="4">
        <v>0</v>
      </c>
      <c r="CG662" s="4">
        <v>0</v>
      </c>
      <c r="CH662" s="4">
        <v>0</v>
      </c>
      <c r="CI662" s="4">
        <v>1</v>
      </c>
      <c r="CJ662" s="4">
        <v>9</v>
      </c>
      <c r="CK662" s="4">
        <v>2</v>
      </c>
      <c r="CL662" s="4">
        <v>0</v>
      </c>
      <c r="CM662" s="4">
        <v>2</v>
      </c>
      <c r="CN662" s="4">
        <v>8</v>
      </c>
      <c r="CO662" s="4">
        <v>1</v>
      </c>
      <c r="CP662" s="4">
        <v>1</v>
      </c>
      <c r="CQ662" s="4">
        <v>0</v>
      </c>
      <c r="CR662" s="4">
        <v>0</v>
      </c>
      <c r="CS662" s="4">
        <v>0</v>
      </c>
      <c r="CT662" s="4">
        <v>4</v>
      </c>
      <c r="CU662" s="4">
        <v>0</v>
      </c>
      <c r="CV662" s="4">
        <v>14</v>
      </c>
      <c r="CW662" s="4">
        <v>1</v>
      </c>
      <c r="CX662" s="5">
        <v>1</v>
      </c>
    </row>
    <row r="663" spans="1:102" ht="15.75" x14ac:dyDescent="0.25">
      <c r="A663" s="4" t="s">
        <v>477</v>
      </c>
      <c r="B663" s="4" t="s">
        <v>478</v>
      </c>
      <c r="C663" s="4">
        <v>2020</v>
      </c>
      <c r="D663" s="4">
        <v>608</v>
      </c>
      <c r="E663" s="4">
        <v>1</v>
      </c>
      <c r="F663" s="4">
        <v>0</v>
      </c>
      <c r="G663" s="4">
        <v>1</v>
      </c>
      <c r="H663" s="4">
        <v>1</v>
      </c>
      <c r="I663" s="4">
        <v>1</v>
      </c>
      <c r="J663" s="4">
        <v>4</v>
      </c>
      <c r="K663" s="4">
        <v>1</v>
      </c>
      <c r="L663" s="4">
        <v>7</v>
      </c>
      <c r="M663" s="4">
        <v>1</v>
      </c>
      <c r="N663" s="4">
        <v>4</v>
      </c>
      <c r="O663" s="4">
        <v>16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1</v>
      </c>
      <c r="W663" s="4">
        <v>0</v>
      </c>
      <c r="X663" s="4">
        <v>0</v>
      </c>
      <c r="Y663" s="4">
        <v>0</v>
      </c>
      <c r="Z663" s="4">
        <v>0</v>
      </c>
      <c r="AA663" s="4">
        <v>2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12</v>
      </c>
      <c r="AH663" s="4">
        <v>2</v>
      </c>
      <c r="AI663" s="4">
        <v>8</v>
      </c>
      <c r="AJ663" s="4">
        <v>9</v>
      </c>
      <c r="AK663" s="4">
        <v>17</v>
      </c>
      <c r="AL663" s="4">
        <v>0</v>
      </c>
      <c r="AM663" s="4">
        <v>13</v>
      </c>
      <c r="AN663" s="4">
        <v>11</v>
      </c>
      <c r="AO663" s="4">
        <v>10</v>
      </c>
      <c r="AP663" s="4">
        <v>0</v>
      </c>
      <c r="AQ663" s="4">
        <v>19</v>
      </c>
      <c r="AR663" s="4">
        <v>0</v>
      </c>
      <c r="AS663" s="4">
        <v>6</v>
      </c>
      <c r="AT663" s="4">
        <v>11</v>
      </c>
      <c r="AU663" s="4">
        <v>7</v>
      </c>
      <c r="AV663" s="4">
        <v>10</v>
      </c>
      <c r="AW663" s="4">
        <v>2</v>
      </c>
      <c r="AX663" s="4">
        <v>22</v>
      </c>
      <c r="AY663" s="4">
        <v>0</v>
      </c>
      <c r="AZ663" s="4">
        <v>2</v>
      </c>
      <c r="BA663" s="4">
        <v>0</v>
      </c>
      <c r="BB663" s="4">
        <v>41</v>
      </c>
      <c r="BC663" s="4">
        <v>1</v>
      </c>
      <c r="BD663" s="4">
        <v>0</v>
      </c>
      <c r="BE663" s="4">
        <v>2</v>
      </c>
      <c r="BF663" s="4">
        <v>18</v>
      </c>
      <c r="BG663" s="4">
        <v>1</v>
      </c>
      <c r="BH663" s="4">
        <v>2</v>
      </c>
      <c r="BI663" s="4">
        <v>0</v>
      </c>
      <c r="BJ663" s="4">
        <v>11</v>
      </c>
      <c r="BK663" s="4">
        <v>16</v>
      </c>
      <c r="BL663" s="4">
        <v>0</v>
      </c>
      <c r="BM663" s="4">
        <v>1</v>
      </c>
      <c r="BN663" s="4">
        <v>6</v>
      </c>
      <c r="BO663" s="4">
        <v>0</v>
      </c>
      <c r="BP663" s="4">
        <v>1</v>
      </c>
      <c r="BQ663" s="4">
        <v>25</v>
      </c>
      <c r="BR663" s="4">
        <v>1</v>
      </c>
      <c r="BS663" s="4">
        <v>44</v>
      </c>
      <c r="BT663" s="4">
        <v>9</v>
      </c>
      <c r="BU663" s="4">
        <v>0</v>
      </c>
      <c r="BV663" s="4">
        <v>76</v>
      </c>
      <c r="BW663" s="4">
        <v>2</v>
      </c>
      <c r="BX663" s="4">
        <v>21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1</v>
      </c>
      <c r="CE663" s="4">
        <v>0</v>
      </c>
      <c r="CF663" s="4">
        <v>1</v>
      </c>
      <c r="CG663" s="4">
        <v>4</v>
      </c>
      <c r="CH663" s="4">
        <v>0</v>
      </c>
      <c r="CI663" s="4">
        <v>1</v>
      </c>
      <c r="CJ663" s="4">
        <v>27</v>
      </c>
      <c r="CK663" s="4">
        <v>6</v>
      </c>
      <c r="CL663" s="4">
        <v>0</v>
      </c>
      <c r="CM663" s="4">
        <v>34</v>
      </c>
      <c r="CN663" s="4">
        <v>9</v>
      </c>
      <c r="CO663" s="4">
        <v>1</v>
      </c>
      <c r="CP663" s="4">
        <v>1</v>
      </c>
      <c r="CQ663" s="4">
        <v>0</v>
      </c>
      <c r="CR663" s="4">
        <v>0</v>
      </c>
      <c r="CS663" s="4">
        <v>4</v>
      </c>
      <c r="CT663" s="4">
        <v>9</v>
      </c>
      <c r="CU663" s="4">
        <v>0</v>
      </c>
      <c r="CV663" s="4">
        <v>25</v>
      </c>
      <c r="CW663" s="4">
        <v>1</v>
      </c>
      <c r="CX663" s="5">
        <v>1</v>
      </c>
    </row>
    <row r="664" spans="1:102" ht="15.75" x14ac:dyDescent="0.25">
      <c r="A664" s="4" t="s">
        <v>479</v>
      </c>
      <c r="B664" s="4" t="s">
        <v>480</v>
      </c>
      <c r="C664" s="4">
        <v>2020</v>
      </c>
      <c r="D664" s="4">
        <v>29</v>
      </c>
      <c r="E664" s="4">
        <v>0</v>
      </c>
      <c r="F664" s="4">
        <v>1</v>
      </c>
      <c r="G664" s="4">
        <v>0</v>
      </c>
      <c r="H664" s="4">
        <v>0</v>
      </c>
      <c r="I664" s="4">
        <v>0</v>
      </c>
      <c r="J664" s="4">
        <v>1</v>
      </c>
      <c r="K664" s="4">
        <v>0</v>
      </c>
      <c r="L664" s="4">
        <v>0</v>
      </c>
      <c r="M664" s="4">
        <v>0</v>
      </c>
      <c r="N664" s="4">
        <v>1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1</v>
      </c>
      <c r="AK664" s="4">
        <v>2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1</v>
      </c>
      <c r="BF664" s="4">
        <v>1</v>
      </c>
      <c r="BG664" s="4">
        <v>0</v>
      </c>
      <c r="BH664" s="4">
        <v>0</v>
      </c>
      <c r="BI664" s="4">
        <v>0</v>
      </c>
      <c r="BJ664" s="4">
        <v>3</v>
      </c>
      <c r="BK664" s="4">
        <v>1</v>
      </c>
      <c r="BL664" s="4">
        <v>0</v>
      </c>
      <c r="BM664" s="4">
        <v>1</v>
      </c>
      <c r="BN664" s="4">
        <v>1</v>
      </c>
      <c r="BO664" s="4">
        <v>0</v>
      </c>
      <c r="BP664" s="4">
        <v>0</v>
      </c>
      <c r="BQ664" s="4">
        <v>0</v>
      </c>
      <c r="BR664" s="4">
        <v>0</v>
      </c>
      <c r="BS664" s="4">
        <v>4</v>
      </c>
      <c r="BT664" s="4">
        <v>0</v>
      </c>
      <c r="BU664" s="4">
        <v>0</v>
      </c>
      <c r="BV664" s="4">
        <v>0</v>
      </c>
      <c r="BW664" s="4">
        <v>0</v>
      </c>
      <c r="BX664" s="4">
        <v>1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1</v>
      </c>
      <c r="CG664" s="4">
        <v>0</v>
      </c>
      <c r="CH664" s="4">
        <v>2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1</v>
      </c>
      <c r="CW664" s="4">
        <v>0</v>
      </c>
      <c r="CX664" s="5">
        <v>0</v>
      </c>
    </row>
    <row r="665" spans="1:102" ht="15.75" x14ac:dyDescent="0.25">
      <c r="A665" s="4" t="s">
        <v>481</v>
      </c>
      <c r="B665" s="4" t="s">
        <v>482</v>
      </c>
      <c r="C665" s="4">
        <v>2020</v>
      </c>
      <c r="D665" s="4">
        <v>1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1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1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5">
        <v>0</v>
      </c>
    </row>
    <row r="666" spans="1:102" ht="15.75" x14ac:dyDescent="0.25">
      <c r="A666" s="4" t="s">
        <v>483</v>
      </c>
      <c r="B666" s="4" t="s">
        <v>484</v>
      </c>
      <c r="C666" s="4">
        <v>2020</v>
      </c>
      <c r="D666" s="4">
        <v>105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1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55</v>
      </c>
      <c r="AB666" s="4">
        <v>3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1</v>
      </c>
      <c r="AJ666" s="4">
        <v>0</v>
      </c>
      <c r="AK666" s="4">
        <v>1</v>
      </c>
      <c r="AL666" s="4">
        <v>0</v>
      </c>
      <c r="AM666" s="4">
        <v>0</v>
      </c>
      <c r="AN666" s="4">
        <v>0</v>
      </c>
      <c r="AO666" s="4">
        <v>1</v>
      </c>
      <c r="AP666" s="4">
        <v>0</v>
      </c>
      <c r="AQ666" s="4">
        <v>0</v>
      </c>
      <c r="AR666" s="4">
        <v>0</v>
      </c>
      <c r="AS666" s="4">
        <v>0</v>
      </c>
      <c r="AT666" s="4">
        <v>2</v>
      </c>
      <c r="AU666" s="4">
        <v>0</v>
      </c>
      <c r="AV666" s="4">
        <v>0</v>
      </c>
      <c r="AW666" s="4">
        <v>0</v>
      </c>
      <c r="AX666" s="4">
        <v>4</v>
      </c>
      <c r="AY666" s="4">
        <v>0</v>
      </c>
      <c r="AZ666" s="4">
        <v>3</v>
      </c>
      <c r="BA666" s="4">
        <v>0</v>
      </c>
      <c r="BB666" s="4">
        <v>1</v>
      </c>
      <c r="BC666" s="4">
        <v>0</v>
      </c>
      <c r="BD666" s="4">
        <v>0</v>
      </c>
      <c r="BE666" s="4">
        <v>2</v>
      </c>
      <c r="BF666" s="4">
        <v>3</v>
      </c>
      <c r="BG666" s="4">
        <v>0</v>
      </c>
      <c r="BH666" s="4">
        <v>0</v>
      </c>
      <c r="BI666" s="4">
        <v>0</v>
      </c>
      <c r="BJ666" s="4">
        <v>2</v>
      </c>
      <c r="BK666" s="4">
        <v>3</v>
      </c>
      <c r="BL666" s="4">
        <v>0</v>
      </c>
      <c r="BM666" s="4">
        <v>0</v>
      </c>
      <c r="BN666" s="4">
        <v>1</v>
      </c>
      <c r="BO666" s="4">
        <v>0</v>
      </c>
      <c r="BP666" s="4">
        <v>0</v>
      </c>
      <c r="BQ666" s="4">
        <v>3</v>
      </c>
      <c r="BR666" s="4">
        <v>0</v>
      </c>
      <c r="BS666" s="4">
        <v>1</v>
      </c>
      <c r="BT666" s="4">
        <v>0</v>
      </c>
      <c r="BU666" s="4">
        <v>0</v>
      </c>
      <c r="BV666" s="4">
        <v>1</v>
      </c>
      <c r="BW666" s="4">
        <v>7</v>
      </c>
      <c r="BX666" s="4">
        <v>1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1</v>
      </c>
      <c r="CE666" s="4">
        <v>0</v>
      </c>
      <c r="CF666" s="4">
        <v>1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1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1</v>
      </c>
      <c r="CW666" s="4">
        <v>1</v>
      </c>
      <c r="CX666" s="5">
        <v>1</v>
      </c>
    </row>
    <row r="667" spans="1:102" ht="15.75" x14ac:dyDescent="0.25">
      <c r="A667" s="4" t="s">
        <v>485</v>
      </c>
      <c r="B667" s="4" t="s">
        <v>486</v>
      </c>
      <c r="C667" s="4">
        <v>2020</v>
      </c>
      <c r="D667" s="4">
        <v>14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3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1</v>
      </c>
      <c r="AK667" s="4">
        <v>0</v>
      </c>
      <c r="AL667" s="4">
        <v>0</v>
      </c>
      <c r="AM667" s="4">
        <v>0</v>
      </c>
      <c r="AN667" s="4">
        <v>0</v>
      </c>
      <c r="AO667" s="4">
        <v>1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2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1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1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1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5">
        <v>0</v>
      </c>
    </row>
    <row r="668" spans="1:102" ht="15.75" x14ac:dyDescent="0.25">
      <c r="A668" s="4" t="s">
        <v>487</v>
      </c>
      <c r="B668" s="4" t="s">
        <v>488</v>
      </c>
      <c r="C668" s="4">
        <v>2020</v>
      </c>
      <c r="D668" s="4">
        <v>10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2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1</v>
      </c>
      <c r="AW668" s="4">
        <v>0</v>
      </c>
      <c r="AX668" s="4">
        <v>1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3</v>
      </c>
      <c r="BF668" s="4">
        <v>1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1</v>
      </c>
      <c r="BX668" s="4">
        <v>1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5">
        <v>0</v>
      </c>
    </row>
    <row r="669" spans="1:102" ht="15.75" x14ac:dyDescent="0.25">
      <c r="A669" s="4" t="s">
        <v>489</v>
      </c>
      <c r="B669" s="4" t="s">
        <v>490</v>
      </c>
      <c r="C669" s="4">
        <v>2020</v>
      </c>
      <c r="D669" s="4">
        <v>9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1</v>
      </c>
      <c r="O669" s="4">
        <v>5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2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1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5">
        <v>0</v>
      </c>
    </row>
    <row r="670" spans="1:102" ht="15.75" x14ac:dyDescent="0.25">
      <c r="A670" s="4" t="s">
        <v>491</v>
      </c>
      <c r="B670" s="4" t="s">
        <v>492</v>
      </c>
      <c r="C670" s="4">
        <v>2020</v>
      </c>
      <c r="D670" s="4">
        <v>1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1</v>
      </c>
      <c r="CU670" s="4">
        <v>0</v>
      </c>
      <c r="CV670" s="4">
        <v>0</v>
      </c>
      <c r="CW670" s="4">
        <v>0</v>
      </c>
      <c r="CX670" s="5">
        <v>0</v>
      </c>
    </row>
    <row r="671" spans="1:102" ht="15.75" x14ac:dyDescent="0.25">
      <c r="A671" s="4" t="s">
        <v>493</v>
      </c>
      <c r="B671" s="4" t="s">
        <v>494</v>
      </c>
      <c r="C671" s="4">
        <v>2020</v>
      </c>
      <c r="D671" s="4">
        <v>21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1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1</v>
      </c>
      <c r="AN671" s="4">
        <v>1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5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7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1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5">
        <v>0</v>
      </c>
    </row>
    <row r="672" spans="1:102" ht="15.75" x14ac:dyDescent="0.25">
      <c r="A672" s="4" t="s">
        <v>495</v>
      </c>
      <c r="B672" s="4" t="s">
        <v>496</v>
      </c>
      <c r="C672" s="4">
        <v>2020</v>
      </c>
      <c r="D672" s="4">
        <v>7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3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1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5">
        <v>0</v>
      </c>
    </row>
    <row r="673" spans="1:102" ht="15.75" x14ac:dyDescent="0.25">
      <c r="A673" s="4" t="s">
        <v>497</v>
      </c>
      <c r="B673" s="4" t="s">
        <v>498</v>
      </c>
      <c r="C673" s="4">
        <v>2020</v>
      </c>
      <c r="D673" s="4">
        <v>3</v>
      </c>
      <c r="E673" s="4">
        <v>0</v>
      </c>
      <c r="F673" s="4">
        <v>0</v>
      </c>
      <c r="G673" s="4">
        <v>2</v>
      </c>
      <c r="H673" s="4">
        <v>0</v>
      </c>
      <c r="I673" s="4">
        <v>0</v>
      </c>
      <c r="J673" s="4">
        <v>1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1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5">
        <v>0</v>
      </c>
    </row>
    <row r="674" spans="1:102" ht="15.75" x14ac:dyDescent="0.25">
      <c r="A674" s="4" t="s">
        <v>499</v>
      </c>
      <c r="B674" s="4" t="s">
        <v>500</v>
      </c>
      <c r="C674" s="4">
        <v>2020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1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5">
        <v>0</v>
      </c>
    </row>
    <row r="675" spans="1:102" ht="15.75" x14ac:dyDescent="0.25">
      <c r="A675" s="4" t="s">
        <v>501</v>
      </c>
      <c r="B675" s="4" t="s">
        <v>502</v>
      </c>
      <c r="C675" s="4">
        <v>2020</v>
      </c>
      <c r="D675" s="4">
        <v>2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1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1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5">
        <v>0</v>
      </c>
    </row>
    <row r="676" spans="1:102" ht="15.75" x14ac:dyDescent="0.25">
      <c r="A676" s="4" t="s">
        <v>503</v>
      </c>
      <c r="B676" s="4" t="s">
        <v>504</v>
      </c>
      <c r="C676" s="4">
        <v>2020</v>
      </c>
      <c r="D676" s="4">
        <v>8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4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1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1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1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5">
        <v>0</v>
      </c>
    </row>
    <row r="677" spans="1:102" ht="15.75" x14ac:dyDescent="0.25">
      <c r="A677" s="4" t="s">
        <v>505</v>
      </c>
      <c r="B677" s="4" t="s">
        <v>506</v>
      </c>
      <c r="C677" s="4">
        <v>2020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5">
        <v>0</v>
      </c>
    </row>
    <row r="678" spans="1:102" ht="15.75" x14ac:dyDescent="0.25">
      <c r="A678" s="4" t="s">
        <v>507</v>
      </c>
      <c r="B678" s="4" t="s">
        <v>508</v>
      </c>
      <c r="C678" s="4">
        <v>2020</v>
      </c>
      <c r="D678" s="4">
        <v>49</v>
      </c>
      <c r="E678" s="4">
        <v>0</v>
      </c>
      <c r="F678" s="4">
        <v>2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5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4</v>
      </c>
      <c r="V678" s="4">
        <v>0</v>
      </c>
      <c r="W678" s="4">
        <v>0</v>
      </c>
      <c r="X678" s="4">
        <v>0</v>
      </c>
      <c r="Y678" s="4">
        <v>3</v>
      </c>
      <c r="Z678" s="4">
        <v>0</v>
      </c>
      <c r="AA678" s="4">
        <v>24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1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1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1</v>
      </c>
      <c r="BR678" s="4">
        <v>0</v>
      </c>
      <c r="BS678" s="4">
        <v>0</v>
      </c>
      <c r="BT678" s="4">
        <v>1</v>
      </c>
      <c r="BU678" s="4">
        <v>0</v>
      </c>
      <c r="BV678" s="4">
        <v>0</v>
      </c>
      <c r="BW678" s="4">
        <v>2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1</v>
      </c>
      <c r="CU678" s="4">
        <v>0</v>
      </c>
      <c r="CV678" s="4">
        <v>1</v>
      </c>
      <c r="CW678" s="4">
        <v>0</v>
      </c>
      <c r="CX678" s="5">
        <v>0</v>
      </c>
    </row>
    <row r="679" spans="1:102" ht="15.75" x14ac:dyDescent="0.25">
      <c r="A679" s="4" t="s">
        <v>509</v>
      </c>
      <c r="B679" s="4" t="s">
        <v>510</v>
      </c>
      <c r="C679" s="4">
        <v>2020</v>
      </c>
      <c r="D679" s="4">
        <v>1178</v>
      </c>
      <c r="E679" s="4">
        <v>4</v>
      </c>
      <c r="F679" s="4">
        <v>2</v>
      </c>
      <c r="G679" s="4">
        <v>3</v>
      </c>
      <c r="H679" s="4">
        <v>4</v>
      </c>
      <c r="I679" s="4">
        <v>10</v>
      </c>
      <c r="J679" s="4">
        <v>5</v>
      </c>
      <c r="K679" s="4">
        <v>1</v>
      </c>
      <c r="L679" s="4">
        <v>3</v>
      </c>
      <c r="M679" s="4">
        <v>18</v>
      </c>
      <c r="N679" s="4">
        <v>15</v>
      </c>
      <c r="O679" s="4">
        <v>19</v>
      </c>
      <c r="P679" s="4">
        <v>1</v>
      </c>
      <c r="Q679" s="4">
        <v>0</v>
      </c>
      <c r="R679" s="4">
        <v>11</v>
      </c>
      <c r="S679" s="4">
        <v>0</v>
      </c>
      <c r="T679" s="4">
        <v>31</v>
      </c>
      <c r="U679" s="4">
        <v>2</v>
      </c>
      <c r="V679" s="4">
        <v>10</v>
      </c>
      <c r="W679" s="4">
        <v>38</v>
      </c>
      <c r="X679" s="4">
        <v>8</v>
      </c>
      <c r="Y679" s="4">
        <v>1</v>
      </c>
      <c r="Z679" s="4">
        <v>0</v>
      </c>
      <c r="AA679" s="4">
        <v>2</v>
      </c>
      <c r="AB679" s="4">
        <v>0</v>
      </c>
      <c r="AC679" s="4">
        <v>0</v>
      </c>
      <c r="AD679" s="4">
        <v>0</v>
      </c>
      <c r="AE679" s="4">
        <v>1</v>
      </c>
      <c r="AF679" s="4">
        <v>0</v>
      </c>
      <c r="AG679" s="4">
        <v>8</v>
      </c>
      <c r="AH679" s="4">
        <v>5</v>
      </c>
      <c r="AI679" s="4">
        <v>16</v>
      </c>
      <c r="AJ679" s="4">
        <v>50</v>
      </c>
      <c r="AK679" s="4">
        <v>31</v>
      </c>
      <c r="AL679" s="4">
        <v>2</v>
      </c>
      <c r="AM679" s="4">
        <v>18</v>
      </c>
      <c r="AN679" s="4">
        <v>7</v>
      </c>
      <c r="AO679" s="4">
        <v>28</v>
      </c>
      <c r="AP679" s="4">
        <v>2</v>
      </c>
      <c r="AQ679" s="4">
        <v>4</v>
      </c>
      <c r="AR679" s="4">
        <v>0</v>
      </c>
      <c r="AS679" s="4">
        <v>10</v>
      </c>
      <c r="AT679" s="4">
        <v>13</v>
      </c>
      <c r="AU679" s="4">
        <v>18</v>
      </c>
      <c r="AV679" s="4">
        <v>5</v>
      </c>
      <c r="AW679" s="4">
        <v>7</v>
      </c>
      <c r="AX679" s="4">
        <v>21</v>
      </c>
      <c r="AY679" s="4">
        <v>0</v>
      </c>
      <c r="AZ679" s="4">
        <v>4</v>
      </c>
      <c r="BA679" s="4">
        <v>0</v>
      </c>
      <c r="BB679" s="4">
        <v>105</v>
      </c>
      <c r="BC679" s="4">
        <v>3</v>
      </c>
      <c r="BD679" s="4">
        <v>0</v>
      </c>
      <c r="BE679" s="4">
        <v>13</v>
      </c>
      <c r="BF679" s="4">
        <v>34</v>
      </c>
      <c r="BG679" s="4">
        <v>3</v>
      </c>
      <c r="BH679" s="4">
        <v>4</v>
      </c>
      <c r="BI679" s="4">
        <v>0</v>
      </c>
      <c r="BJ679" s="4">
        <v>26</v>
      </c>
      <c r="BK679" s="4">
        <v>21</v>
      </c>
      <c r="BL679" s="4">
        <v>0</v>
      </c>
      <c r="BM679" s="4">
        <v>2</v>
      </c>
      <c r="BN679" s="4">
        <v>7</v>
      </c>
      <c r="BO679" s="4">
        <v>0</v>
      </c>
      <c r="BP679" s="4">
        <v>4</v>
      </c>
      <c r="BQ679" s="4">
        <v>14</v>
      </c>
      <c r="BR679" s="4">
        <v>1</v>
      </c>
      <c r="BS679" s="4">
        <v>30</v>
      </c>
      <c r="BT679" s="4">
        <v>220</v>
      </c>
      <c r="BU679" s="4">
        <v>1</v>
      </c>
      <c r="BV679" s="4">
        <v>11</v>
      </c>
      <c r="BW679" s="4">
        <v>2</v>
      </c>
      <c r="BX679" s="4">
        <v>125</v>
      </c>
      <c r="BY679" s="4">
        <v>1</v>
      </c>
      <c r="BZ679" s="4">
        <v>0</v>
      </c>
      <c r="CA679" s="4">
        <v>12</v>
      </c>
      <c r="CB679" s="4">
        <v>1</v>
      </c>
      <c r="CC679" s="4">
        <v>0</v>
      </c>
      <c r="CD679" s="4">
        <v>0</v>
      </c>
      <c r="CE679" s="4">
        <v>0</v>
      </c>
      <c r="CF679" s="4">
        <v>1</v>
      </c>
      <c r="CG679" s="4">
        <v>0</v>
      </c>
      <c r="CH679" s="4">
        <v>1</v>
      </c>
      <c r="CI679" s="4">
        <v>1</v>
      </c>
      <c r="CJ679" s="4">
        <v>5</v>
      </c>
      <c r="CK679" s="4">
        <v>0</v>
      </c>
      <c r="CL679" s="4">
        <v>0</v>
      </c>
      <c r="CM679" s="4">
        <v>5</v>
      </c>
      <c r="CN679" s="4">
        <v>35</v>
      </c>
      <c r="CO679" s="4">
        <v>8</v>
      </c>
      <c r="CP679" s="4">
        <v>1</v>
      </c>
      <c r="CQ679" s="4">
        <v>0</v>
      </c>
      <c r="CR679" s="4">
        <v>7</v>
      </c>
      <c r="CS679" s="4">
        <v>7</v>
      </c>
      <c r="CT679" s="4">
        <v>5</v>
      </c>
      <c r="CU679" s="4">
        <v>5</v>
      </c>
      <c r="CV679" s="4">
        <v>11</v>
      </c>
      <c r="CW679" s="4">
        <v>7</v>
      </c>
      <c r="CX679" s="5">
        <v>7</v>
      </c>
    </row>
    <row r="680" spans="1:102" ht="15.75" x14ac:dyDescent="0.25">
      <c r="A680" s="4" t="s">
        <v>511</v>
      </c>
      <c r="B680" s="4" t="s">
        <v>512</v>
      </c>
      <c r="C680" s="4">
        <v>2020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5">
        <v>0</v>
      </c>
    </row>
    <row r="681" spans="1:102" ht="15.75" x14ac:dyDescent="0.25">
      <c r="A681" s="4" t="s">
        <v>513</v>
      </c>
      <c r="B681" s="4" t="s">
        <v>514</v>
      </c>
      <c r="C681" s="4">
        <v>2020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5">
        <v>0</v>
      </c>
    </row>
    <row r="682" spans="1:102" ht="15.75" x14ac:dyDescent="0.25">
      <c r="A682" s="4" t="s">
        <v>515</v>
      </c>
      <c r="B682" s="4" t="s">
        <v>516</v>
      </c>
      <c r="C682" s="4">
        <v>2020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5">
        <v>0</v>
      </c>
    </row>
    <row r="683" spans="1:102" ht="15.75" x14ac:dyDescent="0.25">
      <c r="A683" s="4" t="s">
        <v>517</v>
      </c>
      <c r="B683" s="4" t="s">
        <v>518</v>
      </c>
      <c r="C683" s="4">
        <v>2020</v>
      </c>
      <c r="D683" s="4">
        <v>13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1</v>
      </c>
      <c r="AI683" s="4">
        <v>1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4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2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1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1</v>
      </c>
      <c r="CT683" s="4">
        <v>0</v>
      </c>
      <c r="CU683" s="4">
        <v>0</v>
      </c>
      <c r="CV683" s="4">
        <v>0</v>
      </c>
      <c r="CW683" s="4">
        <v>0</v>
      </c>
      <c r="CX683" s="5">
        <v>0</v>
      </c>
    </row>
    <row r="684" spans="1:102" ht="15.75" x14ac:dyDescent="0.25">
      <c r="A684" s="4" t="s">
        <v>519</v>
      </c>
      <c r="B684" s="4" t="s">
        <v>520</v>
      </c>
      <c r="C684" s="4">
        <v>2020</v>
      </c>
      <c r="D684" s="4">
        <v>186</v>
      </c>
      <c r="E684" s="4">
        <v>0</v>
      </c>
      <c r="F684" s="4">
        <v>0</v>
      </c>
      <c r="G684" s="4">
        <v>0</v>
      </c>
      <c r="H684" s="4">
        <v>0</v>
      </c>
      <c r="I684" s="4">
        <v>13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6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1</v>
      </c>
      <c r="V684" s="4">
        <v>1</v>
      </c>
      <c r="W684" s="4">
        <v>0</v>
      </c>
      <c r="X684" s="4">
        <v>0</v>
      </c>
      <c r="Y684" s="4">
        <v>0</v>
      </c>
      <c r="Z684" s="4">
        <v>0</v>
      </c>
      <c r="AA684" s="4">
        <v>36</v>
      </c>
      <c r="AB684" s="4">
        <v>9</v>
      </c>
      <c r="AC684" s="4">
        <v>0</v>
      </c>
      <c r="AD684" s="4">
        <v>0</v>
      </c>
      <c r="AE684" s="4">
        <v>0</v>
      </c>
      <c r="AF684" s="4">
        <v>0</v>
      </c>
      <c r="AG684" s="4">
        <v>1</v>
      </c>
      <c r="AH684" s="4">
        <v>0</v>
      </c>
      <c r="AI684" s="4">
        <v>2</v>
      </c>
      <c r="AJ684" s="4">
        <v>6</v>
      </c>
      <c r="AK684" s="4">
        <v>3</v>
      </c>
      <c r="AL684" s="4">
        <v>0</v>
      </c>
      <c r="AM684" s="4">
        <v>1</v>
      </c>
      <c r="AN684" s="4">
        <v>2</v>
      </c>
      <c r="AO684" s="4">
        <v>5</v>
      </c>
      <c r="AP684" s="4">
        <v>0</v>
      </c>
      <c r="AQ684" s="4">
        <v>1</v>
      </c>
      <c r="AR684" s="4">
        <v>0</v>
      </c>
      <c r="AS684" s="4">
        <v>1</v>
      </c>
      <c r="AT684" s="4">
        <v>15</v>
      </c>
      <c r="AU684" s="4">
        <v>0</v>
      </c>
      <c r="AV684" s="4">
        <v>4</v>
      </c>
      <c r="AW684" s="4">
        <v>5</v>
      </c>
      <c r="AX684" s="4">
        <v>2</v>
      </c>
      <c r="AY684" s="4">
        <v>1</v>
      </c>
      <c r="AZ684" s="4">
        <v>2</v>
      </c>
      <c r="BA684" s="4">
        <v>0</v>
      </c>
      <c r="BB684" s="4">
        <v>12</v>
      </c>
      <c r="BC684" s="4">
        <v>1</v>
      </c>
      <c r="BD684" s="4">
        <v>0</v>
      </c>
      <c r="BE684" s="4">
        <v>1</v>
      </c>
      <c r="BF684" s="4">
        <v>3</v>
      </c>
      <c r="BG684" s="4">
        <v>1</v>
      </c>
      <c r="BH684" s="4">
        <v>0</v>
      </c>
      <c r="BI684" s="4">
        <v>0</v>
      </c>
      <c r="BJ684" s="4">
        <v>2</v>
      </c>
      <c r="BK684" s="4">
        <v>4</v>
      </c>
      <c r="BL684" s="4">
        <v>0</v>
      </c>
      <c r="BM684" s="4">
        <v>0</v>
      </c>
      <c r="BN684" s="4">
        <v>1</v>
      </c>
      <c r="BO684" s="4">
        <v>0</v>
      </c>
      <c r="BP684" s="4">
        <v>0</v>
      </c>
      <c r="BQ684" s="4">
        <v>1</v>
      </c>
      <c r="BR684" s="4">
        <v>0</v>
      </c>
      <c r="BS684" s="4">
        <v>9</v>
      </c>
      <c r="BT684" s="4">
        <v>1</v>
      </c>
      <c r="BU684" s="4">
        <v>0</v>
      </c>
      <c r="BV684" s="4">
        <v>6</v>
      </c>
      <c r="BW684" s="4">
        <v>0</v>
      </c>
      <c r="BX684" s="4">
        <v>14</v>
      </c>
      <c r="BY684" s="4">
        <v>0</v>
      </c>
      <c r="BZ684" s="4">
        <v>0</v>
      </c>
      <c r="CA684" s="4">
        <v>1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1</v>
      </c>
      <c r="CN684" s="4">
        <v>3</v>
      </c>
      <c r="CO684" s="4">
        <v>2</v>
      </c>
      <c r="CP684" s="4">
        <v>0</v>
      </c>
      <c r="CQ684" s="4">
        <v>0</v>
      </c>
      <c r="CR684" s="4">
        <v>0</v>
      </c>
      <c r="CS684" s="4">
        <v>0</v>
      </c>
      <c r="CT684" s="4">
        <v>1</v>
      </c>
      <c r="CU684" s="4">
        <v>0</v>
      </c>
      <c r="CV684" s="4">
        <v>2</v>
      </c>
      <c r="CW684" s="4">
        <v>1</v>
      </c>
      <c r="CX684" s="5">
        <v>1</v>
      </c>
    </row>
    <row r="685" spans="1:102" ht="15.75" x14ac:dyDescent="0.25">
      <c r="A685" s="4" t="s">
        <v>521</v>
      </c>
      <c r="B685" s="4" t="s">
        <v>522</v>
      </c>
      <c r="C685" s="4">
        <v>2020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5">
        <v>0</v>
      </c>
    </row>
    <row r="686" spans="1:102" ht="15.75" x14ac:dyDescent="0.25">
      <c r="A686" s="4" t="s">
        <v>523</v>
      </c>
      <c r="B686" s="4" t="s">
        <v>524</v>
      </c>
      <c r="C686" s="4">
        <v>2020</v>
      </c>
      <c r="D686" s="4">
        <v>4916</v>
      </c>
      <c r="E686" s="4">
        <v>4</v>
      </c>
      <c r="F686" s="4">
        <v>0</v>
      </c>
      <c r="G686" s="4">
        <v>29</v>
      </c>
      <c r="H686" s="4">
        <v>0</v>
      </c>
      <c r="I686" s="4">
        <v>3</v>
      </c>
      <c r="J686" s="4">
        <v>6</v>
      </c>
      <c r="K686" s="4">
        <v>3</v>
      </c>
      <c r="L686" s="4">
        <v>4</v>
      </c>
      <c r="M686" s="4">
        <v>4</v>
      </c>
      <c r="N686" s="4">
        <v>23</v>
      </c>
      <c r="O686" s="4">
        <v>257</v>
      </c>
      <c r="P686" s="4">
        <v>4</v>
      </c>
      <c r="Q686" s="4">
        <v>0</v>
      </c>
      <c r="R686" s="4">
        <v>12</v>
      </c>
      <c r="S686" s="4">
        <v>0</v>
      </c>
      <c r="T686" s="4">
        <v>38</v>
      </c>
      <c r="U686" s="4">
        <v>6</v>
      </c>
      <c r="V686" s="4">
        <v>16</v>
      </c>
      <c r="W686" s="4">
        <v>535</v>
      </c>
      <c r="X686" s="4">
        <v>1</v>
      </c>
      <c r="Y686" s="4">
        <v>0</v>
      </c>
      <c r="Z686" s="4">
        <v>0</v>
      </c>
      <c r="AA686" s="4">
        <v>21</v>
      </c>
      <c r="AB686" s="4">
        <v>0</v>
      </c>
      <c r="AC686" s="4">
        <v>0</v>
      </c>
      <c r="AD686" s="4">
        <v>1</v>
      </c>
      <c r="AE686" s="4">
        <v>0</v>
      </c>
      <c r="AF686" s="4">
        <v>0</v>
      </c>
      <c r="AG686" s="4">
        <v>57</v>
      </c>
      <c r="AH686" s="4">
        <v>9</v>
      </c>
      <c r="AI686" s="4">
        <v>68</v>
      </c>
      <c r="AJ686" s="4">
        <v>162</v>
      </c>
      <c r="AK686" s="4">
        <v>66</v>
      </c>
      <c r="AL686" s="4">
        <v>2</v>
      </c>
      <c r="AM686" s="4">
        <v>97</v>
      </c>
      <c r="AN686" s="4">
        <v>37</v>
      </c>
      <c r="AO686" s="4">
        <v>87</v>
      </c>
      <c r="AP686" s="4">
        <v>2</v>
      </c>
      <c r="AQ686" s="4">
        <v>21</v>
      </c>
      <c r="AR686" s="4">
        <v>0</v>
      </c>
      <c r="AS686" s="4">
        <v>23</v>
      </c>
      <c r="AT686" s="4">
        <v>26</v>
      </c>
      <c r="AU686" s="4">
        <v>27</v>
      </c>
      <c r="AV686" s="4">
        <v>145</v>
      </c>
      <c r="AW686" s="4">
        <v>51</v>
      </c>
      <c r="AX686" s="4">
        <v>56</v>
      </c>
      <c r="AY686" s="4">
        <v>1</v>
      </c>
      <c r="AZ686" s="4">
        <v>38</v>
      </c>
      <c r="BA686" s="4">
        <v>0</v>
      </c>
      <c r="BB686" s="4">
        <v>1160</v>
      </c>
      <c r="BC686" s="4">
        <v>74</v>
      </c>
      <c r="BD686" s="4">
        <v>0</v>
      </c>
      <c r="BE686" s="4">
        <v>22</v>
      </c>
      <c r="BF686" s="4">
        <v>55</v>
      </c>
      <c r="BG686" s="4">
        <v>6</v>
      </c>
      <c r="BH686" s="4">
        <v>8</v>
      </c>
      <c r="BI686" s="4">
        <v>1</v>
      </c>
      <c r="BJ686" s="4">
        <v>62</v>
      </c>
      <c r="BK686" s="4">
        <v>64</v>
      </c>
      <c r="BL686" s="4">
        <v>0</v>
      </c>
      <c r="BM686" s="4">
        <v>2</v>
      </c>
      <c r="BN686" s="4">
        <v>18</v>
      </c>
      <c r="BO686" s="4">
        <v>0</v>
      </c>
      <c r="BP686" s="4">
        <v>6</v>
      </c>
      <c r="BQ686" s="4">
        <v>57</v>
      </c>
      <c r="BR686" s="4">
        <v>3</v>
      </c>
      <c r="BS686" s="4">
        <v>80</v>
      </c>
      <c r="BT686" s="4">
        <v>43</v>
      </c>
      <c r="BU686" s="4">
        <v>1</v>
      </c>
      <c r="BV686" s="4">
        <v>114</v>
      </c>
      <c r="BW686" s="4">
        <v>8</v>
      </c>
      <c r="BX686" s="4">
        <v>395</v>
      </c>
      <c r="BY686" s="4">
        <v>0</v>
      </c>
      <c r="BZ686" s="4">
        <v>0</v>
      </c>
      <c r="CA686" s="4">
        <v>31</v>
      </c>
      <c r="CB686" s="4">
        <v>21</v>
      </c>
      <c r="CC686" s="4">
        <v>0</v>
      </c>
      <c r="CD686" s="4">
        <v>2</v>
      </c>
      <c r="CE686" s="4">
        <v>2</v>
      </c>
      <c r="CF686" s="4">
        <v>2</v>
      </c>
      <c r="CG686" s="4">
        <v>6</v>
      </c>
      <c r="CH686" s="4">
        <v>1</v>
      </c>
      <c r="CI686" s="4">
        <v>1</v>
      </c>
      <c r="CJ686" s="4">
        <v>25</v>
      </c>
      <c r="CK686" s="4">
        <v>1</v>
      </c>
      <c r="CL686" s="4">
        <v>0</v>
      </c>
      <c r="CM686" s="4">
        <v>31</v>
      </c>
      <c r="CN686" s="4">
        <v>105</v>
      </c>
      <c r="CO686" s="4">
        <v>16</v>
      </c>
      <c r="CP686" s="4">
        <v>8</v>
      </c>
      <c r="CQ686" s="4">
        <v>0</v>
      </c>
      <c r="CR686" s="4">
        <v>3</v>
      </c>
      <c r="CS686" s="4">
        <v>2</v>
      </c>
      <c r="CT686" s="4">
        <v>38</v>
      </c>
      <c r="CU686" s="4">
        <v>16</v>
      </c>
      <c r="CV686" s="4">
        <v>50</v>
      </c>
      <c r="CW686" s="4">
        <v>430</v>
      </c>
      <c r="CX686" s="5">
        <v>433</v>
      </c>
    </row>
    <row r="687" spans="1:102" ht="15.75" x14ac:dyDescent="0.25">
      <c r="A687" s="4" t="s">
        <v>525</v>
      </c>
      <c r="B687" s="4" t="s">
        <v>526</v>
      </c>
      <c r="C687" s="4">
        <v>2020</v>
      </c>
      <c r="D687" s="4">
        <v>185</v>
      </c>
      <c r="E687" s="4">
        <v>0</v>
      </c>
      <c r="F687" s="4">
        <v>3</v>
      </c>
      <c r="G687" s="4">
        <v>2</v>
      </c>
      <c r="H687" s="4">
        <v>0</v>
      </c>
      <c r="I687" s="4">
        <v>4</v>
      </c>
      <c r="J687" s="4">
        <v>1</v>
      </c>
      <c r="K687" s="4">
        <v>0</v>
      </c>
      <c r="L687" s="4">
        <v>2</v>
      </c>
      <c r="M687" s="4">
        <v>0</v>
      </c>
      <c r="N687" s="4">
        <v>1</v>
      </c>
      <c r="O687" s="4">
        <v>4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65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3</v>
      </c>
      <c r="AJ687" s="4">
        <v>3</v>
      </c>
      <c r="AK687" s="4">
        <v>4</v>
      </c>
      <c r="AL687" s="4">
        <v>0</v>
      </c>
      <c r="AM687" s="4">
        <v>0</v>
      </c>
      <c r="AN687" s="4">
        <v>0</v>
      </c>
      <c r="AO687" s="4">
        <v>7</v>
      </c>
      <c r="AP687" s="4">
        <v>0</v>
      </c>
      <c r="AQ687" s="4">
        <v>2</v>
      </c>
      <c r="AR687" s="4">
        <v>0</v>
      </c>
      <c r="AS687" s="4">
        <v>0</v>
      </c>
      <c r="AT687" s="4">
        <v>0</v>
      </c>
      <c r="AU687" s="4">
        <v>2</v>
      </c>
      <c r="AV687" s="4">
        <v>4</v>
      </c>
      <c r="AW687" s="4">
        <v>0</v>
      </c>
      <c r="AX687" s="4">
        <v>8</v>
      </c>
      <c r="AY687" s="4">
        <v>0</v>
      </c>
      <c r="AZ687" s="4">
        <v>1</v>
      </c>
      <c r="BA687" s="4">
        <v>0</v>
      </c>
      <c r="BB687" s="4">
        <v>1</v>
      </c>
      <c r="BC687" s="4">
        <v>1</v>
      </c>
      <c r="BD687" s="4">
        <v>0</v>
      </c>
      <c r="BE687" s="4">
        <v>7</v>
      </c>
      <c r="BF687" s="4">
        <v>3</v>
      </c>
      <c r="BG687" s="4">
        <v>0</v>
      </c>
      <c r="BH687" s="4">
        <v>0</v>
      </c>
      <c r="BI687" s="4">
        <v>0</v>
      </c>
      <c r="BJ687" s="4">
        <v>9</v>
      </c>
      <c r="BK687" s="4">
        <v>4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2</v>
      </c>
      <c r="BT687" s="4">
        <v>1</v>
      </c>
      <c r="BU687" s="4">
        <v>0</v>
      </c>
      <c r="BV687" s="4">
        <v>2</v>
      </c>
      <c r="BW687" s="4">
        <v>2</v>
      </c>
      <c r="BX687" s="4">
        <v>10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1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1</v>
      </c>
      <c r="CK687" s="4">
        <v>0</v>
      </c>
      <c r="CL687" s="4">
        <v>0</v>
      </c>
      <c r="CM687" s="4">
        <v>1</v>
      </c>
      <c r="CN687" s="4">
        <v>7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8</v>
      </c>
      <c r="CU687" s="4">
        <v>0</v>
      </c>
      <c r="CV687" s="4">
        <v>3</v>
      </c>
      <c r="CW687" s="4">
        <v>2</v>
      </c>
      <c r="CX687" s="5">
        <v>2</v>
      </c>
    </row>
    <row r="688" spans="1:102" ht="15.75" x14ac:dyDescent="0.25">
      <c r="A688" s="4" t="s">
        <v>527</v>
      </c>
      <c r="B688" s="4" t="s">
        <v>528</v>
      </c>
      <c r="C688" s="4">
        <v>2020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0</v>
      </c>
      <c r="CX688" s="5">
        <v>0</v>
      </c>
    </row>
    <row r="689" spans="1:102" ht="15.75" x14ac:dyDescent="0.25">
      <c r="A689" s="4" t="s">
        <v>529</v>
      </c>
      <c r="B689" s="4" t="s">
        <v>530</v>
      </c>
      <c r="C689" s="4">
        <v>2020</v>
      </c>
      <c r="D689" s="4">
        <v>1383</v>
      </c>
      <c r="E689" s="4">
        <v>0</v>
      </c>
      <c r="F689" s="4">
        <v>2</v>
      </c>
      <c r="G689" s="4">
        <v>3</v>
      </c>
      <c r="H689" s="4">
        <v>18</v>
      </c>
      <c r="I689" s="4">
        <v>3</v>
      </c>
      <c r="J689" s="4">
        <v>1</v>
      </c>
      <c r="K689" s="4">
        <v>1</v>
      </c>
      <c r="L689" s="4">
        <v>5</v>
      </c>
      <c r="M689" s="4">
        <v>3</v>
      </c>
      <c r="N689" s="4">
        <v>5</v>
      </c>
      <c r="O689" s="4">
        <v>216</v>
      </c>
      <c r="P689" s="4">
        <v>0</v>
      </c>
      <c r="Q689" s="4">
        <v>0</v>
      </c>
      <c r="R689" s="4">
        <v>4</v>
      </c>
      <c r="S689" s="4">
        <v>0</v>
      </c>
      <c r="T689" s="4">
        <v>10</v>
      </c>
      <c r="U689" s="4">
        <v>2</v>
      </c>
      <c r="V689" s="4">
        <v>1</v>
      </c>
      <c r="W689" s="4">
        <v>13</v>
      </c>
      <c r="X689" s="4">
        <v>1</v>
      </c>
      <c r="Y689" s="4">
        <v>0</v>
      </c>
      <c r="Z689" s="4">
        <v>0</v>
      </c>
      <c r="AA689" s="4">
        <v>4</v>
      </c>
      <c r="AB689" s="4">
        <v>0</v>
      </c>
      <c r="AC689" s="4">
        <v>0</v>
      </c>
      <c r="AD689" s="4">
        <v>0</v>
      </c>
      <c r="AE689" s="4">
        <v>2</v>
      </c>
      <c r="AF689" s="4">
        <v>0</v>
      </c>
      <c r="AG689" s="4">
        <v>8</v>
      </c>
      <c r="AH689" s="4">
        <v>6</v>
      </c>
      <c r="AI689" s="4">
        <v>16</v>
      </c>
      <c r="AJ689" s="4">
        <v>116</v>
      </c>
      <c r="AK689" s="4">
        <v>22</v>
      </c>
      <c r="AL689" s="4">
        <v>0</v>
      </c>
      <c r="AM689" s="4">
        <v>17</v>
      </c>
      <c r="AN689" s="4">
        <v>8</v>
      </c>
      <c r="AO689" s="4">
        <v>96</v>
      </c>
      <c r="AP689" s="4">
        <v>0</v>
      </c>
      <c r="AQ689" s="4">
        <v>3</v>
      </c>
      <c r="AR689" s="4">
        <v>1</v>
      </c>
      <c r="AS689" s="4">
        <v>8</v>
      </c>
      <c r="AT689" s="4">
        <v>5</v>
      </c>
      <c r="AU689" s="4">
        <v>10</v>
      </c>
      <c r="AV689" s="4">
        <v>44</v>
      </c>
      <c r="AW689" s="4">
        <v>27</v>
      </c>
      <c r="AX689" s="4">
        <v>34</v>
      </c>
      <c r="AY689" s="4">
        <v>0</v>
      </c>
      <c r="AZ689" s="4">
        <v>9</v>
      </c>
      <c r="BA689" s="4">
        <v>0</v>
      </c>
      <c r="BB689" s="4">
        <v>49</v>
      </c>
      <c r="BC689" s="4">
        <v>4</v>
      </c>
      <c r="BD689" s="4">
        <v>0</v>
      </c>
      <c r="BE689" s="4">
        <v>7</v>
      </c>
      <c r="BF689" s="4">
        <v>54</v>
      </c>
      <c r="BG689" s="4">
        <v>2</v>
      </c>
      <c r="BH689" s="4">
        <v>2</v>
      </c>
      <c r="BI689" s="4">
        <v>0</v>
      </c>
      <c r="BJ689" s="4">
        <v>29</v>
      </c>
      <c r="BK689" s="4">
        <v>39</v>
      </c>
      <c r="BL689" s="4">
        <v>0</v>
      </c>
      <c r="BM689" s="4">
        <v>4</v>
      </c>
      <c r="BN689" s="4">
        <v>18</v>
      </c>
      <c r="BO689" s="4">
        <v>0</v>
      </c>
      <c r="BP689" s="4">
        <v>3</v>
      </c>
      <c r="BQ689" s="4">
        <v>32</v>
      </c>
      <c r="BR689" s="4">
        <v>1</v>
      </c>
      <c r="BS689" s="4">
        <v>55</v>
      </c>
      <c r="BT689" s="4">
        <v>21</v>
      </c>
      <c r="BU689" s="4">
        <v>0</v>
      </c>
      <c r="BV689" s="4">
        <v>11</v>
      </c>
      <c r="BW689" s="4">
        <v>14</v>
      </c>
      <c r="BX689" s="4">
        <v>124</v>
      </c>
      <c r="BY689" s="4">
        <v>1</v>
      </c>
      <c r="BZ689" s="4">
        <v>0</v>
      </c>
      <c r="CA689" s="4">
        <v>20</v>
      </c>
      <c r="CB689" s="4">
        <v>0</v>
      </c>
      <c r="CC689" s="4">
        <v>0</v>
      </c>
      <c r="CD689" s="4">
        <v>1</v>
      </c>
      <c r="CE689" s="4">
        <v>0</v>
      </c>
      <c r="CF689" s="4">
        <v>2</v>
      </c>
      <c r="CG689" s="4">
        <v>3</v>
      </c>
      <c r="CH689" s="4">
        <v>0</v>
      </c>
      <c r="CI689" s="4">
        <v>8</v>
      </c>
      <c r="CJ689" s="4">
        <v>11</v>
      </c>
      <c r="CK689" s="4">
        <v>2</v>
      </c>
      <c r="CL689" s="4">
        <v>0</v>
      </c>
      <c r="CM689" s="4">
        <v>10</v>
      </c>
      <c r="CN689" s="4">
        <v>58</v>
      </c>
      <c r="CO689" s="4">
        <v>5</v>
      </c>
      <c r="CP689" s="4">
        <v>6</v>
      </c>
      <c r="CQ689" s="4">
        <v>0</v>
      </c>
      <c r="CR689" s="4">
        <v>17</v>
      </c>
      <c r="CS689" s="4">
        <v>5</v>
      </c>
      <c r="CT689" s="4">
        <v>3</v>
      </c>
      <c r="CU689" s="4">
        <v>9</v>
      </c>
      <c r="CV689" s="4">
        <v>20</v>
      </c>
      <c r="CW689" s="4">
        <v>8</v>
      </c>
      <c r="CX689" s="5">
        <v>8</v>
      </c>
    </row>
    <row r="690" spans="1:102" ht="15.75" x14ac:dyDescent="0.25">
      <c r="A690" s="4" t="s">
        <v>531</v>
      </c>
      <c r="B690" s="4" t="s">
        <v>532</v>
      </c>
      <c r="C690" s="4">
        <v>2020</v>
      </c>
      <c r="D690" s="4">
        <v>99</v>
      </c>
      <c r="E690" s="4">
        <v>0</v>
      </c>
      <c r="F690" s="4">
        <v>0</v>
      </c>
      <c r="G690" s="4">
        <v>0</v>
      </c>
      <c r="H690" s="4">
        <v>0</v>
      </c>
      <c r="I690" s="4">
        <v>1</v>
      </c>
      <c r="J690" s="4">
        <v>0</v>
      </c>
      <c r="K690" s="4">
        <v>0</v>
      </c>
      <c r="L690" s="4">
        <v>0</v>
      </c>
      <c r="M690" s="4">
        <v>0</v>
      </c>
      <c r="N690" s="4">
        <v>2</v>
      </c>
      <c r="O690" s="4">
        <v>2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1</v>
      </c>
      <c r="AJ690" s="4">
        <v>1</v>
      </c>
      <c r="AK690" s="4">
        <v>1</v>
      </c>
      <c r="AL690" s="4">
        <v>0</v>
      </c>
      <c r="AM690" s="4">
        <v>0</v>
      </c>
      <c r="AN690" s="4">
        <v>0</v>
      </c>
      <c r="AO690" s="4">
        <v>2</v>
      </c>
      <c r="AP690" s="4">
        <v>0</v>
      </c>
      <c r="AQ690" s="4">
        <v>1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1</v>
      </c>
      <c r="AY690" s="4">
        <v>0</v>
      </c>
      <c r="AZ690" s="4">
        <v>1</v>
      </c>
      <c r="BA690" s="4">
        <v>0</v>
      </c>
      <c r="BB690" s="4">
        <v>0</v>
      </c>
      <c r="BC690" s="4">
        <v>0</v>
      </c>
      <c r="BD690" s="4">
        <v>0</v>
      </c>
      <c r="BE690" s="4">
        <v>1</v>
      </c>
      <c r="BF690" s="4">
        <v>3</v>
      </c>
      <c r="BG690" s="4">
        <v>0</v>
      </c>
      <c r="BH690" s="4">
        <v>0</v>
      </c>
      <c r="BI690" s="4">
        <v>0</v>
      </c>
      <c r="BJ690" s="4">
        <v>2</v>
      </c>
      <c r="BK690" s="4">
        <v>4</v>
      </c>
      <c r="BL690" s="4">
        <v>0</v>
      </c>
      <c r="BM690" s="4">
        <v>0</v>
      </c>
      <c r="BN690" s="4">
        <v>3</v>
      </c>
      <c r="BO690" s="4">
        <v>0</v>
      </c>
      <c r="BP690" s="4">
        <v>0</v>
      </c>
      <c r="BQ690" s="4">
        <v>3</v>
      </c>
      <c r="BR690" s="4">
        <v>4</v>
      </c>
      <c r="BS690" s="4">
        <v>4</v>
      </c>
      <c r="BT690" s="4">
        <v>1</v>
      </c>
      <c r="BU690" s="4">
        <v>0</v>
      </c>
      <c r="BV690" s="4">
        <v>3</v>
      </c>
      <c r="BW690" s="4">
        <v>39</v>
      </c>
      <c r="BX690" s="4">
        <v>6</v>
      </c>
      <c r="BY690" s="4">
        <v>0</v>
      </c>
      <c r="BZ690" s="4">
        <v>0</v>
      </c>
      <c r="CA690" s="4">
        <v>1</v>
      </c>
      <c r="CB690" s="4">
        <v>0</v>
      </c>
      <c r="CC690" s="4">
        <v>0</v>
      </c>
      <c r="CD690" s="4">
        <v>0</v>
      </c>
      <c r="CE690" s="4">
        <v>0</v>
      </c>
      <c r="CF690" s="4">
        <v>1</v>
      </c>
      <c r="CG690" s="4">
        <v>0</v>
      </c>
      <c r="CH690" s="4">
        <v>1</v>
      </c>
      <c r="CI690" s="4">
        <v>0</v>
      </c>
      <c r="CJ690" s="4">
        <v>1</v>
      </c>
      <c r="CK690" s="4">
        <v>0</v>
      </c>
      <c r="CL690" s="4">
        <v>0</v>
      </c>
      <c r="CM690" s="4">
        <v>0</v>
      </c>
      <c r="CN690" s="4">
        <v>3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2</v>
      </c>
      <c r="CU690" s="4">
        <v>0</v>
      </c>
      <c r="CV690" s="4">
        <v>1</v>
      </c>
      <c r="CW690" s="4">
        <v>0</v>
      </c>
      <c r="CX690" s="5">
        <v>0</v>
      </c>
    </row>
    <row r="691" spans="1:102" ht="15.75" x14ac:dyDescent="0.25">
      <c r="A691" s="4" t="s">
        <v>533</v>
      </c>
      <c r="B691" s="4" t="s">
        <v>534</v>
      </c>
      <c r="C691" s="4">
        <v>2020</v>
      </c>
      <c r="D691" s="4">
        <v>575</v>
      </c>
      <c r="E691" s="4">
        <v>0</v>
      </c>
      <c r="F691" s="4">
        <v>0</v>
      </c>
      <c r="G691" s="4">
        <v>1</v>
      </c>
      <c r="H691" s="4">
        <v>9</v>
      </c>
      <c r="I691" s="4">
        <v>1</v>
      </c>
      <c r="J691" s="4">
        <v>0</v>
      </c>
      <c r="K691" s="4">
        <v>0</v>
      </c>
      <c r="L691" s="4">
        <v>9</v>
      </c>
      <c r="M691" s="4">
        <v>2</v>
      </c>
      <c r="N691" s="4">
        <v>4</v>
      </c>
      <c r="O691" s="4">
        <v>137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26</v>
      </c>
      <c r="V691" s="4">
        <v>1</v>
      </c>
      <c r="W691" s="4">
        <v>0</v>
      </c>
      <c r="X691" s="4">
        <v>0</v>
      </c>
      <c r="Y691" s="4">
        <v>0</v>
      </c>
      <c r="Z691" s="4">
        <v>0</v>
      </c>
      <c r="AA691" s="4">
        <v>5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5</v>
      </c>
      <c r="AH691" s="4">
        <v>0</v>
      </c>
      <c r="AI691" s="4">
        <v>6</v>
      </c>
      <c r="AJ691" s="4">
        <v>85</v>
      </c>
      <c r="AK691" s="4">
        <v>14</v>
      </c>
      <c r="AL691" s="4">
        <v>2</v>
      </c>
      <c r="AM691" s="4">
        <v>3</v>
      </c>
      <c r="AN691" s="4">
        <v>6</v>
      </c>
      <c r="AO691" s="4">
        <v>38</v>
      </c>
      <c r="AP691" s="4">
        <v>0</v>
      </c>
      <c r="AQ691" s="4">
        <v>1</v>
      </c>
      <c r="AR691" s="4">
        <v>0</v>
      </c>
      <c r="AS691" s="4">
        <v>5</v>
      </c>
      <c r="AT691" s="4">
        <v>3</v>
      </c>
      <c r="AU691" s="4">
        <v>1</v>
      </c>
      <c r="AV691" s="4">
        <v>0</v>
      </c>
      <c r="AW691" s="4">
        <v>1</v>
      </c>
      <c r="AX691" s="4">
        <v>2</v>
      </c>
      <c r="AY691" s="4">
        <v>0</v>
      </c>
      <c r="AZ691" s="4">
        <v>2</v>
      </c>
      <c r="BA691" s="4">
        <v>0</v>
      </c>
      <c r="BB691" s="4">
        <v>2</v>
      </c>
      <c r="BC691" s="4">
        <v>3</v>
      </c>
      <c r="BD691" s="4">
        <v>0</v>
      </c>
      <c r="BE691" s="4">
        <v>3</v>
      </c>
      <c r="BF691" s="4">
        <v>53</v>
      </c>
      <c r="BG691" s="4">
        <v>0</v>
      </c>
      <c r="BH691" s="4">
        <v>0</v>
      </c>
      <c r="BI691" s="4">
        <v>0</v>
      </c>
      <c r="BJ691" s="4">
        <v>6</v>
      </c>
      <c r="BK691" s="4">
        <v>9</v>
      </c>
      <c r="BL691" s="4">
        <v>0</v>
      </c>
      <c r="BM691" s="4">
        <v>1</v>
      </c>
      <c r="BN691" s="4">
        <v>3</v>
      </c>
      <c r="BO691" s="4">
        <v>0</v>
      </c>
      <c r="BP691" s="4">
        <v>1</v>
      </c>
      <c r="BQ691" s="4">
        <v>6</v>
      </c>
      <c r="BR691" s="4">
        <v>0</v>
      </c>
      <c r="BS691" s="4">
        <v>8</v>
      </c>
      <c r="BT691" s="4">
        <v>9</v>
      </c>
      <c r="BU691" s="4">
        <v>0</v>
      </c>
      <c r="BV691" s="4">
        <v>7</v>
      </c>
      <c r="BW691" s="4">
        <v>2</v>
      </c>
      <c r="BX691" s="4">
        <v>56</v>
      </c>
      <c r="BY691" s="4">
        <v>0</v>
      </c>
      <c r="BZ691" s="4">
        <v>0</v>
      </c>
      <c r="CA691" s="4">
        <v>3</v>
      </c>
      <c r="CB691" s="4">
        <v>0</v>
      </c>
      <c r="CC691" s="4">
        <v>0</v>
      </c>
      <c r="CD691" s="4">
        <v>0</v>
      </c>
      <c r="CE691" s="4">
        <v>0</v>
      </c>
      <c r="CF691" s="4">
        <v>1</v>
      </c>
      <c r="CG691" s="4">
        <v>0</v>
      </c>
      <c r="CH691" s="4">
        <v>0</v>
      </c>
      <c r="CI691" s="4">
        <v>0</v>
      </c>
      <c r="CJ691" s="4">
        <v>5</v>
      </c>
      <c r="CK691" s="4">
        <v>0</v>
      </c>
      <c r="CL691" s="4">
        <v>0</v>
      </c>
      <c r="CM691" s="4">
        <v>2</v>
      </c>
      <c r="CN691" s="4">
        <v>8</v>
      </c>
      <c r="CO691" s="4">
        <v>3</v>
      </c>
      <c r="CP691" s="4">
        <v>2</v>
      </c>
      <c r="CQ691" s="4">
        <v>0</v>
      </c>
      <c r="CR691" s="4">
        <v>2</v>
      </c>
      <c r="CS691" s="4">
        <v>0</v>
      </c>
      <c r="CT691" s="4">
        <v>1</v>
      </c>
      <c r="CU691" s="4">
        <v>0</v>
      </c>
      <c r="CV691" s="4">
        <v>6</v>
      </c>
      <c r="CW691" s="4">
        <v>2</v>
      </c>
      <c r="CX691" s="5">
        <v>2</v>
      </c>
    </row>
    <row r="692" spans="1:102" ht="15.75" x14ac:dyDescent="0.25">
      <c r="A692" s="4" t="s">
        <v>535</v>
      </c>
      <c r="B692" s="4" t="s">
        <v>536</v>
      </c>
      <c r="C692" s="4">
        <v>2020</v>
      </c>
      <c r="D692" s="4">
        <v>44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1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4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3</v>
      </c>
      <c r="AK692" s="4">
        <v>1</v>
      </c>
      <c r="AL692" s="4">
        <v>0</v>
      </c>
      <c r="AM692" s="4">
        <v>1</v>
      </c>
      <c r="AN692" s="4">
        <v>1</v>
      </c>
      <c r="AO692" s="4">
        <v>3</v>
      </c>
      <c r="AP692" s="4">
        <v>0</v>
      </c>
      <c r="AQ692" s="4">
        <v>1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1</v>
      </c>
      <c r="AY692" s="4">
        <v>0</v>
      </c>
      <c r="AZ692" s="4">
        <v>1</v>
      </c>
      <c r="BA692" s="4">
        <v>0</v>
      </c>
      <c r="BB692" s="4">
        <v>0</v>
      </c>
      <c r="BC692" s="4">
        <v>0</v>
      </c>
      <c r="BD692" s="4">
        <v>0</v>
      </c>
      <c r="BE692" s="4">
        <v>1</v>
      </c>
      <c r="BF692" s="4">
        <v>1</v>
      </c>
      <c r="BG692" s="4">
        <v>0</v>
      </c>
      <c r="BH692" s="4">
        <v>0</v>
      </c>
      <c r="BI692" s="4">
        <v>0</v>
      </c>
      <c r="BJ692" s="4">
        <v>1</v>
      </c>
      <c r="BK692" s="4">
        <v>3</v>
      </c>
      <c r="BL692" s="4">
        <v>0</v>
      </c>
      <c r="BM692" s="4">
        <v>0</v>
      </c>
      <c r="BN692" s="4">
        <v>2</v>
      </c>
      <c r="BO692" s="4">
        <v>0</v>
      </c>
      <c r="BP692" s="4">
        <v>0</v>
      </c>
      <c r="BQ692" s="4">
        <v>1</v>
      </c>
      <c r="BR692" s="4">
        <v>0</v>
      </c>
      <c r="BS692" s="4">
        <v>1</v>
      </c>
      <c r="BT692" s="4">
        <v>1</v>
      </c>
      <c r="BU692" s="4">
        <v>0</v>
      </c>
      <c r="BV692" s="4">
        <v>0</v>
      </c>
      <c r="BW692" s="4">
        <v>5</v>
      </c>
      <c r="BX692" s="4">
        <v>2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2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2</v>
      </c>
      <c r="CW692" s="4">
        <v>0</v>
      </c>
      <c r="CX692" s="5">
        <v>0</v>
      </c>
    </row>
    <row r="693" spans="1:102" ht="15.75" x14ac:dyDescent="0.25">
      <c r="A693" s="4" t="s">
        <v>537</v>
      </c>
      <c r="B693" s="4" t="s">
        <v>538</v>
      </c>
      <c r="C693" s="4">
        <v>2020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5">
        <v>0</v>
      </c>
    </row>
    <row r="694" spans="1:102" ht="15.75" x14ac:dyDescent="0.25">
      <c r="A694" s="4" t="s">
        <v>539</v>
      </c>
      <c r="B694" s="4" t="s">
        <v>540</v>
      </c>
      <c r="C694" s="4">
        <v>2020</v>
      </c>
      <c r="D694" s="4">
        <v>47423</v>
      </c>
      <c r="E694" s="4">
        <v>23</v>
      </c>
      <c r="F694" s="4">
        <v>31</v>
      </c>
      <c r="G694" s="4">
        <v>67</v>
      </c>
      <c r="H694" s="4">
        <v>204</v>
      </c>
      <c r="I694" s="4">
        <v>104</v>
      </c>
      <c r="J694" s="4">
        <v>29</v>
      </c>
      <c r="K694" s="4">
        <v>56</v>
      </c>
      <c r="L694" s="4">
        <v>61</v>
      </c>
      <c r="M694" s="4">
        <v>23</v>
      </c>
      <c r="N694" s="4">
        <v>112</v>
      </c>
      <c r="O694" s="4">
        <v>1495</v>
      </c>
      <c r="P694" s="4">
        <v>0</v>
      </c>
      <c r="Q694" s="4">
        <v>0</v>
      </c>
      <c r="R694" s="4">
        <v>15</v>
      </c>
      <c r="S694" s="4">
        <v>2</v>
      </c>
      <c r="T694" s="4">
        <v>1</v>
      </c>
      <c r="U694" s="4">
        <v>6</v>
      </c>
      <c r="V694" s="4">
        <v>18</v>
      </c>
      <c r="W694" s="4">
        <v>829</v>
      </c>
      <c r="X694" s="4">
        <v>20</v>
      </c>
      <c r="Y694" s="4">
        <v>1</v>
      </c>
      <c r="Z694" s="4">
        <v>665</v>
      </c>
      <c r="AA694" s="4">
        <v>977</v>
      </c>
      <c r="AB694" s="4">
        <v>19</v>
      </c>
      <c r="AC694" s="4">
        <v>0</v>
      </c>
      <c r="AD694" s="4">
        <v>7</v>
      </c>
      <c r="AE694" s="4">
        <v>8</v>
      </c>
      <c r="AF694" s="4">
        <v>2</v>
      </c>
      <c r="AG694" s="4">
        <v>3582</v>
      </c>
      <c r="AH694" s="4">
        <v>159</v>
      </c>
      <c r="AI694" s="4">
        <v>132</v>
      </c>
      <c r="AJ694" s="4">
        <v>4717</v>
      </c>
      <c r="AK694" s="4">
        <v>394</v>
      </c>
      <c r="AL694" s="4">
        <v>10</v>
      </c>
      <c r="AM694" s="4">
        <v>223</v>
      </c>
      <c r="AN694" s="4">
        <v>330</v>
      </c>
      <c r="AO694" s="4">
        <v>976</v>
      </c>
      <c r="AP694" s="4">
        <v>29</v>
      </c>
      <c r="AQ694" s="4">
        <v>141</v>
      </c>
      <c r="AR694" s="4">
        <v>14</v>
      </c>
      <c r="AS694" s="4">
        <v>238</v>
      </c>
      <c r="AT694" s="4">
        <v>246</v>
      </c>
      <c r="AU694" s="4">
        <v>342</v>
      </c>
      <c r="AV694" s="4">
        <v>277</v>
      </c>
      <c r="AW694" s="4">
        <v>1733</v>
      </c>
      <c r="AX694" s="4">
        <v>721</v>
      </c>
      <c r="AY694" s="4">
        <v>41</v>
      </c>
      <c r="AZ694" s="4">
        <v>164</v>
      </c>
      <c r="BA694" s="4">
        <v>0</v>
      </c>
      <c r="BB694" s="4">
        <v>3299</v>
      </c>
      <c r="BC694" s="4">
        <v>476</v>
      </c>
      <c r="BD694" s="4">
        <v>10</v>
      </c>
      <c r="BE694" s="4">
        <v>323</v>
      </c>
      <c r="BF694" s="4">
        <v>982</v>
      </c>
      <c r="BG694" s="4">
        <v>86</v>
      </c>
      <c r="BH694" s="4">
        <v>122</v>
      </c>
      <c r="BI694" s="4">
        <v>4</v>
      </c>
      <c r="BJ694" s="4">
        <v>1067</v>
      </c>
      <c r="BK694" s="4">
        <v>1523</v>
      </c>
      <c r="BL694" s="4">
        <v>0</v>
      </c>
      <c r="BM694" s="4">
        <v>67</v>
      </c>
      <c r="BN694" s="4">
        <v>466</v>
      </c>
      <c r="BO694" s="4">
        <v>8</v>
      </c>
      <c r="BP694" s="4">
        <v>152</v>
      </c>
      <c r="BQ694" s="4">
        <v>643</v>
      </c>
      <c r="BR694" s="4">
        <v>28</v>
      </c>
      <c r="BS694" s="4">
        <v>1329</v>
      </c>
      <c r="BT694" s="4">
        <v>773</v>
      </c>
      <c r="BU694" s="4">
        <v>33</v>
      </c>
      <c r="BV694" s="4">
        <v>421</v>
      </c>
      <c r="BW694" s="4">
        <v>244</v>
      </c>
      <c r="BX694" s="4">
        <v>5850</v>
      </c>
      <c r="BY694" s="4">
        <v>6</v>
      </c>
      <c r="BZ694" s="4">
        <v>5</v>
      </c>
      <c r="CA694" s="4">
        <v>2205</v>
      </c>
      <c r="CB694" s="4">
        <v>379</v>
      </c>
      <c r="CC694" s="4">
        <v>2</v>
      </c>
      <c r="CD694" s="4">
        <v>54</v>
      </c>
      <c r="CE694" s="4">
        <v>17</v>
      </c>
      <c r="CF694" s="4">
        <v>89</v>
      </c>
      <c r="CG694" s="4">
        <v>350</v>
      </c>
      <c r="CH694" s="4">
        <v>53</v>
      </c>
      <c r="CI694" s="4">
        <v>44</v>
      </c>
      <c r="CJ694" s="4">
        <v>340</v>
      </c>
      <c r="CK694" s="4">
        <v>43</v>
      </c>
      <c r="CL694" s="4">
        <v>0</v>
      </c>
      <c r="CM694" s="4">
        <v>260</v>
      </c>
      <c r="CN694" s="4">
        <v>1915</v>
      </c>
      <c r="CO694" s="4">
        <v>227</v>
      </c>
      <c r="CP694" s="4">
        <v>94</v>
      </c>
      <c r="CQ694" s="4">
        <v>1</v>
      </c>
      <c r="CR694" s="4">
        <v>1626</v>
      </c>
      <c r="CS694" s="4">
        <v>167</v>
      </c>
      <c r="CT694" s="4">
        <v>163</v>
      </c>
      <c r="CU694" s="4">
        <v>43</v>
      </c>
      <c r="CV694" s="4">
        <v>1204</v>
      </c>
      <c r="CW694" s="4">
        <v>983</v>
      </c>
      <c r="CX694" s="5">
        <v>977</v>
      </c>
    </row>
    <row r="695" spans="1:102" ht="15.75" x14ac:dyDescent="0.25">
      <c r="A695" s="4" t="s">
        <v>541</v>
      </c>
      <c r="B695" s="4" t="s">
        <v>542</v>
      </c>
      <c r="C695" s="4">
        <v>2020</v>
      </c>
      <c r="D695" s="4">
        <v>87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1</v>
      </c>
      <c r="M695" s="4">
        <v>0</v>
      </c>
      <c r="N695" s="4">
        <v>0</v>
      </c>
      <c r="O695" s="4">
        <v>22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1</v>
      </c>
      <c r="AH695" s="4">
        <v>0</v>
      </c>
      <c r="AI695" s="4">
        <v>0</v>
      </c>
      <c r="AJ695" s="4">
        <v>26</v>
      </c>
      <c r="AK695" s="4">
        <v>2</v>
      </c>
      <c r="AL695" s="4">
        <v>0</v>
      </c>
      <c r="AM695" s="4">
        <v>1</v>
      </c>
      <c r="AN695" s="4">
        <v>0</v>
      </c>
      <c r="AO695" s="4">
        <v>3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4</v>
      </c>
      <c r="AW695" s="4">
        <v>0</v>
      </c>
      <c r="AX695" s="4">
        <v>2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1</v>
      </c>
      <c r="BF695" s="4">
        <v>4</v>
      </c>
      <c r="BG695" s="4">
        <v>0</v>
      </c>
      <c r="BH695" s="4">
        <v>0</v>
      </c>
      <c r="BI695" s="4">
        <v>0</v>
      </c>
      <c r="BJ695" s="4">
        <v>1</v>
      </c>
      <c r="BK695" s="4">
        <v>3</v>
      </c>
      <c r="BL695" s="4">
        <v>0</v>
      </c>
      <c r="BM695" s="4">
        <v>0</v>
      </c>
      <c r="BN695" s="4">
        <v>1</v>
      </c>
      <c r="BO695" s="4">
        <v>0</v>
      </c>
      <c r="BP695" s="4">
        <v>0</v>
      </c>
      <c r="BQ695" s="4">
        <v>2</v>
      </c>
      <c r="BR695" s="4">
        <v>0</v>
      </c>
      <c r="BS695" s="4">
        <v>1</v>
      </c>
      <c r="BT695" s="4">
        <v>1</v>
      </c>
      <c r="BU695" s="4">
        <v>0</v>
      </c>
      <c r="BV695" s="4">
        <v>1</v>
      </c>
      <c r="BW695" s="4">
        <v>0</v>
      </c>
      <c r="BX695" s="4">
        <v>2</v>
      </c>
      <c r="BY695" s="4">
        <v>0</v>
      </c>
      <c r="BZ695" s="4">
        <v>0</v>
      </c>
      <c r="CA695" s="4">
        <v>1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1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1</v>
      </c>
      <c r="CW695" s="4">
        <v>1</v>
      </c>
      <c r="CX695" s="5">
        <v>1</v>
      </c>
    </row>
    <row r="696" spans="1:102" ht="15.75" x14ac:dyDescent="0.25">
      <c r="A696" s="4" t="s">
        <v>543</v>
      </c>
      <c r="B696" s="4" t="s">
        <v>544</v>
      </c>
      <c r="C696" s="4">
        <v>2020</v>
      </c>
      <c r="D696" s="4">
        <v>47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9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1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25</v>
      </c>
      <c r="BC696" s="4">
        <v>2</v>
      </c>
      <c r="BD696" s="4">
        <v>0</v>
      </c>
      <c r="BE696" s="4">
        <v>1</v>
      </c>
      <c r="BF696" s="4">
        <v>0</v>
      </c>
      <c r="BG696" s="4">
        <v>0</v>
      </c>
      <c r="BH696" s="4">
        <v>0</v>
      </c>
      <c r="BI696" s="4">
        <v>0</v>
      </c>
      <c r="BJ696" s="4">
        <v>1</v>
      </c>
      <c r="BK696" s="4">
        <v>1</v>
      </c>
      <c r="BL696" s="4">
        <v>0</v>
      </c>
      <c r="BM696" s="4">
        <v>0</v>
      </c>
      <c r="BN696" s="4">
        <v>1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1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1</v>
      </c>
      <c r="CO696" s="4">
        <v>1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1</v>
      </c>
      <c r="CW696" s="4">
        <v>0</v>
      </c>
      <c r="CX696" s="5">
        <v>0</v>
      </c>
    </row>
    <row r="697" spans="1:102" ht="15.75" x14ac:dyDescent="0.25">
      <c r="A697" s="4" t="s">
        <v>545</v>
      </c>
      <c r="B697" s="4" t="s">
        <v>546</v>
      </c>
      <c r="C697" s="4">
        <v>2020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5">
        <v>0</v>
      </c>
    </row>
    <row r="698" spans="1:102" ht="15.75" x14ac:dyDescent="0.25">
      <c r="A698" s="4" t="s">
        <v>547</v>
      </c>
      <c r="B698" s="4" t="s">
        <v>548</v>
      </c>
      <c r="C698" s="4">
        <v>2020</v>
      </c>
      <c r="D698" s="4">
        <v>16</v>
      </c>
      <c r="E698" s="4">
        <v>0</v>
      </c>
      <c r="F698" s="4">
        <v>3</v>
      </c>
      <c r="G698" s="4">
        <v>1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1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1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1</v>
      </c>
      <c r="BG698" s="4">
        <v>0</v>
      </c>
      <c r="BH698" s="4">
        <v>0</v>
      </c>
      <c r="BI698" s="4">
        <v>0</v>
      </c>
      <c r="BJ698" s="4">
        <v>0</v>
      </c>
      <c r="BK698" s="4">
        <v>1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1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2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1</v>
      </c>
      <c r="CW698" s="4">
        <v>0</v>
      </c>
      <c r="CX698" s="5">
        <v>0</v>
      </c>
    </row>
    <row r="699" spans="1:102" ht="15.75" x14ac:dyDescent="0.25">
      <c r="A699" s="4" t="s">
        <v>549</v>
      </c>
      <c r="B699" s="4" t="s">
        <v>550</v>
      </c>
      <c r="C699" s="4">
        <v>2020</v>
      </c>
      <c r="D699" s="4">
        <v>10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4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1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5">
        <v>0</v>
      </c>
    </row>
    <row r="700" spans="1:102" ht="15.75" x14ac:dyDescent="0.25">
      <c r="A700" s="4" t="s">
        <v>551</v>
      </c>
      <c r="B700" s="4" t="s">
        <v>552</v>
      </c>
      <c r="C700" s="4">
        <v>2020</v>
      </c>
      <c r="D700" s="4">
        <v>22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1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1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1</v>
      </c>
      <c r="AU700" s="4">
        <v>1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1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12</v>
      </c>
      <c r="CB700" s="4">
        <v>1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5">
        <v>0</v>
      </c>
    </row>
    <row r="701" spans="1:102" ht="15.75" x14ac:dyDescent="0.25">
      <c r="A701" s="4" t="s">
        <v>553</v>
      </c>
      <c r="B701" s="4" t="s">
        <v>554</v>
      </c>
      <c r="C701" s="4">
        <v>2020</v>
      </c>
      <c r="D701" s="4">
        <v>35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1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25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1</v>
      </c>
      <c r="BY701" s="4">
        <v>0</v>
      </c>
      <c r="BZ701" s="4">
        <v>0</v>
      </c>
      <c r="CA701" s="4">
        <v>0</v>
      </c>
      <c r="CB701" s="4">
        <v>8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5">
        <v>0</v>
      </c>
    </row>
    <row r="702" spans="1:102" ht="15.75" x14ac:dyDescent="0.25">
      <c r="A702" s="4" t="s">
        <v>555</v>
      </c>
      <c r="B702" s="4" t="s">
        <v>556</v>
      </c>
      <c r="C702" s="4">
        <v>2020</v>
      </c>
      <c r="D702" s="4">
        <v>582</v>
      </c>
      <c r="E702" s="4">
        <v>1</v>
      </c>
      <c r="F702" s="4">
        <v>0</v>
      </c>
      <c r="G702" s="4">
        <v>1</v>
      </c>
      <c r="H702" s="4">
        <v>8</v>
      </c>
      <c r="I702" s="4">
        <v>4</v>
      </c>
      <c r="J702" s="4">
        <v>1</v>
      </c>
      <c r="K702" s="4">
        <v>0</v>
      </c>
      <c r="L702" s="4">
        <v>0</v>
      </c>
      <c r="M702" s="4">
        <v>19</v>
      </c>
      <c r="N702" s="4">
        <v>7</v>
      </c>
      <c r="O702" s="4">
        <v>24</v>
      </c>
      <c r="P702" s="4">
        <v>0</v>
      </c>
      <c r="Q702" s="4">
        <v>0</v>
      </c>
      <c r="R702" s="4">
        <v>0</v>
      </c>
      <c r="S702" s="4">
        <v>0</v>
      </c>
      <c r="T702" s="4">
        <v>45</v>
      </c>
      <c r="U702" s="4">
        <v>1</v>
      </c>
      <c r="V702" s="4">
        <v>4</v>
      </c>
      <c r="W702" s="4">
        <v>8</v>
      </c>
      <c r="X702" s="4">
        <v>2</v>
      </c>
      <c r="Y702" s="4">
        <v>0</v>
      </c>
      <c r="Z702" s="4">
        <v>0</v>
      </c>
      <c r="AA702" s="4">
        <v>3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3</v>
      </c>
      <c r="AH702" s="4">
        <v>0</v>
      </c>
      <c r="AI702" s="4">
        <v>12</v>
      </c>
      <c r="AJ702" s="4">
        <v>80</v>
      </c>
      <c r="AK702" s="4">
        <v>13</v>
      </c>
      <c r="AL702" s="4">
        <v>1</v>
      </c>
      <c r="AM702" s="4">
        <v>10</v>
      </c>
      <c r="AN702" s="4">
        <v>23</v>
      </c>
      <c r="AO702" s="4">
        <v>25</v>
      </c>
      <c r="AP702" s="4">
        <v>7</v>
      </c>
      <c r="AQ702" s="4">
        <v>1</v>
      </c>
      <c r="AR702" s="4">
        <v>2</v>
      </c>
      <c r="AS702" s="4">
        <v>2</v>
      </c>
      <c r="AT702" s="4">
        <v>10</v>
      </c>
      <c r="AU702" s="4">
        <v>6</v>
      </c>
      <c r="AV702" s="4">
        <v>1</v>
      </c>
      <c r="AW702" s="4">
        <v>2</v>
      </c>
      <c r="AX702" s="4">
        <v>8</v>
      </c>
      <c r="AY702" s="4">
        <v>0</v>
      </c>
      <c r="AZ702" s="4">
        <v>12</v>
      </c>
      <c r="BA702" s="4">
        <v>0</v>
      </c>
      <c r="BB702" s="4">
        <v>16</v>
      </c>
      <c r="BC702" s="4">
        <v>2</v>
      </c>
      <c r="BD702" s="4">
        <v>0</v>
      </c>
      <c r="BE702" s="4">
        <v>6</v>
      </c>
      <c r="BF702" s="4">
        <v>10</v>
      </c>
      <c r="BG702" s="4">
        <v>2</v>
      </c>
      <c r="BH702" s="4">
        <v>5</v>
      </c>
      <c r="BI702" s="4">
        <v>0</v>
      </c>
      <c r="BJ702" s="4">
        <v>11</v>
      </c>
      <c r="BK702" s="4">
        <v>15</v>
      </c>
      <c r="BL702" s="4">
        <v>0</v>
      </c>
      <c r="BM702" s="4">
        <v>2</v>
      </c>
      <c r="BN702" s="4">
        <v>4</v>
      </c>
      <c r="BO702" s="4">
        <v>0</v>
      </c>
      <c r="BP702" s="4">
        <v>1</v>
      </c>
      <c r="BQ702" s="4">
        <v>29</v>
      </c>
      <c r="BR702" s="4">
        <v>0</v>
      </c>
      <c r="BS702" s="4">
        <v>17</v>
      </c>
      <c r="BT702" s="4">
        <v>24</v>
      </c>
      <c r="BU702" s="4">
        <v>0</v>
      </c>
      <c r="BV702" s="4">
        <v>3</v>
      </c>
      <c r="BW702" s="4">
        <v>2</v>
      </c>
      <c r="BX702" s="4">
        <v>8</v>
      </c>
      <c r="BY702" s="4">
        <v>0</v>
      </c>
      <c r="BZ702" s="4">
        <v>0</v>
      </c>
      <c r="CA702" s="4">
        <v>5</v>
      </c>
      <c r="CB702" s="4">
        <v>6</v>
      </c>
      <c r="CC702" s="4">
        <v>0</v>
      </c>
      <c r="CD702" s="4">
        <v>2</v>
      </c>
      <c r="CE702" s="4">
        <v>0</v>
      </c>
      <c r="CF702" s="4">
        <v>1</v>
      </c>
      <c r="CG702" s="4">
        <v>0</v>
      </c>
      <c r="CH702" s="4">
        <v>0</v>
      </c>
      <c r="CI702" s="4">
        <v>1</v>
      </c>
      <c r="CJ702" s="4">
        <v>8</v>
      </c>
      <c r="CK702" s="4">
        <v>1</v>
      </c>
      <c r="CL702" s="4">
        <v>0</v>
      </c>
      <c r="CM702" s="4">
        <v>7</v>
      </c>
      <c r="CN702" s="4">
        <v>28</v>
      </c>
      <c r="CO702" s="4">
        <v>0</v>
      </c>
      <c r="CP702" s="4">
        <v>1</v>
      </c>
      <c r="CQ702" s="4">
        <v>0</v>
      </c>
      <c r="CR702" s="4">
        <v>0</v>
      </c>
      <c r="CS702" s="4">
        <v>0</v>
      </c>
      <c r="CT702" s="4">
        <v>2</v>
      </c>
      <c r="CU702" s="4">
        <v>1</v>
      </c>
      <c r="CV702" s="4">
        <v>13</v>
      </c>
      <c r="CW702" s="4">
        <v>2</v>
      </c>
      <c r="CX702" s="5">
        <v>2</v>
      </c>
    </row>
    <row r="703" spans="1:102" ht="15.75" x14ac:dyDescent="0.25">
      <c r="A703" s="4" t="s">
        <v>557</v>
      </c>
      <c r="B703" s="4" t="s">
        <v>558</v>
      </c>
      <c r="C703" s="4">
        <v>2020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5">
        <v>0</v>
      </c>
    </row>
    <row r="704" spans="1:102" ht="15.75" x14ac:dyDescent="0.25">
      <c r="A704" s="4" t="s">
        <v>559</v>
      </c>
      <c r="B704" s="4" t="s">
        <v>560</v>
      </c>
      <c r="C704" s="4">
        <v>2020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5">
        <v>0</v>
      </c>
    </row>
    <row r="705" spans="1:102" ht="15.75" x14ac:dyDescent="0.25">
      <c r="A705" s="4" t="s">
        <v>561</v>
      </c>
      <c r="B705" s="4" t="s">
        <v>562</v>
      </c>
      <c r="C705" s="4">
        <v>2020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5">
        <v>0</v>
      </c>
    </row>
    <row r="706" spans="1:102" ht="15.75" x14ac:dyDescent="0.25">
      <c r="A706" s="4" t="s">
        <v>563</v>
      </c>
      <c r="B706" s="4" t="s">
        <v>564</v>
      </c>
      <c r="C706" s="4">
        <v>2020</v>
      </c>
      <c r="D706" s="4">
        <v>10</v>
      </c>
      <c r="E706" s="4">
        <v>0</v>
      </c>
      <c r="F706" s="4">
        <v>3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1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2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4">
        <v>0</v>
      </c>
      <c r="CV706" s="4">
        <v>1</v>
      </c>
      <c r="CW706" s="4">
        <v>0</v>
      </c>
      <c r="CX706" s="5">
        <v>0</v>
      </c>
    </row>
    <row r="707" spans="1:102" ht="15.75" x14ac:dyDescent="0.25">
      <c r="A707" s="4" t="s">
        <v>565</v>
      </c>
      <c r="B707" s="4" t="s">
        <v>566</v>
      </c>
      <c r="C707" s="4">
        <v>2020</v>
      </c>
      <c r="D707" s="4">
        <v>31</v>
      </c>
      <c r="E707" s="4">
        <v>0</v>
      </c>
      <c r="F707" s="4">
        <v>0</v>
      </c>
      <c r="G707" s="4">
        <v>1</v>
      </c>
      <c r="H707" s="4">
        <v>0</v>
      </c>
      <c r="I707" s="4">
        <v>0</v>
      </c>
      <c r="J707" s="4">
        <v>1</v>
      </c>
      <c r="K707" s="4">
        <v>1</v>
      </c>
      <c r="L707" s="4">
        <v>0</v>
      </c>
      <c r="M707" s="4">
        <v>0</v>
      </c>
      <c r="N707" s="4">
        <v>2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2</v>
      </c>
      <c r="AK707" s="4">
        <v>1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3</v>
      </c>
      <c r="BA707" s="4">
        <v>0</v>
      </c>
      <c r="BB707" s="4">
        <v>4</v>
      </c>
      <c r="BC707" s="4">
        <v>0</v>
      </c>
      <c r="BD707" s="4">
        <v>0</v>
      </c>
      <c r="BE707" s="4">
        <v>0</v>
      </c>
      <c r="BF707" s="4">
        <v>1</v>
      </c>
      <c r="BG707" s="4">
        <v>0</v>
      </c>
      <c r="BH707" s="4">
        <v>0</v>
      </c>
      <c r="BI707" s="4">
        <v>0</v>
      </c>
      <c r="BJ707" s="4">
        <v>2</v>
      </c>
      <c r="BK707" s="4">
        <v>3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3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1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1</v>
      </c>
      <c r="CW707" s="4">
        <v>0</v>
      </c>
      <c r="CX707" s="5">
        <v>0</v>
      </c>
    </row>
    <row r="708" spans="1:102" ht="15.75" x14ac:dyDescent="0.25">
      <c r="A708" s="4" t="s">
        <v>567</v>
      </c>
      <c r="B708" s="4" t="s">
        <v>568</v>
      </c>
      <c r="C708" s="4">
        <v>2020</v>
      </c>
      <c r="D708" s="4">
        <v>1445</v>
      </c>
      <c r="E708" s="4">
        <v>7</v>
      </c>
      <c r="F708" s="4">
        <v>9</v>
      </c>
      <c r="G708" s="4">
        <v>12</v>
      </c>
      <c r="H708" s="4">
        <v>0</v>
      </c>
      <c r="I708" s="4">
        <v>18</v>
      </c>
      <c r="J708" s="4">
        <v>3</v>
      </c>
      <c r="K708" s="4">
        <v>2</v>
      </c>
      <c r="L708" s="4">
        <v>12</v>
      </c>
      <c r="M708" s="4">
        <v>10</v>
      </c>
      <c r="N708" s="4">
        <v>13</v>
      </c>
      <c r="O708" s="4">
        <v>106</v>
      </c>
      <c r="P708" s="4">
        <v>0</v>
      </c>
      <c r="Q708" s="4">
        <v>0</v>
      </c>
      <c r="R708" s="4">
        <v>3</v>
      </c>
      <c r="S708" s="4">
        <v>0</v>
      </c>
      <c r="T708" s="4">
        <v>0</v>
      </c>
      <c r="U708" s="4">
        <v>1</v>
      </c>
      <c r="V708" s="4">
        <v>2</v>
      </c>
      <c r="W708" s="4">
        <v>2</v>
      </c>
      <c r="X708" s="4">
        <v>1</v>
      </c>
      <c r="Y708" s="4">
        <v>0</v>
      </c>
      <c r="Z708" s="4">
        <v>0</v>
      </c>
      <c r="AA708" s="4">
        <v>60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13</v>
      </c>
      <c r="AH708" s="4">
        <v>7</v>
      </c>
      <c r="AI708" s="4">
        <v>15</v>
      </c>
      <c r="AJ708" s="4">
        <v>77</v>
      </c>
      <c r="AK708" s="4">
        <v>41</v>
      </c>
      <c r="AL708" s="4">
        <v>1</v>
      </c>
      <c r="AM708" s="4">
        <v>12</v>
      </c>
      <c r="AN708" s="4">
        <v>20</v>
      </c>
      <c r="AO708" s="4">
        <v>46</v>
      </c>
      <c r="AP708" s="4">
        <v>0</v>
      </c>
      <c r="AQ708" s="4">
        <v>6</v>
      </c>
      <c r="AR708" s="4">
        <v>1</v>
      </c>
      <c r="AS708" s="4">
        <v>11</v>
      </c>
      <c r="AT708" s="4">
        <v>9</v>
      </c>
      <c r="AU708" s="4">
        <v>14</v>
      </c>
      <c r="AV708" s="4">
        <v>25</v>
      </c>
      <c r="AW708" s="4">
        <v>9</v>
      </c>
      <c r="AX708" s="4">
        <v>23</v>
      </c>
      <c r="AY708" s="4">
        <v>6</v>
      </c>
      <c r="AZ708" s="4">
        <v>15</v>
      </c>
      <c r="BA708" s="4">
        <v>0</v>
      </c>
      <c r="BB708" s="4">
        <v>50</v>
      </c>
      <c r="BC708" s="4">
        <v>13</v>
      </c>
      <c r="BD708" s="4">
        <v>0</v>
      </c>
      <c r="BE708" s="4">
        <v>19</v>
      </c>
      <c r="BF708" s="4">
        <v>44</v>
      </c>
      <c r="BG708" s="4">
        <v>6</v>
      </c>
      <c r="BH708" s="4">
        <v>2</v>
      </c>
      <c r="BI708" s="4">
        <v>0</v>
      </c>
      <c r="BJ708" s="4">
        <v>54</v>
      </c>
      <c r="BK708" s="4">
        <v>38</v>
      </c>
      <c r="BL708" s="4">
        <v>0</v>
      </c>
      <c r="BM708" s="4">
        <v>3</v>
      </c>
      <c r="BN708" s="4">
        <v>18</v>
      </c>
      <c r="BO708" s="4">
        <v>1</v>
      </c>
      <c r="BP708" s="4">
        <v>3</v>
      </c>
      <c r="BQ708" s="4">
        <v>47</v>
      </c>
      <c r="BR708" s="4">
        <v>3</v>
      </c>
      <c r="BS708" s="4">
        <v>151</v>
      </c>
      <c r="BT708" s="4">
        <v>32</v>
      </c>
      <c r="BU708" s="4">
        <v>1</v>
      </c>
      <c r="BV708" s="4">
        <v>27</v>
      </c>
      <c r="BW708" s="4">
        <v>33</v>
      </c>
      <c r="BX708" s="4">
        <v>106</v>
      </c>
      <c r="BY708" s="4">
        <v>1</v>
      </c>
      <c r="BZ708" s="4">
        <v>0</v>
      </c>
      <c r="CA708" s="4">
        <v>10</v>
      </c>
      <c r="CB708" s="4">
        <v>4</v>
      </c>
      <c r="CC708" s="4">
        <v>0</v>
      </c>
      <c r="CD708" s="4">
        <v>2</v>
      </c>
      <c r="CE708" s="4">
        <v>0</v>
      </c>
      <c r="CF708" s="4">
        <v>1</v>
      </c>
      <c r="CG708" s="4">
        <v>0</v>
      </c>
      <c r="CH708" s="4">
        <v>1</v>
      </c>
      <c r="CI708" s="4">
        <v>1</v>
      </c>
      <c r="CJ708" s="4">
        <v>6</v>
      </c>
      <c r="CK708" s="4">
        <v>1</v>
      </c>
      <c r="CL708" s="4">
        <v>0</v>
      </c>
      <c r="CM708" s="4">
        <v>6</v>
      </c>
      <c r="CN708" s="4">
        <v>41</v>
      </c>
      <c r="CO708" s="4">
        <v>6</v>
      </c>
      <c r="CP708" s="4">
        <v>1</v>
      </c>
      <c r="CQ708" s="4">
        <v>0</v>
      </c>
      <c r="CR708" s="4">
        <v>5</v>
      </c>
      <c r="CS708" s="4">
        <v>2</v>
      </c>
      <c r="CT708" s="4">
        <v>19</v>
      </c>
      <c r="CU708" s="4">
        <v>9</v>
      </c>
      <c r="CV708" s="4">
        <v>56</v>
      </c>
      <c r="CW708" s="4">
        <v>7</v>
      </c>
      <c r="CX708" s="5">
        <v>7</v>
      </c>
    </row>
    <row r="709" spans="1:102" ht="15.75" x14ac:dyDescent="0.25">
      <c r="A709" s="4" t="s">
        <v>569</v>
      </c>
      <c r="B709" s="4" t="s">
        <v>570</v>
      </c>
      <c r="C709" s="4">
        <v>2020</v>
      </c>
      <c r="D709" s="4">
        <v>61</v>
      </c>
      <c r="E709" s="4">
        <v>1</v>
      </c>
      <c r="F709" s="4">
        <v>0</v>
      </c>
      <c r="G709" s="4">
        <v>1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1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1</v>
      </c>
      <c r="AK709" s="4">
        <v>0</v>
      </c>
      <c r="AL709" s="4">
        <v>0</v>
      </c>
      <c r="AM709" s="4">
        <v>11</v>
      </c>
      <c r="AN709" s="4">
        <v>0</v>
      </c>
      <c r="AO709" s="4">
        <v>2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1</v>
      </c>
      <c r="AY709" s="4">
        <v>0</v>
      </c>
      <c r="AZ709" s="4">
        <v>0</v>
      </c>
      <c r="BA709" s="4">
        <v>0</v>
      </c>
      <c r="BB709" s="4">
        <v>4</v>
      </c>
      <c r="BC709" s="4">
        <v>0</v>
      </c>
      <c r="BD709" s="4">
        <v>0</v>
      </c>
      <c r="BE709" s="4">
        <v>1</v>
      </c>
      <c r="BF709" s="4">
        <v>1</v>
      </c>
      <c r="BG709" s="4">
        <v>0</v>
      </c>
      <c r="BH709" s="4">
        <v>0</v>
      </c>
      <c r="BI709" s="4">
        <v>0</v>
      </c>
      <c r="BJ709" s="4">
        <v>1</v>
      </c>
      <c r="BK709" s="4">
        <v>1</v>
      </c>
      <c r="BL709" s="4">
        <v>0</v>
      </c>
      <c r="BM709" s="4">
        <v>0</v>
      </c>
      <c r="BN709" s="4">
        <v>2</v>
      </c>
      <c r="BO709" s="4">
        <v>0</v>
      </c>
      <c r="BP709" s="4">
        <v>0</v>
      </c>
      <c r="BQ709" s="4">
        <v>1</v>
      </c>
      <c r="BR709" s="4">
        <v>0</v>
      </c>
      <c r="BS709" s="4">
        <v>2</v>
      </c>
      <c r="BT709" s="4">
        <v>0</v>
      </c>
      <c r="BU709" s="4">
        <v>0</v>
      </c>
      <c r="BV709" s="4">
        <v>4</v>
      </c>
      <c r="BW709" s="4">
        <v>15</v>
      </c>
      <c r="BX709" s="4">
        <v>1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1</v>
      </c>
      <c r="CK709" s="4">
        <v>0</v>
      </c>
      <c r="CL709" s="4">
        <v>0</v>
      </c>
      <c r="CM709" s="4">
        <v>0</v>
      </c>
      <c r="CN709" s="4">
        <v>3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1</v>
      </c>
      <c r="CU709" s="4">
        <v>0</v>
      </c>
      <c r="CV709" s="4">
        <v>1</v>
      </c>
      <c r="CW709" s="4">
        <v>0</v>
      </c>
      <c r="CX709" s="5">
        <v>0</v>
      </c>
    </row>
    <row r="710" spans="1:102" ht="15.75" x14ac:dyDescent="0.25">
      <c r="A710" s="4" t="s">
        <v>571</v>
      </c>
      <c r="B710" s="4" t="s">
        <v>572</v>
      </c>
      <c r="C710" s="4">
        <v>2020</v>
      </c>
      <c r="D710" s="4">
        <v>46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1</v>
      </c>
      <c r="AK710" s="4">
        <v>0</v>
      </c>
      <c r="AL710" s="4">
        <v>0</v>
      </c>
      <c r="AM710" s="4">
        <v>0</v>
      </c>
      <c r="AN710" s="4">
        <v>0</v>
      </c>
      <c r="AO710" s="4">
        <v>1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1</v>
      </c>
      <c r="BA710" s="4">
        <v>0</v>
      </c>
      <c r="BB710" s="4">
        <v>0</v>
      </c>
      <c r="BC710" s="4">
        <v>0</v>
      </c>
      <c r="BD710" s="4">
        <v>0</v>
      </c>
      <c r="BE710" s="4">
        <v>1</v>
      </c>
      <c r="BF710" s="4">
        <v>1</v>
      </c>
      <c r="BG710" s="4">
        <v>0</v>
      </c>
      <c r="BH710" s="4">
        <v>0</v>
      </c>
      <c r="BI710" s="4">
        <v>0</v>
      </c>
      <c r="BJ710" s="4">
        <v>1</v>
      </c>
      <c r="BK710" s="4">
        <v>0</v>
      </c>
      <c r="BL710" s="4">
        <v>0</v>
      </c>
      <c r="BM710" s="4">
        <v>0</v>
      </c>
      <c r="BN710" s="4">
        <v>1</v>
      </c>
      <c r="BO710" s="4">
        <v>0</v>
      </c>
      <c r="BP710" s="4">
        <v>0</v>
      </c>
      <c r="BQ710" s="4">
        <v>1</v>
      </c>
      <c r="BR710" s="4">
        <v>0</v>
      </c>
      <c r="BS710" s="4">
        <v>1</v>
      </c>
      <c r="BT710" s="4">
        <v>0</v>
      </c>
      <c r="BU710" s="4">
        <v>0</v>
      </c>
      <c r="BV710" s="4">
        <v>1</v>
      </c>
      <c r="BW710" s="4">
        <v>21</v>
      </c>
      <c r="BX710" s="4">
        <v>10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1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5">
        <v>0</v>
      </c>
    </row>
    <row r="711" spans="1:102" ht="15.75" x14ac:dyDescent="0.25">
      <c r="A711" s="4" t="s">
        <v>101</v>
      </c>
      <c r="B711" s="4" t="s">
        <v>102</v>
      </c>
      <c r="C711" s="4">
        <v>2021</v>
      </c>
      <c r="D711" s="4">
        <v>3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0</v>
      </c>
      <c r="CX711" s="5">
        <v>0</v>
      </c>
    </row>
    <row r="712" spans="1:102" ht="15.75" x14ac:dyDescent="0.25">
      <c r="A712" s="4" t="s">
        <v>103</v>
      </c>
      <c r="B712" s="4" t="s">
        <v>104</v>
      </c>
      <c r="C712" s="4">
        <v>2021</v>
      </c>
      <c r="D712" s="4">
        <v>4894</v>
      </c>
      <c r="E712" s="4">
        <v>8</v>
      </c>
      <c r="F712" s="4">
        <v>2</v>
      </c>
      <c r="G712" s="4">
        <v>22</v>
      </c>
      <c r="H712" s="4">
        <v>6</v>
      </c>
      <c r="I712" s="4">
        <v>73</v>
      </c>
      <c r="J712" s="4">
        <v>16</v>
      </c>
      <c r="K712" s="4">
        <v>7</v>
      </c>
      <c r="L712" s="4">
        <v>45</v>
      </c>
      <c r="M712" s="4">
        <v>8</v>
      </c>
      <c r="N712" s="4">
        <v>47</v>
      </c>
      <c r="O712" s="4">
        <v>190</v>
      </c>
      <c r="P712" s="4">
        <v>0</v>
      </c>
      <c r="Q712" s="4">
        <v>0</v>
      </c>
      <c r="R712" s="4">
        <v>1</v>
      </c>
      <c r="S712" s="4">
        <v>1</v>
      </c>
      <c r="T712" s="4">
        <v>0</v>
      </c>
      <c r="U712" s="4">
        <v>22</v>
      </c>
      <c r="V712" s="4">
        <v>9</v>
      </c>
      <c r="W712" s="4">
        <v>2</v>
      </c>
      <c r="X712" s="4">
        <v>4</v>
      </c>
      <c r="Y712" s="4">
        <v>0</v>
      </c>
      <c r="Z712" s="4">
        <v>63</v>
      </c>
      <c r="AA712" s="4">
        <v>6</v>
      </c>
      <c r="AB712" s="4">
        <v>0</v>
      </c>
      <c r="AC712" s="4">
        <v>0</v>
      </c>
      <c r="AD712" s="4">
        <v>0</v>
      </c>
      <c r="AE712" s="4">
        <v>1</v>
      </c>
      <c r="AF712" s="4">
        <v>0</v>
      </c>
      <c r="AG712" s="4">
        <v>21</v>
      </c>
      <c r="AH712" s="4">
        <v>2</v>
      </c>
      <c r="AI712" s="4">
        <v>39</v>
      </c>
      <c r="AJ712" s="4">
        <v>184</v>
      </c>
      <c r="AK712" s="4">
        <v>130</v>
      </c>
      <c r="AL712" s="4">
        <v>0</v>
      </c>
      <c r="AM712" s="4">
        <v>16</v>
      </c>
      <c r="AN712" s="4">
        <v>24</v>
      </c>
      <c r="AO712" s="4">
        <v>47</v>
      </c>
      <c r="AP712" s="4">
        <v>3</v>
      </c>
      <c r="AQ712" s="4">
        <v>22</v>
      </c>
      <c r="AR712" s="4">
        <v>2</v>
      </c>
      <c r="AS712" s="4">
        <v>27</v>
      </c>
      <c r="AT712" s="4">
        <v>27</v>
      </c>
      <c r="AU712" s="4">
        <v>31</v>
      </c>
      <c r="AV712" s="4">
        <v>33</v>
      </c>
      <c r="AW712" s="4">
        <v>79</v>
      </c>
      <c r="AX712" s="4">
        <v>94</v>
      </c>
      <c r="AY712" s="4">
        <v>3</v>
      </c>
      <c r="AZ712" s="4">
        <v>38</v>
      </c>
      <c r="BA712" s="4">
        <v>0</v>
      </c>
      <c r="BB712" s="4">
        <v>709</v>
      </c>
      <c r="BC712" s="4">
        <v>70</v>
      </c>
      <c r="BD712" s="4">
        <v>0</v>
      </c>
      <c r="BE712" s="4">
        <v>25</v>
      </c>
      <c r="BF712" s="4">
        <v>28</v>
      </c>
      <c r="BG712" s="4">
        <v>3</v>
      </c>
      <c r="BH712" s="4">
        <v>6</v>
      </c>
      <c r="BI712" s="4">
        <v>1</v>
      </c>
      <c r="BJ712" s="4">
        <v>139</v>
      </c>
      <c r="BK712" s="4">
        <v>177</v>
      </c>
      <c r="BL712" s="4">
        <v>0</v>
      </c>
      <c r="BM712" s="4">
        <v>4</v>
      </c>
      <c r="BN712" s="4">
        <v>137</v>
      </c>
      <c r="BO712" s="4">
        <v>1</v>
      </c>
      <c r="BP712" s="4">
        <v>11</v>
      </c>
      <c r="BQ712" s="4">
        <v>250</v>
      </c>
      <c r="BR712" s="4">
        <v>15</v>
      </c>
      <c r="BS712" s="4">
        <v>182</v>
      </c>
      <c r="BT712" s="4">
        <v>59</v>
      </c>
      <c r="BU712" s="4">
        <v>1</v>
      </c>
      <c r="BV712" s="4">
        <v>36</v>
      </c>
      <c r="BW712" s="4">
        <v>9</v>
      </c>
      <c r="BX712" s="4">
        <v>325</v>
      </c>
      <c r="BY712" s="4">
        <v>2</v>
      </c>
      <c r="BZ712" s="4">
        <v>0</v>
      </c>
      <c r="CA712" s="4">
        <v>56</v>
      </c>
      <c r="CB712" s="4">
        <v>50</v>
      </c>
      <c r="CC712" s="4">
        <v>1</v>
      </c>
      <c r="CD712" s="4">
        <v>22</v>
      </c>
      <c r="CE712" s="4">
        <v>0</v>
      </c>
      <c r="CF712" s="4">
        <v>14</v>
      </c>
      <c r="CG712" s="4">
        <v>24</v>
      </c>
      <c r="CH712" s="4">
        <v>10</v>
      </c>
      <c r="CI712" s="4">
        <v>11</v>
      </c>
      <c r="CJ712" s="4">
        <v>67</v>
      </c>
      <c r="CK712" s="4">
        <v>11</v>
      </c>
      <c r="CL712" s="4">
        <v>0</v>
      </c>
      <c r="CM712" s="4">
        <v>24</v>
      </c>
      <c r="CN712" s="4">
        <v>198</v>
      </c>
      <c r="CO712" s="4">
        <v>58</v>
      </c>
      <c r="CP712" s="4">
        <v>4</v>
      </c>
      <c r="CQ712" s="4">
        <v>0</v>
      </c>
      <c r="CR712" s="4">
        <v>46</v>
      </c>
      <c r="CS712" s="4">
        <v>320</v>
      </c>
      <c r="CT712" s="4">
        <v>15</v>
      </c>
      <c r="CU712" s="4">
        <v>7</v>
      </c>
      <c r="CV712" s="4">
        <v>121</v>
      </c>
      <c r="CW712" s="4">
        <v>286</v>
      </c>
      <c r="CX712" s="5">
        <v>287</v>
      </c>
    </row>
    <row r="713" spans="1:102" ht="15.75" x14ac:dyDescent="0.25">
      <c r="A713" s="4" t="s">
        <v>105</v>
      </c>
      <c r="B713" s="4" t="s">
        <v>106</v>
      </c>
      <c r="C713" s="4">
        <v>2021</v>
      </c>
      <c r="D713" s="4">
        <v>52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32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2</v>
      </c>
      <c r="AK713" s="4">
        <v>1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1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9</v>
      </c>
      <c r="BR713" s="4">
        <v>0</v>
      </c>
      <c r="BS713" s="4">
        <v>0</v>
      </c>
      <c r="BT713" s="4">
        <v>3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1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5">
        <v>0</v>
      </c>
    </row>
    <row r="714" spans="1:102" ht="15.75" x14ac:dyDescent="0.25">
      <c r="A714" s="4" t="s">
        <v>107</v>
      </c>
      <c r="B714" s="4" t="s">
        <v>108</v>
      </c>
      <c r="C714" s="4">
        <v>2021</v>
      </c>
      <c r="D714" s="4">
        <v>19</v>
      </c>
      <c r="E714" s="4">
        <v>0</v>
      </c>
      <c r="F714" s="4">
        <v>0</v>
      </c>
      <c r="G714" s="4">
        <v>1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1</v>
      </c>
      <c r="O714" s="4">
        <v>2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2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1</v>
      </c>
      <c r="AY714" s="4">
        <v>0</v>
      </c>
      <c r="AZ714" s="4">
        <v>0</v>
      </c>
      <c r="BA714" s="4">
        <v>0</v>
      </c>
      <c r="BB714" s="4">
        <v>1</v>
      </c>
      <c r="BC714" s="4">
        <v>0</v>
      </c>
      <c r="BD714" s="4">
        <v>0</v>
      </c>
      <c r="BE714" s="4">
        <v>0</v>
      </c>
      <c r="BF714" s="4">
        <v>1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5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1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1</v>
      </c>
      <c r="CW714" s="4">
        <v>0</v>
      </c>
      <c r="CX714" s="5">
        <v>0</v>
      </c>
    </row>
    <row r="715" spans="1:102" ht="15.75" x14ac:dyDescent="0.25">
      <c r="A715" s="4" t="s">
        <v>109</v>
      </c>
      <c r="B715" s="4" t="s">
        <v>110</v>
      </c>
      <c r="C715" s="4">
        <v>2021</v>
      </c>
      <c r="D715" s="4">
        <v>6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6</v>
      </c>
      <c r="AK715" s="4">
        <v>0</v>
      </c>
      <c r="AL715" s="4">
        <v>0</v>
      </c>
      <c r="AM715" s="4">
        <v>0</v>
      </c>
      <c r="AN715" s="4">
        <v>0</v>
      </c>
      <c r="AO715" s="4">
        <v>1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5">
        <v>0</v>
      </c>
    </row>
    <row r="716" spans="1:102" ht="15.75" x14ac:dyDescent="0.25">
      <c r="A716" s="4" t="s">
        <v>111</v>
      </c>
      <c r="B716" s="4" t="s">
        <v>112</v>
      </c>
      <c r="C716" s="4">
        <v>2021</v>
      </c>
      <c r="D716" s="4">
        <v>24</v>
      </c>
      <c r="E716" s="4">
        <v>0</v>
      </c>
      <c r="F716" s="4">
        <v>1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1</v>
      </c>
      <c r="O716" s="4">
        <v>2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1</v>
      </c>
      <c r="AJ716" s="4">
        <v>1</v>
      </c>
      <c r="AK716" s="4">
        <v>1</v>
      </c>
      <c r="AL716" s="4">
        <v>0</v>
      </c>
      <c r="AM716" s="4">
        <v>0</v>
      </c>
      <c r="AN716" s="4">
        <v>0</v>
      </c>
      <c r="AO716" s="4">
        <v>1</v>
      </c>
      <c r="AP716" s="4">
        <v>1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1</v>
      </c>
      <c r="BG716" s="4">
        <v>0</v>
      </c>
      <c r="BH716" s="4">
        <v>0</v>
      </c>
      <c r="BI716" s="4">
        <v>0</v>
      </c>
      <c r="BJ716" s="4">
        <v>1</v>
      </c>
      <c r="BK716" s="4">
        <v>1</v>
      </c>
      <c r="BL716" s="4">
        <v>0</v>
      </c>
      <c r="BM716" s="4">
        <v>0</v>
      </c>
      <c r="BN716" s="4">
        <v>1</v>
      </c>
      <c r="BO716" s="4">
        <v>0</v>
      </c>
      <c r="BP716" s="4">
        <v>0</v>
      </c>
      <c r="BQ716" s="4">
        <v>1</v>
      </c>
      <c r="BR716" s="4">
        <v>0</v>
      </c>
      <c r="BS716" s="4">
        <v>1</v>
      </c>
      <c r="BT716" s="4">
        <v>0</v>
      </c>
      <c r="BU716" s="4">
        <v>0</v>
      </c>
      <c r="BV716" s="4">
        <v>1</v>
      </c>
      <c r="BW716" s="4">
        <v>0</v>
      </c>
      <c r="BX716" s="4">
        <v>1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1</v>
      </c>
      <c r="CN716" s="4">
        <v>1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2</v>
      </c>
      <c r="CU716" s="4">
        <v>0</v>
      </c>
      <c r="CV716" s="4">
        <v>1</v>
      </c>
      <c r="CW716" s="4">
        <v>0</v>
      </c>
      <c r="CX716" s="5">
        <v>0</v>
      </c>
    </row>
    <row r="717" spans="1:102" ht="15.75" x14ac:dyDescent="0.25">
      <c r="A717" s="4" t="s">
        <v>113</v>
      </c>
      <c r="B717" s="4" t="s">
        <v>114</v>
      </c>
      <c r="C717" s="4">
        <v>2021</v>
      </c>
      <c r="D717" s="4">
        <v>20</v>
      </c>
      <c r="E717" s="4">
        <v>0</v>
      </c>
      <c r="F717" s="4">
        <v>1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5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1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1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3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1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2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1</v>
      </c>
      <c r="CK717" s="4">
        <v>0</v>
      </c>
      <c r="CL717" s="4">
        <v>0</v>
      </c>
      <c r="CM717" s="4">
        <v>0</v>
      </c>
      <c r="CN717" s="4">
        <v>1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1</v>
      </c>
      <c r="CW717" s="4">
        <v>0</v>
      </c>
      <c r="CX717" s="5">
        <v>0</v>
      </c>
    </row>
    <row r="718" spans="1:102" ht="15.75" x14ac:dyDescent="0.25">
      <c r="A718" s="4" t="s">
        <v>115</v>
      </c>
      <c r="B718" s="4" t="s">
        <v>116</v>
      </c>
      <c r="C718" s="4">
        <v>2021</v>
      </c>
      <c r="D718" s="4">
        <v>243</v>
      </c>
      <c r="E718" s="4">
        <v>0</v>
      </c>
      <c r="F718" s="4">
        <v>6</v>
      </c>
      <c r="G718" s="4">
        <v>2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6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1</v>
      </c>
      <c r="AH718" s="4">
        <v>1</v>
      </c>
      <c r="AI718" s="4">
        <v>2</v>
      </c>
      <c r="AJ718" s="4">
        <v>1</v>
      </c>
      <c r="AK718" s="4">
        <v>2</v>
      </c>
      <c r="AL718" s="4">
        <v>0</v>
      </c>
      <c r="AM718" s="4">
        <v>3</v>
      </c>
      <c r="AN718" s="4">
        <v>2</v>
      </c>
      <c r="AO718" s="4">
        <v>16</v>
      </c>
      <c r="AP718" s="4">
        <v>0</v>
      </c>
      <c r="AQ718" s="4">
        <v>3</v>
      </c>
      <c r="AR718" s="4">
        <v>0</v>
      </c>
      <c r="AS718" s="4">
        <v>0</v>
      </c>
      <c r="AT718" s="4">
        <v>1</v>
      </c>
      <c r="AU718" s="4">
        <v>1</v>
      </c>
      <c r="AV718" s="4">
        <v>11</v>
      </c>
      <c r="AW718" s="4">
        <v>1</v>
      </c>
      <c r="AX718" s="4">
        <v>24</v>
      </c>
      <c r="AY718" s="4">
        <v>0</v>
      </c>
      <c r="AZ718" s="4">
        <v>1</v>
      </c>
      <c r="BA718" s="4">
        <v>0</v>
      </c>
      <c r="BB718" s="4">
        <v>11</v>
      </c>
      <c r="BC718" s="4">
        <v>1</v>
      </c>
      <c r="BD718" s="4">
        <v>0</v>
      </c>
      <c r="BE718" s="4">
        <v>5</v>
      </c>
      <c r="BF718" s="4">
        <v>4</v>
      </c>
      <c r="BG718" s="4">
        <v>0</v>
      </c>
      <c r="BH718" s="4">
        <v>1</v>
      </c>
      <c r="BI718" s="4">
        <v>0</v>
      </c>
      <c r="BJ718" s="4">
        <v>46</v>
      </c>
      <c r="BK718" s="4">
        <v>12</v>
      </c>
      <c r="BL718" s="4">
        <v>0</v>
      </c>
      <c r="BM718" s="4">
        <v>0</v>
      </c>
      <c r="BN718" s="4">
        <v>3</v>
      </c>
      <c r="BO718" s="4">
        <v>0</v>
      </c>
      <c r="BP718" s="4">
        <v>0</v>
      </c>
      <c r="BQ718" s="4">
        <v>6</v>
      </c>
      <c r="BR718" s="4">
        <v>0</v>
      </c>
      <c r="BS718" s="4">
        <v>5</v>
      </c>
      <c r="BT718" s="4">
        <v>4</v>
      </c>
      <c r="BU718" s="4">
        <v>0</v>
      </c>
      <c r="BV718" s="4">
        <v>0</v>
      </c>
      <c r="BW718" s="4">
        <v>7</v>
      </c>
      <c r="BX718" s="4">
        <v>1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3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1</v>
      </c>
      <c r="CK718" s="4">
        <v>0</v>
      </c>
      <c r="CL718" s="4">
        <v>0</v>
      </c>
      <c r="CM718" s="4">
        <v>1</v>
      </c>
      <c r="CN718" s="4">
        <v>12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1</v>
      </c>
      <c r="CU718" s="4">
        <v>0</v>
      </c>
      <c r="CV718" s="4">
        <v>2</v>
      </c>
      <c r="CW718" s="4">
        <v>3</v>
      </c>
      <c r="CX718" s="5">
        <v>3</v>
      </c>
    </row>
    <row r="719" spans="1:102" ht="15.75" x14ac:dyDescent="0.25">
      <c r="A719" s="4" t="s">
        <v>117</v>
      </c>
      <c r="B719" s="4" t="s">
        <v>118</v>
      </c>
      <c r="C719" s="4">
        <v>2021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5">
        <v>0</v>
      </c>
    </row>
    <row r="720" spans="1:102" ht="15.75" x14ac:dyDescent="0.25">
      <c r="A720" s="4" t="s">
        <v>119</v>
      </c>
      <c r="B720" s="4" t="s">
        <v>120</v>
      </c>
      <c r="C720" s="4">
        <v>2021</v>
      </c>
      <c r="D720" s="4">
        <v>394</v>
      </c>
      <c r="E720" s="4">
        <v>0</v>
      </c>
      <c r="F720" s="4">
        <v>0</v>
      </c>
      <c r="G720" s="4">
        <v>0</v>
      </c>
      <c r="H720" s="4">
        <v>0</v>
      </c>
      <c r="I720" s="4">
        <v>2</v>
      </c>
      <c r="J720" s="4">
        <v>0</v>
      </c>
      <c r="K720" s="4">
        <v>0</v>
      </c>
      <c r="L720" s="4">
        <v>2</v>
      </c>
      <c r="M720" s="4">
        <v>0</v>
      </c>
      <c r="N720" s="4">
        <v>3</v>
      </c>
      <c r="O720" s="4">
        <v>23</v>
      </c>
      <c r="P720" s="4">
        <v>1</v>
      </c>
      <c r="Q720" s="4">
        <v>1</v>
      </c>
      <c r="R720" s="4">
        <v>1</v>
      </c>
      <c r="S720" s="4">
        <v>0</v>
      </c>
      <c r="T720" s="4">
        <v>0</v>
      </c>
      <c r="U720" s="4">
        <v>0</v>
      </c>
      <c r="V720" s="4">
        <v>2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17</v>
      </c>
      <c r="AH720" s="4">
        <v>2</v>
      </c>
      <c r="AI720" s="4">
        <v>4</v>
      </c>
      <c r="AJ720" s="4">
        <v>80</v>
      </c>
      <c r="AK720" s="4">
        <v>18</v>
      </c>
      <c r="AL720" s="4">
        <v>3</v>
      </c>
      <c r="AM720" s="4">
        <v>7</v>
      </c>
      <c r="AN720" s="4">
        <v>2</v>
      </c>
      <c r="AO720" s="4">
        <v>18</v>
      </c>
      <c r="AP720" s="4">
        <v>0</v>
      </c>
      <c r="AQ720" s="4">
        <v>1</v>
      </c>
      <c r="AR720" s="4">
        <v>0</v>
      </c>
      <c r="AS720" s="4">
        <v>3</v>
      </c>
      <c r="AT720" s="4">
        <v>0</v>
      </c>
      <c r="AU720" s="4">
        <v>3</v>
      </c>
      <c r="AV720" s="4">
        <v>22</v>
      </c>
      <c r="AW720" s="4">
        <v>89</v>
      </c>
      <c r="AX720" s="4">
        <v>4</v>
      </c>
      <c r="AY720" s="4">
        <v>0</v>
      </c>
      <c r="AZ720" s="4">
        <v>3</v>
      </c>
      <c r="BA720" s="4">
        <v>0</v>
      </c>
      <c r="BB720" s="4">
        <v>9</v>
      </c>
      <c r="BC720" s="4">
        <v>1</v>
      </c>
      <c r="BD720" s="4">
        <v>0</v>
      </c>
      <c r="BE720" s="4">
        <v>4</v>
      </c>
      <c r="BF720" s="4">
        <v>10</v>
      </c>
      <c r="BG720" s="4">
        <v>0</v>
      </c>
      <c r="BH720" s="4">
        <v>0</v>
      </c>
      <c r="BI720" s="4">
        <v>0</v>
      </c>
      <c r="BJ720" s="4">
        <v>7</v>
      </c>
      <c r="BK720" s="4">
        <v>9</v>
      </c>
      <c r="BL720" s="4">
        <v>0</v>
      </c>
      <c r="BM720" s="4">
        <v>0</v>
      </c>
      <c r="BN720" s="4">
        <v>1</v>
      </c>
      <c r="BO720" s="4">
        <v>0</v>
      </c>
      <c r="BP720" s="4">
        <v>0</v>
      </c>
      <c r="BQ720" s="4">
        <v>3</v>
      </c>
      <c r="BR720" s="4">
        <v>0</v>
      </c>
      <c r="BS720" s="4">
        <v>6</v>
      </c>
      <c r="BT720" s="4">
        <v>5</v>
      </c>
      <c r="BU720" s="4">
        <v>0</v>
      </c>
      <c r="BV720" s="4">
        <v>3</v>
      </c>
      <c r="BW720" s="4">
        <v>0</v>
      </c>
      <c r="BX720" s="4">
        <v>1</v>
      </c>
      <c r="BY720" s="4">
        <v>0</v>
      </c>
      <c r="BZ720" s="4">
        <v>0</v>
      </c>
      <c r="CA720" s="4">
        <v>1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1</v>
      </c>
      <c r="CN720" s="4">
        <v>8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2</v>
      </c>
      <c r="CU720" s="4">
        <v>0</v>
      </c>
      <c r="CV720" s="4">
        <v>5</v>
      </c>
      <c r="CW720" s="4">
        <v>1</v>
      </c>
      <c r="CX720" s="5">
        <v>1</v>
      </c>
    </row>
    <row r="721" spans="1:102" ht="15.75" x14ac:dyDescent="0.25">
      <c r="A721" s="4" t="s">
        <v>121</v>
      </c>
      <c r="B721" s="4" t="s">
        <v>122</v>
      </c>
      <c r="C721" s="4">
        <v>2021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5">
        <v>0</v>
      </c>
    </row>
    <row r="722" spans="1:102" ht="15.75" x14ac:dyDescent="0.25">
      <c r="A722" s="4" t="s">
        <v>123</v>
      </c>
      <c r="B722" s="4" t="s">
        <v>124</v>
      </c>
      <c r="C722" s="4">
        <v>2021</v>
      </c>
      <c r="D722" s="4">
        <v>1614</v>
      </c>
      <c r="E722" s="4">
        <v>0</v>
      </c>
      <c r="F722" s="4">
        <v>4</v>
      </c>
      <c r="G722" s="4">
        <v>9</v>
      </c>
      <c r="H722" s="4">
        <v>0</v>
      </c>
      <c r="I722" s="4">
        <v>3</v>
      </c>
      <c r="J722" s="4">
        <v>1</v>
      </c>
      <c r="K722" s="4">
        <v>1</v>
      </c>
      <c r="L722" s="4">
        <v>6</v>
      </c>
      <c r="M722" s="4">
        <v>2</v>
      </c>
      <c r="N722" s="4">
        <v>5</v>
      </c>
      <c r="O722" s="4">
        <v>33</v>
      </c>
      <c r="P722" s="4">
        <v>0</v>
      </c>
      <c r="Q722" s="4">
        <v>0</v>
      </c>
      <c r="R722" s="4">
        <v>0</v>
      </c>
      <c r="S722" s="4">
        <v>0</v>
      </c>
      <c r="T722" s="4">
        <v>2</v>
      </c>
      <c r="U722" s="4">
        <v>1</v>
      </c>
      <c r="V722" s="4">
        <v>1</v>
      </c>
      <c r="W722" s="4">
        <v>9</v>
      </c>
      <c r="X722" s="4">
        <v>2</v>
      </c>
      <c r="Y722" s="4">
        <v>0</v>
      </c>
      <c r="Z722" s="4">
        <v>0</v>
      </c>
      <c r="AA722" s="4">
        <v>4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10</v>
      </c>
      <c r="AH722" s="4">
        <v>4</v>
      </c>
      <c r="AI722" s="4">
        <v>23</v>
      </c>
      <c r="AJ722" s="4">
        <v>150</v>
      </c>
      <c r="AK722" s="4">
        <v>11</v>
      </c>
      <c r="AL722" s="4">
        <v>1</v>
      </c>
      <c r="AM722" s="4">
        <v>23</v>
      </c>
      <c r="AN722" s="4">
        <v>17</v>
      </c>
      <c r="AO722" s="4">
        <v>24</v>
      </c>
      <c r="AP722" s="4">
        <v>1</v>
      </c>
      <c r="AQ722" s="4">
        <v>8</v>
      </c>
      <c r="AR722" s="4">
        <v>1</v>
      </c>
      <c r="AS722" s="4">
        <v>6</v>
      </c>
      <c r="AT722" s="4">
        <v>15</v>
      </c>
      <c r="AU722" s="4">
        <v>20</v>
      </c>
      <c r="AV722" s="4">
        <v>27</v>
      </c>
      <c r="AW722" s="4">
        <v>113</v>
      </c>
      <c r="AX722" s="4">
        <v>40</v>
      </c>
      <c r="AY722" s="4">
        <v>1</v>
      </c>
      <c r="AZ722" s="4">
        <v>6</v>
      </c>
      <c r="BA722" s="4">
        <v>0</v>
      </c>
      <c r="BB722" s="4">
        <v>84</v>
      </c>
      <c r="BC722" s="4">
        <v>16</v>
      </c>
      <c r="BD722" s="4">
        <v>0</v>
      </c>
      <c r="BE722" s="4">
        <v>13</v>
      </c>
      <c r="BF722" s="4">
        <v>95</v>
      </c>
      <c r="BG722" s="4">
        <v>3</v>
      </c>
      <c r="BH722" s="4">
        <v>2</v>
      </c>
      <c r="BI722" s="4">
        <v>0</v>
      </c>
      <c r="BJ722" s="4">
        <v>41</v>
      </c>
      <c r="BK722" s="4">
        <v>38</v>
      </c>
      <c r="BL722" s="4">
        <v>0</v>
      </c>
      <c r="BM722" s="4">
        <v>4</v>
      </c>
      <c r="BN722" s="4">
        <v>15</v>
      </c>
      <c r="BO722" s="4">
        <v>0</v>
      </c>
      <c r="BP722" s="4">
        <v>16</v>
      </c>
      <c r="BQ722" s="4">
        <v>30</v>
      </c>
      <c r="BR722" s="4">
        <v>2</v>
      </c>
      <c r="BS722" s="4">
        <v>46</v>
      </c>
      <c r="BT722" s="4">
        <v>47</v>
      </c>
      <c r="BU722" s="4">
        <v>1</v>
      </c>
      <c r="BV722" s="4">
        <v>70</v>
      </c>
      <c r="BW722" s="4">
        <v>14</v>
      </c>
      <c r="BX722" s="4">
        <v>189</v>
      </c>
      <c r="BY722" s="4">
        <v>2</v>
      </c>
      <c r="BZ722" s="4">
        <v>3</v>
      </c>
      <c r="CA722" s="4">
        <v>24</v>
      </c>
      <c r="CB722" s="4">
        <v>0</v>
      </c>
      <c r="CC722" s="4">
        <v>0</v>
      </c>
      <c r="CD722" s="4">
        <v>55</v>
      </c>
      <c r="CE722" s="4">
        <v>0</v>
      </c>
      <c r="CF722" s="4">
        <v>3</v>
      </c>
      <c r="CG722" s="4">
        <v>2</v>
      </c>
      <c r="CH722" s="4">
        <v>2</v>
      </c>
      <c r="CI722" s="4">
        <v>1</v>
      </c>
      <c r="CJ722" s="4">
        <v>18</v>
      </c>
      <c r="CK722" s="4">
        <v>5</v>
      </c>
      <c r="CL722" s="4">
        <v>2</v>
      </c>
      <c r="CM722" s="4">
        <v>10</v>
      </c>
      <c r="CN722" s="4">
        <v>88</v>
      </c>
      <c r="CO722" s="4">
        <v>1</v>
      </c>
      <c r="CP722" s="4">
        <v>3</v>
      </c>
      <c r="CQ722" s="4">
        <v>0</v>
      </c>
      <c r="CR722" s="4">
        <v>28</v>
      </c>
      <c r="CS722" s="4">
        <v>2</v>
      </c>
      <c r="CT722" s="4">
        <v>11</v>
      </c>
      <c r="CU722" s="4">
        <v>7</v>
      </c>
      <c r="CV722" s="4">
        <v>24</v>
      </c>
      <c r="CW722" s="4">
        <v>13</v>
      </c>
      <c r="CX722" s="5">
        <v>13</v>
      </c>
    </row>
    <row r="723" spans="1:102" ht="15.75" x14ac:dyDescent="0.25">
      <c r="A723" s="4" t="s">
        <v>125</v>
      </c>
      <c r="B723" s="4" t="s">
        <v>126</v>
      </c>
      <c r="C723" s="4">
        <v>2021</v>
      </c>
      <c r="D723" s="4">
        <v>4621</v>
      </c>
      <c r="E723" s="4">
        <v>21</v>
      </c>
      <c r="F723" s="4">
        <v>7</v>
      </c>
      <c r="G723" s="4">
        <v>15</v>
      </c>
      <c r="H723" s="4">
        <v>11</v>
      </c>
      <c r="I723" s="4">
        <v>78</v>
      </c>
      <c r="J723" s="4">
        <v>11</v>
      </c>
      <c r="K723" s="4">
        <v>13</v>
      </c>
      <c r="L723" s="4">
        <v>39</v>
      </c>
      <c r="M723" s="4">
        <v>8</v>
      </c>
      <c r="N723" s="4">
        <v>59</v>
      </c>
      <c r="O723" s="4">
        <v>240</v>
      </c>
      <c r="P723" s="4">
        <v>0</v>
      </c>
      <c r="Q723" s="4">
        <v>3</v>
      </c>
      <c r="R723" s="4">
        <v>2</v>
      </c>
      <c r="S723" s="4">
        <v>1</v>
      </c>
      <c r="T723" s="4">
        <v>0</v>
      </c>
      <c r="U723" s="4">
        <v>1</v>
      </c>
      <c r="V723" s="4">
        <v>4</v>
      </c>
      <c r="W723" s="4">
        <v>5</v>
      </c>
      <c r="X723" s="4">
        <v>3</v>
      </c>
      <c r="Y723" s="4">
        <v>2</v>
      </c>
      <c r="Z723" s="4">
        <v>0</v>
      </c>
      <c r="AA723" s="4">
        <v>8</v>
      </c>
      <c r="AB723" s="4">
        <v>0</v>
      </c>
      <c r="AC723" s="4">
        <v>0</v>
      </c>
      <c r="AD723" s="4">
        <v>0</v>
      </c>
      <c r="AE723" s="4">
        <v>4</v>
      </c>
      <c r="AF723" s="4">
        <v>0</v>
      </c>
      <c r="AG723" s="4">
        <v>30</v>
      </c>
      <c r="AH723" s="4">
        <v>4</v>
      </c>
      <c r="AI723" s="4">
        <v>39</v>
      </c>
      <c r="AJ723" s="4">
        <v>607</v>
      </c>
      <c r="AK723" s="4">
        <v>115</v>
      </c>
      <c r="AL723" s="4">
        <v>2</v>
      </c>
      <c r="AM723" s="4">
        <v>20</v>
      </c>
      <c r="AN723" s="4">
        <v>52</v>
      </c>
      <c r="AO723" s="4">
        <v>90</v>
      </c>
      <c r="AP723" s="4">
        <v>3</v>
      </c>
      <c r="AQ723" s="4">
        <v>19</v>
      </c>
      <c r="AR723" s="4">
        <v>5</v>
      </c>
      <c r="AS723" s="4">
        <v>21</v>
      </c>
      <c r="AT723" s="4">
        <v>31</v>
      </c>
      <c r="AU723" s="4">
        <v>46</v>
      </c>
      <c r="AV723" s="4">
        <v>27</v>
      </c>
      <c r="AW723" s="4">
        <v>38</v>
      </c>
      <c r="AX723" s="4">
        <v>129</v>
      </c>
      <c r="AY723" s="4">
        <v>2</v>
      </c>
      <c r="AZ723" s="4">
        <v>30</v>
      </c>
      <c r="BA723" s="4">
        <v>0</v>
      </c>
      <c r="BB723" s="4">
        <v>97</v>
      </c>
      <c r="BC723" s="4">
        <v>14</v>
      </c>
      <c r="BD723" s="4">
        <v>1</v>
      </c>
      <c r="BE723" s="4">
        <v>45</v>
      </c>
      <c r="BF723" s="4">
        <v>235</v>
      </c>
      <c r="BG723" s="4">
        <v>4</v>
      </c>
      <c r="BH723" s="4">
        <v>11</v>
      </c>
      <c r="BI723" s="4">
        <v>1</v>
      </c>
      <c r="BJ723" s="4">
        <v>198</v>
      </c>
      <c r="BK723" s="4">
        <v>198</v>
      </c>
      <c r="BL723" s="4">
        <v>0</v>
      </c>
      <c r="BM723" s="4">
        <v>6</v>
      </c>
      <c r="BN723" s="4">
        <v>39</v>
      </c>
      <c r="BO723" s="4">
        <v>1</v>
      </c>
      <c r="BP723" s="4">
        <v>14</v>
      </c>
      <c r="BQ723" s="4">
        <v>74</v>
      </c>
      <c r="BR723" s="4">
        <v>16</v>
      </c>
      <c r="BS723" s="4">
        <v>127</v>
      </c>
      <c r="BT723" s="4">
        <v>75</v>
      </c>
      <c r="BU723" s="4">
        <v>5</v>
      </c>
      <c r="BV723" s="4">
        <v>102</v>
      </c>
      <c r="BW723" s="4">
        <v>76</v>
      </c>
      <c r="BX723" s="4">
        <v>454</v>
      </c>
      <c r="BY723" s="4">
        <v>7</v>
      </c>
      <c r="BZ723" s="4">
        <v>0</v>
      </c>
      <c r="CA723" s="4">
        <v>36</v>
      </c>
      <c r="CB723" s="4">
        <v>17</v>
      </c>
      <c r="CC723" s="4">
        <v>0</v>
      </c>
      <c r="CD723" s="4">
        <v>13</v>
      </c>
      <c r="CE723" s="4">
        <v>3</v>
      </c>
      <c r="CF723" s="4">
        <v>11</v>
      </c>
      <c r="CG723" s="4">
        <v>3</v>
      </c>
      <c r="CH723" s="4">
        <v>5</v>
      </c>
      <c r="CI723" s="4">
        <v>9</v>
      </c>
      <c r="CJ723" s="4">
        <v>161</v>
      </c>
      <c r="CK723" s="4">
        <v>25</v>
      </c>
      <c r="CL723" s="4">
        <v>0</v>
      </c>
      <c r="CM723" s="4">
        <v>31</v>
      </c>
      <c r="CN723" s="4">
        <v>161</v>
      </c>
      <c r="CO723" s="4">
        <v>28</v>
      </c>
      <c r="CP723" s="4">
        <v>5</v>
      </c>
      <c r="CQ723" s="4">
        <v>0</v>
      </c>
      <c r="CR723" s="4">
        <v>22</v>
      </c>
      <c r="CS723" s="4">
        <v>8</v>
      </c>
      <c r="CT723" s="4">
        <v>32</v>
      </c>
      <c r="CU723" s="4">
        <v>34</v>
      </c>
      <c r="CV723" s="4">
        <v>326</v>
      </c>
      <c r="CW723" s="4">
        <v>45</v>
      </c>
      <c r="CX723" s="5">
        <v>45</v>
      </c>
    </row>
    <row r="724" spans="1:102" ht="15.75" x14ac:dyDescent="0.25">
      <c r="A724" s="4" t="s">
        <v>127</v>
      </c>
      <c r="B724" s="4" t="s">
        <v>128</v>
      </c>
      <c r="C724" s="4">
        <v>2021</v>
      </c>
      <c r="D724" s="4">
        <v>4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4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5">
        <v>0</v>
      </c>
    </row>
    <row r="725" spans="1:102" ht="15.75" x14ac:dyDescent="0.25">
      <c r="A725" s="4" t="s">
        <v>129</v>
      </c>
      <c r="B725" s="4" t="s">
        <v>130</v>
      </c>
      <c r="C725" s="4">
        <v>2021</v>
      </c>
      <c r="D725" s="4">
        <v>383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33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1</v>
      </c>
      <c r="AH725" s="4">
        <v>1</v>
      </c>
      <c r="AI725" s="4">
        <v>1</v>
      </c>
      <c r="AJ725" s="4">
        <v>3</v>
      </c>
      <c r="AK725" s="4">
        <v>2</v>
      </c>
      <c r="AL725" s="4">
        <v>0</v>
      </c>
      <c r="AM725" s="4">
        <v>2</v>
      </c>
      <c r="AN725" s="4">
        <v>1</v>
      </c>
      <c r="AO725" s="4">
        <v>6</v>
      </c>
      <c r="AP725" s="4">
        <v>0</v>
      </c>
      <c r="AQ725" s="4">
        <v>3</v>
      </c>
      <c r="AR725" s="4">
        <v>0</v>
      </c>
      <c r="AS725" s="4">
        <v>0</v>
      </c>
      <c r="AT725" s="4">
        <v>1</v>
      </c>
      <c r="AU725" s="4">
        <v>2</v>
      </c>
      <c r="AV725" s="4">
        <v>17</v>
      </c>
      <c r="AW725" s="4">
        <v>1</v>
      </c>
      <c r="AX725" s="4">
        <v>18</v>
      </c>
      <c r="AY725" s="4">
        <v>1</v>
      </c>
      <c r="AZ725" s="4">
        <v>1</v>
      </c>
      <c r="BA725" s="4">
        <v>0</v>
      </c>
      <c r="BB725" s="4">
        <v>77</v>
      </c>
      <c r="BC725" s="4">
        <v>3</v>
      </c>
      <c r="BD725" s="4">
        <v>0</v>
      </c>
      <c r="BE725" s="4">
        <v>4</v>
      </c>
      <c r="BF725" s="4">
        <v>4</v>
      </c>
      <c r="BG725" s="4">
        <v>0</v>
      </c>
      <c r="BH725" s="4">
        <v>0</v>
      </c>
      <c r="BI725" s="4">
        <v>0</v>
      </c>
      <c r="BJ725" s="4">
        <v>26</v>
      </c>
      <c r="BK725" s="4">
        <v>29</v>
      </c>
      <c r="BL725" s="4">
        <v>0</v>
      </c>
      <c r="BM725" s="4">
        <v>0</v>
      </c>
      <c r="BN725" s="4">
        <v>1</v>
      </c>
      <c r="BO725" s="4">
        <v>0</v>
      </c>
      <c r="BP725" s="4">
        <v>0</v>
      </c>
      <c r="BQ725" s="4">
        <v>7</v>
      </c>
      <c r="BR725" s="4">
        <v>0</v>
      </c>
      <c r="BS725" s="4">
        <v>18</v>
      </c>
      <c r="BT725" s="4">
        <v>2</v>
      </c>
      <c r="BU725" s="4">
        <v>0</v>
      </c>
      <c r="BV725" s="4">
        <v>0</v>
      </c>
      <c r="BW725" s="4">
        <v>1</v>
      </c>
      <c r="BX725" s="4">
        <v>41</v>
      </c>
      <c r="BY725" s="4">
        <v>0</v>
      </c>
      <c r="BZ725" s="4">
        <v>0</v>
      </c>
      <c r="CA725" s="4">
        <v>2</v>
      </c>
      <c r="CB725" s="4">
        <v>1</v>
      </c>
      <c r="CC725" s="4">
        <v>0</v>
      </c>
      <c r="CD725" s="4">
        <v>1</v>
      </c>
      <c r="CE725" s="4">
        <v>0</v>
      </c>
      <c r="CF725" s="4">
        <v>0</v>
      </c>
      <c r="CG725" s="4">
        <v>0</v>
      </c>
      <c r="CH725" s="4">
        <v>0</v>
      </c>
      <c r="CI725" s="4">
        <v>3</v>
      </c>
      <c r="CJ725" s="4">
        <v>11</v>
      </c>
      <c r="CK725" s="4">
        <v>6</v>
      </c>
      <c r="CL725" s="4">
        <v>0</v>
      </c>
      <c r="CM725" s="4">
        <v>2</v>
      </c>
      <c r="CN725" s="4">
        <v>13</v>
      </c>
      <c r="CO725" s="4">
        <v>2</v>
      </c>
      <c r="CP725" s="4">
        <v>0</v>
      </c>
      <c r="CQ725" s="4">
        <v>0</v>
      </c>
      <c r="CR725" s="4">
        <v>0</v>
      </c>
      <c r="CS725" s="4">
        <v>28</v>
      </c>
      <c r="CT725" s="4">
        <v>1</v>
      </c>
      <c r="CU725" s="4">
        <v>0</v>
      </c>
      <c r="CV725" s="4">
        <v>3</v>
      </c>
      <c r="CW725" s="4">
        <v>3</v>
      </c>
      <c r="CX725" s="5">
        <v>3</v>
      </c>
    </row>
    <row r="726" spans="1:102" ht="15.75" x14ac:dyDescent="0.25">
      <c r="A726" s="4" t="s">
        <v>131</v>
      </c>
      <c r="B726" s="4" t="s">
        <v>132</v>
      </c>
      <c r="C726" s="4">
        <v>2021</v>
      </c>
      <c r="D726" s="4">
        <v>30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1</v>
      </c>
      <c r="O726" s="4">
        <v>2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1</v>
      </c>
      <c r="AK726" s="4">
        <v>0</v>
      </c>
      <c r="AL726" s="4">
        <v>0</v>
      </c>
      <c r="AM726" s="4">
        <v>2</v>
      </c>
      <c r="AN726" s="4">
        <v>0</v>
      </c>
      <c r="AO726" s="4">
        <v>3</v>
      </c>
      <c r="AP726" s="4">
        <v>1</v>
      </c>
      <c r="AQ726" s="4">
        <v>0</v>
      </c>
      <c r="AR726" s="4">
        <v>0</v>
      </c>
      <c r="AS726" s="4">
        <v>0</v>
      </c>
      <c r="AT726" s="4">
        <v>1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1</v>
      </c>
      <c r="BC726" s="4">
        <v>0</v>
      </c>
      <c r="BD726" s="4">
        <v>0</v>
      </c>
      <c r="BE726" s="4">
        <v>0</v>
      </c>
      <c r="BF726" s="4">
        <v>1</v>
      </c>
      <c r="BG726" s="4">
        <v>0</v>
      </c>
      <c r="BH726" s="4">
        <v>0</v>
      </c>
      <c r="BI726" s="4">
        <v>0</v>
      </c>
      <c r="BJ726" s="4">
        <v>1</v>
      </c>
      <c r="BK726" s="4">
        <v>1</v>
      </c>
      <c r="BL726" s="4">
        <v>0</v>
      </c>
      <c r="BM726" s="4">
        <v>0</v>
      </c>
      <c r="BN726" s="4">
        <v>1</v>
      </c>
      <c r="BO726" s="4">
        <v>0</v>
      </c>
      <c r="BP726" s="4">
        <v>0</v>
      </c>
      <c r="BQ726" s="4">
        <v>0</v>
      </c>
      <c r="BR726" s="4">
        <v>0</v>
      </c>
      <c r="BS726" s="4">
        <v>1</v>
      </c>
      <c r="BT726" s="4">
        <v>2</v>
      </c>
      <c r="BU726" s="4">
        <v>0</v>
      </c>
      <c r="BV726" s="4">
        <v>1</v>
      </c>
      <c r="BW726" s="4">
        <v>0</v>
      </c>
      <c r="BX726" s="4">
        <v>1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1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1</v>
      </c>
      <c r="CU726" s="4">
        <v>0</v>
      </c>
      <c r="CV726" s="4">
        <v>1</v>
      </c>
      <c r="CW726" s="4">
        <v>0</v>
      </c>
      <c r="CX726" s="5">
        <v>0</v>
      </c>
    </row>
    <row r="727" spans="1:102" ht="15.75" x14ac:dyDescent="0.25">
      <c r="A727" s="4" t="s">
        <v>133</v>
      </c>
      <c r="B727" s="4" t="s">
        <v>134</v>
      </c>
      <c r="C727" s="4">
        <v>2021</v>
      </c>
      <c r="D727" s="4">
        <v>48</v>
      </c>
      <c r="E727" s="4">
        <v>0</v>
      </c>
      <c r="F727" s="4">
        <v>0</v>
      </c>
      <c r="G727" s="4">
        <v>2</v>
      </c>
      <c r="H727" s="4">
        <v>0</v>
      </c>
      <c r="I727" s="4">
        <v>1</v>
      </c>
      <c r="J727" s="4">
        <v>1</v>
      </c>
      <c r="K727" s="4">
        <v>2</v>
      </c>
      <c r="L727" s="4">
        <v>1</v>
      </c>
      <c r="M727" s="4">
        <v>0</v>
      </c>
      <c r="N727" s="4">
        <v>3</v>
      </c>
      <c r="O727" s="4">
        <v>2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2</v>
      </c>
      <c r="AK727" s="4">
        <v>2</v>
      </c>
      <c r="AL727" s="4">
        <v>0</v>
      </c>
      <c r="AM727" s="4">
        <v>0</v>
      </c>
      <c r="AN727" s="4">
        <v>1</v>
      </c>
      <c r="AO727" s="4">
        <v>1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1</v>
      </c>
      <c r="AV727" s="4">
        <v>2</v>
      </c>
      <c r="AW727" s="4">
        <v>0</v>
      </c>
      <c r="AX727" s="4">
        <v>2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2</v>
      </c>
      <c r="BG727" s="4">
        <v>0</v>
      </c>
      <c r="BH727" s="4">
        <v>0</v>
      </c>
      <c r="BI727" s="4">
        <v>0</v>
      </c>
      <c r="BJ727" s="4">
        <v>1</v>
      </c>
      <c r="BK727" s="4">
        <v>1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3</v>
      </c>
      <c r="BT727" s="4">
        <v>0</v>
      </c>
      <c r="BU727" s="4">
        <v>0</v>
      </c>
      <c r="BV727" s="4">
        <v>1</v>
      </c>
      <c r="BW727" s="4">
        <v>2</v>
      </c>
      <c r="BX727" s="4">
        <v>2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1</v>
      </c>
      <c r="CE727" s="4">
        <v>0</v>
      </c>
      <c r="CF727" s="4">
        <v>2</v>
      </c>
      <c r="CG727" s="4">
        <v>0</v>
      </c>
      <c r="CH727" s="4">
        <v>0</v>
      </c>
      <c r="CI727" s="4">
        <v>0</v>
      </c>
      <c r="CJ727" s="4">
        <v>1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1</v>
      </c>
      <c r="CU727" s="4">
        <v>0</v>
      </c>
      <c r="CV727" s="4">
        <v>3</v>
      </c>
      <c r="CW727" s="4">
        <v>1</v>
      </c>
      <c r="CX727" s="5">
        <v>1</v>
      </c>
    </row>
    <row r="728" spans="1:102" ht="15.75" x14ac:dyDescent="0.25">
      <c r="A728" s="4" t="s">
        <v>135</v>
      </c>
      <c r="B728" s="4" t="s">
        <v>136</v>
      </c>
      <c r="C728" s="4">
        <v>2021</v>
      </c>
      <c r="D728" s="4">
        <v>450</v>
      </c>
      <c r="E728" s="4">
        <v>3</v>
      </c>
      <c r="F728" s="4">
        <v>0</v>
      </c>
      <c r="G728" s="4">
        <v>1</v>
      </c>
      <c r="H728" s="4">
        <v>0</v>
      </c>
      <c r="I728" s="4">
        <v>0</v>
      </c>
      <c r="J728" s="4">
        <v>2</v>
      </c>
      <c r="K728" s="4">
        <v>0</v>
      </c>
      <c r="L728" s="4">
        <v>1</v>
      </c>
      <c r="M728" s="4">
        <v>1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2</v>
      </c>
      <c r="U728" s="4">
        <v>2</v>
      </c>
      <c r="V728" s="4">
        <v>3</v>
      </c>
      <c r="W728" s="4">
        <v>251</v>
      </c>
      <c r="X728" s="4">
        <v>0</v>
      </c>
      <c r="Y728" s="4">
        <v>0</v>
      </c>
      <c r="Z728" s="4">
        <v>0</v>
      </c>
      <c r="AA728" s="4">
        <v>1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2</v>
      </c>
      <c r="AH728" s="4">
        <v>0</v>
      </c>
      <c r="AI728" s="4">
        <v>2</v>
      </c>
      <c r="AJ728" s="4">
        <v>1</v>
      </c>
      <c r="AK728" s="4">
        <v>3</v>
      </c>
      <c r="AL728" s="4">
        <v>0</v>
      </c>
      <c r="AM728" s="4">
        <v>3</v>
      </c>
      <c r="AN728" s="4">
        <v>1</v>
      </c>
      <c r="AO728" s="4">
        <v>6</v>
      </c>
      <c r="AP728" s="4">
        <v>0</v>
      </c>
      <c r="AQ728" s="4">
        <v>0</v>
      </c>
      <c r="AR728" s="4">
        <v>0</v>
      </c>
      <c r="AS728" s="4">
        <v>6</v>
      </c>
      <c r="AT728" s="4">
        <v>4</v>
      </c>
      <c r="AU728" s="4">
        <v>1</v>
      </c>
      <c r="AV728" s="4">
        <v>2</v>
      </c>
      <c r="AW728" s="4">
        <v>1</v>
      </c>
      <c r="AX728" s="4">
        <v>3</v>
      </c>
      <c r="AY728" s="4">
        <v>0</v>
      </c>
      <c r="AZ728" s="4">
        <v>17</v>
      </c>
      <c r="BA728" s="4">
        <v>0</v>
      </c>
      <c r="BB728" s="4">
        <v>18</v>
      </c>
      <c r="BC728" s="4">
        <v>3</v>
      </c>
      <c r="BD728" s="4">
        <v>0</v>
      </c>
      <c r="BE728" s="4">
        <v>1</v>
      </c>
      <c r="BF728" s="4">
        <v>6</v>
      </c>
      <c r="BG728" s="4">
        <v>0</v>
      </c>
      <c r="BH728" s="4">
        <v>0</v>
      </c>
      <c r="BI728" s="4">
        <v>0</v>
      </c>
      <c r="BJ728" s="4">
        <v>5</v>
      </c>
      <c r="BK728" s="4">
        <v>16</v>
      </c>
      <c r="BL728" s="4">
        <v>0</v>
      </c>
      <c r="BM728" s="4">
        <v>0</v>
      </c>
      <c r="BN728" s="4">
        <v>1</v>
      </c>
      <c r="BO728" s="4">
        <v>0</v>
      </c>
      <c r="BP728" s="4">
        <v>2</v>
      </c>
      <c r="BQ728" s="4">
        <v>2</v>
      </c>
      <c r="BR728" s="4">
        <v>0</v>
      </c>
      <c r="BS728" s="4">
        <v>5</v>
      </c>
      <c r="BT728" s="4">
        <v>3</v>
      </c>
      <c r="BU728" s="4">
        <v>0</v>
      </c>
      <c r="BV728" s="4">
        <v>0</v>
      </c>
      <c r="BW728" s="4">
        <v>0</v>
      </c>
      <c r="BX728" s="4">
        <v>24</v>
      </c>
      <c r="BY728" s="4">
        <v>0</v>
      </c>
      <c r="BZ728" s="4">
        <v>0</v>
      </c>
      <c r="CA728" s="4">
        <v>18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1</v>
      </c>
      <c r="CN728" s="4">
        <v>16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1</v>
      </c>
      <c r="CU728" s="4">
        <v>0</v>
      </c>
      <c r="CV728" s="4">
        <v>3</v>
      </c>
      <c r="CW728" s="4">
        <v>2</v>
      </c>
      <c r="CX728" s="5">
        <v>2</v>
      </c>
    </row>
    <row r="729" spans="1:102" ht="15.75" x14ac:dyDescent="0.25">
      <c r="A729" s="4" t="s">
        <v>137</v>
      </c>
      <c r="B729" s="4" t="s">
        <v>138</v>
      </c>
      <c r="C729" s="4">
        <v>2021</v>
      </c>
      <c r="D729" s="4">
        <v>16398</v>
      </c>
      <c r="E729" s="4">
        <v>3</v>
      </c>
      <c r="F729" s="4">
        <v>79</v>
      </c>
      <c r="G729" s="4">
        <v>118</v>
      </c>
      <c r="H729" s="4">
        <v>16</v>
      </c>
      <c r="I729" s="4">
        <v>81</v>
      </c>
      <c r="J729" s="4">
        <v>26</v>
      </c>
      <c r="K729" s="4">
        <v>10</v>
      </c>
      <c r="L729" s="4">
        <v>42</v>
      </c>
      <c r="M729" s="4">
        <v>24</v>
      </c>
      <c r="N729" s="4">
        <v>34</v>
      </c>
      <c r="O729" s="4">
        <v>318</v>
      </c>
      <c r="P729" s="4">
        <v>0</v>
      </c>
      <c r="Q729" s="4">
        <v>5</v>
      </c>
      <c r="R729" s="4">
        <v>81</v>
      </c>
      <c r="S729" s="4">
        <v>1</v>
      </c>
      <c r="T729" s="4">
        <v>5</v>
      </c>
      <c r="U729" s="4">
        <v>5</v>
      </c>
      <c r="V729" s="4">
        <v>21</v>
      </c>
      <c r="W729" s="4">
        <v>697</v>
      </c>
      <c r="X729" s="4">
        <v>15</v>
      </c>
      <c r="Y729" s="4">
        <v>8</v>
      </c>
      <c r="Z729" s="4">
        <v>170</v>
      </c>
      <c r="AA729" s="4">
        <v>2094</v>
      </c>
      <c r="AB729" s="4">
        <v>1580</v>
      </c>
      <c r="AC729" s="4">
        <v>23</v>
      </c>
      <c r="AD729" s="4">
        <v>22</v>
      </c>
      <c r="AE729" s="4">
        <v>34</v>
      </c>
      <c r="AF729" s="4">
        <v>15</v>
      </c>
      <c r="AG729" s="4">
        <v>714</v>
      </c>
      <c r="AH729" s="4">
        <v>72</v>
      </c>
      <c r="AI729" s="4">
        <v>182</v>
      </c>
      <c r="AJ729" s="4">
        <v>2404</v>
      </c>
      <c r="AK729" s="4">
        <v>513</v>
      </c>
      <c r="AL729" s="4">
        <v>4</v>
      </c>
      <c r="AM729" s="4">
        <v>458</v>
      </c>
      <c r="AN729" s="4">
        <v>166</v>
      </c>
      <c r="AO729" s="4">
        <v>319</v>
      </c>
      <c r="AP729" s="4">
        <v>13</v>
      </c>
      <c r="AQ729" s="4">
        <v>174</v>
      </c>
      <c r="AR729" s="4">
        <v>30</v>
      </c>
      <c r="AS729" s="4">
        <v>77</v>
      </c>
      <c r="AT729" s="4">
        <v>69</v>
      </c>
      <c r="AU729" s="4">
        <v>236</v>
      </c>
      <c r="AV729" s="4">
        <v>177</v>
      </c>
      <c r="AW729" s="4">
        <v>306</v>
      </c>
      <c r="AX729" s="4">
        <v>209</v>
      </c>
      <c r="AY729" s="4">
        <v>3</v>
      </c>
      <c r="AZ729" s="4">
        <v>17</v>
      </c>
      <c r="BA729" s="4">
        <v>0</v>
      </c>
      <c r="BB729" s="4">
        <v>283</v>
      </c>
      <c r="BC729" s="4">
        <v>20</v>
      </c>
      <c r="BD729" s="4">
        <v>16</v>
      </c>
      <c r="BE729" s="4">
        <v>50</v>
      </c>
      <c r="BF729" s="4">
        <v>211</v>
      </c>
      <c r="BG729" s="4">
        <v>21</v>
      </c>
      <c r="BH729" s="4">
        <v>76</v>
      </c>
      <c r="BI729" s="4">
        <v>1</v>
      </c>
      <c r="BJ729" s="4">
        <v>178</v>
      </c>
      <c r="BK729" s="4">
        <v>435</v>
      </c>
      <c r="BL729" s="4">
        <v>0</v>
      </c>
      <c r="BM729" s="4">
        <v>10</v>
      </c>
      <c r="BN729" s="4">
        <v>47</v>
      </c>
      <c r="BO729" s="4">
        <v>2</v>
      </c>
      <c r="BP729" s="4">
        <v>7</v>
      </c>
      <c r="BQ729" s="4">
        <v>68</v>
      </c>
      <c r="BR729" s="4">
        <v>10</v>
      </c>
      <c r="BS729" s="4">
        <v>151</v>
      </c>
      <c r="BT729" s="4">
        <v>74</v>
      </c>
      <c r="BU729" s="4">
        <v>19</v>
      </c>
      <c r="BV729" s="4">
        <v>115</v>
      </c>
      <c r="BW729" s="4">
        <v>76</v>
      </c>
      <c r="BX729" s="4">
        <v>1499</v>
      </c>
      <c r="BY729" s="4">
        <v>6</v>
      </c>
      <c r="BZ729" s="4">
        <v>0</v>
      </c>
      <c r="CA729" s="4">
        <v>193</v>
      </c>
      <c r="CB729" s="4">
        <v>2</v>
      </c>
      <c r="CC729" s="4">
        <v>1</v>
      </c>
      <c r="CD729" s="4">
        <v>11</v>
      </c>
      <c r="CE729" s="4">
        <v>4</v>
      </c>
      <c r="CF729" s="4">
        <v>12</v>
      </c>
      <c r="CG729" s="4">
        <v>23</v>
      </c>
      <c r="CH729" s="4">
        <v>13</v>
      </c>
      <c r="CI729" s="4">
        <v>12</v>
      </c>
      <c r="CJ729" s="4">
        <v>120</v>
      </c>
      <c r="CK729" s="4">
        <v>73</v>
      </c>
      <c r="CL729" s="4">
        <v>0</v>
      </c>
      <c r="CM729" s="4">
        <v>13</v>
      </c>
      <c r="CN729" s="4">
        <v>398</v>
      </c>
      <c r="CO729" s="4">
        <v>63</v>
      </c>
      <c r="CP729" s="4">
        <v>13</v>
      </c>
      <c r="CQ729" s="4">
        <v>0</v>
      </c>
      <c r="CR729" s="4">
        <v>68</v>
      </c>
      <c r="CS729" s="4">
        <v>7</v>
      </c>
      <c r="CT729" s="4">
        <v>111</v>
      </c>
      <c r="CU729" s="4">
        <v>5</v>
      </c>
      <c r="CV729" s="4">
        <v>168</v>
      </c>
      <c r="CW729" s="4">
        <v>44</v>
      </c>
      <c r="CX729" s="5">
        <v>44</v>
      </c>
    </row>
    <row r="730" spans="1:102" ht="15.75" x14ac:dyDescent="0.25">
      <c r="A730" s="4" t="s">
        <v>139</v>
      </c>
      <c r="B730" s="4" t="s">
        <v>140</v>
      </c>
      <c r="C730" s="4">
        <v>2021</v>
      </c>
      <c r="D730" s="4">
        <v>16</v>
      </c>
      <c r="E730" s="4">
        <v>0</v>
      </c>
      <c r="F730" s="4">
        <v>0</v>
      </c>
      <c r="G730" s="4">
        <v>0</v>
      </c>
      <c r="H730" s="4">
        <v>0</v>
      </c>
      <c r="I730" s="4">
        <v>3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1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1</v>
      </c>
      <c r="BF730" s="4">
        <v>0</v>
      </c>
      <c r="BG730" s="4">
        <v>0</v>
      </c>
      <c r="BH730" s="4">
        <v>0</v>
      </c>
      <c r="BI730" s="4">
        <v>0</v>
      </c>
      <c r="BJ730" s="4">
        <v>1</v>
      </c>
      <c r="BK730" s="4">
        <v>2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1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3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1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0</v>
      </c>
      <c r="CX730" s="5">
        <v>0</v>
      </c>
    </row>
    <row r="731" spans="1:102" ht="15.75" x14ac:dyDescent="0.25">
      <c r="A731" s="4" t="s">
        <v>141</v>
      </c>
      <c r="B731" s="4" t="s">
        <v>142</v>
      </c>
      <c r="C731" s="4">
        <v>2021</v>
      </c>
      <c r="D731" s="4">
        <v>291</v>
      </c>
      <c r="E731" s="4">
        <v>0</v>
      </c>
      <c r="F731" s="4">
        <v>0</v>
      </c>
      <c r="G731" s="4">
        <v>1</v>
      </c>
      <c r="H731" s="4">
        <v>0</v>
      </c>
      <c r="I731" s="4">
        <v>1</v>
      </c>
      <c r="J731" s="4">
        <v>1</v>
      </c>
      <c r="K731" s="4">
        <v>0</v>
      </c>
      <c r="L731" s="4">
        <v>4</v>
      </c>
      <c r="M731" s="4">
        <v>1</v>
      </c>
      <c r="N731" s="4">
        <v>4</v>
      </c>
      <c r="O731" s="4">
        <v>47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1</v>
      </c>
      <c r="V731" s="4">
        <v>2</v>
      </c>
      <c r="W731" s="4">
        <v>1</v>
      </c>
      <c r="X731" s="4">
        <v>1</v>
      </c>
      <c r="Y731" s="4">
        <v>0</v>
      </c>
      <c r="Z731" s="4">
        <v>0</v>
      </c>
      <c r="AA731" s="4">
        <v>1</v>
      </c>
      <c r="AB731" s="4">
        <v>0</v>
      </c>
      <c r="AC731" s="4">
        <v>0</v>
      </c>
      <c r="AD731" s="4">
        <v>0</v>
      </c>
      <c r="AE731" s="4">
        <v>0</v>
      </c>
      <c r="AF731" s="4">
        <v>1</v>
      </c>
      <c r="AG731" s="4">
        <v>3</v>
      </c>
      <c r="AH731" s="4">
        <v>2</v>
      </c>
      <c r="AI731" s="4">
        <v>4</v>
      </c>
      <c r="AJ731" s="4">
        <v>8</v>
      </c>
      <c r="AK731" s="4">
        <v>7</v>
      </c>
      <c r="AL731" s="4">
        <v>1</v>
      </c>
      <c r="AM731" s="4">
        <v>2</v>
      </c>
      <c r="AN731" s="4">
        <v>4</v>
      </c>
      <c r="AO731" s="4">
        <v>7</v>
      </c>
      <c r="AP731" s="4">
        <v>0</v>
      </c>
      <c r="AQ731" s="4">
        <v>1</v>
      </c>
      <c r="AR731" s="4">
        <v>0</v>
      </c>
      <c r="AS731" s="4">
        <v>2</v>
      </c>
      <c r="AT731" s="4">
        <v>6</v>
      </c>
      <c r="AU731" s="4">
        <v>4</v>
      </c>
      <c r="AV731" s="4">
        <v>1</v>
      </c>
      <c r="AW731" s="4">
        <v>4</v>
      </c>
      <c r="AX731" s="4">
        <v>5</v>
      </c>
      <c r="AY731" s="4">
        <v>0</v>
      </c>
      <c r="AZ731" s="4">
        <v>2</v>
      </c>
      <c r="BA731" s="4">
        <v>0</v>
      </c>
      <c r="BB731" s="4">
        <v>1</v>
      </c>
      <c r="BC731" s="4">
        <v>2</v>
      </c>
      <c r="BD731" s="4">
        <v>0</v>
      </c>
      <c r="BE731" s="4">
        <v>3</v>
      </c>
      <c r="BF731" s="4">
        <v>37</v>
      </c>
      <c r="BG731" s="4">
        <v>0</v>
      </c>
      <c r="BH731" s="4">
        <v>1</v>
      </c>
      <c r="BI731" s="4">
        <v>0</v>
      </c>
      <c r="BJ731" s="4">
        <v>7</v>
      </c>
      <c r="BK731" s="4">
        <v>9</v>
      </c>
      <c r="BL731" s="4">
        <v>0</v>
      </c>
      <c r="BM731" s="4">
        <v>0</v>
      </c>
      <c r="BN731" s="4">
        <v>6</v>
      </c>
      <c r="BO731" s="4">
        <v>0</v>
      </c>
      <c r="BP731" s="4">
        <v>2</v>
      </c>
      <c r="BQ731" s="4">
        <v>5</v>
      </c>
      <c r="BR731" s="4">
        <v>0</v>
      </c>
      <c r="BS731" s="4">
        <v>7</v>
      </c>
      <c r="BT731" s="4">
        <v>4</v>
      </c>
      <c r="BU731" s="4">
        <v>0</v>
      </c>
      <c r="BV731" s="4">
        <v>2</v>
      </c>
      <c r="BW731" s="4">
        <v>3</v>
      </c>
      <c r="BX731" s="4">
        <v>26</v>
      </c>
      <c r="BY731" s="4">
        <v>0</v>
      </c>
      <c r="BZ731" s="4">
        <v>0</v>
      </c>
      <c r="CA731" s="4">
        <v>9</v>
      </c>
      <c r="CB731" s="4">
        <v>0</v>
      </c>
      <c r="CC731" s="4">
        <v>0</v>
      </c>
      <c r="CD731" s="4">
        <v>2</v>
      </c>
      <c r="CE731" s="4">
        <v>0</v>
      </c>
      <c r="CF731" s="4">
        <v>1</v>
      </c>
      <c r="CG731" s="4">
        <v>1</v>
      </c>
      <c r="CH731" s="4">
        <v>1</v>
      </c>
      <c r="CI731" s="4">
        <v>0</v>
      </c>
      <c r="CJ731" s="4">
        <v>2</v>
      </c>
      <c r="CK731" s="4">
        <v>1</v>
      </c>
      <c r="CL731" s="4">
        <v>0</v>
      </c>
      <c r="CM731" s="4">
        <v>2</v>
      </c>
      <c r="CN731" s="4">
        <v>10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2</v>
      </c>
      <c r="CU731" s="4">
        <v>1</v>
      </c>
      <c r="CV731" s="4">
        <v>7</v>
      </c>
      <c r="CW731" s="4">
        <v>2</v>
      </c>
      <c r="CX731" s="5">
        <v>2</v>
      </c>
    </row>
    <row r="732" spans="1:102" ht="15.75" x14ac:dyDescent="0.25">
      <c r="A732" s="4" t="s">
        <v>143</v>
      </c>
      <c r="B732" s="4" t="s">
        <v>144</v>
      </c>
      <c r="C732" s="4">
        <v>2021</v>
      </c>
      <c r="D732" s="4">
        <v>301</v>
      </c>
      <c r="E732" s="4">
        <v>1</v>
      </c>
      <c r="F732" s="4">
        <v>1</v>
      </c>
      <c r="G732" s="4">
        <v>4</v>
      </c>
      <c r="H732" s="4">
        <v>1</v>
      </c>
      <c r="I732" s="4">
        <v>6</v>
      </c>
      <c r="J732" s="4">
        <v>3</v>
      </c>
      <c r="K732" s="4">
        <v>1</v>
      </c>
      <c r="L732" s="4">
        <v>3</v>
      </c>
      <c r="M732" s="4">
        <v>1</v>
      </c>
      <c r="N732" s="4">
        <v>4</v>
      </c>
      <c r="O732" s="4">
        <v>3</v>
      </c>
      <c r="P732" s="4">
        <v>0</v>
      </c>
      <c r="Q732" s="4">
        <v>0</v>
      </c>
      <c r="R732" s="4">
        <v>0</v>
      </c>
      <c r="S732" s="4">
        <v>1</v>
      </c>
      <c r="T732" s="4">
        <v>0</v>
      </c>
      <c r="U732" s="4">
        <v>0</v>
      </c>
      <c r="V732" s="4">
        <v>0</v>
      </c>
      <c r="W732" s="4">
        <v>2</v>
      </c>
      <c r="X732" s="4">
        <v>0</v>
      </c>
      <c r="Y732" s="4">
        <v>0</v>
      </c>
      <c r="Z732" s="4">
        <v>0</v>
      </c>
      <c r="AA732" s="4">
        <v>1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1</v>
      </c>
      <c r="AH732" s="4">
        <v>0</v>
      </c>
      <c r="AI732" s="4">
        <v>1</v>
      </c>
      <c r="AJ732" s="4">
        <v>4</v>
      </c>
      <c r="AK732" s="4">
        <v>2</v>
      </c>
      <c r="AL732" s="4">
        <v>0</v>
      </c>
      <c r="AM732" s="4">
        <v>1</v>
      </c>
      <c r="AN732" s="4">
        <v>3</v>
      </c>
      <c r="AO732" s="4">
        <v>3</v>
      </c>
      <c r="AP732" s="4">
        <v>0</v>
      </c>
      <c r="AQ732" s="4">
        <v>1</v>
      </c>
      <c r="AR732" s="4">
        <v>1</v>
      </c>
      <c r="AS732" s="4">
        <v>0</v>
      </c>
      <c r="AT732" s="4">
        <v>2</v>
      </c>
      <c r="AU732" s="4">
        <v>3</v>
      </c>
      <c r="AV732" s="4">
        <v>1</v>
      </c>
      <c r="AW732" s="4">
        <v>2</v>
      </c>
      <c r="AX732" s="4">
        <v>5</v>
      </c>
      <c r="AY732" s="4">
        <v>0</v>
      </c>
      <c r="AZ732" s="4">
        <v>4</v>
      </c>
      <c r="BA732" s="4">
        <v>0</v>
      </c>
      <c r="BB732" s="4">
        <v>13</v>
      </c>
      <c r="BC732" s="4">
        <v>1</v>
      </c>
      <c r="BD732" s="4">
        <v>0</v>
      </c>
      <c r="BE732" s="4">
        <v>1</v>
      </c>
      <c r="BF732" s="4">
        <v>1</v>
      </c>
      <c r="BG732" s="4">
        <v>0</v>
      </c>
      <c r="BH732" s="4">
        <v>0</v>
      </c>
      <c r="BI732" s="4">
        <v>0</v>
      </c>
      <c r="BJ732" s="4">
        <v>9</v>
      </c>
      <c r="BK732" s="4">
        <v>6</v>
      </c>
      <c r="BL732" s="4">
        <v>0</v>
      </c>
      <c r="BM732" s="4">
        <v>0</v>
      </c>
      <c r="BN732" s="4">
        <v>10</v>
      </c>
      <c r="BO732" s="4">
        <v>0</v>
      </c>
      <c r="BP732" s="4">
        <v>0</v>
      </c>
      <c r="BQ732" s="4">
        <v>3</v>
      </c>
      <c r="BR732" s="4">
        <v>0</v>
      </c>
      <c r="BS732" s="4">
        <v>21</v>
      </c>
      <c r="BT732" s="4">
        <v>4</v>
      </c>
      <c r="BU732" s="4">
        <v>0</v>
      </c>
      <c r="BV732" s="4">
        <v>2</v>
      </c>
      <c r="BW732" s="4">
        <v>1</v>
      </c>
      <c r="BX732" s="4">
        <v>31</v>
      </c>
      <c r="BY732" s="4">
        <v>0</v>
      </c>
      <c r="BZ732" s="4">
        <v>0</v>
      </c>
      <c r="CA732" s="4">
        <v>20</v>
      </c>
      <c r="CB732" s="4">
        <v>0</v>
      </c>
      <c r="CC732" s="4">
        <v>0</v>
      </c>
      <c r="CD732" s="4">
        <v>1</v>
      </c>
      <c r="CE732" s="4">
        <v>0</v>
      </c>
      <c r="CF732" s="4">
        <v>2</v>
      </c>
      <c r="CG732" s="4">
        <v>0</v>
      </c>
      <c r="CH732" s="4">
        <v>0</v>
      </c>
      <c r="CI732" s="4">
        <v>1</v>
      </c>
      <c r="CJ732" s="4">
        <v>3</v>
      </c>
      <c r="CK732" s="4">
        <v>1</v>
      </c>
      <c r="CL732" s="4">
        <v>0</v>
      </c>
      <c r="CM732" s="4">
        <v>1</v>
      </c>
      <c r="CN732" s="4">
        <v>8</v>
      </c>
      <c r="CO732" s="4">
        <v>2</v>
      </c>
      <c r="CP732" s="4">
        <v>0</v>
      </c>
      <c r="CQ732" s="4">
        <v>0</v>
      </c>
      <c r="CR732" s="4">
        <v>0</v>
      </c>
      <c r="CS732" s="4">
        <v>83</v>
      </c>
      <c r="CT732" s="4">
        <v>2</v>
      </c>
      <c r="CU732" s="4">
        <v>0</v>
      </c>
      <c r="CV732" s="4">
        <v>5</v>
      </c>
      <c r="CW732" s="4">
        <v>1</v>
      </c>
      <c r="CX732" s="5">
        <v>1</v>
      </c>
    </row>
    <row r="733" spans="1:102" ht="15.75" x14ac:dyDescent="0.25">
      <c r="A733" s="4" t="s">
        <v>145</v>
      </c>
      <c r="B733" s="4" t="s">
        <v>146</v>
      </c>
      <c r="C733" s="4">
        <v>2021</v>
      </c>
      <c r="D733" s="4">
        <v>1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2</v>
      </c>
      <c r="BX733" s="4">
        <v>1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5">
        <v>0</v>
      </c>
    </row>
    <row r="734" spans="1:102" ht="15.75" x14ac:dyDescent="0.25">
      <c r="A734" s="4" t="s">
        <v>147</v>
      </c>
      <c r="B734" s="4" t="s">
        <v>148</v>
      </c>
      <c r="C734" s="4">
        <v>2021</v>
      </c>
      <c r="D734" s="4">
        <v>25</v>
      </c>
      <c r="E734" s="4">
        <v>0</v>
      </c>
      <c r="F734" s="4">
        <v>12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1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6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1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4">
        <v>1</v>
      </c>
      <c r="CW734" s="4">
        <v>0</v>
      </c>
      <c r="CX734" s="5">
        <v>0</v>
      </c>
    </row>
    <row r="735" spans="1:102" ht="15.75" x14ac:dyDescent="0.25">
      <c r="A735" s="4" t="s">
        <v>149</v>
      </c>
      <c r="B735" s="4" t="s">
        <v>150</v>
      </c>
      <c r="C735" s="4">
        <v>2021</v>
      </c>
      <c r="D735" s="4">
        <v>186</v>
      </c>
      <c r="E735" s="4">
        <v>0</v>
      </c>
      <c r="F735" s="4">
        <v>0</v>
      </c>
      <c r="G735" s="4">
        <v>1</v>
      </c>
      <c r="H735" s="4">
        <v>0</v>
      </c>
      <c r="I735" s="4">
        <v>1</v>
      </c>
      <c r="J735" s="4">
        <v>0</v>
      </c>
      <c r="K735" s="4">
        <v>0</v>
      </c>
      <c r="L735" s="4">
        <v>0</v>
      </c>
      <c r="M735" s="4">
        <v>0</v>
      </c>
      <c r="N735" s="4">
        <v>3</v>
      </c>
      <c r="O735" s="4">
        <v>2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14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1</v>
      </c>
      <c r="AV735" s="4">
        <v>0</v>
      </c>
      <c r="AW735" s="4">
        <v>0</v>
      </c>
      <c r="AX735" s="4">
        <v>1</v>
      </c>
      <c r="AY735" s="4">
        <v>0</v>
      </c>
      <c r="AZ735" s="4">
        <v>0</v>
      </c>
      <c r="BA735" s="4">
        <v>0</v>
      </c>
      <c r="BB735" s="4">
        <v>1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1</v>
      </c>
      <c r="BT735" s="4">
        <v>0</v>
      </c>
      <c r="BU735" s="4">
        <v>0</v>
      </c>
      <c r="BV735" s="4">
        <v>1</v>
      </c>
      <c r="BW735" s="4">
        <v>0</v>
      </c>
      <c r="BX735" s="4">
        <v>1</v>
      </c>
      <c r="BY735" s="4">
        <v>0</v>
      </c>
      <c r="BZ735" s="4">
        <v>0</v>
      </c>
      <c r="CA735" s="4">
        <v>0</v>
      </c>
      <c r="CB735" s="4">
        <v>154</v>
      </c>
      <c r="CC735" s="4">
        <v>0</v>
      </c>
      <c r="CD735" s="4">
        <v>0</v>
      </c>
      <c r="CE735" s="4">
        <v>0</v>
      </c>
      <c r="CF735" s="4">
        <v>1</v>
      </c>
      <c r="CG735" s="4">
        <v>0</v>
      </c>
      <c r="CH735" s="4">
        <v>0</v>
      </c>
      <c r="CI735" s="4">
        <v>0</v>
      </c>
      <c r="CJ735" s="4">
        <v>1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1</v>
      </c>
      <c r="CS735" s="4">
        <v>0</v>
      </c>
      <c r="CT735" s="4">
        <v>0</v>
      </c>
      <c r="CU735" s="4">
        <v>0</v>
      </c>
      <c r="CV735" s="4">
        <v>1</v>
      </c>
      <c r="CW735" s="4">
        <v>0</v>
      </c>
      <c r="CX735" s="5">
        <v>0</v>
      </c>
    </row>
    <row r="736" spans="1:102" ht="15.75" x14ac:dyDescent="0.25">
      <c r="A736" s="4" t="s">
        <v>151</v>
      </c>
      <c r="B736" s="4" t="s">
        <v>152</v>
      </c>
      <c r="C736" s="4">
        <v>2021</v>
      </c>
      <c r="D736" s="4">
        <v>76</v>
      </c>
      <c r="E736" s="4">
        <v>0</v>
      </c>
      <c r="F736" s="4">
        <v>0</v>
      </c>
      <c r="G736" s="4">
        <v>0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  <c r="M736" s="4">
        <v>0</v>
      </c>
      <c r="N736" s="4">
        <v>1</v>
      </c>
      <c r="O736" s="4">
        <v>28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2</v>
      </c>
      <c r="AK736" s="4">
        <v>1</v>
      </c>
      <c r="AL736" s="4">
        <v>0</v>
      </c>
      <c r="AM736" s="4">
        <v>0</v>
      </c>
      <c r="AN736" s="4">
        <v>0</v>
      </c>
      <c r="AO736" s="4">
        <v>1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1</v>
      </c>
      <c r="AW736" s="4">
        <v>0</v>
      </c>
      <c r="AX736" s="4">
        <v>1</v>
      </c>
      <c r="AY736" s="4">
        <v>0</v>
      </c>
      <c r="AZ736" s="4">
        <v>0</v>
      </c>
      <c r="BA736" s="4">
        <v>0</v>
      </c>
      <c r="BB736" s="4">
        <v>10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3</v>
      </c>
      <c r="BK736" s="4">
        <v>4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1</v>
      </c>
      <c r="BR736" s="4">
        <v>0</v>
      </c>
      <c r="BS736" s="4">
        <v>2</v>
      </c>
      <c r="BT736" s="4">
        <v>0</v>
      </c>
      <c r="BU736" s="4">
        <v>0</v>
      </c>
      <c r="BV736" s="4">
        <v>0</v>
      </c>
      <c r="BW736" s="4">
        <v>1</v>
      </c>
      <c r="BX736" s="4">
        <v>7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1</v>
      </c>
      <c r="CJ736" s="4">
        <v>1</v>
      </c>
      <c r="CK736" s="4">
        <v>0</v>
      </c>
      <c r="CL736" s="4">
        <v>0</v>
      </c>
      <c r="CM736" s="4">
        <v>0</v>
      </c>
      <c r="CN736" s="4">
        <v>3</v>
      </c>
      <c r="CO736" s="4">
        <v>0</v>
      </c>
      <c r="CP736" s="4">
        <v>0</v>
      </c>
      <c r="CQ736" s="4">
        <v>0</v>
      </c>
      <c r="CR736" s="4">
        <v>0</v>
      </c>
      <c r="CS736" s="4">
        <v>1</v>
      </c>
      <c r="CT736" s="4">
        <v>0</v>
      </c>
      <c r="CU736" s="4">
        <v>0</v>
      </c>
      <c r="CV736" s="4">
        <v>1</v>
      </c>
      <c r="CW736" s="4">
        <v>0</v>
      </c>
      <c r="CX736" s="5">
        <v>0</v>
      </c>
    </row>
    <row r="737" spans="1:102" ht="15.75" x14ac:dyDescent="0.25">
      <c r="A737" s="4" t="s">
        <v>153</v>
      </c>
      <c r="B737" s="4" t="s">
        <v>154</v>
      </c>
      <c r="C737" s="4">
        <v>2021</v>
      </c>
      <c r="D737" s="4">
        <v>14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3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1</v>
      </c>
      <c r="AK737" s="4">
        <v>0</v>
      </c>
      <c r="AL737" s="4">
        <v>0</v>
      </c>
      <c r="AM737" s="4">
        <v>0</v>
      </c>
      <c r="AN737" s="4">
        <v>0</v>
      </c>
      <c r="AO737" s="4">
        <v>2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1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1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1</v>
      </c>
      <c r="BW737" s="4">
        <v>0</v>
      </c>
      <c r="BX737" s="4">
        <v>1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1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5">
        <v>0</v>
      </c>
    </row>
    <row r="738" spans="1:102" ht="15.75" x14ac:dyDescent="0.25">
      <c r="A738" s="4" t="s">
        <v>155</v>
      </c>
      <c r="B738" s="4" t="s">
        <v>156</v>
      </c>
      <c r="C738" s="4">
        <v>2021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5">
        <v>0</v>
      </c>
    </row>
    <row r="739" spans="1:102" ht="15.75" x14ac:dyDescent="0.25">
      <c r="A739" s="4" t="s">
        <v>157</v>
      </c>
      <c r="B739" s="4" t="s">
        <v>158</v>
      </c>
      <c r="C739" s="4">
        <v>2021</v>
      </c>
      <c r="D739" s="4">
        <v>2023</v>
      </c>
      <c r="E739" s="4">
        <v>0</v>
      </c>
      <c r="F739" s="4">
        <v>0</v>
      </c>
      <c r="G739" s="4">
        <v>2</v>
      </c>
      <c r="H739" s="4">
        <v>0</v>
      </c>
      <c r="I739" s="4">
        <v>4</v>
      </c>
      <c r="J739" s="4">
        <v>5</v>
      </c>
      <c r="K739" s="4">
        <v>0</v>
      </c>
      <c r="L739" s="4">
        <v>8</v>
      </c>
      <c r="M739" s="4">
        <v>6</v>
      </c>
      <c r="N739" s="4">
        <v>9</v>
      </c>
      <c r="O739" s="4">
        <v>119</v>
      </c>
      <c r="P739" s="4">
        <v>0</v>
      </c>
      <c r="Q739" s="4">
        <v>0</v>
      </c>
      <c r="R739" s="4">
        <v>15</v>
      </c>
      <c r="S739" s="4">
        <v>0</v>
      </c>
      <c r="T739" s="4">
        <v>0</v>
      </c>
      <c r="U739" s="4">
        <v>1</v>
      </c>
      <c r="V739" s="4">
        <v>5</v>
      </c>
      <c r="W739" s="4">
        <v>0</v>
      </c>
      <c r="X739" s="4">
        <v>4</v>
      </c>
      <c r="Y739" s="4">
        <v>0</v>
      </c>
      <c r="Z739" s="4">
        <v>0</v>
      </c>
      <c r="AA739" s="4">
        <v>7</v>
      </c>
      <c r="AB739" s="4">
        <v>0</v>
      </c>
      <c r="AC739" s="4">
        <v>0</v>
      </c>
      <c r="AD739" s="4">
        <v>1</v>
      </c>
      <c r="AE739" s="4">
        <v>0</v>
      </c>
      <c r="AF739" s="4">
        <v>0</v>
      </c>
      <c r="AG739" s="4">
        <v>84</v>
      </c>
      <c r="AH739" s="4">
        <v>49</v>
      </c>
      <c r="AI739" s="4">
        <v>14</v>
      </c>
      <c r="AJ739" s="4">
        <v>173</v>
      </c>
      <c r="AK739" s="4">
        <v>8</v>
      </c>
      <c r="AL739" s="4">
        <v>30</v>
      </c>
      <c r="AM739" s="4">
        <v>36</v>
      </c>
      <c r="AN739" s="4">
        <v>22</v>
      </c>
      <c r="AO739" s="4">
        <v>110</v>
      </c>
      <c r="AP739" s="4">
        <v>0</v>
      </c>
      <c r="AQ739" s="4">
        <v>13</v>
      </c>
      <c r="AR739" s="4">
        <v>0</v>
      </c>
      <c r="AS739" s="4">
        <v>4</v>
      </c>
      <c r="AT739" s="4">
        <v>5</v>
      </c>
      <c r="AU739" s="4">
        <v>15</v>
      </c>
      <c r="AV739" s="4">
        <v>63</v>
      </c>
      <c r="AW739" s="4">
        <v>29</v>
      </c>
      <c r="AX739" s="4">
        <v>55</v>
      </c>
      <c r="AY739" s="4">
        <v>4</v>
      </c>
      <c r="AZ739" s="4">
        <v>6</v>
      </c>
      <c r="BA739" s="4">
        <v>0</v>
      </c>
      <c r="BB739" s="4">
        <v>260</v>
      </c>
      <c r="BC739" s="4">
        <v>32</v>
      </c>
      <c r="BD739" s="4">
        <v>0</v>
      </c>
      <c r="BE739" s="4">
        <v>64</v>
      </c>
      <c r="BF739" s="4">
        <v>31</v>
      </c>
      <c r="BG739" s="4">
        <v>13</v>
      </c>
      <c r="BH739" s="4">
        <v>39</v>
      </c>
      <c r="BI739" s="4">
        <v>0</v>
      </c>
      <c r="BJ739" s="4">
        <v>106</v>
      </c>
      <c r="BK739" s="4">
        <v>94</v>
      </c>
      <c r="BL739" s="4">
        <v>0</v>
      </c>
      <c r="BM739" s="4">
        <v>1</v>
      </c>
      <c r="BN739" s="4">
        <v>7</v>
      </c>
      <c r="BO739" s="4">
        <v>0</v>
      </c>
      <c r="BP739" s="4">
        <v>3</v>
      </c>
      <c r="BQ739" s="4">
        <v>20</v>
      </c>
      <c r="BR739" s="4">
        <v>1</v>
      </c>
      <c r="BS739" s="4">
        <v>47</v>
      </c>
      <c r="BT739" s="4">
        <v>20</v>
      </c>
      <c r="BU739" s="4">
        <v>0</v>
      </c>
      <c r="BV739" s="4">
        <v>43</v>
      </c>
      <c r="BW739" s="4">
        <v>4</v>
      </c>
      <c r="BX739" s="4">
        <v>104</v>
      </c>
      <c r="BY739" s="4">
        <v>0</v>
      </c>
      <c r="BZ739" s="4">
        <v>0</v>
      </c>
      <c r="CA739" s="4">
        <v>66</v>
      </c>
      <c r="CB739" s="4">
        <v>46</v>
      </c>
      <c r="CC739" s="4">
        <v>0</v>
      </c>
      <c r="CD739" s="4">
        <v>2</v>
      </c>
      <c r="CE739" s="4">
        <v>0</v>
      </c>
      <c r="CF739" s="4">
        <v>0</v>
      </c>
      <c r="CG739" s="4">
        <v>3</v>
      </c>
      <c r="CH739" s="4">
        <v>1</v>
      </c>
      <c r="CI739" s="4">
        <v>0</v>
      </c>
      <c r="CJ739" s="4">
        <v>1</v>
      </c>
      <c r="CK739" s="4">
        <v>0</v>
      </c>
      <c r="CL739" s="4">
        <v>0</v>
      </c>
      <c r="CM739" s="4">
        <v>16</v>
      </c>
      <c r="CN739" s="4">
        <v>50</v>
      </c>
      <c r="CO739" s="4">
        <v>1</v>
      </c>
      <c r="CP739" s="4">
        <v>1</v>
      </c>
      <c r="CQ739" s="4">
        <v>0</v>
      </c>
      <c r="CR739" s="4">
        <v>2</v>
      </c>
      <c r="CS739" s="4">
        <v>0</v>
      </c>
      <c r="CT739" s="4">
        <v>8</v>
      </c>
      <c r="CU739" s="4">
        <v>0</v>
      </c>
      <c r="CV739" s="4">
        <v>24</v>
      </c>
      <c r="CW739" s="4">
        <v>8</v>
      </c>
      <c r="CX739" s="5">
        <v>8</v>
      </c>
    </row>
    <row r="740" spans="1:102" ht="15.75" x14ac:dyDescent="0.25">
      <c r="A740" s="4" t="s">
        <v>159</v>
      </c>
      <c r="B740" s="4" t="s">
        <v>160</v>
      </c>
      <c r="C740" s="4">
        <v>2021</v>
      </c>
      <c r="D740" s="4">
        <v>84</v>
      </c>
      <c r="E740" s="4">
        <v>0</v>
      </c>
      <c r="F740" s="4">
        <v>0</v>
      </c>
      <c r="G740" s="4">
        <v>0</v>
      </c>
      <c r="H740" s="4">
        <v>0</v>
      </c>
      <c r="I740" s="4">
        <v>2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1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60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3</v>
      </c>
      <c r="AK740" s="4">
        <v>1</v>
      </c>
      <c r="AL740" s="4">
        <v>0</v>
      </c>
      <c r="AM740" s="4">
        <v>0</v>
      </c>
      <c r="AN740" s="4">
        <v>0</v>
      </c>
      <c r="AO740" s="4">
        <v>2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1</v>
      </c>
      <c r="AY740" s="4">
        <v>0</v>
      </c>
      <c r="AZ740" s="4">
        <v>0</v>
      </c>
      <c r="BA740" s="4">
        <v>0</v>
      </c>
      <c r="BB740" s="4">
        <v>1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1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1</v>
      </c>
      <c r="BT740" s="4">
        <v>1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1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2</v>
      </c>
      <c r="CS740" s="4">
        <v>0</v>
      </c>
      <c r="CT740" s="4">
        <v>1</v>
      </c>
      <c r="CU740" s="4">
        <v>0</v>
      </c>
      <c r="CV740" s="4">
        <v>0</v>
      </c>
      <c r="CW740" s="4">
        <v>0</v>
      </c>
      <c r="CX740" s="5">
        <v>0</v>
      </c>
    </row>
    <row r="741" spans="1:102" ht="15.75" x14ac:dyDescent="0.25">
      <c r="A741" s="4" t="s">
        <v>161</v>
      </c>
      <c r="B741" s="4" t="s">
        <v>162</v>
      </c>
      <c r="C741" s="4">
        <v>2021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5">
        <v>0</v>
      </c>
    </row>
    <row r="742" spans="1:102" ht="15.75" x14ac:dyDescent="0.25">
      <c r="A742" s="4" t="s">
        <v>163</v>
      </c>
      <c r="B742" s="4" t="s">
        <v>164</v>
      </c>
      <c r="C742" s="4">
        <v>2021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5">
        <v>0</v>
      </c>
    </row>
    <row r="743" spans="1:102" ht="15.75" x14ac:dyDescent="0.25">
      <c r="A743" s="4" t="s">
        <v>165</v>
      </c>
      <c r="B743" s="4" t="s">
        <v>166</v>
      </c>
      <c r="C743" s="4">
        <v>2021</v>
      </c>
      <c r="D743" s="4">
        <v>13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2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1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1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2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1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1</v>
      </c>
      <c r="CW743" s="4">
        <v>0</v>
      </c>
      <c r="CX743" s="5">
        <v>0</v>
      </c>
    </row>
    <row r="744" spans="1:102" ht="15.75" x14ac:dyDescent="0.25">
      <c r="A744" s="4" t="s">
        <v>167</v>
      </c>
      <c r="B744" s="4" t="s">
        <v>168</v>
      </c>
      <c r="C744" s="4">
        <v>2021</v>
      </c>
      <c r="D744" s="4">
        <v>105</v>
      </c>
      <c r="E744" s="4">
        <v>3</v>
      </c>
      <c r="F744" s="4">
        <v>0</v>
      </c>
      <c r="G744" s="4">
        <v>0</v>
      </c>
      <c r="H744" s="4">
        <v>5</v>
      </c>
      <c r="I744" s="4">
        <v>0</v>
      </c>
      <c r="J744" s="4">
        <v>0</v>
      </c>
      <c r="K744" s="4">
        <v>0</v>
      </c>
      <c r="L744" s="4">
        <v>0</v>
      </c>
      <c r="M744" s="4">
        <v>1</v>
      </c>
      <c r="N744" s="4">
        <v>0</v>
      </c>
      <c r="O744" s="4">
        <v>1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2</v>
      </c>
      <c r="AH744" s="4">
        <v>0</v>
      </c>
      <c r="AI744" s="4">
        <v>2</v>
      </c>
      <c r="AJ744" s="4">
        <v>2</v>
      </c>
      <c r="AK744" s="4">
        <v>1</v>
      </c>
      <c r="AL744" s="4">
        <v>0</v>
      </c>
      <c r="AM744" s="4">
        <v>2</v>
      </c>
      <c r="AN744" s="4">
        <v>1</v>
      </c>
      <c r="AO744" s="4">
        <v>4</v>
      </c>
      <c r="AP744" s="4">
        <v>0</v>
      </c>
      <c r="AQ744" s="4">
        <v>0</v>
      </c>
      <c r="AR744" s="4">
        <v>0</v>
      </c>
      <c r="AS744" s="4">
        <v>0</v>
      </c>
      <c r="AT744" s="4">
        <v>1</v>
      </c>
      <c r="AU744" s="4">
        <v>0</v>
      </c>
      <c r="AV744" s="4">
        <v>0</v>
      </c>
      <c r="AW744" s="4">
        <v>0</v>
      </c>
      <c r="AX744" s="4">
        <v>1</v>
      </c>
      <c r="AY744" s="4">
        <v>0</v>
      </c>
      <c r="AZ744" s="4">
        <v>1</v>
      </c>
      <c r="BA744" s="4">
        <v>0</v>
      </c>
      <c r="BB744" s="4">
        <v>4</v>
      </c>
      <c r="BC744" s="4">
        <v>35</v>
      </c>
      <c r="BD744" s="4">
        <v>0</v>
      </c>
      <c r="BE744" s="4">
        <v>1</v>
      </c>
      <c r="BF744" s="4">
        <v>3</v>
      </c>
      <c r="BG744" s="4">
        <v>0</v>
      </c>
      <c r="BH744" s="4">
        <v>0</v>
      </c>
      <c r="BI744" s="4">
        <v>0</v>
      </c>
      <c r="BJ744" s="4">
        <v>1</v>
      </c>
      <c r="BK744" s="4">
        <v>4</v>
      </c>
      <c r="BL744" s="4">
        <v>0</v>
      </c>
      <c r="BM744" s="4">
        <v>0</v>
      </c>
      <c r="BN744" s="4">
        <v>1</v>
      </c>
      <c r="BO744" s="4">
        <v>0</v>
      </c>
      <c r="BP744" s="4">
        <v>0</v>
      </c>
      <c r="BQ744" s="4">
        <v>1</v>
      </c>
      <c r="BR744" s="4">
        <v>0</v>
      </c>
      <c r="BS744" s="4">
        <v>2</v>
      </c>
      <c r="BT744" s="4">
        <v>1</v>
      </c>
      <c r="BU744" s="4">
        <v>0</v>
      </c>
      <c r="BV744" s="4">
        <v>9</v>
      </c>
      <c r="BW744" s="4">
        <v>1</v>
      </c>
      <c r="BX744" s="4">
        <v>2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1</v>
      </c>
      <c r="CK744" s="4">
        <v>0</v>
      </c>
      <c r="CL744" s="4">
        <v>0</v>
      </c>
      <c r="CM744" s="4">
        <v>0</v>
      </c>
      <c r="CN744" s="4">
        <v>2</v>
      </c>
      <c r="CO744" s="4">
        <v>1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5">
        <v>0</v>
      </c>
    </row>
    <row r="745" spans="1:102" ht="15.75" x14ac:dyDescent="0.25">
      <c r="A745" s="4" t="s">
        <v>169</v>
      </c>
      <c r="B745" s="4" t="s">
        <v>170</v>
      </c>
      <c r="C745" s="4">
        <v>2021</v>
      </c>
      <c r="D745" s="4">
        <v>9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1</v>
      </c>
      <c r="AK745" s="4">
        <v>1</v>
      </c>
      <c r="AL745" s="4">
        <v>0</v>
      </c>
      <c r="AM745" s="4">
        <v>0</v>
      </c>
      <c r="AN745" s="4">
        <v>0</v>
      </c>
      <c r="AO745" s="4">
        <v>1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1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1</v>
      </c>
      <c r="BG745" s="4">
        <v>0</v>
      </c>
      <c r="BH745" s="4">
        <v>0</v>
      </c>
      <c r="BI745" s="4">
        <v>0</v>
      </c>
      <c r="BJ745" s="4">
        <v>0</v>
      </c>
      <c r="BK745" s="4">
        <v>1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5">
        <v>0</v>
      </c>
    </row>
    <row r="746" spans="1:102" ht="15.75" x14ac:dyDescent="0.25">
      <c r="A746" s="4" t="s">
        <v>171</v>
      </c>
      <c r="B746" s="4" t="s">
        <v>172</v>
      </c>
      <c r="C746" s="4">
        <v>2021</v>
      </c>
      <c r="D746" s="4">
        <v>6028</v>
      </c>
      <c r="E746" s="4">
        <v>3</v>
      </c>
      <c r="F746" s="4">
        <v>23</v>
      </c>
      <c r="G746" s="4">
        <v>17</v>
      </c>
      <c r="H746" s="4">
        <v>20</v>
      </c>
      <c r="I746" s="4">
        <v>42</v>
      </c>
      <c r="J746" s="4">
        <v>7</v>
      </c>
      <c r="K746" s="4">
        <v>10</v>
      </c>
      <c r="L746" s="4">
        <v>63</v>
      </c>
      <c r="M746" s="4">
        <v>9</v>
      </c>
      <c r="N746" s="4">
        <v>25</v>
      </c>
      <c r="O746" s="4">
        <v>295</v>
      </c>
      <c r="P746" s="4">
        <v>0</v>
      </c>
      <c r="Q746" s="4">
        <v>1</v>
      </c>
      <c r="R746" s="4">
        <v>0</v>
      </c>
      <c r="S746" s="4">
        <v>0</v>
      </c>
      <c r="T746" s="4">
        <v>0</v>
      </c>
      <c r="U746" s="4">
        <v>1</v>
      </c>
      <c r="V746" s="4">
        <v>2</v>
      </c>
      <c r="W746" s="4">
        <v>74</v>
      </c>
      <c r="X746" s="4">
        <v>8</v>
      </c>
      <c r="Y746" s="4">
        <v>5</v>
      </c>
      <c r="Z746" s="4">
        <v>518</v>
      </c>
      <c r="AA746" s="4">
        <v>208</v>
      </c>
      <c r="AB746" s="4">
        <v>0</v>
      </c>
      <c r="AC746" s="4">
        <v>0</v>
      </c>
      <c r="AD746" s="4">
        <v>0</v>
      </c>
      <c r="AE746" s="4">
        <v>10</v>
      </c>
      <c r="AF746" s="4">
        <v>0</v>
      </c>
      <c r="AG746" s="4">
        <v>48</v>
      </c>
      <c r="AH746" s="4">
        <v>4</v>
      </c>
      <c r="AI746" s="4">
        <v>13</v>
      </c>
      <c r="AJ746" s="4">
        <v>328</v>
      </c>
      <c r="AK746" s="4">
        <v>72</v>
      </c>
      <c r="AL746" s="4">
        <v>5</v>
      </c>
      <c r="AM746" s="4">
        <v>34</v>
      </c>
      <c r="AN746" s="4">
        <v>31</v>
      </c>
      <c r="AO746" s="4">
        <v>104</v>
      </c>
      <c r="AP746" s="4">
        <v>1</v>
      </c>
      <c r="AQ746" s="4">
        <v>22</v>
      </c>
      <c r="AR746" s="4">
        <v>2</v>
      </c>
      <c r="AS746" s="4">
        <v>22</v>
      </c>
      <c r="AT746" s="4">
        <v>20</v>
      </c>
      <c r="AU746" s="4">
        <v>25</v>
      </c>
      <c r="AV746" s="4">
        <v>70</v>
      </c>
      <c r="AW746" s="4">
        <v>1190</v>
      </c>
      <c r="AX746" s="4">
        <v>99</v>
      </c>
      <c r="AY746" s="4">
        <v>2</v>
      </c>
      <c r="AZ746" s="4">
        <v>15</v>
      </c>
      <c r="BA746" s="4">
        <v>0</v>
      </c>
      <c r="BB746" s="4">
        <v>347</v>
      </c>
      <c r="BC746" s="4">
        <v>24</v>
      </c>
      <c r="BD746" s="4">
        <v>1</v>
      </c>
      <c r="BE746" s="4">
        <v>38</v>
      </c>
      <c r="BF746" s="4">
        <v>107</v>
      </c>
      <c r="BG746" s="4">
        <v>8</v>
      </c>
      <c r="BH746" s="4">
        <v>7</v>
      </c>
      <c r="BI746" s="4">
        <v>0</v>
      </c>
      <c r="BJ746" s="4">
        <v>126</v>
      </c>
      <c r="BK746" s="4">
        <v>141</v>
      </c>
      <c r="BL746" s="4">
        <v>0</v>
      </c>
      <c r="BM746" s="4">
        <v>4</v>
      </c>
      <c r="BN746" s="4">
        <v>39</v>
      </c>
      <c r="BO746" s="4">
        <v>1</v>
      </c>
      <c r="BP746" s="4">
        <v>14</v>
      </c>
      <c r="BQ746" s="4">
        <v>61</v>
      </c>
      <c r="BR746" s="4">
        <v>10</v>
      </c>
      <c r="BS746" s="4">
        <v>99</v>
      </c>
      <c r="BT746" s="4">
        <v>69</v>
      </c>
      <c r="BU746" s="4">
        <v>2</v>
      </c>
      <c r="BV746" s="4">
        <v>53</v>
      </c>
      <c r="BW746" s="4">
        <v>11</v>
      </c>
      <c r="BX746" s="4">
        <v>574</v>
      </c>
      <c r="BY746" s="4">
        <v>6</v>
      </c>
      <c r="BZ746" s="4">
        <v>4</v>
      </c>
      <c r="CA746" s="4">
        <v>387</v>
      </c>
      <c r="CB746" s="4">
        <v>12</v>
      </c>
      <c r="CC746" s="4">
        <v>0</v>
      </c>
      <c r="CD746" s="4">
        <v>6</v>
      </c>
      <c r="CE746" s="4">
        <v>3</v>
      </c>
      <c r="CF746" s="4">
        <v>5</v>
      </c>
      <c r="CG746" s="4">
        <v>20</v>
      </c>
      <c r="CH746" s="4">
        <v>3</v>
      </c>
      <c r="CI746" s="4">
        <v>6</v>
      </c>
      <c r="CJ746" s="4">
        <v>37</v>
      </c>
      <c r="CK746" s="4">
        <v>3</v>
      </c>
      <c r="CL746" s="4">
        <v>0</v>
      </c>
      <c r="CM746" s="4">
        <v>32</v>
      </c>
      <c r="CN746" s="4">
        <v>127</v>
      </c>
      <c r="CO746" s="4">
        <v>13</v>
      </c>
      <c r="CP746" s="4">
        <v>15</v>
      </c>
      <c r="CQ746" s="4">
        <v>1</v>
      </c>
      <c r="CR746" s="4">
        <v>24</v>
      </c>
      <c r="CS746" s="4">
        <v>5</v>
      </c>
      <c r="CT746" s="4">
        <v>16</v>
      </c>
      <c r="CU746" s="4">
        <v>6</v>
      </c>
      <c r="CV746" s="4">
        <v>72</v>
      </c>
      <c r="CW746" s="4">
        <v>42</v>
      </c>
      <c r="CX746" s="5">
        <v>42</v>
      </c>
    </row>
    <row r="747" spans="1:102" ht="15.75" x14ac:dyDescent="0.25">
      <c r="A747" s="4" t="s">
        <v>173</v>
      </c>
      <c r="B747" s="4" t="s">
        <v>174</v>
      </c>
      <c r="C747" s="4">
        <v>2021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5">
        <v>0</v>
      </c>
    </row>
    <row r="748" spans="1:102" ht="15.75" x14ac:dyDescent="0.25">
      <c r="A748" s="4" t="s">
        <v>175</v>
      </c>
      <c r="B748" s="4" t="s">
        <v>176</v>
      </c>
      <c r="C748" s="4">
        <v>2021</v>
      </c>
      <c r="D748" s="4">
        <v>38</v>
      </c>
      <c r="E748" s="4">
        <v>0</v>
      </c>
      <c r="F748" s="4">
        <v>2</v>
      </c>
      <c r="G748" s="4">
        <v>0</v>
      </c>
      <c r="H748" s="4">
        <v>0</v>
      </c>
      <c r="I748" s="4">
        <v>1</v>
      </c>
      <c r="J748" s="4">
        <v>0</v>
      </c>
      <c r="K748" s="4">
        <v>0</v>
      </c>
      <c r="L748" s="4">
        <v>0</v>
      </c>
      <c r="M748" s="4">
        <v>0</v>
      </c>
      <c r="N748" s="4">
        <v>1</v>
      </c>
      <c r="O748" s="4">
        <v>4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1</v>
      </c>
      <c r="AJ748" s="4">
        <v>0</v>
      </c>
      <c r="AK748" s="4">
        <v>2</v>
      </c>
      <c r="AL748" s="4">
        <v>0</v>
      </c>
      <c r="AM748" s="4">
        <v>3</v>
      </c>
      <c r="AN748" s="4">
        <v>0</v>
      </c>
      <c r="AO748" s="4">
        <v>2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1</v>
      </c>
      <c r="BR748" s="4">
        <v>0</v>
      </c>
      <c r="BS748" s="4">
        <v>0</v>
      </c>
      <c r="BT748" s="4">
        <v>0</v>
      </c>
      <c r="BU748" s="4">
        <v>0</v>
      </c>
      <c r="BV748" s="4">
        <v>1</v>
      </c>
      <c r="BW748" s="4">
        <v>3</v>
      </c>
      <c r="BX748" s="4">
        <v>7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1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4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1</v>
      </c>
      <c r="CU748" s="4">
        <v>0</v>
      </c>
      <c r="CV748" s="4">
        <v>0</v>
      </c>
      <c r="CW748" s="4">
        <v>0</v>
      </c>
      <c r="CX748" s="5">
        <v>0</v>
      </c>
    </row>
    <row r="749" spans="1:102" ht="15.75" x14ac:dyDescent="0.25">
      <c r="A749" s="4" t="s">
        <v>177</v>
      </c>
      <c r="B749" s="4" t="s">
        <v>178</v>
      </c>
      <c r="C749" s="4">
        <v>2021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1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5">
        <v>0</v>
      </c>
    </row>
    <row r="750" spans="1:102" ht="15.75" x14ac:dyDescent="0.25">
      <c r="A750" s="4" t="s">
        <v>179</v>
      </c>
      <c r="B750" s="4" t="s">
        <v>180</v>
      </c>
      <c r="C750" s="4">
        <v>2021</v>
      </c>
      <c r="D750" s="4">
        <v>24</v>
      </c>
      <c r="E750" s="4">
        <v>0</v>
      </c>
      <c r="F750" s="4">
        <v>4</v>
      </c>
      <c r="G750" s="4">
        <v>3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2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1</v>
      </c>
      <c r="AI750" s="4">
        <v>1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2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1</v>
      </c>
      <c r="BK750" s="4">
        <v>1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1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1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2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5">
        <v>0</v>
      </c>
    </row>
    <row r="751" spans="1:102" ht="15.75" x14ac:dyDescent="0.25">
      <c r="A751" s="4" t="s">
        <v>181</v>
      </c>
      <c r="B751" s="4" t="s">
        <v>182</v>
      </c>
      <c r="C751" s="4">
        <v>2021</v>
      </c>
      <c r="D751" s="4">
        <v>10384</v>
      </c>
      <c r="E751" s="4">
        <v>1</v>
      </c>
      <c r="F751" s="4">
        <v>5</v>
      </c>
      <c r="G751" s="4">
        <v>8</v>
      </c>
      <c r="H751" s="4">
        <v>6</v>
      </c>
      <c r="I751" s="4">
        <v>16</v>
      </c>
      <c r="J751" s="4">
        <v>3</v>
      </c>
      <c r="K751" s="4">
        <v>5</v>
      </c>
      <c r="L751" s="4">
        <v>18</v>
      </c>
      <c r="M751" s="4">
        <v>14</v>
      </c>
      <c r="N751" s="4">
        <v>43</v>
      </c>
      <c r="O751" s="4">
        <v>119</v>
      </c>
      <c r="P751" s="4">
        <v>0</v>
      </c>
      <c r="Q751" s="4">
        <v>0</v>
      </c>
      <c r="R751" s="4">
        <v>1</v>
      </c>
      <c r="S751" s="4">
        <v>0</v>
      </c>
      <c r="T751" s="4">
        <v>0</v>
      </c>
      <c r="U751" s="4">
        <v>1</v>
      </c>
      <c r="V751" s="4">
        <v>3</v>
      </c>
      <c r="W751" s="4">
        <v>62</v>
      </c>
      <c r="X751" s="4">
        <v>2</v>
      </c>
      <c r="Y751" s="4">
        <v>0</v>
      </c>
      <c r="Z751" s="4">
        <v>0</v>
      </c>
      <c r="AA751" s="4">
        <v>2</v>
      </c>
      <c r="AB751" s="4">
        <v>1</v>
      </c>
      <c r="AC751" s="4">
        <v>0</v>
      </c>
      <c r="AD751" s="4">
        <v>0</v>
      </c>
      <c r="AE751" s="4">
        <v>20</v>
      </c>
      <c r="AF751" s="4">
        <v>0</v>
      </c>
      <c r="AG751" s="4">
        <v>347</v>
      </c>
      <c r="AH751" s="4">
        <v>20</v>
      </c>
      <c r="AI751" s="4">
        <v>24</v>
      </c>
      <c r="AJ751" s="4">
        <v>686</v>
      </c>
      <c r="AK751" s="4">
        <v>119</v>
      </c>
      <c r="AL751" s="4">
        <v>1</v>
      </c>
      <c r="AM751" s="4">
        <v>52</v>
      </c>
      <c r="AN751" s="4">
        <v>48</v>
      </c>
      <c r="AO751" s="4">
        <v>74</v>
      </c>
      <c r="AP751" s="4">
        <v>1</v>
      </c>
      <c r="AQ751" s="4">
        <v>12</v>
      </c>
      <c r="AR751" s="4">
        <v>3</v>
      </c>
      <c r="AS751" s="4">
        <v>19</v>
      </c>
      <c r="AT751" s="4">
        <v>23</v>
      </c>
      <c r="AU751" s="4">
        <v>45</v>
      </c>
      <c r="AV751" s="4">
        <v>22</v>
      </c>
      <c r="AW751" s="4">
        <v>1240</v>
      </c>
      <c r="AX751" s="4">
        <v>46</v>
      </c>
      <c r="AY751" s="4">
        <v>9</v>
      </c>
      <c r="AZ751" s="4">
        <v>14</v>
      </c>
      <c r="BA751" s="4">
        <v>0</v>
      </c>
      <c r="BB751" s="4">
        <v>232</v>
      </c>
      <c r="BC751" s="4">
        <v>5</v>
      </c>
      <c r="BD751" s="4">
        <v>0</v>
      </c>
      <c r="BE751" s="4">
        <v>12</v>
      </c>
      <c r="BF751" s="4">
        <v>48</v>
      </c>
      <c r="BG751" s="4">
        <v>4</v>
      </c>
      <c r="BH751" s="4">
        <v>5</v>
      </c>
      <c r="BI751" s="4">
        <v>1</v>
      </c>
      <c r="BJ751" s="4">
        <v>41</v>
      </c>
      <c r="BK751" s="4">
        <v>106</v>
      </c>
      <c r="BL751" s="4">
        <v>0</v>
      </c>
      <c r="BM751" s="4">
        <v>26</v>
      </c>
      <c r="BN751" s="4">
        <v>58</v>
      </c>
      <c r="BO751" s="4">
        <v>1</v>
      </c>
      <c r="BP751" s="4">
        <v>9</v>
      </c>
      <c r="BQ751" s="4">
        <v>54</v>
      </c>
      <c r="BR751" s="4">
        <v>4</v>
      </c>
      <c r="BS751" s="4">
        <v>104</v>
      </c>
      <c r="BT751" s="4">
        <v>59</v>
      </c>
      <c r="BU751" s="4">
        <v>4</v>
      </c>
      <c r="BV751" s="4">
        <v>37</v>
      </c>
      <c r="BW751" s="4">
        <v>9</v>
      </c>
      <c r="BX751" s="4">
        <v>350</v>
      </c>
      <c r="BY751" s="4">
        <v>2</v>
      </c>
      <c r="BZ751" s="4">
        <v>0</v>
      </c>
      <c r="CA751" s="4">
        <v>126</v>
      </c>
      <c r="CB751" s="4">
        <v>186</v>
      </c>
      <c r="CC751" s="4">
        <v>1</v>
      </c>
      <c r="CD751" s="4">
        <v>7</v>
      </c>
      <c r="CE751" s="4">
        <v>0</v>
      </c>
      <c r="CF751" s="4">
        <v>14</v>
      </c>
      <c r="CG751" s="4">
        <v>3</v>
      </c>
      <c r="CH751" s="4">
        <v>7</v>
      </c>
      <c r="CI751" s="4">
        <v>12</v>
      </c>
      <c r="CJ751" s="4">
        <v>54</v>
      </c>
      <c r="CK751" s="4">
        <v>15</v>
      </c>
      <c r="CL751" s="4">
        <v>1</v>
      </c>
      <c r="CM751" s="4">
        <v>12</v>
      </c>
      <c r="CN751" s="4">
        <v>107</v>
      </c>
      <c r="CO751" s="4">
        <v>170</v>
      </c>
      <c r="CP751" s="4">
        <v>9</v>
      </c>
      <c r="CQ751" s="4">
        <v>0</v>
      </c>
      <c r="CR751" s="4">
        <v>520</v>
      </c>
      <c r="CS751" s="4">
        <v>438</v>
      </c>
      <c r="CT751" s="4">
        <v>27</v>
      </c>
      <c r="CU751" s="4">
        <v>2</v>
      </c>
      <c r="CV751" s="4">
        <v>108</v>
      </c>
      <c r="CW751" s="4">
        <v>4260</v>
      </c>
      <c r="CX751" s="5">
        <v>4260</v>
      </c>
    </row>
    <row r="752" spans="1:102" ht="15.75" x14ac:dyDescent="0.25">
      <c r="A752" s="4" t="s">
        <v>183</v>
      </c>
      <c r="B752" s="4" t="s">
        <v>184</v>
      </c>
      <c r="C752" s="4">
        <v>2021</v>
      </c>
      <c r="D752" s="4">
        <v>109</v>
      </c>
      <c r="E752" s="4">
        <v>0</v>
      </c>
      <c r="F752" s="4">
        <v>2</v>
      </c>
      <c r="G752" s="4">
        <v>12</v>
      </c>
      <c r="H752" s="4">
        <v>0</v>
      </c>
      <c r="I752" s="4">
        <v>2</v>
      </c>
      <c r="J752" s="4">
        <v>0</v>
      </c>
      <c r="K752" s="4">
        <v>0</v>
      </c>
      <c r="L752" s="4">
        <v>0</v>
      </c>
      <c r="M752" s="4">
        <v>0</v>
      </c>
      <c r="N752" s="4">
        <v>1</v>
      </c>
      <c r="O752" s="4">
        <v>3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19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1</v>
      </c>
      <c r="AJ752" s="4">
        <v>0</v>
      </c>
      <c r="AK752" s="4">
        <v>2</v>
      </c>
      <c r="AL752" s="4">
        <v>0</v>
      </c>
      <c r="AM752" s="4">
        <v>1</v>
      </c>
      <c r="AN752" s="4">
        <v>1</v>
      </c>
      <c r="AO752" s="4">
        <v>2</v>
      </c>
      <c r="AP752" s="4">
        <v>0</v>
      </c>
      <c r="AQ752" s="4">
        <v>1</v>
      </c>
      <c r="AR752" s="4">
        <v>0</v>
      </c>
      <c r="AS752" s="4">
        <v>0</v>
      </c>
      <c r="AT752" s="4">
        <v>0</v>
      </c>
      <c r="AU752" s="4">
        <v>1</v>
      </c>
      <c r="AV752" s="4">
        <v>3</v>
      </c>
      <c r="AW752" s="4">
        <v>0</v>
      </c>
      <c r="AX752" s="4">
        <v>6</v>
      </c>
      <c r="AY752" s="4">
        <v>0</v>
      </c>
      <c r="AZ752" s="4">
        <v>0</v>
      </c>
      <c r="BA752" s="4">
        <v>0</v>
      </c>
      <c r="BB752" s="4">
        <v>1</v>
      </c>
      <c r="BC752" s="4">
        <v>0</v>
      </c>
      <c r="BD752" s="4">
        <v>0</v>
      </c>
      <c r="BE752" s="4">
        <v>2</v>
      </c>
      <c r="BF752" s="4">
        <v>3</v>
      </c>
      <c r="BG752" s="4">
        <v>0</v>
      </c>
      <c r="BH752" s="4">
        <v>0</v>
      </c>
      <c r="BI752" s="4">
        <v>0</v>
      </c>
      <c r="BJ752" s="4">
        <v>3</v>
      </c>
      <c r="BK752" s="4">
        <v>4</v>
      </c>
      <c r="BL752" s="4">
        <v>0</v>
      </c>
      <c r="BM752" s="4">
        <v>0</v>
      </c>
      <c r="BN752" s="4">
        <v>1</v>
      </c>
      <c r="BO752" s="4">
        <v>0</v>
      </c>
      <c r="BP752" s="4">
        <v>0</v>
      </c>
      <c r="BQ752" s="4">
        <v>3</v>
      </c>
      <c r="BR752" s="4">
        <v>0</v>
      </c>
      <c r="BS752" s="4">
        <v>1</v>
      </c>
      <c r="BT752" s="4">
        <v>1</v>
      </c>
      <c r="BU752" s="4">
        <v>0</v>
      </c>
      <c r="BV752" s="4">
        <v>3</v>
      </c>
      <c r="BW752" s="4">
        <v>0</v>
      </c>
      <c r="BX752" s="4">
        <v>9</v>
      </c>
      <c r="BY752" s="4">
        <v>0</v>
      </c>
      <c r="BZ752" s="4">
        <v>0</v>
      </c>
      <c r="CA752" s="4">
        <v>2</v>
      </c>
      <c r="CB752" s="4">
        <v>0</v>
      </c>
      <c r="CC752" s="4">
        <v>0</v>
      </c>
      <c r="CD752" s="4">
        <v>0</v>
      </c>
      <c r="CE752" s="4">
        <v>0</v>
      </c>
      <c r="CF752" s="4">
        <v>1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2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1</v>
      </c>
      <c r="CU752" s="4">
        <v>0</v>
      </c>
      <c r="CV752" s="4">
        <v>2</v>
      </c>
      <c r="CW752" s="4">
        <v>1</v>
      </c>
      <c r="CX752" s="5">
        <v>1</v>
      </c>
    </row>
    <row r="753" spans="1:102" ht="15.75" x14ac:dyDescent="0.25">
      <c r="A753" s="4" t="s">
        <v>185</v>
      </c>
      <c r="B753" s="4" t="s">
        <v>186</v>
      </c>
      <c r="C753" s="4">
        <v>2021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5">
        <v>0</v>
      </c>
    </row>
    <row r="754" spans="1:102" ht="15.75" x14ac:dyDescent="0.25">
      <c r="A754" s="4" t="s">
        <v>187</v>
      </c>
      <c r="B754" s="4" t="s">
        <v>188</v>
      </c>
      <c r="C754" s="4">
        <v>2021</v>
      </c>
      <c r="D754" s="4">
        <v>540</v>
      </c>
      <c r="E754" s="4">
        <v>0</v>
      </c>
      <c r="F754" s="4">
        <v>0</v>
      </c>
      <c r="G754" s="4">
        <v>0</v>
      </c>
      <c r="H754" s="4">
        <v>0</v>
      </c>
      <c r="I754" s="4">
        <v>1</v>
      </c>
      <c r="J754" s="4">
        <v>1</v>
      </c>
      <c r="K754" s="4">
        <v>0</v>
      </c>
      <c r="L754" s="4">
        <v>15</v>
      </c>
      <c r="M754" s="4">
        <v>17</v>
      </c>
      <c r="N754" s="4">
        <v>3</v>
      </c>
      <c r="O754" s="4">
        <v>60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1</v>
      </c>
      <c r="W754" s="4">
        <v>1</v>
      </c>
      <c r="X754" s="4">
        <v>7</v>
      </c>
      <c r="Y754" s="4">
        <v>0</v>
      </c>
      <c r="Z754" s="4">
        <v>0</v>
      </c>
      <c r="AA754" s="4">
        <v>1</v>
      </c>
      <c r="AB754" s="4">
        <v>0</v>
      </c>
      <c r="AC754" s="4">
        <v>0</v>
      </c>
      <c r="AD754" s="4">
        <v>1</v>
      </c>
      <c r="AE754" s="4">
        <v>0</v>
      </c>
      <c r="AF754" s="4">
        <v>0</v>
      </c>
      <c r="AG754" s="4">
        <v>2</v>
      </c>
      <c r="AH754" s="4">
        <v>1</v>
      </c>
      <c r="AI754" s="4">
        <v>5</v>
      </c>
      <c r="AJ754" s="4">
        <v>75</v>
      </c>
      <c r="AK754" s="4">
        <v>13</v>
      </c>
      <c r="AL754" s="4">
        <v>2</v>
      </c>
      <c r="AM754" s="4">
        <v>11</v>
      </c>
      <c r="AN754" s="4">
        <v>5</v>
      </c>
      <c r="AO754" s="4">
        <v>15</v>
      </c>
      <c r="AP754" s="4">
        <v>0</v>
      </c>
      <c r="AQ754" s="4">
        <v>3</v>
      </c>
      <c r="AR754" s="4">
        <v>0</v>
      </c>
      <c r="AS754" s="4">
        <v>2</v>
      </c>
      <c r="AT754" s="4">
        <v>2</v>
      </c>
      <c r="AU754" s="4">
        <v>4</v>
      </c>
      <c r="AV754" s="4">
        <v>2</v>
      </c>
      <c r="AW754" s="4">
        <v>5</v>
      </c>
      <c r="AX754" s="4">
        <v>7</v>
      </c>
      <c r="AY754" s="4">
        <v>0</v>
      </c>
      <c r="AZ754" s="4">
        <v>10</v>
      </c>
      <c r="BA754" s="4">
        <v>0</v>
      </c>
      <c r="BB754" s="4">
        <v>37</v>
      </c>
      <c r="BC754" s="4">
        <v>19</v>
      </c>
      <c r="BD754" s="4">
        <v>0</v>
      </c>
      <c r="BE754" s="4">
        <v>8</v>
      </c>
      <c r="BF754" s="4">
        <v>21</v>
      </c>
      <c r="BG754" s="4">
        <v>0</v>
      </c>
      <c r="BH754" s="4">
        <v>0</v>
      </c>
      <c r="BI754" s="4">
        <v>0</v>
      </c>
      <c r="BJ754" s="4">
        <v>10</v>
      </c>
      <c r="BK754" s="4">
        <v>38</v>
      </c>
      <c r="BL754" s="4">
        <v>0</v>
      </c>
      <c r="BM754" s="4">
        <v>1</v>
      </c>
      <c r="BN754" s="4">
        <v>2</v>
      </c>
      <c r="BO754" s="4">
        <v>0</v>
      </c>
      <c r="BP754" s="4">
        <v>1</v>
      </c>
      <c r="BQ754" s="4">
        <v>3</v>
      </c>
      <c r="BR754" s="4">
        <v>0</v>
      </c>
      <c r="BS754" s="4">
        <v>8</v>
      </c>
      <c r="BT754" s="4">
        <v>3</v>
      </c>
      <c r="BU754" s="4">
        <v>1</v>
      </c>
      <c r="BV754" s="4">
        <v>4</v>
      </c>
      <c r="BW754" s="4">
        <v>1</v>
      </c>
      <c r="BX754" s="4">
        <v>55</v>
      </c>
      <c r="BY754" s="4">
        <v>0</v>
      </c>
      <c r="BZ754" s="4">
        <v>0</v>
      </c>
      <c r="CA754" s="4">
        <v>2</v>
      </c>
      <c r="CB754" s="4">
        <v>0</v>
      </c>
      <c r="CC754" s="4">
        <v>0</v>
      </c>
      <c r="CD754" s="4">
        <v>0</v>
      </c>
      <c r="CE754" s="4">
        <v>0</v>
      </c>
      <c r="CF754" s="4">
        <v>4</v>
      </c>
      <c r="CG754" s="4">
        <v>0</v>
      </c>
      <c r="CH754" s="4">
        <v>0</v>
      </c>
      <c r="CI754" s="4">
        <v>0</v>
      </c>
      <c r="CJ754" s="4">
        <v>4</v>
      </c>
      <c r="CK754" s="4">
        <v>1</v>
      </c>
      <c r="CL754" s="4">
        <v>0</v>
      </c>
      <c r="CM754" s="4">
        <v>2</v>
      </c>
      <c r="CN754" s="4">
        <v>16</v>
      </c>
      <c r="CO754" s="4">
        <v>1</v>
      </c>
      <c r="CP754" s="4">
        <v>0</v>
      </c>
      <c r="CQ754" s="4">
        <v>0</v>
      </c>
      <c r="CR754" s="4">
        <v>1</v>
      </c>
      <c r="CS754" s="4">
        <v>0</v>
      </c>
      <c r="CT754" s="4">
        <v>3</v>
      </c>
      <c r="CU754" s="4">
        <v>11</v>
      </c>
      <c r="CV754" s="4">
        <v>7</v>
      </c>
      <c r="CW754" s="4">
        <v>2</v>
      </c>
      <c r="CX754" s="5">
        <v>2</v>
      </c>
    </row>
    <row r="755" spans="1:102" ht="15.75" x14ac:dyDescent="0.25">
      <c r="A755" s="4" t="s">
        <v>189</v>
      </c>
      <c r="B755" s="4" t="s">
        <v>190</v>
      </c>
      <c r="C755" s="4">
        <v>2021</v>
      </c>
      <c r="D755" s="4">
        <v>47</v>
      </c>
      <c r="E755" s="4">
        <v>0</v>
      </c>
      <c r="F755" s="4">
        <v>0</v>
      </c>
      <c r="G755" s="4">
        <v>3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1</v>
      </c>
      <c r="O755" s="4">
        <v>5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1</v>
      </c>
      <c r="V755" s="4">
        <v>0</v>
      </c>
      <c r="W755" s="4">
        <v>0</v>
      </c>
      <c r="X755" s="4">
        <v>1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4</v>
      </c>
      <c r="AJ755" s="4">
        <v>1</v>
      </c>
      <c r="AK755" s="4">
        <v>0</v>
      </c>
      <c r="AL755" s="4">
        <v>0</v>
      </c>
      <c r="AM755" s="4">
        <v>0</v>
      </c>
      <c r="AN755" s="4">
        <v>0</v>
      </c>
      <c r="AO755" s="4">
        <v>1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1</v>
      </c>
      <c r="AW755" s="4">
        <v>0</v>
      </c>
      <c r="AX755" s="4">
        <v>1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1</v>
      </c>
      <c r="BF755" s="4">
        <v>1</v>
      </c>
      <c r="BG755" s="4">
        <v>0</v>
      </c>
      <c r="BH755" s="4">
        <v>0</v>
      </c>
      <c r="BI755" s="4">
        <v>0</v>
      </c>
      <c r="BJ755" s="4">
        <v>2</v>
      </c>
      <c r="BK755" s="4">
        <v>1</v>
      </c>
      <c r="BL755" s="4">
        <v>0</v>
      </c>
      <c r="BM755" s="4">
        <v>0</v>
      </c>
      <c r="BN755" s="4">
        <v>1</v>
      </c>
      <c r="BO755" s="4">
        <v>0</v>
      </c>
      <c r="BP755" s="4">
        <v>0</v>
      </c>
      <c r="BQ755" s="4">
        <v>1</v>
      </c>
      <c r="BR755" s="4">
        <v>0</v>
      </c>
      <c r="BS755" s="4">
        <v>2</v>
      </c>
      <c r="BT755" s="4">
        <v>1</v>
      </c>
      <c r="BU755" s="4">
        <v>0</v>
      </c>
      <c r="BV755" s="4">
        <v>0</v>
      </c>
      <c r="BW755" s="4">
        <v>2</v>
      </c>
      <c r="BX755" s="4">
        <v>4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2</v>
      </c>
      <c r="CG755" s="4">
        <v>0</v>
      </c>
      <c r="CH755" s="4">
        <v>1</v>
      </c>
      <c r="CI755" s="4">
        <v>0</v>
      </c>
      <c r="CJ755" s="4">
        <v>0</v>
      </c>
      <c r="CK755" s="4">
        <v>0</v>
      </c>
      <c r="CL755" s="4">
        <v>0</v>
      </c>
      <c r="CM755" s="4">
        <v>1</v>
      </c>
      <c r="CN755" s="4">
        <v>1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2</v>
      </c>
      <c r="CU755" s="4">
        <v>0</v>
      </c>
      <c r="CV755" s="4">
        <v>1</v>
      </c>
      <c r="CW755" s="4">
        <v>0</v>
      </c>
      <c r="CX755" s="5">
        <v>0</v>
      </c>
    </row>
    <row r="756" spans="1:102" ht="15.75" x14ac:dyDescent="0.25">
      <c r="A756" s="4" t="s">
        <v>191</v>
      </c>
      <c r="B756" s="4" t="s">
        <v>192</v>
      </c>
      <c r="C756" s="4">
        <v>2021</v>
      </c>
      <c r="D756" s="4">
        <v>18959</v>
      </c>
      <c r="E756" s="4">
        <v>2</v>
      </c>
      <c r="F756" s="4">
        <v>263</v>
      </c>
      <c r="G756" s="4">
        <v>55</v>
      </c>
      <c r="H756" s="4">
        <v>81</v>
      </c>
      <c r="I756" s="4">
        <v>8</v>
      </c>
      <c r="J756" s="4">
        <v>5</v>
      </c>
      <c r="K756" s="4">
        <v>1</v>
      </c>
      <c r="L756" s="4">
        <v>20</v>
      </c>
      <c r="M756" s="4">
        <v>7</v>
      </c>
      <c r="N756" s="4">
        <v>121</v>
      </c>
      <c r="O756" s="4">
        <v>300</v>
      </c>
      <c r="P756" s="4">
        <v>30</v>
      </c>
      <c r="Q756" s="4">
        <v>0</v>
      </c>
      <c r="R756" s="4">
        <v>10</v>
      </c>
      <c r="S756" s="4">
        <v>1</v>
      </c>
      <c r="T756" s="4">
        <v>2</v>
      </c>
      <c r="U756" s="4">
        <v>61</v>
      </c>
      <c r="V756" s="4">
        <v>17</v>
      </c>
      <c r="W756" s="4">
        <v>505</v>
      </c>
      <c r="X756" s="4">
        <v>5</v>
      </c>
      <c r="Y756" s="4">
        <v>0</v>
      </c>
      <c r="Z756" s="4">
        <v>3130</v>
      </c>
      <c r="AA756" s="4">
        <v>128</v>
      </c>
      <c r="AB756" s="4">
        <v>0</v>
      </c>
      <c r="AC756" s="4">
        <v>0</v>
      </c>
      <c r="AD756" s="4">
        <v>3</v>
      </c>
      <c r="AE756" s="4">
        <v>43</v>
      </c>
      <c r="AF756" s="4">
        <v>2</v>
      </c>
      <c r="AG756" s="4">
        <v>83</v>
      </c>
      <c r="AH756" s="4">
        <v>34</v>
      </c>
      <c r="AI756" s="4">
        <v>87</v>
      </c>
      <c r="AJ756" s="4">
        <v>1559</v>
      </c>
      <c r="AK756" s="4">
        <v>163</v>
      </c>
      <c r="AL756" s="4">
        <v>11</v>
      </c>
      <c r="AM756" s="4">
        <v>141</v>
      </c>
      <c r="AN756" s="4">
        <v>154</v>
      </c>
      <c r="AO756" s="4">
        <v>356</v>
      </c>
      <c r="AP756" s="4">
        <v>2</v>
      </c>
      <c r="AQ756" s="4">
        <v>62</v>
      </c>
      <c r="AR756" s="4">
        <v>3</v>
      </c>
      <c r="AS756" s="4">
        <v>34</v>
      </c>
      <c r="AT756" s="4">
        <v>78</v>
      </c>
      <c r="AU756" s="4">
        <v>102</v>
      </c>
      <c r="AV756" s="4">
        <v>62</v>
      </c>
      <c r="AW756" s="4">
        <v>1117</v>
      </c>
      <c r="AX756" s="4">
        <v>198</v>
      </c>
      <c r="AY756" s="4">
        <v>10</v>
      </c>
      <c r="AZ756" s="4">
        <v>13</v>
      </c>
      <c r="BA756" s="4">
        <v>0</v>
      </c>
      <c r="BB756" s="4">
        <v>738</v>
      </c>
      <c r="BC756" s="4">
        <v>231</v>
      </c>
      <c r="BD756" s="4">
        <v>1</v>
      </c>
      <c r="BE756" s="4">
        <v>54</v>
      </c>
      <c r="BF756" s="4">
        <v>305</v>
      </c>
      <c r="BG756" s="4">
        <v>29</v>
      </c>
      <c r="BH756" s="4">
        <v>42</v>
      </c>
      <c r="BI756" s="4">
        <v>0</v>
      </c>
      <c r="BJ756" s="4">
        <v>316</v>
      </c>
      <c r="BK756" s="4">
        <v>380</v>
      </c>
      <c r="BL756" s="4">
        <v>0</v>
      </c>
      <c r="BM756" s="4">
        <v>37</v>
      </c>
      <c r="BN756" s="4">
        <v>75</v>
      </c>
      <c r="BO756" s="4">
        <v>1</v>
      </c>
      <c r="BP756" s="4">
        <v>17</v>
      </c>
      <c r="BQ756" s="4">
        <v>137</v>
      </c>
      <c r="BR756" s="4">
        <v>15</v>
      </c>
      <c r="BS756" s="4">
        <v>534</v>
      </c>
      <c r="BT756" s="4">
        <v>282</v>
      </c>
      <c r="BU756" s="4">
        <v>7</v>
      </c>
      <c r="BV756" s="4">
        <v>209</v>
      </c>
      <c r="BW756" s="4">
        <v>8</v>
      </c>
      <c r="BX756" s="4">
        <v>4601</v>
      </c>
      <c r="BY756" s="4">
        <v>6</v>
      </c>
      <c r="BZ756" s="4">
        <v>0</v>
      </c>
      <c r="CA756" s="4">
        <v>125</v>
      </c>
      <c r="CB756" s="4">
        <v>378</v>
      </c>
      <c r="CC756" s="4">
        <v>0</v>
      </c>
      <c r="CD756" s="4">
        <v>7</v>
      </c>
      <c r="CE756" s="4">
        <v>0</v>
      </c>
      <c r="CF756" s="4">
        <v>12</v>
      </c>
      <c r="CG756" s="4">
        <v>70</v>
      </c>
      <c r="CH756" s="4">
        <v>5</v>
      </c>
      <c r="CI756" s="4">
        <v>13</v>
      </c>
      <c r="CJ756" s="4">
        <v>44</v>
      </c>
      <c r="CK756" s="4">
        <v>43</v>
      </c>
      <c r="CL756" s="4">
        <v>0</v>
      </c>
      <c r="CM756" s="4">
        <v>68</v>
      </c>
      <c r="CN756" s="4">
        <v>672</v>
      </c>
      <c r="CO756" s="4">
        <v>11</v>
      </c>
      <c r="CP756" s="4">
        <v>13</v>
      </c>
      <c r="CQ756" s="4">
        <v>0</v>
      </c>
      <c r="CR756" s="4">
        <v>50</v>
      </c>
      <c r="CS756" s="4">
        <v>17</v>
      </c>
      <c r="CT756" s="4">
        <v>35</v>
      </c>
      <c r="CU756" s="4">
        <v>3</v>
      </c>
      <c r="CV756" s="4">
        <v>149</v>
      </c>
      <c r="CW756" s="4">
        <v>151</v>
      </c>
      <c r="CX756" s="5">
        <v>151</v>
      </c>
    </row>
    <row r="757" spans="1:102" ht="15.75" x14ac:dyDescent="0.25">
      <c r="A757" s="4" t="s">
        <v>193</v>
      </c>
      <c r="B757" s="4" t="s">
        <v>194</v>
      </c>
      <c r="C757" s="4">
        <v>2021</v>
      </c>
      <c r="D757" s="4">
        <v>364</v>
      </c>
      <c r="E757" s="4">
        <v>0</v>
      </c>
      <c r="F757" s="4">
        <v>0</v>
      </c>
      <c r="G757" s="4">
        <v>0</v>
      </c>
      <c r="H757" s="4">
        <v>0</v>
      </c>
      <c r="I757" s="4">
        <v>6</v>
      </c>
      <c r="J757" s="4">
        <v>0</v>
      </c>
      <c r="K757" s="4">
        <v>0</v>
      </c>
      <c r="L757" s="4">
        <v>1</v>
      </c>
      <c r="M757" s="4">
        <v>0</v>
      </c>
      <c r="N757" s="4">
        <v>4</v>
      </c>
      <c r="O757" s="4">
        <v>72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2</v>
      </c>
      <c r="W757" s="4">
        <v>0</v>
      </c>
      <c r="X757" s="4">
        <v>0</v>
      </c>
      <c r="Y757" s="4">
        <v>0</v>
      </c>
      <c r="Z757" s="4">
        <v>0</v>
      </c>
      <c r="AA757" s="4">
        <v>31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4</v>
      </c>
      <c r="AH757" s="4">
        <v>0</v>
      </c>
      <c r="AI757" s="4">
        <v>5</v>
      </c>
      <c r="AJ757" s="4">
        <v>55</v>
      </c>
      <c r="AK757" s="4">
        <v>10</v>
      </c>
      <c r="AL757" s="4">
        <v>2</v>
      </c>
      <c r="AM757" s="4">
        <v>3</v>
      </c>
      <c r="AN757" s="4">
        <v>3</v>
      </c>
      <c r="AO757" s="4">
        <v>27</v>
      </c>
      <c r="AP757" s="4">
        <v>0</v>
      </c>
      <c r="AQ757" s="4">
        <v>2</v>
      </c>
      <c r="AR757" s="4">
        <v>0</v>
      </c>
      <c r="AS757" s="4">
        <v>6</v>
      </c>
      <c r="AT757" s="4">
        <v>0</v>
      </c>
      <c r="AU757" s="4">
        <v>1</v>
      </c>
      <c r="AV757" s="4">
        <v>1</v>
      </c>
      <c r="AW757" s="4">
        <v>0</v>
      </c>
      <c r="AX757" s="4">
        <v>3</v>
      </c>
      <c r="AY757" s="4">
        <v>0</v>
      </c>
      <c r="AZ757" s="4">
        <v>2</v>
      </c>
      <c r="BA757" s="4">
        <v>0</v>
      </c>
      <c r="BB757" s="4">
        <v>8</v>
      </c>
      <c r="BC757" s="4">
        <v>1</v>
      </c>
      <c r="BD757" s="4">
        <v>0</v>
      </c>
      <c r="BE757" s="4">
        <v>4</v>
      </c>
      <c r="BF757" s="4">
        <v>10</v>
      </c>
      <c r="BG757" s="4">
        <v>0</v>
      </c>
      <c r="BH757" s="4">
        <v>0</v>
      </c>
      <c r="BI757" s="4">
        <v>0</v>
      </c>
      <c r="BJ757" s="4">
        <v>4</v>
      </c>
      <c r="BK757" s="4">
        <v>10</v>
      </c>
      <c r="BL757" s="4">
        <v>0</v>
      </c>
      <c r="BM757" s="4">
        <v>0</v>
      </c>
      <c r="BN757" s="4">
        <v>2</v>
      </c>
      <c r="BO757" s="4">
        <v>0</v>
      </c>
      <c r="BP757" s="4">
        <v>1</v>
      </c>
      <c r="BQ757" s="4">
        <v>2</v>
      </c>
      <c r="BR757" s="4">
        <v>0</v>
      </c>
      <c r="BS757" s="4">
        <v>7</v>
      </c>
      <c r="BT757" s="4">
        <v>8</v>
      </c>
      <c r="BU757" s="4">
        <v>0</v>
      </c>
      <c r="BV757" s="4">
        <v>2</v>
      </c>
      <c r="BW757" s="4">
        <v>2</v>
      </c>
      <c r="BX757" s="4">
        <v>30</v>
      </c>
      <c r="BY757" s="4">
        <v>0</v>
      </c>
      <c r="BZ757" s="4">
        <v>0</v>
      </c>
      <c r="CA757" s="4">
        <v>2</v>
      </c>
      <c r="CB757" s="4">
        <v>1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3</v>
      </c>
      <c r="CN757" s="4">
        <v>13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4</v>
      </c>
      <c r="CU757" s="4">
        <v>0</v>
      </c>
      <c r="CV757" s="4">
        <v>4</v>
      </c>
      <c r="CW757" s="4">
        <v>1</v>
      </c>
      <c r="CX757" s="5">
        <v>1</v>
      </c>
    </row>
    <row r="758" spans="1:102" ht="15.75" x14ac:dyDescent="0.25">
      <c r="A758" s="4" t="s">
        <v>195</v>
      </c>
      <c r="B758" s="4" t="s">
        <v>196</v>
      </c>
      <c r="C758" s="4">
        <v>2021</v>
      </c>
      <c r="D758" s="4">
        <v>68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1</v>
      </c>
      <c r="L758" s="4">
        <v>1</v>
      </c>
      <c r="M758" s="4">
        <v>0</v>
      </c>
      <c r="N758" s="4">
        <v>0</v>
      </c>
      <c r="O758" s="4">
        <v>3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</v>
      </c>
      <c r="AH758" s="4">
        <v>0</v>
      </c>
      <c r="AI758" s="4">
        <v>0</v>
      </c>
      <c r="AJ758" s="4">
        <v>3</v>
      </c>
      <c r="AK758" s="4">
        <v>1</v>
      </c>
      <c r="AL758" s="4">
        <v>2</v>
      </c>
      <c r="AM758" s="4">
        <v>2</v>
      </c>
      <c r="AN758" s="4">
        <v>3</v>
      </c>
      <c r="AO758" s="4">
        <v>3</v>
      </c>
      <c r="AP758" s="4">
        <v>0</v>
      </c>
      <c r="AQ758" s="4">
        <v>0</v>
      </c>
      <c r="AR758" s="4">
        <v>0</v>
      </c>
      <c r="AS758" s="4">
        <v>0</v>
      </c>
      <c r="AT758" s="4">
        <v>1</v>
      </c>
      <c r="AU758" s="4">
        <v>1</v>
      </c>
      <c r="AV758" s="4">
        <v>1</v>
      </c>
      <c r="AW758" s="4">
        <v>0</v>
      </c>
      <c r="AX758" s="4">
        <v>3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1</v>
      </c>
      <c r="BF758" s="4">
        <v>6</v>
      </c>
      <c r="BG758" s="4">
        <v>0</v>
      </c>
      <c r="BH758" s="4">
        <v>0</v>
      </c>
      <c r="BI758" s="4">
        <v>0</v>
      </c>
      <c r="BJ758" s="4">
        <v>0</v>
      </c>
      <c r="BK758" s="4">
        <v>1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1</v>
      </c>
      <c r="BR758" s="4">
        <v>0</v>
      </c>
      <c r="BS758" s="4">
        <v>1</v>
      </c>
      <c r="BT758" s="4">
        <v>1</v>
      </c>
      <c r="BU758" s="4">
        <v>0</v>
      </c>
      <c r="BV758" s="4">
        <v>1</v>
      </c>
      <c r="BW758" s="4">
        <v>0</v>
      </c>
      <c r="BX758" s="4">
        <v>19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1</v>
      </c>
      <c r="CO758" s="4">
        <v>0</v>
      </c>
      <c r="CP758" s="4">
        <v>1</v>
      </c>
      <c r="CQ758" s="4">
        <v>0</v>
      </c>
      <c r="CR758" s="4">
        <v>0</v>
      </c>
      <c r="CS758" s="4">
        <v>0</v>
      </c>
      <c r="CT758" s="4">
        <v>1</v>
      </c>
      <c r="CU758" s="4">
        <v>0</v>
      </c>
      <c r="CV758" s="4">
        <v>1</v>
      </c>
      <c r="CW758" s="4">
        <v>1</v>
      </c>
      <c r="CX758" s="5">
        <v>1</v>
      </c>
    </row>
    <row r="759" spans="1:102" ht="15.75" x14ac:dyDescent="0.25">
      <c r="A759" s="4" t="s">
        <v>197</v>
      </c>
      <c r="B759" s="4" t="s">
        <v>198</v>
      </c>
      <c r="C759" s="4">
        <v>2021</v>
      </c>
      <c r="D759" s="4">
        <v>6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1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1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1</v>
      </c>
      <c r="CU759" s="4">
        <v>0</v>
      </c>
      <c r="CV759" s="4">
        <v>1</v>
      </c>
      <c r="CW759" s="4">
        <v>0</v>
      </c>
      <c r="CX759" s="5">
        <v>0</v>
      </c>
    </row>
    <row r="760" spans="1:102" ht="15.75" x14ac:dyDescent="0.25">
      <c r="A760" s="4" t="s">
        <v>199</v>
      </c>
      <c r="B760" s="4" t="s">
        <v>200</v>
      </c>
      <c r="C760" s="4">
        <v>2021</v>
      </c>
      <c r="D760" s="4">
        <v>1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1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5">
        <v>0</v>
      </c>
    </row>
    <row r="761" spans="1:102" ht="15.75" x14ac:dyDescent="0.25">
      <c r="A761" s="4" t="s">
        <v>201</v>
      </c>
      <c r="B761" s="4" t="s">
        <v>202</v>
      </c>
      <c r="C761" s="4">
        <v>2021</v>
      </c>
      <c r="D761" s="4">
        <v>11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3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5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1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5">
        <v>0</v>
      </c>
    </row>
    <row r="762" spans="1:102" ht="15.75" x14ac:dyDescent="0.25">
      <c r="A762" s="4" t="s">
        <v>203</v>
      </c>
      <c r="B762" s="4" t="s">
        <v>204</v>
      </c>
      <c r="C762" s="4">
        <v>2021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5">
        <v>0</v>
      </c>
    </row>
    <row r="763" spans="1:102" ht="15.75" x14ac:dyDescent="0.25">
      <c r="A763" s="4" t="s">
        <v>205</v>
      </c>
      <c r="B763" s="4" t="s">
        <v>206</v>
      </c>
      <c r="C763" s="4">
        <v>2021</v>
      </c>
      <c r="D763" s="4">
        <v>315</v>
      </c>
      <c r="E763" s="4">
        <v>0</v>
      </c>
      <c r="F763" s="4">
        <v>2</v>
      </c>
      <c r="G763" s="4">
        <v>3</v>
      </c>
      <c r="H763" s="4">
        <v>2</v>
      </c>
      <c r="I763" s="4">
        <v>9</v>
      </c>
      <c r="J763" s="4">
        <v>3</v>
      </c>
      <c r="K763" s="4">
        <v>1</v>
      </c>
      <c r="L763" s="4">
        <v>5</v>
      </c>
      <c r="M763" s="4">
        <v>1</v>
      </c>
      <c r="N763" s="4">
        <v>11</v>
      </c>
      <c r="O763" s="4">
        <v>19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1</v>
      </c>
      <c r="W763" s="4">
        <v>0</v>
      </c>
      <c r="X763" s="4">
        <v>0</v>
      </c>
      <c r="Y763" s="4">
        <v>0</v>
      </c>
      <c r="Z763" s="4">
        <v>0</v>
      </c>
      <c r="AA763" s="4">
        <v>1</v>
      </c>
      <c r="AB763" s="4">
        <v>0</v>
      </c>
      <c r="AC763" s="4">
        <v>0</v>
      </c>
      <c r="AD763" s="4">
        <v>0</v>
      </c>
      <c r="AE763" s="4">
        <v>2</v>
      </c>
      <c r="AF763" s="4">
        <v>0</v>
      </c>
      <c r="AG763" s="4">
        <v>1</v>
      </c>
      <c r="AH763" s="4">
        <v>0</v>
      </c>
      <c r="AI763" s="4">
        <v>2</v>
      </c>
      <c r="AJ763" s="4">
        <v>4</v>
      </c>
      <c r="AK763" s="4">
        <v>5</v>
      </c>
      <c r="AL763" s="4">
        <v>0</v>
      </c>
      <c r="AM763" s="4">
        <v>1</v>
      </c>
      <c r="AN763" s="4">
        <v>3</v>
      </c>
      <c r="AO763" s="4">
        <v>11</v>
      </c>
      <c r="AP763" s="4">
        <v>0</v>
      </c>
      <c r="AQ763" s="4">
        <v>1</v>
      </c>
      <c r="AR763" s="4">
        <v>0</v>
      </c>
      <c r="AS763" s="4">
        <v>2</v>
      </c>
      <c r="AT763" s="4">
        <v>1</v>
      </c>
      <c r="AU763" s="4">
        <v>2</v>
      </c>
      <c r="AV763" s="4">
        <v>3</v>
      </c>
      <c r="AW763" s="4">
        <v>1</v>
      </c>
      <c r="AX763" s="4">
        <v>9</v>
      </c>
      <c r="AY763" s="4">
        <v>0</v>
      </c>
      <c r="AZ763" s="4">
        <v>1</v>
      </c>
      <c r="BA763" s="4">
        <v>0</v>
      </c>
      <c r="BB763" s="4">
        <v>2</v>
      </c>
      <c r="BC763" s="4">
        <v>0</v>
      </c>
      <c r="BD763" s="4">
        <v>0</v>
      </c>
      <c r="BE763" s="4">
        <v>3</v>
      </c>
      <c r="BF763" s="4">
        <v>9</v>
      </c>
      <c r="BG763" s="4">
        <v>0</v>
      </c>
      <c r="BH763" s="4">
        <v>0</v>
      </c>
      <c r="BI763" s="4">
        <v>0</v>
      </c>
      <c r="BJ763" s="4">
        <v>6</v>
      </c>
      <c r="BK763" s="4">
        <v>7</v>
      </c>
      <c r="BL763" s="4">
        <v>0</v>
      </c>
      <c r="BM763" s="4">
        <v>1</v>
      </c>
      <c r="BN763" s="4">
        <v>4</v>
      </c>
      <c r="BO763" s="4">
        <v>0</v>
      </c>
      <c r="BP763" s="4">
        <v>2</v>
      </c>
      <c r="BQ763" s="4">
        <v>5</v>
      </c>
      <c r="BR763" s="4">
        <v>2</v>
      </c>
      <c r="BS763" s="4">
        <v>12</v>
      </c>
      <c r="BT763" s="4">
        <v>4</v>
      </c>
      <c r="BU763" s="4">
        <v>1</v>
      </c>
      <c r="BV763" s="4">
        <v>4</v>
      </c>
      <c r="BW763" s="4">
        <v>7</v>
      </c>
      <c r="BX763" s="4">
        <v>67</v>
      </c>
      <c r="BY763" s="4">
        <v>0</v>
      </c>
      <c r="BZ763" s="4">
        <v>1</v>
      </c>
      <c r="CA763" s="4">
        <v>1</v>
      </c>
      <c r="CB763" s="4">
        <v>18</v>
      </c>
      <c r="CC763" s="4">
        <v>0</v>
      </c>
      <c r="CD763" s="4">
        <v>2</v>
      </c>
      <c r="CE763" s="4">
        <v>0</v>
      </c>
      <c r="CF763" s="4">
        <v>1</v>
      </c>
      <c r="CG763" s="4">
        <v>0</v>
      </c>
      <c r="CH763" s="4">
        <v>1</v>
      </c>
      <c r="CI763" s="4">
        <v>1</v>
      </c>
      <c r="CJ763" s="4">
        <v>7</v>
      </c>
      <c r="CK763" s="4">
        <v>1</v>
      </c>
      <c r="CL763" s="4">
        <v>0</v>
      </c>
      <c r="CM763" s="4">
        <v>2</v>
      </c>
      <c r="CN763" s="4">
        <v>10</v>
      </c>
      <c r="CO763" s="4">
        <v>1</v>
      </c>
      <c r="CP763" s="4">
        <v>0</v>
      </c>
      <c r="CQ763" s="4">
        <v>0</v>
      </c>
      <c r="CR763" s="4">
        <v>2</v>
      </c>
      <c r="CS763" s="4">
        <v>2</v>
      </c>
      <c r="CT763" s="4">
        <v>3</v>
      </c>
      <c r="CU763" s="4">
        <v>1</v>
      </c>
      <c r="CV763" s="4">
        <v>14</v>
      </c>
      <c r="CW763" s="4">
        <v>4</v>
      </c>
      <c r="CX763" s="5">
        <v>4</v>
      </c>
    </row>
    <row r="764" spans="1:102" ht="15.75" x14ac:dyDescent="0.25">
      <c r="A764" s="4" t="s">
        <v>207</v>
      </c>
      <c r="B764" s="4" t="s">
        <v>208</v>
      </c>
      <c r="C764" s="4">
        <v>2021</v>
      </c>
      <c r="D764" s="4">
        <v>1930</v>
      </c>
      <c r="E764" s="4">
        <v>0</v>
      </c>
      <c r="F764" s="4">
        <v>2</v>
      </c>
      <c r="G764" s="4">
        <v>6</v>
      </c>
      <c r="H764" s="4">
        <v>1</v>
      </c>
      <c r="I764" s="4">
        <v>5</v>
      </c>
      <c r="J764" s="4">
        <v>3</v>
      </c>
      <c r="K764" s="4">
        <v>3</v>
      </c>
      <c r="L764" s="4">
        <v>30</v>
      </c>
      <c r="M764" s="4">
        <v>10</v>
      </c>
      <c r="N764" s="4">
        <v>11</v>
      </c>
      <c r="O764" s="4">
        <v>124</v>
      </c>
      <c r="P764" s="4">
        <v>0</v>
      </c>
      <c r="Q764" s="4">
        <v>0</v>
      </c>
      <c r="R764" s="4">
        <v>1</v>
      </c>
      <c r="S764" s="4">
        <v>0</v>
      </c>
      <c r="T764" s="4">
        <v>0</v>
      </c>
      <c r="U764" s="4">
        <v>5</v>
      </c>
      <c r="V764" s="4">
        <v>2</v>
      </c>
      <c r="W764" s="4">
        <v>7</v>
      </c>
      <c r="X764" s="4">
        <v>2</v>
      </c>
      <c r="Y764" s="4">
        <v>0</v>
      </c>
      <c r="Z764" s="4">
        <v>0</v>
      </c>
      <c r="AA764" s="4">
        <v>3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11</v>
      </c>
      <c r="AH764" s="4">
        <v>2</v>
      </c>
      <c r="AI764" s="4">
        <v>21</v>
      </c>
      <c r="AJ764" s="4">
        <v>28</v>
      </c>
      <c r="AK764" s="4">
        <v>149</v>
      </c>
      <c r="AL764" s="4">
        <v>2</v>
      </c>
      <c r="AM764" s="4">
        <v>43</v>
      </c>
      <c r="AN764" s="4">
        <v>40</v>
      </c>
      <c r="AO764" s="4">
        <v>74</v>
      </c>
      <c r="AP764" s="4">
        <v>8</v>
      </c>
      <c r="AQ764" s="4">
        <v>14</v>
      </c>
      <c r="AR764" s="4">
        <v>3</v>
      </c>
      <c r="AS764" s="4">
        <v>19</v>
      </c>
      <c r="AT764" s="4">
        <v>28</v>
      </c>
      <c r="AU764" s="4">
        <v>17</v>
      </c>
      <c r="AV764" s="4">
        <v>47</v>
      </c>
      <c r="AW764" s="4">
        <v>21</v>
      </c>
      <c r="AX764" s="4">
        <v>108</v>
      </c>
      <c r="AY764" s="4">
        <v>1</v>
      </c>
      <c r="AZ764" s="4">
        <v>5</v>
      </c>
      <c r="BA764" s="4">
        <v>0</v>
      </c>
      <c r="BB764" s="4">
        <v>60</v>
      </c>
      <c r="BC764" s="4">
        <v>13</v>
      </c>
      <c r="BD764" s="4">
        <v>4</v>
      </c>
      <c r="BE764" s="4">
        <v>32</v>
      </c>
      <c r="BF764" s="4">
        <v>96</v>
      </c>
      <c r="BG764" s="4">
        <v>4</v>
      </c>
      <c r="BH764" s="4">
        <v>6</v>
      </c>
      <c r="BI764" s="4">
        <v>0</v>
      </c>
      <c r="BJ764" s="4">
        <v>58</v>
      </c>
      <c r="BK764" s="4">
        <v>145</v>
      </c>
      <c r="BL764" s="4">
        <v>0</v>
      </c>
      <c r="BM764" s="4">
        <v>16</v>
      </c>
      <c r="BN764" s="4">
        <v>66</v>
      </c>
      <c r="BO764" s="4">
        <v>15</v>
      </c>
      <c r="BP764" s="4">
        <v>5</v>
      </c>
      <c r="BQ764" s="4">
        <v>58</v>
      </c>
      <c r="BR764" s="4">
        <v>6</v>
      </c>
      <c r="BS764" s="4">
        <v>110</v>
      </c>
      <c r="BT764" s="4">
        <v>39</v>
      </c>
      <c r="BU764" s="4">
        <v>8</v>
      </c>
      <c r="BV764" s="4">
        <v>37</v>
      </c>
      <c r="BW764" s="4">
        <v>11</v>
      </c>
      <c r="BX764" s="4">
        <v>21</v>
      </c>
      <c r="BY764" s="4">
        <v>3</v>
      </c>
      <c r="BZ764" s="4">
        <v>0</v>
      </c>
      <c r="CA764" s="4">
        <v>19</v>
      </c>
      <c r="CB764" s="4">
        <v>0</v>
      </c>
      <c r="CC764" s="4">
        <v>0</v>
      </c>
      <c r="CD764" s="4">
        <v>3</v>
      </c>
      <c r="CE764" s="4">
        <v>0</v>
      </c>
      <c r="CF764" s="4">
        <v>7</v>
      </c>
      <c r="CG764" s="4">
        <v>6</v>
      </c>
      <c r="CH764" s="4">
        <v>19</v>
      </c>
      <c r="CI764" s="4">
        <v>2</v>
      </c>
      <c r="CJ764" s="4">
        <v>29</v>
      </c>
      <c r="CK764" s="4">
        <v>5</v>
      </c>
      <c r="CL764" s="4">
        <v>0</v>
      </c>
      <c r="CM764" s="4">
        <v>12</v>
      </c>
      <c r="CN764" s="4">
        <v>52</v>
      </c>
      <c r="CO764" s="4">
        <v>2</v>
      </c>
      <c r="CP764" s="4">
        <v>3</v>
      </c>
      <c r="CQ764" s="4">
        <v>0</v>
      </c>
      <c r="CR764" s="4">
        <v>3</v>
      </c>
      <c r="CS764" s="4">
        <v>2</v>
      </c>
      <c r="CT764" s="4">
        <v>24</v>
      </c>
      <c r="CU764" s="4">
        <v>3</v>
      </c>
      <c r="CV764" s="4">
        <v>53</v>
      </c>
      <c r="CW764" s="4">
        <v>18</v>
      </c>
      <c r="CX764" s="5">
        <v>18</v>
      </c>
    </row>
    <row r="765" spans="1:102" ht="15.75" x14ac:dyDescent="0.25">
      <c r="A765" s="4" t="s">
        <v>209</v>
      </c>
      <c r="B765" s="4" t="s">
        <v>210</v>
      </c>
      <c r="C765" s="4">
        <v>2021</v>
      </c>
      <c r="D765" s="4">
        <v>30111</v>
      </c>
      <c r="E765" s="4">
        <v>28</v>
      </c>
      <c r="F765" s="4">
        <v>123</v>
      </c>
      <c r="G765" s="4">
        <v>42</v>
      </c>
      <c r="H765" s="4">
        <v>18</v>
      </c>
      <c r="I765" s="4">
        <v>84</v>
      </c>
      <c r="J765" s="4">
        <v>30</v>
      </c>
      <c r="K765" s="4">
        <v>22</v>
      </c>
      <c r="L765" s="4">
        <v>77</v>
      </c>
      <c r="M765" s="4">
        <v>37</v>
      </c>
      <c r="N765" s="4">
        <v>130</v>
      </c>
      <c r="O765" s="4">
        <v>540</v>
      </c>
      <c r="P765" s="4">
        <v>2</v>
      </c>
      <c r="Q765" s="4">
        <v>7</v>
      </c>
      <c r="R765" s="4">
        <v>17</v>
      </c>
      <c r="S765" s="4">
        <v>1</v>
      </c>
      <c r="T765" s="4">
        <v>44</v>
      </c>
      <c r="U765" s="4">
        <v>18</v>
      </c>
      <c r="V765" s="4">
        <v>42</v>
      </c>
      <c r="W765" s="4">
        <v>391</v>
      </c>
      <c r="X765" s="4">
        <v>22</v>
      </c>
      <c r="Y765" s="4">
        <v>3</v>
      </c>
      <c r="Z765" s="4">
        <v>1381</v>
      </c>
      <c r="AA765" s="4">
        <v>97</v>
      </c>
      <c r="AB765" s="4">
        <v>29</v>
      </c>
      <c r="AC765" s="4">
        <v>0</v>
      </c>
      <c r="AD765" s="4">
        <v>5</v>
      </c>
      <c r="AE765" s="4">
        <v>25</v>
      </c>
      <c r="AF765" s="4">
        <v>6</v>
      </c>
      <c r="AG765" s="4">
        <v>415</v>
      </c>
      <c r="AH765" s="4">
        <v>235</v>
      </c>
      <c r="AI765" s="4">
        <v>214</v>
      </c>
      <c r="AJ765" s="4">
        <v>1545</v>
      </c>
      <c r="AK765" s="4">
        <v>355</v>
      </c>
      <c r="AL765" s="4">
        <v>12</v>
      </c>
      <c r="AM765" s="4">
        <v>437</v>
      </c>
      <c r="AN765" s="4">
        <v>377</v>
      </c>
      <c r="AO765" s="4">
        <v>750</v>
      </c>
      <c r="AP765" s="4">
        <v>14</v>
      </c>
      <c r="AQ765" s="4">
        <v>143</v>
      </c>
      <c r="AR765" s="4">
        <v>30</v>
      </c>
      <c r="AS765" s="4">
        <v>185</v>
      </c>
      <c r="AT765" s="4">
        <v>289</v>
      </c>
      <c r="AU765" s="4">
        <v>248</v>
      </c>
      <c r="AV765" s="4">
        <v>471</v>
      </c>
      <c r="AW765" s="4">
        <v>2486</v>
      </c>
      <c r="AX765" s="4">
        <v>774</v>
      </c>
      <c r="AY765" s="4">
        <v>13</v>
      </c>
      <c r="AZ765" s="4">
        <v>105</v>
      </c>
      <c r="BA765" s="4">
        <v>0</v>
      </c>
      <c r="BB765" s="4">
        <v>1912</v>
      </c>
      <c r="BC765" s="4">
        <v>172</v>
      </c>
      <c r="BD765" s="4">
        <v>47</v>
      </c>
      <c r="BE765" s="4">
        <v>161</v>
      </c>
      <c r="BF765" s="4">
        <v>546</v>
      </c>
      <c r="BG765" s="4">
        <v>44</v>
      </c>
      <c r="BH765" s="4">
        <v>48</v>
      </c>
      <c r="BI765" s="4">
        <v>7</v>
      </c>
      <c r="BJ765" s="4">
        <v>593</v>
      </c>
      <c r="BK765" s="4">
        <v>757</v>
      </c>
      <c r="BL765" s="4">
        <v>0</v>
      </c>
      <c r="BM765" s="4">
        <v>129</v>
      </c>
      <c r="BN765" s="4">
        <v>700</v>
      </c>
      <c r="BO765" s="4">
        <v>8</v>
      </c>
      <c r="BP765" s="4">
        <v>69</v>
      </c>
      <c r="BQ765" s="4">
        <v>520</v>
      </c>
      <c r="BR765" s="4">
        <v>99</v>
      </c>
      <c r="BS765" s="4">
        <v>1210</v>
      </c>
      <c r="BT765" s="4">
        <v>892</v>
      </c>
      <c r="BU765" s="4">
        <v>17</v>
      </c>
      <c r="BV765" s="4">
        <v>670</v>
      </c>
      <c r="BW765" s="4">
        <v>102</v>
      </c>
      <c r="BX765" s="4">
        <v>2023</v>
      </c>
      <c r="BY765" s="4">
        <v>19</v>
      </c>
      <c r="BZ765" s="4">
        <v>2</v>
      </c>
      <c r="CA765" s="4">
        <v>2483</v>
      </c>
      <c r="CB765" s="4">
        <v>119</v>
      </c>
      <c r="CC765" s="4">
        <v>2</v>
      </c>
      <c r="CD765" s="4">
        <v>56</v>
      </c>
      <c r="CE765" s="4">
        <v>20</v>
      </c>
      <c r="CF765" s="4">
        <v>50</v>
      </c>
      <c r="CG765" s="4">
        <v>64</v>
      </c>
      <c r="CH765" s="4">
        <v>64</v>
      </c>
      <c r="CI765" s="4">
        <v>41</v>
      </c>
      <c r="CJ765" s="4">
        <v>436</v>
      </c>
      <c r="CK765" s="4">
        <v>110</v>
      </c>
      <c r="CL765" s="4">
        <v>1</v>
      </c>
      <c r="CM765" s="4">
        <v>263</v>
      </c>
      <c r="CN765" s="4">
        <v>1102</v>
      </c>
      <c r="CO765" s="4">
        <v>61</v>
      </c>
      <c r="CP765" s="4">
        <v>74</v>
      </c>
      <c r="CQ765" s="4">
        <v>0</v>
      </c>
      <c r="CR765" s="4">
        <v>176</v>
      </c>
      <c r="CS765" s="4">
        <v>32</v>
      </c>
      <c r="CT765" s="4">
        <v>343</v>
      </c>
      <c r="CU765" s="4">
        <v>43</v>
      </c>
      <c r="CV765" s="4">
        <v>798</v>
      </c>
      <c r="CW765" s="4">
        <v>707</v>
      </c>
      <c r="CX765" s="5">
        <v>706</v>
      </c>
    </row>
    <row r="766" spans="1:102" ht="15.75" x14ac:dyDescent="0.25">
      <c r="A766" s="4" t="s">
        <v>211</v>
      </c>
      <c r="B766" s="4" t="s">
        <v>212</v>
      </c>
      <c r="C766" s="4">
        <v>2021</v>
      </c>
      <c r="D766" s="4">
        <v>15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3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1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2</v>
      </c>
      <c r="AK766" s="4">
        <v>1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1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1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1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5">
        <v>0</v>
      </c>
    </row>
    <row r="767" spans="1:102" ht="15.75" x14ac:dyDescent="0.25">
      <c r="A767" s="4" t="s">
        <v>213</v>
      </c>
      <c r="B767" s="4" t="s">
        <v>214</v>
      </c>
      <c r="C767" s="4">
        <v>2021</v>
      </c>
      <c r="D767" s="4">
        <v>2596</v>
      </c>
      <c r="E767" s="4">
        <v>3</v>
      </c>
      <c r="F767" s="4">
        <v>15</v>
      </c>
      <c r="G767" s="4">
        <v>39</v>
      </c>
      <c r="H767" s="4">
        <v>17</v>
      </c>
      <c r="I767" s="4">
        <v>13</v>
      </c>
      <c r="J767" s="4">
        <v>8</v>
      </c>
      <c r="K767" s="4">
        <v>10</v>
      </c>
      <c r="L767" s="4">
        <v>6</v>
      </c>
      <c r="M767" s="4">
        <v>20</v>
      </c>
      <c r="N767" s="4">
        <v>32</v>
      </c>
      <c r="O767" s="4">
        <v>76</v>
      </c>
      <c r="P767" s="4">
        <v>0</v>
      </c>
      <c r="Q767" s="4">
        <v>1</v>
      </c>
      <c r="R767" s="4">
        <v>0</v>
      </c>
      <c r="S767" s="4">
        <v>0</v>
      </c>
      <c r="T767" s="4">
        <v>0</v>
      </c>
      <c r="U767" s="4">
        <v>1</v>
      </c>
      <c r="V767" s="4">
        <v>10</v>
      </c>
      <c r="W767" s="4">
        <v>4</v>
      </c>
      <c r="X767" s="4">
        <v>13</v>
      </c>
      <c r="Y767" s="4">
        <v>0</v>
      </c>
      <c r="Z767" s="4">
        <v>123</v>
      </c>
      <c r="AA767" s="4">
        <v>66</v>
      </c>
      <c r="AB767" s="4">
        <v>3</v>
      </c>
      <c r="AC767" s="4">
        <v>0</v>
      </c>
      <c r="AD767" s="4">
        <v>0</v>
      </c>
      <c r="AE767" s="4">
        <v>3</v>
      </c>
      <c r="AF767" s="4">
        <v>1</v>
      </c>
      <c r="AG767" s="4">
        <v>35</v>
      </c>
      <c r="AH767" s="4">
        <v>16</v>
      </c>
      <c r="AI767" s="4">
        <v>28</v>
      </c>
      <c r="AJ767" s="4">
        <v>87</v>
      </c>
      <c r="AK767" s="4">
        <v>50</v>
      </c>
      <c r="AL767" s="4">
        <v>2</v>
      </c>
      <c r="AM767" s="4">
        <v>32</v>
      </c>
      <c r="AN767" s="4">
        <v>55</v>
      </c>
      <c r="AO767" s="4">
        <v>70</v>
      </c>
      <c r="AP767" s="4">
        <v>2</v>
      </c>
      <c r="AQ767" s="4">
        <v>12</v>
      </c>
      <c r="AR767" s="4">
        <v>6</v>
      </c>
      <c r="AS767" s="4">
        <v>12</v>
      </c>
      <c r="AT767" s="4">
        <v>52</v>
      </c>
      <c r="AU767" s="4">
        <v>58</v>
      </c>
      <c r="AV767" s="4">
        <v>56</v>
      </c>
      <c r="AW767" s="4">
        <v>17</v>
      </c>
      <c r="AX767" s="4">
        <v>211</v>
      </c>
      <c r="AY767" s="4">
        <v>5</v>
      </c>
      <c r="AZ767" s="4">
        <v>9</v>
      </c>
      <c r="BA767" s="4">
        <v>0</v>
      </c>
      <c r="BB767" s="4">
        <v>66</v>
      </c>
      <c r="BC767" s="4">
        <v>5</v>
      </c>
      <c r="BD767" s="4">
        <v>0</v>
      </c>
      <c r="BE767" s="4">
        <v>37</v>
      </c>
      <c r="BF767" s="4">
        <v>86</v>
      </c>
      <c r="BG767" s="4">
        <v>2</v>
      </c>
      <c r="BH767" s="4">
        <v>4</v>
      </c>
      <c r="BI767" s="4">
        <v>1</v>
      </c>
      <c r="BJ767" s="4">
        <v>83</v>
      </c>
      <c r="BK767" s="4">
        <v>77</v>
      </c>
      <c r="BL767" s="4">
        <v>0</v>
      </c>
      <c r="BM767" s="4">
        <v>8</v>
      </c>
      <c r="BN767" s="4">
        <v>44</v>
      </c>
      <c r="BO767" s="4">
        <v>1</v>
      </c>
      <c r="BP767" s="4">
        <v>6</v>
      </c>
      <c r="BQ767" s="4">
        <v>51</v>
      </c>
      <c r="BR767" s="4">
        <v>3</v>
      </c>
      <c r="BS767" s="4">
        <v>85</v>
      </c>
      <c r="BT767" s="4">
        <v>43</v>
      </c>
      <c r="BU767" s="4">
        <v>2</v>
      </c>
      <c r="BV767" s="4">
        <v>24</v>
      </c>
      <c r="BW767" s="4">
        <v>18</v>
      </c>
      <c r="BX767" s="4">
        <v>86</v>
      </c>
      <c r="BY767" s="4">
        <v>1</v>
      </c>
      <c r="BZ767" s="4">
        <v>0</v>
      </c>
      <c r="CA767" s="4">
        <v>128</v>
      </c>
      <c r="CB767" s="4">
        <v>77</v>
      </c>
      <c r="CC767" s="4">
        <v>0</v>
      </c>
      <c r="CD767" s="4">
        <v>9</v>
      </c>
      <c r="CE767" s="4">
        <v>1</v>
      </c>
      <c r="CF767" s="4">
        <v>7</v>
      </c>
      <c r="CG767" s="4">
        <v>1</v>
      </c>
      <c r="CH767" s="4">
        <v>5</v>
      </c>
      <c r="CI767" s="4">
        <v>6</v>
      </c>
      <c r="CJ767" s="4">
        <v>32</v>
      </c>
      <c r="CK767" s="4">
        <v>7</v>
      </c>
      <c r="CL767" s="4">
        <v>0</v>
      </c>
      <c r="CM767" s="4">
        <v>11</v>
      </c>
      <c r="CN767" s="4">
        <v>86</v>
      </c>
      <c r="CO767" s="4">
        <v>19</v>
      </c>
      <c r="CP767" s="4">
        <v>3</v>
      </c>
      <c r="CQ767" s="4">
        <v>0</v>
      </c>
      <c r="CR767" s="4">
        <v>19</v>
      </c>
      <c r="CS767" s="4">
        <v>3</v>
      </c>
      <c r="CT767" s="4">
        <v>31</v>
      </c>
      <c r="CU767" s="4">
        <v>3</v>
      </c>
      <c r="CV767" s="4">
        <v>84</v>
      </c>
      <c r="CW767" s="4">
        <v>49</v>
      </c>
      <c r="CX767" s="5">
        <v>49</v>
      </c>
    </row>
    <row r="768" spans="1:102" ht="15.75" x14ac:dyDescent="0.25">
      <c r="A768" s="4" t="s">
        <v>215</v>
      </c>
      <c r="B768" s="4" t="s">
        <v>216</v>
      </c>
      <c r="C768" s="4">
        <v>2021</v>
      </c>
      <c r="D768" s="4">
        <v>10</v>
      </c>
      <c r="E768" s="4">
        <v>0</v>
      </c>
      <c r="F768" s="4">
        <v>3</v>
      </c>
      <c r="G768" s="4">
        <v>1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1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1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1</v>
      </c>
      <c r="CW768" s="4">
        <v>0</v>
      </c>
      <c r="CX768" s="5">
        <v>0</v>
      </c>
    </row>
    <row r="769" spans="1:102" ht="15.75" x14ac:dyDescent="0.25">
      <c r="A769" s="4" t="s">
        <v>217</v>
      </c>
      <c r="B769" s="4" t="s">
        <v>218</v>
      </c>
      <c r="C769" s="4">
        <v>2021</v>
      </c>
      <c r="D769" s="4">
        <v>135</v>
      </c>
      <c r="E769" s="4">
        <v>0</v>
      </c>
      <c r="F769" s="4">
        <v>2</v>
      </c>
      <c r="G769" s="4">
        <v>2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1</v>
      </c>
      <c r="O769" s="4">
        <v>63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1</v>
      </c>
      <c r="AI769" s="4">
        <v>0</v>
      </c>
      <c r="AJ769" s="4">
        <v>9</v>
      </c>
      <c r="AK769" s="4">
        <v>0</v>
      </c>
      <c r="AL769" s="4">
        <v>0</v>
      </c>
      <c r="AM769" s="4">
        <v>1</v>
      </c>
      <c r="AN769" s="4">
        <v>5</v>
      </c>
      <c r="AO769" s="4">
        <v>1</v>
      </c>
      <c r="AP769" s="4">
        <v>1</v>
      </c>
      <c r="AQ769" s="4">
        <v>0</v>
      </c>
      <c r="AR769" s="4">
        <v>0</v>
      </c>
      <c r="AS769" s="4">
        <v>4</v>
      </c>
      <c r="AT769" s="4">
        <v>3</v>
      </c>
      <c r="AU769" s="4">
        <v>7</v>
      </c>
      <c r="AV769" s="4">
        <v>0</v>
      </c>
      <c r="AW769" s="4">
        <v>0</v>
      </c>
      <c r="AX769" s="4">
        <v>2</v>
      </c>
      <c r="AY769" s="4">
        <v>0</v>
      </c>
      <c r="AZ769" s="4">
        <v>1</v>
      </c>
      <c r="BA769" s="4">
        <v>0</v>
      </c>
      <c r="BB769" s="4">
        <v>0</v>
      </c>
      <c r="BC769" s="4">
        <v>0</v>
      </c>
      <c r="BD769" s="4">
        <v>0</v>
      </c>
      <c r="BE769" s="4">
        <v>1</v>
      </c>
      <c r="BF769" s="4">
        <v>3</v>
      </c>
      <c r="BG769" s="4">
        <v>0</v>
      </c>
      <c r="BH769" s="4">
        <v>0</v>
      </c>
      <c r="BI769" s="4">
        <v>0</v>
      </c>
      <c r="BJ769" s="4">
        <v>2</v>
      </c>
      <c r="BK769" s="4">
        <v>1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1</v>
      </c>
      <c r="BT769" s="4">
        <v>1</v>
      </c>
      <c r="BU769" s="4">
        <v>0</v>
      </c>
      <c r="BV769" s="4">
        <v>1</v>
      </c>
      <c r="BW769" s="4">
        <v>4</v>
      </c>
      <c r="BX769" s="4">
        <v>2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2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6</v>
      </c>
      <c r="CU769" s="4">
        <v>0</v>
      </c>
      <c r="CV769" s="4">
        <v>4</v>
      </c>
      <c r="CW769" s="4">
        <v>0</v>
      </c>
      <c r="CX769" s="5">
        <v>0</v>
      </c>
    </row>
    <row r="770" spans="1:102" ht="15.75" x14ac:dyDescent="0.25">
      <c r="A770" s="4" t="s">
        <v>219</v>
      </c>
      <c r="B770" s="4" t="s">
        <v>220</v>
      </c>
      <c r="C770" s="4">
        <v>2021</v>
      </c>
      <c r="D770" s="4">
        <v>379</v>
      </c>
      <c r="E770" s="4">
        <v>0</v>
      </c>
      <c r="F770" s="4">
        <v>0</v>
      </c>
      <c r="G770" s="4">
        <v>23</v>
      </c>
      <c r="H770" s="4">
        <v>0</v>
      </c>
      <c r="I770" s="4">
        <v>6</v>
      </c>
      <c r="J770" s="4">
        <v>0</v>
      </c>
      <c r="K770" s="4">
        <v>0</v>
      </c>
      <c r="L770" s="4">
        <v>0</v>
      </c>
      <c r="M770" s="4">
        <v>0</v>
      </c>
      <c r="N770" s="4">
        <v>1</v>
      </c>
      <c r="O770" s="4">
        <v>130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2</v>
      </c>
      <c r="W770" s="4">
        <v>1</v>
      </c>
      <c r="X770" s="4">
        <v>0</v>
      </c>
      <c r="Y770" s="4">
        <v>0</v>
      </c>
      <c r="Z770" s="4">
        <v>0</v>
      </c>
      <c r="AA770" s="4">
        <v>1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1</v>
      </c>
      <c r="AH770" s="4">
        <v>1</v>
      </c>
      <c r="AI770" s="4">
        <v>5</v>
      </c>
      <c r="AJ770" s="4">
        <v>35</v>
      </c>
      <c r="AK770" s="4">
        <v>4</v>
      </c>
      <c r="AL770" s="4">
        <v>0</v>
      </c>
      <c r="AM770" s="4">
        <v>1</v>
      </c>
      <c r="AN770" s="4">
        <v>2</v>
      </c>
      <c r="AO770" s="4">
        <v>9</v>
      </c>
      <c r="AP770" s="4">
        <v>0</v>
      </c>
      <c r="AQ770" s="4">
        <v>1</v>
      </c>
      <c r="AR770" s="4">
        <v>0</v>
      </c>
      <c r="AS770" s="4">
        <v>2</v>
      </c>
      <c r="AT770" s="4">
        <v>0</v>
      </c>
      <c r="AU770" s="4">
        <v>0</v>
      </c>
      <c r="AV770" s="4">
        <v>1</v>
      </c>
      <c r="AW770" s="4">
        <v>0</v>
      </c>
      <c r="AX770" s="4">
        <v>6</v>
      </c>
      <c r="AY770" s="4">
        <v>0</v>
      </c>
      <c r="AZ770" s="4">
        <v>3</v>
      </c>
      <c r="BA770" s="4">
        <v>0</v>
      </c>
      <c r="BB770" s="4">
        <v>43</v>
      </c>
      <c r="BC770" s="4">
        <v>1</v>
      </c>
      <c r="BD770" s="4">
        <v>0</v>
      </c>
      <c r="BE770" s="4">
        <v>2</v>
      </c>
      <c r="BF770" s="4">
        <v>3</v>
      </c>
      <c r="BG770" s="4">
        <v>0</v>
      </c>
      <c r="BH770" s="4">
        <v>0</v>
      </c>
      <c r="BI770" s="4">
        <v>0</v>
      </c>
      <c r="BJ770" s="4">
        <v>15</v>
      </c>
      <c r="BK770" s="4">
        <v>12</v>
      </c>
      <c r="BL770" s="4">
        <v>0</v>
      </c>
      <c r="BM770" s="4">
        <v>1</v>
      </c>
      <c r="BN770" s="4">
        <v>2</v>
      </c>
      <c r="BO770" s="4">
        <v>0</v>
      </c>
      <c r="BP770" s="4">
        <v>1</v>
      </c>
      <c r="BQ770" s="4">
        <v>7</v>
      </c>
      <c r="BR770" s="4">
        <v>0</v>
      </c>
      <c r="BS770" s="4">
        <v>7</v>
      </c>
      <c r="BT770" s="4">
        <v>6</v>
      </c>
      <c r="BU770" s="4">
        <v>0</v>
      </c>
      <c r="BV770" s="4">
        <v>1</v>
      </c>
      <c r="BW770" s="4">
        <v>1</v>
      </c>
      <c r="BX770" s="4">
        <v>0</v>
      </c>
      <c r="BY770" s="4">
        <v>0</v>
      </c>
      <c r="BZ770" s="4">
        <v>0</v>
      </c>
      <c r="CA770" s="4">
        <v>7</v>
      </c>
      <c r="CB770" s="4">
        <v>0</v>
      </c>
      <c r="CC770" s="4">
        <v>0</v>
      </c>
      <c r="CD770" s="4">
        <v>1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10</v>
      </c>
      <c r="CK770" s="4">
        <v>5</v>
      </c>
      <c r="CL770" s="4">
        <v>0</v>
      </c>
      <c r="CM770" s="4">
        <v>2</v>
      </c>
      <c r="CN770" s="4">
        <v>11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2</v>
      </c>
      <c r="CU770" s="4">
        <v>0</v>
      </c>
      <c r="CV770" s="4">
        <v>1</v>
      </c>
      <c r="CW770" s="4">
        <v>1</v>
      </c>
      <c r="CX770" s="5">
        <v>1</v>
      </c>
    </row>
    <row r="771" spans="1:102" ht="15.75" x14ac:dyDescent="0.25">
      <c r="A771" s="4" t="s">
        <v>221</v>
      </c>
      <c r="B771" s="4" t="s">
        <v>222</v>
      </c>
      <c r="C771" s="4">
        <v>2021</v>
      </c>
      <c r="D771" s="4">
        <v>69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1</v>
      </c>
      <c r="M771" s="4">
        <v>2</v>
      </c>
      <c r="N771" s="4">
        <v>1</v>
      </c>
      <c r="O771" s="4">
        <v>15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1</v>
      </c>
      <c r="W771" s="4">
        <v>1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1</v>
      </c>
      <c r="AH771" s="4">
        <v>0</v>
      </c>
      <c r="AI771" s="4">
        <v>1</v>
      </c>
      <c r="AJ771" s="4">
        <v>11</v>
      </c>
      <c r="AK771" s="4">
        <v>2</v>
      </c>
      <c r="AL771" s="4">
        <v>1</v>
      </c>
      <c r="AM771" s="4">
        <v>1</v>
      </c>
      <c r="AN771" s="4">
        <v>2</v>
      </c>
      <c r="AO771" s="4">
        <v>4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1</v>
      </c>
      <c r="AV771" s="4">
        <v>0</v>
      </c>
      <c r="AW771" s="4">
        <v>0</v>
      </c>
      <c r="AX771" s="4">
        <v>0</v>
      </c>
      <c r="AY771" s="4">
        <v>0</v>
      </c>
      <c r="AZ771" s="4">
        <v>1</v>
      </c>
      <c r="BA771" s="4">
        <v>0</v>
      </c>
      <c r="BB771" s="4">
        <v>1</v>
      </c>
      <c r="BC771" s="4">
        <v>0</v>
      </c>
      <c r="BD771" s="4">
        <v>0</v>
      </c>
      <c r="BE771" s="4">
        <v>1</v>
      </c>
      <c r="BF771" s="4">
        <v>2</v>
      </c>
      <c r="BG771" s="4">
        <v>0</v>
      </c>
      <c r="BH771" s="4">
        <v>0</v>
      </c>
      <c r="BI771" s="4">
        <v>0</v>
      </c>
      <c r="BJ771" s="4">
        <v>2</v>
      </c>
      <c r="BK771" s="4">
        <v>2</v>
      </c>
      <c r="BL771" s="4">
        <v>0</v>
      </c>
      <c r="BM771" s="4">
        <v>0</v>
      </c>
      <c r="BN771" s="4">
        <v>1</v>
      </c>
      <c r="BO771" s="4">
        <v>0</v>
      </c>
      <c r="BP771" s="4">
        <v>0</v>
      </c>
      <c r="BQ771" s="4">
        <v>0</v>
      </c>
      <c r="BR771" s="4">
        <v>0</v>
      </c>
      <c r="BS771" s="4">
        <v>1</v>
      </c>
      <c r="BT771" s="4">
        <v>0</v>
      </c>
      <c r="BU771" s="4">
        <v>0</v>
      </c>
      <c r="BV771" s="4">
        <v>1</v>
      </c>
      <c r="BW771" s="4">
        <v>0</v>
      </c>
      <c r="BX771" s="4">
        <v>2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1</v>
      </c>
      <c r="CN771" s="4">
        <v>3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1</v>
      </c>
      <c r="CU771" s="4">
        <v>0</v>
      </c>
      <c r="CV771" s="4">
        <v>4</v>
      </c>
      <c r="CW771" s="4">
        <v>0</v>
      </c>
      <c r="CX771" s="5">
        <v>0</v>
      </c>
    </row>
    <row r="772" spans="1:102" ht="15.75" x14ac:dyDescent="0.25">
      <c r="A772" s="4" t="s">
        <v>223</v>
      </c>
      <c r="B772" s="4" t="s">
        <v>224</v>
      </c>
      <c r="C772" s="4">
        <v>2021</v>
      </c>
      <c r="D772" s="4">
        <v>256</v>
      </c>
      <c r="E772" s="4">
        <v>0</v>
      </c>
      <c r="F772" s="4">
        <v>0</v>
      </c>
      <c r="G772" s="4">
        <v>0</v>
      </c>
      <c r="H772" s="4">
        <v>1</v>
      </c>
      <c r="I772" s="4">
        <v>2</v>
      </c>
      <c r="J772" s="4">
        <v>1</v>
      </c>
      <c r="K772" s="4">
        <v>0</v>
      </c>
      <c r="L772" s="4">
        <v>0</v>
      </c>
      <c r="M772" s="4">
        <v>1</v>
      </c>
      <c r="N772" s="4">
        <v>3</v>
      </c>
      <c r="O772" s="4">
        <v>15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1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4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4</v>
      </c>
      <c r="AJ772" s="4">
        <v>1</v>
      </c>
      <c r="AK772" s="4">
        <v>3</v>
      </c>
      <c r="AL772" s="4">
        <v>4</v>
      </c>
      <c r="AM772" s="4">
        <v>3</v>
      </c>
      <c r="AN772" s="4">
        <v>3</v>
      </c>
      <c r="AO772" s="4">
        <v>12</v>
      </c>
      <c r="AP772" s="4">
        <v>0</v>
      </c>
      <c r="AQ772" s="4">
        <v>4</v>
      </c>
      <c r="AR772" s="4">
        <v>0</v>
      </c>
      <c r="AS772" s="4">
        <v>2</v>
      </c>
      <c r="AT772" s="4">
        <v>6</v>
      </c>
      <c r="AU772" s="4">
        <v>2</v>
      </c>
      <c r="AV772" s="4">
        <v>6</v>
      </c>
      <c r="AW772" s="4">
        <v>1</v>
      </c>
      <c r="AX772" s="4">
        <v>5</v>
      </c>
      <c r="AY772" s="4">
        <v>0</v>
      </c>
      <c r="AZ772" s="4">
        <v>0</v>
      </c>
      <c r="BA772" s="4">
        <v>0</v>
      </c>
      <c r="BB772" s="4">
        <v>9</v>
      </c>
      <c r="BC772" s="4">
        <v>0</v>
      </c>
      <c r="BD772" s="4">
        <v>0</v>
      </c>
      <c r="BE772" s="4">
        <v>4</v>
      </c>
      <c r="BF772" s="4">
        <v>29</v>
      </c>
      <c r="BG772" s="4">
        <v>0</v>
      </c>
      <c r="BH772" s="4">
        <v>0</v>
      </c>
      <c r="BI772" s="4">
        <v>0</v>
      </c>
      <c r="BJ772" s="4">
        <v>4</v>
      </c>
      <c r="BK772" s="4">
        <v>11</v>
      </c>
      <c r="BL772" s="4">
        <v>0</v>
      </c>
      <c r="BM772" s="4">
        <v>1</v>
      </c>
      <c r="BN772" s="4">
        <v>5</v>
      </c>
      <c r="BO772" s="4">
        <v>0</v>
      </c>
      <c r="BP772" s="4">
        <v>1</v>
      </c>
      <c r="BQ772" s="4">
        <v>14</v>
      </c>
      <c r="BR772" s="4">
        <v>0</v>
      </c>
      <c r="BS772" s="4">
        <v>13</v>
      </c>
      <c r="BT772" s="4">
        <v>20</v>
      </c>
      <c r="BU772" s="4">
        <v>0</v>
      </c>
      <c r="BV772" s="4">
        <v>7</v>
      </c>
      <c r="BW772" s="4">
        <v>1</v>
      </c>
      <c r="BX772" s="4">
        <v>11</v>
      </c>
      <c r="BY772" s="4">
        <v>2</v>
      </c>
      <c r="BZ772" s="4">
        <v>0</v>
      </c>
      <c r="CA772" s="4">
        <v>7</v>
      </c>
      <c r="CB772" s="4">
        <v>0</v>
      </c>
      <c r="CC772" s="4">
        <v>0</v>
      </c>
      <c r="CD772" s="4">
        <v>1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2</v>
      </c>
      <c r="CK772" s="4">
        <v>0</v>
      </c>
      <c r="CL772" s="4">
        <v>0</v>
      </c>
      <c r="CM772" s="4">
        <v>1</v>
      </c>
      <c r="CN772" s="4">
        <v>8</v>
      </c>
      <c r="CO772" s="4">
        <v>0</v>
      </c>
      <c r="CP772" s="4">
        <v>1</v>
      </c>
      <c r="CQ772" s="4">
        <v>0</v>
      </c>
      <c r="CR772" s="4">
        <v>0</v>
      </c>
      <c r="CS772" s="4">
        <v>0</v>
      </c>
      <c r="CT772" s="4">
        <v>2</v>
      </c>
      <c r="CU772" s="4">
        <v>1</v>
      </c>
      <c r="CV772" s="4">
        <v>10</v>
      </c>
      <c r="CW772" s="4">
        <v>2</v>
      </c>
      <c r="CX772" s="5">
        <v>2</v>
      </c>
    </row>
    <row r="773" spans="1:102" ht="15.75" x14ac:dyDescent="0.25">
      <c r="A773" s="4" t="s">
        <v>225</v>
      </c>
      <c r="B773" s="4" t="s">
        <v>226</v>
      </c>
      <c r="C773" s="4">
        <v>2021</v>
      </c>
      <c r="D773" s="4">
        <v>1584</v>
      </c>
      <c r="E773" s="4">
        <v>8</v>
      </c>
      <c r="F773" s="4">
        <v>0</v>
      </c>
      <c r="G773" s="4">
        <v>18</v>
      </c>
      <c r="H773" s="4">
        <v>0</v>
      </c>
      <c r="I773" s="4">
        <v>3</v>
      </c>
      <c r="J773" s="4">
        <v>58</v>
      </c>
      <c r="K773" s="4">
        <v>1</v>
      </c>
      <c r="L773" s="4">
        <v>9</v>
      </c>
      <c r="M773" s="4">
        <v>4</v>
      </c>
      <c r="N773" s="4">
        <v>9</v>
      </c>
      <c r="O773" s="4">
        <v>54</v>
      </c>
      <c r="P773" s="4">
        <v>0</v>
      </c>
      <c r="Q773" s="4">
        <v>0</v>
      </c>
      <c r="R773" s="4">
        <v>4</v>
      </c>
      <c r="S773" s="4">
        <v>0</v>
      </c>
      <c r="T773" s="4">
        <v>0</v>
      </c>
      <c r="U773" s="4">
        <v>1</v>
      </c>
      <c r="V773" s="4">
        <v>12</v>
      </c>
      <c r="W773" s="4">
        <v>530</v>
      </c>
      <c r="X773" s="4">
        <v>1</v>
      </c>
      <c r="Y773" s="4">
        <v>4</v>
      </c>
      <c r="Z773" s="4">
        <v>0</v>
      </c>
      <c r="AA773" s="4">
        <v>26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29</v>
      </c>
      <c r="AH773" s="4">
        <v>3</v>
      </c>
      <c r="AI773" s="4">
        <v>19</v>
      </c>
      <c r="AJ773" s="4">
        <v>113</v>
      </c>
      <c r="AK773" s="4">
        <v>17</v>
      </c>
      <c r="AL773" s="4">
        <v>3</v>
      </c>
      <c r="AM773" s="4">
        <v>15</v>
      </c>
      <c r="AN773" s="4">
        <v>21</v>
      </c>
      <c r="AO773" s="4">
        <v>25</v>
      </c>
      <c r="AP773" s="4">
        <v>0</v>
      </c>
      <c r="AQ773" s="4">
        <v>5</v>
      </c>
      <c r="AR773" s="4">
        <v>1</v>
      </c>
      <c r="AS773" s="4">
        <v>14</v>
      </c>
      <c r="AT773" s="4">
        <v>5</v>
      </c>
      <c r="AU773" s="4">
        <v>2</v>
      </c>
      <c r="AV773" s="4">
        <v>10</v>
      </c>
      <c r="AW773" s="4">
        <v>22</v>
      </c>
      <c r="AX773" s="4">
        <v>20</v>
      </c>
      <c r="AY773" s="4">
        <v>0</v>
      </c>
      <c r="AZ773" s="4">
        <v>27</v>
      </c>
      <c r="BA773" s="4">
        <v>0</v>
      </c>
      <c r="BB773" s="4">
        <v>47</v>
      </c>
      <c r="BC773" s="4">
        <v>7</v>
      </c>
      <c r="BD773" s="4">
        <v>0</v>
      </c>
      <c r="BE773" s="4">
        <v>12</v>
      </c>
      <c r="BF773" s="4">
        <v>29</v>
      </c>
      <c r="BG773" s="4">
        <v>2</v>
      </c>
      <c r="BH773" s="4">
        <v>2</v>
      </c>
      <c r="BI773" s="4">
        <v>0</v>
      </c>
      <c r="BJ773" s="4">
        <v>41</v>
      </c>
      <c r="BK773" s="4">
        <v>27</v>
      </c>
      <c r="BL773" s="4">
        <v>0</v>
      </c>
      <c r="BM773" s="4">
        <v>1</v>
      </c>
      <c r="BN773" s="4">
        <v>7</v>
      </c>
      <c r="BO773" s="4">
        <v>0</v>
      </c>
      <c r="BP773" s="4">
        <v>3</v>
      </c>
      <c r="BQ773" s="4">
        <v>10</v>
      </c>
      <c r="BR773" s="4">
        <v>1</v>
      </c>
      <c r="BS773" s="4">
        <v>28</v>
      </c>
      <c r="BT773" s="4">
        <v>28</v>
      </c>
      <c r="BU773" s="4">
        <v>0</v>
      </c>
      <c r="BV773" s="4">
        <v>4</v>
      </c>
      <c r="BW773" s="4">
        <v>3</v>
      </c>
      <c r="BX773" s="4">
        <v>112</v>
      </c>
      <c r="BY773" s="4">
        <v>1</v>
      </c>
      <c r="BZ773" s="4">
        <v>12</v>
      </c>
      <c r="CA773" s="4">
        <v>26</v>
      </c>
      <c r="CB773" s="4">
        <v>0</v>
      </c>
      <c r="CC773" s="4">
        <v>0</v>
      </c>
      <c r="CD773" s="4">
        <v>2</v>
      </c>
      <c r="CE773" s="4">
        <v>0</v>
      </c>
      <c r="CF773" s="4">
        <v>1</v>
      </c>
      <c r="CG773" s="4">
        <v>0</v>
      </c>
      <c r="CH773" s="4">
        <v>1</v>
      </c>
      <c r="CI773" s="4">
        <v>0</v>
      </c>
      <c r="CJ773" s="4">
        <v>4</v>
      </c>
      <c r="CK773" s="4">
        <v>0</v>
      </c>
      <c r="CL773" s="4">
        <v>0</v>
      </c>
      <c r="CM773" s="4">
        <v>5</v>
      </c>
      <c r="CN773" s="4">
        <v>33</v>
      </c>
      <c r="CO773" s="4">
        <v>0</v>
      </c>
      <c r="CP773" s="4">
        <v>1</v>
      </c>
      <c r="CQ773" s="4">
        <v>0</v>
      </c>
      <c r="CR773" s="4">
        <v>0</v>
      </c>
      <c r="CS773" s="4">
        <v>0</v>
      </c>
      <c r="CT773" s="4">
        <v>4</v>
      </c>
      <c r="CU773" s="4">
        <v>12</v>
      </c>
      <c r="CV773" s="4">
        <v>17</v>
      </c>
      <c r="CW773" s="4">
        <v>3</v>
      </c>
      <c r="CX773" s="5">
        <v>3</v>
      </c>
    </row>
    <row r="774" spans="1:102" ht="15.75" x14ac:dyDescent="0.25">
      <c r="A774" s="4" t="s">
        <v>227</v>
      </c>
      <c r="B774" s="4" t="s">
        <v>228</v>
      </c>
      <c r="C774" s="4">
        <v>2021</v>
      </c>
      <c r="D774" s="4">
        <v>1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1</v>
      </c>
      <c r="BF774" s="4">
        <v>1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5">
        <v>0</v>
      </c>
    </row>
    <row r="775" spans="1:102" ht="15.75" x14ac:dyDescent="0.25">
      <c r="A775" s="4" t="s">
        <v>229</v>
      </c>
      <c r="B775" s="4" t="s">
        <v>230</v>
      </c>
      <c r="C775" s="4">
        <v>2021</v>
      </c>
      <c r="D775" s="4">
        <v>7877</v>
      </c>
      <c r="E775" s="4">
        <v>15</v>
      </c>
      <c r="F775" s="4">
        <v>15</v>
      </c>
      <c r="G775" s="4">
        <v>26</v>
      </c>
      <c r="H775" s="4">
        <v>83</v>
      </c>
      <c r="I775" s="4">
        <v>75</v>
      </c>
      <c r="J775" s="4">
        <v>34</v>
      </c>
      <c r="K775" s="4">
        <v>6</v>
      </c>
      <c r="L775" s="4">
        <v>29</v>
      </c>
      <c r="M775" s="4">
        <v>11</v>
      </c>
      <c r="N775" s="4">
        <v>43</v>
      </c>
      <c r="O775" s="4">
        <v>330</v>
      </c>
      <c r="P775" s="4">
        <v>1</v>
      </c>
      <c r="Q775" s="4">
        <v>1</v>
      </c>
      <c r="R775" s="4">
        <v>5</v>
      </c>
      <c r="S775" s="4">
        <v>0</v>
      </c>
      <c r="T775" s="4">
        <v>6</v>
      </c>
      <c r="U775" s="4">
        <v>13</v>
      </c>
      <c r="V775" s="4">
        <v>20</v>
      </c>
      <c r="W775" s="4">
        <v>332</v>
      </c>
      <c r="X775" s="4">
        <v>18</v>
      </c>
      <c r="Y775" s="4">
        <v>9</v>
      </c>
      <c r="Z775" s="4">
        <v>171</v>
      </c>
      <c r="AA775" s="4">
        <v>198</v>
      </c>
      <c r="AB775" s="4">
        <v>19</v>
      </c>
      <c r="AC775" s="4">
        <v>0</v>
      </c>
      <c r="AD775" s="4">
        <v>3</v>
      </c>
      <c r="AE775" s="4">
        <v>5</v>
      </c>
      <c r="AF775" s="4">
        <v>13</v>
      </c>
      <c r="AG775" s="4">
        <v>140</v>
      </c>
      <c r="AH775" s="4">
        <v>240</v>
      </c>
      <c r="AI775" s="4">
        <v>81</v>
      </c>
      <c r="AJ775" s="4">
        <v>362</v>
      </c>
      <c r="AK775" s="4">
        <v>184</v>
      </c>
      <c r="AL775" s="4">
        <v>15</v>
      </c>
      <c r="AM775" s="4">
        <v>86</v>
      </c>
      <c r="AN775" s="4">
        <v>101</v>
      </c>
      <c r="AO775" s="4">
        <v>150</v>
      </c>
      <c r="AP775" s="4">
        <v>3</v>
      </c>
      <c r="AQ775" s="4">
        <v>33</v>
      </c>
      <c r="AR775" s="4">
        <v>18</v>
      </c>
      <c r="AS775" s="4">
        <v>39</v>
      </c>
      <c r="AT775" s="4">
        <v>44</v>
      </c>
      <c r="AU775" s="4">
        <v>50</v>
      </c>
      <c r="AV775" s="4">
        <v>274</v>
      </c>
      <c r="AW775" s="4">
        <v>212</v>
      </c>
      <c r="AX775" s="4">
        <v>142</v>
      </c>
      <c r="AY775" s="4">
        <v>5</v>
      </c>
      <c r="AZ775" s="4">
        <v>46</v>
      </c>
      <c r="BA775" s="4">
        <v>0</v>
      </c>
      <c r="BB775" s="4">
        <v>547</v>
      </c>
      <c r="BC775" s="4">
        <v>31</v>
      </c>
      <c r="BD775" s="4">
        <v>2</v>
      </c>
      <c r="BE775" s="4">
        <v>26</v>
      </c>
      <c r="BF775" s="4">
        <v>152</v>
      </c>
      <c r="BG775" s="4">
        <v>12</v>
      </c>
      <c r="BH775" s="4">
        <v>12</v>
      </c>
      <c r="BI775" s="4">
        <v>1</v>
      </c>
      <c r="BJ775" s="4">
        <v>166</v>
      </c>
      <c r="BK775" s="4">
        <v>173</v>
      </c>
      <c r="BL775" s="4">
        <v>0</v>
      </c>
      <c r="BM775" s="4">
        <v>13</v>
      </c>
      <c r="BN775" s="4">
        <v>66</v>
      </c>
      <c r="BO775" s="4">
        <v>1</v>
      </c>
      <c r="BP775" s="4">
        <v>18</v>
      </c>
      <c r="BQ775" s="4">
        <v>113</v>
      </c>
      <c r="BR775" s="4">
        <v>17</v>
      </c>
      <c r="BS775" s="4">
        <v>201</v>
      </c>
      <c r="BT775" s="4">
        <v>88</v>
      </c>
      <c r="BU775" s="4">
        <v>4</v>
      </c>
      <c r="BV775" s="4">
        <v>175</v>
      </c>
      <c r="BW775" s="4">
        <v>68</v>
      </c>
      <c r="BX775" s="4">
        <v>766</v>
      </c>
      <c r="BY775" s="4">
        <v>7</v>
      </c>
      <c r="BZ775" s="4">
        <v>2</v>
      </c>
      <c r="CA775" s="4">
        <v>267</v>
      </c>
      <c r="CB775" s="4">
        <v>99</v>
      </c>
      <c r="CC775" s="4">
        <v>1</v>
      </c>
      <c r="CD775" s="4">
        <v>18</v>
      </c>
      <c r="CE775" s="4">
        <v>11</v>
      </c>
      <c r="CF775" s="4">
        <v>12</v>
      </c>
      <c r="CG775" s="4">
        <v>5</v>
      </c>
      <c r="CH775" s="4">
        <v>9</v>
      </c>
      <c r="CI775" s="4">
        <v>8</v>
      </c>
      <c r="CJ775" s="4">
        <v>96</v>
      </c>
      <c r="CK775" s="4">
        <v>33</v>
      </c>
      <c r="CL775" s="4">
        <v>0</v>
      </c>
      <c r="CM775" s="4">
        <v>88</v>
      </c>
      <c r="CN775" s="4">
        <v>171</v>
      </c>
      <c r="CO775" s="4">
        <v>51</v>
      </c>
      <c r="CP775" s="4">
        <v>7</v>
      </c>
      <c r="CQ775" s="4">
        <v>0</v>
      </c>
      <c r="CR775" s="4">
        <v>112</v>
      </c>
      <c r="CS775" s="4">
        <v>4</v>
      </c>
      <c r="CT775" s="4">
        <v>81</v>
      </c>
      <c r="CU775" s="4">
        <v>11</v>
      </c>
      <c r="CV775" s="4">
        <v>114</v>
      </c>
      <c r="CW775" s="4">
        <v>317</v>
      </c>
      <c r="CX775" s="5">
        <v>318</v>
      </c>
    </row>
    <row r="776" spans="1:102" ht="15.75" x14ac:dyDescent="0.25">
      <c r="A776" s="4" t="s">
        <v>231</v>
      </c>
      <c r="B776" s="4" t="s">
        <v>232</v>
      </c>
      <c r="C776" s="4">
        <v>2021</v>
      </c>
      <c r="D776" s="4">
        <v>452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7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1</v>
      </c>
      <c r="AH776" s="4">
        <v>0</v>
      </c>
      <c r="AI776" s="4">
        <v>0</v>
      </c>
      <c r="AJ776" s="4">
        <v>1</v>
      </c>
      <c r="AK776" s="4">
        <v>2</v>
      </c>
      <c r="AL776" s="4">
        <v>0</v>
      </c>
      <c r="AM776" s="4">
        <v>0</v>
      </c>
      <c r="AN776" s="4">
        <v>0</v>
      </c>
      <c r="AO776" s="4">
        <v>4</v>
      </c>
      <c r="AP776" s="4">
        <v>0</v>
      </c>
      <c r="AQ776" s="4">
        <v>1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3</v>
      </c>
      <c r="AY776" s="4">
        <v>0</v>
      </c>
      <c r="AZ776" s="4">
        <v>3</v>
      </c>
      <c r="BA776" s="4">
        <v>0</v>
      </c>
      <c r="BB776" s="4">
        <v>283</v>
      </c>
      <c r="BC776" s="4">
        <v>2</v>
      </c>
      <c r="BD776" s="4">
        <v>0</v>
      </c>
      <c r="BE776" s="4">
        <v>0</v>
      </c>
      <c r="BF776" s="4">
        <v>10</v>
      </c>
      <c r="BG776" s="4">
        <v>0</v>
      </c>
      <c r="BH776" s="4">
        <v>0</v>
      </c>
      <c r="BI776" s="4">
        <v>0</v>
      </c>
      <c r="BJ776" s="4">
        <v>4</v>
      </c>
      <c r="BK776" s="4">
        <v>52</v>
      </c>
      <c r="BL776" s="4">
        <v>0</v>
      </c>
      <c r="BM776" s="4">
        <v>0</v>
      </c>
      <c r="BN776" s="4">
        <v>2</v>
      </c>
      <c r="BO776" s="4">
        <v>0</v>
      </c>
      <c r="BP776" s="4">
        <v>0</v>
      </c>
      <c r="BQ776" s="4">
        <v>8</v>
      </c>
      <c r="BR776" s="4">
        <v>0</v>
      </c>
      <c r="BS776" s="4">
        <v>20</v>
      </c>
      <c r="BT776" s="4">
        <v>7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20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1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2</v>
      </c>
      <c r="CN776" s="4">
        <v>11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4">
        <v>2</v>
      </c>
      <c r="CW776" s="4">
        <v>1</v>
      </c>
      <c r="CX776" s="5">
        <v>1</v>
      </c>
    </row>
    <row r="777" spans="1:102" ht="15.75" x14ac:dyDescent="0.25">
      <c r="A777" s="4" t="s">
        <v>233</v>
      </c>
      <c r="B777" s="4" t="s">
        <v>234</v>
      </c>
      <c r="C777" s="4">
        <v>2021</v>
      </c>
      <c r="D777" s="4">
        <v>1019</v>
      </c>
      <c r="E777" s="4">
        <v>0</v>
      </c>
      <c r="F777" s="4">
        <v>0</v>
      </c>
      <c r="G777" s="4">
        <v>1</v>
      </c>
      <c r="H777" s="4">
        <v>0</v>
      </c>
      <c r="I777" s="4">
        <v>8</v>
      </c>
      <c r="J777" s="4">
        <v>1</v>
      </c>
      <c r="K777" s="4">
        <v>1</v>
      </c>
      <c r="L777" s="4">
        <v>1</v>
      </c>
      <c r="M777" s="4">
        <v>13</v>
      </c>
      <c r="N777" s="4">
        <v>8</v>
      </c>
      <c r="O777" s="4">
        <v>26</v>
      </c>
      <c r="P777" s="4">
        <v>0</v>
      </c>
      <c r="Q777" s="4">
        <v>1</v>
      </c>
      <c r="R777" s="4">
        <v>0</v>
      </c>
      <c r="S777" s="4">
        <v>0</v>
      </c>
      <c r="T777" s="4">
        <v>0</v>
      </c>
      <c r="U777" s="4">
        <v>1</v>
      </c>
      <c r="V777" s="4">
        <v>9</v>
      </c>
      <c r="W777" s="4">
        <v>9</v>
      </c>
      <c r="X777" s="4">
        <v>1</v>
      </c>
      <c r="Y777" s="4">
        <v>1</v>
      </c>
      <c r="Z777" s="4">
        <v>0</v>
      </c>
      <c r="AA777" s="4">
        <v>2</v>
      </c>
      <c r="AB777" s="4">
        <v>12</v>
      </c>
      <c r="AC777" s="4">
        <v>0</v>
      </c>
      <c r="AD777" s="4">
        <v>0</v>
      </c>
      <c r="AE777" s="4">
        <v>1</v>
      </c>
      <c r="AF777" s="4">
        <v>10</v>
      </c>
      <c r="AG777" s="4">
        <v>21</v>
      </c>
      <c r="AH777" s="4">
        <v>18</v>
      </c>
      <c r="AI777" s="4">
        <v>13</v>
      </c>
      <c r="AJ777" s="4">
        <v>18</v>
      </c>
      <c r="AK777" s="4">
        <v>12</v>
      </c>
      <c r="AL777" s="4">
        <v>3</v>
      </c>
      <c r="AM777" s="4">
        <v>19</v>
      </c>
      <c r="AN777" s="4">
        <v>18</v>
      </c>
      <c r="AO777" s="4">
        <v>34</v>
      </c>
      <c r="AP777" s="4">
        <v>1</v>
      </c>
      <c r="AQ777" s="4">
        <v>8</v>
      </c>
      <c r="AR777" s="4">
        <v>0</v>
      </c>
      <c r="AS777" s="4">
        <v>18</v>
      </c>
      <c r="AT777" s="4">
        <v>23</v>
      </c>
      <c r="AU777" s="4">
        <v>8</v>
      </c>
      <c r="AV777" s="4">
        <v>35</v>
      </c>
      <c r="AW777" s="4">
        <v>23</v>
      </c>
      <c r="AX777" s="4">
        <v>23</v>
      </c>
      <c r="AY777" s="4">
        <v>0</v>
      </c>
      <c r="AZ777" s="4">
        <v>2</v>
      </c>
      <c r="BA777" s="4">
        <v>0</v>
      </c>
      <c r="BB777" s="4">
        <v>20</v>
      </c>
      <c r="BC777" s="4">
        <v>18</v>
      </c>
      <c r="BD777" s="4">
        <v>1</v>
      </c>
      <c r="BE777" s="4">
        <v>18</v>
      </c>
      <c r="BF777" s="4">
        <v>53</v>
      </c>
      <c r="BG777" s="4">
        <v>1</v>
      </c>
      <c r="BH777" s="4">
        <v>4</v>
      </c>
      <c r="BI777" s="4">
        <v>0</v>
      </c>
      <c r="BJ777" s="4">
        <v>29</v>
      </c>
      <c r="BK777" s="4">
        <v>49</v>
      </c>
      <c r="BL777" s="4">
        <v>0</v>
      </c>
      <c r="BM777" s="4">
        <v>1</v>
      </c>
      <c r="BN777" s="4">
        <v>13</v>
      </c>
      <c r="BO777" s="4">
        <v>0</v>
      </c>
      <c r="BP777" s="4">
        <v>2</v>
      </c>
      <c r="BQ777" s="4">
        <v>23</v>
      </c>
      <c r="BR777" s="4">
        <v>2</v>
      </c>
      <c r="BS777" s="4">
        <v>36</v>
      </c>
      <c r="BT777" s="4">
        <v>19</v>
      </c>
      <c r="BU777" s="4">
        <v>1</v>
      </c>
      <c r="BV777" s="4">
        <v>24</v>
      </c>
      <c r="BW777" s="4">
        <v>7</v>
      </c>
      <c r="BX777" s="4">
        <v>99</v>
      </c>
      <c r="BY777" s="4">
        <v>1</v>
      </c>
      <c r="BZ777" s="4">
        <v>0</v>
      </c>
      <c r="CA777" s="4">
        <v>10</v>
      </c>
      <c r="CB777" s="4">
        <v>8</v>
      </c>
      <c r="CC777" s="4">
        <v>0</v>
      </c>
      <c r="CD777" s="4">
        <v>2</v>
      </c>
      <c r="CE777" s="4">
        <v>0</v>
      </c>
      <c r="CF777" s="4">
        <v>2</v>
      </c>
      <c r="CG777" s="4">
        <v>1</v>
      </c>
      <c r="CH777" s="4">
        <v>3</v>
      </c>
      <c r="CI777" s="4">
        <v>1</v>
      </c>
      <c r="CJ777" s="4">
        <v>12</v>
      </c>
      <c r="CK777" s="4">
        <v>4</v>
      </c>
      <c r="CL777" s="4">
        <v>0</v>
      </c>
      <c r="CM777" s="4">
        <v>4</v>
      </c>
      <c r="CN777" s="4">
        <v>94</v>
      </c>
      <c r="CO777" s="4">
        <v>0</v>
      </c>
      <c r="CP777" s="4">
        <v>3</v>
      </c>
      <c r="CQ777" s="4">
        <v>0</v>
      </c>
      <c r="CR777" s="4">
        <v>1</v>
      </c>
      <c r="CS777" s="4">
        <v>1</v>
      </c>
      <c r="CT777" s="4">
        <v>13</v>
      </c>
      <c r="CU777" s="4">
        <v>2</v>
      </c>
      <c r="CV777" s="4">
        <v>26</v>
      </c>
      <c r="CW777" s="4">
        <v>8</v>
      </c>
      <c r="CX777" s="5">
        <v>8</v>
      </c>
    </row>
    <row r="778" spans="1:102" ht="15.75" x14ac:dyDescent="0.25">
      <c r="A778" s="4" t="s">
        <v>235</v>
      </c>
      <c r="B778" s="4" t="s">
        <v>236</v>
      </c>
      <c r="C778" s="4">
        <v>2021</v>
      </c>
      <c r="D778" s="4">
        <v>6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1</v>
      </c>
      <c r="AK778" s="4">
        <v>1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1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1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5">
        <v>0</v>
      </c>
    </row>
    <row r="779" spans="1:102" ht="15.75" x14ac:dyDescent="0.25">
      <c r="A779" s="4" t="s">
        <v>237</v>
      </c>
      <c r="B779" s="4" t="s">
        <v>238</v>
      </c>
      <c r="C779" s="4">
        <v>2021</v>
      </c>
      <c r="D779" s="4">
        <v>68</v>
      </c>
      <c r="E779" s="4">
        <v>0</v>
      </c>
      <c r="F779" s="4">
        <v>1</v>
      </c>
      <c r="G779" s="4">
        <v>0</v>
      </c>
      <c r="H779" s="4">
        <v>0</v>
      </c>
      <c r="I779" s="4">
        <v>1</v>
      </c>
      <c r="J779" s="4">
        <v>1</v>
      </c>
      <c r="K779" s="4">
        <v>0</v>
      </c>
      <c r="L779" s="4">
        <v>0</v>
      </c>
      <c r="M779" s="4">
        <v>0</v>
      </c>
      <c r="N779" s="4">
        <v>2</v>
      </c>
      <c r="O779" s="4">
        <v>3</v>
      </c>
      <c r="P779" s="4">
        <v>0</v>
      </c>
      <c r="Q779" s="4">
        <v>0</v>
      </c>
      <c r="R779" s="4">
        <v>0</v>
      </c>
      <c r="S779" s="4">
        <v>1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2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2</v>
      </c>
      <c r="AK779" s="4">
        <v>1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1</v>
      </c>
      <c r="AS779" s="4">
        <v>0</v>
      </c>
      <c r="AT779" s="4">
        <v>0</v>
      </c>
      <c r="AU779" s="4">
        <v>2</v>
      </c>
      <c r="AV779" s="4">
        <v>3</v>
      </c>
      <c r="AW779" s="4">
        <v>0</v>
      </c>
      <c r="AX779" s="4">
        <v>7</v>
      </c>
      <c r="AY779" s="4">
        <v>0</v>
      </c>
      <c r="AZ779" s="4">
        <v>2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2</v>
      </c>
      <c r="BG779" s="4">
        <v>0</v>
      </c>
      <c r="BH779" s="4">
        <v>0</v>
      </c>
      <c r="BI779" s="4">
        <v>0</v>
      </c>
      <c r="BJ779" s="4">
        <v>1</v>
      </c>
      <c r="BK779" s="4">
        <v>3</v>
      </c>
      <c r="BL779" s="4">
        <v>0</v>
      </c>
      <c r="BM779" s="4">
        <v>0</v>
      </c>
      <c r="BN779" s="4">
        <v>0</v>
      </c>
      <c r="BO779" s="4">
        <v>0</v>
      </c>
      <c r="BP779" s="4">
        <v>1</v>
      </c>
      <c r="BQ779" s="4">
        <v>1</v>
      </c>
      <c r="BR779" s="4">
        <v>0</v>
      </c>
      <c r="BS779" s="4">
        <v>9</v>
      </c>
      <c r="BT779" s="4">
        <v>1</v>
      </c>
      <c r="BU779" s="4">
        <v>0</v>
      </c>
      <c r="BV779" s="4">
        <v>2</v>
      </c>
      <c r="BW779" s="4">
        <v>3</v>
      </c>
      <c r="BX779" s="4">
        <v>2</v>
      </c>
      <c r="BY779" s="4">
        <v>0</v>
      </c>
      <c r="BZ779" s="4">
        <v>0</v>
      </c>
      <c r="CA779" s="4">
        <v>1</v>
      </c>
      <c r="CB779" s="4">
        <v>0</v>
      </c>
      <c r="CC779" s="4">
        <v>0</v>
      </c>
      <c r="CD779" s="4">
        <v>1</v>
      </c>
      <c r="CE779" s="4">
        <v>0</v>
      </c>
      <c r="CF779" s="4">
        <v>1</v>
      </c>
      <c r="CG779" s="4">
        <v>0</v>
      </c>
      <c r="CH779" s="4">
        <v>0</v>
      </c>
      <c r="CI779" s="4">
        <v>0</v>
      </c>
      <c r="CJ779" s="4">
        <v>1</v>
      </c>
      <c r="CK779" s="4">
        <v>0</v>
      </c>
      <c r="CL779" s="4">
        <v>0</v>
      </c>
      <c r="CM779" s="4">
        <v>0</v>
      </c>
      <c r="CN779" s="4">
        <v>1</v>
      </c>
      <c r="CO779" s="4">
        <v>0</v>
      </c>
      <c r="CP779" s="4">
        <v>0</v>
      </c>
      <c r="CQ779" s="4">
        <v>1</v>
      </c>
      <c r="CR779" s="4">
        <v>0</v>
      </c>
      <c r="CS779" s="4">
        <v>0</v>
      </c>
      <c r="CT779" s="4">
        <v>0</v>
      </c>
      <c r="CU779" s="4">
        <v>0</v>
      </c>
      <c r="CV779" s="4">
        <v>3</v>
      </c>
      <c r="CW779" s="4">
        <v>2</v>
      </c>
      <c r="CX779" s="5">
        <v>2</v>
      </c>
    </row>
    <row r="780" spans="1:102" ht="15.75" x14ac:dyDescent="0.25">
      <c r="A780" s="4" t="s">
        <v>239</v>
      </c>
      <c r="B780" s="4" t="s">
        <v>240</v>
      </c>
      <c r="C780" s="4">
        <v>2021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5">
        <v>0</v>
      </c>
    </row>
    <row r="781" spans="1:102" ht="15.75" x14ac:dyDescent="0.25">
      <c r="A781" s="4" t="s">
        <v>241</v>
      </c>
      <c r="B781" s="4" t="s">
        <v>242</v>
      </c>
      <c r="C781" s="4">
        <v>2021</v>
      </c>
      <c r="D781" s="4">
        <v>17</v>
      </c>
      <c r="E781" s="4">
        <v>0</v>
      </c>
      <c r="F781" s="4">
        <v>0</v>
      </c>
      <c r="G781" s="4">
        <v>0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  <c r="M781" s="4">
        <v>4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1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3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1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1</v>
      </c>
      <c r="CU781" s="4">
        <v>0</v>
      </c>
      <c r="CV781" s="4">
        <v>0</v>
      </c>
      <c r="CW781" s="4">
        <v>1</v>
      </c>
      <c r="CX781" s="5">
        <v>1</v>
      </c>
    </row>
    <row r="782" spans="1:102" ht="15.75" x14ac:dyDescent="0.25">
      <c r="A782" s="4" t="s">
        <v>243</v>
      </c>
      <c r="B782" s="4" t="s">
        <v>244</v>
      </c>
      <c r="C782" s="4">
        <v>2021</v>
      </c>
      <c r="D782" s="4">
        <v>19694</v>
      </c>
      <c r="E782" s="4">
        <v>61</v>
      </c>
      <c r="F782" s="4">
        <v>382</v>
      </c>
      <c r="G782" s="4">
        <v>116</v>
      </c>
      <c r="H782" s="4">
        <v>775</v>
      </c>
      <c r="I782" s="4">
        <v>144</v>
      </c>
      <c r="J782" s="4">
        <v>60</v>
      </c>
      <c r="K782" s="4">
        <v>8</v>
      </c>
      <c r="L782" s="4">
        <v>77</v>
      </c>
      <c r="M782" s="4">
        <v>71</v>
      </c>
      <c r="N782" s="4">
        <v>125</v>
      </c>
      <c r="O782" s="4">
        <v>622</v>
      </c>
      <c r="P782" s="4">
        <v>6</v>
      </c>
      <c r="Q782" s="4">
        <v>10</v>
      </c>
      <c r="R782" s="4">
        <v>15</v>
      </c>
      <c r="S782" s="4">
        <v>3</v>
      </c>
      <c r="T782" s="4">
        <v>19</v>
      </c>
      <c r="U782" s="4">
        <v>7</v>
      </c>
      <c r="V782" s="4">
        <v>17</v>
      </c>
      <c r="W782" s="4">
        <v>191</v>
      </c>
      <c r="X782" s="4">
        <v>38</v>
      </c>
      <c r="Y782" s="4">
        <v>4</v>
      </c>
      <c r="Z782" s="4">
        <v>606</v>
      </c>
      <c r="AA782" s="4">
        <v>168</v>
      </c>
      <c r="AB782" s="4">
        <v>377</v>
      </c>
      <c r="AC782" s="4">
        <v>261</v>
      </c>
      <c r="AD782" s="4">
        <v>5</v>
      </c>
      <c r="AE782" s="4">
        <v>9</v>
      </c>
      <c r="AF782" s="4">
        <v>7</v>
      </c>
      <c r="AG782" s="4">
        <v>227</v>
      </c>
      <c r="AH782" s="4">
        <v>169</v>
      </c>
      <c r="AI782" s="4">
        <v>199</v>
      </c>
      <c r="AJ782" s="4">
        <v>916</v>
      </c>
      <c r="AK782" s="4">
        <v>341</v>
      </c>
      <c r="AL782" s="4">
        <v>15</v>
      </c>
      <c r="AM782" s="4">
        <v>232</v>
      </c>
      <c r="AN782" s="4">
        <v>264</v>
      </c>
      <c r="AO782" s="4">
        <v>359</v>
      </c>
      <c r="AP782" s="4">
        <v>5</v>
      </c>
      <c r="AQ782" s="4">
        <v>100</v>
      </c>
      <c r="AR782" s="4">
        <v>57</v>
      </c>
      <c r="AS782" s="4">
        <v>189</v>
      </c>
      <c r="AT782" s="4">
        <v>141</v>
      </c>
      <c r="AU782" s="4">
        <v>176</v>
      </c>
      <c r="AV782" s="4">
        <v>216</v>
      </c>
      <c r="AW782" s="4">
        <v>258</v>
      </c>
      <c r="AX782" s="4">
        <v>534</v>
      </c>
      <c r="AY782" s="4">
        <v>12</v>
      </c>
      <c r="AZ782" s="4">
        <v>54</v>
      </c>
      <c r="BA782" s="4">
        <v>0</v>
      </c>
      <c r="BB782" s="4">
        <v>1355</v>
      </c>
      <c r="BC782" s="4">
        <v>158</v>
      </c>
      <c r="BD782" s="4">
        <v>2</v>
      </c>
      <c r="BE782" s="4">
        <v>104</v>
      </c>
      <c r="BF782" s="4">
        <v>493</v>
      </c>
      <c r="BG782" s="4">
        <v>27</v>
      </c>
      <c r="BH782" s="4">
        <v>39</v>
      </c>
      <c r="BI782" s="4">
        <v>4</v>
      </c>
      <c r="BJ782" s="4">
        <v>364</v>
      </c>
      <c r="BK782" s="4">
        <v>503</v>
      </c>
      <c r="BL782" s="4">
        <v>0</v>
      </c>
      <c r="BM782" s="4">
        <v>60</v>
      </c>
      <c r="BN782" s="4">
        <v>155</v>
      </c>
      <c r="BO782" s="4">
        <v>3</v>
      </c>
      <c r="BP782" s="4">
        <v>106</v>
      </c>
      <c r="BQ782" s="4">
        <v>371</v>
      </c>
      <c r="BR782" s="4">
        <v>46</v>
      </c>
      <c r="BS782" s="4">
        <v>448</v>
      </c>
      <c r="BT782" s="4">
        <v>262</v>
      </c>
      <c r="BU782" s="4">
        <v>14</v>
      </c>
      <c r="BV782" s="4">
        <v>321</v>
      </c>
      <c r="BW782" s="4">
        <v>246</v>
      </c>
      <c r="BX782" s="4">
        <v>1198</v>
      </c>
      <c r="BY782" s="4">
        <v>12</v>
      </c>
      <c r="BZ782" s="4">
        <v>0</v>
      </c>
      <c r="CA782" s="4">
        <v>1518</v>
      </c>
      <c r="CB782" s="4">
        <v>105</v>
      </c>
      <c r="CC782" s="4">
        <v>2</v>
      </c>
      <c r="CD782" s="4">
        <v>72</v>
      </c>
      <c r="CE782" s="4">
        <v>42</v>
      </c>
      <c r="CF782" s="4">
        <v>84</v>
      </c>
      <c r="CG782" s="4">
        <v>75</v>
      </c>
      <c r="CH782" s="4">
        <v>58</v>
      </c>
      <c r="CI782" s="4">
        <v>57</v>
      </c>
      <c r="CJ782" s="4">
        <v>250</v>
      </c>
      <c r="CK782" s="4">
        <v>78</v>
      </c>
      <c r="CL782" s="4">
        <v>0</v>
      </c>
      <c r="CM782" s="4">
        <v>151</v>
      </c>
      <c r="CN782" s="4">
        <v>622</v>
      </c>
      <c r="CO782" s="4">
        <v>76</v>
      </c>
      <c r="CP782" s="4">
        <v>29</v>
      </c>
      <c r="CQ782" s="4">
        <v>0</v>
      </c>
      <c r="CR782" s="4">
        <v>397</v>
      </c>
      <c r="CS782" s="4">
        <v>273</v>
      </c>
      <c r="CT782" s="4">
        <v>251</v>
      </c>
      <c r="CU782" s="4">
        <v>37</v>
      </c>
      <c r="CV782" s="4">
        <v>413</v>
      </c>
      <c r="CW782" s="4">
        <v>160</v>
      </c>
      <c r="CX782" s="5">
        <v>160</v>
      </c>
    </row>
    <row r="783" spans="1:102" ht="15.75" x14ac:dyDescent="0.25">
      <c r="A783" s="4" t="s">
        <v>245</v>
      </c>
      <c r="B783" s="4" t="s">
        <v>246</v>
      </c>
      <c r="C783" s="4">
        <v>2021</v>
      </c>
      <c r="D783" s="4">
        <v>41</v>
      </c>
      <c r="E783" s="4">
        <v>0</v>
      </c>
      <c r="F783" s="4">
        <v>10</v>
      </c>
      <c r="G783" s="4">
        <v>2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2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2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1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1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1</v>
      </c>
      <c r="AW783" s="4">
        <v>0</v>
      </c>
      <c r="AX783" s="4">
        <v>1</v>
      </c>
      <c r="AY783" s="4">
        <v>0</v>
      </c>
      <c r="AZ783" s="4">
        <v>6</v>
      </c>
      <c r="BA783" s="4">
        <v>0</v>
      </c>
      <c r="BB783" s="4">
        <v>2</v>
      </c>
      <c r="BC783" s="4">
        <v>0</v>
      </c>
      <c r="BD783" s="4">
        <v>0</v>
      </c>
      <c r="BE783" s="4">
        <v>1</v>
      </c>
      <c r="BF783" s="4">
        <v>1</v>
      </c>
      <c r="BG783" s="4">
        <v>0</v>
      </c>
      <c r="BH783" s="4">
        <v>0</v>
      </c>
      <c r="BI783" s="4">
        <v>0</v>
      </c>
      <c r="BJ783" s="4">
        <v>1</v>
      </c>
      <c r="BK783" s="4">
        <v>1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1</v>
      </c>
      <c r="BR783" s="4">
        <v>0</v>
      </c>
      <c r="BS783" s="4">
        <v>2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1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5">
        <v>0</v>
      </c>
    </row>
    <row r="784" spans="1:102" ht="15.75" x14ac:dyDescent="0.25">
      <c r="A784" s="4" t="s">
        <v>247</v>
      </c>
      <c r="B784" s="4" t="s">
        <v>248</v>
      </c>
      <c r="C784" s="4">
        <v>2021</v>
      </c>
      <c r="D784" s="4">
        <v>11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1</v>
      </c>
      <c r="AK784" s="4">
        <v>0</v>
      </c>
      <c r="AL784" s="4">
        <v>0</v>
      </c>
      <c r="AM784" s="4">
        <v>0</v>
      </c>
      <c r="AN784" s="4">
        <v>0</v>
      </c>
      <c r="AO784" s="4">
        <v>1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2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5">
        <v>0</v>
      </c>
    </row>
    <row r="785" spans="1:102" ht="15.75" x14ac:dyDescent="0.25">
      <c r="A785" s="4" t="s">
        <v>249</v>
      </c>
      <c r="B785" s="4" t="s">
        <v>250</v>
      </c>
      <c r="C785" s="4">
        <v>2021</v>
      </c>
      <c r="D785" s="4">
        <v>89</v>
      </c>
      <c r="E785" s="4">
        <v>0</v>
      </c>
      <c r="F785" s="4">
        <v>1</v>
      </c>
      <c r="G785" s="4">
        <v>2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1</v>
      </c>
      <c r="O785" s="4">
        <v>16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1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11</v>
      </c>
      <c r="AK785" s="4">
        <v>2</v>
      </c>
      <c r="AL785" s="4">
        <v>0</v>
      </c>
      <c r="AM785" s="4">
        <v>0</v>
      </c>
      <c r="AN785" s="4">
        <v>0</v>
      </c>
      <c r="AO785" s="4">
        <v>3</v>
      </c>
      <c r="AP785" s="4">
        <v>0</v>
      </c>
      <c r="AQ785" s="4">
        <v>0</v>
      </c>
      <c r="AR785" s="4">
        <v>0</v>
      </c>
      <c r="AS785" s="4">
        <v>0</v>
      </c>
      <c r="AT785" s="4">
        <v>1</v>
      </c>
      <c r="AU785" s="4">
        <v>1</v>
      </c>
      <c r="AV785" s="4">
        <v>2</v>
      </c>
      <c r="AW785" s="4">
        <v>2</v>
      </c>
      <c r="AX785" s="4">
        <v>1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1</v>
      </c>
      <c r="BF785" s="4">
        <v>9</v>
      </c>
      <c r="BG785" s="4">
        <v>0</v>
      </c>
      <c r="BH785" s="4">
        <v>0</v>
      </c>
      <c r="BI785" s="4">
        <v>0</v>
      </c>
      <c r="BJ785" s="4">
        <v>1</v>
      </c>
      <c r="BK785" s="4">
        <v>2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1</v>
      </c>
      <c r="BR785" s="4">
        <v>0</v>
      </c>
      <c r="BS785" s="4">
        <v>1</v>
      </c>
      <c r="BT785" s="4">
        <v>1</v>
      </c>
      <c r="BU785" s="4">
        <v>0</v>
      </c>
      <c r="BV785" s="4">
        <v>1</v>
      </c>
      <c r="BW785" s="4">
        <v>1</v>
      </c>
      <c r="BX785" s="4">
        <v>13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2</v>
      </c>
      <c r="CK785" s="4">
        <v>0</v>
      </c>
      <c r="CL785" s="4">
        <v>0</v>
      </c>
      <c r="CM785" s="4">
        <v>0</v>
      </c>
      <c r="CN785" s="4">
        <v>1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5</v>
      </c>
      <c r="CV785" s="4">
        <v>1</v>
      </c>
      <c r="CW785" s="4">
        <v>0</v>
      </c>
      <c r="CX785" s="5">
        <v>0</v>
      </c>
    </row>
    <row r="786" spans="1:102" ht="15.75" x14ac:dyDescent="0.25">
      <c r="A786" s="4" t="s">
        <v>251</v>
      </c>
      <c r="B786" s="4" t="s">
        <v>252</v>
      </c>
      <c r="C786" s="4">
        <v>2021</v>
      </c>
      <c r="D786" s="4">
        <v>227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17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22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2</v>
      </c>
      <c r="AK786" s="4">
        <v>0</v>
      </c>
      <c r="AL786" s="4">
        <v>0</v>
      </c>
      <c r="AM786" s="4">
        <v>0</v>
      </c>
      <c r="AN786" s="4">
        <v>0</v>
      </c>
      <c r="AO786" s="4">
        <v>1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10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2</v>
      </c>
      <c r="BO786" s="4">
        <v>0</v>
      </c>
      <c r="BP786" s="4">
        <v>0</v>
      </c>
      <c r="BQ786" s="4">
        <v>3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3</v>
      </c>
      <c r="BY786" s="4">
        <v>0</v>
      </c>
      <c r="BZ786" s="4">
        <v>0</v>
      </c>
      <c r="CA786" s="4">
        <v>45</v>
      </c>
      <c r="CB786" s="4">
        <v>109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1</v>
      </c>
      <c r="CO786" s="4">
        <v>1</v>
      </c>
      <c r="CP786" s="4">
        <v>0</v>
      </c>
      <c r="CQ786" s="4">
        <v>0</v>
      </c>
      <c r="CR786" s="4">
        <v>3</v>
      </c>
      <c r="CS786" s="4">
        <v>4</v>
      </c>
      <c r="CT786" s="4">
        <v>0</v>
      </c>
      <c r="CU786" s="4">
        <v>0</v>
      </c>
      <c r="CV786" s="4">
        <v>1</v>
      </c>
      <c r="CW786" s="4">
        <v>0</v>
      </c>
      <c r="CX786" s="5">
        <v>0</v>
      </c>
    </row>
    <row r="787" spans="1:102" ht="15.75" x14ac:dyDescent="0.25">
      <c r="A787" s="4" t="s">
        <v>253</v>
      </c>
      <c r="B787" s="4" t="s">
        <v>254</v>
      </c>
      <c r="C787" s="4">
        <v>2021</v>
      </c>
      <c r="D787" s="4">
        <v>459</v>
      </c>
      <c r="E787" s="4">
        <v>0</v>
      </c>
      <c r="F787" s="4">
        <v>23</v>
      </c>
      <c r="G787" s="4">
        <v>5</v>
      </c>
      <c r="H787" s="4">
        <v>1</v>
      </c>
      <c r="I787" s="4">
        <v>5</v>
      </c>
      <c r="J787" s="4">
        <v>2</v>
      </c>
      <c r="K787" s="4">
        <v>0</v>
      </c>
      <c r="L787" s="4">
        <v>1</v>
      </c>
      <c r="M787" s="4">
        <v>1</v>
      </c>
      <c r="N787" s="4">
        <v>11</v>
      </c>
      <c r="O787" s="4">
        <v>8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65</v>
      </c>
      <c r="V787" s="4">
        <v>0</v>
      </c>
      <c r="W787" s="4">
        <v>1</v>
      </c>
      <c r="X787" s="4">
        <v>0</v>
      </c>
      <c r="Y787" s="4">
        <v>0</v>
      </c>
      <c r="Z787" s="4">
        <v>0</v>
      </c>
      <c r="AA787" s="4">
        <v>67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2</v>
      </c>
      <c r="AH787" s="4">
        <v>1</v>
      </c>
      <c r="AI787" s="4">
        <v>10</v>
      </c>
      <c r="AJ787" s="4">
        <v>19</v>
      </c>
      <c r="AK787" s="4">
        <v>16</v>
      </c>
      <c r="AL787" s="4">
        <v>0</v>
      </c>
      <c r="AM787" s="4">
        <v>2</v>
      </c>
      <c r="AN787" s="4">
        <v>1</v>
      </c>
      <c r="AO787" s="4">
        <v>10</v>
      </c>
      <c r="AP787" s="4">
        <v>0</v>
      </c>
      <c r="AQ787" s="4">
        <v>2</v>
      </c>
      <c r="AR787" s="4">
        <v>0</v>
      </c>
      <c r="AS787" s="4">
        <v>1</v>
      </c>
      <c r="AT787" s="4">
        <v>1</v>
      </c>
      <c r="AU787" s="4">
        <v>2</v>
      </c>
      <c r="AV787" s="4">
        <v>7</v>
      </c>
      <c r="AW787" s="4">
        <v>0</v>
      </c>
      <c r="AX787" s="4">
        <v>21</v>
      </c>
      <c r="AY787" s="4">
        <v>0</v>
      </c>
      <c r="AZ787" s="4">
        <v>5</v>
      </c>
      <c r="BA787" s="4">
        <v>0</v>
      </c>
      <c r="BB787" s="4">
        <v>2</v>
      </c>
      <c r="BC787" s="4">
        <v>1</v>
      </c>
      <c r="BD787" s="4">
        <v>0</v>
      </c>
      <c r="BE787" s="4">
        <v>13</v>
      </c>
      <c r="BF787" s="4">
        <v>15</v>
      </c>
      <c r="BG787" s="4">
        <v>0</v>
      </c>
      <c r="BH787" s="4">
        <v>0</v>
      </c>
      <c r="BI787" s="4">
        <v>0</v>
      </c>
      <c r="BJ787" s="4">
        <v>23</v>
      </c>
      <c r="BK787" s="4">
        <v>10</v>
      </c>
      <c r="BL787" s="4">
        <v>0</v>
      </c>
      <c r="BM787" s="4">
        <v>0</v>
      </c>
      <c r="BN787" s="4">
        <v>2</v>
      </c>
      <c r="BO787" s="4">
        <v>0</v>
      </c>
      <c r="BP787" s="4">
        <v>1</v>
      </c>
      <c r="BQ787" s="4">
        <v>7</v>
      </c>
      <c r="BR787" s="4">
        <v>1</v>
      </c>
      <c r="BS787" s="4">
        <v>11</v>
      </c>
      <c r="BT787" s="4">
        <v>3</v>
      </c>
      <c r="BU787" s="4">
        <v>0</v>
      </c>
      <c r="BV787" s="4">
        <v>7</v>
      </c>
      <c r="BW787" s="4">
        <v>12</v>
      </c>
      <c r="BX787" s="4">
        <v>5</v>
      </c>
      <c r="BY787" s="4">
        <v>0</v>
      </c>
      <c r="BZ787" s="4">
        <v>0</v>
      </c>
      <c r="CA787" s="4">
        <v>0</v>
      </c>
      <c r="CB787" s="4">
        <v>2</v>
      </c>
      <c r="CC787" s="4">
        <v>0</v>
      </c>
      <c r="CD787" s="4">
        <v>2</v>
      </c>
      <c r="CE787" s="4">
        <v>0</v>
      </c>
      <c r="CF787" s="4">
        <v>10</v>
      </c>
      <c r="CG787" s="4">
        <v>0</v>
      </c>
      <c r="CH787" s="4">
        <v>1</v>
      </c>
      <c r="CI787" s="4">
        <v>0</v>
      </c>
      <c r="CJ787" s="4">
        <v>2</v>
      </c>
      <c r="CK787" s="4">
        <v>1</v>
      </c>
      <c r="CL787" s="4">
        <v>0</v>
      </c>
      <c r="CM787" s="4">
        <v>1</v>
      </c>
      <c r="CN787" s="4">
        <v>7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5</v>
      </c>
      <c r="CU787" s="4">
        <v>0</v>
      </c>
      <c r="CV787" s="4">
        <v>19</v>
      </c>
      <c r="CW787" s="4">
        <v>3</v>
      </c>
      <c r="CX787" s="5">
        <v>3</v>
      </c>
    </row>
    <row r="788" spans="1:102" ht="15.75" x14ac:dyDescent="0.25">
      <c r="A788" s="4" t="s">
        <v>255</v>
      </c>
      <c r="B788" s="4" t="s">
        <v>256</v>
      </c>
      <c r="C788" s="4">
        <v>2021</v>
      </c>
      <c r="D788" s="4">
        <v>408</v>
      </c>
      <c r="E788" s="4">
        <v>0</v>
      </c>
      <c r="F788" s="4">
        <v>4</v>
      </c>
      <c r="G788" s="4">
        <v>2</v>
      </c>
      <c r="H788" s="4">
        <v>1</v>
      </c>
      <c r="I788" s="4">
        <v>4</v>
      </c>
      <c r="J788" s="4">
        <v>1</v>
      </c>
      <c r="K788" s="4">
        <v>1</v>
      </c>
      <c r="L788" s="4">
        <v>3</v>
      </c>
      <c r="M788" s="4">
        <v>0</v>
      </c>
      <c r="N788" s="4">
        <v>6</v>
      </c>
      <c r="O788" s="4">
        <v>4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93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1</v>
      </c>
      <c r="AJ788" s="4">
        <v>18</v>
      </c>
      <c r="AK788" s="4">
        <v>4</v>
      </c>
      <c r="AL788" s="4">
        <v>0</v>
      </c>
      <c r="AM788" s="4">
        <v>0</v>
      </c>
      <c r="AN788" s="4">
        <v>1</v>
      </c>
      <c r="AO788" s="4">
        <v>3</v>
      </c>
      <c r="AP788" s="4">
        <v>0</v>
      </c>
      <c r="AQ788" s="4">
        <v>2</v>
      </c>
      <c r="AR788" s="4">
        <v>1</v>
      </c>
      <c r="AS788" s="4">
        <v>1</v>
      </c>
      <c r="AT788" s="4">
        <v>2</v>
      </c>
      <c r="AU788" s="4">
        <v>1</v>
      </c>
      <c r="AV788" s="4">
        <v>0</v>
      </c>
      <c r="AW788" s="4">
        <v>0</v>
      </c>
      <c r="AX788" s="4">
        <v>4</v>
      </c>
      <c r="AY788" s="4">
        <v>0</v>
      </c>
      <c r="AZ788" s="4">
        <v>0</v>
      </c>
      <c r="BA788" s="4">
        <v>0</v>
      </c>
      <c r="BB788" s="4">
        <v>2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2</v>
      </c>
      <c r="BK788" s="4">
        <v>3</v>
      </c>
      <c r="BL788" s="4">
        <v>0</v>
      </c>
      <c r="BM788" s="4">
        <v>1</v>
      </c>
      <c r="BN788" s="4">
        <v>6</v>
      </c>
      <c r="BO788" s="4">
        <v>0</v>
      </c>
      <c r="BP788" s="4">
        <v>0</v>
      </c>
      <c r="BQ788" s="4">
        <v>6</v>
      </c>
      <c r="BR788" s="4">
        <v>1</v>
      </c>
      <c r="BS788" s="4">
        <v>6</v>
      </c>
      <c r="BT788" s="4">
        <v>3</v>
      </c>
      <c r="BU788" s="4">
        <v>0</v>
      </c>
      <c r="BV788" s="4">
        <v>4</v>
      </c>
      <c r="BW788" s="4">
        <v>0</v>
      </c>
      <c r="BX788" s="4">
        <v>147</v>
      </c>
      <c r="BY788" s="4">
        <v>0</v>
      </c>
      <c r="BZ788" s="4">
        <v>0</v>
      </c>
      <c r="CA788" s="4">
        <v>1</v>
      </c>
      <c r="CB788" s="4">
        <v>35</v>
      </c>
      <c r="CC788" s="4">
        <v>0</v>
      </c>
      <c r="CD788" s="4">
        <v>1</v>
      </c>
      <c r="CE788" s="4">
        <v>0</v>
      </c>
      <c r="CF788" s="4">
        <v>1</v>
      </c>
      <c r="CG788" s="4">
        <v>0</v>
      </c>
      <c r="CH788" s="4">
        <v>2</v>
      </c>
      <c r="CI788" s="4">
        <v>0</v>
      </c>
      <c r="CJ788" s="4">
        <v>4</v>
      </c>
      <c r="CK788" s="4">
        <v>0</v>
      </c>
      <c r="CL788" s="4">
        <v>0</v>
      </c>
      <c r="CM788" s="4">
        <v>0</v>
      </c>
      <c r="CN788" s="4">
        <v>6</v>
      </c>
      <c r="CO788" s="4">
        <v>0</v>
      </c>
      <c r="CP788" s="4">
        <v>0</v>
      </c>
      <c r="CQ788" s="4">
        <v>0</v>
      </c>
      <c r="CR788" s="4">
        <v>6</v>
      </c>
      <c r="CS788" s="4">
        <v>1</v>
      </c>
      <c r="CT788" s="4">
        <v>1</v>
      </c>
      <c r="CU788" s="4">
        <v>0</v>
      </c>
      <c r="CV788" s="4">
        <v>5</v>
      </c>
      <c r="CW788" s="4">
        <v>2</v>
      </c>
      <c r="CX788" s="5">
        <v>2</v>
      </c>
    </row>
    <row r="789" spans="1:102" ht="15.75" x14ac:dyDescent="0.25">
      <c r="A789" s="4" t="s">
        <v>257</v>
      </c>
      <c r="B789" s="4" t="s">
        <v>258</v>
      </c>
      <c r="C789" s="4">
        <v>2021</v>
      </c>
      <c r="D789" s="4">
        <v>1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1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1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5">
        <v>0</v>
      </c>
    </row>
    <row r="790" spans="1:102" ht="15.75" x14ac:dyDescent="0.25">
      <c r="A790" s="4" t="s">
        <v>259</v>
      </c>
      <c r="B790" s="4" t="s">
        <v>260</v>
      </c>
      <c r="C790" s="4">
        <v>2021</v>
      </c>
      <c r="D790" s="4">
        <v>27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1</v>
      </c>
      <c r="K790" s="4">
        <v>0</v>
      </c>
      <c r="L790" s="4">
        <v>0</v>
      </c>
      <c r="M790" s="4">
        <v>0</v>
      </c>
      <c r="N790" s="4">
        <v>2</v>
      </c>
      <c r="O790" s="4">
        <v>1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1</v>
      </c>
      <c r="AK790" s="4">
        <v>1</v>
      </c>
      <c r="AL790" s="4">
        <v>0</v>
      </c>
      <c r="AM790" s="4">
        <v>0</v>
      </c>
      <c r="AN790" s="4">
        <v>0</v>
      </c>
      <c r="AO790" s="4">
        <v>1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1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1</v>
      </c>
      <c r="BO790" s="4">
        <v>0</v>
      </c>
      <c r="BP790" s="4">
        <v>0</v>
      </c>
      <c r="BQ790" s="4">
        <v>0</v>
      </c>
      <c r="BR790" s="4">
        <v>0</v>
      </c>
      <c r="BS790" s="4">
        <v>2</v>
      </c>
      <c r="BT790" s="4">
        <v>0</v>
      </c>
      <c r="BU790" s="4">
        <v>0</v>
      </c>
      <c r="BV790" s="4">
        <v>0</v>
      </c>
      <c r="BW790" s="4">
        <v>1</v>
      </c>
      <c r="BX790" s="4">
        <v>2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4</v>
      </c>
      <c r="CG790" s="4">
        <v>0</v>
      </c>
      <c r="CH790" s="4">
        <v>1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1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3</v>
      </c>
      <c r="CW790" s="4">
        <v>0</v>
      </c>
      <c r="CX790" s="5">
        <v>0</v>
      </c>
    </row>
    <row r="791" spans="1:102" ht="15.75" x14ac:dyDescent="0.25">
      <c r="A791" s="4" t="s">
        <v>261</v>
      </c>
      <c r="B791" s="4" t="s">
        <v>262</v>
      </c>
      <c r="C791" s="4">
        <v>2021</v>
      </c>
      <c r="D791" s="4">
        <v>23</v>
      </c>
      <c r="E791" s="4">
        <v>0</v>
      </c>
      <c r="F791" s="4">
        <v>1</v>
      </c>
      <c r="G791" s="4">
        <v>1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1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6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1</v>
      </c>
      <c r="AK791" s="4">
        <v>2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1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2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1</v>
      </c>
      <c r="BX791" s="4">
        <v>2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1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1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5">
        <v>0</v>
      </c>
    </row>
    <row r="792" spans="1:102" ht="15.75" x14ac:dyDescent="0.25">
      <c r="A792" s="4" t="s">
        <v>263</v>
      </c>
      <c r="B792" s="4" t="s">
        <v>264</v>
      </c>
      <c r="C792" s="4">
        <v>2021</v>
      </c>
      <c r="D792" s="4">
        <v>34</v>
      </c>
      <c r="E792" s="4">
        <v>0</v>
      </c>
      <c r="F792" s="4">
        <v>5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1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1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1</v>
      </c>
      <c r="AK792" s="4">
        <v>0</v>
      </c>
      <c r="AL792" s="4">
        <v>0</v>
      </c>
      <c r="AM792" s="4">
        <v>0</v>
      </c>
      <c r="AN792" s="4">
        <v>0</v>
      </c>
      <c r="AO792" s="4">
        <v>2</v>
      </c>
      <c r="AP792" s="4">
        <v>0</v>
      </c>
      <c r="AQ792" s="4">
        <v>1</v>
      </c>
      <c r="AR792" s="4">
        <v>0</v>
      </c>
      <c r="AS792" s="4">
        <v>0</v>
      </c>
      <c r="AT792" s="4">
        <v>0</v>
      </c>
      <c r="AU792" s="4">
        <v>0</v>
      </c>
      <c r="AV792" s="4">
        <v>1</v>
      </c>
      <c r="AW792" s="4">
        <v>0</v>
      </c>
      <c r="AX792" s="4">
        <v>1</v>
      </c>
      <c r="AY792" s="4">
        <v>0</v>
      </c>
      <c r="AZ792" s="4">
        <v>0</v>
      </c>
      <c r="BA792" s="4">
        <v>0</v>
      </c>
      <c r="BB792" s="4">
        <v>3</v>
      </c>
      <c r="BC792" s="4">
        <v>1</v>
      </c>
      <c r="BD792" s="4">
        <v>0</v>
      </c>
      <c r="BE792" s="4">
        <v>1</v>
      </c>
      <c r="BF792" s="4">
        <v>1</v>
      </c>
      <c r="BG792" s="4">
        <v>0</v>
      </c>
      <c r="BH792" s="4">
        <v>0</v>
      </c>
      <c r="BI792" s="4">
        <v>0</v>
      </c>
      <c r="BJ792" s="4">
        <v>4</v>
      </c>
      <c r="BK792" s="4">
        <v>3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1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2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5">
        <v>0</v>
      </c>
    </row>
    <row r="793" spans="1:102" ht="15.75" x14ac:dyDescent="0.25">
      <c r="A793" s="4" t="s">
        <v>265</v>
      </c>
      <c r="B793" s="4" t="s">
        <v>266</v>
      </c>
      <c r="C793" s="4">
        <v>2021</v>
      </c>
      <c r="D793" s="4">
        <v>838</v>
      </c>
      <c r="E793" s="4">
        <v>0</v>
      </c>
      <c r="F793" s="4">
        <v>0</v>
      </c>
      <c r="G793" s="4">
        <v>5</v>
      </c>
      <c r="H793" s="4">
        <v>1</v>
      </c>
      <c r="I793" s="4">
        <v>11</v>
      </c>
      <c r="J793" s="4">
        <v>1</v>
      </c>
      <c r="K793" s="4">
        <v>0</v>
      </c>
      <c r="L793" s="4">
        <v>9</v>
      </c>
      <c r="M793" s="4">
        <v>6</v>
      </c>
      <c r="N793" s="4">
        <v>13</v>
      </c>
      <c r="O793" s="4">
        <v>97</v>
      </c>
      <c r="P793" s="4">
        <v>0</v>
      </c>
      <c r="Q793" s="4">
        <v>0</v>
      </c>
      <c r="R793" s="4">
        <v>1</v>
      </c>
      <c r="S793" s="4">
        <v>0</v>
      </c>
      <c r="T793" s="4">
        <v>0</v>
      </c>
      <c r="U793" s="4">
        <v>0</v>
      </c>
      <c r="V793" s="4">
        <v>1</v>
      </c>
      <c r="W793" s="4">
        <v>59</v>
      </c>
      <c r="X793" s="4">
        <v>0</v>
      </c>
      <c r="Y793" s="4">
        <v>1</v>
      </c>
      <c r="Z793" s="4">
        <v>0</v>
      </c>
      <c r="AA793" s="4">
        <v>11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6</v>
      </c>
      <c r="AH793" s="4">
        <v>1</v>
      </c>
      <c r="AI793" s="4">
        <v>20</v>
      </c>
      <c r="AJ793" s="4">
        <v>15</v>
      </c>
      <c r="AK793" s="4">
        <v>21</v>
      </c>
      <c r="AL793" s="4">
        <v>2</v>
      </c>
      <c r="AM793" s="4">
        <v>9</v>
      </c>
      <c r="AN793" s="4">
        <v>7</v>
      </c>
      <c r="AO793" s="4">
        <v>25</v>
      </c>
      <c r="AP793" s="4">
        <v>0</v>
      </c>
      <c r="AQ793" s="4">
        <v>4</v>
      </c>
      <c r="AR793" s="4">
        <v>0</v>
      </c>
      <c r="AS793" s="4">
        <v>3</v>
      </c>
      <c r="AT793" s="4">
        <v>4</v>
      </c>
      <c r="AU793" s="4">
        <v>6</v>
      </c>
      <c r="AV793" s="4">
        <v>9</v>
      </c>
      <c r="AW793" s="4">
        <v>27</v>
      </c>
      <c r="AX793" s="4">
        <v>10</v>
      </c>
      <c r="AY793" s="4">
        <v>0</v>
      </c>
      <c r="AZ793" s="4">
        <v>1</v>
      </c>
      <c r="BA793" s="4">
        <v>0</v>
      </c>
      <c r="BB793" s="4">
        <v>38</v>
      </c>
      <c r="BC793" s="4">
        <v>1</v>
      </c>
      <c r="BD793" s="4">
        <v>0</v>
      </c>
      <c r="BE793" s="4">
        <v>8</v>
      </c>
      <c r="BF793" s="4">
        <v>18</v>
      </c>
      <c r="BG793" s="4">
        <v>2</v>
      </c>
      <c r="BH793" s="4">
        <v>1</v>
      </c>
      <c r="BI793" s="4">
        <v>0</v>
      </c>
      <c r="BJ793" s="4">
        <v>13</v>
      </c>
      <c r="BK793" s="4">
        <v>20</v>
      </c>
      <c r="BL793" s="4">
        <v>0</v>
      </c>
      <c r="BM793" s="4">
        <v>1</v>
      </c>
      <c r="BN793" s="4">
        <v>8</v>
      </c>
      <c r="BO793" s="4">
        <v>0</v>
      </c>
      <c r="BP793" s="4">
        <v>2</v>
      </c>
      <c r="BQ793" s="4">
        <v>10</v>
      </c>
      <c r="BR793" s="4">
        <v>1</v>
      </c>
      <c r="BS793" s="4">
        <v>11</v>
      </c>
      <c r="BT793" s="4">
        <v>7</v>
      </c>
      <c r="BU793" s="4">
        <v>0</v>
      </c>
      <c r="BV793" s="4">
        <v>6</v>
      </c>
      <c r="BW793" s="4">
        <v>6</v>
      </c>
      <c r="BX793" s="4">
        <v>110</v>
      </c>
      <c r="BY793" s="4">
        <v>0</v>
      </c>
      <c r="BZ793" s="4">
        <v>0</v>
      </c>
      <c r="CA793" s="4">
        <v>13</v>
      </c>
      <c r="CB793" s="4">
        <v>62</v>
      </c>
      <c r="CC793" s="4">
        <v>0</v>
      </c>
      <c r="CD793" s="4">
        <v>2</v>
      </c>
      <c r="CE793" s="4">
        <v>0</v>
      </c>
      <c r="CF793" s="4">
        <v>1</v>
      </c>
      <c r="CG793" s="4">
        <v>0</v>
      </c>
      <c r="CH793" s="4">
        <v>1</v>
      </c>
      <c r="CI793" s="4">
        <v>2</v>
      </c>
      <c r="CJ793" s="4">
        <v>16</v>
      </c>
      <c r="CK793" s="4">
        <v>2</v>
      </c>
      <c r="CL793" s="4">
        <v>0</v>
      </c>
      <c r="CM793" s="4">
        <v>16</v>
      </c>
      <c r="CN793" s="4">
        <v>18</v>
      </c>
      <c r="CO793" s="4">
        <v>4</v>
      </c>
      <c r="CP793" s="4">
        <v>1</v>
      </c>
      <c r="CQ793" s="4">
        <v>0</v>
      </c>
      <c r="CR793" s="4">
        <v>4</v>
      </c>
      <c r="CS793" s="4">
        <v>1</v>
      </c>
      <c r="CT793" s="4">
        <v>10</v>
      </c>
      <c r="CU793" s="4">
        <v>4</v>
      </c>
      <c r="CV793" s="4">
        <v>24</v>
      </c>
      <c r="CW793" s="4">
        <v>5</v>
      </c>
      <c r="CX793" s="5">
        <v>5</v>
      </c>
    </row>
    <row r="794" spans="1:102" ht="15.75" x14ac:dyDescent="0.25">
      <c r="A794" s="4" t="s">
        <v>267</v>
      </c>
      <c r="B794" s="4" t="s">
        <v>268</v>
      </c>
      <c r="C794" s="4">
        <v>2021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5">
        <v>0</v>
      </c>
    </row>
    <row r="795" spans="1:102" ht="15.75" x14ac:dyDescent="0.25">
      <c r="A795" s="4" t="s">
        <v>269</v>
      </c>
      <c r="B795" s="4" t="s">
        <v>270</v>
      </c>
      <c r="C795" s="4">
        <v>2021</v>
      </c>
      <c r="D795" s="4">
        <v>40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1</v>
      </c>
      <c r="K795" s="4">
        <v>0</v>
      </c>
      <c r="L795" s="4">
        <v>1</v>
      </c>
      <c r="M795" s="4">
        <v>0</v>
      </c>
      <c r="N795" s="4">
        <v>2</v>
      </c>
      <c r="O795" s="4">
        <v>4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1</v>
      </c>
      <c r="AK795" s="4">
        <v>1</v>
      </c>
      <c r="AL795" s="4">
        <v>1</v>
      </c>
      <c r="AM795" s="4">
        <v>1</v>
      </c>
      <c r="AN795" s="4">
        <v>1</v>
      </c>
      <c r="AO795" s="4">
        <v>3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2</v>
      </c>
      <c r="BG795" s="4">
        <v>0</v>
      </c>
      <c r="BH795" s="4">
        <v>0</v>
      </c>
      <c r="BI795" s="4">
        <v>0</v>
      </c>
      <c r="BJ795" s="4">
        <v>0</v>
      </c>
      <c r="BK795" s="4">
        <v>1</v>
      </c>
      <c r="BL795" s="4">
        <v>0</v>
      </c>
      <c r="BM795" s="4">
        <v>0</v>
      </c>
      <c r="BN795" s="4">
        <v>1</v>
      </c>
      <c r="BO795" s="4">
        <v>0</v>
      </c>
      <c r="BP795" s="4">
        <v>0</v>
      </c>
      <c r="BQ795" s="4">
        <v>0</v>
      </c>
      <c r="BR795" s="4">
        <v>0</v>
      </c>
      <c r="BS795" s="4">
        <v>1</v>
      </c>
      <c r="BT795" s="4">
        <v>1</v>
      </c>
      <c r="BU795" s="4">
        <v>0</v>
      </c>
      <c r="BV795" s="4">
        <v>1</v>
      </c>
      <c r="BW795" s="4">
        <v>0</v>
      </c>
      <c r="BX795" s="4">
        <v>10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1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1</v>
      </c>
      <c r="CU795" s="4">
        <v>0</v>
      </c>
      <c r="CV795" s="4">
        <v>1</v>
      </c>
      <c r="CW795" s="4">
        <v>0</v>
      </c>
      <c r="CX795" s="5">
        <v>0</v>
      </c>
    </row>
    <row r="796" spans="1:102" ht="15.75" x14ac:dyDescent="0.25">
      <c r="A796" s="4" t="s">
        <v>271</v>
      </c>
      <c r="B796" s="4" t="s">
        <v>272</v>
      </c>
      <c r="C796" s="4">
        <v>2021</v>
      </c>
      <c r="D796" s="4">
        <v>4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3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1</v>
      </c>
      <c r="CT796" s="4">
        <v>0</v>
      </c>
      <c r="CU796" s="4">
        <v>0</v>
      </c>
      <c r="CV796" s="4">
        <v>0</v>
      </c>
      <c r="CW796" s="4">
        <v>0</v>
      </c>
      <c r="CX796" s="5">
        <v>0</v>
      </c>
    </row>
    <row r="797" spans="1:102" ht="15.75" x14ac:dyDescent="0.25">
      <c r="A797" s="4" t="s">
        <v>273</v>
      </c>
      <c r="B797" s="4" t="s">
        <v>274</v>
      </c>
      <c r="C797" s="4">
        <v>2021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5">
        <v>0</v>
      </c>
    </row>
    <row r="798" spans="1:102" ht="15.75" x14ac:dyDescent="0.25">
      <c r="A798" s="4" t="s">
        <v>275</v>
      </c>
      <c r="B798" s="4" t="s">
        <v>276</v>
      </c>
      <c r="C798" s="4">
        <v>2021</v>
      </c>
      <c r="D798" s="4">
        <v>77</v>
      </c>
      <c r="E798" s="4">
        <v>0</v>
      </c>
      <c r="F798" s="4">
        <v>0</v>
      </c>
      <c r="G798" s="4">
        <v>1</v>
      </c>
      <c r="H798" s="4">
        <v>0</v>
      </c>
      <c r="I798" s="4">
        <v>1</v>
      </c>
      <c r="J798" s="4">
        <v>0</v>
      </c>
      <c r="K798" s="4">
        <v>3</v>
      </c>
      <c r="L798" s="4">
        <v>1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1</v>
      </c>
      <c r="AH798" s="4">
        <v>0</v>
      </c>
      <c r="AI798" s="4">
        <v>0</v>
      </c>
      <c r="AJ798" s="4">
        <v>2</v>
      </c>
      <c r="AK798" s="4">
        <v>1</v>
      </c>
      <c r="AL798" s="4">
        <v>0</v>
      </c>
      <c r="AM798" s="4">
        <v>0</v>
      </c>
      <c r="AN798" s="4">
        <v>0</v>
      </c>
      <c r="AO798" s="4">
        <v>1</v>
      </c>
      <c r="AP798" s="4">
        <v>0</v>
      </c>
      <c r="AQ798" s="4">
        <v>2</v>
      </c>
      <c r="AR798" s="4">
        <v>0</v>
      </c>
      <c r="AS798" s="4">
        <v>0</v>
      </c>
      <c r="AT798" s="4">
        <v>1</v>
      </c>
      <c r="AU798" s="4">
        <v>0</v>
      </c>
      <c r="AV798" s="4">
        <v>1</v>
      </c>
      <c r="AW798" s="4">
        <v>0</v>
      </c>
      <c r="AX798" s="4">
        <v>4</v>
      </c>
      <c r="AY798" s="4">
        <v>0</v>
      </c>
      <c r="AZ798" s="4">
        <v>1</v>
      </c>
      <c r="BA798" s="4">
        <v>0</v>
      </c>
      <c r="BB798" s="4">
        <v>5</v>
      </c>
      <c r="BC798" s="4">
        <v>0</v>
      </c>
      <c r="BD798" s="4">
        <v>0</v>
      </c>
      <c r="BE798" s="4">
        <v>2</v>
      </c>
      <c r="BF798" s="4">
        <v>7</v>
      </c>
      <c r="BG798" s="4">
        <v>0</v>
      </c>
      <c r="BH798" s="4">
        <v>0</v>
      </c>
      <c r="BI798" s="4">
        <v>0</v>
      </c>
      <c r="BJ798" s="4">
        <v>8</v>
      </c>
      <c r="BK798" s="4">
        <v>3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1</v>
      </c>
      <c r="BR798" s="4">
        <v>0</v>
      </c>
      <c r="BS798" s="4">
        <v>3</v>
      </c>
      <c r="BT798" s="4">
        <v>0</v>
      </c>
      <c r="BU798" s="4">
        <v>0</v>
      </c>
      <c r="BV798" s="4">
        <v>2</v>
      </c>
      <c r="BW798" s="4">
        <v>13</v>
      </c>
      <c r="BX798" s="4">
        <v>1</v>
      </c>
      <c r="BY798" s="4">
        <v>0</v>
      </c>
      <c r="BZ798" s="4">
        <v>0</v>
      </c>
      <c r="CA798" s="4">
        <v>0</v>
      </c>
      <c r="CB798" s="4">
        <v>1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1</v>
      </c>
      <c r="CL798" s="4">
        <v>0</v>
      </c>
      <c r="CM798" s="4">
        <v>1</v>
      </c>
      <c r="CN798" s="4">
        <v>5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1</v>
      </c>
      <c r="CU798" s="4">
        <v>0</v>
      </c>
      <c r="CV798" s="4">
        <v>1</v>
      </c>
      <c r="CW798" s="4">
        <v>1</v>
      </c>
      <c r="CX798" s="5">
        <v>1</v>
      </c>
    </row>
    <row r="799" spans="1:102" ht="15.75" x14ac:dyDescent="0.25">
      <c r="A799" s="4" t="s">
        <v>277</v>
      </c>
      <c r="B799" s="4" t="s">
        <v>278</v>
      </c>
      <c r="C799" s="4">
        <v>2021</v>
      </c>
      <c r="D799" s="4">
        <v>7324</v>
      </c>
      <c r="E799" s="4">
        <v>23</v>
      </c>
      <c r="F799" s="4">
        <v>67</v>
      </c>
      <c r="G799" s="4">
        <v>13</v>
      </c>
      <c r="H799" s="4">
        <v>15</v>
      </c>
      <c r="I799" s="4">
        <v>24</v>
      </c>
      <c r="J799" s="4">
        <v>11</v>
      </c>
      <c r="K799" s="4">
        <v>4</v>
      </c>
      <c r="L799" s="4">
        <v>20</v>
      </c>
      <c r="M799" s="4">
        <v>5</v>
      </c>
      <c r="N799" s="4">
        <v>17</v>
      </c>
      <c r="O799" s="4">
        <v>218</v>
      </c>
      <c r="P799" s="4">
        <v>0</v>
      </c>
      <c r="Q799" s="4">
        <v>0</v>
      </c>
      <c r="R799" s="4">
        <v>0</v>
      </c>
      <c r="S799" s="4">
        <v>3</v>
      </c>
      <c r="T799" s="4">
        <v>0</v>
      </c>
      <c r="U799" s="4">
        <v>0</v>
      </c>
      <c r="V799" s="4">
        <v>3</v>
      </c>
      <c r="W799" s="4">
        <v>119</v>
      </c>
      <c r="X799" s="4">
        <v>2</v>
      </c>
      <c r="Y799" s="4">
        <v>0</v>
      </c>
      <c r="Z799" s="4">
        <v>0</v>
      </c>
      <c r="AA799" s="4">
        <v>3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3</v>
      </c>
      <c r="AH799" s="4">
        <v>1</v>
      </c>
      <c r="AI799" s="4">
        <v>18</v>
      </c>
      <c r="AJ799" s="4">
        <v>54</v>
      </c>
      <c r="AK799" s="4">
        <v>80</v>
      </c>
      <c r="AL799" s="4">
        <v>0</v>
      </c>
      <c r="AM799" s="4">
        <v>10</v>
      </c>
      <c r="AN799" s="4">
        <v>28</v>
      </c>
      <c r="AO799" s="4">
        <v>19</v>
      </c>
      <c r="AP799" s="4">
        <v>10</v>
      </c>
      <c r="AQ799" s="4">
        <v>14</v>
      </c>
      <c r="AR799" s="4">
        <v>1</v>
      </c>
      <c r="AS799" s="4">
        <v>12</v>
      </c>
      <c r="AT799" s="4">
        <v>25</v>
      </c>
      <c r="AU799" s="4">
        <v>126</v>
      </c>
      <c r="AV799" s="4">
        <v>10</v>
      </c>
      <c r="AW799" s="4">
        <v>1663</v>
      </c>
      <c r="AX799" s="4">
        <v>91</v>
      </c>
      <c r="AY799" s="4">
        <v>1</v>
      </c>
      <c r="AZ799" s="4">
        <v>6</v>
      </c>
      <c r="BA799" s="4">
        <v>0</v>
      </c>
      <c r="BB799" s="4">
        <v>1612</v>
      </c>
      <c r="BC799" s="4">
        <v>33</v>
      </c>
      <c r="BD799" s="4">
        <v>0</v>
      </c>
      <c r="BE799" s="4">
        <v>10</v>
      </c>
      <c r="BF799" s="4">
        <v>24</v>
      </c>
      <c r="BG799" s="4">
        <v>1</v>
      </c>
      <c r="BH799" s="4">
        <v>1</v>
      </c>
      <c r="BI799" s="4">
        <v>1</v>
      </c>
      <c r="BJ799" s="4">
        <v>152</v>
      </c>
      <c r="BK799" s="4">
        <v>30</v>
      </c>
      <c r="BL799" s="4">
        <v>0</v>
      </c>
      <c r="BM799" s="4">
        <v>20</v>
      </c>
      <c r="BN799" s="4">
        <v>110</v>
      </c>
      <c r="BO799" s="4">
        <v>1</v>
      </c>
      <c r="BP799" s="4">
        <v>26</v>
      </c>
      <c r="BQ799" s="4">
        <v>174</v>
      </c>
      <c r="BR799" s="4">
        <v>6</v>
      </c>
      <c r="BS799" s="4">
        <v>303</v>
      </c>
      <c r="BT799" s="4">
        <v>80</v>
      </c>
      <c r="BU799" s="4">
        <v>1</v>
      </c>
      <c r="BV799" s="4">
        <v>44</v>
      </c>
      <c r="BW799" s="4">
        <v>5</v>
      </c>
      <c r="BX799" s="4">
        <v>96</v>
      </c>
      <c r="BY799" s="4">
        <v>3</v>
      </c>
      <c r="BZ799" s="4">
        <v>0</v>
      </c>
      <c r="CA799" s="4">
        <v>25</v>
      </c>
      <c r="CB799" s="4">
        <v>51</v>
      </c>
      <c r="CC799" s="4">
        <v>0</v>
      </c>
      <c r="CD799" s="4">
        <v>4</v>
      </c>
      <c r="CE799" s="4">
        <v>0</v>
      </c>
      <c r="CF799" s="4">
        <v>7</v>
      </c>
      <c r="CG799" s="4">
        <v>33</v>
      </c>
      <c r="CH799" s="4">
        <v>3</v>
      </c>
      <c r="CI799" s="4">
        <v>155</v>
      </c>
      <c r="CJ799" s="4">
        <v>117</v>
      </c>
      <c r="CK799" s="4">
        <v>31</v>
      </c>
      <c r="CL799" s="4">
        <v>0</v>
      </c>
      <c r="CM799" s="4">
        <v>52</v>
      </c>
      <c r="CN799" s="4">
        <v>281</v>
      </c>
      <c r="CO799" s="4">
        <v>246</v>
      </c>
      <c r="CP799" s="4">
        <v>56</v>
      </c>
      <c r="CQ799" s="4">
        <v>0</v>
      </c>
      <c r="CR799" s="4">
        <v>231</v>
      </c>
      <c r="CS799" s="4">
        <v>319</v>
      </c>
      <c r="CT799" s="4">
        <v>16</v>
      </c>
      <c r="CU799" s="4">
        <v>12</v>
      </c>
      <c r="CV799" s="4">
        <v>86</v>
      </c>
      <c r="CW799" s="4">
        <v>147</v>
      </c>
      <c r="CX799" s="5">
        <v>147</v>
      </c>
    </row>
    <row r="800" spans="1:102" ht="15.75" x14ac:dyDescent="0.25">
      <c r="A800" s="4" t="s">
        <v>279</v>
      </c>
      <c r="B800" s="4" t="s">
        <v>280</v>
      </c>
      <c r="C800" s="4">
        <v>2021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5">
        <v>0</v>
      </c>
    </row>
    <row r="801" spans="1:102" ht="15.75" x14ac:dyDescent="0.25">
      <c r="A801" s="4" t="s">
        <v>281</v>
      </c>
      <c r="B801" s="4" t="s">
        <v>282</v>
      </c>
      <c r="C801" s="4">
        <v>2021</v>
      </c>
      <c r="D801" s="4">
        <v>16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1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1</v>
      </c>
      <c r="AJ801" s="4">
        <v>0</v>
      </c>
      <c r="AK801" s="4">
        <v>0</v>
      </c>
      <c r="AL801" s="4">
        <v>0</v>
      </c>
      <c r="AM801" s="4">
        <v>1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1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4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1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1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1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5">
        <v>0</v>
      </c>
    </row>
    <row r="802" spans="1:102" ht="15.75" x14ac:dyDescent="0.25">
      <c r="A802" s="4" t="s">
        <v>283</v>
      </c>
      <c r="B802" s="4" t="s">
        <v>284</v>
      </c>
      <c r="C802" s="4">
        <v>2021</v>
      </c>
      <c r="D802" s="4">
        <v>153</v>
      </c>
      <c r="E802" s="4">
        <v>0</v>
      </c>
      <c r="F802" s="4">
        <v>0</v>
      </c>
      <c r="G802" s="4">
        <v>1</v>
      </c>
      <c r="H802" s="4">
        <v>0</v>
      </c>
      <c r="I802" s="4">
        <v>1</v>
      </c>
      <c r="J802" s="4">
        <v>0</v>
      </c>
      <c r="K802" s="4">
        <v>0</v>
      </c>
      <c r="L802" s="4">
        <v>3</v>
      </c>
      <c r="M802" s="4">
        <v>0</v>
      </c>
      <c r="N802" s="4">
        <v>1</v>
      </c>
      <c r="O802" s="4">
        <v>22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1</v>
      </c>
      <c r="AH802" s="4">
        <v>0</v>
      </c>
      <c r="AI802" s="4">
        <v>4</v>
      </c>
      <c r="AJ802" s="4">
        <v>1</v>
      </c>
      <c r="AK802" s="4">
        <v>7</v>
      </c>
      <c r="AL802" s="4">
        <v>0</v>
      </c>
      <c r="AM802" s="4">
        <v>2</v>
      </c>
      <c r="AN802" s="4">
        <v>5</v>
      </c>
      <c r="AO802" s="4">
        <v>5</v>
      </c>
      <c r="AP802" s="4">
        <v>0</v>
      </c>
      <c r="AQ802" s="4">
        <v>1</v>
      </c>
      <c r="AR802" s="4">
        <v>0</v>
      </c>
      <c r="AS802" s="4">
        <v>1</v>
      </c>
      <c r="AT802" s="4">
        <v>3</v>
      </c>
      <c r="AU802" s="4">
        <v>1</v>
      </c>
      <c r="AV802" s="4">
        <v>2</v>
      </c>
      <c r="AW802" s="4">
        <v>3</v>
      </c>
      <c r="AX802" s="4">
        <v>6</v>
      </c>
      <c r="AY802" s="4">
        <v>0</v>
      </c>
      <c r="AZ802" s="4">
        <v>2</v>
      </c>
      <c r="BA802" s="4">
        <v>0</v>
      </c>
      <c r="BB802" s="4">
        <v>1</v>
      </c>
      <c r="BC802" s="4">
        <v>0</v>
      </c>
      <c r="BD802" s="4">
        <v>0</v>
      </c>
      <c r="BE802" s="4">
        <v>1</v>
      </c>
      <c r="BF802" s="4">
        <v>10</v>
      </c>
      <c r="BG802" s="4">
        <v>0</v>
      </c>
      <c r="BH802" s="4">
        <v>1</v>
      </c>
      <c r="BI802" s="4">
        <v>0</v>
      </c>
      <c r="BJ802" s="4">
        <v>4</v>
      </c>
      <c r="BK802" s="4">
        <v>9</v>
      </c>
      <c r="BL802" s="4">
        <v>0</v>
      </c>
      <c r="BM802" s="4">
        <v>1</v>
      </c>
      <c r="BN802" s="4">
        <v>2</v>
      </c>
      <c r="BO802" s="4">
        <v>0</v>
      </c>
      <c r="BP802" s="4">
        <v>0</v>
      </c>
      <c r="BQ802" s="4">
        <v>2</v>
      </c>
      <c r="BR802" s="4">
        <v>0</v>
      </c>
      <c r="BS802" s="4">
        <v>6</v>
      </c>
      <c r="BT802" s="4">
        <v>5</v>
      </c>
      <c r="BU802" s="4">
        <v>0</v>
      </c>
      <c r="BV802" s="4">
        <v>2</v>
      </c>
      <c r="BW802" s="4">
        <v>1</v>
      </c>
      <c r="BX802" s="4">
        <v>2</v>
      </c>
      <c r="BY802" s="4">
        <v>0</v>
      </c>
      <c r="BZ802" s="4">
        <v>0</v>
      </c>
      <c r="CA802" s="4">
        <v>4</v>
      </c>
      <c r="CB802" s="4">
        <v>6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2</v>
      </c>
      <c r="CK802" s="4">
        <v>0</v>
      </c>
      <c r="CL802" s="4">
        <v>0</v>
      </c>
      <c r="CM802" s="4">
        <v>1</v>
      </c>
      <c r="CN802" s="4">
        <v>6</v>
      </c>
      <c r="CO802" s="4">
        <v>1</v>
      </c>
      <c r="CP802" s="4">
        <v>0</v>
      </c>
      <c r="CQ802" s="4">
        <v>0</v>
      </c>
      <c r="CR802" s="4">
        <v>0</v>
      </c>
      <c r="CS802" s="4">
        <v>0</v>
      </c>
      <c r="CT802" s="4">
        <v>2</v>
      </c>
      <c r="CU802" s="4">
        <v>0</v>
      </c>
      <c r="CV802" s="4">
        <v>5</v>
      </c>
      <c r="CW802" s="4">
        <v>2</v>
      </c>
      <c r="CX802" s="5">
        <v>2</v>
      </c>
    </row>
    <row r="803" spans="1:102" ht="15.75" x14ac:dyDescent="0.25">
      <c r="A803" s="4" t="s">
        <v>285</v>
      </c>
      <c r="B803" s="4" t="s">
        <v>286</v>
      </c>
      <c r="C803" s="4">
        <v>2021</v>
      </c>
      <c r="D803" s="4">
        <v>11</v>
      </c>
      <c r="E803" s="4">
        <v>0</v>
      </c>
      <c r="F803" s="4">
        <v>4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1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1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1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2</v>
      </c>
      <c r="CU803" s="4">
        <v>0</v>
      </c>
      <c r="CV803" s="4">
        <v>0</v>
      </c>
      <c r="CW803" s="4">
        <v>0</v>
      </c>
      <c r="CX803" s="5">
        <v>0</v>
      </c>
    </row>
    <row r="804" spans="1:102" ht="15.75" x14ac:dyDescent="0.25">
      <c r="A804" s="4" t="s">
        <v>287</v>
      </c>
      <c r="B804" s="4" t="s">
        <v>288</v>
      </c>
      <c r="C804" s="4">
        <v>2021</v>
      </c>
      <c r="D804" s="4">
        <v>1348</v>
      </c>
      <c r="E804" s="4">
        <v>13</v>
      </c>
      <c r="F804" s="4">
        <v>1</v>
      </c>
      <c r="G804" s="4">
        <v>4</v>
      </c>
      <c r="H804" s="4">
        <v>0</v>
      </c>
      <c r="I804" s="4">
        <v>2</v>
      </c>
      <c r="J804" s="4">
        <v>1</v>
      </c>
      <c r="K804" s="4">
        <v>1</v>
      </c>
      <c r="L804" s="4">
        <v>13</v>
      </c>
      <c r="M804" s="4">
        <v>5</v>
      </c>
      <c r="N804" s="4">
        <v>8</v>
      </c>
      <c r="O804" s="4">
        <v>80</v>
      </c>
      <c r="P804" s="4">
        <v>0</v>
      </c>
      <c r="Q804" s="4">
        <v>1</v>
      </c>
      <c r="R804" s="4">
        <v>6</v>
      </c>
      <c r="S804" s="4">
        <v>0</v>
      </c>
      <c r="T804" s="4">
        <v>0</v>
      </c>
      <c r="U804" s="4">
        <v>10</v>
      </c>
      <c r="V804" s="4">
        <v>2</v>
      </c>
      <c r="W804" s="4">
        <v>3</v>
      </c>
      <c r="X804" s="4">
        <v>2</v>
      </c>
      <c r="Y804" s="4">
        <v>0</v>
      </c>
      <c r="Z804" s="4">
        <v>0</v>
      </c>
      <c r="AA804" s="4">
        <v>5</v>
      </c>
      <c r="AB804" s="4">
        <v>0</v>
      </c>
      <c r="AC804" s="4">
        <v>0</v>
      </c>
      <c r="AD804" s="4">
        <v>0</v>
      </c>
      <c r="AE804" s="4">
        <v>1</v>
      </c>
      <c r="AF804" s="4">
        <v>0</v>
      </c>
      <c r="AG804" s="4">
        <v>46</v>
      </c>
      <c r="AH804" s="4">
        <v>2</v>
      </c>
      <c r="AI804" s="4">
        <v>11</v>
      </c>
      <c r="AJ804" s="4">
        <v>29</v>
      </c>
      <c r="AK804" s="4">
        <v>26</v>
      </c>
      <c r="AL804" s="4">
        <v>2</v>
      </c>
      <c r="AM804" s="4">
        <v>19</v>
      </c>
      <c r="AN804" s="4">
        <v>38</v>
      </c>
      <c r="AO804" s="4">
        <v>46</v>
      </c>
      <c r="AP804" s="4">
        <v>0</v>
      </c>
      <c r="AQ804" s="4">
        <v>9</v>
      </c>
      <c r="AR804" s="4">
        <v>8</v>
      </c>
      <c r="AS804" s="4">
        <v>11</v>
      </c>
      <c r="AT804" s="4">
        <v>8</v>
      </c>
      <c r="AU804" s="4">
        <v>7</v>
      </c>
      <c r="AV804" s="4">
        <v>14</v>
      </c>
      <c r="AW804" s="4">
        <v>9</v>
      </c>
      <c r="AX804" s="4">
        <v>34</v>
      </c>
      <c r="AY804" s="4">
        <v>0</v>
      </c>
      <c r="AZ804" s="4">
        <v>29</v>
      </c>
      <c r="BA804" s="4">
        <v>0</v>
      </c>
      <c r="BB804" s="4">
        <v>119</v>
      </c>
      <c r="BC804" s="4">
        <v>1</v>
      </c>
      <c r="BD804" s="4">
        <v>1</v>
      </c>
      <c r="BE804" s="4">
        <v>10</v>
      </c>
      <c r="BF804" s="4">
        <v>56</v>
      </c>
      <c r="BG804" s="4">
        <v>3</v>
      </c>
      <c r="BH804" s="4">
        <v>6</v>
      </c>
      <c r="BI804" s="4">
        <v>0</v>
      </c>
      <c r="BJ804" s="4">
        <v>49</v>
      </c>
      <c r="BK804" s="4">
        <v>78</v>
      </c>
      <c r="BL804" s="4">
        <v>0</v>
      </c>
      <c r="BM804" s="4">
        <v>4</v>
      </c>
      <c r="BN804" s="4">
        <v>38</v>
      </c>
      <c r="BO804" s="4">
        <v>0</v>
      </c>
      <c r="BP804" s="4">
        <v>16</v>
      </c>
      <c r="BQ804" s="4">
        <v>67</v>
      </c>
      <c r="BR804" s="4">
        <v>5</v>
      </c>
      <c r="BS804" s="4">
        <v>37</v>
      </c>
      <c r="BT804" s="4">
        <v>15</v>
      </c>
      <c r="BU804" s="4">
        <v>1</v>
      </c>
      <c r="BV804" s="4">
        <v>27</v>
      </c>
      <c r="BW804" s="4">
        <v>4</v>
      </c>
      <c r="BX804" s="4">
        <v>145</v>
      </c>
      <c r="BY804" s="4">
        <v>2</v>
      </c>
      <c r="BZ804" s="4">
        <v>0</v>
      </c>
      <c r="CA804" s="4">
        <v>18</v>
      </c>
      <c r="CB804" s="4">
        <v>0</v>
      </c>
      <c r="CC804" s="4">
        <v>0</v>
      </c>
      <c r="CD804" s="4">
        <v>11</v>
      </c>
      <c r="CE804" s="4">
        <v>0</v>
      </c>
      <c r="CF804" s="4">
        <v>1</v>
      </c>
      <c r="CG804" s="4">
        <v>1</v>
      </c>
      <c r="CH804" s="4">
        <v>1</v>
      </c>
      <c r="CI804" s="4">
        <v>2</v>
      </c>
      <c r="CJ804" s="4">
        <v>4</v>
      </c>
      <c r="CK804" s="4">
        <v>0</v>
      </c>
      <c r="CL804" s="4">
        <v>0</v>
      </c>
      <c r="CM804" s="4">
        <v>4</v>
      </c>
      <c r="CN804" s="4">
        <v>33</v>
      </c>
      <c r="CO804" s="4">
        <v>12</v>
      </c>
      <c r="CP804" s="4">
        <v>12</v>
      </c>
      <c r="CQ804" s="4">
        <v>0</v>
      </c>
      <c r="CR804" s="4">
        <v>2</v>
      </c>
      <c r="CS804" s="4">
        <v>0</v>
      </c>
      <c r="CT804" s="4">
        <v>15</v>
      </c>
      <c r="CU804" s="4">
        <v>1</v>
      </c>
      <c r="CV804" s="4">
        <v>35</v>
      </c>
      <c r="CW804" s="4">
        <v>9</v>
      </c>
      <c r="CX804" s="5">
        <v>9</v>
      </c>
    </row>
    <row r="805" spans="1:102" ht="15.75" x14ac:dyDescent="0.25">
      <c r="A805" s="4" t="s">
        <v>289</v>
      </c>
      <c r="B805" s="4" t="s">
        <v>290</v>
      </c>
      <c r="C805" s="4">
        <v>2021</v>
      </c>
      <c r="D805" s="4">
        <v>754</v>
      </c>
      <c r="E805" s="4">
        <v>0</v>
      </c>
      <c r="F805" s="4">
        <v>0</v>
      </c>
      <c r="G805" s="4">
        <v>2</v>
      </c>
      <c r="H805" s="4">
        <v>3</v>
      </c>
      <c r="I805" s="4">
        <v>3</v>
      </c>
      <c r="J805" s="4">
        <v>2</v>
      </c>
      <c r="K805" s="4">
        <v>0</v>
      </c>
      <c r="L805" s="4">
        <v>1</v>
      </c>
      <c r="M805" s="4">
        <v>7</v>
      </c>
      <c r="N805" s="4">
        <v>10</v>
      </c>
      <c r="O805" s="4">
        <v>0</v>
      </c>
      <c r="P805" s="4">
        <v>0</v>
      </c>
      <c r="Q805" s="4">
        <v>0</v>
      </c>
      <c r="R805" s="4">
        <v>0</v>
      </c>
      <c r="S805" s="4">
        <v>3</v>
      </c>
      <c r="T805" s="4">
        <v>80</v>
      </c>
      <c r="U805" s="4">
        <v>0</v>
      </c>
      <c r="V805" s="4">
        <v>9</v>
      </c>
      <c r="W805" s="4">
        <v>82</v>
      </c>
      <c r="X805" s="4">
        <v>1</v>
      </c>
      <c r="Y805" s="4">
        <v>0</v>
      </c>
      <c r="Z805" s="4">
        <v>0</v>
      </c>
      <c r="AA805" s="4">
        <v>1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38</v>
      </c>
      <c r="AH805" s="4">
        <v>2</v>
      </c>
      <c r="AI805" s="4">
        <v>10</v>
      </c>
      <c r="AJ805" s="4">
        <v>52</v>
      </c>
      <c r="AK805" s="4">
        <v>28</v>
      </c>
      <c r="AL805" s="4">
        <v>0</v>
      </c>
      <c r="AM805" s="4">
        <v>8</v>
      </c>
      <c r="AN805" s="4">
        <v>10</v>
      </c>
      <c r="AO805" s="4">
        <v>19</v>
      </c>
      <c r="AP805" s="4">
        <v>1</v>
      </c>
      <c r="AQ805" s="4">
        <v>2</v>
      </c>
      <c r="AR805" s="4">
        <v>1</v>
      </c>
      <c r="AS805" s="4">
        <v>8</v>
      </c>
      <c r="AT805" s="4">
        <v>9</v>
      </c>
      <c r="AU805" s="4">
        <v>3</v>
      </c>
      <c r="AV805" s="4">
        <v>9</v>
      </c>
      <c r="AW805" s="4">
        <v>4</v>
      </c>
      <c r="AX805" s="4">
        <v>31</v>
      </c>
      <c r="AY805" s="4">
        <v>1</v>
      </c>
      <c r="AZ805" s="4">
        <v>6</v>
      </c>
      <c r="BA805" s="4">
        <v>0</v>
      </c>
      <c r="BB805" s="4">
        <v>24</v>
      </c>
      <c r="BC805" s="4">
        <v>2</v>
      </c>
      <c r="BD805" s="4">
        <v>0</v>
      </c>
      <c r="BE805" s="4">
        <v>10</v>
      </c>
      <c r="BF805" s="4">
        <v>10</v>
      </c>
      <c r="BG805" s="4">
        <v>1</v>
      </c>
      <c r="BH805" s="4">
        <v>1</v>
      </c>
      <c r="BI805" s="4">
        <v>0</v>
      </c>
      <c r="BJ805" s="4">
        <v>45</v>
      </c>
      <c r="BK805" s="4">
        <v>25</v>
      </c>
      <c r="BL805" s="4">
        <v>0</v>
      </c>
      <c r="BM805" s="4">
        <v>1</v>
      </c>
      <c r="BN805" s="4">
        <v>3</v>
      </c>
      <c r="BO805" s="4">
        <v>0</v>
      </c>
      <c r="BP805" s="4">
        <v>1</v>
      </c>
      <c r="BQ805" s="4">
        <v>5</v>
      </c>
      <c r="BR805" s="4">
        <v>0</v>
      </c>
      <c r="BS805" s="4">
        <v>24</v>
      </c>
      <c r="BT805" s="4">
        <v>12</v>
      </c>
      <c r="BU805" s="4">
        <v>0</v>
      </c>
      <c r="BV805" s="4">
        <v>1</v>
      </c>
      <c r="BW805" s="4">
        <v>31</v>
      </c>
      <c r="BX805" s="4">
        <v>50</v>
      </c>
      <c r="BY805" s="4">
        <v>0</v>
      </c>
      <c r="BZ805" s="4">
        <v>0</v>
      </c>
      <c r="CA805" s="4">
        <v>6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1</v>
      </c>
      <c r="CK805" s="4">
        <v>0</v>
      </c>
      <c r="CL805" s="4">
        <v>0</v>
      </c>
      <c r="CM805" s="4">
        <v>4</v>
      </c>
      <c r="CN805" s="4">
        <v>27</v>
      </c>
      <c r="CO805" s="4">
        <v>0</v>
      </c>
      <c r="CP805" s="4">
        <v>0</v>
      </c>
      <c r="CQ805" s="4">
        <v>1</v>
      </c>
      <c r="CR805" s="4">
        <v>0</v>
      </c>
      <c r="CS805" s="4">
        <v>0</v>
      </c>
      <c r="CT805" s="4">
        <v>2</v>
      </c>
      <c r="CU805" s="4">
        <v>4</v>
      </c>
      <c r="CV805" s="4">
        <v>6</v>
      </c>
      <c r="CW805" s="4">
        <v>5</v>
      </c>
      <c r="CX805" s="5">
        <v>5</v>
      </c>
    </row>
    <row r="806" spans="1:102" ht="15.75" x14ac:dyDescent="0.25">
      <c r="A806" s="4" t="s">
        <v>291</v>
      </c>
      <c r="B806" s="4" t="s">
        <v>292</v>
      </c>
      <c r="C806" s="4">
        <v>2021</v>
      </c>
      <c r="D806" s="4">
        <v>21841</v>
      </c>
      <c r="E806" s="4">
        <v>350</v>
      </c>
      <c r="F806" s="4">
        <v>356</v>
      </c>
      <c r="G806" s="4">
        <v>450</v>
      </c>
      <c r="H806" s="4">
        <v>64</v>
      </c>
      <c r="I806" s="4">
        <v>543</v>
      </c>
      <c r="J806" s="4">
        <v>283</v>
      </c>
      <c r="K806" s="4">
        <v>79</v>
      </c>
      <c r="L806" s="4">
        <v>284</v>
      </c>
      <c r="M806" s="4">
        <v>238</v>
      </c>
      <c r="N806" s="4">
        <v>265</v>
      </c>
      <c r="O806" s="4">
        <v>411</v>
      </c>
      <c r="P806" s="4">
        <v>1</v>
      </c>
      <c r="Q806" s="4">
        <v>5</v>
      </c>
      <c r="R806" s="4">
        <v>2</v>
      </c>
      <c r="S806" s="4">
        <v>143</v>
      </c>
      <c r="T806" s="4">
        <v>2</v>
      </c>
      <c r="U806" s="4">
        <v>3</v>
      </c>
      <c r="V806" s="4">
        <v>63</v>
      </c>
      <c r="W806" s="4">
        <v>22</v>
      </c>
      <c r="X806" s="4">
        <v>40</v>
      </c>
      <c r="Y806" s="4">
        <v>53</v>
      </c>
      <c r="Z806" s="4">
        <v>70</v>
      </c>
      <c r="AA806" s="4">
        <v>1303</v>
      </c>
      <c r="AB806" s="4">
        <v>1645</v>
      </c>
      <c r="AC806" s="4">
        <v>254</v>
      </c>
      <c r="AD806" s="4">
        <v>23</v>
      </c>
      <c r="AE806" s="4">
        <v>49</v>
      </c>
      <c r="AF806" s="4">
        <v>5</v>
      </c>
      <c r="AG806" s="4">
        <v>1642</v>
      </c>
      <c r="AH806" s="4">
        <v>58</v>
      </c>
      <c r="AI806" s="4">
        <v>116</v>
      </c>
      <c r="AJ806" s="4">
        <v>1257</v>
      </c>
      <c r="AK806" s="4">
        <v>578</v>
      </c>
      <c r="AL806" s="4">
        <v>48</v>
      </c>
      <c r="AM806" s="4">
        <v>193</v>
      </c>
      <c r="AN806" s="4">
        <v>277</v>
      </c>
      <c r="AO806" s="4">
        <v>288</v>
      </c>
      <c r="AP806" s="4">
        <v>5</v>
      </c>
      <c r="AQ806" s="4">
        <v>92</v>
      </c>
      <c r="AR806" s="4">
        <v>158</v>
      </c>
      <c r="AS806" s="4">
        <v>461</v>
      </c>
      <c r="AT806" s="4">
        <v>162</v>
      </c>
      <c r="AU806" s="4">
        <v>324</v>
      </c>
      <c r="AV806" s="4">
        <v>477</v>
      </c>
      <c r="AW806" s="4">
        <v>224</v>
      </c>
      <c r="AX806" s="4">
        <v>711</v>
      </c>
      <c r="AY806" s="4">
        <v>6</v>
      </c>
      <c r="AZ806" s="4">
        <v>80</v>
      </c>
      <c r="BA806" s="4">
        <v>0</v>
      </c>
      <c r="BB806" s="4">
        <v>528</v>
      </c>
      <c r="BC806" s="4">
        <v>31</v>
      </c>
      <c r="BD806" s="4">
        <v>13</v>
      </c>
      <c r="BE806" s="4">
        <v>76</v>
      </c>
      <c r="BF806" s="4">
        <v>407</v>
      </c>
      <c r="BG806" s="4">
        <v>8</v>
      </c>
      <c r="BH806" s="4">
        <v>31</v>
      </c>
      <c r="BI806" s="4">
        <v>11</v>
      </c>
      <c r="BJ806" s="4">
        <v>187</v>
      </c>
      <c r="BK806" s="4">
        <v>352</v>
      </c>
      <c r="BL806" s="4">
        <v>0</v>
      </c>
      <c r="BM806" s="4">
        <v>49</v>
      </c>
      <c r="BN806" s="4">
        <v>786</v>
      </c>
      <c r="BO806" s="4">
        <v>47</v>
      </c>
      <c r="BP806" s="4">
        <v>17</v>
      </c>
      <c r="BQ806" s="4">
        <v>589</v>
      </c>
      <c r="BR806" s="4">
        <v>205</v>
      </c>
      <c r="BS806" s="4">
        <v>380</v>
      </c>
      <c r="BT806" s="4">
        <v>210</v>
      </c>
      <c r="BU806" s="4">
        <v>35</v>
      </c>
      <c r="BV806" s="4">
        <v>148</v>
      </c>
      <c r="BW806" s="4">
        <v>259</v>
      </c>
      <c r="BX806" s="4">
        <v>324</v>
      </c>
      <c r="BY806" s="4">
        <v>9</v>
      </c>
      <c r="BZ806" s="4">
        <v>2</v>
      </c>
      <c r="CA806" s="4">
        <v>115</v>
      </c>
      <c r="CB806" s="4">
        <v>5</v>
      </c>
      <c r="CC806" s="4">
        <v>2</v>
      </c>
      <c r="CD806" s="4">
        <v>131</v>
      </c>
      <c r="CE806" s="4">
        <v>34</v>
      </c>
      <c r="CF806" s="4">
        <v>153</v>
      </c>
      <c r="CG806" s="4">
        <v>11</v>
      </c>
      <c r="CH806" s="4">
        <v>47</v>
      </c>
      <c r="CI806" s="4">
        <v>40</v>
      </c>
      <c r="CJ806" s="4">
        <v>440</v>
      </c>
      <c r="CK806" s="4">
        <v>72</v>
      </c>
      <c r="CL806" s="4">
        <v>0</v>
      </c>
      <c r="CM806" s="4">
        <v>61</v>
      </c>
      <c r="CN806" s="4">
        <v>371</v>
      </c>
      <c r="CO806" s="4">
        <v>48</v>
      </c>
      <c r="CP806" s="4">
        <v>23</v>
      </c>
      <c r="CQ806" s="4">
        <v>0</v>
      </c>
      <c r="CR806" s="4">
        <v>10</v>
      </c>
      <c r="CS806" s="4">
        <v>57</v>
      </c>
      <c r="CT806" s="4">
        <v>275</v>
      </c>
      <c r="CU806" s="4">
        <v>15</v>
      </c>
      <c r="CV806" s="4">
        <v>772</v>
      </c>
      <c r="CW806" s="4">
        <v>296</v>
      </c>
      <c r="CX806" s="5">
        <v>295</v>
      </c>
    </row>
    <row r="807" spans="1:102" ht="15.75" x14ac:dyDescent="0.25">
      <c r="A807" s="4" t="s">
        <v>293</v>
      </c>
      <c r="B807" s="4" t="s">
        <v>294</v>
      </c>
      <c r="C807" s="4">
        <v>2021</v>
      </c>
      <c r="D807" s="4">
        <v>1533</v>
      </c>
      <c r="E807" s="4">
        <v>3</v>
      </c>
      <c r="F807" s="4">
        <v>0</v>
      </c>
      <c r="G807" s="4">
        <v>3</v>
      </c>
      <c r="H807" s="4">
        <v>2</v>
      </c>
      <c r="I807" s="4">
        <v>13</v>
      </c>
      <c r="J807" s="4">
        <v>4</v>
      </c>
      <c r="K807" s="4">
        <v>3</v>
      </c>
      <c r="L807" s="4">
        <v>19</v>
      </c>
      <c r="M807" s="4">
        <v>1</v>
      </c>
      <c r="N807" s="4">
        <v>9</v>
      </c>
      <c r="O807" s="4">
        <v>67</v>
      </c>
      <c r="P807" s="4">
        <v>0</v>
      </c>
      <c r="Q807" s="4">
        <v>0</v>
      </c>
      <c r="R807" s="4">
        <v>1</v>
      </c>
      <c r="S807" s="4">
        <v>0</v>
      </c>
      <c r="T807" s="4">
        <v>0</v>
      </c>
      <c r="U807" s="4">
        <v>2</v>
      </c>
      <c r="V807" s="4">
        <v>2</v>
      </c>
      <c r="W807" s="4">
        <v>0</v>
      </c>
      <c r="X807" s="4">
        <v>1</v>
      </c>
      <c r="Y807" s="4">
        <v>0</v>
      </c>
      <c r="Z807" s="4">
        <v>0</v>
      </c>
      <c r="AA807" s="4">
        <v>5</v>
      </c>
      <c r="AB807" s="4">
        <v>0</v>
      </c>
      <c r="AC807" s="4">
        <v>0</v>
      </c>
      <c r="AD807" s="4">
        <v>1</v>
      </c>
      <c r="AE807" s="4">
        <v>2</v>
      </c>
      <c r="AF807" s="4">
        <v>0</v>
      </c>
      <c r="AG807" s="4">
        <v>13</v>
      </c>
      <c r="AH807" s="4">
        <v>3</v>
      </c>
      <c r="AI807" s="4">
        <v>16</v>
      </c>
      <c r="AJ807" s="4">
        <v>161</v>
      </c>
      <c r="AK807" s="4">
        <v>28</v>
      </c>
      <c r="AL807" s="4">
        <v>1</v>
      </c>
      <c r="AM807" s="4">
        <v>13</v>
      </c>
      <c r="AN807" s="4">
        <v>21</v>
      </c>
      <c r="AO807" s="4">
        <v>29</v>
      </c>
      <c r="AP807" s="4">
        <v>0</v>
      </c>
      <c r="AQ807" s="4">
        <v>3</v>
      </c>
      <c r="AR807" s="4">
        <v>0</v>
      </c>
      <c r="AS807" s="4">
        <v>7</v>
      </c>
      <c r="AT807" s="4">
        <v>9</v>
      </c>
      <c r="AU807" s="4">
        <v>80</v>
      </c>
      <c r="AV807" s="4">
        <v>7</v>
      </c>
      <c r="AW807" s="4">
        <v>9</v>
      </c>
      <c r="AX807" s="4">
        <v>19</v>
      </c>
      <c r="AY807" s="4">
        <v>1</v>
      </c>
      <c r="AZ807" s="4">
        <v>8</v>
      </c>
      <c r="BA807" s="4">
        <v>0</v>
      </c>
      <c r="BB807" s="4">
        <v>142</v>
      </c>
      <c r="BC807" s="4">
        <v>2</v>
      </c>
      <c r="BD807" s="4">
        <v>0</v>
      </c>
      <c r="BE807" s="4">
        <v>11</v>
      </c>
      <c r="BF807" s="4">
        <v>59</v>
      </c>
      <c r="BG807" s="4">
        <v>1</v>
      </c>
      <c r="BH807" s="4">
        <v>1</v>
      </c>
      <c r="BI807" s="4">
        <v>0</v>
      </c>
      <c r="BJ807" s="4">
        <v>27</v>
      </c>
      <c r="BK807" s="4">
        <v>40</v>
      </c>
      <c r="BL807" s="4">
        <v>0</v>
      </c>
      <c r="BM807" s="4">
        <v>4</v>
      </c>
      <c r="BN807" s="4">
        <v>23</v>
      </c>
      <c r="BO807" s="4">
        <v>0</v>
      </c>
      <c r="BP807" s="4">
        <v>5</v>
      </c>
      <c r="BQ807" s="4">
        <v>33</v>
      </c>
      <c r="BR807" s="4">
        <v>2</v>
      </c>
      <c r="BS807" s="4">
        <v>40</v>
      </c>
      <c r="BT807" s="4">
        <v>31</v>
      </c>
      <c r="BU807" s="4">
        <v>2</v>
      </c>
      <c r="BV807" s="4">
        <v>7</v>
      </c>
      <c r="BW807" s="4">
        <v>54</v>
      </c>
      <c r="BX807" s="4">
        <v>126</v>
      </c>
      <c r="BY807" s="4">
        <v>0</v>
      </c>
      <c r="BZ807" s="4">
        <v>0</v>
      </c>
      <c r="CA807" s="4">
        <v>8</v>
      </c>
      <c r="CB807" s="4">
        <v>43</v>
      </c>
      <c r="CC807" s="4">
        <v>0</v>
      </c>
      <c r="CD807" s="4">
        <v>2</v>
      </c>
      <c r="CE807" s="4">
        <v>1</v>
      </c>
      <c r="CF807" s="4">
        <v>2</v>
      </c>
      <c r="CG807" s="4">
        <v>0</v>
      </c>
      <c r="CH807" s="4">
        <v>3</v>
      </c>
      <c r="CI807" s="4">
        <v>4</v>
      </c>
      <c r="CJ807" s="4">
        <v>112</v>
      </c>
      <c r="CK807" s="4">
        <v>36</v>
      </c>
      <c r="CL807" s="4">
        <v>0</v>
      </c>
      <c r="CM807" s="4">
        <v>14</v>
      </c>
      <c r="CN807" s="4">
        <v>49</v>
      </c>
      <c r="CO807" s="4">
        <v>12</v>
      </c>
      <c r="CP807" s="4">
        <v>4</v>
      </c>
      <c r="CQ807" s="4">
        <v>1</v>
      </c>
      <c r="CR807" s="4">
        <v>3</v>
      </c>
      <c r="CS807" s="4">
        <v>2</v>
      </c>
      <c r="CT807" s="4">
        <v>8</v>
      </c>
      <c r="CU807" s="4">
        <v>8</v>
      </c>
      <c r="CV807" s="4">
        <v>38</v>
      </c>
      <c r="CW807" s="4">
        <v>4</v>
      </c>
      <c r="CX807" s="5">
        <v>4</v>
      </c>
    </row>
    <row r="808" spans="1:102" ht="15.75" x14ac:dyDescent="0.25">
      <c r="A808" s="4" t="s">
        <v>295</v>
      </c>
      <c r="B808" s="4" t="s">
        <v>296</v>
      </c>
      <c r="C808" s="4">
        <v>2021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5">
        <v>0</v>
      </c>
    </row>
    <row r="809" spans="1:102" ht="15.75" x14ac:dyDescent="0.25">
      <c r="A809" s="4" t="s">
        <v>297</v>
      </c>
      <c r="B809" s="4" t="s">
        <v>298</v>
      </c>
      <c r="C809" s="4">
        <v>2021</v>
      </c>
      <c r="D809" s="4">
        <v>4780</v>
      </c>
      <c r="E809" s="4">
        <v>1</v>
      </c>
      <c r="F809" s="4">
        <v>0</v>
      </c>
      <c r="G809" s="4">
        <v>1</v>
      </c>
      <c r="H809" s="4">
        <v>0</v>
      </c>
      <c r="I809" s="4">
        <v>4</v>
      </c>
      <c r="J809" s="4">
        <v>2</v>
      </c>
      <c r="K809" s="4">
        <v>1</v>
      </c>
      <c r="L809" s="4">
        <v>7</v>
      </c>
      <c r="M809" s="4">
        <v>3</v>
      </c>
      <c r="N809" s="4">
        <v>6</v>
      </c>
      <c r="O809" s="4">
        <v>162</v>
      </c>
      <c r="P809" s="4">
        <v>0</v>
      </c>
      <c r="Q809" s="4">
        <v>0</v>
      </c>
      <c r="R809" s="4">
        <v>30</v>
      </c>
      <c r="S809" s="4">
        <v>7</v>
      </c>
      <c r="T809" s="4">
        <v>177</v>
      </c>
      <c r="U809" s="4">
        <v>8</v>
      </c>
      <c r="V809" s="4">
        <v>16</v>
      </c>
      <c r="W809" s="4">
        <v>574</v>
      </c>
      <c r="X809" s="4">
        <v>2</v>
      </c>
      <c r="Y809" s="4">
        <v>1</v>
      </c>
      <c r="Z809" s="4">
        <v>169</v>
      </c>
      <c r="AA809" s="4">
        <v>25</v>
      </c>
      <c r="AB809" s="4">
        <v>0</v>
      </c>
      <c r="AC809" s="4">
        <v>0</v>
      </c>
      <c r="AD809" s="4">
        <v>1</v>
      </c>
      <c r="AE809" s="4">
        <v>0</v>
      </c>
      <c r="AF809" s="4">
        <v>0</v>
      </c>
      <c r="AG809" s="4">
        <v>64</v>
      </c>
      <c r="AH809" s="4">
        <v>73</v>
      </c>
      <c r="AI809" s="4">
        <v>38</v>
      </c>
      <c r="AJ809" s="4">
        <v>127</v>
      </c>
      <c r="AK809" s="4">
        <v>33</v>
      </c>
      <c r="AL809" s="4">
        <v>15</v>
      </c>
      <c r="AM809" s="4">
        <v>44</v>
      </c>
      <c r="AN809" s="4">
        <v>35</v>
      </c>
      <c r="AO809" s="4">
        <v>122</v>
      </c>
      <c r="AP809" s="4">
        <v>2</v>
      </c>
      <c r="AQ809" s="4">
        <v>27</v>
      </c>
      <c r="AR809" s="4">
        <v>2</v>
      </c>
      <c r="AS809" s="4">
        <v>14</v>
      </c>
      <c r="AT809" s="4">
        <v>21</v>
      </c>
      <c r="AU809" s="4">
        <v>41</v>
      </c>
      <c r="AV809" s="4">
        <v>81</v>
      </c>
      <c r="AW809" s="4">
        <v>798</v>
      </c>
      <c r="AX809" s="4">
        <v>104</v>
      </c>
      <c r="AY809" s="4">
        <v>8</v>
      </c>
      <c r="AZ809" s="4">
        <v>22</v>
      </c>
      <c r="BA809" s="4">
        <v>0</v>
      </c>
      <c r="BB809" s="4">
        <v>401</v>
      </c>
      <c r="BC809" s="4">
        <v>24</v>
      </c>
      <c r="BD809" s="4">
        <v>0</v>
      </c>
      <c r="BE809" s="4">
        <v>45</v>
      </c>
      <c r="BF809" s="4">
        <v>57</v>
      </c>
      <c r="BG809" s="4">
        <v>10</v>
      </c>
      <c r="BH809" s="4">
        <v>25</v>
      </c>
      <c r="BI809" s="4">
        <v>0</v>
      </c>
      <c r="BJ809" s="4">
        <v>167</v>
      </c>
      <c r="BK809" s="4">
        <v>222</v>
      </c>
      <c r="BL809" s="4">
        <v>0</v>
      </c>
      <c r="BM809" s="4">
        <v>18</v>
      </c>
      <c r="BN809" s="4">
        <v>39</v>
      </c>
      <c r="BO809" s="4">
        <v>0</v>
      </c>
      <c r="BP809" s="4">
        <v>5</v>
      </c>
      <c r="BQ809" s="4">
        <v>80</v>
      </c>
      <c r="BR809" s="4">
        <v>2</v>
      </c>
      <c r="BS809" s="4">
        <v>178</v>
      </c>
      <c r="BT809" s="4">
        <v>71</v>
      </c>
      <c r="BU809" s="4">
        <v>0</v>
      </c>
      <c r="BV809" s="4">
        <v>38</v>
      </c>
      <c r="BW809" s="4">
        <v>3</v>
      </c>
      <c r="BX809" s="4">
        <v>45</v>
      </c>
      <c r="BY809" s="4">
        <v>7</v>
      </c>
      <c r="BZ809" s="4">
        <v>0</v>
      </c>
      <c r="CA809" s="4">
        <v>89</v>
      </c>
      <c r="CB809" s="4">
        <v>5</v>
      </c>
      <c r="CC809" s="4">
        <v>0</v>
      </c>
      <c r="CD809" s="4">
        <v>3</v>
      </c>
      <c r="CE809" s="4">
        <v>0</v>
      </c>
      <c r="CF809" s="4">
        <v>3</v>
      </c>
      <c r="CG809" s="4">
        <v>5</v>
      </c>
      <c r="CH809" s="4">
        <v>1</v>
      </c>
      <c r="CI809" s="4">
        <v>2</v>
      </c>
      <c r="CJ809" s="4">
        <v>9</v>
      </c>
      <c r="CK809" s="4">
        <v>1</v>
      </c>
      <c r="CL809" s="4">
        <v>0</v>
      </c>
      <c r="CM809" s="4">
        <v>36</v>
      </c>
      <c r="CN809" s="4">
        <v>207</v>
      </c>
      <c r="CO809" s="4">
        <v>6</v>
      </c>
      <c r="CP809" s="4">
        <v>7</v>
      </c>
      <c r="CQ809" s="4">
        <v>0</v>
      </c>
      <c r="CR809" s="4">
        <v>10</v>
      </c>
      <c r="CS809" s="4">
        <v>8</v>
      </c>
      <c r="CT809" s="4">
        <v>9</v>
      </c>
      <c r="CU809" s="4">
        <v>1</v>
      </c>
      <c r="CV809" s="4">
        <v>53</v>
      </c>
      <c r="CW809" s="4">
        <v>21</v>
      </c>
      <c r="CX809" s="5">
        <v>21</v>
      </c>
    </row>
    <row r="810" spans="1:102" ht="15.75" x14ac:dyDescent="0.25">
      <c r="A810" s="4" t="s">
        <v>299</v>
      </c>
      <c r="B810" s="4" t="s">
        <v>300</v>
      </c>
      <c r="C810" s="4">
        <v>2021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5">
        <v>0</v>
      </c>
    </row>
    <row r="811" spans="1:102" ht="15.75" x14ac:dyDescent="0.25">
      <c r="A811" s="4" t="s">
        <v>301</v>
      </c>
      <c r="B811" s="4" t="s">
        <v>302</v>
      </c>
      <c r="C811" s="4">
        <v>2021</v>
      </c>
      <c r="D811" s="4">
        <v>364</v>
      </c>
      <c r="E811" s="4">
        <v>0</v>
      </c>
      <c r="F811" s="4">
        <v>0</v>
      </c>
      <c r="G811" s="4">
        <v>1</v>
      </c>
      <c r="H811" s="4">
        <v>0</v>
      </c>
      <c r="I811" s="4">
        <v>4</v>
      </c>
      <c r="J811" s="4">
        <v>0</v>
      </c>
      <c r="K811" s="4">
        <v>1</v>
      </c>
      <c r="L811" s="4">
        <v>3</v>
      </c>
      <c r="M811" s="4">
        <v>1</v>
      </c>
      <c r="N811" s="4">
        <v>7</v>
      </c>
      <c r="O811" s="4">
        <v>24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17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2</v>
      </c>
      <c r="AH811" s="4">
        <v>0</v>
      </c>
      <c r="AI811" s="4">
        <v>6</v>
      </c>
      <c r="AJ811" s="4">
        <v>87</v>
      </c>
      <c r="AK811" s="4">
        <v>12</v>
      </c>
      <c r="AL811" s="4">
        <v>0</v>
      </c>
      <c r="AM811" s="4">
        <v>10</v>
      </c>
      <c r="AN811" s="4">
        <v>0</v>
      </c>
      <c r="AO811" s="4">
        <v>9</v>
      </c>
      <c r="AP811" s="4">
        <v>0</v>
      </c>
      <c r="AQ811" s="4">
        <v>4</v>
      </c>
      <c r="AR811" s="4">
        <v>0</v>
      </c>
      <c r="AS811" s="4">
        <v>0</v>
      </c>
      <c r="AT811" s="4">
        <v>1</v>
      </c>
      <c r="AU811" s="4">
        <v>0</v>
      </c>
      <c r="AV811" s="4">
        <v>2</v>
      </c>
      <c r="AW811" s="4">
        <v>1</v>
      </c>
      <c r="AX811" s="4">
        <v>5</v>
      </c>
      <c r="AY811" s="4">
        <v>1</v>
      </c>
      <c r="AZ811" s="4">
        <v>22</v>
      </c>
      <c r="BA811" s="4">
        <v>0</v>
      </c>
      <c r="BB811" s="4">
        <v>8</v>
      </c>
      <c r="BC811" s="4">
        <v>2</v>
      </c>
      <c r="BD811" s="4">
        <v>0</v>
      </c>
      <c r="BE811" s="4">
        <v>3</v>
      </c>
      <c r="BF811" s="4">
        <v>7</v>
      </c>
      <c r="BG811" s="4">
        <v>1</v>
      </c>
      <c r="BH811" s="4">
        <v>1</v>
      </c>
      <c r="BI811" s="4">
        <v>0</v>
      </c>
      <c r="BJ811" s="4">
        <v>10</v>
      </c>
      <c r="BK811" s="4">
        <v>16</v>
      </c>
      <c r="BL811" s="4">
        <v>0</v>
      </c>
      <c r="BM811" s="4">
        <v>0</v>
      </c>
      <c r="BN811" s="4">
        <v>1</v>
      </c>
      <c r="BO811" s="4">
        <v>0</v>
      </c>
      <c r="BP811" s="4">
        <v>0</v>
      </c>
      <c r="BQ811" s="4">
        <v>4</v>
      </c>
      <c r="BR811" s="4">
        <v>0</v>
      </c>
      <c r="BS811" s="4">
        <v>8</v>
      </c>
      <c r="BT811" s="4">
        <v>23</v>
      </c>
      <c r="BU811" s="4">
        <v>0</v>
      </c>
      <c r="BV811" s="4">
        <v>1</v>
      </c>
      <c r="BW811" s="4">
        <v>2</v>
      </c>
      <c r="BX811" s="4">
        <v>20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2</v>
      </c>
      <c r="CE811" s="4">
        <v>0</v>
      </c>
      <c r="CF811" s="4">
        <v>2</v>
      </c>
      <c r="CG811" s="4">
        <v>0</v>
      </c>
      <c r="CH811" s="4">
        <v>0</v>
      </c>
      <c r="CI811" s="4">
        <v>0</v>
      </c>
      <c r="CJ811" s="4">
        <v>1</v>
      </c>
      <c r="CK811" s="4">
        <v>0</v>
      </c>
      <c r="CL811" s="4">
        <v>0</v>
      </c>
      <c r="CM811" s="4">
        <v>1</v>
      </c>
      <c r="CN811" s="4">
        <v>7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20</v>
      </c>
      <c r="CW811" s="4">
        <v>1</v>
      </c>
      <c r="CX811" s="5">
        <v>1</v>
      </c>
    </row>
    <row r="812" spans="1:102" ht="15.75" x14ac:dyDescent="0.25">
      <c r="A812" s="4" t="s">
        <v>303</v>
      </c>
      <c r="B812" s="4" t="s">
        <v>304</v>
      </c>
      <c r="C812" s="4">
        <v>2021</v>
      </c>
      <c r="D812" s="4">
        <v>70</v>
      </c>
      <c r="E812" s="4">
        <v>2</v>
      </c>
      <c r="F812" s="4">
        <v>6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1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6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2</v>
      </c>
      <c r="AH812" s="4">
        <v>1</v>
      </c>
      <c r="AI812" s="4">
        <v>2</v>
      </c>
      <c r="AJ812" s="4">
        <v>8</v>
      </c>
      <c r="AK812" s="4">
        <v>0</v>
      </c>
      <c r="AL812" s="4">
        <v>0</v>
      </c>
      <c r="AM812" s="4">
        <v>0</v>
      </c>
      <c r="AN812" s="4">
        <v>0</v>
      </c>
      <c r="AO812" s="4">
        <v>13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1</v>
      </c>
      <c r="AY812" s="4">
        <v>0</v>
      </c>
      <c r="AZ812" s="4">
        <v>2</v>
      </c>
      <c r="BA812" s="4">
        <v>0</v>
      </c>
      <c r="BB812" s="4">
        <v>0</v>
      </c>
      <c r="BC812" s="4">
        <v>2</v>
      </c>
      <c r="BD812" s="4">
        <v>0</v>
      </c>
      <c r="BE812" s="4">
        <v>1</v>
      </c>
      <c r="BF812" s="4">
        <v>1</v>
      </c>
      <c r="BG812" s="4">
        <v>1</v>
      </c>
      <c r="BH812" s="4">
        <v>0</v>
      </c>
      <c r="BI812" s="4">
        <v>0</v>
      </c>
      <c r="BJ812" s="4">
        <v>2</v>
      </c>
      <c r="BK812" s="4">
        <v>1</v>
      </c>
      <c r="BL812" s="4">
        <v>0</v>
      </c>
      <c r="BM812" s="4">
        <v>0</v>
      </c>
      <c r="BN812" s="4">
        <v>1</v>
      </c>
      <c r="BO812" s="4">
        <v>0</v>
      </c>
      <c r="BP812" s="4">
        <v>0</v>
      </c>
      <c r="BQ812" s="4">
        <v>0</v>
      </c>
      <c r="BR812" s="4">
        <v>0</v>
      </c>
      <c r="BS812" s="4">
        <v>1</v>
      </c>
      <c r="BT812" s="4">
        <v>1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4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1</v>
      </c>
      <c r="CU812" s="4">
        <v>0</v>
      </c>
      <c r="CV812" s="4">
        <v>5</v>
      </c>
      <c r="CW812" s="4">
        <v>1</v>
      </c>
      <c r="CX812" s="5">
        <v>1</v>
      </c>
    </row>
    <row r="813" spans="1:102" ht="15.75" x14ac:dyDescent="0.25">
      <c r="A813" s="4" t="s">
        <v>305</v>
      </c>
      <c r="B813" s="4" t="s">
        <v>306</v>
      </c>
      <c r="C813" s="4">
        <v>2021</v>
      </c>
      <c r="D813" s="4">
        <v>338</v>
      </c>
      <c r="E813" s="4">
        <v>0</v>
      </c>
      <c r="F813" s="4">
        <v>1</v>
      </c>
      <c r="G813" s="4">
        <v>1</v>
      </c>
      <c r="H813" s="4">
        <v>2</v>
      </c>
      <c r="I813" s="4">
        <v>11</v>
      </c>
      <c r="J813" s="4">
        <v>6</v>
      </c>
      <c r="K813" s="4">
        <v>2</v>
      </c>
      <c r="L813" s="4">
        <v>5</v>
      </c>
      <c r="M813" s="4">
        <v>24</v>
      </c>
      <c r="N813" s="4">
        <v>7</v>
      </c>
      <c r="O813" s="4">
        <v>11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2</v>
      </c>
      <c r="W813" s="4">
        <v>0</v>
      </c>
      <c r="X813" s="4">
        <v>0</v>
      </c>
      <c r="Y813" s="4">
        <v>5</v>
      </c>
      <c r="Z813" s="4">
        <v>0</v>
      </c>
      <c r="AA813" s="4">
        <v>1</v>
      </c>
      <c r="AB813" s="4">
        <v>0</v>
      </c>
      <c r="AC813" s="4">
        <v>0</v>
      </c>
      <c r="AD813" s="4">
        <v>0</v>
      </c>
      <c r="AE813" s="4">
        <v>1</v>
      </c>
      <c r="AF813" s="4">
        <v>0</v>
      </c>
      <c r="AG813" s="4">
        <v>2</v>
      </c>
      <c r="AH813" s="4">
        <v>0</v>
      </c>
      <c r="AI813" s="4">
        <v>2</v>
      </c>
      <c r="AJ813" s="4">
        <v>2</v>
      </c>
      <c r="AK813" s="4">
        <v>10</v>
      </c>
      <c r="AL813" s="4">
        <v>4</v>
      </c>
      <c r="AM813" s="4">
        <v>1</v>
      </c>
      <c r="AN813" s="4">
        <v>3</v>
      </c>
      <c r="AO813" s="4">
        <v>6</v>
      </c>
      <c r="AP813" s="4">
        <v>0</v>
      </c>
      <c r="AQ813" s="4">
        <v>1</v>
      </c>
      <c r="AR813" s="4">
        <v>1</v>
      </c>
      <c r="AS813" s="4">
        <v>6</v>
      </c>
      <c r="AT813" s="4">
        <v>4</v>
      </c>
      <c r="AU813" s="4">
        <v>3</v>
      </c>
      <c r="AV813" s="4">
        <v>0</v>
      </c>
      <c r="AW813" s="4">
        <v>1</v>
      </c>
      <c r="AX813" s="4">
        <v>11</v>
      </c>
      <c r="AY813" s="4">
        <v>0</v>
      </c>
      <c r="AZ813" s="4">
        <v>1</v>
      </c>
      <c r="BA813" s="4">
        <v>0</v>
      </c>
      <c r="BB813" s="4">
        <v>1</v>
      </c>
      <c r="BC813" s="4">
        <v>0</v>
      </c>
      <c r="BD813" s="4">
        <v>0</v>
      </c>
      <c r="BE813" s="4">
        <v>3</v>
      </c>
      <c r="BF813" s="4">
        <v>8</v>
      </c>
      <c r="BG813" s="4">
        <v>0</v>
      </c>
      <c r="BH813" s="4">
        <v>0</v>
      </c>
      <c r="BI813" s="4">
        <v>0</v>
      </c>
      <c r="BJ813" s="4">
        <v>2</v>
      </c>
      <c r="BK813" s="4">
        <v>5</v>
      </c>
      <c r="BL813" s="4">
        <v>0</v>
      </c>
      <c r="BM813" s="4">
        <v>1</v>
      </c>
      <c r="BN813" s="4">
        <v>70</v>
      </c>
      <c r="BO813" s="4">
        <v>0</v>
      </c>
      <c r="BP813" s="4">
        <v>2</v>
      </c>
      <c r="BQ813" s="4">
        <v>14</v>
      </c>
      <c r="BR813" s="4">
        <v>2</v>
      </c>
      <c r="BS813" s="4">
        <v>5</v>
      </c>
      <c r="BT813" s="4">
        <v>3</v>
      </c>
      <c r="BU813" s="4">
        <v>0</v>
      </c>
      <c r="BV813" s="4">
        <v>4</v>
      </c>
      <c r="BW813" s="4">
        <v>4</v>
      </c>
      <c r="BX813" s="4">
        <v>19</v>
      </c>
      <c r="BY813" s="4">
        <v>0</v>
      </c>
      <c r="BZ813" s="4">
        <v>0</v>
      </c>
      <c r="CA813" s="4">
        <v>1</v>
      </c>
      <c r="CB813" s="4">
        <v>0</v>
      </c>
      <c r="CC813" s="4">
        <v>0</v>
      </c>
      <c r="CD813" s="4">
        <v>2</v>
      </c>
      <c r="CE813" s="4">
        <v>0</v>
      </c>
      <c r="CF813" s="4">
        <v>3</v>
      </c>
      <c r="CG813" s="4">
        <v>0</v>
      </c>
      <c r="CH813" s="4">
        <v>1</v>
      </c>
      <c r="CI813" s="4">
        <v>1</v>
      </c>
      <c r="CJ813" s="4">
        <v>12</v>
      </c>
      <c r="CK813" s="4">
        <v>2</v>
      </c>
      <c r="CL813" s="4">
        <v>0</v>
      </c>
      <c r="CM813" s="4">
        <v>0</v>
      </c>
      <c r="CN813" s="4">
        <v>6</v>
      </c>
      <c r="CO813" s="4">
        <v>1</v>
      </c>
      <c r="CP813" s="4">
        <v>1</v>
      </c>
      <c r="CQ813" s="4">
        <v>0</v>
      </c>
      <c r="CR813" s="4">
        <v>0</v>
      </c>
      <c r="CS813" s="4">
        <v>0</v>
      </c>
      <c r="CT813" s="4">
        <v>7</v>
      </c>
      <c r="CU813" s="4">
        <v>0</v>
      </c>
      <c r="CV813" s="4">
        <v>14</v>
      </c>
      <c r="CW813" s="4">
        <v>4</v>
      </c>
      <c r="CX813" s="5">
        <v>4</v>
      </c>
    </row>
    <row r="814" spans="1:102" ht="15.75" x14ac:dyDescent="0.25">
      <c r="A814" s="4" t="s">
        <v>307</v>
      </c>
      <c r="B814" s="4" t="s">
        <v>308</v>
      </c>
      <c r="C814" s="4">
        <v>2021</v>
      </c>
      <c r="D814" s="4">
        <v>9217</v>
      </c>
      <c r="E814" s="4">
        <v>8</v>
      </c>
      <c r="F814" s="4">
        <v>30</v>
      </c>
      <c r="G814" s="4">
        <v>34</v>
      </c>
      <c r="H814" s="4">
        <v>36</v>
      </c>
      <c r="I814" s="4">
        <v>36</v>
      </c>
      <c r="J814" s="4">
        <v>23</v>
      </c>
      <c r="K814" s="4">
        <v>3</v>
      </c>
      <c r="L814" s="4">
        <v>13</v>
      </c>
      <c r="M814" s="4">
        <v>18</v>
      </c>
      <c r="N814" s="4">
        <v>25</v>
      </c>
      <c r="O814" s="4">
        <v>175</v>
      </c>
      <c r="P814" s="4">
        <v>42</v>
      </c>
      <c r="Q814" s="4">
        <v>0</v>
      </c>
      <c r="R814" s="4">
        <v>13</v>
      </c>
      <c r="S814" s="4">
        <v>0</v>
      </c>
      <c r="T814" s="4">
        <v>1</v>
      </c>
      <c r="U814" s="4">
        <v>45</v>
      </c>
      <c r="V814" s="4">
        <v>22</v>
      </c>
      <c r="W814" s="4">
        <v>412</v>
      </c>
      <c r="X814" s="4">
        <v>7</v>
      </c>
      <c r="Y814" s="4">
        <v>0</v>
      </c>
      <c r="Z814" s="4">
        <v>583</v>
      </c>
      <c r="AA814" s="4">
        <v>57</v>
      </c>
      <c r="AB814" s="4">
        <v>11</v>
      </c>
      <c r="AC814" s="4">
        <v>0</v>
      </c>
      <c r="AD814" s="4">
        <v>2</v>
      </c>
      <c r="AE814" s="4">
        <v>2</v>
      </c>
      <c r="AF814" s="4">
        <v>1</v>
      </c>
      <c r="AG814" s="4">
        <v>114</v>
      </c>
      <c r="AH814" s="4">
        <v>86</v>
      </c>
      <c r="AI814" s="4">
        <v>110</v>
      </c>
      <c r="AJ814" s="4">
        <v>371</v>
      </c>
      <c r="AK814" s="4">
        <v>98</v>
      </c>
      <c r="AL814" s="4">
        <v>3</v>
      </c>
      <c r="AM814" s="4">
        <v>133</v>
      </c>
      <c r="AN814" s="4">
        <v>219</v>
      </c>
      <c r="AO814" s="4">
        <v>222</v>
      </c>
      <c r="AP814" s="4">
        <v>16</v>
      </c>
      <c r="AQ814" s="4">
        <v>49</v>
      </c>
      <c r="AR814" s="4">
        <v>11</v>
      </c>
      <c r="AS814" s="4">
        <v>53</v>
      </c>
      <c r="AT814" s="4">
        <v>123</v>
      </c>
      <c r="AU814" s="4">
        <v>99</v>
      </c>
      <c r="AV814" s="4">
        <v>148</v>
      </c>
      <c r="AW814" s="4">
        <v>309</v>
      </c>
      <c r="AX814" s="4">
        <v>188</v>
      </c>
      <c r="AY814" s="4">
        <v>2</v>
      </c>
      <c r="AZ814" s="4">
        <v>50</v>
      </c>
      <c r="BA814" s="4">
        <v>0</v>
      </c>
      <c r="BB814" s="4">
        <v>519</v>
      </c>
      <c r="BC814" s="4">
        <v>74</v>
      </c>
      <c r="BD814" s="4">
        <v>5</v>
      </c>
      <c r="BE814" s="4">
        <v>38</v>
      </c>
      <c r="BF814" s="4">
        <v>187</v>
      </c>
      <c r="BG814" s="4">
        <v>13</v>
      </c>
      <c r="BH814" s="4">
        <v>19</v>
      </c>
      <c r="BI814" s="4">
        <v>1</v>
      </c>
      <c r="BJ814" s="4">
        <v>282</v>
      </c>
      <c r="BK814" s="4">
        <v>246</v>
      </c>
      <c r="BL814" s="4">
        <v>0</v>
      </c>
      <c r="BM814" s="4">
        <v>32</v>
      </c>
      <c r="BN814" s="4">
        <v>113</v>
      </c>
      <c r="BO814" s="4">
        <v>1</v>
      </c>
      <c r="BP814" s="4">
        <v>26</v>
      </c>
      <c r="BQ814" s="4">
        <v>120</v>
      </c>
      <c r="BR814" s="4">
        <v>17</v>
      </c>
      <c r="BS814" s="4">
        <v>334</v>
      </c>
      <c r="BT814" s="4">
        <v>145</v>
      </c>
      <c r="BU814" s="4">
        <v>3</v>
      </c>
      <c r="BV814" s="4">
        <v>151</v>
      </c>
      <c r="BW814" s="4">
        <v>40</v>
      </c>
      <c r="BX814" s="4">
        <v>1079</v>
      </c>
      <c r="BY814" s="4">
        <v>9</v>
      </c>
      <c r="BZ814" s="4">
        <v>11</v>
      </c>
      <c r="CA814" s="4">
        <v>307</v>
      </c>
      <c r="CB814" s="4">
        <v>45</v>
      </c>
      <c r="CC814" s="4">
        <v>1</v>
      </c>
      <c r="CD814" s="4">
        <v>21</v>
      </c>
      <c r="CE814" s="4">
        <v>16</v>
      </c>
      <c r="CF814" s="4">
        <v>13</v>
      </c>
      <c r="CG814" s="4">
        <v>11</v>
      </c>
      <c r="CH814" s="4">
        <v>10</v>
      </c>
      <c r="CI814" s="4">
        <v>36</v>
      </c>
      <c r="CJ814" s="4">
        <v>291</v>
      </c>
      <c r="CK814" s="4">
        <v>55</v>
      </c>
      <c r="CL814" s="4">
        <v>0</v>
      </c>
      <c r="CM814" s="4">
        <v>77</v>
      </c>
      <c r="CN814" s="4">
        <v>279</v>
      </c>
      <c r="CO814" s="4">
        <v>31</v>
      </c>
      <c r="CP814" s="4">
        <v>25</v>
      </c>
      <c r="CQ814" s="4">
        <v>0</v>
      </c>
      <c r="CR814" s="4">
        <v>200</v>
      </c>
      <c r="CS814" s="4">
        <v>32</v>
      </c>
      <c r="CT814" s="4">
        <v>103</v>
      </c>
      <c r="CU814" s="4">
        <v>6</v>
      </c>
      <c r="CV814" s="4">
        <v>121</v>
      </c>
      <c r="CW814" s="4">
        <v>66</v>
      </c>
      <c r="CX814" s="5">
        <v>67</v>
      </c>
    </row>
    <row r="815" spans="1:102" ht="15.75" x14ac:dyDescent="0.25">
      <c r="A815" s="4" t="s">
        <v>309</v>
      </c>
      <c r="B815" s="4" t="s">
        <v>310</v>
      </c>
      <c r="C815" s="4">
        <v>2021</v>
      </c>
      <c r="D815" s="4">
        <v>165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36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48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2</v>
      </c>
      <c r="AK815" s="4">
        <v>1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5</v>
      </c>
      <c r="BO815" s="4">
        <v>0</v>
      </c>
      <c r="BP815" s="4">
        <v>0</v>
      </c>
      <c r="BQ815" s="4">
        <v>5</v>
      </c>
      <c r="BR815" s="4">
        <v>0</v>
      </c>
      <c r="BS815" s="4">
        <v>1</v>
      </c>
      <c r="BT815" s="4">
        <v>1</v>
      </c>
      <c r="BU815" s="4">
        <v>0</v>
      </c>
      <c r="BV815" s="4">
        <v>0</v>
      </c>
      <c r="BW815" s="4">
        <v>0</v>
      </c>
      <c r="BX815" s="4">
        <v>4</v>
      </c>
      <c r="BY815" s="4">
        <v>0</v>
      </c>
      <c r="BZ815" s="4">
        <v>0</v>
      </c>
      <c r="CA815" s="4">
        <v>5</v>
      </c>
      <c r="CB815" s="4">
        <v>21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1</v>
      </c>
      <c r="CK815" s="4">
        <v>0</v>
      </c>
      <c r="CL815" s="4">
        <v>0</v>
      </c>
      <c r="CM815" s="4">
        <v>0</v>
      </c>
      <c r="CN815" s="4">
        <v>2</v>
      </c>
      <c r="CO815" s="4">
        <v>6</v>
      </c>
      <c r="CP815" s="4">
        <v>0</v>
      </c>
      <c r="CQ815" s="4">
        <v>0</v>
      </c>
      <c r="CR815" s="4">
        <v>11</v>
      </c>
      <c r="CS815" s="4">
        <v>11</v>
      </c>
      <c r="CT815" s="4">
        <v>0</v>
      </c>
      <c r="CU815" s="4">
        <v>0</v>
      </c>
      <c r="CV815" s="4">
        <v>1</v>
      </c>
      <c r="CW815" s="4">
        <v>0</v>
      </c>
      <c r="CX815" s="5">
        <v>0</v>
      </c>
    </row>
    <row r="816" spans="1:102" ht="15.75" x14ac:dyDescent="0.25">
      <c r="A816" s="4" t="s">
        <v>311</v>
      </c>
      <c r="B816" s="4" t="s">
        <v>312</v>
      </c>
      <c r="C816" s="4">
        <v>2021</v>
      </c>
      <c r="D816" s="4">
        <v>47</v>
      </c>
      <c r="E816" s="4">
        <v>0</v>
      </c>
      <c r="F816" s="4">
        <v>0</v>
      </c>
      <c r="G816" s="4">
        <v>1</v>
      </c>
      <c r="H816" s="4">
        <v>1</v>
      </c>
      <c r="I816" s="4">
        <v>1</v>
      </c>
      <c r="J816" s="4">
        <v>0</v>
      </c>
      <c r="K816" s="4">
        <v>1</v>
      </c>
      <c r="L816" s="4">
        <v>1</v>
      </c>
      <c r="M816" s="4">
        <v>2</v>
      </c>
      <c r="N816" s="4">
        <v>1</v>
      </c>
      <c r="O816" s="4">
        <v>1</v>
      </c>
      <c r="P816" s="4">
        <v>0</v>
      </c>
      <c r="Q816" s="4">
        <v>0</v>
      </c>
      <c r="R816" s="4">
        <v>1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6</v>
      </c>
      <c r="AK816" s="4">
        <v>1</v>
      </c>
      <c r="AL816" s="4">
        <v>0</v>
      </c>
      <c r="AM816" s="4">
        <v>1</v>
      </c>
      <c r="AN816" s="4">
        <v>0</v>
      </c>
      <c r="AO816" s="4">
        <v>1</v>
      </c>
      <c r="AP816" s="4">
        <v>0</v>
      </c>
      <c r="AQ816" s="4">
        <v>0</v>
      </c>
      <c r="AR816" s="4">
        <v>0</v>
      </c>
      <c r="AS816" s="4">
        <v>0</v>
      </c>
      <c r="AT816" s="4">
        <v>1</v>
      </c>
      <c r="AU816" s="4">
        <v>0</v>
      </c>
      <c r="AV816" s="4">
        <v>0</v>
      </c>
      <c r="AW816" s="4">
        <v>0</v>
      </c>
      <c r="AX816" s="4">
        <v>2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1</v>
      </c>
      <c r="BF816" s="4">
        <v>4</v>
      </c>
      <c r="BG816" s="4">
        <v>0</v>
      </c>
      <c r="BH816" s="4">
        <v>0</v>
      </c>
      <c r="BI816" s="4">
        <v>0</v>
      </c>
      <c r="BJ816" s="4">
        <v>1</v>
      </c>
      <c r="BK816" s="4">
        <v>1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1</v>
      </c>
      <c r="BT816" s="4">
        <v>0</v>
      </c>
      <c r="BU816" s="4">
        <v>0</v>
      </c>
      <c r="BV816" s="4">
        <v>1</v>
      </c>
      <c r="BW816" s="4">
        <v>2</v>
      </c>
      <c r="BX816" s="4">
        <v>5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1</v>
      </c>
      <c r="CG816" s="4">
        <v>0</v>
      </c>
      <c r="CH816" s="4">
        <v>1</v>
      </c>
      <c r="CI816" s="4">
        <v>0</v>
      </c>
      <c r="CJ816" s="4">
        <v>1</v>
      </c>
      <c r="CK816" s="4">
        <v>0</v>
      </c>
      <c r="CL816" s="4">
        <v>0</v>
      </c>
      <c r="CM816" s="4">
        <v>0</v>
      </c>
      <c r="CN816" s="4">
        <v>1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3</v>
      </c>
      <c r="CU816" s="4">
        <v>0</v>
      </c>
      <c r="CV816" s="4">
        <v>2</v>
      </c>
      <c r="CW816" s="4">
        <v>1</v>
      </c>
      <c r="CX816" s="5">
        <v>1</v>
      </c>
    </row>
    <row r="817" spans="1:102" ht="15.75" x14ac:dyDescent="0.25">
      <c r="A817" s="4" t="s">
        <v>313</v>
      </c>
      <c r="B817" s="4" t="s">
        <v>314</v>
      </c>
      <c r="C817" s="4">
        <v>2021</v>
      </c>
      <c r="D817" s="4">
        <v>244</v>
      </c>
      <c r="E817" s="4">
        <v>2</v>
      </c>
      <c r="F817" s="4">
        <v>0</v>
      </c>
      <c r="G817" s="4">
        <v>4</v>
      </c>
      <c r="H817" s="4">
        <v>0</v>
      </c>
      <c r="I817" s="4">
        <v>5</v>
      </c>
      <c r="J817" s="4">
        <v>1</v>
      </c>
      <c r="K817" s="4">
        <v>0</v>
      </c>
      <c r="L817" s="4">
        <v>9</v>
      </c>
      <c r="M817" s="4">
        <v>1</v>
      </c>
      <c r="N817" s="4">
        <v>15</v>
      </c>
      <c r="O817" s="4">
        <v>4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2</v>
      </c>
      <c r="AH817" s="4">
        <v>0</v>
      </c>
      <c r="AI817" s="4">
        <v>5</v>
      </c>
      <c r="AJ817" s="4">
        <v>13</v>
      </c>
      <c r="AK817" s="4">
        <v>6</v>
      </c>
      <c r="AL817" s="4">
        <v>0</v>
      </c>
      <c r="AM817" s="4">
        <v>2</v>
      </c>
      <c r="AN817" s="4">
        <v>2</v>
      </c>
      <c r="AO817" s="4">
        <v>4</v>
      </c>
      <c r="AP817" s="4">
        <v>0</v>
      </c>
      <c r="AQ817" s="4">
        <v>0</v>
      </c>
      <c r="AR817" s="4">
        <v>0</v>
      </c>
      <c r="AS817" s="4">
        <v>1</v>
      </c>
      <c r="AT817" s="4">
        <v>1</v>
      </c>
      <c r="AU817" s="4">
        <v>1</v>
      </c>
      <c r="AV817" s="4">
        <v>1</v>
      </c>
      <c r="AW817" s="4">
        <v>1</v>
      </c>
      <c r="AX817" s="4">
        <v>2</v>
      </c>
      <c r="AY817" s="4">
        <v>0</v>
      </c>
      <c r="AZ817" s="4">
        <v>2</v>
      </c>
      <c r="BA817" s="4">
        <v>0</v>
      </c>
      <c r="BB817" s="4">
        <v>26</v>
      </c>
      <c r="BC817" s="4">
        <v>1</v>
      </c>
      <c r="BD817" s="4">
        <v>0</v>
      </c>
      <c r="BE817" s="4">
        <v>2</v>
      </c>
      <c r="BF817" s="4">
        <v>5</v>
      </c>
      <c r="BG817" s="4">
        <v>0</v>
      </c>
      <c r="BH817" s="4">
        <v>1</v>
      </c>
      <c r="BI817" s="4">
        <v>0</v>
      </c>
      <c r="BJ817" s="4">
        <v>3</v>
      </c>
      <c r="BK817" s="4">
        <v>26</v>
      </c>
      <c r="BL817" s="4">
        <v>0</v>
      </c>
      <c r="BM817" s="4">
        <v>0</v>
      </c>
      <c r="BN817" s="4">
        <v>5</v>
      </c>
      <c r="BO817" s="4">
        <v>0</v>
      </c>
      <c r="BP817" s="4">
        <v>1</v>
      </c>
      <c r="BQ817" s="4">
        <v>6</v>
      </c>
      <c r="BR817" s="4">
        <v>0</v>
      </c>
      <c r="BS817" s="4">
        <v>16</v>
      </c>
      <c r="BT817" s="4">
        <v>8</v>
      </c>
      <c r="BU817" s="4">
        <v>0</v>
      </c>
      <c r="BV817" s="4">
        <v>3</v>
      </c>
      <c r="BW817" s="4">
        <v>5</v>
      </c>
      <c r="BX817" s="4">
        <v>8</v>
      </c>
      <c r="BY817" s="4">
        <v>0</v>
      </c>
      <c r="BZ817" s="4">
        <v>0</v>
      </c>
      <c r="CA817" s="4">
        <v>8</v>
      </c>
      <c r="CB817" s="4">
        <v>0</v>
      </c>
      <c r="CC817" s="4">
        <v>0</v>
      </c>
      <c r="CD817" s="4">
        <v>1</v>
      </c>
      <c r="CE817" s="4">
        <v>0</v>
      </c>
      <c r="CF817" s="4">
        <v>1</v>
      </c>
      <c r="CG817" s="4">
        <v>2</v>
      </c>
      <c r="CH817" s="4">
        <v>4</v>
      </c>
      <c r="CI817" s="4">
        <v>0</v>
      </c>
      <c r="CJ817" s="4">
        <v>2</v>
      </c>
      <c r="CK817" s="4">
        <v>0</v>
      </c>
      <c r="CL817" s="4">
        <v>0</v>
      </c>
      <c r="CM817" s="4">
        <v>1</v>
      </c>
      <c r="CN817" s="4">
        <v>7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5</v>
      </c>
      <c r="CU817" s="4">
        <v>0</v>
      </c>
      <c r="CV817" s="4">
        <v>7</v>
      </c>
      <c r="CW817" s="4">
        <v>1</v>
      </c>
      <c r="CX817" s="5">
        <v>1</v>
      </c>
    </row>
    <row r="818" spans="1:102" ht="15.75" x14ac:dyDescent="0.25">
      <c r="A818" s="4" t="s">
        <v>315</v>
      </c>
      <c r="B818" s="4" t="s">
        <v>316</v>
      </c>
      <c r="C818" s="4">
        <v>2021</v>
      </c>
      <c r="D818" s="4">
        <v>6716</v>
      </c>
      <c r="E818" s="4">
        <v>42</v>
      </c>
      <c r="F818" s="4">
        <v>17</v>
      </c>
      <c r="G818" s="4">
        <v>3</v>
      </c>
      <c r="H818" s="4">
        <v>10</v>
      </c>
      <c r="I818" s="4">
        <v>46</v>
      </c>
      <c r="J818" s="4">
        <v>4</v>
      </c>
      <c r="K818" s="4">
        <v>1</v>
      </c>
      <c r="L818" s="4">
        <v>28</v>
      </c>
      <c r="M818" s="4">
        <v>15</v>
      </c>
      <c r="N818" s="4">
        <v>8</v>
      </c>
      <c r="O818" s="4">
        <v>185</v>
      </c>
      <c r="P818" s="4">
        <v>0</v>
      </c>
      <c r="Q818" s="4">
        <v>0</v>
      </c>
      <c r="R818" s="4">
        <v>1</v>
      </c>
      <c r="S818" s="4">
        <v>1</v>
      </c>
      <c r="T818" s="4">
        <v>0</v>
      </c>
      <c r="U818" s="4">
        <v>3</v>
      </c>
      <c r="V818" s="4">
        <v>7</v>
      </c>
      <c r="W818" s="4">
        <v>61</v>
      </c>
      <c r="X818" s="4">
        <v>2</v>
      </c>
      <c r="Y818" s="4">
        <v>0</v>
      </c>
      <c r="Z818" s="4">
        <v>0</v>
      </c>
      <c r="AA818" s="4">
        <v>5</v>
      </c>
      <c r="AB818" s="4">
        <v>0</v>
      </c>
      <c r="AC818" s="4">
        <v>0</v>
      </c>
      <c r="AD818" s="4">
        <v>2</v>
      </c>
      <c r="AE818" s="4">
        <v>0</v>
      </c>
      <c r="AF818" s="4">
        <v>0</v>
      </c>
      <c r="AG818" s="4">
        <v>46</v>
      </c>
      <c r="AH818" s="4">
        <v>29</v>
      </c>
      <c r="AI818" s="4">
        <v>24</v>
      </c>
      <c r="AJ818" s="4">
        <v>516</v>
      </c>
      <c r="AK818" s="4">
        <v>74</v>
      </c>
      <c r="AL818" s="4">
        <v>0</v>
      </c>
      <c r="AM818" s="4">
        <v>53</v>
      </c>
      <c r="AN818" s="4">
        <v>27</v>
      </c>
      <c r="AO818" s="4">
        <v>246</v>
      </c>
      <c r="AP818" s="4">
        <v>2</v>
      </c>
      <c r="AQ818" s="4">
        <v>10</v>
      </c>
      <c r="AR818" s="4">
        <v>4</v>
      </c>
      <c r="AS818" s="4">
        <v>24</v>
      </c>
      <c r="AT818" s="4">
        <v>34</v>
      </c>
      <c r="AU818" s="4">
        <v>46</v>
      </c>
      <c r="AV818" s="4">
        <v>29</v>
      </c>
      <c r="AW818" s="4">
        <v>1367</v>
      </c>
      <c r="AX818" s="4">
        <v>89</v>
      </c>
      <c r="AY818" s="4">
        <v>1</v>
      </c>
      <c r="AZ818" s="4">
        <v>17</v>
      </c>
      <c r="BA818" s="4">
        <v>0</v>
      </c>
      <c r="BB818" s="4">
        <v>388</v>
      </c>
      <c r="BC818" s="4">
        <v>125</v>
      </c>
      <c r="BD818" s="4">
        <v>1</v>
      </c>
      <c r="BE818" s="4">
        <v>25</v>
      </c>
      <c r="BF818" s="4">
        <v>136</v>
      </c>
      <c r="BG818" s="4">
        <v>5</v>
      </c>
      <c r="BH818" s="4">
        <v>2</v>
      </c>
      <c r="BI818" s="4">
        <v>0</v>
      </c>
      <c r="BJ818" s="4">
        <v>83</v>
      </c>
      <c r="BK818" s="4">
        <v>117</v>
      </c>
      <c r="BL818" s="4">
        <v>0</v>
      </c>
      <c r="BM818" s="4">
        <v>6</v>
      </c>
      <c r="BN818" s="4">
        <v>27</v>
      </c>
      <c r="BO818" s="4">
        <v>1</v>
      </c>
      <c r="BP818" s="4">
        <v>8</v>
      </c>
      <c r="BQ818" s="4">
        <v>63</v>
      </c>
      <c r="BR818" s="4">
        <v>5</v>
      </c>
      <c r="BS818" s="4">
        <v>285</v>
      </c>
      <c r="BT818" s="4">
        <v>321</v>
      </c>
      <c r="BU818" s="4">
        <v>6</v>
      </c>
      <c r="BV818" s="4">
        <v>52</v>
      </c>
      <c r="BW818" s="4">
        <v>21</v>
      </c>
      <c r="BX818" s="4">
        <v>747</v>
      </c>
      <c r="BY818" s="4">
        <v>2</v>
      </c>
      <c r="BZ818" s="4">
        <v>0</v>
      </c>
      <c r="CA818" s="4">
        <v>68</v>
      </c>
      <c r="CB818" s="4">
        <v>284</v>
      </c>
      <c r="CC818" s="4">
        <v>0</v>
      </c>
      <c r="CD818" s="4">
        <v>6</v>
      </c>
      <c r="CE818" s="4">
        <v>0</v>
      </c>
      <c r="CF818" s="4">
        <v>8</v>
      </c>
      <c r="CG818" s="4">
        <v>6</v>
      </c>
      <c r="CH818" s="4">
        <v>2</v>
      </c>
      <c r="CI818" s="4">
        <v>21</v>
      </c>
      <c r="CJ818" s="4">
        <v>64</v>
      </c>
      <c r="CK818" s="4">
        <v>16</v>
      </c>
      <c r="CL818" s="4">
        <v>0</v>
      </c>
      <c r="CM818" s="4">
        <v>68</v>
      </c>
      <c r="CN818" s="4">
        <v>288</v>
      </c>
      <c r="CO818" s="4">
        <v>83</v>
      </c>
      <c r="CP818" s="4">
        <v>13</v>
      </c>
      <c r="CQ818" s="4">
        <v>0</v>
      </c>
      <c r="CR818" s="4">
        <v>57</v>
      </c>
      <c r="CS818" s="4">
        <v>28</v>
      </c>
      <c r="CT818" s="4">
        <v>26</v>
      </c>
      <c r="CU818" s="4">
        <v>18</v>
      </c>
      <c r="CV818" s="4">
        <v>87</v>
      </c>
      <c r="CW818" s="4">
        <v>66</v>
      </c>
      <c r="CX818" s="5">
        <v>66</v>
      </c>
    </row>
    <row r="819" spans="1:102" ht="15.75" x14ac:dyDescent="0.25">
      <c r="A819" s="4" t="s">
        <v>317</v>
      </c>
      <c r="B819" s="4" t="s">
        <v>318</v>
      </c>
      <c r="C819" s="4">
        <v>2021</v>
      </c>
      <c r="D819" s="4">
        <v>320</v>
      </c>
      <c r="E819" s="4">
        <v>1</v>
      </c>
      <c r="F819" s="4">
        <v>0</v>
      </c>
      <c r="G819" s="4">
        <v>0</v>
      </c>
      <c r="H819" s="4">
        <v>0</v>
      </c>
      <c r="I819" s="4">
        <v>3</v>
      </c>
      <c r="J819" s="4">
        <v>2</v>
      </c>
      <c r="K819" s="4">
        <v>1</v>
      </c>
      <c r="L819" s="4">
        <v>1</v>
      </c>
      <c r="M819" s="4">
        <v>3</v>
      </c>
      <c r="N819" s="4">
        <v>3</v>
      </c>
      <c r="O819" s="4">
        <v>18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7</v>
      </c>
      <c r="V819" s="4">
        <v>0</v>
      </c>
      <c r="W819" s="4">
        <v>3</v>
      </c>
      <c r="X819" s="4">
        <v>1</v>
      </c>
      <c r="Y819" s="4">
        <v>0</v>
      </c>
      <c r="Z819" s="4">
        <v>0</v>
      </c>
      <c r="AA819" s="4">
        <v>9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1</v>
      </c>
      <c r="AH819" s="4">
        <v>1</v>
      </c>
      <c r="AI819" s="4">
        <v>4</v>
      </c>
      <c r="AJ819" s="4">
        <v>18</v>
      </c>
      <c r="AK819" s="4">
        <v>5</v>
      </c>
      <c r="AL819" s="4">
        <v>3</v>
      </c>
      <c r="AM819" s="4">
        <v>1</v>
      </c>
      <c r="AN819" s="4">
        <v>2</v>
      </c>
      <c r="AO819" s="4">
        <v>9</v>
      </c>
      <c r="AP819" s="4">
        <v>0</v>
      </c>
      <c r="AQ819" s="4">
        <v>1</v>
      </c>
      <c r="AR819" s="4">
        <v>0</v>
      </c>
      <c r="AS819" s="4">
        <v>15</v>
      </c>
      <c r="AT819" s="4">
        <v>1</v>
      </c>
      <c r="AU819" s="4">
        <v>1</v>
      </c>
      <c r="AV819" s="4">
        <v>1</v>
      </c>
      <c r="AW819" s="4">
        <v>1</v>
      </c>
      <c r="AX819" s="4">
        <v>3</v>
      </c>
      <c r="AY819" s="4">
        <v>0</v>
      </c>
      <c r="AZ819" s="4">
        <v>1</v>
      </c>
      <c r="BA819" s="4">
        <v>0</v>
      </c>
      <c r="BB819" s="4">
        <v>15</v>
      </c>
      <c r="BC819" s="4">
        <v>0</v>
      </c>
      <c r="BD819" s="4">
        <v>0</v>
      </c>
      <c r="BE819" s="4">
        <v>3</v>
      </c>
      <c r="BF819" s="4">
        <v>7</v>
      </c>
      <c r="BG819" s="4">
        <v>0</v>
      </c>
      <c r="BH819" s="4">
        <v>1</v>
      </c>
      <c r="BI819" s="4">
        <v>0</v>
      </c>
      <c r="BJ819" s="4">
        <v>5</v>
      </c>
      <c r="BK819" s="4">
        <v>8</v>
      </c>
      <c r="BL819" s="4">
        <v>0</v>
      </c>
      <c r="BM819" s="4">
        <v>1</v>
      </c>
      <c r="BN819" s="4">
        <v>5</v>
      </c>
      <c r="BO819" s="4">
        <v>0</v>
      </c>
      <c r="BP819" s="4">
        <v>0</v>
      </c>
      <c r="BQ819" s="4">
        <v>22</v>
      </c>
      <c r="BR819" s="4">
        <v>1</v>
      </c>
      <c r="BS819" s="4">
        <v>5</v>
      </c>
      <c r="BT819" s="4">
        <v>4</v>
      </c>
      <c r="BU819" s="4">
        <v>0</v>
      </c>
      <c r="BV819" s="4">
        <v>4</v>
      </c>
      <c r="BW819" s="4">
        <v>35</v>
      </c>
      <c r="BX819" s="4">
        <v>44</v>
      </c>
      <c r="BY819" s="4">
        <v>0</v>
      </c>
      <c r="BZ819" s="4">
        <v>0</v>
      </c>
      <c r="CA819" s="4">
        <v>2</v>
      </c>
      <c r="CB819" s="4">
        <v>0</v>
      </c>
      <c r="CC819" s="4">
        <v>0</v>
      </c>
      <c r="CD819" s="4">
        <v>0</v>
      </c>
      <c r="CE819" s="4">
        <v>0</v>
      </c>
      <c r="CF819" s="4">
        <v>2</v>
      </c>
      <c r="CG819" s="4">
        <v>0</v>
      </c>
      <c r="CH819" s="4">
        <v>0</v>
      </c>
      <c r="CI819" s="4">
        <v>0</v>
      </c>
      <c r="CJ819" s="4">
        <v>1</v>
      </c>
      <c r="CK819" s="4">
        <v>0</v>
      </c>
      <c r="CL819" s="4">
        <v>0</v>
      </c>
      <c r="CM819" s="4">
        <v>0</v>
      </c>
      <c r="CN819" s="4">
        <v>8</v>
      </c>
      <c r="CO819" s="4">
        <v>0</v>
      </c>
      <c r="CP819" s="4">
        <v>1</v>
      </c>
      <c r="CQ819" s="4">
        <v>0</v>
      </c>
      <c r="CR819" s="4">
        <v>2</v>
      </c>
      <c r="CS819" s="4">
        <v>0</v>
      </c>
      <c r="CT819" s="4">
        <v>7</v>
      </c>
      <c r="CU819" s="4">
        <v>1</v>
      </c>
      <c r="CV819" s="4">
        <v>11</v>
      </c>
      <c r="CW819" s="4">
        <v>1</v>
      </c>
      <c r="CX819" s="5">
        <v>1</v>
      </c>
    </row>
    <row r="820" spans="1:102" ht="15.75" x14ac:dyDescent="0.25">
      <c r="A820" s="4" t="s">
        <v>319</v>
      </c>
      <c r="B820" s="4" t="s">
        <v>320</v>
      </c>
      <c r="C820" s="4">
        <v>2021</v>
      </c>
      <c r="D820" s="4">
        <v>1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1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1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5">
        <v>0</v>
      </c>
    </row>
    <row r="821" spans="1:102" ht="15.75" x14ac:dyDescent="0.25">
      <c r="A821" s="4" t="s">
        <v>321</v>
      </c>
      <c r="B821" s="4" t="s">
        <v>322</v>
      </c>
      <c r="C821" s="4">
        <v>2021</v>
      </c>
      <c r="D821" s="4">
        <v>51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7</v>
      </c>
      <c r="N821" s="4">
        <v>1</v>
      </c>
      <c r="O821" s="4">
        <v>4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1</v>
      </c>
      <c r="AJ821" s="4">
        <v>4</v>
      </c>
      <c r="AK821" s="4">
        <v>1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1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1</v>
      </c>
      <c r="BG821" s="4">
        <v>1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1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19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1</v>
      </c>
      <c r="CJ821" s="4">
        <v>2</v>
      </c>
      <c r="CK821" s="4">
        <v>0</v>
      </c>
      <c r="CL821" s="4">
        <v>0</v>
      </c>
      <c r="CM821" s="4">
        <v>0</v>
      </c>
      <c r="CN821" s="4">
        <v>0</v>
      </c>
      <c r="CO821" s="4">
        <v>1</v>
      </c>
      <c r="CP821" s="4">
        <v>0</v>
      </c>
      <c r="CQ821" s="4">
        <v>0</v>
      </c>
      <c r="CR821" s="4">
        <v>1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5">
        <v>0</v>
      </c>
    </row>
    <row r="822" spans="1:102" ht="15.75" x14ac:dyDescent="0.25">
      <c r="A822" s="4" t="s">
        <v>323</v>
      </c>
      <c r="B822" s="4" t="s">
        <v>324</v>
      </c>
      <c r="C822" s="4">
        <v>2021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5">
        <v>0</v>
      </c>
    </row>
    <row r="823" spans="1:102" ht="15.75" x14ac:dyDescent="0.25">
      <c r="A823" s="4" t="s">
        <v>325</v>
      </c>
      <c r="B823" s="4" t="s">
        <v>326</v>
      </c>
      <c r="C823" s="4">
        <v>2021</v>
      </c>
      <c r="D823" s="4">
        <v>0</v>
      </c>
      <c r="E823" s="4">
        <v>0</v>
      </c>
      <c r="F823" s="4">
        <v>1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5">
        <v>0</v>
      </c>
    </row>
    <row r="824" spans="1:102" ht="15.75" x14ac:dyDescent="0.25">
      <c r="A824" s="4" t="s">
        <v>327</v>
      </c>
      <c r="B824" s="4" t="s">
        <v>328</v>
      </c>
      <c r="C824" s="4">
        <v>2021</v>
      </c>
      <c r="D824" s="4">
        <v>5</v>
      </c>
      <c r="E824" s="4">
        <v>0</v>
      </c>
      <c r="F824" s="4">
        <v>0</v>
      </c>
      <c r="G824" s="4">
        <v>1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1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2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5">
        <v>0</v>
      </c>
    </row>
    <row r="825" spans="1:102" ht="15.75" x14ac:dyDescent="0.25">
      <c r="A825" s="4" t="s">
        <v>329</v>
      </c>
      <c r="B825" s="4" t="s">
        <v>330</v>
      </c>
      <c r="C825" s="4">
        <v>2021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5">
        <v>0</v>
      </c>
    </row>
    <row r="826" spans="1:102" ht="15.75" x14ac:dyDescent="0.25">
      <c r="A826" s="4" t="s">
        <v>331</v>
      </c>
      <c r="B826" s="4" t="s">
        <v>332</v>
      </c>
      <c r="C826" s="4">
        <v>2021</v>
      </c>
      <c r="D826" s="4">
        <v>5769</v>
      </c>
      <c r="E826" s="4">
        <v>0</v>
      </c>
      <c r="F826" s="4">
        <v>8</v>
      </c>
      <c r="G826" s="4">
        <v>6</v>
      </c>
      <c r="H826" s="4">
        <v>35</v>
      </c>
      <c r="I826" s="4">
        <v>4</v>
      </c>
      <c r="J826" s="4">
        <v>2</v>
      </c>
      <c r="K826" s="4">
        <v>1</v>
      </c>
      <c r="L826" s="4">
        <v>19</v>
      </c>
      <c r="M826" s="4">
        <v>9</v>
      </c>
      <c r="N826" s="4">
        <v>23</v>
      </c>
      <c r="O826" s="4">
        <v>93</v>
      </c>
      <c r="P826" s="4">
        <v>0</v>
      </c>
      <c r="Q826" s="4">
        <v>0</v>
      </c>
      <c r="R826" s="4">
        <v>1</v>
      </c>
      <c r="S826" s="4">
        <v>0</v>
      </c>
      <c r="T826" s="4">
        <v>0</v>
      </c>
      <c r="U826" s="4">
        <v>4</v>
      </c>
      <c r="V826" s="4">
        <v>4</v>
      </c>
      <c r="W826" s="4">
        <v>93</v>
      </c>
      <c r="X826" s="4">
        <v>2</v>
      </c>
      <c r="Y826" s="4">
        <v>0</v>
      </c>
      <c r="Z826" s="4">
        <v>1633</v>
      </c>
      <c r="AA826" s="4">
        <v>5</v>
      </c>
      <c r="AB826" s="4">
        <v>0</v>
      </c>
      <c r="AC826" s="4">
        <v>0</v>
      </c>
      <c r="AD826" s="4">
        <v>0</v>
      </c>
      <c r="AE826" s="4">
        <v>2</v>
      </c>
      <c r="AF826" s="4">
        <v>1</v>
      </c>
      <c r="AG826" s="4">
        <v>57</v>
      </c>
      <c r="AH826" s="4">
        <v>51</v>
      </c>
      <c r="AI826" s="4">
        <v>26</v>
      </c>
      <c r="AJ826" s="4">
        <v>202</v>
      </c>
      <c r="AK826" s="4">
        <v>42</v>
      </c>
      <c r="AL826" s="4">
        <v>0</v>
      </c>
      <c r="AM826" s="4">
        <v>37</v>
      </c>
      <c r="AN826" s="4">
        <v>18</v>
      </c>
      <c r="AO826" s="4">
        <v>101</v>
      </c>
      <c r="AP826" s="4">
        <v>3</v>
      </c>
      <c r="AQ826" s="4">
        <v>8</v>
      </c>
      <c r="AR826" s="4">
        <v>1</v>
      </c>
      <c r="AS826" s="4">
        <v>14</v>
      </c>
      <c r="AT826" s="4">
        <v>21</v>
      </c>
      <c r="AU826" s="4">
        <v>57</v>
      </c>
      <c r="AV826" s="4">
        <v>30</v>
      </c>
      <c r="AW826" s="4">
        <v>502</v>
      </c>
      <c r="AX826" s="4">
        <v>39</v>
      </c>
      <c r="AY826" s="4">
        <v>3</v>
      </c>
      <c r="AZ826" s="4">
        <v>21</v>
      </c>
      <c r="BA826" s="4">
        <v>0</v>
      </c>
      <c r="BB826" s="4">
        <v>330</v>
      </c>
      <c r="BC826" s="4">
        <v>78</v>
      </c>
      <c r="BD826" s="4">
        <v>1</v>
      </c>
      <c r="BE826" s="4">
        <v>9</v>
      </c>
      <c r="BF826" s="4">
        <v>64</v>
      </c>
      <c r="BG826" s="4">
        <v>6</v>
      </c>
      <c r="BH826" s="4">
        <v>4</v>
      </c>
      <c r="BI826" s="4">
        <v>0</v>
      </c>
      <c r="BJ826" s="4">
        <v>80</v>
      </c>
      <c r="BK826" s="4">
        <v>88</v>
      </c>
      <c r="BL826" s="4">
        <v>0</v>
      </c>
      <c r="BM826" s="4">
        <v>4</v>
      </c>
      <c r="BN826" s="4">
        <v>37</v>
      </c>
      <c r="BO826" s="4">
        <v>0</v>
      </c>
      <c r="BP826" s="4">
        <v>9</v>
      </c>
      <c r="BQ826" s="4">
        <v>43</v>
      </c>
      <c r="BR826" s="4">
        <v>3</v>
      </c>
      <c r="BS826" s="4">
        <v>169</v>
      </c>
      <c r="BT826" s="4">
        <v>62</v>
      </c>
      <c r="BU826" s="4">
        <v>19</v>
      </c>
      <c r="BV826" s="4">
        <v>33</v>
      </c>
      <c r="BW826" s="4">
        <v>7</v>
      </c>
      <c r="BX826" s="4">
        <v>412</v>
      </c>
      <c r="BY826" s="4">
        <v>1</v>
      </c>
      <c r="BZ826" s="4">
        <v>0</v>
      </c>
      <c r="CA826" s="4">
        <v>78</v>
      </c>
      <c r="CB826" s="4">
        <v>110</v>
      </c>
      <c r="CC826" s="4">
        <v>0</v>
      </c>
      <c r="CD826" s="4">
        <v>2</v>
      </c>
      <c r="CE826" s="4">
        <v>0</v>
      </c>
      <c r="CF826" s="4">
        <v>7</v>
      </c>
      <c r="CG826" s="4">
        <v>2</v>
      </c>
      <c r="CH826" s="4">
        <v>2</v>
      </c>
      <c r="CI826" s="4">
        <v>67</v>
      </c>
      <c r="CJ826" s="4">
        <v>348</v>
      </c>
      <c r="CK826" s="4">
        <v>69</v>
      </c>
      <c r="CL826" s="4">
        <v>0</v>
      </c>
      <c r="CM826" s="4">
        <v>66</v>
      </c>
      <c r="CN826" s="4">
        <v>214</v>
      </c>
      <c r="CO826" s="4">
        <v>6</v>
      </c>
      <c r="CP826" s="4">
        <v>5</v>
      </c>
      <c r="CQ826" s="4">
        <v>0</v>
      </c>
      <c r="CR826" s="4">
        <v>60</v>
      </c>
      <c r="CS826" s="4">
        <v>8</v>
      </c>
      <c r="CT826" s="4">
        <v>6</v>
      </c>
      <c r="CU826" s="4">
        <v>35</v>
      </c>
      <c r="CV826" s="4">
        <v>36</v>
      </c>
      <c r="CW826" s="4">
        <v>10</v>
      </c>
      <c r="CX826" s="5">
        <v>10</v>
      </c>
    </row>
    <row r="827" spans="1:102" ht="15.75" x14ac:dyDescent="0.25">
      <c r="A827" s="4" t="s">
        <v>333</v>
      </c>
      <c r="B827" s="4" t="s">
        <v>334</v>
      </c>
      <c r="C827" s="4">
        <v>2021</v>
      </c>
      <c r="D827" s="4">
        <v>601</v>
      </c>
      <c r="E827" s="4">
        <v>3</v>
      </c>
      <c r="F827" s="4">
        <v>3</v>
      </c>
      <c r="G827" s="4">
        <v>4</v>
      </c>
      <c r="H827" s="4">
        <v>0</v>
      </c>
      <c r="I827" s="4">
        <v>20</v>
      </c>
      <c r="J827" s="4">
        <v>3</v>
      </c>
      <c r="K827" s="4">
        <v>2</v>
      </c>
      <c r="L827" s="4">
        <v>14</v>
      </c>
      <c r="M827" s="4">
        <v>2</v>
      </c>
      <c r="N827" s="4">
        <v>9</v>
      </c>
      <c r="O827" s="4">
        <v>1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1</v>
      </c>
      <c r="W827" s="4">
        <v>81</v>
      </c>
      <c r="X827" s="4">
        <v>0</v>
      </c>
      <c r="Y827" s="4">
        <v>0</v>
      </c>
      <c r="Z827" s="4">
        <v>0</v>
      </c>
      <c r="AA827" s="4">
        <v>1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3</v>
      </c>
      <c r="AH827" s="4">
        <v>1</v>
      </c>
      <c r="AI827" s="4">
        <v>3</v>
      </c>
      <c r="AJ827" s="4">
        <v>32</v>
      </c>
      <c r="AK827" s="4">
        <v>15</v>
      </c>
      <c r="AL827" s="4">
        <v>0</v>
      </c>
      <c r="AM827" s="4">
        <v>1</v>
      </c>
      <c r="AN827" s="4">
        <v>10</v>
      </c>
      <c r="AO827" s="4">
        <v>8</v>
      </c>
      <c r="AP827" s="4">
        <v>0</v>
      </c>
      <c r="AQ827" s="4">
        <v>2</v>
      </c>
      <c r="AR827" s="4">
        <v>0</v>
      </c>
      <c r="AS827" s="4">
        <v>2</v>
      </c>
      <c r="AT827" s="4">
        <v>7</v>
      </c>
      <c r="AU827" s="4">
        <v>1</v>
      </c>
      <c r="AV827" s="4">
        <v>5</v>
      </c>
      <c r="AW827" s="4">
        <v>4</v>
      </c>
      <c r="AX827" s="4">
        <v>14</v>
      </c>
      <c r="AY827" s="4">
        <v>0</v>
      </c>
      <c r="AZ827" s="4">
        <v>4</v>
      </c>
      <c r="BA827" s="4">
        <v>0</v>
      </c>
      <c r="BB827" s="4">
        <v>3</v>
      </c>
      <c r="BC827" s="4">
        <v>1</v>
      </c>
      <c r="BD827" s="4">
        <v>0</v>
      </c>
      <c r="BE827" s="4">
        <v>5</v>
      </c>
      <c r="BF827" s="4">
        <v>3</v>
      </c>
      <c r="BG827" s="4">
        <v>0</v>
      </c>
      <c r="BH827" s="4">
        <v>0</v>
      </c>
      <c r="BI827" s="4">
        <v>0</v>
      </c>
      <c r="BJ827" s="4">
        <v>19</v>
      </c>
      <c r="BK827" s="4">
        <v>15</v>
      </c>
      <c r="BL827" s="4">
        <v>0</v>
      </c>
      <c r="BM827" s="4">
        <v>0</v>
      </c>
      <c r="BN827" s="4">
        <v>3</v>
      </c>
      <c r="BO827" s="4">
        <v>0</v>
      </c>
      <c r="BP827" s="4">
        <v>0</v>
      </c>
      <c r="BQ827" s="4">
        <v>5</v>
      </c>
      <c r="BR827" s="4">
        <v>1</v>
      </c>
      <c r="BS827" s="4">
        <v>18</v>
      </c>
      <c r="BT827" s="4">
        <v>12</v>
      </c>
      <c r="BU827" s="4">
        <v>1</v>
      </c>
      <c r="BV827" s="4">
        <v>3</v>
      </c>
      <c r="BW827" s="4">
        <v>1</v>
      </c>
      <c r="BX827" s="4">
        <v>103</v>
      </c>
      <c r="BY827" s="4">
        <v>0</v>
      </c>
      <c r="BZ827" s="4">
        <v>0</v>
      </c>
      <c r="CA827" s="4">
        <v>44</v>
      </c>
      <c r="CB827" s="4">
        <v>0</v>
      </c>
      <c r="CC827" s="4">
        <v>0</v>
      </c>
      <c r="CD827" s="4">
        <v>2</v>
      </c>
      <c r="CE827" s="4">
        <v>0</v>
      </c>
      <c r="CF827" s="4">
        <v>2</v>
      </c>
      <c r="CG827" s="4">
        <v>0</v>
      </c>
      <c r="CH827" s="4">
        <v>2</v>
      </c>
      <c r="CI827" s="4">
        <v>10</v>
      </c>
      <c r="CJ827" s="4">
        <v>26</v>
      </c>
      <c r="CK827" s="4">
        <v>5</v>
      </c>
      <c r="CL827" s="4">
        <v>0</v>
      </c>
      <c r="CM827" s="4">
        <v>3</v>
      </c>
      <c r="CN827" s="4">
        <v>19</v>
      </c>
      <c r="CO827" s="4">
        <v>6</v>
      </c>
      <c r="CP827" s="4">
        <v>0</v>
      </c>
      <c r="CQ827" s="4">
        <v>0</v>
      </c>
      <c r="CR827" s="4">
        <v>8</v>
      </c>
      <c r="CS827" s="4">
        <v>7</v>
      </c>
      <c r="CT827" s="4">
        <v>3</v>
      </c>
      <c r="CU827" s="4">
        <v>1</v>
      </c>
      <c r="CV827" s="4">
        <v>9</v>
      </c>
      <c r="CW827" s="4">
        <v>3</v>
      </c>
      <c r="CX827" s="5">
        <v>3</v>
      </c>
    </row>
    <row r="828" spans="1:102" ht="15.75" x14ac:dyDescent="0.25">
      <c r="A828" s="4" t="s">
        <v>335</v>
      </c>
      <c r="B828" s="4" t="s">
        <v>336</v>
      </c>
      <c r="C828" s="4">
        <v>2021</v>
      </c>
      <c r="D828" s="4">
        <v>50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1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12</v>
      </c>
      <c r="AK828" s="4">
        <v>0</v>
      </c>
      <c r="AL828" s="4">
        <v>0</v>
      </c>
      <c r="AM828" s="4">
        <v>0</v>
      </c>
      <c r="AN828" s="4">
        <v>0</v>
      </c>
      <c r="AO828" s="4">
        <v>2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2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1</v>
      </c>
      <c r="BX828" s="4">
        <v>4</v>
      </c>
      <c r="BY828" s="4">
        <v>0</v>
      </c>
      <c r="BZ828" s="4">
        <v>0</v>
      </c>
      <c r="CA828" s="4">
        <v>0</v>
      </c>
      <c r="CB828" s="4">
        <v>19</v>
      </c>
      <c r="CC828" s="4">
        <v>0</v>
      </c>
      <c r="CD828" s="4">
        <v>0</v>
      </c>
      <c r="CE828" s="4">
        <v>0</v>
      </c>
      <c r="CF828" s="4">
        <v>1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1</v>
      </c>
      <c r="CW828" s="4">
        <v>0</v>
      </c>
      <c r="CX828" s="5">
        <v>0</v>
      </c>
    </row>
    <row r="829" spans="1:102" ht="15.75" x14ac:dyDescent="0.25">
      <c r="A829" s="4" t="s">
        <v>337</v>
      </c>
      <c r="B829" s="4" t="s">
        <v>338</v>
      </c>
      <c r="C829" s="4">
        <v>2021</v>
      </c>
      <c r="D829" s="4">
        <v>325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1</v>
      </c>
      <c r="K829" s="4">
        <v>0</v>
      </c>
      <c r="L829" s="4">
        <v>0</v>
      </c>
      <c r="M829" s="4">
        <v>0</v>
      </c>
      <c r="N829" s="4">
        <v>1</v>
      </c>
      <c r="O829" s="4">
        <v>56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1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</v>
      </c>
      <c r="AH829" s="4">
        <v>0</v>
      </c>
      <c r="AI829" s="4">
        <v>5</v>
      </c>
      <c r="AJ829" s="4">
        <v>16</v>
      </c>
      <c r="AK829" s="4">
        <v>1</v>
      </c>
      <c r="AL829" s="4">
        <v>0</v>
      </c>
      <c r="AM829" s="4">
        <v>6</v>
      </c>
      <c r="AN829" s="4">
        <v>1</v>
      </c>
      <c r="AO829" s="4">
        <v>3</v>
      </c>
      <c r="AP829" s="4">
        <v>0</v>
      </c>
      <c r="AQ829" s="4">
        <v>2</v>
      </c>
      <c r="AR829" s="4">
        <v>0</v>
      </c>
      <c r="AS829" s="4">
        <v>7</v>
      </c>
      <c r="AT829" s="4">
        <v>1</v>
      </c>
      <c r="AU829" s="4">
        <v>2</v>
      </c>
      <c r="AV829" s="4">
        <v>7</v>
      </c>
      <c r="AW829" s="4">
        <v>2</v>
      </c>
      <c r="AX829" s="4">
        <v>10</v>
      </c>
      <c r="AY829" s="4">
        <v>1</v>
      </c>
      <c r="AZ829" s="4">
        <v>1</v>
      </c>
      <c r="BA829" s="4">
        <v>0</v>
      </c>
      <c r="BB829" s="4">
        <v>36</v>
      </c>
      <c r="BC829" s="4">
        <v>5</v>
      </c>
      <c r="BD829" s="4">
        <v>0</v>
      </c>
      <c r="BE829" s="4">
        <v>3</v>
      </c>
      <c r="BF829" s="4">
        <v>15</v>
      </c>
      <c r="BG829" s="4">
        <v>0</v>
      </c>
      <c r="BH829" s="4">
        <v>1</v>
      </c>
      <c r="BI829" s="4">
        <v>0</v>
      </c>
      <c r="BJ829" s="4">
        <v>20</v>
      </c>
      <c r="BK829" s="4">
        <v>16</v>
      </c>
      <c r="BL829" s="4">
        <v>0</v>
      </c>
      <c r="BM829" s="4">
        <v>0</v>
      </c>
      <c r="BN829" s="4">
        <v>3</v>
      </c>
      <c r="BO829" s="4">
        <v>0</v>
      </c>
      <c r="BP829" s="4">
        <v>1</v>
      </c>
      <c r="BQ829" s="4">
        <v>7</v>
      </c>
      <c r="BR829" s="4">
        <v>0</v>
      </c>
      <c r="BS829" s="4">
        <v>16</v>
      </c>
      <c r="BT829" s="4">
        <v>3</v>
      </c>
      <c r="BU829" s="4">
        <v>0</v>
      </c>
      <c r="BV829" s="4">
        <v>1</v>
      </c>
      <c r="BW829" s="4">
        <v>0</v>
      </c>
      <c r="BX829" s="4">
        <v>1</v>
      </c>
      <c r="BY829" s="4">
        <v>0</v>
      </c>
      <c r="BZ829" s="4">
        <v>0</v>
      </c>
      <c r="CA829" s="4">
        <v>38</v>
      </c>
      <c r="CB829" s="4">
        <v>0</v>
      </c>
      <c r="CC829" s="4">
        <v>0</v>
      </c>
      <c r="CD829" s="4">
        <v>1</v>
      </c>
      <c r="CE829" s="4">
        <v>0</v>
      </c>
      <c r="CF829" s="4">
        <v>0</v>
      </c>
      <c r="CG829" s="4">
        <v>1</v>
      </c>
      <c r="CH829" s="4">
        <v>0</v>
      </c>
      <c r="CI829" s="4">
        <v>0</v>
      </c>
      <c r="CJ829" s="4">
        <v>2</v>
      </c>
      <c r="CK829" s="4">
        <v>1</v>
      </c>
      <c r="CL829" s="4">
        <v>0</v>
      </c>
      <c r="CM829" s="4">
        <v>4</v>
      </c>
      <c r="CN829" s="4">
        <v>16</v>
      </c>
      <c r="CO829" s="4">
        <v>1</v>
      </c>
      <c r="CP829" s="4">
        <v>0</v>
      </c>
      <c r="CQ829" s="4">
        <v>0</v>
      </c>
      <c r="CR829" s="4">
        <v>0</v>
      </c>
      <c r="CS829" s="4">
        <v>3</v>
      </c>
      <c r="CT829" s="4">
        <v>1</v>
      </c>
      <c r="CU829" s="4">
        <v>0</v>
      </c>
      <c r="CV829" s="4">
        <v>3</v>
      </c>
      <c r="CW829" s="4">
        <v>2</v>
      </c>
      <c r="CX829" s="5">
        <v>2</v>
      </c>
    </row>
    <row r="830" spans="1:102" ht="15.75" x14ac:dyDescent="0.25">
      <c r="A830" s="4" t="s">
        <v>339</v>
      </c>
      <c r="B830" s="4" t="s">
        <v>340</v>
      </c>
      <c r="C830" s="4">
        <v>2021</v>
      </c>
      <c r="D830" s="4">
        <v>11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4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3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1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1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5">
        <v>0</v>
      </c>
    </row>
    <row r="831" spans="1:102" ht="15.75" x14ac:dyDescent="0.25">
      <c r="A831" s="4" t="s">
        <v>341</v>
      </c>
      <c r="B831" s="4" t="s">
        <v>342</v>
      </c>
      <c r="C831" s="4">
        <v>2021</v>
      </c>
      <c r="D831" s="4">
        <v>199</v>
      </c>
      <c r="E831" s="4">
        <v>0</v>
      </c>
      <c r="F831" s="4">
        <v>1</v>
      </c>
      <c r="G831" s="4">
        <v>6</v>
      </c>
      <c r="H831" s="4">
        <v>1</v>
      </c>
      <c r="I831" s="4">
        <v>2</v>
      </c>
      <c r="J831" s="4">
        <v>1</v>
      </c>
      <c r="K831" s="4">
        <v>0</v>
      </c>
      <c r="L831" s="4">
        <v>2</v>
      </c>
      <c r="M831" s="4">
        <v>1</v>
      </c>
      <c r="N831" s="4">
        <v>3</v>
      </c>
      <c r="O831" s="4">
        <v>43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</v>
      </c>
      <c r="AH831" s="4">
        <v>0</v>
      </c>
      <c r="AI831" s="4">
        <v>2</v>
      </c>
      <c r="AJ831" s="4">
        <v>11</v>
      </c>
      <c r="AK831" s="4">
        <v>3</v>
      </c>
      <c r="AL831" s="4">
        <v>0</v>
      </c>
      <c r="AM831" s="4">
        <v>0</v>
      </c>
      <c r="AN831" s="4">
        <v>0</v>
      </c>
      <c r="AO831" s="4">
        <v>2</v>
      </c>
      <c r="AP831" s="4">
        <v>0</v>
      </c>
      <c r="AQ831" s="4">
        <v>0</v>
      </c>
      <c r="AR831" s="4">
        <v>0</v>
      </c>
      <c r="AS831" s="4">
        <v>1</v>
      </c>
      <c r="AT831" s="4">
        <v>3</v>
      </c>
      <c r="AU831" s="4">
        <v>0</v>
      </c>
      <c r="AV831" s="4">
        <v>0</v>
      </c>
      <c r="AW831" s="4">
        <v>0</v>
      </c>
      <c r="AX831" s="4">
        <v>1</v>
      </c>
      <c r="AY831" s="4">
        <v>0</v>
      </c>
      <c r="AZ831" s="4">
        <v>8</v>
      </c>
      <c r="BA831" s="4">
        <v>0</v>
      </c>
      <c r="BB831" s="4">
        <v>13</v>
      </c>
      <c r="BC831" s="4">
        <v>32</v>
      </c>
      <c r="BD831" s="4">
        <v>0</v>
      </c>
      <c r="BE831" s="4">
        <v>1</v>
      </c>
      <c r="BF831" s="4">
        <v>2</v>
      </c>
      <c r="BG831" s="4">
        <v>0</v>
      </c>
      <c r="BH831" s="4">
        <v>0</v>
      </c>
      <c r="BI831" s="4">
        <v>0</v>
      </c>
      <c r="BJ831" s="4">
        <v>1</v>
      </c>
      <c r="BK831" s="4">
        <v>2</v>
      </c>
      <c r="BL831" s="4">
        <v>0</v>
      </c>
      <c r="BM831" s="4">
        <v>0</v>
      </c>
      <c r="BN831" s="4">
        <v>2</v>
      </c>
      <c r="BO831" s="4">
        <v>0</v>
      </c>
      <c r="BP831" s="4">
        <v>0</v>
      </c>
      <c r="BQ831" s="4">
        <v>1</v>
      </c>
      <c r="BR831" s="4">
        <v>1</v>
      </c>
      <c r="BS831" s="4">
        <v>4</v>
      </c>
      <c r="BT831" s="4">
        <v>2</v>
      </c>
      <c r="BU831" s="4">
        <v>0</v>
      </c>
      <c r="BV831" s="4">
        <v>2</v>
      </c>
      <c r="BW831" s="4">
        <v>0</v>
      </c>
      <c r="BX831" s="4">
        <v>15</v>
      </c>
      <c r="BY831" s="4">
        <v>0</v>
      </c>
      <c r="BZ831" s="4">
        <v>0</v>
      </c>
      <c r="CA831" s="4">
        <v>1</v>
      </c>
      <c r="CB831" s="4">
        <v>2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1</v>
      </c>
      <c r="CK831" s="4">
        <v>0</v>
      </c>
      <c r="CL831" s="4">
        <v>0</v>
      </c>
      <c r="CM831" s="4">
        <v>0</v>
      </c>
      <c r="CN831" s="4">
        <v>2</v>
      </c>
      <c r="CO831" s="4">
        <v>1</v>
      </c>
      <c r="CP831" s="4">
        <v>0</v>
      </c>
      <c r="CQ831" s="4">
        <v>0</v>
      </c>
      <c r="CR831" s="4">
        <v>5</v>
      </c>
      <c r="CS831" s="4">
        <v>1</v>
      </c>
      <c r="CT831" s="4">
        <v>1</v>
      </c>
      <c r="CU831" s="4">
        <v>0</v>
      </c>
      <c r="CV831" s="4">
        <v>5</v>
      </c>
      <c r="CW831" s="4">
        <v>0</v>
      </c>
      <c r="CX831" s="5">
        <v>0</v>
      </c>
    </row>
    <row r="832" spans="1:102" ht="15.75" x14ac:dyDescent="0.25">
      <c r="A832" s="4" t="s">
        <v>343</v>
      </c>
      <c r="B832" s="4" t="s">
        <v>344</v>
      </c>
      <c r="C832" s="4">
        <v>2021</v>
      </c>
      <c r="D832" s="4">
        <v>17</v>
      </c>
      <c r="E832" s="4">
        <v>0</v>
      </c>
      <c r="F832" s="4">
        <v>2</v>
      </c>
      <c r="G832" s="4">
        <v>2</v>
      </c>
      <c r="H832" s="4">
        <v>0</v>
      </c>
      <c r="I832" s="4">
        <v>1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1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1</v>
      </c>
      <c r="AW832" s="4">
        <v>0</v>
      </c>
      <c r="AX832" s="4">
        <v>1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2</v>
      </c>
      <c r="BT832" s="4">
        <v>0</v>
      </c>
      <c r="BU832" s="4">
        <v>0</v>
      </c>
      <c r="BV832" s="4">
        <v>0</v>
      </c>
      <c r="BW832" s="4">
        <v>1</v>
      </c>
      <c r="BX832" s="4">
        <v>1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1</v>
      </c>
      <c r="CW832" s="4">
        <v>0</v>
      </c>
      <c r="CX832" s="5">
        <v>0</v>
      </c>
    </row>
    <row r="833" spans="1:102" ht="15.75" x14ac:dyDescent="0.25">
      <c r="A833" s="4" t="s">
        <v>345</v>
      </c>
      <c r="B833" s="4" t="s">
        <v>346</v>
      </c>
      <c r="C833" s="4">
        <v>2021</v>
      </c>
      <c r="D833" s="4">
        <v>15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1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1</v>
      </c>
      <c r="BO833" s="4">
        <v>0</v>
      </c>
      <c r="BP833" s="4">
        <v>0</v>
      </c>
      <c r="BQ833" s="4">
        <v>0</v>
      </c>
      <c r="BR833" s="4">
        <v>0</v>
      </c>
      <c r="BS833" s="4">
        <v>10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1</v>
      </c>
      <c r="CO833" s="4">
        <v>0</v>
      </c>
      <c r="CP833" s="4">
        <v>0</v>
      </c>
      <c r="CQ833" s="4">
        <v>0</v>
      </c>
      <c r="CR833" s="4">
        <v>1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5">
        <v>0</v>
      </c>
    </row>
    <row r="834" spans="1:102" ht="15.75" x14ac:dyDescent="0.25">
      <c r="A834" s="4" t="s">
        <v>347</v>
      </c>
      <c r="B834" s="4" t="s">
        <v>348</v>
      </c>
      <c r="C834" s="4">
        <v>2021</v>
      </c>
      <c r="D834" s="4">
        <v>174</v>
      </c>
      <c r="E834" s="4">
        <v>0</v>
      </c>
      <c r="F834" s="4">
        <v>0</v>
      </c>
      <c r="G834" s="4">
        <v>1</v>
      </c>
      <c r="H834" s="4">
        <v>0</v>
      </c>
      <c r="I834" s="4">
        <v>0</v>
      </c>
      <c r="J834" s="4">
        <v>0</v>
      </c>
      <c r="K834" s="4">
        <v>0</v>
      </c>
      <c r="L834" s="4">
        <v>1</v>
      </c>
      <c r="M834" s="4">
        <v>4</v>
      </c>
      <c r="N834" s="4">
        <v>3</v>
      </c>
      <c r="O834" s="4">
        <v>3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1</v>
      </c>
      <c r="V834" s="4">
        <v>1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</v>
      </c>
      <c r="AH834" s="4">
        <v>2</v>
      </c>
      <c r="AI834" s="4">
        <v>4</v>
      </c>
      <c r="AJ834" s="4">
        <v>8</v>
      </c>
      <c r="AK834" s="4">
        <v>5</v>
      </c>
      <c r="AL834" s="4">
        <v>0</v>
      </c>
      <c r="AM834" s="4">
        <v>2</v>
      </c>
      <c r="AN834" s="4">
        <v>2</v>
      </c>
      <c r="AO834" s="4">
        <v>5</v>
      </c>
      <c r="AP834" s="4">
        <v>0</v>
      </c>
      <c r="AQ834" s="4">
        <v>0</v>
      </c>
      <c r="AR834" s="4">
        <v>0</v>
      </c>
      <c r="AS834" s="4">
        <v>17</v>
      </c>
      <c r="AT834" s="4">
        <v>7</v>
      </c>
      <c r="AU834" s="4">
        <v>1</v>
      </c>
      <c r="AV834" s="4">
        <v>2</v>
      </c>
      <c r="AW834" s="4">
        <v>1</v>
      </c>
      <c r="AX834" s="4">
        <v>4</v>
      </c>
      <c r="AY834" s="4">
        <v>0</v>
      </c>
      <c r="AZ834" s="4">
        <v>3</v>
      </c>
      <c r="BA834" s="4">
        <v>0</v>
      </c>
      <c r="BB834" s="4">
        <v>33</v>
      </c>
      <c r="BC834" s="4">
        <v>0</v>
      </c>
      <c r="BD834" s="4">
        <v>0</v>
      </c>
      <c r="BE834" s="4">
        <v>2</v>
      </c>
      <c r="BF834" s="4">
        <v>8</v>
      </c>
      <c r="BG834" s="4">
        <v>0</v>
      </c>
      <c r="BH834" s="4">
        <v>0</v>
      </c>
      <c r="BI834" s="4">
        <v>0</v>
      </c>
      <c r="BJ834" s="4">
        <v>2</v>
      </c>
      <c r="BK834" s="4">
        <v>2</v>
      </c>
      <c r="BL834" s="4">
        <v>0</v>
      </c>
      <c r="BM834" s="4">
        <v>2</v>
      </c>
      <c r="BN834" s="4">
        <v>2</v>
      </c>
      <c r="BO834" s="4">
        <v>0</v>
      </c>
      <c r="BP834" s="4">
        <v>2</v>
      </c>
      <c r="BQ834" s="4">
        <v>3</v>
      </c>
      <c r="BR834" s="4">
        <v>0</v>
      </c>
      <c r="BS834" s="4">
        <v>10</v>
      </c>
      <c r="BT834" s="4">
        <v>1</v>
      </c>
      <c r="BU834" s="4">
        <v>0</v>
      </c>
      <c r="BV834" s="4">
        <v>1</v>
      </c>
      <c r="BW834" s="4">
        <v>3</v>
      </c>
      <c r="BX834" s="4">
        <v>1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1</v>
      </c>
      <c r="CG834" s="4">
        <v>0</v>
      </c>
      <c r="CH834" s="4">
        <v>0</v>
      </c>
      <c r="CI834" s="4">
        <v>0</v>
      </c>
      <c r="CJ834" s="4">
        <v>1</v>
      </c>
      <c r="CK834" s="4">
        <v>0</v>
      </c>
      <c r="CL834" s="4">
        <v>0</v>
      </c>
      <c r="CM834" s="4">
        <v>1</v>
      </c>
      <c r="CN834" s="4">
        <v>5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4</v>
      </c>
      <c r="CU834" s="4">
        <v>0</v>
      </c>
      <c r="CV834" s="4">
        <v>5</v>
      </c>
      <c r="CW834" s="4">
        <v>1</v>
      </c>
      <c r="CX834" s="5">
        <v>1</v>
      </c>
    </row>
    <row r="835" spans="1:102" ht="15.75" x14ac:dyDescent="0.25">
      <c r="A835" s="4" t="s">
        <v>349</v>
      </c>
      <c r="B835" s="4" t="s">
        <v>350</v>
      </c>
      <c r="C835" s="4">
        <v>2021</v>
      </c>
      <c r="D835" s="4">
        <v>12</v>
      </c>
      <c r="E835" s="4">
        <v>0</v>
      </c>
      <c r="F835" s="4">
        <v>2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1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1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1</v>
      </c>
      <c r="CU835" s="4">
        <v>0</v>
      </c>
      <c r="CV835" s="4">
        <v>0</v>
      </c>
      <c r="CW835" s="4">
        <v>0</v>
      </c>
      <c r="CX835" s="5">
        <v>0</v>
      </c>
    </row>
    <row r="836" spans="1:102" ht="15.75" x14ac:dyDescent="0.25">
      <c r="A836" s="4" t="s">
        <v>351</v>
      </c>
      <c r="B836" s="4" t="s">
        <v>352</v>
      </c>
      <c r="C836" s="4">
        <v>2021</v>
      </c>
      <c r="D836" s="4">
        <v>1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1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5">
        <v>0</v>
      </c>
    </row>
    <row r="837" spans="1:102" ht="15.75" x14ac:dyDescent="0.25">
      <c r="A837" s="4" t="s">
        <v>353</v>
      </c>
      <c r="B837" s="4" t="s">
        <v>354</v>
      </c>
      <c r="C837" s="4">
        <v>2021</v>
      </c>
      <c r="D837" s="4">
        <v>601</v>
      </c>
      <c r="E837" s="4">
        <v>0</v>
      </c>
      <c r="F837" s="4">
        <v>1</v>
      </c>
      <c r="G837" s="4">
        <v>3</v>
      </c>
      <c r="H837" s="4">
        <v>34</v>
      </c>
      <c r="I837" s="4">
        <v>1</v>
      </c>
      <c r="J837" s="4">
        <v>2</v>
      </c>
      <c r="K837" s="4">
        <v>0</v>
      </c>
      <c r="L837" s="4">
        <v>4</v>
      </c>
      <c r="M837" s="4">
        <v>1</v>
      </c>
      <c r="N837" s="4">
        <v>8</v>
      </c>
      <c r="O837" s="4">
        <v>81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21</v>
      </c>
      <c r="V837" s="4">
        <v>1</v>
      </c>
      <c r="W837" s="4">
        <v>9</v>
      </c>
      <c r="X837" s="4">
        <v>1</v>
      </c>
      <c r="Y837" s="4">
        <v>0</v>
      </c>
      <c r="Z837" s="4">
        <v>0</v>
      </c>
      <c r="AA837" s="4">
        <v>6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3</v>
      </c>
      <c r="AH837" s="4">
        <v>1</v>
      </c>
      <c r="AI837" s="4">
        <v>5</v>
      </c>
      <c r="AJ837" s="4">
        <v>8</v>
      </c>
      <c r="AK837" s="4">
        <v>16</v>
      </c>
      <c r="AL837" s="4">
        <v>11</v>
      </c>
      <c r="AM837" s="4">
        <v>22</v>
      </c>
      <c r="AN837" s="4">
        <v>10</v>
      </c>
      <c r="AO837" s="4">
        <v>16</v>
      </c>
      <c r="AP837" s="4">
        <v>1</v>
      </c>
      <c r="AQ837" s="4">
        <v>4</v>
      </c>
      <c r="AR837" s="4">
        <v>1</v>
      </c>
      <c r="AS837" s="4">
        <v>3</v>
      </c>
      <c r="AT837" s="4">
        <v>24</v>
      </c>
      <c r="AU837" s="4">
        <v>5</v>
      </c>
      <c r="AV837" s="4">
        <v>2</v>
      </c>
      <c r="AW837" s="4">
        <v>4</v>
      </c>
      <c r="AX837" s="4">
        <v>11</v>
      </c>
      <c r="AY837" s="4">
        <v>0</v>
      </c>
      <c r="AZ837" s="4">
        <v>1</v>
      </c>
      <c r="BA837" s="4">
        <v>0</v>
      </c>
      <c r="BB837" s="4">
        <v>10</v>
      </c>
      <c r="BC837" s="4">
        <v>1</v>
      </c>
      <c r="BD837" s="4">
        <v>0</v>
      </c>
      <c r="BE837" s="4">
        <v>7</v>
      </c>
      <c r="BF837" s="4">
        <v>43</v>
      </c>
      <c r="BG837" s="4">
        <v>1</v>
      </c>
      <c r="BH837" s="4">
        <v>1</v>
      </c>
      <c r="BI837" s="4">
        <v>0</v>
      </c>
      <c r="BJ837" s="4">
        <v>10</v>
      </c>
      <c r="BK837" s="4">
        <v>16</v>
      </c>
      <c r="BL837" s="4">
        <v>0</v>
      </c>
      <c r="BM837" s="4">
        <v>1</v>
      </c>
      <c r="BN837" s="4">
        <v>6</v>
      </c>
      <c r="BO837" s="4">
        <v>0</v>
      </c>
      <c r="BP837" s="4">
        <v>1</v>
      </c>
      <c r="BQ837" s="4">
        <v>9</v>
      </c>
      <c r="BR837" s="4">
        <v>1</v>
      </c>
      <c r="BS837" s="4">
        <v>23</v>
      </c>
      <c r="BT837" s="4">
        <v>9</v>
      </c>
      <c r="BU837" s="4">
        <v>1</v>
      </c>
      <c r="BV837" s="4">
        <v>8</v>
      </c>
      <c r="BW837" s="4">
        <v>3</v>
      </c>
      <c r="BX837" s="4">
        <v>28</v>
      </c>
      <c r="BY837" s="4">
        <v>0</v>
      </c>
      <c r="BZ837" s="4">
        <v>0</v>
      </c>
      <c r="CA837" s="4">
        <v>12</v>
      </c>
      <c r="CB837" s="4">
        <v>0</v>
      </c>
      <c r="CC837" s="4">
        <v>0</v>
      </c>
      <c r="CD837" s="4">
        <v>4</v>
      </c>
      <c r="CE837" s="4">
        <v>0</v>
      </c>
      <c r="CF837" s="4">
        <v>1</v>
      </c>
      <c r="CG837" s="4">
        <v>1</v>
      </c>
      <c r="CH837" s="4">
        <v>2</v>
      </c>
      <c r="CI837" s="4">
        <v>1</v>
      </c>
      <c r="CJ837" s="4">
        <v>6</v>
      </c>
      <c r="CK837" s="4">
        <v>1</v>
      </c>
      <c r="CL837" s="4">
        <v>0</v>
      </c>
      <c r="CM837" s="4">
        <v>1</v>
      </c>
      <c r="CN837" s="4">
        <v>32</v>
      </c>
      <c r="CO837" s="4">
        <v>2</v>
      </c>
      <c r="CP837" s="4">
        <v>1</v>
      </c>
      <c r="CQ837" s="4">
        <v>0</v>
      </c>
      <c r="CR837" s="4">
        <v>6</v>
      </c>
      <c r="CS837" s="4">
        <v>0</v>
      </c>
      <c r="CT837" s="4">
        <v>8</v>
      </c>
      <c r="CU837" s="4">
        <v>8</v>
      </c>
      <c r="CV837" s="4">
        <v>15</v>
      </c>
      <c r="CW837" s="4">
        <v>3</v>
      </c>
      <c r="CX837" s="5">
        <v>3</v>
      </c>
    </row>
    <row r="838" spans="1:102" ht="15.75" x14ac:dyDescent="0.25">
      <c r="A838" s="4" t="s">
        <v>355</v>
      </c>
      <c r="B838" s="4" t="s">
        <v>356</v>
      </c>
      <c r="C838" s="4">
        <v>2021</v>
      </c>
      <c r="D838" s="4">
        <v>604</v>
      </c>
      <c r="E838" s="4">
        <v>0</v>
      </c>
      <c r="F838" s="4">
        <v>0</v>
      </c>
      <c r="G838" s="4">
        <v>1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2</v>
      </c>
      <c r="O838" s="4">
        <v>45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18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</v>
      </c>
      <c r="AH838" s="4">
        <v>0</v>
      </c>
      <c r="AI838" s="4">
        <v>13</v>
      </c>
      <c r="AJ838" s="4">
        <v>3</v>
      </c>
      <c r="AK838" s="4">
        <v>0</v>
      </c>
      <c r="AL838" s="4">
        <v>0</v>
      </c>
      <c r="AM838" s="4">
        <v>8</v>
      </c>
      <c r="AN838" s="4">
        <v>44</v>
      </c>
      <c r="AO838" s="4">
        <v>2</v>
      </c>
      <c r="AP838" s="4">
        <v>0</v>
      </c>
      <c r="AQ838" s="4">
        <v>1</v>
      </c>
      <c r="AR838" s="4">
        <v>0</v>
      </c>
      <c r="AS838" s="4">
        <v>7</v>
      </c>
      <c r="AT838" s="4">
        <v>2</v>
      </c>
      <c r="AU838" s="4">
        <v>2</v>
      </c>
      <c r="AV838" s="4">
        <v>2</v>
      </c>
      <c r="AW838" s="4">
        <v>7</v>
      </c>
      <c r="AX838" s="4">
        <v>7</v>
      </c>
      <c r="AY838" s="4">
        <v>0</v>
      </c>
      <c r="AZ838" s="4">
        <v>1</v>
      </c>
      <c r="BA838" s="4">
        <v>0</v>
      </c>
      <c r="BB838" s="4">
        <v>290</v>
      </c>
      <c r="BC838" s="4">
        <v>0</v>
      </c>
      <c r="BD838" s="4">
        <v>0</v>
      </c>
      <c r="BE838" s="4">
        <v>6</v>
      </c>
      <c r="BF838" s="4">
        <v>6</v>
      </c>
      <c r="BG838" s="4">
        <v>1</v>
      </c>
      <c r="BH838" s="4">
        <v>1</v>
      </c>
      <c r="BI838" s="4">
        <v>0</v>
      </c>
      <c r="BJ838" s="4">
        <v>5</v>
      </c>
      <c r="BK838" s="4">
        <v>11</v>
      </c>
      <c r="BL838" s="4">
        <v>0</v>
      </c>
      <c r="BM838" s="4">
        <v>0</v>
      </c>
      <c r="BN838" s="4">
        <v>4</v>
      </c>
      <c r="BO838" s="4">
        <v>0</v>
      </c>
      <c r="BP838" s="4">
        <v>1</v>
      </c>
      <c r="BQ838" s="4">
        <v>5</v>
      </c>
      <c r="BR838" s="4">
        <v>0</v>
      </c>
      <c r="BS838" s="4">
        <v>18</v>
      </c>
      <c r="BT838" s="4">
        <v>2</v>
      </c>
      <c r="BU838" s="4">
        <v>0</v>
      </c>
      <c r="BV838" s="4">
        <v>1</v>
      </c>
      <c r="BW838" s="4">
        <v>1</v>
      </c>
      <c r="BX838" s="4">
        <v>18</v>
      </c>
      <c r="BY838" s="4">
        <v>0</v>
      </c>
      <c r="BZ838" s="4">
        <v>0</v>
      </c>
      <c r="CA838" s="4">
        <v>13</v>
      </c>
      <c r="CB838" s="4">
        <v>0</v>
      </c>
      <c r="CC838" s="4">
        <v>0</v>
      </c>
      <c r="CD838" s="4">
        <v>0</v>
      </c>
      <c r="CE838" s="4">
        <v>0</v>
      </c>
      <c r="CF838" s="4">
        <v>3</v>
      </c>
      <c r="CG838" s="4">
        <v>0</v>
      </c>
      <c r="CH838" s="4">
        <v>1</v>
      </c>
      <c r="CI838" s="4">
        <v>0</v>
      </c>
      <c r="CJ838" s="4">
        <v>2</v>
      </c>
      <c r="CK838" s="4">
        <v>1</v>
      </c>
      <c r="CL838" s="4">
        <v>0</v>
      </c>
      <c r="CM838" s="4">
        <v>0</v>
      </c>
      <c r="CN838" s="4">
        <v>14</v>
      </c>
      <c r="CO838" s="4">
        <v>0</v>
      </c>
      <c r="CP838" s="4">
        <v>1</v>
      </c>
      <c r="CQ838" s="4">
        <v>0</v>
      </c>
      <c r="CR838" s="4">
        <v>7</v>
      </c>
      <c r="CS838" s="4">
        <v>0</v>
      </c>
      <c r="CT838" s="4">
        <v>2</v>
      </c>
      <c r="CU838" s="4">
        <v>0</v>
      </c>
      <c r="CV838" s="4">
        <v>15</v>
      </c>
      <c r="CW838" s="4">
        <v>4</v>
      </c>
      <c r="CX838" s="5">
        <v>4</v>
      </c>
    </row>
    <row r="839" spans="1:102" ht="15.75" x14ac:dyDescent="0.25">
      <c r="A839" s="4" t="s">
        <v>357</v>
      </c>
      <c r="B839" s="4" t="s">
        <v>358</v>
      </c>
      <c r="C839" s="4">
        <v>2021</v>
      </c>
      <c r="D839" s="4">
        <v>442</v>
      </c>
      <c r="E839" s="4">
        <v>0</v>
      </c>
      <c r="F839" s="4">
        <v>1</v>
      </c>
      <c r="G839" s="4">
        <v>0</v>
      </c>
      <c r="H839" s="4">
        <v>17</v>
      </c>
      <c r="I839" s="4">
        <v>1</v>
      </c>
      <c r="J839" s="4">
        <v>0</v>
      </c>
      <c r="K839" s="4">
        <v>0</v>
      </c>
      <c r="L839" s="4">
        <v>0</v>
      </c>
      <c r="M839" s="4">
        <v>1</v>
      </c>
      <c r="N839" s="4">
        <v>3</v>
      </c>
      <c r="O839" s="4">
        <v>215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8</v>
      </c>
      <c r="V839" s="4">
        <v>0</v>
      </c>
      <c r="W839" s="4">
        <v>1</v>
      </c>
      <c r="X839" s="4">
        <v>0</v>
      </c>
      <c r="Y839" s="4">
        <v>0</v>
      </c>
      <c r="Z839" s="4">
        <v>0</v>
      </c>
      <c r="AA839" s="4">
        <v>23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</v>
      </c>
      <c r="AH839" s="4">
        <v>0</v>
      </c>
      <c r="AI839" s="4">
        <v>1</v>
      </c>
      <c r="AJ839" s="4">
        <v>1</v>
      </c>
      <c r="AK839" s="4">
        <v>6</v>
      </c>
      <c r="AL839" s="4">
        <v>4</v>
      </c>
      <c r="AM839" s="4">
        <v>2</v>
      </c>
      <c r="AN839" s="4">
        <v>2</v>
      </c>
      <c r="AO839" s="4">
        <v>6</v>
      </c>
      <c r="AP839" s="4">
        <v>0</v>
      </c>
      <c r="AQ839" s="4">
        <v>1</v>
      </c>
      <c r="AR839" s="4">
        <v>0</v>
      </c>
      <c r="AS839" s="4">
        <v>1</v>
      </c>
      <c r="AT839" s="4">
        <v>4</v>
      </c>
      <c r="AU839" s="4">
        <v>2</v>
      </c>
      <c r="AV839" s="4">
        <v>2</v>
      </c>
      <c r="AW839" s="4">
        <v>1</v>
      </c>
      <c r="AX839" s="4">
        <v>5</v>
      </c>
      <c r="AY839" s="4">
        <v>0</v>
      </c>
      <c r="AZ839" s="4">
        <v>4</v>
      </c>
      <c r="BA839" s="4">
        <v>0</v>
      </c>
      <c r="BB839" s="4">
        <v>11</v>
      </c>
      <c r="BC839" s="4">
        <v>1</v>
      </c>
      <c r="BD839" s="4">
        <v>0</v>
      </c>
      <c r="BE839" s="4">
        <v>2</v>
      </c>
      <c r="BF839" s="4">
        <v>7</v>
      </c>
      <c r="BG839" s="4">
        <v>0</v>
      </c>
      <c r="BH839" s="4">
        <v>0</v>
      </c>
      <c r="BI839" s="4">
        <v>0</v>
      </c>
      <c r="BJ839" s="4">
        <v>5</v>
      </c>
      <c r="BK839" s="4">
        <v>4</v>
      </c>
      <c r="BL839" s="4">
        <v>0</v>
      </c>
      <c r="BM839" s="4">
        <v>1</v>
      </c>
      <c r="BN839" s="4">
        <v>5</v>
      </c>
      <c r="BO839" s="4">
        <v>0</v>
      </c>
      <c r="BP839" s="4">
        <v>0</v>
      </c>
      <c r="BQ839" s="4">
        <v>4</v>
      </c>
      <c r="BR839" s="4">
        <v>1</v>
      </c>
      <c r="BS839" s="4">
        <v>7</v>
      </c>
      <c r="BT839" s="4">
        <v>5</v>
      </c>
      <c r="BU839" s="4">
        <v>0</v>
      </c>
      <c r="BV839" s="4">
        <v>4</v>
      </c>
      <c r="BW839" s="4">
        <v>0</v>
      </c>
      <c r="BX839" s="4">
        <v>22</v>
      </c>
      <c r="BY839" s="4">
        <v>0</v>
      </c>
      <c r="BZ839" s="4">
        <v>0</v>
      </c>
      <c r="CA839" s="4">
        <v>16</v>
      </c>
      <c r="CB839" s="4">
        <v>0</v>
      </c>
      <c r="CC839" s="4">
        <v>0</v>
      </c>
      <c r="CD839" s="4">
        <v>3</v>
      </c>
      <c r="CE839" s="4">
        <v>0</v>
      </c>
      <c r="CF839" s="4">
        <v>1</v>
      </c>
      <c r="CG839" s="4">
        <v>0</v>
      </c>
      <c r="CH839" s="4">
        <v>0</v>
      </c>
      <c r="CI839" s="4">
        <v>1</v>
      </c>
      <c r="CJ839" s="4">
        <v>4</v>
      </c>
      <c r="CK839" s="4">
        <v>0</v>
      </c>
      <c r="CL839" s="4">
        <v>0</v>
      </c>
      <c r="CM839" s="4">
        <v>0</v>
      </c>
      <c r="CN839" s="4">
        <v>5</v>
      </c>
      <c r="CO839" s="4">
        <v>2</v>
      </c>
      <c r="CP839" s="4">
        <v>0</v>
      </c>
      <c r="CQ839" s="4">
        <v>0</v>
      </c>
      <c r="CR839" s="4">
        <v>3</v>
      </c>
      <c r="CS839" s="4">
        <v>0</v>
      </c>
      <c r="CT839" s="4">
        <v>3</v>
      </c>
      <c r="CU839" s="4">
        <v>1</v>
      </c>
      <c r="CV839" s="4">
        <v>6</v>
      </c>
      <c r="CW839" s="4">
        <v>2</v>
      </c>
      <c r="CX839" s="5">
        <v>2</v>
      </c>
    </row>
    <row r="840" spans="1:102" ht="15.75" x14ac:dyDescent="0.25">
      <c r="A840" s="4" t="s">
        <v>359</v>
      </c>
      <c r="B840" s="4" t="s">
        <v>360</v>
      </c>
      <c r="C840" s="4">
        <v>2021</v>
      </c>
      <c r="D840" s="4">
        <v>149</v>
      </c>
      <c r="E840" s="4">
        <v>0</v>
      </c>
      <c r="F840" s="4">
        <v>0</v>
      </c>
      <c r="G840" s="4">
        <v>5</v>
      </c>
      <c r="H840" s="4">
        <v>0</v>
      </c>
      <c r="I840" s="4">
        <v>3</v>
      </c>
      <c r="J840" s="4">
        <v>0</v>
      </c>
      <c r="K840" s="4">
        <v>1</v>
      </c>
      <c r="L840" s="4">
        <v>7</v>
      </c>
      <c r="M840" s="4">
        <v>0</v>
      </c>
      <c r="N840" s="4">
        <v>4</v>
      </c>
      <c r="O840" s="4">
        <v>36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2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</v>
      </c>
      <c r="AH840" s="4">
        <v>0</v>
      </c>
      <c r="AI840" s="4">
        <v>1</v>
      </c>
      <c r="AJ840" s="4">
        <v>18</v>
      </c>
      <c r="AK840" s="4">
        <v>5</v>
      </c>
      <c r="AL840" s="4">
        <v>0</v>
      </c>
      <c r="AM840" s="4">
        <v>0</v>
      </c>
      <c r="AN840" s="4">
        <v>0</v>
      </c>
      <c r="AO840" s="4">
        <v>6</v>
      </c>
      <c r="AP840" s="4">
        <v>0</v>
      </c>
      <c r="AQ840" s="4">
        <v>1</v>
      </c>
      <c r="AR840" s="4">
        <v>0</v>
      </c>
      <c r="AS840" s="4">
        <v>0</v>
      </c>
      <c r="AT840" s="4">
        <v>2</v>
      </c>
      <c r="AU840" s="4">
        <v>0</v>
      </c>
      <c r="AV840" s="4">
        <v>14</v>
      </c>
      <c r="AW840" s="4">
        <v>0</v>
      </c>
      <c r="AX840" s="4">
        <v>2</v>
      </c>
      <c r="AY840" s="4">
        <v>0</v>
      </c>
      <c r="AZ840" s="4">
        <v>3</v>
      </c>
      <c r="BA840" s="4">
        <v>0</v>
      </c>
      <c r="BB840" s="4">
        <v>3</v>
      </c>
      <c r="BC840" s="4">
        <v>0</v>
      </c>
      <c r="BD840" s="4">
        <v>0</v>
      </c>
      <c r="BE840" s="4">
        <v>0</v>
      </c>
      <c r="BF840" s="4">
        <v>3</v>
      </c>
      <c r="BG840" s="4">
        <v>0</v>
      </c>
      <c r="BH840" s="4">
        <v>0</v>
      </c>
      <c r="BI840" s="4">
        <v>0</v>
      </c>
      <c r="BJ840" s="4">
        <v>4</v>
      </c>
      <c r="BK840" s="4">
        <v>4</v>
      </c>
      <c r="BL840" s="4">
        <v>0</v>
      </c>
      <c r="BM840" s="4">
        <v>0</v>
      </c>
      <c r="BN840" s="4">
        <v>1</v>
      </c>
      <c r="BO840" s="4">
        <v>0</v>
      </c>
      <c r="BP840" s="4">
        <v>0</v>
      </c>
      <c r="BQ840" s="4">
        <v>2</v>
      </c>
      <c r="BR840" s="4">
        <v>1</v>
      </c>
      <c r="BS840" s="4">
        <v>2</v>
      </c>
      <c r="BT840" s="4">
        <v>1</v>
      </c>
      <c r="BU840" s="4">
        <v>0</v>
      </c>
      <c r="BV840" s="4">
        <v>1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1</v>
      </c>
      <c r="CG840" s="4">
        <v>0</v>
      </c>
      <c r="CH840" s="4">
        <v>0</v>
      </c>
      <c r="CI840" s="4">
        <v>0</v>
      </c>
      <c r="CJ840" s="4">
        <v>3</v>
      </c>
      <c r="CK840" s="4">
        <v>0</v>
      </c>
      <c r="CL840" s="4">
        <v>0</v>
      </c>
      <c r="CM840" s="4">
        <v>1</v>
      </c>
      <c r="CN840" s="4">
        <v>4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4</v>
      </c>
      <c r="CU840" s="4">
        <v>0</v>
      </c>
      <c r="CV840" s="4">
        <v>1</v>
      </c>
      <c r="CW840" s="4">
        <v>0</v>
      </c>
      <c r="CX840" s="5">
        <v>0</v>
      </c>
    </row>
    <row r="841" spans="1:102" ht="15.75" x14ac:dyDescent="0.25">
      <c r="A841" s="4" t="s">
        <v>361</v>
      </c>
      <c r="B841" s="4" t="s">
        <v>362</v>
      </c>
      <c r="C841" s="4">
        <v>2021</v>
      </c>
      <c r="D841" s="4">
        <v>678</v>
      </c>
      <c r="E841" s="4">
        <v>0</v>
      </c>
      <c r="F841" s="4">
        <v>0</v>
      </c>
      <c r="G841" s="4">
        <v>8</v>
      </c>
      <c r="H841" s="4">
        <v>0</v>
      </c>
      <c r="I841" s="4">
        <v>16</v>
      </c>
      <c r="J841" s="4">
        <v>4</v>
      </c>
      <c r="K841" s="4">
        <v>0</v>
      </c>
      <c r="L841" s="4">
        <v>1</v>
      </c>
      <c r="M841" s="4">
        <v>1</v>
      </c>
      <c r="N841" s="4">
        <v>3</v>
      </c>
      <c r="O841" s="4">
        <v>19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3</v>
      </c>
      <c r="V841" s="4">
        <v>4</v>
      </c>
      <c r="W841" s="4">
        <v>29</v>
      </c>
      <c r="X841" s="4">
        <v>2</v>
      </c>
      <c r="Y841" s="4">
        <v>0</v>
      </c>
      <c r="Z841" s="4">
        <v>0</v>
      </c>
      <c r="AA841" s="4">
        <v>196</v>
      </c>
      <c r="AB841" s="4">
        <v>59</v>
      </c>
      <c r="AC841" s="4">
        <v>0</v>
      </c>
      <c r="AD841" s="4">
        <v>0</v>
      </c>
      <c r="AE841" s="4">
        <v>0</v>
      </c>
      <c r="AF841" s="4">
        <v>0</v>
      </c>
      <c r="AG841" s="4">
        <v>2</v>
      </c>
      <c r="AH841" s="4">
        <v>0</v>
      </c>
      <c r="AI841" s="4">
        <v>5</v>
      </c>
      <c r="AJ841" s="4">
        <v>18</v>
      </c>
      <c r="AK841" s="4">
        <v>5</v>
      </c>
      <c r="AL841" s="4">
        <v>5</v>
      </c>
      <c r="AM841" s="4">
        <v>6</v>
      </c>
      <c r="AN841" s="4">
        <v>5</v>
      </c>
      <c r="AO841" s="4">
        <v>8</v>
      </c>
      <c r="AP841" s="4">
        <v>3</v>
      </c>
      <c r="AQ841" s="4">
        <v>5</v>
      </c>
      <c r="AR841" s="4">
        <v>0</v>
      </c>
      <c r="AS841" s="4">
        <v>2</v>
      </c>
      <c r="AT841" s="4">
        <v>10</v>
      </c>
      <c r="AU841" s="4">
        <v>2</v>
      </c>
      <c r="AV841" s="4">
        <v>5</v>
      </c>
      <c r="AW841" s="4">
        <v>1</v>
      </c>
      <c r="AX841" s="4">
        <v>13</v>
      </c>
      <c r="AY841" s="4">
        <v>0</v>
      </c>
      <c r="AZ841" s="4">
        <v>0</v>
      </c>
      <c r="BA841" s="4">
        <v>0</v>
      </c>
      <c r="BB841" s="4">
        <v>31</v>
      </c>
      <c r="BC841" s="4">
        <v>2</v>
      </c>
      <c r="BD841" s="4">
        <v>0</v>
      </c>
      <c r="BE841" s="4">
        <v>3</v>
      </c>
      <c r="BF841" s="4">
        <v>6</v>
      </c>
      <c r="BG841" s="4">
        <v>2</v>
      </c>
      <c r="BH841" s="4">
        <v>0</v>
      </c>
      <c r="BI841" s="4">
        <v>0</v>
      </c>
      <c r="BJ841" s="4">
        <v>3</v>
      </c>
      <c r="BK841" s="4">
        <v>8</v>
      </c>
      <c r="BL841" s="4">
        <v>0</v>
      </c>
      <c r="BM841" s="4">
        <v>1</v>
      </c>
      <c r="BN841" s="4">
        <v>5</v>
      </c>
      <c r="BO841" s="4">
        <v>0</v>
      </c>
      <c r="BP841" s="4">
        <v>1</v>
      </c>
      <c r="BQ841" s="4">
        <v>8</v>
      </c>
      <c r="BR841" s="4">
        <v>0</v>
      </c>
      <c r="BS841" s="4">
        <v>12</v>
      </c>
      <c r="BT841" s="4">
        <v>4</v>
      </c>
      <c r="BU841" s="4">
        <v>0</v>
      </c>
      <c r="BV841" s="4">
        <v>6</v>
      </c>
      <c r="BW841" s="4">
        <v>2</v>
      </c>
      <c r="BX841" s="4">
        <v>96</v>
      </c>
      <c r="BY841" s="4">
        <v>0</v>
      </c>
      <c r="BZ841" s="4">
        <v>0</v>
      </c>
      <c r="CA841" s="4">
        <v>14</v>
      </c>
      <c r="CB841" s="4">
        <v>0</v>
      </c>
      <c r="CC841" s="4">
        <v>0</v>
      </c>
      <c r="CD841" s="4">
        <v>1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1</v>
      </c>
      <c r="CK841" s="4">
        <v>0</v>
      </c>
      <c r="CL841" s="4">
        <v>0</v>
      </c>
      <c r="CM841" s="4">
        <v>10</v>
      </c>
      <c r="CN841" s="4">
        <v>6</v>
      </c>
      <c r="CO841" s="4">
        <v>1</v>
      </c>
      <c r="CP841" s="4">
        <v>1</v>
      </c>
      <c r="CQ841" s="4">
        <v>0</v>
      </c>
      <c r="CR841" s="4">
        <v>0</v>
      </c>
      <c r="CS841" s="4">
        <v>0</v>
      </c>
      <c r="CT841" s="4">
        <v>5</v>
      </c>
      <c r="CU841" s="4">
        <v>0</v>
      </c>
      <c r="CV841" s="4">
        <v>8</v>
      </c>
      <c r="CW841" s="4">
        <v>2</v>
      </c>
      <c r="CX841" s="5">
        <v>2</v>
      </c>
    </row>
    <row r="842" spans="1:102" ht="15.75" x14ac:dyDescent="0.25">
      <c r="A842" s="4" t="s">
        <v>363</v>
      </c>
      <c r="B842" s="4" t="s">
        <v>364</v>
      </c>
      <c r="C842" s="4">
        <v>2021</v>
      </c>
      <c r="D842" s="4">
        <v>30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1</v>
      </c>
      <c r="O842" s="4">
        <v>3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2</v>
      </c>
      <c r="AK842" s="4">
        <v>0</v>
      </c>
      <c r="AL842" s="4">
        <v>0</v>
      </c>
      <c r="AM842" s="4">
        <v>0</v>
      </c>
      <c r="AN842" s="4">
        <v>0</v>
      </c>
      <c r="AO842" s="4">
        <v>1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4</v>
      </c>
      <c r="BG842" s="4">
        <v>0</v>
      </c>
      <c r="BH842" s="4">
        <v>0</v>
      </c>
      <c r="BI842" s="4">
        <v>0</v>
      </c>
      <c r="BJ842" s="4">
        <v>0</v>
      </c>
      <c r="BK842" s="4">
        <v>2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1</v>
      </c>
      <c r="BX842" s="4">
        <v>6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3</v>
      </c>
      <c r="CK842" s="4">
        <v>2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1</v>
      </c>
      <c r="CU842" s="4">
        <v>0</v>
      </c>
      <c r="CV842" s="4">
        <v>1</v>
      </c>
      <c r="CW842" s="4">
        <v>0</v>
      </c>
      <c r="CX842" s="5">
        <v>0</v>
      </c>
    </row>
    <row r="843" spans="1:102" ht="15.75" x14ac:dyDescent="0.25">
      <c r="A843" s="4" t="s">
        <v>365</v>
      </c>
      <c r="B843" s="4" t="s">
        <v>366</v>
      </c>
      <c r="C843" s="4">
        <v>2021</v>
      </c>
      <c r="D843" s="4">
        <v>30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6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1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1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1</v>
      </c>
      <c r="BF843" s="4">
        <v>0</v>
      </c>
      <c r="BG843" s="4">
        <v>0</v>
      </c>
      <c r="BH843" s="4">
        <v>0</v>
      </c>
      <c r="BI843" s="4">
        <v>0</v>
      </c>
      <c r="BJ843" s="4">
        <v>1</v>
      </c>
      <c r="BK843" s="4">
        <v>1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1</v>
      </c>
      <c r="BX843" s="4">
        <v>0</v>
      </c>
      <c r="BY843" s="4">
        <v>0</v>
      </c>
      <c r="BZ843" s="4">
        <v>0</v>
      </c>
      <c r="CA843" s="4">
        <v>0</v>
      </c>
      <c r="CB843" s="4">
        <v>9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2</v>
      </c>
      <c r="CN843" s="4">
        <v>3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5">
        <v>0</v>
      </c>
    </row>
    <row r="844" spans="1:102" ht="15.75" x14ac:dyDescent="0.25">
      <c r="A844" s="4" t="s">
        <v>367</v>
      </c>
      <c r="B844" s="4" t="s">
        <v>368</v>
      </c>
      <c r="C844" s="4">
        <v>2021</v>
      </c>
      <c r="D844" s="4">
        <v>9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1</v>
      </c>
      <c r="AP844" s="4">
        <v>0</v>
      </c>
      <c r="AQ844" s="4">
        <v>0</v>
      </c>
      <c r="AR844" s="4">
        <v>0</v>
      </c>
      <c r="AS844" s="4">
        <v>0</v>
      </c>
      <c r="AT844" s="4">
        <v>1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2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1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5">
        <v>0</v>
      </c>
    </row>
    <row r="845" spans="1:102" ht="15.75" x14ac:dyDescent="0.25">
      <c r="A845" s="4" t="s">
        <v>369</v>
      </c>
      <c r="B845" s="4" t="s">
        <v>370</v>
      </c>
      <c r="C845" s="4">
        <v>2021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5">
        <v>0</v>
      </c>
    </row>
    <row r="846" spans="1:102" ht="15.75" x14ac:dyDescent="0.25">
      <c r="A846" s="4" t="s">
        <v>371</v>
      </c>
      <c r="B846" s="4" t="s">
        <v>372</v>
      </c>
      <c r="C846" s="4">
        <v>2021</v>
      </c>
      <c r="D846" s="4">
        <v>1624</v>
      </c>
      <c r="E846" s="4">
        <v>0</v>
      </c>
      <c r="F846" s="4">
        <v>4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2</v>
      </c>
      <c r="O846" s="4">
        <v>4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</v>
      </c>
      <c r="AH846" s="4">
        <v>451</v>
      </c>
      <c r="AI846" s="4">
        <v>0</v>
      </c>
      <c r="AJ846" s="4">
        <v>1</v>
      </c>
      <c r="AK846" s="4">
        <v>0</v>
      </c>
      <c r="AL846" s="4">
        <v>0</v>
      </c>
      <c r="AM846" s="4">
        <v>0</v>
      </c>
      <c r="AN846" s="4">
        <v>1</v>
      </c>
      <c r="AO846" s="4">
        <v>8</v>
      </c>
      <c r="AP846" s="4">
        <v>0</v>
      </c>
      <c r="AQ846" s="4">
        <v>0</v>
      </c>
      <c r="AR846" s="4">
        <v>0</v>
      </c>
      <c r="AS846" s="4">
        <v>0</v>
      </c>
      <c r="AT846" s="4">
        <v>6</v>
      </c>
      <c r="AU846" s="4">
        <v>2</v>
      </c>
      <c r="AV846" s="4">
        <v>0</v>
      </c>
      <c r="AW846" s="4">
        <v>1117</v>
      </c>
      <c r="AX846" s="4">
        <v>1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4</v>
      </c>
      <c r="BG846" s="4">
        <v>0</v>
      </c>
      <c r="BH846" s="4">
        <v>0</v>
      </c>
      <c r="BI846" s="4">
        <v>0</v>
      </c>
      <c r="BJ846" s="4">
        <v>1</v>
      </c>
      <c r="BK846" s="4">
        <v>2</v>
      </c>
      <c r="BL846" s="4">
        <v>0</v>
      </c>
      <c r="BM846" s="4">
        <v>0</v>
      </c>
      <c r="BN846" s="4">
        <v>2</v>
      </c>
      <c r="BO846" s="4">
        <v>0</v>
      </c>
      <c r="BP846" s="4">
        <v>0</v>
      </c>
      <c r="BQ846" s="4">
        <v>1</v>
      </c>
      <c r="BR846" s="4">
        <v>0</v>
      </c>
      <c r="BS846" s="4">
        <v>5</v>
      </c>
      <c r="BT846" s="4">
        <v>0</v>
      </c>
      <c r="BU846" s="4">
        <v>0</v>
      </c>
      <c r="BV846" s="4">
        <v>1</v>
      </c>
      <c r="BW846" s="4">
        <v>0</v>
      </c>
      <c r="BX846" s="4">
        <v>1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1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2</v>
      </c>
      <c r="CU846" s="4">
        <v>0</v>
      </c>
      <c r="CV846" s="4">
        <v>2</v>
      </c>
      <c r="CW846" s="4">
        <v>0</v>
      </c>
      <c r="CX846" s="5">
        <v>0</v>
      </c>
    </row>
    <row r="847" spans="1:102" ht="15.75" x14ac:dyDescent="0.25">
      <c r="A847" s="4" t="s">
        <v>373</v>
      </c>
      <c r="B847" s="4" t="s">
        <v>374</v>
      </c>
      <c r="C847" s="4">
        <v>2021</v>
      </c>
      <c r="D847" s="4">
        <v>31</v>
      </c>
      <c r="E847" s="4">
        <v>0</v>
      </c>
      <c r="F847" s="4">
        <v>0</v>
      </c>
      <c r="G847" s="4">
        <v>6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1</v>
      </c>
      <c r="O847" s="4">
        <v>1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1</v>
      </c>
      <c r="AK847" s="4">
        <v>0</v>
      </c>
      <c r="AL847" s="4">
        <v>0</v>
      </c>
      <c r="AM847" s="4">
        <v>1</v>
      </c>
      <c r="AN847" s="4">
        <v>0</v>
      </c>
      <c r="AO847" s="4">
        <v>2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1</v>
      </c>
      <c r="AY847" s="4">
        <v>0</v>
      </c>
      <c r="AZ847" s="4">
        <v>0</v>
      </c>
      <c r="BA847" s="4">
        <v>0</v>
      </c>
      <c r="BB847" s="4">
        <v>3</v>
      </c>
      <c r="BC847" s="4">
        <v>0</v>
      </c>
      <c r="BD847" s="4">
        <v>0</v>
      </c>
      <c r="BE847" s="4">
        <v>1</v>
      </c>
      <c r="BF847" s="4">
        <v>0</v>
      </c>
      <c r="BG847" s="4">
        <v>0</v>
      </c>
      <c r="BH847" s="4">
        <v>0</v>
      </c>
      <c r="BI847" s="4">
        <v>0</v>
      </c>
      <c r="BJ847" s="4">
        <v>1</v>
      </c>
      <c r="BK847" s="4">
        <v>1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2</v>
      </c>
      <c r="BR847" s="4">
        <v>0</v>
      </c>
      <c r="BS847" s="4">
        <v>2</v>
      </c>
      <c r="BT847" s="4">
        <v>0</v>
      </c>
      <c r="BU847" s="4">
        <v>0</v>
      </c>
      <c r="BV847" s="4">
        <v>1</v>
      </c>
      <c r="BW847" s="4">
        <v>0</v>
      </c>
      <c r="BX847" s="4">
        <v>0</v>
      </c>
      <c r="BY847" s="4">
        <v>0</v>
      </c>
      <c r="BZ847" s="4">
        <v>0</v>
      </c>
      <c r="CA847" s="4">
        <v>1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1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5">
        <v>0</v>
      </c>
    </row>
    <row r="848" spans="1:102" ht="15.75" x14ac:dyDescent="0.25">
      <c r="A848" s="4" t="s">
        <v>375</v>
      </c>
      <c r="B848" s="4" t="s">
        <v>376</v>
      </c>
      <c r="C848" s="4">
        <v>2021</v>
      </c>
      <c r="D848" s="4">
        <v>22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5</v>
      </c>
      <c r="N848" s="4">
        <v>1</v>
      </c>
      <c r="O848" s="4">
        <v>4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1</v>
      </c>
      <c r="AK848" s="4">
        <v>2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2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1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1</v>
      </c>
      <c r="CK848" s="4">
        <v>0</v>
      </c>
      <c r="CL848" s="4">
        <v>0</v>
      </c>
      <c r="CM848" s="4">
        <v>0</v>
      </c>
      <c r="CN848" s="4">
        <v>1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5">
        <v>0</v>
      </c>
    </row>
    <row r="849" spans="1:102" ht="15.75" x14ac:dyDescent="0.25">
      <c r="A849" s="4" t="s">
        <v>377</v>
      </c>
      <c r="B849" s="4" t="s">
        <v>378</v>
      </c>
      <c r="C849" s="4">
        <v>2021</v>
      </c>
      <c r="D849" s="4">
        <v>32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1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4</v>
      </c>
      <c r="AR849" s="4">
        <v>0</v>
      </c>
      <c r="AS849" s="4">
        <v>0</v>
      </c>
      <c r="AT849" s="4">
        <v>0</v>
      </c>
      <c r="AU849" s="4">
        <v>0</v>
      </c>
      <c r="AV849" s="4">
        <v>8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1</v>
      </c>
      <c r="BD849" s="4">
        <v>0</v>
      </c>
      <c r="BE849" s="4">
        <v>0</v>
      </c>
      <c r="BF849" s="4">
        <v>2</v>
      </c>
      <c r="BG849" s="4">
        <v>0</v>
      </c>
      <c r="BH849" s="4">
        <v>0</v>
      </c>
      <c r="BI849" s="4">
        <v>0</v>
      </c>
      <c r="BJ849" s="4">
        <v>0</v>
      </c>
      <c r="BK849" s="4">
        <v>1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3</v>
      </c>
      <c r="BY849" s="4">
        <v>0</v>
      </c>
      <c r="BZ849" s="4">
        <v>0</v>
      </c>
      <c r="CA849" s="4">
        <v>6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1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1</v>
      </c>
      <c r="CW849" s="4">
        <v>0</v>
      </c>
      <c r="CX849" s="5">
        <v>0</v>
      </c>
    </row>
    <row r="850" spans="1:102" ht="15.75" x14ac:dyDescent="0.25">
      <c r="A850" s="4" t="s">
        <v>379</v>
      </c>
      <c r="B850" s="4" t="s">
        <v>380</v>
      </c>
      <c r="C850" s="4">
        <v>2021</v>
      </c>
      <c r="D850" s="4">
        <v>206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18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3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1</v>
      </c>
      <c r="AU850" s="4">
        <v>0</v>
      </c>
      <c r="AV850" s="4">
        <v>0</v>
      </c>
      <c r="AW850" s="4">
        <v>0</v>
      </c>
      <c r="AX850" s="4">
        <v>1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1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2</v>
      </c>
      <c r="BR850" s="4">
        <v>0</v>
      </c>
      <c r="BS850" s="4">
        <v>1</v>
      </c>
      <c r="BT850" s="4">
        <v>0</v>
      </c>
      <c r="BU850" s="4">
        <v>0</v>
      </c>
      <c r="BV850" s="4">
        <v>1</v>
      </c>
      <c r="BW850" s="4">
        <v>0</v>
      </c>
      <c r="BX850" s="4">
        <v>1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78</v>
      </c>
      <c r="CJ850" s="4">
        <v>33</v>
      </c>
      <c r="CK850" s="4">
        <v>12</v>
      </c>
      <c r="CL850" s="4">
        <v>0</v>
      </c>
      <c r="CM850" s="4">
        <v>0</v>
      </c>
      <c r="CN850" s="4">
        <v>1</v>
      </c>
      <c r="CO850" s="4">
        <v>16</v>
      </c>
      <c r="CP850" s="4">
        <v>6</v>
      </c>
      <c r="CQ850" s="4">
        <v>0</v>
      </c>
      <c r="CR850" s="4">
        <v>3</v>
      </c>
      <c r="CS850" s="4">
        <v>16</v>
      </c>
      <c r="CT850" s="4">
        <v>0</v>
      </c>
      <c r="CU850" s="4">
        <v>0</v>
      </c>
      <c r="CV850" s="4">
        <v>8</v>
      </c>
      <c r="CW850" s="4">
        <v>0</v>
      </c>
      <c r="CX850" s="5">
        <v>0</v>
      </c>
    </row>
    <row r="851" spans="1:102" ht="15.75" x14ac:dyDescent="0.25">
      <c r="A851" s="4" t="s">
        <v>381</v>
      </c>
      <c r="B851" s="4" t="s">
        <v>382</v>
      </c>
      <c r="C851" s="4">
        <v>2021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5">
        <v>0</v>
      </c>
    </row>
    <row r="852" spans="1:102" ht="15.75" x14ac:dyDescent="0.25">
      <c r="A852" s="4" t="s">
        <v>383</v>
      </c>
      <c r="B852" s="4" t="s">
        <v>384</v>
      </c>
      <c r="C852" s="4">
        <v>2021</v>
      </c>
      <c r="D852" s="4">
        <v>12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1</v>
      </c>
      <c r="AL852" s="4">
        <v>0</v>
      </c>
      <c r="AM852" s="4">
        <v>0</v>
      </c>
      <c r="AN852" s="4">
        <v>0</v>
      </c>
      <c r="AO852" s="4">
        <v>1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1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3</v>
      </c>
      <c r="BF852" s="4">
        <v>0</v>
      </c>
      <c r="BG852" s="4">
        <v>0</v>
      </c>
      <c r="BH852" s="4">
        <v>0</v>
      </c>
      <c r="BI852" s="4">
        <v>0</v>
      </c>
      <c r="BJ852" s="4">
        <v>1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1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5">
        <v>0</v>
      </c>
    </row>
    <row r="853" spans="1:102" ht="15.75" x14ac:dyDescent="0.25">
      <c r="A853" s="4" t="s">
        <v>385</v>
      </c>
      <c r="B853" s="4" t="s">
        <v>386</v>
      </c>
      <c r="C853" s="4">
        <v>2021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5">
        <v>0</v>
      </c>
    </row>
    <row r="854" spans="1:102" ht="15.75" x14ac:dyDescent="0.25">
      <c r="A854" s="4" t="s">
        <v>387</v>
      </c>
      <c r="B854" s="4" t="s">
        <v>388</v>
      </c>
      <c r="C854" s="4">
        <v>2021</v>
      </c>
      <c r="D854" s="4">
        <v>364</v>
      </c>
      <c r="E854" s="4">
        <v>0</v>
      </c>
      <c r="F854" s="4">
        <v>1</v>
      </c>
      <c r="G854" s="4">
        <v>1</v>
      </c>
      <c r="H854" s="4">
        <v>1</v>
      </c>
      <c r="I854" s="4">
        <v>7</v>
      </c>
      <c r="J854" s="4">
        <v>2</v>
      </c>
      <c r="K854" s="4">
        <v>1</v>
      </c>
      <c r="L854" s="4">
        <v>7</v>
      </c>
      <c r="M854" s="4">
        <v>4</v>
      </c>
      <c r="N854" s="4">
        <v>9</v>
      </c>
      <c r="O854" s="4">
        <v>12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46</v>
      </c>
      <c r="AB854" s="4">
        <v>0</v>
      </c>
      <c r="AC854" s="4">
        <v>0</v>
      </c>
      <c r="AD854" s="4">
        <v>0</v>
      </c>
      <c r="AE854" s="4">
        <v>1</v>
      </c>
      <c r="AF854" s="4">
        <v>0</v>
      </c>
      <c r="AG854" s="4">
        <v>1</v>
      </c>
      <c r="AH854" s="4">
        <v>0</v>
      </c>
      <c r="AI854" s="4">
        <v>4</v>
      </c>
      <c r="AJ854" s="4">
        <v>17</v>
      </c>
      <c r="AK854" s="4">
        <v>8</v>
      </c>
      <c r="AL854" s="4">
        <v>0</v>
      </c>
      <c r="AM854" s="4">
        <v>2</v>
      </c>
      <c r="AN854" s="4">
        <v>14</v>
      </c>
      <c r="AO854" s="4">
        <v>3</v>
      </c>
      <c r="AP854" s="4">
        <v>0</v>
      </c>
      <c r="AQ854" s="4">
        <v>3</v>
      </c>
      <c r="AR854" s="4">
        <v>0</v>
      </c>
      <c r="AS854" s="4">
        <v>29</v>
      </c>
      <c r="AT854" s="4">
        <v>4</v>
      </c>
      <c r="AU854" s="4">
        <v>2</v>
      </c>
      <c r="AV854" s="4">
        <v>1</v>
      </c>
      <c r="AW854" s="4">
        <v>3</v>
      </c>
      <c r="AX854" s="4">
        <v>9</v>
      </c>
      <c r="AY854" s="4">
        <v>0</v>
      </c>
      <c r="AZ854" s="4">
        <v>1</v>
      </c>
      <c r="BA854" s="4">
        <v>0</v>
      </c>
      <c r="BB854" s="4">
        <v>2</v>
      </c>
      <c r="BC854" s="4">
        <v>1</v>
      </c>
      <c r="BD854" s="4">
        <v>0</v>
      </c>
      <c r="BE854" s="4">
        <v>3</v>
      </c>
      <c r="BF854" s="4">
        <v>6</v>
      </c>
      <c r="BG854" s="4">
        <v>0</v>
      </c>
      <c r="BH854" s="4">
        <v>0</v>
      </c>
      <c r="BI854" s="4">
        <v>0</v>
      </c>
      <c r="BJ854" s="4">
        <v>3</v>
      </c>
      <c r="BK854" s="4">
        <v>5</v>
      </c>
      <c r="BL854" s="4">
        <v>0</v>
      </c>
      <c r="BM854" s="4">
        <v>0</v>
      </c>
      <c r="BN854" s="4">
        <v>12</v>
      </c>
      <c r="BO854" s="4">
        <v>0</v>
      </c>
      <c r="BP854" s="4">
        <v>1</v>
      </c>
      <c r="BQ854" s="4">
        <v>6</v>
      </c>
      <c r="BR854" s="4">
        <v>1</v>
      </c>
      <c r="BS854" s="4">
        <v>9</v>
      </c>
      <c r="BT854" s="4">
        <v>3</v>
      </c>
      <c r="BU854" s="4">
        <v>0</v>
      </c>
      <c r="BV854" s="4">
        <v>2</v>
      </c>
      <c r="BW854" s="4">
        <v>4</v>
      </c>
      <c r="BX854" s="4">
        <v>19</v>
      </c>
      <c r="BY854" s="4">
        <v>0</v>
      </c>
      <c r="BZ854" s="4">
        <v>0</v>
      </c>
      <c r="CA854" s="4">
        <v>33</v>
      </c>
      <c r="CB854" s="4">
        <v>19</v>
      </c>
      <c r="CC854" s="4">
        <v>0</v>
      </c>
      <c r="CD854" s="4">
        <v>1</v>
      </c>
      <c r="CE854" s="4">
        <v>0</v>
      </c>
      <c r="CF854" s="4">
        <v>1</v>
      </c>
      <c r="CG854" s="4">
        <v>1</v>
      </c>
      <c r="CH854" s="4">
        <v>1</v>
      </c>
      <c r="CI854" s="4">
        <v>1</v>
      </c>
      <c r="CJ854" s="4">
        <v>6</v>
      </c>
      <c r="CK854" s="4">
        <v>1</v>
      </c>
      <c r="CL854" s="4">
        <v>0</v>
      </c>
      <c r="CM854" s="4">
        <v>2</v>
      </c>
      <c r="CN854" s="4">
        <v>5</v>
      </c>
      <c r="CO854" s="4">
        <v>0</v>
      </c>
      <c r="CP854" s="4">
        <v>0</v>
      </c>
      <c r="CQ854" s="4">
        <v>0</v>
      </c>
      <c r="CR854" s="4">
        <v>2</v>
      </c>
      <c r="CS854" s="4">
        <v>1</v>
      </c>
      <c r="CT854" s="4">
        <v>4</v>
      </c>
      <c r="CU854" s="4">
        <v>1</v>
      </c>
      <c r="CV854" s="4">
        <v>11</v>
      </c>
      <c r="CW854" s="4">
        <v>4</v>
      </c>
      <c r="CX854" s="5">
        <v>4</v>
      </c>
    </row>
    <row r="855" spans="1:102" ht="15.75" x14ac:dyDescent="0.25">
      <c r="A855" s="4" t="s">
        <v>389</v>
      </c>
      <c r="B855" s="4" t="s">
        <v>390</v>
      </c>
      <c r="C855" s="4">
        <v>2021</v>
      </c>
      <c r="D855" s="4">
        <v>54</v>
      </c>
      <c r="E855" s="4">
        <v>0</v>
      </c>
      <c r="F855" s="4">
        <v>0</v>
      </c>
      <c r="G855" s="4">
        <v>0</v>
      </c>
      <c r="H855" s="4">
        <v>0</v>
      </c>
      <c r="I855" s="4">
        <v>4</v>
      </c>
      <c r="J855" s="4">
        <v>0</v>
      </c>
      <c r="K855" s="4">
        <v>0</v>
      </c>
      <c r="L855" s="4">
        <v>0</v>
      </c>
      <c r="M855" s="4">
        <v>0</v>
      </c>
      <c r="N855" s="4">
        <v>2</v>
      </c>
      <c r="O855" s="4">
        <v>4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1</v>
      </c>
      <c r="AJ855" s="4">
        <v>4</v>
      </c>
      <c r="AK855" s="4">
        <v>2</v>
      </c>
      <c r="AL855" s="4">
        <v>0</v>
      </c>
      <c r="AM855" s="4">
        <v>1</v>
      </c>
      <c r="AN855" s="4">
        <v>0</v>
      </c>
      <c r="AO855" s="4">
        <v>1</v>
      </c>
      <c r="AP855" s="4">
        <v>0</v>
      </c>
      <c r="AQ855" s="4">
        <v>0</v>
      </c>
      <c r="AR855" s="4">
        <v>0</v>
      </c>
      <c r="AS855" s="4">
        <v>0</v>
      </c>
      <c r="AT855" s="4">
        <v>2</v>
      </c>
      <c r="AU855" s="4">
        <v>0</v>
      </c>
      <c r="AV855" s="4">
        <v>0</v>
      </c>
      <c r="AW855" s="4">
        <v>0</v>
      </c>
      <c r="AX855" s="4">
        <v>2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2</v>
      </c>
      <c r="BG855" s="4">
        <v>0</v>
      </c>
      <c r="BH855" s="4">
        <v>0</v>
      </c>
      <c r="BI855" s="4">
        <v>0</v>
      </c>
      <c r="BJ855" s="4">
        <v>1</v>
      </c>
      <c r="BK855" s="4">
        <v>1</v>
      </c>
      <c r="BL855" s="4">
        <v>0</v>
      </c>
      <c r="BM855" s="4">
        <v>0</v>
      </c>
      <c r="BN855" s="4">
        <v>1</v>
      </c>
      <c r="BO855" s="4">
        <v>0</v>
      </c>
      <c r="BP855" s="4">
        <v>0</v>
      </c>
      <c r="BQ855" s="4">
        <v>1</v>
      </c>
      <c r="BR855" s="4">
        <v>1</v>
      </c>
      <c r="BS855" s="4">
        <v>1</v>
      </c>
      <c r="BT855" s="4">
        <v>1</v>
      </c>
      <c r="BU855" s="4">
        <v>0</v>
      </c>
      <c r="BV855" s="4">
        <v>2</v>
      </c>
      <c r="BW855" s="4">
        <v>1</v>
      </c>
      <c r="BX855" s="4">
        <v>8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1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2</v>
      </c>
      <c r="CU855" s="4">
        <v>0</v>
      </c>
      <c r="CV855" s="4">
        <v>2</v>
      </c>
      <c r="CW855" s="4">
        <v>1</v>
      </c>
      <c r="CX855" s="5">
        <v>1</v>
      </c>
    </row>
    <row r="856" spans="1:102" ht="15.75" x14ac:dyDescent="0.25">
      <c r="A856" s="4" t="s">
        <v>391</v>
      </c>
      <c r="B856" s="4" t="s">
        <v>392</v>
      </c>
      <c r="C856" s="4">
        <v>2021</v>
      </c>
      <c r="D856" s="4">
        <v>18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1</v>
      </c>
      <c r="O856" s="4">
        <v>1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1</v>
      </c>
      <c r="AL856" s="4">
        <v>0</v>
      </c>
      <c r="AM856" s="4">
        <v>0</v>
      </c>
      <c r="AN856" s="4">
        <v>0</v>
      </c>
      <c r="AO856" s="4">
        <v>2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1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1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2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1</v>
      </c>
      <c r="CK856" s="4">
        <v>0</v>
      </c>
      <c r="CL856" s="4">
        <v>0</v>
      </c>
      <c r="CM856" s="4">
        <v>0</v>
      </c>
      <c r="CN856" s="4">
        <v>1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1</v>
      </c>
      <c r="CU856" s="4">
        <v>0</v>
      </c>
      <c r="CV856" s="4">
        <v>1</v>
      </c>
      <c r="CW856" s="4">
        <v>0</v>
      </c>
      <c r="CX856" s="5">
        <v>0</v>
      </c>
    </row>
    <row r="857" spans="1:102" ht="15.75" x14ac:dyDescent="0.25">
      <c r="A857" s="4" t="s">
        <v>393</v>
      </c>
      <c r="B857" s="4" t="s">
        <v>394</v>
      </c>
      <c r="C857" s="4">
        <v>2021</v>
      </c>
      <c r="D857" s="4">
        <v>16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1</v>
      </c>
      <c r="AK857" s="4">
        <v>0</v>
      </c>
      <c r="AL857" s="4">
        <v>0</v>
      </c>
      <c r="AM857" s="4">
        <v>0</v>
      </c>
      <c r="AN857" s="4">
        <v>0</v>
      </c>
      <c r="AO857" s="4">
        <v>1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1</v>
      </c>
      <c r="BO857" s="4">
        <v>0</v>
      </c>
      <c r="BP857" s="4">
        <v>0</v>
      </c>
      <c r="BQ857" s="4">
        <v>1</v>
      </c>
      <c r="BR857" s="4">
        <v>0</v>
      </c>
      <c r="BS857" s="4">
        <v>1</v>
      </c>
      <c r="BT857" s="4">
        <v>0</v>
      </c>
      <c r="BU857" s="4">
        <v>0</v>
      </c>
      <c r="BV857" s="4">
        <v>0</v>
      </c>
      <c r="BW857" s="4">
        <v>3</v>
      </c>
      <c r="BX857" s="4">
        <v>1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1</v>
      </c>
      <c r="CO857" s="4">
        <v>3</v>
      </c>
      <c r="CP857" s="4">
        <v>0</v>
      </c>
      <c r="CQ857" s="4">
        <v>0</v>
      </c>
      <c r="CR857" s="4">
        <v>0</v>
      </c>
      <c r="CS857" s="4">
        <v>0</v>
      </c>
      <c r="CT857" s="4">
        <v>1</v>
      </c>
      <c r="CU857" s="4">
        <v>0</v>
      </c>
      <c r="CV857" s="4">
        <v>1</v>
      </c>
      <c r="CW857" s="4">
        <v>0</v>
      </c>
      <c r="CX857" s="5">
        <v>0</v>
      </c>
    </row>
    <row r="858" spans="1:102" ht="15.75" x14ac:dyDescent="0.25">
      <c r="A858" s="4" t="s">
        <v>395</v>
      </c>
      <c r="B858" s="4" t="s">
        <v>396</v>
      </c>
      <c r="C858" s="4">
        <v>2021</v>
      </c>
      <c r="D858" s="4">
        <v>1153</v>
      </c>
      <c r="E858" s="4">
        <v>0</v>
      </c>
      <c r="F858" s="4">
        <v>0</v>
      </c>
      <c r="G858" s="4">
        <v>1</v>
      </c>
      <c r="H858" s="4">
        <v>0</v>
      </c>
      <c r="I858" s="4">
        <v>1</v>
      </c>
      <c r="J858" s="4">
        <v>1</v>
      </c>
      <c r="K858" s="4">
        <v>0</v>
      </c>
      <c r="L858" s="4">
        <v>9</v>
      </c>
      <c r="M858" s="4">
        <v>1</v>
      </c>
      <c r="N858" s="4">
        <v>5</v>
      </c>
      <c r="O858" s="4">
        <v>129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4</v>
      </c>
      <c r="W858" s="4">
        <v>0</v>
      </c>
      <c r="X858" s="4">
        <v>3</v>
      </c>
      <c r="Y858" s="4">
        <v>0</v>
      </c>
      <c r="Z858" s="4">
        <v>0</v>
      </c>
      <c r="AA858" s="4">
        <v>1</v>
      </c>
      <c r="AB858" s="4">
        <v>0</v>
      </c>
      <c r="AC858" s="4">
        <v>0</v>
      </c>
      <c r="AD858" s="4">
        <v>0</v>
      </c>
      <c r="AE858" s="4">
        <v>7</v>
      </c>
      <c r="AF858" s="4">
        <v>0</v>
      </c>
      <c r="AG858" s="4">
        <v>34</v>
      </c>
      <c r="AH858" s="4">
        <v>7</v>
      </c>
      <c r="AI858" s="4">
        <v>8</v>
      </c>
      <c r="AJ858" s="4">
        <v>114</v>
      </c>
      <c r="AK858" s="4">
        <v>28</v>
      </c>
      <c r="AL858" s="4">
        <v>5</v>
      </c>
      <c r="AM858" s="4">
        <v>14</v>
      </c>
      <c r="AN858" s="4">
        <v>11</v>
      </c>
      <c r="AO858" s="4">
        <v>38</v>
      </c>
      <c r="AP858" s="4">
        <v>1</v>
      </c>
      <c r="AQ858" s="4">
        <v>8</v>
      </c>
      <c r="AR858" s="4">
        <v>0</v>
      </c>
      <c r="AS858" s="4">
        <v>9</v>
      </c>
      <c r="AT858" s="4">
        <v>6</v>
      </c>
      <c r="AU858" s="4">
        <v>9</v>
      </c>
      <c r="AV858" s="4">
        <v>63</v>
      </c>
      <c r="AW858" s="4">
        <v>14</v>
      </c>
      <c r="AX858" s="4">
        <v>37</v>
      </c>
      <c r="AY858" s="4">
        <v>0</v>
      </c>
      <c r="AZ858" s="4">
        <v>8</v>
      </c>
      <c r="BA858" s="4">
        <v>0</v>
      </c>
      <c r="BB858" s="4">
        <v>65</v>
      </c>
      <c r="BC858" s="4">
        <v>10</v>
      </c>
      <c r="BD858" s="4">
        <v>0</v>
      </c>
      <c r="BE858" s="4">
        <v>17</v>
      </c>
      <c r="BF858" s="4">
        <v>28</v>
      </c>
      <c r="BG858" s="4">
        <v>6</v>
      </c>
      <c r="BH858" s="4">
        <v>18</v>
      </c>
      <c r="BI858" s="4">
        <v>0</v>
      </c>
      <c r="BJ858" s="4">
        <v>34</v>
      </c>
      <c r="BK858" s="4">
        <v>37</v>
      </c>
      <c r="BL858" s="4">
        <v>0</v>
      </c>
      <c r="BM858" s="4">
        <v>5</v>
      </c>
      <c r="BN858" s="4">
        <v>10</v>
      </c>
      <c r="BO858" s="4">
        <v>0</v>
      </c>
      <c r="BP858" s="4">
        <v>4</v>
      </c>
      <c r="BQ858" s="4">
        <v>7</v>
      </c>
      <c r="BR858" s="4">
        <v>1</v>
      </c>
      <c r="BS858" s="4">
        <v>45</v>
      </c>
      <c r="BT858" s="4">
        <v>28</v>
      </c>
      <c r="BU858" s="4">
        <v>0</v>
      </c>
      <c r="BV858" s="4">
        <v>25</v>
      </c>
      <c r="BW858" s="4">
        <v>10</v>
      </c>
      <c r="BX858" s="4">
        <v>91</v>
      </c>
      <c r="BY858" s="4">
        <v>0</v>
      </c>
      <c r="BZ858" s="4">
        <v>0</v>
      </c>
      <c r="CA858" s="4">
        <v>31</v>
      </c>
      <c r="CB858" s="4">
        <v>5</v>
      </c>
      <c r="CC858" s="4">
        <v>0</v>
      </c>
      <c r="CD858" s="4">
        <v>1</v>
      </c>
      <c r="CE858" s="4">
        <v>0</v>
      </c>
      <c r="CF858" s="4">
        <v>1</v>
      </c>
      <c r="CG858" s="4">
        <v>0</v>
      </c>
      <c r="CH858" s="4">
        <v>1</v>
      </c>
      <c r="CI858" s="4">
        <v>1</v>
      </c>
      <c r="CJ858" s="4">
        <v>3</v>
      </c>
      <c r="CK858" s="4">
        <v>0</v>
      </c>
      <c r="CL858" s="4">
        <v>0</v>
      </c>
      <c r="CM858" s="4">
        <v>7</v>
      </c>
      <c r="CN858" s="4">
        <v>36</v>
      </c>
      <c r="CO858" s="4">
        <v>1</v>
      </c>
      <c r="CP858" s="4">
        <v>0</v>
      </c>
      <c r="CQ858" s="4">
        <v>0</v>
      </c>
      <c r="CR858" s="4">
        <v>2</v>
      </c>
      <c r="CS858" s="4">
        <v>0</v>
      </c>
      <c r="CT858" s="4">
        <v>7</v>
      </c>
      <c r="CU858" s="4">
        <v>0</v>
      </c>
      <c r="CV858" s="4">
        <v>30</v>
      </c>
      <c r="CW858" s="4">
        <v>6</v>
      </c>
      <c r="CX858" s="5">
        <v>6</v>
      </c>
    </row>
    <row r="859" spans="1:102" ht="15.75" x14ac:dyDescent="0.25">
      <c r="A859" s="4" t="s">
        <v>397</v>
      </c>
      <c r="B859" s="4" t="s">
        <v>398</v>
      </c>
      <c r="C859" s="4">
        <v>2021</v>
      </c>
      <c r="D859" s="4">
        <v>1687</v>
      </c>
      <c r="E859" s="4">
        <v>0</v>
      </c>
      <c r="F859" s="4">
        <v>1</v>
      </c>
      <c r="G859" s="4">
        <v>6</v>
      </c>
      <c r="H859" s="4">
        <v>0</v>
      </c>
      <c r="I859" s="4">
        <v>9</v>
      </c>
      <c r="J859" s="4">
        <v>4</v>
      </c>
      <c r="K859" s="4">
        <v>1</v>
      </c>
      <c r="L859" s="4">
        <v>6</v>
      </c>
      <c r="M859" s="4">
        <v>15</v>
      </c>
      <c r="N859" s="4">
        <v>7</v>
      </c>
      <c r="O859" s="4">
        <v>53</v>
      </c>
      <c r="P859" s="4">
        <v>0</v>
      </c>
      <c r="Q859" s="4">
        <v>0</v>
      </c>
      <c r="R859" s="4">
        <v>1</v>
      </c>
      <c r="S859" s="4">
        <v>0</v>
      </c>
      <c r="T859" s="4">
        <v>92</v>
      </c>
      <c r="U859" s="4">
        <v>1</v>
      </c>
      <c r="V859" s="4">
        <v>4</v>
      </c>
      <c r="W859" s="4">
        <v>173</v>
      </c>
      <c r="X859" s="4">
        <v>0</v>
      </c>
      <c r="Y859" s="4">
        <v>6</v>
      </c>
      <c r="Z859" s="4">
        <v>0</v>
      </c>
      <c r="AA859" s="4">
        <v>2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7</v>
      </c>
      <c r="AH859" s="4">
        <v>192</v>
      </c>
      <c r="AI859" s="4">
        <v>9</v>
      </c>
      <c r="AJ859" s="4">
        <v>26</v>
      </c>
      <c r="AK859" s="4">
        <v>19</v>
      </c>
      <c r="AL859" s="4">
        <v>1</v>
      </c>
      <c r="AM859" s="4">
        <v>19</v>
      </c>
      <c r="AN859" s="4">
        <v>18</v>
      </c>
      <c r="AO859" s="4">
        <v>27</v>
      </c>
      <c r="AP859" s="4">
        <v>1</v>
      </c>
      <c r="AQ859" s="4">
        <v>9</v>
      </c>
      <c r="AR859" s="4">
        <v>0</v>
      </c>
      <c r="AS859" s="4">
        <v>12</v>
      </c>
      <c r="AT859" s="4">
        <v>14</v>
      </c>
      <c r="AU859" s="4">
        <v>17</v>
      </c>
      <c r="AV859" s="4">
        <v>8</v>
      </c>
      <c r="AW859" s="4">
        <v>14</v>
      </c>
      <c r="AX859" s="4">
        <v>22</v>
      </c>
      <c r="AY859" s="4">
        <v>2</v>
      </c>
      <c r="AZ859" s="4">
        <v>8</v>
      </c>
      <c r="BA859" s="4">
        <v>0</v>
      </c>
      <c r="BB859" s="4">
        <v>140</v>
      </c>
      <c r="BC859" s="4">
        <v>8</v>
      </c>
      <c r="BD859" s="4">
        <v>0</v>
      </c>
      <c r="BE859" s="4">
        <v>10</v>
      </c>
      <c r="BF859" s="4">
        <v>31</v>
      </c>
      <c r="BG859" s="4">
        <v>2</v>
      </c>
      <c r="BH859" s="4">
        <v>7</v>
      </c>
      <c r="BI859" s="4">
        <v>0</v>
      </c>
      <c r="BJ859" s="4">
        <v>44</v>
      </c>
      <c r="BK859" s="4">
        <v>45</v>
      </c>
      <c r="BL859" s="4">
        <v>0</v>
      </c>
      <c r="BM859" s="4">
        <v>2</v>
      </c>
      <c r="BN859" s="4">
        <v>10</v>
      </c>
      <c r="BO859" s="4">
        <v>0</v>
      </c>
      <c r="BP859" s="4">
        <v>3</v>
      </c>
      <c r="BQ859" s="4">
        <v>15</v>
      </c>
      <c r="BR859" s="4">
        <v>1</v>
      </c>
      <c r="BS859" s="4">
        <v>116</v>
      </c>
      <c r="BT859" s="4">
        <v>32</v>
      </c>
      <c r="BU859" s="4">
        <v>1</v>
      </c>
      <c r="BV859" s="4">
        <v>17</v>
      </c>
      <c r="BW859" s="4">
        <v>4</v>
      </c>
      <c r="BX859" s="4">
        <v>227</v>
      </c>
      <c r="BY859" s="4">
        <v>2</v>
      </c>
      <c r="BZ859" s="4">
        <v>0</v>
      </c>
      <c r="CA859" s="4">
        <v>17</v>
      </c>
      <c r="CB859" s="4">
        <v>12</v>
      </c>
      <c r="CC859" s="4">
        <v>0</v>
      </c>
      <c r="CD859" s="4">
        <v>1</v>
      </c>
      <c r="CE859" s="4">
        <v>0</v>
      </c>
      <c r="CF859" s="4">
        <v>0</v>
      </c>
      <c r="CG859" s="4">
        <v>0</v>
      </c>
      <c r="CH859" s="4">
        <v>1</v>
      </c>
      <c r="CI859" s="4">
        <v>7</v>
      </c>
      <c r="CJ859" s="4">
        <v>6</v>
      </c>
      <c r="CK859" s="4">
        <v>1</v>
      </c>
      <c r="CL859" s="4">
        <v>0</v>
      </c>
      <c r="CM859" s="4">
        <v>14</v>
      </c>
      <c r="CN859" s="4">
        <v>58</v>
      </c>
      <c r="CO859" s="4">
        <v>4</v>
      </c>
      <c r="CP859" s="4">
        <v>3</v>
      </c>
      <c r="CQ859" s="4">
        <v>0</v>
      </c>
      <c r="CR859" s="4">
        <v>7</v>
      </c>
      <c r="CS859" s="4">
        <v>2</v>
      </c>
      <c r="CT859" s="4">
        <v>5</v>
      </c>
      <c r="CU859" s="4">
        <v>2</v>
      </c>
      <c r="CV859" s="4">
        <v>17</v>
      </c>
      <c r="CW859" s="4">
        <v>6</v>
      </c>
      <c r="CX859" s="5">
        <v>6</v>
      </c>
    </row>
    <row r="860" spans="1:102" ht="15.75" x14ac:dyDescent="0.25">
      <c r="A860" s="4" t="s">
        <v>399</v>
      </c>
      <c r="B860" s="4" t="s">
        <v>400</v>
      </c>
      <c r="C860" s="4">
        <v>2021</v>
      </c>
      <c r="D860" s="4">
        <v>45</v>
      </c>
      <c r="E860" s="4">
        <v>0</v>
      </c>
      <c r="F860" s="4">
        <v>2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4</v>
      </c>
      <c r="AK860" s="4">
        <v>0</v>
      </c>
      <c r="AL860" s="4">
        <v>0</v>
      </c>
      <c r="AM860" s="4">
        <v>0</v>
      </c>
      <c r="AN860" s="4">
        <v>0</v>
      </c>
      <c r="AO860" s="4">
        <v>1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1</v>
      </c>
      <c r="AV860" s="4">
        <v>1</v>
      </c>
      <c r="AW860" s="4">
        <v>0</v>
      </c>
      <c r="AX860" s="4">
        <v>3</v>
      </c>
      <c r="AY860" s="4">
        <v>0</v>
      </c>
      <c r="AZ860" s="4">
        <v>0</v>
      </c>
      <c r="BA860" s="4">
        <v>0</v>
      </c>
      <c r="BB860" s="4">
        <v>0</v>
      </c>
      <c r="BC860" s="4">
        <v>1</v>
      </c>
      <c r="BD860" s="4">
        <v>0</v>
      </c>
      <c r="BE860" s="4">
        <v>2</v>
      </c>
      <c r="BF860" s="4">
        <v>1</v>
      </c>
      <c r="BG860" s="4">
        <v>0</v>
      </c>
      <c r="BH860" s="4">
        <v>0</v>
      </c>
      <c r="BI860" s="4">
        <v>0</v>
      </c>
      <c r="BJ860" s="4">
        <v>2</v>
      </c>
      <c r="BK860" s="4">
        <v>2</v>
      </c>
      <c r="BL860" s="4">
        <v>0</v>
      </c>
      <c r="BM860" s="4">
        <v>0</v>
      </c>
      <c r="BN860" s="4">
        <v>1</v>
      </c>
      <c r="BO860" s="4">
        <v>0</v>
      </c>
      <c r="BP860" s="4">
        <v>0</v>
      </c>
      <c r="BQ860" s="4">
        <v>2</v>
      </c>
      <c r="BR860" s="4">
        <v>0</v>
      </c>
      <c r="BS860" s="4">
        <v>1</v>
      </c>
      <c r="BT860" s="4">
        <v>1</v>
      </c>
      <c r="BU860" s="4">
        <v>0</v>
      </c>
      <c r="BV860" s="4">
        <v>0</v>
      </c>
      <c r="BW860" s="4">
        <v>9</v>
      </c>
      <c r="BX860" s="4">
        <v>2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1</v>
      </c>
      <c r="CN860" s="4">
        <v>2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1</v>
      </c>
      <c r="CW860" s="4">
        <v>0</v>
      </c>
      <c r="CX860" s="5">
        <v>0</v>
      </c>
    </row>
    <row r="861" spans="1:102" ht="15.75" x14ac:dyDescent="0.25">
      <c r="A861" s="4" t="s">
        <v>401</v>
      </c>
      <c r="B861" s="4" t="s">
        <v>402</v>
      </c>
      <c r="C861" s="4">
        <v>2021</v>
      </c>
      <c r="D861" s="4">
        <v>75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1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5</v>
      </c>
      <c r="AK861" s="4">
        <v>1</v>
      </c>
      <c r="AL861" s="4">
        <v>0</v>
      </c>
      <c r="AM861" s="4">
        <v>4</v>
      </c>
      <c r="AN861" s="4">
        <v>0</v>
      </c>
      <c r="AO861" s="4">
        <v>1</v>
      </c>
      <c r="AP861" s="4">
        <v>0</v>
      </c>
      <c r="AQ861" s="4">
        <v>0</v>
      </c>
      <c r="AR861" s="4">
        <v>0</v>
      </c>
      <c r="AS861" s="4">
        <v>0</v>
      </c>
      <c r="AT861" s="4">
        <v>5</v>
      </c>
      <c r="AU861" s="4">
        <v>0</v>
      </c>
      <c r="AV861" s="4">
        <v>0</v>
      </c>
      <c r="AW861" s="4">
        <v>0</v>
      </c>
      <c r="AX861" s="4">
        <v>2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1</v>
      </c>
      <c r="BF861" s="4">
        <v>1</v>
      </c>
      <c r="BG861" s="4">
        <v>0</v>
      </c>
      <c r="BH861" s="4">
        <v>0</v>
      </c>
      <c r="BI861" s="4">
        <v>0</v>
      </c>
      <c r="BJ861" s="4">
        <v>1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1</v>
      </c>
      <c r="BR861" s="4">
        <v>0</v>
      </c>
      <c r="BS861" s="4">
        <v>1</v>
      </c>
      <c r="BT861" s="4">
        <v>1</v>
      </c>
      <c r="BU861" s="4">
        <v>0</v>
      </c>
      <c r="BV861" s="4">
        <v>0</v>
      </c>
      <c r="BW861" s="4">
        <v>36</v>
      </c>
      <c r="BX861" s="4">
        <v>8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2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4">
        <v>0</v>
      </c>
      <c r="CV861" s="4">
        <v>1</v>
      </c>
      <c r="CW861" s="4">
        <v>0</v>
      </c>
      <c r="CX861" s="5">
        <v>0</v>
      </c>
    </row>
    <row r="862" spans="1:102" ht="15.75" x14ac:dyDescent="0.25">
      <c r="A862" s="4" t="s">
        <v>403</v>
      </c>
      <c r="B862" s="4" t="s">
        <v>404</v>
      </c>
      <c r="C862" s="4">
        <v>2021</v>
      </c>
      <c r="D862" s="4">
        <v>12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1</v>
      </c>
      <c r="BC862" s="4">
        <v>0</v>
      </c>
      <c r="BD862" s="4">
        <v>0</v>
      </c>
      <c r="BE862" s="4">
        <v>0</v>
      </c>
      <c r="BF862" s="4">
        <v>2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1</v>
      </c>
      <c r="BX862" s="4">
        <v>5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4">
        <v>0</v>
      </c>
      <c r="CV862" s="4">
        <v>0</v>
      </c>
      <c r="CW862" s="4">
        <v>0</v>
      </c>
      <c r="CX862" s="5">
        <v>0</v>
      </c>
    </row>
    <row r="863" spans="1:102" ht="15.75" x14ac:dyDescent="0.25">
      <c r="A863" s="4" t="s">
        <v>405</v>
      </c>
      <c r="B863" s="4" t="s">
        <v>406</v>
      </c>
      <c r="C863" s="4">
        <v>2021</v>
      </c>
      <c r="D863" s="4">
        <v>11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1</v>
      </c>
      <c r="AH863" s="4">
        <v>0</v>
      </c>
      <c r="AI863" s="4">
        <v>1</v>
      </c>
      <c r="AJ863" s="4">
        <v>0</v>
      </c>
      <c r="AK863" s="4">
        <v>0</v>
      </c>
      <c r="AL863" s="4">
        <v>0</v>
      </c>
      <c r="AM863" s="4">
        <v>1</v>
      </c>
      <c r="AN863" s="4">
        <v>0</v>
      </c>
      <c r="AO863" s="4">
        <v>1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1</v>
      </c>
      <c r="BR863" s="4">
        <v>0</v>
      </c>
      <c r="BS863" s="4">
        <v>1</v>
      </c>
      <c r="BT863" s="4">
        <v>2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5">
        <v>0</v>
      </c>
    </row>
    <row r="864" spans="1:102" ht="15.75" x14ac:dyDescent="0.25">
      <c r="A864" s="4" t="s">
        <v>407</v>
      </c>
      <c r="B864" s="4" t="s">
        <v>408</v>
      </c>
      <c r="C864" s="4">
        <v>2021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5">
        <v>0</v>
      </c>
    </row>
    <row r="865" spans="1:102" ht="15.75" x14ac:dyDescent="0.25">
      <c r="A865" s="4" t="s">
        <v>409</v>
      </c>
      <c r="B865" s="4" t="s">
        <v>410</v>
      </c>
      <c r="C865" s="4">
        <v>2021</v>
      </c>
      <c r="D865" s="4">
        <v>1481</v>
      </c>
      <c r="E865" s="4">
        <v>0</v>
      </c>
      <c r="F865" s="4">
        <v>0</v>
      </c>
      <c r="G865" s="4">
        <v>6</v>
      </c>
      <c r="H865" s="4">
        <v>9</v>
      </c>
      <c r="I865" s="4">
        <v>14</v>
      </c>
      <c r="J865" s="4">
        <v>40</v>
      </c>
      <c r="K865" s="4">
        <v>0</v>
      </c>
      <c r="L865" s="4">
        <v>2</v>
      </c>
      <c r="M865" s="4">
        <v>5</v>
      </c>
      <c r="N865" s="4">
        <v>17</v>
      </c>
      <c r="O865" s="4">
        <v>29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26</v>
      </c>
      <c r="V865" s="4">
        <v>1</v>
      </c>
      <c r="W865" s="4">
        <v>0</v>
      </c>
      <c r="X865" s="4">
        <v>4</v>
      </c>
      <c r="Y865" s="4">
        <v>0</v>
      </c>
      <c r="Z865" s="4">
        <v>0</v>
      </c>
      <c r="AA865" s="4">
        <v>777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4</v>
      </c>
      <c r="AH865" s="4">
        <v>3</v>
      </c>
      <c r="AI865" s="4">
        <v>10</v>
      </c>
      <c r="AJ865" s="4">
        <v>30</v>
      </c>
      <c r="AK865" s="4">
        <v>51</v>
      </c>
      <c r="AL865" s="4">
        <v>0</v>
      </c>
      <c r="AM865" s="4">
        <v>2</v>
      </c>
      <c r="AN865" s="4">
        <v>14</v>
      </c>
      <c r="AO865" s="4">
        <v>12</v>
      </c>
      <c r="AP865" s="4">
        <v>0</v>
      </c>
      <c r="AQ865" s="4">
        <v>4</v>
      </c>
      <c r="AR865" s="4">
        <v>1</v>
      </c>
      <c r="AS865" s="4">
        <v>5</v>
      </c>
      <c r="AT865" s="4">
        <v>56</v>
      </c>
      <c r="AU865" s="4">
        <v>1</v>
      </c>
      <c r="AV865" s="4">
        <v>4</v>
      </c>
      <c r="AW865" s="4">
        <v>1</v>
      </c>
      <c r="AX865" s="4">
        <v>7</v>
      </c>
      <c r="AY865" s="4">
        <v>8</v>
      </c>
      <c r="AZ865" s="4">
        <v>30</v>
      </c>
      <c r="BA865" s="4">
        <v>0</v>
      </c>
      <c r="BB865" s="4">
        <v>18</v>
      </c>
      <c r="BC865" s="4">
        <v>11</v>
      </c>
      <c r="BD865" s="4">
        <v>0</v>
      </c>
      <c r="BE865" s="4">
        <v>13</v>
      </c>
      <c r="BF865" s="4">
        <v>14</v>
      </c>
      <c r="BG865" s="4">
        <v>3</v>
      </c>
      <c r="BH865" s="4">
        <v>0</v>
      </c>
      <c r="BI865" s="4">
        <v>0</v>
      </c>
      <c r="BJ865" s="4">
        <v>25</v>
      </c>
      <c r="BK865" s="4">
        <v>33</v>
      </c>
      <c r="BL865" s="4">
        <v>0</v>
      </c>
      <c r="BM865" s="4">
        <v>1</v>
      </c>
      <c r="BN865" s="4">
        <v>8</v>
      </c>
      <c r="BO865" s="4">
        <v>0</v>
      </c>
      <c r="BP865" s="4">
        <v>1</v>
      </c>
      <c r="BQ865" s="4">
        <v>19</v>
      </c>
      <c r="BR865" s="4">
        <v>1</v>
      </c>
      <c r="BS865" s="4">
        <v>16</v>
      </c>
      <c r="BT865" s="4">
        <v>9</v>
      </c>
      <c r="BU865" s="4">
        <v>1</v>
      </c>
      <c r="BV865" s="4">
        <v>10</v>
      </c>
      <c r="BW865" s="4">
        <v>11</v>
      </c>
      <c r="BX865" s="4">
        <v>30</v>
      </c>
      <c r="BY865" s="4">
        <v>0</v>
      </c>
      <c r="BZ865" s="4">
        <v>0</v>
      </c>
      <c r="CA865" s="4">
        <v>11</v>
      </c>
      <c r="CB865" s="4">
        <v>2</v>
      </c>
      <c r="CC865" s="4">
        <v>0</v>
      </c>
      <c r="CD865" s="4">
        <v>2</v>
      </c>
      <c r="CE865" s="4">
        <v>0</v>
      </c>
      <c r="CF865" s="4">
        <v>10</v>
      </c>
      <c r="CG865" s="4">
        <v>0</v>
      </c>
      <c r="CH865" s="4">
        <v>1</v>
      </c>
      <c r="CI865" s="4">
        <v>0</v>
      </c>
      <c r="CJ865" s="4">
        <v>6</v>
      </c>
      <c r="CK865" s="4">
        <v>1</v>
      </c>
      <c r="CL865" s="4">
        <v>0</v>
      </c>
      <c r="CM865" s="4">
        <v>5</v>
      </c>
      <c r="CN865" s="4">
        <v>15</v>
      </c>
      <c r="CO865" s="4">
        <v>2</v>
      </c>
      <c r="CP865" s="4">
        <v>1</v>
      </c>
      <c r="CQ865" s="4">
        <v>0</v>
      </c>
      <c r="CR865" s="4">
        <v>1</v>
      </c>
      <c r="CS865" s="4">
        <v>2</v>
      </c>
      <c r="CT865" s="4">
        <v>3</v>
      </c>
      <c r="CU865" s="4">
        <v>0</v>
      </c>
      <c r="CV865" s="4">
        <v>14</v>
      </c>
      <c r="CW865" s="4">
        <v>2</v>
      </c>
      <c r="CX865" s="5">
        <v>2</v>
      </c>
    </row>
    <row r="866" spans="1:102" ht="15.75" x14ac:dyDescent="0.25">
      <c r="A866" s="4" t="s">
        <v>411</v>
      </c>
      <c r="B866" s="4" t="s">
        <v>412</v>
      </c>
      <c r="C866" s="4">
        <v>2021</v>
      </c>
      <c r="D866" s="4">
        <v>4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1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1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5">
        <v>0</v>
      </c>
    </row>
    <row r="867" spans="1:102" ht="15.75" x14ac:dyDescent="0.25">
      <c r="A867" s="4" t="s">
        <v>413</v>
      </c>
      <c r="B867" s="4" t="s">
        <v>414</v>
      </c>
      <c r="C867" s="4">
        <v>2021</v>
      </c>
      <c r="D867" s="4">
        <v>28383</v>
      </c>
      <c r="E867" s="4">
        <v>18</v>
      </c>
      <c r="F867" s="4">
        <v>140</v>
      </c>
      <c r="G867" s="4">
        <v>209</v>
      </c>
      <c r="H867" s="4">
        <v>65</v>
      </c>
      <c r="I867" s="4">
        <v>174</v>
      </c>
      <c r="J867" s="4">
        <v>104</v>
      </c>
      <c r="K867" s="4">
        <v>31</v>
      </c>
      <c r="L867" s="4">
        <v>209</v>
      </c>
      <c r="M867" s="4">
        <v>64</v>
      </c>
      <c r="N867" s="4">
        <v>199</v>
      </c>
      <c r="O867" s="4">
        <v>327</v>
      </c>
      <c r="P867" s="4">
        <v>1</v>
      </c>
      <c r="Q867" s="4">
        <v>13</v>
      </c>
      <c r="R867" s="4">
        <v>16</v>
      </c>
      <c r="S867" s="4">
        <v>9</v>
      </c>
      <c r="T867" s="4">
        <v>74</v>
      </c>
      <c r="U867" s="4">
        <v>6</v>
      </c>
      <c r="V867" s="4">
        <v>55</v>
      </c>
      <c r="W867" s="4">
        <v>184</v>
      </c>
      <c r="X867" s="4">
        <v>61</v>
      </c>
      <c r="Y867" s="4">
        <v>6</v>
      </c>
      <c r="Z867" s="4">
        <v>7401</v>
      </c>
      <c r="AA867" s="4">
        <v>2313</v>
      </c>
      <c r="AB867" s="4">
        <v>1019</v>
      </c>
      <c r="AC867" s="4">
        <v>12</v>
      </c>
      <c r="AD867" s="4">
        <v>59</v>
      </c>
      <c r="AE867" s="4">
        <v>33</v>
      </c>
      <c r="AF867" s="4">
        <v>79</v>
      </c>
      <c r="AG867" s="4">
        <v>784</v>
      </c>
      <c r="AH867" s="4">
        <v>387</v>
      </c>
      <c r="AI867" s="4">
        <v>249</v>
      </c>
      <c r="AJ867" s="4">
        <v>1527</v>
      </c>
      <c r="AK867" s="4">
        <v>331</v>
      </c>
      <c r="AL867" s="4">
        <v>29</v>
      </c>
      <c r="AM867" s="4">
        <v>570</v>
      </c>
      <c r="AN867" s="4">
        <v>225</v>
      </c>
      <c r="AO867" s="4">
        <v>911</v>
      </c>
      <c r="AP867" s="4">
        <v>10</v>
      </c>
      <c r="AQ867" s="4">
        <v>81</v>
      </c>
      <c r="AR867" s="4">
        <v>64</v>
      </c>
      <c r="AS867" s="4">
        <v>236</v>
      </c>
      <c r="AT867" s="4">
        <v>312</v>
      </c>
      <c r="AU867" s="4">
        <v>125</v>
      </c>
      <c r="AV867" s="4">
        <v>537</v>
      </c>
      <c r="AW867" s="4">
        <v>203</v>
      </c>
      <c r="AX867" s="4">
        <v>427</v>
      </c>
      <c r="AY867" s="4">
        <v>3</v>
      </c>
      <c r="AZ867" s="4">
        <v>57</v>
      </c>
      <c r="BA867" s="4">
        <v>0</v>
      </c>
      <c r="BB867" s="4">
        <v>951</v>
      </c>
      <c r="BC867" s="4">
        <v>83</v>
      </c>
      <c r="BD867" s="4">
        <v>6</v>
      </c>
      <c r="BE867" s="4">
        <v>85</v>
      </c>
      <c r="BF867" s="4">
        <v>303</v>
      </c>
      <c r="BG867" s="4">
        <v>13</v>
      </c>
      <c r="BH867" s="4">
        <v>16</v>
      </c>
      <c r="BI867" s="4">
        <v>3</v>
      </c>
      <c r="BJ867" s="4">
        <v>285</v>
      </c>
      <c r="BK867" s="4">
        <v>584</v>
      </c>
      <c r="BL867" s="4">
        <v>0</v>
      </c>
      <c r="BM867" s="4">
        <v>227</v>
      </c>
      <c r="BN867" s="4">
        <v>540</v>
      </c>
      <c r="BO867" s="4">
        <v>10</v>
      </c>
      <c r="BP867" s="4">
        <v>74</v>
      </c>
      <c r="BQ867" s="4">
        <v>649</v>
      </c>
      <c r="BR867" s="4">
        <v>60</v>
      </c>
      <c r="BS867" s="4">
        <v>435</v>
      </c>
      <c r="BT867" s="4">
        <v>312</v>
      </c>
      <c r="BU867" s="4">
        <v>52</v>
      </c>
      <c r="BV867" s="4">
        <v>167</v>
      </c>
      <c r="BW867" s="4">
        <v>236</v>
      </c>
      <c r="BX867" s="4">
        <v>361</v>
      </c>
      <c r="BY867" s="4">
        <v>2</v>
      </c>
      <c r="BZ867" s="4">
        <v>1</v>
      </c>
      <c r="CA867" s="4">
        <v>336</v>
      </c>
      <c r="CB867" s="4">
        <v>34</v>
      </c>
      <c r="CC867" s="4">
        <v>1</v>
      </c>
      <c r="CD867" s="4">
        <v>59</v>
      </c>
      <c r="CE867" s="4">
        <v>12</v>
      </c>
      <c r="CF867" s="4">
        <v>31</v>
      </c>
      <c r="CG867" s="4">
        <v>9</v>
      </c>
      <c r="CH867" s="4">
        <v>35</v>
      </c>
      <c r="CI867" s="4">
        <v>32</v>
      </c>
      <c r="CJ867" s="4">
        <v>295</v>
      </c>
      <c r="CK867" s="4">
        <v>90</v>
      </c>
      <c r="CL867" s="4">
        <v>1</v>
      </c>
      <c r="CM867" s="4">
        <v>49</v>
      </c>
      <c r="CN867" s="4">
        <v>670</v>
      </c>
      <c r="CO867" s="4">
        <v>38</v>
      </c>
      <c r="CP867" s="4">
        <v>53</v>
      </c>
      <c r="CQ867" s="4">
        <v>0</v>
      </c>
      <c r="CR867" s="4">
        <v>109</v>
      </c>
      <c r="CS867" s="4">
        <v>39</v>
      </c>
      <c r="CT867" s="4">
        <v>350</v>
      </c>
      <c r="CU867" s="4">
        <v>33</v>
      </c>
      <c r="CV867" s="4">
        <v>617</v>
      </c>
      <c r="CW867" s="4">
        <v>89</v>
      </c>
      <c r="CX867" s="5">
        <v>89</v>
      </c>
    </row>
    <row r="868" spans="1:102" ht="15.75" x14ac:dyDescent="0.25">
      <c r="A868" s="4" t="s">
        <v>415</v>
      </c>
      <c r="B868" s="4" t="s">
        <v>416</v>
      </c>
      <c r="C868" s="4">
        <v>2021</v>
      </c>
      <c r="D868" s="4">
        <v>3562</v>
      </c>
      <c r="E868" s="4">
        <v>2</v>
      </c>
      <c r="F868" s="4">
        <v>1</v>
      </c>
      <c r="G868" s="4">
        <v>2</v>
      </c>
      <c r="H868" s="4">
        <v>11</v>
      </c>
      <c r="I868" s="4">
        <v>9</v>
      </c>
      <c r="J868" s="4">
        <v>22</v>
      </c>
      <c r="K868" s="4">
        <v>56</v>
      </c>
      <c r="L868" s="4">
        <v>10</v>
      </c>
      <c r="M868" s="4">
        <v>116</v>
      </c>
      <c r="N868" s="4">
        <v>20</v>
      </c>
      <c r="O868" s="4">
        <v>66</v>
      </c>
      <c r="P868" s="4">
        <v>0</v>
      </c>
      <c r="Q868" s="4">
        <v>0</v>
      </c>
      <c r="R868" s="4">
        <v>1</v>
      </c>
      <c r="S868" s="4">
        <v>2</v>
      </c>
      <c r="T868" s="4">
        <v>0</v>
      </c>
      <c r="U868" s="4">
        <v>1</v>
      </c>
      <c r="V868" s="4">
        <v>6</v>
      </c>
      <c r="W868" s="4">
        <v>23</v>
      </c>
      <c r="X868" s="4">
        <v>2</v>
      </c>
      <c r="Y868" s="4">
        <v>17</v>
      </c>
      <c r="Z868" s="4">
        <v>293</v>
      </c>
      <c r="AA868" s="4">
        <v>88</v>
      </c>
      <c r="AB868" s="4">
        <v>27</v>
      </c>
      <c r="AC868" s="4">
        <v>0</v>
      </c>
      <c r="AD868" s="4">
        <v>0</v>
      </c>
      <c r="AE868" s="4">
        <v>41</v>
      </c>
      <c r="AF868" s="4">
        <v>1</v>
      </c>
      <c r="AG868" s="4">
        <v>17</v>
      </c>
      <c r="AH868" s="4">
        <v>35</v>
      </c>
      <c r="AI868" s="4">
        <v>33</v>
      </c>
      <c r="AJ868" s="4">
        <v>15</v>
      </c>
      <c r="AK868" s="4">
        <v>40</v>
      </c>
      <c r="AL868" s="4">
        <v>1</v>
      </c>
      <c r="AM868" s="4">
        <v>24</v>
      </c>
      <c r="AN868" s="4">
        <v>37</v>
      </c>
      <c r="AO868" s="4">
        <v>88</v>
      </c>
      <c r="AP868" s="4">
        <v>1</v>
      </c>
      <c r="AQ868" s="4">
        <v>20</v>
      </c>
      <c r="AR868" s="4">
        <v>15</v>
      </c>
      <c r="AS868" s="4">
        <v>9</v>
      </c>
      <c r="AT868" s="4">
        <v>23</v>
      </c>
      <c r="AU868" s="4">
        <v>19</v>
      </c>
      <c r="AV868" s="4">
        <v>167</v>
      </c>
      <c r="AW868" s="4">
        <v>54</v>
      </c>
      <c r="AX868" s="4">
        <v>195</v>
      </c>
      <c r="AY868" s="4">
        <v>2</v>
      </c>
      <c r="AZ868" s="4">
        <v>10</v>
      </c>
      <c r="BA868" s="4">
        <v>0</v>
      </c>
      <c r="BB868" s="4">
        <v>74</v>
      </c>
      <c r="BC868" s="4">
        <v>23</v>
      </c>
      <c r="BD868" s="4">
        <v>3</v>
      </c>
      <c r="BE868" s="4">
        <v>71</v>
      </c>
      <c r="BF868" s="4">
        <v>131</v>
      </c>
      <c r="BG868" s="4">
        <v>2</v>
      </c>
      <c r="BH868" s="4">
        <v>8</v>
      </c>
      <c r="BI868" s="4">
        <v>3</v>
      </c>
      <c r="BJ868" s="4">
        <v>256</v>
      </c>
      <c r="BK868" s="4">
        <v>92</v>
      </c>
      <c r="BL868" s="4">
        <v>0</v>
      </c>
      <c r="BM868" s="4">
        <v>2</v>
      </c>
      <c r="BN868" s="4">
        <v>39</v>
      </c>
      <c r="BO868" s="4">
        <v>0</v>
      </c>
      <c r="BP868" s="4">
        <v>6</v>
      </c>
      <c r="BQ868" s="4">
        <v>49</v>
      </c>
      <c r="BR868" s="4">
        <v>3</v>
      </c>
      <c r="BS868" s="4">
        <v>115</v>
      </c>
      <c r="BT868" s="4">
        <v>31</v>
      </c>
      <c r="BU868" s="4">
        <v>3</v>
      </c>
      <c r="BV868" s="4">
        <v>19</v>
      </c>
      <c r="BW868" s="4">
        <v>23</v>
      </c>
      <c r="BX868" s="4">
        <v>249</v>
      </c>
      <c r="BY868" s="4">
        <v>4</v>
      </c>
      <c r="BZ868" s="4">
        <v>0</v>
      </c>
      <c r="CA868" s="4">
        <v>302</v>
      </c>
      <c r="CB868" s="4">
        <v>68</v>
      </c>
      <c r="CC868" s="4">
        <v>0</v>
      </c>
      <c r="CD868" s="4">
        <v>10</v>
      </c>
      <c r="CE868" s="4">
        <v>0</v>
      </c>
      <c r="CF868" s="4">
        <v>6</v>
      </c>
      <c r="CG868" s="4">
        <v>1</v>
      </c>
      <c r="CH868" s="4">
        <v>4</v>
      </c>
      <c r="CI868" s="4">
        <v>7</v>
      </c>
      <c r="CJ868" s="4">
        <v>17</v>
      </c>
      <c r="CK868" s="4">
        <v>3</v>
      </c>
      <c r="CL868" s="4">
        <v>0</v>
      </c>
      <c r="CM868" s="4">
        <v>30</v>
      </c>
      <c r="CN868" s="4">
        <v>118</v>
      </c>
      <c r="CO868" s="4">
        <v>7</v>
      </c>
      <c r="CP868" s="4">
        <v>3</v>
      </c>
      <c r="CQ868" s="4">
        <v>1</v>
      </c>
      <c r="CR868" s="4">
        <v>12</v>
      </c>
      <c r="CS868" s="4">
        <v>3</v>
      </c>
      <c r="CT868" s="4">
        <v>22</v>
      </c>
      <c r="CU868" s="4">
        <v>2</v>
      </c>
      <c r="CV868" s="4">
        <v>74</v>
      </c>
      <c r="CW868" s="4">
        <v>43</v>
      </c>
      <c r="CX868" s="5">
        <v>43</v>
      </c>
    </row>
    <row r="869" spans="1:102" ht="15.75" x14ac:dyDescent="0.25">
      <c r="A869" s="4" t="s">
        <v>417</v>
      </c>
      <c r="B869" s="4" t="s">
        <v>418</v>
      </c>
      <c r="C869" s="4">
        <v>2021</v>
      </c>
      <c r="D869" s="4">
        <v>12</v>
      </c>
      <c r="E869" s="4">
        <v>0</v>
      </c>
      <c r="F869" s="4">
        <v>0</v>
      </c>
      <c r="G869" s="4">
        <v>0</v>
      </c>
      <c r="H869" s="4">
        <v>0</v>
      </c>
      <c r="I869" s="4">
        <v>1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1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1</v>
      </c>
      <c r="AK869" s="4">
        <v>0</v>
      </c>
      <c r="AL869" s="4">
        <v>0</v>
      </c>
      <c r="AM869" s="4">
        <v>0</v>
      </c>
      <c r="AN869" s="4">
        <v>0</v>
      </c>
      <c r="AO869" s="4">
        <v>1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1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1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1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5">
        <v>0</v>
      </c>
    </row>
    <row r="870" spans="1:102" ht="15.75" x14ac:dyDescent="0.25">
      <c r="A870" s="4" t="s">
        <v>419</v>
      </c>
      <c r="B870" s="4" t="s">
        <v>420</v>
      </c>
      <c r="C870" s="4">
        <v>2021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5">
        <v>0</v>
      </c>
    </row>
    <row r="871" spans="1:102" ht="15.75" x14ac:dyDescent="0.25">
      <c r="A871" s="4" t="s">
        <v>421</v>
      </c>
      <c r="B871" s="4" t="s">
        <v>422</v>
      </c>
      <c r="C871" s="4">
        <v>2021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5">
        <v>0</v>
      </c>
    </row>
    <row r="872" spans="1:102" ht="15.75" x14ac:dyDescent="0.25">
      <c r="A872" s="4" t="s">
        <v>423</v>
      </c>
      <c r="B872" s="4" t="s">
        <v>424</v>
      </c>
      <c r="C872" s="4">
        <v>2021</v>
      </c>
      <c r="D872" s="4">
        <v>904</v>
      </c>
      <c r="E872" s="4">
        <v>0</v>
      </c>
      <c r="F872" s="4">
        <v>2</v>
      </c>
      <c r="G872" s="4">
        <v>2</v>
      </c>
      <c r="H872" s="4">
        <v>0</v>
      </c>
      <c r="I872" s="4">
        <v>6</v>
      </c>
      <c r="J872" s="4">
        <v>1</v>
      </c>
      <c r="K872" s="4">
        <v>4</v>
      </c>
      <c r="L872" s="4">
        <v>6</v>
      </c>
      <c r="M872" s="4">
        <v>8</v>
      </c>
      <c r="N872" s="4">
        <v>11</v>
      </c>
      <c r="O872" s="4">
        <v>24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1</v>
      </c>
      <c r="W872" s="4">
        <v>3</v>
      </c>
      <c r="X872" s="4">
        <v>1</v>
      </c>
      <c r="Y872" s="4">
        <v>0</v>
      </c>
      <c r="Z872" s="4">
        <v>0</v>
      </c>
      <c r="AA872" s="4">
        <v>3</v>
      </c>
      <c r="AB872" s="4">
        <v>0</v>
      </c>
      <c r="AC872" s="4">
        <v>0</v>
      </c>
      <c r="AD872" s="4">
        <v>0</v>
      </c>
      <c r="AE872" s="4">
        <v>1</v>
      </c>
      <c r="AF872" s="4">
        <v>0</v>
      </c>
      <c r="AG872" s="4">
        <v>1</v>
      </c>
      <c r="AH872" s="4">
        <v>1</v>
      </c>
      <c r="AI872" s="4">
        <v>7</v>
      </c>
      <c r="AJ872" s="4">
        <v>28</v>
      </c>
      <c r="AK872" s="4">
        <v>13</v>
      </c>
      <c r="AL872" s="4">
        <v>2</v>
      </c>
      <c r="AM872" s="4">
        <v>4</v>
      </c>
      <c r="AN872" s="4">
        <v>19</v>
      </c>
      <c r="AO872" s="4">
        <v>15</v>
      </c>
      <c r="AP872" s="4">
        <v>1</v>
      </c>
      <c r="AQ872" s="4">
        <v>5</v>
      </c>
      <c r="AR872" s="4">
        <v>1</v>
      </c>
      <c r="AS872" s="4">
        <v>7</v>
      </c>
      <c r="AT872" s="4">
        <v>8</v>
      </c>
      <c r="AU872" s="4">
        <v>12</v>
      </c>
      <c r="AV872" s="4">
        <v>5</v>
      </c>
      <c r="AW872" s="4">
        <v>2</v>
      </c>
      <c r="AX872" s="4">
        <v>19</v>
      </c>
      <c r="AY872" s="4">
        <v>0</v>
      </c>
      <c r="AZ872" s="4">
        <v>1</v>
      </c>
      <c r="BA872" s="4">
        <v>0</v>
      </c>
      <c r="BB872" s="4">
        <v>25</v>
      </c>
      <c r="BC872" s="4">
        <v>4</v>
      </c>
      <c r="BD872" s="4">
        <v>2</v>
      </c>
      <c r="BE872" s="4">
        <v>10</v>
      </c>
      <c r="BF872" s="4">
        <v>57</v>
      </c>
      <c r="BG872" s="4">
        <v>0</v>
      </c>
      <c r="BH872" s="4">
        <v>1</v>
      </c>
      <c r="BI872" s="4">
        <v>3</v>
      </c>
      <c r="BJ872" s="4">
        <v>14</v>
      </c>
      <c r="BK872" s="4">
        <v>38</v>
      </c>
      <c r="BL872" s="4">
        <v>0</v>
      </c>
      <c r="BM872" s="4">
        <v>1</v>
      </c>
      <c r="BN872" s="4">
        <v>4</v>
      </c>
      <c r="BO872" s="4">
        <v>0</v>
      </c>
      <c r="BP872" s="4">
        <v>2</v>
      </c>
      <c r="BQ872" s="4">
        <v>6</v>
      </c>
      <c r="BR872" s="4">
        <v>3</v>
      </c>
      <c r="BS872" s="4">
        <v>17</v>
      </c>
      <c r="BT872" s="4">
        <v>7</v>
      </c>
      <c r="BU872" s="4">
        <v>44</v>
      </c>
      <c r="BV872" s="4">
        <v>20</v>
      </c>
      <c r="BW872" s="4">
        <v>37</v>
      </c>
      <c r="BX872" s="4">
        <v>218</v>
      </c>
      <c r="BY872" s="4">
        <v>1</v>
      </c>
      <c r="BZ872" s="4">
        <v>0</v>
      </c>
      <c r="CA872" s="4">
        <v>11</v>
      </c>
      <c r="CB872" s="4">
        <v>30</v>
      </c>
      <c r="CC872" s="4">
        <v>0</v>
      </c>
      <c r="CD872" s="4">
        <v>4</v>
      </c>
      <c r="CE872" s="4">
        <v>1</v>
      </c>
      <c r="CF872" s="4">
        <v>5</v>
      </c>
      <c r="CG872" s="4">
        <v>0</v>
      </c>
      <c r="CH872" s="4">
        <v>1</v>
      </c>
      <c r="CI872" s="4">
        <v>2</v>
      </c>
      <c r="CJ872" s="4">
        <v>17</v>
      </c>
      <c r="CK872" s="4">
        <v>2</v>
      </c>
      <c r="CL872" s="4">
        <v>0</v>
      </c>
      <c r="CM872" s="4">
        <v>2</v>
      </c>
      <c r="CN872" s="4">
        <v>23</v>
      </c>
      <c r="CO872" s="4">
        <v>1</v>
      </c>
      <c r="CP872" s="4">
        <v>1</v>
      </c>
      <c r="CQ872" s="4">
        <v>0</v>
      </c>
      <c r="CR872" s="4">
        <v>3</v>
      </c>
      <c r="CS872" s="4">
        <v>3</v>
      </c>
      <c r="CT872" s="4">
        <v>9</v>
      </c>
      <c r="CU872" s="4">
        <v>1</v>
      </c>
      <c r="CV872" s="4">
        <v>44</v>
      </c>
      <c r="CW872" s="4">
        <v>9</v>
      </c>
      <c r="CX872" s="5">
        <v>9</v>
      </c>
    </row>
    <row r="873" spans="1:102" ht="15.75" x14ac:dyDescent="0.25">
      <c r="A873" s="4" t="s">
        <v>425</v>
      </c>
      <c r="B873" s="4" t="s">
        <v>426</v>
      </c>
      <c r="C873" s="4">
        <v>2021</v>
      </c>
      <c r="D873" s="4">
        <v>378</v>
      </c>
      <c r="E873" s="4">
        <v>3</v>
      </c>
      <c r="F873" s="4">
        <v>0</v>
      </c>
      <c r="G873" s="4">
        <v>1</v>
      </c>
      <c r="H873" s="4">
        <v>0</v>
      </c>
      <c r="I873" s="4">
        <v>7</v>
      </c>
      <c r="J873" s="4">
        <v>2</v>
      </c>
      <c r="K873" s="4">
        <v>0</v>
      </c>
      <c r="L873" s="4">
        <v>1</v>
      </c>
      <c r="M873" s="4">
        <v>0</v>
      </c>
      <c r="N873" s="4">
        <v>4</v>
      </c>
      <c r="O873" s="4">
        <v>4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1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1</v>
      </c>
      <c r="AH873" s="4">
        <v>0</v>
      </c>
      <c r="AI873" s="4">
        <v>2</v>
      </c>
      <c r="AJ873" s="4">
        <v>21</v>
      </c>
      <c r="AK873" s="4">
        <v>4</v>
      </c>
      <c r="AL873" s="4">
        <v>0</v>
      </c>
      <c r="AM873" s="4">
        <v>3</v>
      </c>
      <c r="AN873" s="4">
        <v>1</v>
      </c>
      <c r="AO873" s="4">
        <v>9</v>
      </c>
      <c r="AP873" s="4">
        <v>0</v>
      </c>
      <c r="AQ873" s="4">
        <v>2</v>
      </c>
      <c r="AR873" s="4">
        <v>1</v>
      </c>
      <c r="AS873" s="4">
        <v>1</v>
      </c>
      <c r="AT873" s="4">
        <v>1</v>
      </c>
      <c r="AU873" s="4">
        <v>1</v>
      </c>
      <c r="AV873" s="4">
        <v>2</v>
      </c>
      <c r="AW873" s="4">
        <v>5</v>
      </c>
      <c r="AX873" s="4">
        <v>9</v>
      </c>
      <c r="AY873" s="4">
        <v>0</v>
      </c>
      <c r="AZ873" s="4">
        <v>2</v>
      </c>
      <c r="BA873" s="4">
        <v>0</v>
      </c>
      <c r="BB873" s="4">
        <v>41</v>
      </c>
      <c r="BC873" s="4">
        <v>1</v>
      </c>
      <c r="BD873" s="4">
        <v>0</v>
      </c>
      <c r="BE873" s="4">
        <v>3</v>
      </c>
      <c r="BF873" s="4">
        <v>7</v>
      </c>
      <c r="BG873" s="4">
        <v>0</v>
      </c>
      <c r="BH873" s="4">
        <v>1</v>
      </c>
      <c r="BI873" s="4">
        <v>0</v>
      </c>
      <c r="BJ873" s="4">
        <v>21</v>
      </c>
      <c r="BK873" s="4">
        <v>23</v>
      </c>
      <c r="BL873" s="4">
        <v>0</v>
      </c>
      <c r="BM873" s="4">
        <v>1</v>
      </c>
      <c r="BN873" s="4">
        <v>5</v>
      </c>
      <c r="BO873" s="4">
        <v>0</v>
      </c>
      <c r="BP873" s="4">
        <v>1</v>
      </c>
      <c r="BQ873" s="4">
        <v>9</v>
      </c>
      <c r="BR873" s="4">
        <v>0</v>
      </c>
      <c r="BS873" s="4">
        <v>22</v>
      </c>
      <c r="BT873" s="4">
        <v>9</v>
      </c>
      <c r="BU873" s="4">
        <v>0</v>
      </c>
      <c r="BV873" s="4">
        <v>1</v>
      </c>
      <c r="BW873" s="4">
        <v>1</v>
      </c>
      <c r="BX873" s="4">
        <v>45</v>
      </c>
      <c r="BY873" s="4">
        <v>0</v>
      </c>
      <c r="BZ873" s="4">
        <v>0</v>
      </c>
      <c r="CA873" s="4">
        <v>42</v>
      </c>
      <c r="CB873" s="4">
        <v>0</v>
      </c>
      <c r="CC873" s="4">
        <v>0</v>
      </c>
      <c r="CD873" s="4">
        <v>2</v>
      </c>
      <c r="CE873" s="4">
        <v>0</v>
      </c>
      <c r="CF873" s="4">
        <v>1</v>
      </c>
      <c r="CG873" s="4">
        <v>0</v>
      </c>
      <c r="CH873" s="4">
        <v>0</v>
      </c>
      <c r="CI873" s="4">
        <v>1</v>
      </c>
      <c r="CJ873" s="4">
        <v>3</v>
      </c>
      <c r="CK873" s="4">
        <v>0</v>
      </c>
      <c r="CL873" s="4">
        <v>0</v>
      </c>
      <c r="CM873" s="4">
        <v>5</v>
      </c>
      <c r="CN873" s="4">
        <v>19</v>
      </c>
      <c r="CO873" s="4">
        <v>1</v>
      </c>
      <c r="CP873" s="4">
        <v>0</v>
      </c>
      <c r="CQ873" s="4">
        <v>0</v>
      </c>
      <c r="CR873" s="4">
        <v>11</v>
      </c>
      <c r="CS873" s="4">
        <v>1</v>
      </c>
      <c r="CT873" s="4">
        <v>1</v>
      </c>
      <c r="CU873" s="4">
        <v>0</v>
      </c>
      <c r="CV873" s="4">
        <v>5</v>
      </c>
      <c r="CW873" s="4">
        <v>3</v>
      </c>
      <c r="CX873" s="5">
        <v>3</v>
      </c>
    </row>
    <row r="874" spans="1:102" ht="15.75" x14ac:dyDescent="0.25">
      <c r="A874" s="4" t="s">
        <v>427</v>
      </c>
      <c r="B874" s="4" t="s">
        <v>428</v>
      </c>
      <c r="C874" s="4">
        <v>2021</v>
      </c>
      <c r="D874" s="4">
        <v>164</v>
      </c>
      <c r="E874" s="4">
        <v>0</v>
      </c>
      <c r="F874" s="4">
        <v>0</v>
      </c>
      <c r="G874" s="4">
        <v>0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  <c r="M874" s="4">
        <v>0</v>
      </c>
      <c r="N874" s="4">
        <v>1</v>
      </c>
      <c r="O874" s="4">
        <v>88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1</v>
      </c>
      <c r="AJ874" s="4">
        <v>26</v>
      </c>
      <c r="AK874" s="4">
        <v>3</v>
      </c>
      <c r="AL874" s="4">
        <v>0</v>
      </c>
      <c r="AM874" s="4">
        <v>1</v>
      </c>
      <c r="AN874" s="4">
        <v>1</v>
      </c>
      <c r="AO874" s="4">
        <v>2</v>
      </c>
      <c r="AP874" s="4">
        <v>0</v>
      </c>
      <c r="AQ874" s="4">
        <v>1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3</v>
      </c>
      <c r="AY874" s="4">
        <v>0</v>
      </c>
      <c r="AZ874" s="4">
        <v>0</v>
      </c>
      <c r="BA874" s="4">
        <v>0</v>
      </c>
      <c r="BB874" s="4">
        <v>1</v>
      </c>
      <c r="BC874" s="4">
        <v>0</v>
      </c>
      <c r="BD874" s="4">
        <v>0</v>
      </c>
      <c r="BE874" s="4">
        <v>0</v>
      </c>
      <c r="BF874" s="4">
        <v>1</v>
      </c>
      <c r="BG874" s="4">
        <v>0</v>
      </c>
      <c r="BH874" s="4">
        <v>0</v>
      </c>
      <c r="BI874" s="4">
        <v>0</v>
      </c>
      <c r="BJ874" s="4">
        <v>2</v>
      </c>
      <c r="BK874" s="4">
        <v>6</v>
      </c>
      <c r="BL874" s="4">
        <v>0</v>
      </c>
      <c r="BM874" s="4">
        <v>0</v>
      </c>
      <c r="BN874" s="4">
        <v>1</v>
      </c>
      <c r="BO874" s="4">
        <v>0</v>
      </c>
      <c r="BP874" s="4">
        <v>0</v>
      </c>
      <c r="BQ874" s="4">
        <v>0</v>
      </c>
      <c r="BR874" s="4">
        <v>0</v>
      </c>
      <c r="BS874" s="4">
        <v>1</v>
      </c>
      <c r="BT874" s="4">
        <v>0</v>
      </c>
      <c r="BU874" s="4">
        <v>0</v>
      </c>
      <c r="BV874" s="4">
        <v>1</v>
      </c>
      <c r="BW874" s="4">
        <v>4</v>
      </c>
      <c r="BX874" s="4">
        <v>10</v>
      </c>
      <c r="BY874" s="4">
        <v>0</v>
      </c>
      <c r="BZ874" s="4">
        <v>0</v>
      </c>
      <c r="CA874" s="4">
        <v>1</v>
      </c>
      <c r="CB874" s="4">
        <v>1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1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1</v>
      </c>
      <c r="CU874" s="4">
        <v>0</v>
      </c>
      <c r="CV874" s="4">
        <v>1</v>
      </c>
      <c r="CW874" s="4">
        <v>1</v>
      </c>
      <c r="CX874" s="5">
        <v>1</v>
      </c>
    </row>
    <row r="875" spans="1:102" ht="15.75" x14ac:dyDescent="0.25">
      <c r="A875" s="4" t="s">
        <v>429</v>
      </c>
      <c r="B875" s="4" t="s">
        <v>430</v>
      </c>
      <c r="C875" s="4">
        <v>2021</v>
      </c>
      <c r="D875" s="4">
        <v>166</v>
      </c>
      <c r="E875" s="4">
        <v>0</v>
      </c>
      <c r="F875" s="4">
        <v>0</v>
      </c>
      <c r="G875" s="4">
        <v>2</v>
      </c>
      <c r="H875" s="4">
        <v>0</v>
      </c>
      <c r="I875" s="4">
        <v>0</v>
      </c>
      <c r="J875" s="4">
        <v>0</v>
      </c>
      <c r="K875" s="4">
        <v>0</v>
      </c>
      <c r="L875" s="4">
        <v>2</v>
      </c>
      <c r="M875" s="4">
        <v>0</v>
      </c>
      <c r="N875" s="4">
        <v>3</v>
      </c>
      <c r="O875" s="4">
        <v>22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1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2</v>
      </c>
      <c r="AH875" s="4">
        <v>1</v>
      </c>
      <c r="AI875" s="4">
        <v>2</v>
      </c>
      <c r="AJ875" s="4">
        <v>13</v>
      </c>
      <c r="AK875" s="4">
        <v>5</v>
      </c>
      <c r="AL875" s="4">
        <v>1</v>
      </c>
      <c r="AM875" s="4">
        <v>8</v>
      </c>
      <c r="AN875" s="4">
        <v>1</v>
      </c>
      <c r="AO875" s="4">
        <v>7</v>
      </c>
      <c r="AP875" s="4">
        <v>0</v>
      </c>
      <c r="AQ875" s="4">
        <v>0</v>
      </c>
      <c r="AR875" s="4">
        <v>0</v>
      </c>
      <c r="AS875" s="4">
        <v>1</v>
      </c>
      <c r="AT875" s="4">
        <v>1</v>
      </c>
      <c r="AU875" s="4">
        <v>4</v>
      </c>
      <c r="AV875" s="4">
        <v>2</v>
      </c>
      <c r="AW875" s="4">
        <v>1</v>
      </c>
      <c r="AX875" s="4">
        <v>3</v>
      </c>
      <c r="AY875" s="4">
        <v>0</v>
      </c>
      <c r="AZ875" s="4">
        <v>1</v>
      </c>
      <c r="BA875" s="4">
        <v>0</v>
      </c>
      <c r="BB875" s="4">
        <v>14</v>
      </c>
      <c r="BC875" s="4">
        <v>5</v>
      </c>
      <c r="BD875" s="4">
        <v>0</v>
      </c>
      <c r="BE875" s="4">
        <v>4</v>
      </c>
      <c r="BF875" s="4">
        <v>8</v>
      </c>
      <c r="BG875" s="4">
        <v>0</v>
      </c>
      <c r="BH875" s="4">
        <v>0</v>
      </c>
      <c r="BI875" s="4">
        <v>0</v>
      </c>
      <c r="BJ875" s="4">
        <v>4</v>
      </c>
      <c r="BK875" s="4">
        <v>6</v>
      </c>
      <c r="BL875" s="4">
        <v>0</v>
      </c>
      <c r="BM875" s="4">
        <v>0</v>
      </c>
      <c r="BN875" s="4">
        <v>3</v>
      </c>
      <c r="BO875" s="4">
        <v>0</v>
      </c>
      <c r="BP875" s="4">
        <v>1</v>
      </c>
      <c r="BQ875" s="4">
        <v>1</v>
      </c>
      <c r="BR875" s="4">
        <v>1</v>
      </c>
      <c r="BS875" s="4">
        <v>3</v>
      </c>
      <c r="BT875" s="4">
        <v>1</v>
      </c>
      <c r="BU875" s="4">
        <v>0</v>
      </c>
      <c r="BV875" s="4">
        <v>2</v>
      </c>
      <c r="BW875" s="4">
        <v>0</v>
      </c>
      <c r="BX875" s="4">
        <v>13</v>
      </c>
      <c r="BY875" s="4">
        <v>0</v>
      </c>
      <c r="BZ875" s="4">
        <v>0</v>
      </c>
      <c r="CA875" s="4">
        <v>0</v>
      </c>
      <c r="CB875" s="4">
        <v>2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1</v>
      </c>
      <c r="CN875" s="4">
        <v>6</v>
      </c>
      <c r="CO875" s="4">
        <v>0</v>
      </c>
      <c r="CP875" s="4">
        <v>0</v>
      </c>
      <c r="CQ875" s="4">
        <v>0</v>
      </c>
      <c r="CR875" s="4">
        <v>0</v>
      </c>
      <c r="CS875" s="4">
        <v>0</v>
      </c>
      <c r="CT875" s="4">
        <v>2</v>
      </c>
      <c r="CU875" s="4">
        <v>0</v>
      </c>
      <c r="CV875" s="4">
        <v>3</v>
      </c>
      <c r="CW875" s="4">
        <v>1</v>
      </c>
      <c r="CX875" s="5">
        <v>1</v>
      </c>
    </row>
    <row r="876" spans="1:102" ht="15.75" x14ac:dyDescent="0.25">
      <c r="A876" s="4" t="s">
        <v>431</v>
      </c>
      <c r="B876" s="4" t="s">
        <v>432</v>
      </c>
      <c r="C876" s="4">
        <v>2021</v>
      </c>
      <c r="D876" s="4">
        <v>5</v>
      </c>
      <c r="E876" s="4">
        <v>0</v>
      </c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1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2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5">
        <v>0</v>
      </c>
    </row>
    <row r="877" spans="1:102" ht="15.75" x14ac:dyDescent="0.25">
      <c r="A877" s="4" t="s">
        <v>433</v>
      </c>
      <c r="B877" s="4" t="s">
        <v>434</v>
      </c>
      <c r="C877" s="4">
        <v>2021</v>
      </c>
      <c r="D877" s="4">
        <v>17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3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2</v>
      </c>
      <c r="AY877" s="4">
        <v>0</v>
      </c>
      <c r="AZ877" s="4">
        <v>0</v>
      </c>
      <c r="BA877" s="4">
        <v>0</v>
      </c>
      <c r="BB877" s="4">
        <v>1</v>
      </c>
      <c r="BC877" s="4">
        <v>0</v>
      </c>
      <c r="BD877" s="4">
        <v>0</v>
      </c>
      <c r="BE877" s="4">
        <v>1</v>
      </c>
      <c r="BF877" s="4">
        <v>1</v>
      </c>
      <c r="BG877" s="4">
        <v>0</v>
      </c>
      <c r="BH877" s="4">
        <v>0</v>
      </c>
      <c r="BI877" s="4">
        <v>0</v>
      </c>
      <c r="BJ877" s="4">
        <v>1</v>
      </c>
      <c r="BK877" s="4">
        <v>1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1</v>
      </c>
      <c r="CO877" s="4">
        <v>0</v>
      </c>
      <c r="CP877" s="4">
        <v>0</v>
      </c>
      <c r="CQ877" s="4">
        <v>0</v>
      </c>
      <c r="CR877" s="4">
        <v>0</v>
      </c>
      <c r="CS877" s="4">
        <v>4</v>
      </c>
      <c r="CT877" s="4">
        <v>0</v>
      </c>
      <c r="CU877" s="4">
        <v>0</v>
      </c>
      <c r="CV877" s="4">
        <v>0</v>
      </c>
      <c r="CW877" s="4">
        <v>0</v>
      </c>
      <c r="CX877" s="5">
        <v>0</v>
      </c>
    </row>
    <row r="878" spans="1:102" ht="15.75" x14ac:dyDescent="0.25">
      <c r="A878" s="4" t="s">
        <v>435</v>
      </c>
      <c r="B878" s="4" t="s">
        <v>436</v>
      </c>
      <c r="C878" s="4">
        <v>2021</v>
      </c>
      <c r="D878" s="4">
        <v>445</v>
      </c>
      <c r="E878" s="4">
        <v>0</v>
      </c>
      <c r="F878" s="4">
        <v>53</v>
      </c>
      <c r="G878" s="4">
        <v>5</v>
      </c>
      <c r="H878" s="4">
        <v>9</v>
      </c>
      <c r="I878" s="4">
        <v>5</v>
      </c>
      <c r="J878" s="4">
        <v>2</v>
      </c>
      <c r="K878" s="4">
        <v>1</v>
      </c>
      <c r="L878" s="4">
        <v>3</v>
      </c>
      <c r="M878" s="4">
        <v>12</v>
      </c>
      <c r="N878" s="4">
        <v>2</v>
      </c>
      <c r="O878" s="4">
        <v>7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1</v>
      </c>
      <c r="V878" s="4">
        <v>1</v>
      </c>
      <c r="W878" s="4">
        <v>7</v>
      </c>
      <c r="X878" s="4">
        <v>2</v>
      </c>
      <c r="Y878" s="4">
        <v>0</v>
      </c>
      <c r="Z878" s="4">
        <v>0</v>
      </c>
      <c r="AA878" s="4">
        <v>1</v>
      </c>
      <c r="AB878" s="4">
        <v>0</v>
      </c>
      <c r="AC878" s="4">
        <v>0</v>
      </c>
      <c r="AD878" s="4">
        <v>1</v>
      </c>
      <c r="AE878" s="4">
        <v>1</v>
      </c>
      <c r="AF878" s="4">
        <v>0</v>
      </c>
      <c r="AG878" s="4">
        <v>8</v>
      </c>
      <c r="AH878" s="4">
        <v>0</v>
      </c>
      <c r="AI878" s="4">
        <v>7</v>
      </c>
      <c r="AJ878" s="4">
        <v>31</v>
      </c>
      <c r="AK878" s="4">
        <v>22</v>
      </c>
      <c r="AL878" s="4">
        <v>0</v>
      </c>
      <c r="AM878" s="4">
        <v>6</v>
      </c>
      <c r="AN878" s="4">
        <v>3</v>
      </c>
      <c r="AO878" s="4">
        <v>9</v>
      </c>
      <c r="AP878" s="4">
        <v>1</v>
      </c>
      <c r="AQ878" s="4">
        <v>1</v>
      </c>
      <c r="AR878" s="4">
        <v>0</v>
      </c>
      <c r="AS878" s="4">
        <v>4</v>
      </c>
      <c r="AT878" s="4">
        <v>5</v>
      </c>
      <c r="AU878" s="4">
        <v>2</v>
      </c>
      <c r="AV878" s="4">
        <v>2</v>
      </c>
      <c r="AW878" s="4">
        <v>1</v>
      </c>
      <c r="AX878" s="4">
        <v>6</v>
      </c>
      <c r="AY878" s="4">
        <v>1</v>
      </c>
      <c r="AZ878" s="4">
        <v>4</v>
      </c>
      <c r="BA878" s="4">
        <v>0</v>
      </c>
      <c r="BB878" s="4">
        <v>5</v>
      </c>
      <c r="BC878" s="4">
        <v>2</v>
      </c>
      <c r="BD878" s="4">
        <v>0</v>
      </c>
      <c r="BE878" s="4">
        <v>3</v>
      </c>
      <c r="BF878" s="4">
        <v>5</v>
      </c>
      <c r="BG878" s="4">
        <v>0</v>
      </c>
      <c r="BH878" s="4">
        <v>0</v>
      </c>
      <c r="BI878" s="4">
        <v>0</v>
      </c>
      <c r="BJ878" s="4">
        <v>12</v>
      </c>
      <c r="BK878" s="4">
        <v>11</v>
      </c>
      <c r="BL878" s="4">
        <v>0</v>
      </c>
      <c r="BM878" s="4">
        <v>1</v>
      </c>
      <c r="BN878" s="4">
        <v>4</v>
      </c>
      <c r="BO878" s="4">
        <v>0</v>
      </c>
      <c r="BP878" s="4">
        <v>1</v>
      </c>
      <c r="BQ878" s="4">
        <v>5</v>
      </c>
      <c r="BR878" s="4">
        <v>0</v>
      </c>
      <c r="BS878" s="4">
        <v>94</v>
      </c>
      <c r="BT878" s="4">
        <v>11</v>
      </c>
      <c r="BU878" s="4">
        <v>0</v>
      </c>
      <c r="BV878" s="4">
        <v>2</v>
      </c>
      <c r="BW878" s="4">
        <v>11</v>
      </c>
      <c r="BX878" s="4">
        <v>15</v>
      </c>
      <c r="BY878" s="4">
        <v>0</v>
      </c>
      <c r="BZ878" s="4">
        <v>0</v>
      </c>
      <c r="CA878" s="4">
        <v>6</v>
      </c>
      <c r="CB878" s="4">
        <v>0</v>
      </c>
      <c r="CC878" s="4">
        <v>0</v>
      </c>
      <c r="CD878" s="4">
        <v>0</v>
      </c>
      <c r="CE878" s="4">
        <v>0</v>
      </c>
      <c r="CF878" s="4">
        <v>1</v>
      </c>
      <c r="CG878" s="4">
        <v>1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1</v>
      </c>
      <c r="CN878" s="4">
        <v>10</v>
      </c>
      <c r="CO878" s="4">
        <v>0</v>
      </c>
      <c r="CP878" s="4">
        <v>0</v>
      </c>
      <c r="CQ878" s="4">
        <v>0</v>
      </c>
      <c r="CR878" s="4">
        <v>1</v>
      </c>
      <c r="CS878" s="4">
        <v>0</v>
      </c>
      <c r="CT878" s="4">
        <v>2</v>
      </c>
      <c r="CU878" s="4">
        <v>1</v>
      </c>
      <c r="CV878" s="4">
        <v>10</v>
      </c>
      <c r="CW878" s="4">
        <v>2</v>
      </c>
      <c r="CX878" s="5">
        <v>2</v>
      </c>
    </row>
    <row r="879" spans="1:102" ht="15.75" x14ac:dyDescent="0.25">
      <c r="A879" s="4" t="s">
        <v>437</v>
      </c>
      <c r="B879" s="4" t="s">
        <v>438</v>
      </c>
      <c r="C879" s="4">
        <v>2021</v>
      </c>
      <c r="D879" s="4">
        <v>727</v>
      </c>
      <c r="E879" s="4">
        <v>3</v>
      </c>
      <c r="F879" s="4">
        <v>0</v>
      </c>
      <c r="G879" s="4">
        <v>9</v>
      </c>
      <c r="H879" s="4">
        <v>0</v>
      </c>
      <c r="I879" s="4">
        <v>3</v>
      </c>
      <c r="J879" s="4">
        <v>0</v>
      </c>
      <c r="K879" s="4">
        <v>1</v>
      </c>
      <c r="L879" s="4">
        <v>0</v>
      </c>
      <c r="M879" s="4">
        <v>1</v>
      </c>
      <c r="N879" s="4">
        <v>3</v>
      </c>
      <c r="O879" s="4">
        <v>0</v>
      </c>
      <c r="P879" s="4">
        <v>0</v>
      </c>
      <c r="Q879" s="4">
        <v>0</v>
      </c>
      <c r="R879" s="4">
        <v>1</v>
      </c>
      <c r="S879" s="4">
        <v>1</v>
      </c>
      <c r="T879" s="4">
        <v>5</v>
      </c>
      <c r="U879" s="4">
        <v>10</v>
      </c>
      <c r="V879" s="4">
        <v>1</v>
      </c>
      <c r="W879" s="4">
        <v>408</v>
      </c>
      <c r="X879" s="4">
        <v>0</v>
      </c>
      <c r="Y879" s="4">
        <v>0</v>
      </c>
      <c r="Z879" s="4">
        <v>0</v>
      </c>
      <c r="AA879" s="4">
        <v>1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8</v>
      </c>
      <c r="AH879" s="4">
        <v>2</v>
      </c>
      <c r="AI879" s="4">
        <v>10</v>
      </c>
      <c r="AJ879" s="4">
        <v>15</v>
      </c>
      <c r="AK879" s="4">
        <v>14</v>
      </c>
      <c r="AL879" s="4">
        <v>0</v>
      </c>
      <c r="AM879" s="4">
        <v>7</v>
      </c>
      <c r="AN879" s="4">
        <v>2</v>
      </c>
      <c r="AO879" s="4">
        <v>23</v>
      </c>
      <c r="AP879" s="4">
        <v>1</v>
      </c>
      <c r="AQ879" s="4">
        <v>2</v>
      </c>
      <c r="AR879" s="4">
        <v>0</v>
      </c>
      <c r="AS879" s="4">
        <v>3</v>
      </c>
      <c r="AT879" s="4">
        <v>3</v>
      </c>
      <c r="AU879" s="4">
        <v>1</v>
      </c>
      <c r="AV879" s="4">
        <v>4</v>
      </c>
      <c r="AW879" s="4">
        <v>4</v>
      </c>
      <c r="AX879" s="4">
        <v>5</v>
      </c>
      <c r="AY879" s="4">
        <v>0</v>
      </c>
      <c r="AZ879" s="4">
        <v>6</v>
      </c>
      <c r="BA879" s="4">
        <v>0</v>
      </c>
      <c r="BB879" s="4">
        <v>4</v>
      </c>
      <c r="BC879" s="4">
        <v>4</v>
      </c>
      <c r="BD879" s="4">
        <v>0</v>
      </c>
      <c r="BE879" s="4">
        <v>3</v>
      </c>
      <c r="BF879" s="4">
        <v>8</v>
      </c>
      <c r="BG879" s="4">
        <v>1</v>
      </c>
      <c r="BH879" s="4">
        <v>2</v>
      </c>
      <c r="BI879" s="4">
        <v>0</v>
      </c>
      <c r="BJ879" s="4">
        <v>9</v>
      </c>
      <c r="BK879" s="4">
        <v>17</v>
      </c>
      <c r="BL879" s="4">
        <v>0</v>
      </c>
      <c r="BM879" s="4">
        <v>0</v>
      </c>
      <c r="BN879" s="4">
        <v>21</v>
      </c>
      <c r="BO879" s="4">
        <v>0</v>
      </c>
      <c r="BP879" s="4">
        <v>0</v>
      </c>
      <c r="BQ879" s="4">
        <v>12</v>
      </c>
      <c r="BR879" s="4">
        <v>0</v>
      </c>
      <c r="BS879" s="4">
        <v>6</v>
      </c>
      <c r="BT879" s="4">
        <v>4</v>
      </c>
      <c r="BU879" s="4">
        <v>0</v>
      </c>
      <c r="BV879" s="4">
        <v>2</v>
      </c>
      <c r="BW879" s="4">
        <v>1</v>
      </c>
      <c r="BX879" s="4">
        <v>21</v>
      </c>
      <c r="BY879" s="4">
        <v>0</v>
      </c>
      <c r="BZ879" s="4">
        <v>0</v>
      </c>
      <c r="CA879" s="4">
        <v>17</v>
      </c>
      <c r="CB879" s="4">
        <v>0</v>
      </c>
      <c r="CC879" s="4">
        <v>0</v>
      </c>
      <c r="CD879" s="4">
        <v>0</v>
      </c>
      <c r="CE879" s="4">
        <v>0</v>
      </c>
      <c r="CF879" s="4">
        <v>1</v>
      </c>
      <c r="CG879" s="4">
        <v>0</v>
      </c>
      <c r="CH879" s="4">
        <v>0</v>
      </c>
      <c r="CI879" s="4">
        <v>0</v>
      </c>
      <c r="CJ879" s="4">
        <v>1</v>
      </c>
      <c r="CK879" s="4">
        <v>1</v>
      </c>
      <c r="CL879" s="4">
        <v>0</v>
      </c>
      <c r="CM879" s="4">
        <v>1</v>
      </c>
      <c r="CN879" s="4">
        <v>12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3</v>
      </c>
      <c r="CU879" s="4">
        <v>0</v>
      </c>
      <c r="CV879" s="4">
        <v>8</v>
      </c>
      <c r="CW879" s="4">
        <v>3</v>
      </c>
      <c r="CX879" s="5">
        <v>3</v>
      </c>
    </row>
    <row r="880" spans="1:102" ht="15.75" x14ac:dyDescent="0.25">
      <c r="A880" s="4" t="s">
        <v>439</v>
      </c>
      <c r="B880" s="4" t="s">
        <v>440</v>
      </c>
      <c r="C880" s="4">
        <v>2021</v>
      </c>
      <c r="D880" s="4">
        <v>4488</v>
      </c>
      <c r="E880" s="4">
        <v>8</v>
      </c>
      <c r="F880" s="4">
        <v>11</v>
      </c>
      <c r="G880" s="4">
        <v>23</v>
      </c>
      <c r="H880" s="4">
        <v>44</v>
      </c>
      <c r="I880" s="4">
        <v>18</v>
      </c>
      <c r="J880" s="4">
        <v>11</v>
      </c>
      <c r="K880" s="4">
        <v>12</v>
      </c>
      <c r="L880" s="4">
        <v>68</v>
      </c>
      <c r="M880" s="4">
        <v>30</v>
      </c>
      <c r="N880" s="4">
        <v>47</v>
      </c>
      <c r="O880" s="4">
        <v>464</v>
      </c>
      <c r="P880" s="4">
        <v>1</v>
      </c>
      <c r="Q880" s="4">
        <v>0</v>
      </c>
      <c r="R880" s="4">
        <v>4</v>
      </c>
      <c r="S880" s="4">
        <v>0</v>
      </c>
      <c r="T880" s="4">
        <v>3</v>
      </c>
      <c r="U880" s="4">
        <v>45</v>
      </c>
      <c r="V880" s="4">
        <v>11</v>
      </c>
      <c r="W880" s="4">
        <v>24</v>
      </c>
      <c r="X880" s="4">
        <v>9</v>
      </c>
      <c r="Y880" s="4">
        <v>0</v>
      </c>
      <c r="Z880" s="4">
        <v>134</v>
      </c>
      <c r="AA880" s="4">
        <v>13</v>
      </c>
      <c r="AB880" s="4">
        <v>28</v>
      </c>
      <c r="AC880" s="4">
        <v>0</v>
      </c>
      <c r="AD880" s="4">
        <v>2</v>
      </c>
      <c r="AE880" s="4">
        <v>3</v>
      </c>
      <c r="AF880" s="4">
        <v>3</v>
      </c>
      <c r="AG880" s="4">
        <v>59</v>
      </c>
      <c r="AH880" s="4">
        <v>66</v>
      </c>
      <c r="AI880" s="4">
        <v>101</v>
      </c>
      <c r="AJ880" s="4">
        <v>87</v>
      </c>
      <c r="AK880" s="4">
        <v>203</v>
      </c>
      <c r="AL880" s="4">
        <v>18</v>
      </c>
      <c r="AM880" s="4">
        <v>70</v>
      </c>
      <c r="AN880" s="4">
        <v>123</v>
      </c>
      <c r="AO880" s="4">
        <v>101</v>
      </c>
      <c r="AP880" s="4">
        <v>7</v>
      </c>
      <c r="AQ880" s="4">
        <v>44</v>
      </c>
      <c r="AR880" s="4">
        <v>9</v>
      </c>
      <c r="AS880" s="4">
        <v>32</v>
      </c>
      <c r="AT880" s="4">
        <v>124</v>
      </c>
      <c r="AU880" s="4">
        <v>44</v>
      </c>
      <c r="AV880" s="4">
        <v>65</v>
      </c>
      <c r="AW880" s="4">
        <v>228</v>
      </c>
      <c r="AX880" s="4">
        <v>145</v>
      </c>
      <c r="AY880" s="4">
        <v>1</v>
      </c>
      <c r="AZ880" s="4">
        <v>11</v>
      </c>
      <c r="BA880" s="4">
        <v>0</v>
      </c>
      <c r="BB880" s="4">
        <v>105</v>
      </c>
      <c r="BC880" s="4">
        <v>18</v>
      </c>
      <c r="BD880" s="4">
        <v>1</v>
      </c>
      <c r="BE880" s="4">
        <v>29</v>
      </c>
      <c r="BF880" s="4">
        <v>243</v>
      </c>
      <c r="BG880" s="4">
        <v>9</v>
      </c>
      <c r="BH880" s="4">
        <v>13</v>
      </c>
      <c r="BI880" s="4">
        <v>1</v>
      </c>
      <c r="BJ880" s="4">
        <v>101</v>
      </c>
      <c r="BK880" s="4">
        <v>142</v>
      </c>
      <c r="BL880" s="4">
        <v>0</v>
      </c>
      <c r="BM880" s="4">
        <v>10</v>
      </c>
      <c r="BN880" s="4">
        <v>74</v>
      </c>
      <c r="BO880" s="4">
        <v>34</v>
      </c>
      <c r="BP880" s="4">
        <v>14</v>
      </c>
      <c r="BQ880" s="4">
        <v>53</v>
      </c>
      <c r="BR880" s="4">
        <v>14</v>
      </c>
      <c r="BS880" s="4">
        <v>110</v>
      </c>
      <c r="BT880" s="4">
        <v>68</v>
      </c>
      <c r="BU880" s="4">
        <v>6</v>
      </c>
      <c r="BV880" s="4">
        <v>151</v>
      </c>
      <c r="BW880" s="4">
        <v>25</v>
      </c>
      <c r="BX880" s="4">
        <v>252</v>
      </c>
      <c r="BY880" s="4">
        <v>4</v>
      </c>
      <c r="BZ880" s="4">
        <v>4</v>
      </c>
      <c r="CA880" s="4">
        <v>40</v>
      </c>
      <c r="CB880" s="4">
        <v>5</v>
      </c>
      <c r="CC880" s="4">
        <v>0</v>
      </c>
      <c r="CD880" s="4">
        <v>12</v>
      </c>
      <c r="CE880" s="4">
        <v>2</v>
      </c>
      <c r="CF880" s="4">
        <v>7</v>
      </c>
      <c r="CG880" s="4">
        <v>2</v>
      </c>
      <c r="CH880" s="4">
        <v>6</v>
      </c>
      <c r="CI880" s="4">
        <v>5</v>
      </c>
      <c r="CJ880" s="4">
        <v>49</v>
      </c>
      <c r="CK880" s="4">
        <v>14</v>
      </c>
      <c r="CL880" s="4">
        <v>0</v>
      </c>
      <c r="CM880" s="4">
        <v>11</v>
      </c>
      <c r="CN880" s="4">
        <v>78</v>
      </c>
      <c r="CO880" s="4">
        <v>3</v>
      </c>
      <c r="CP880" s="4">
        <v>11</v>
      </c>
      <c r="CQ880" s="4">
        <v>0</v>
      </c>
      <c r="CR880" s="4">
        <v>7</v>
      </c>
      <c r="CS880" s="4">
        <v>1</v>
      </c>
      <c r="CT880" s="4">
        <v>70</v>
      </c>
      <c r="CU880" s="4">
        <v>17</v>
      </c>
      <c r="CV880" s="4">
        <v>85</v>
      </c>
      <c r="CW880" s="4">
        <v>35</v>
      </c>
      <c r="CX880" s="5">
        <v>35</v>
      </c>
    </row>
    <row r="881" spans="1:102" ht="15.75" x14ac:dyDescent="0.25">
      <c r="A881" s="4" t="s">
        <v>441</v>
      </c>
      <c r="B881" s="4" t="s">
        <v>442</v>
      </c>
      <c r="C881" s="4">
        <v>2021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5">
        <v>0</v>
      </c>
    </row>
    <row r="882" spans="1:102" ht="15.75" x14ac:dyDescent="0.25">
      <c r="A882" s="4" t="s">
        <v>443</v>
      </c>
      <c r="B882" s="4" t="s">
        <v>444</v>
      </c>
      <c r="C882" s="4">
        <v>2021</v>
      </c>
      <c r="D882" s="4">
        <v>4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1</v>
      </c>
      <c r="M882" s="4">
        <v>0</v>
      </c>
      <c r="N882" s="4">
        <v>0</v>
      </c>
      <c r="O882" s="4">
        <v>1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2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5">
        <v>0</v>
      </c>
    </row>
    <row r="883" spans="1:102" ht="15.75" x14ac:dyDescent="0.25">
      <c r="A883" s="4" t="s">
        <v>445</v>
      </c>
      <c r="B883" s="4" t="s">
        <v>446</v>
      </c>
      <c r="C883" s="4">
        <v>2021</v>
      </c>
      <c r="D883" s="4">
        <v>1322</v>
      </c>
      <c r="E883" s="4">
        <v>0</v>
      </c>
      <c r="F883" s="4">
        <v>8</v>
      </c>
      <c r="G883" s="4">
        <v>1</v>
      </c>
      <c r="H883" s="4">
        <v>16</v>
      </c>
      <c r="I883" s="4">
        <v>31</v>
      </c>
      <c r="J883" s="4">
        <v>5</v>
      </c>
      <c r="K883" s="4">
        <v>1</v>
      </c>
      <c r="L883" s="4">
        <v>4</v>
      </c>
      <c r="M883" s="4">
        <v>2</v>
      </c>
      <c r="N883" s="4">
        <v>13</v>
      </c>
      <c r="O883" s="4">
        <v>92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2</v>
      </c>
      <c r="V883" s="4">
        <v>9</v>
      </c>
      <c r="W883" s="4">
        <v>83</v>
      </c>
      <c r="X883" s="4">
        <v>3</v>
      </c>
      <c r="Y883" s="4">
        <v>0</v>
      </c>
      <c r="Z883" s="4">
        <v>98</v>
      </c>
      <c r="AA883" s="4">
        <v>1</v>
      </c>
      <c r="AB883" s="4">
        <v>57</v>
      </c>
      <c r="AC883" s="4">
        <v>0</v>
      </c>
      <c r="AD883" s="4">
        <v>0</v>
      </c>
      <c r="AE883" s="4">
        <v>0</v>
      </c>
      <c r="AF883" s="4">
        <v>0</v>
      </c>
      <c r="AG883" s="4">
        <v>16</v>
      </c>
      <c r="AH883" s="4">
        <v>7</v>
      </c>
      <c r="AI883" s="4">
        <v>11</v>
      </c>
      <c r="AJ883" s="4">
        <v>11</v>
      </c>
      <c r="AK883" s="4">
        <v>14</v>
      </c>
      <c r="AL883" s="4">
        <v>0</v>
      </c>
      <c r="AM883" s="4">
        <v>25</v>
      </c>
      <c r="AN883" s="4">
        <v>14</v>
      </c>
      <c r="AO883" s="4">
        <v>24</v>
      </c>
      <c r="AP883" s="4">
        <v>4</v>
      </c>
      <c r="AQ883" s="4">
        <v>5</v>
      </c>
      <c r="AR883" s="4">
        <v>2</v>
      </c>
      <c r="AS883" s="4">
        <v>12</v>
      </c>
      <c r="AT883" s="4">
        <v>22</v>
      </c>
      <c r="AU883" s="4">
        <v>16</v>
      </c>
      <c r="AV883" s="4">
        <v>60</v>
      </c>
      <c r="AW883" s="4">
        <v>13</v>
      </c>
      <c r="AX883" s="4">
        <v>17</v>
      </c>
      <c r="AY883" s="4">
        <v>0</v>
      </c>
      <c r="AZ883" s="4">
        <v>2</v>
      </c>
      <c r="BA883" s="4">
        <v>0</v>
      </c>
      <c r="BB883" s="4">
        <v>181</v>
      </c>
      <c r="BC883" s="4">
        <v>4</v>
      </c>
      <c r="BD883" s="4">
        <v>0</v>
      </c>
      <c r="BE883" s="4">
        <v>10</v>
      </c>
      <c r="BF883" s="4">
        <v>34</v>
      </c>
      <c r="BG883" s="4">
        <v>1</v>
      </c>
      <c r="BH883" s="4">
        <v>2</v>
      </c>
      <c r="BI883" s="4">
        <v>0</v>
      </c>
      <c r="BJ883" s="4">
        <v>25</v>
      </c>
      <c r="BK883" s="4">
        <v>23</v>
      </c>
      <c r="BL883" s="4">
        <v>0</v>
      </c>
      <c r="BM883" s="4">
        <v>3</v>
      </c>
      <c r="BN883" s="4">
        <v>10</v>
      </c>
      <c r="BO883" s="4">
        <v>0</v>
      </c>
      <c r="BP883" s="4">
        <v>2</v>
      </c>
      <c r="BQ883" s="4">
        <v>10</v>
      </c>
      <c r="BR883" s="4">
        <v>2</v>
      </c>
      <c r="BS883" s="4">
        <v>22</v>
      </c>
      <c r="BT883" s="4">
        <v>9</v>
      </c>
      <c r="BU883" s="4">
        <v>0</v>
      </c>
      <c r="BV883" s="4">
        <v>15</v>
      </c>
      <c r="BW883" s="4">
        <v>8</v>
      </c>
      <c r="BX883" s="4">
        <v>111</v>
      </c>
      <c r="BY883" s="4">
        <v>0</v>
      </c>
      <c r="BZ883" s="4">
        <v>0</v>
      </c>
      <c r="CA883" s="4">
        <v>32</v>
      </c>
      <c r="CB883" s="4">
        <v>7</v>
      </c>
      <c r="CC883" s="4">
        <v>0</v>
      </c>
      <c r="CD883" s="4">
        <v>4</v>
      </c>
      <c r="CE883" s="4">
        <v>2</v>
      </c>
      <c r="CF883" s="4">
        <v>6</v>
      </c>
      <c r="CG883" s="4">
        <v>0</v>
      </c>
      <c r="CH883" s="4">
        <v>2</v>
      </c>
      <c r="CI883" s="4">
        <v>2</v>
      </c>
      <c r="CJ883" s="4">
        <v>9</v>
      </c>
      <c r="CK883" s="4">
        <v>2</v>
      </c>
      <c r="CL883" s="4">
        <v>0</v>
      </c>
      <c r="CM883" s="4">
        <v>4</v>
      </c>
      <c r="CN883" s="4">
        <v>16</v>
      </c>
      <c r="CO883" s="4">
        <v>0</v>
      </c>
      <c r="CP883" s="4">
        <v>2</v>
      </c>
      <c r="CQ883" s="4">
        <v>0</v>
      </c>
      <c r="CR883" s="4">
        <v>6</v>
      </c>
      <c r="CS883" s="4">
        <v>1</v>
      </c>
      <c r="CT883" s="4">
        <v>18</v>
      </c>
      <c r="CU883" s="4">
        <v>4</v>
      </c>
      <c r="CV883" s="4">
        <v>22</v>
      </c>
      <c r="CW883" s="4">
        <v>9</v>
      </c>
      <c r="CX883" s="5">
        <v>9</v>
      </c>
    </row>
    <row r="884" spans="1:102" ht="15.75" x14ac:dyDescent="0.25">
      <c r="A884" s="4" t="s">
        <v>447</v>
      </c>
      <c r="B884" s="4" t="s">
        <v>448</v>
      </c>
      <c r="C884" s="4">
        <v>2021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5">
        <v>0</v>
      </c>
    </row>
    <row r="885" spans="1:102" ht="15.75" x14ac:dyDescent="0.25">
      <c r="A885" s="4" t="s">
        <v>449</v>
      </c>
      <c r="B885" s="4" t="s">
        <v>450</v>
      </c>
      <c r="C885" s="4">
        <v>2021</v>
      </c>
      <c r="D885" s="4">
        <v>23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1</v>
      </c>
      <c r="M885" s="4">
        <v>0</v>
      </c>
      <c r="N885" s="4">
        <v>0</v>
      </c>
      <c r="O885" s="4">
        <v>11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1</v>
      </c>
      <c r="AH885" s="4">
        <v>0</v>
      </c>
      <c r="AI885" s="4">
        <v>0</v>
      </c>
      <c r="AJ885" s="4">
        <v>1</v>
      </c>
      <c r="AK885" s="4">
        <v>0</v>
      </c>
      <c r="AL885" s="4">
        <v>0</v>
      </c>
      <c r="AM885" s="4">
        <v>0</v>
      </c>
      <c r="AN885" s="4">
        <v>1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2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1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1</v>
      </c>
      <c r="CW885" s="4">
        <v>0</v>
      </c>
      <c r="CX885" s="5">
        <v>0</v>
      </c>
    </row>
    <row r="886" spans="1:102" ht="15.75" x14ac:dyDescent="0.25">
      <c r="A886" s="4" t="s">
        <v>451</v>
      </c>
      <c r="B886" s="4" t="s">
        <v>452</v>
      </c>
      <c r="C886" s="4">
        <v>2021</v>
      </c>
      <c r="D886" s="4">
        <v>1644</v>
      </c>
      <c r="E886" s="4">
        <v>4</v>
      </c>
      <c r="F886" s="4">
        <v>1</v>
      </c>
      <c r="G886" s="4">
        <v>7</v>
      </c>
      <c r="H886" s="4">
        <v>0</v>
      </c>
      <c r="I886" s="4">
        <v>16</v>
      </c>
      <c r="J886" s="4">
        <v>3</v>
      </c>
      <c r="K886" s="4">
        <v>2</v>
      </c>
      <c r="L886" s="4">
        <v>11</v>
      </c>
      <c r="M886" s="4">
        <v>2</v>
      </c>
      <c r="N886" s="4">
        <v>8</v>
      </c>
      <c r="O886" s="4">
        <v>8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1</v>
      </c>
      <c r="W886" s="4">
        <v>0</v>
      </c>
      <c r="X886" s="4">
        <v>0</v>
      </c>
      <c r="Y886" s="4">
        <v>0</v>
      </c>
      <c r="Z886" s="4">
        <v>0</v>
      </c>
      <c r="AA886" s="4">
        <v>53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1</v>
      </c>
      <c r="AH886" s="4">
        <v>0</v>
      </c>
      <c r="AI886" s="4">
        <v>7</v>
      </c>
      <c r="AJ886" s="4">
        <v>47</v>
      </c>
      <c r="AK886" s="4">
        <v>12</v>
      </c>
      <c r="AL886" s="4">
        <v>0</v>
      </c>
      <c r="AM886" s="4">
        <v>4</v>
      </c>
      <c r="AN886" s="4">
        <v>5</v>
      </c>
      <c r="AO886" s="4">
        <v>15</v>
      </c>
      <c r="AP886" s="4">
        <v>1</v>
      </c>
      <c r="AQ886" s="4">
        <v>7</v>
      </c>
      <c r="AR886" s="4">
        <v>1</v>
      </c>
      <c r="AS886" s="4">
        <v>2</v>
      </c>
      <c r="AT886" s="4">
        <v>7</v>
      </c>
      <c r="AU886" s="4">
        <v>12</v>
      </c>
      <c r="AV886" s="4">
        <v>20</v>
      </c>
      <c r="AW886" s="4">
        <v>18</v>
      </c>
      <c r="AX886" s="4">
        <v>31</v>
      </c>
      <c r="AY886" s="4">
        <v>1</v>
      </c>
      <c r="AZ886" s="4">
        <v>13</v>
      </c>
      <c r="BA886" s="4">
        <v>0</v>
      </c>
      <c r="BB886" s="4">
        <v>584</v>
      </c>
      <c r="BC886" s="4">
        <v>5</v>
      </c>
      <c r="BD886" s="4">
        <v>0</v>
      </c>
      <c r="BE886" s="4">
        <v>8</v>
      </c>
      <c r="BF886" s="4">
        <v>7</v>
      </c>
      <c r="BG886" s="4">
        <v>1</v>
      </c>
      <c r="BH886" s="4">
        <v>1</v>
      </c>
      <c r="BI886" s="4">
        <v>0</v>
      </c>
      <c r="BJ886" s="4">
        <v>57</v>
      </c>
      <c r="BK886" s="4">
        <v>38</v>
      </c>
      <c r="BL886" s="4">
        <v>0</v>
      </c>
      <c r="BM886" s="4">
        <v>0</v>
      </c>
      <c r="BN886" s="4">
        <v>35</v>
      </c>
      <c r="BO886" s="4">
        <v>0</v>
      </c>
      <c r="BP886" s="4">
        <v>3</v>
      </c>
      <c r="BQ886" s="4">
        <v>37</v>
      </c>
      <c r="BR886" s="4">
        <v>2</v>
      </c>
      <c r="BS886" s="4">
        <v>59</v>
      </c>
      <c r="BT886" s="4">
        <v>22</v>
      </c>
      <c r="BU886" s="4">
        <v>0</v>
      </c>
      <c r="BV886" s="4">
        <v>7</v>
      </c>
      <c r="BW886" s="4">
        <v>4</v>
      </c>
      <c r="BX886" s="4">
        <v>128</v>
      </c>
      <c r="BY886" s="4">
        <v>0</v>
      </c>
      <c r="BZ886" s="4">
        <v>0</v>
      </c>
      <c r="CA886" s="4">
        <v>91</v>
      </c>
      <c r="CB886" s="4">
        <v>1</v>
      </c>
      <c r="CC886" s="4">
        <v>1</v>
      </c>
      <c r="CD886" s="4">
        <v>10</v>
      </c>
      <c r="CE886" s="4">
        <v>0</v>
      </c>
      <c r="CF886" s="4">
        <v>7</v>
      </c>
      <c r="CG886" s="4">
        <v>5</v>
      </c>
      <c r="CH886" s="4">
        <v>2</v>
      </c>
      <c r="CI886" s="4">
        <v>6</v>
      </c>
      <c r="CJ886" s="4">
        <v>20</v>
      </c>
      <c r="CK886" s="4">
        <v>4</v>
      </c>
      <c r="CL886" s="4">
        <v>0</v>
      </c>
      <c r="CM886" s="4">
        <v>18</v>
      </c>
      <c r="CN886" s="4">
        <v>82</v>
      </c>
      <c r="CO886" s="4">
        <v>11</v>
      </c>
      <c r="CP886" s="4">
        <v>1</v>
      </c>
      <c r="CQ886" s="4">
        <v>0</v>
      </c>
      <c r="CR886" s="4">
        <v>3</v>
      </c>
      <c r="CS886" s="4">
        <v>25</v>
      </c>
      <c r="CT886" s="4">
        <v>12</v>
      </c>
      <c r="CU886" s="4">
        <v>2</v>
      </c>
      <c r="CV886" s="4">
        <v>16</v>
      </c>
      <c r="CW886" s="4">
        <v>7</v>
      </c>
      <c r="CX886" s="5">
        <v>7</v>
      </c>
    </row>
    <row r="887" spans="1:102" ht="15.75" x14ac:dyDescent="0.25">
      <c r="A887" s="4" t="s">
        <v>453</v>
      </c>
      <c r="B887" s="4" t="s">
        <v>454</v>
      </c>
      <c r="C887" s="4">
        <v>2021</v>
      </c>
      <c r="D887" s="4">
        <v>1101</v>
      </c>
      <c r="E887" s="4">
        <v>0</v>
      </c>
      <c r="F887" s="4">
        <v>7</v>
      </c>
      <c r="G887" s="4">
        <v>3</v>
      </c>
      <c r="H887" s="4">
        <v>1</v>
      </c>
      <c r="I887" s="4">
        <v>5</v>
      </c>
      <c r="J887" s="4">
        <v>1</v>
      </c>
      <c r="K887" s="4">
        <v>2</v>
      </c>
      <c r="L887" s="4">
        <v>3</v>
      </c>
      <c r="M887" s="4">
        <v>2</v>
      </c>
      <c r="N887" s="4">
        <v>16</v>
      </c>
      <c r="O887" s="4">
        <v>177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3</v>
      </c>
      <c r="V887" s="4">
        <v>2</v>
      </c>
      <c r="W887" s="4">
        <v>1</v>
      </c>
      <c r="X887" s="4">
        <v>1</v>
      </c>
      <c r="Y887" s="4">
        <v>0</v>
      </c>
      <c r="Z887" s="4">
        <v>0</v>
      </c>
      <c r="AA887" s="4">
        <v>3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3</v>
      </c>
      <c r="AH887" s="4">
        <v>1</v>
      </c>
      <c r="AI887" s="4">
        <v>10</v>
      </c>
      <c r="AJ887" s="4">
        <v>12</v>
      </c>
      <c r="AK887" s="4">
        <v>18</v>
      </c>
      <c r="AL887" s="4">
        <v>0</v>
      </c>
      <c r="AM887" s="4">
        <v>9</v>
      </c>
      <c r="AN887" s="4">
        <v>20</v>
      </c>
      <c r="AO887" s="4">
        <v>27</v>
      </c>
      <c r="AP887" s="4">
        <v>13</v>
      </c>
      <c r="AQ887" s="4">
        <v>15</v>
      </c>
      <c r="AR887" s="4">
        <v>1</v>
      </c>
      <c r="AS887" s="4">
        <v>3</v>
      </c>
      <c r="AT887" s="4">
        <v>49</v>
      </c>
      <c r="AU887" s="4">
        <v>7</v>
      </c>
      <c r="AV887" s="4">
        <v>17</v>
      </c>
      <c r="AW887" s="4">
        <v>18</v>
      </c>
      <c r="AX887" s="4">
        <v>36</v>
      </c>
      <c r="AY887" s="4">
        <v>7</v>
      </c>
      <c r="AZ887" s="4">
        <v>5</v>
      </c>
      <c r="BA887" s="4">
        <v>0</v>
      </c>
      <c r="BB887" s="4">
        <v>56</v>
      </c>
      <c r="BC887" s="4">
        <v>5</v>
      </c>
      <c r="BD887" s="4">
        <v>0</v>
      </c>
      <c r="BE887" s="4">
        <v>12</v>
      </c>
      <c r="BF887" s="4">
        <v>37</v>
      </c>
      <c r="BG887" s="4">
        <v>1</v>
      </c>
      <c r="BH887" s="4">
        <v>2</v>
      </c>
      <c r="BI887" s="4">
        <v>0</v>
      </c>
      <c r="BJ887" s="4">
        <v>39</v>
      </c>
      <c r="BK887" s="4">
        <v>23</v>
      </c>
      <c r="BL887" s="4">
        <v>0</v>
      </c>
      <c r="BM887" s="4">
        <v>1</v>
      </c>
      <c r="BN887" s="4">
        <v>29</v>
      </c>
      <c r="BO887" s="4">
        <v>0</v>
      </c>
      <c r="BP887" s="4">
        <v>3</v>
      </c>
      <c r="BQ887" s="4">
        <v>10</v>
      </c>
      <c r="BR887" s="4">
        <v>2</v>
      </c>
      <c r="BS887" s="4">
        <v>58</v>
      </c>
      <c r="BT887" s="4">
        <v>29</v>
      </c>
      <c r="BU887" s="4">
        <v>1</v>
      </c>
      <c r="BV887" s="4">
        <v>82</v>
      </c>
      <c r="BW887" s="4">
        <v>5</v>
      </c>
      <c r="BX887" s="4">
        <v>72</v>
      </c>
      <c r="BY887" s="4">
        <v>1</v>
      </c>
      <c r="BZ887" s="4">
        <v>0</v>
      </c>
      <c r="CA887" s="4">
        <v>10</v>
      </c>
      <c r="CB887" s="4">
        <v>0</v>
      </c>
      <c r="CC887" s="4">
        <v>0</v>
      </c>
      <c r="CD887" s="4">
        <v>1</v>
      </c>
      <c r="CE887" s="4">
        <v>0</v>
      </c>
      <c r="CF887" s="4">
        <v>2</v>
      </c>
      <c r="CG887" s="4">
        <v>1</v>
      </c>
      <c r="CH887" s="4">
        <v>2</v>
      </c>
      <c r="CI887" s="4">
        <v>2</v>
      </c>
      <c r="CJ887" s="4">
        <v>10</v>
      </c>
      <c r="CK887" s="4">
        <v>3</v>
      </c>
      <c r="CL887" s="4">
        <v>0</v>
      </c>
      <c r="CM887" s="4">
        <v>8</v>
      </c>
      <c r="CN887" s="4">
        <v>26</v>
      </c>
      <c r="CO887" s="4">
        <v>1</v>
      </c>
      <c r="CP887" s="4">
        <v>1</v>
      </c>
      <c r="CQ887" s="4">
        <v>0</v>
      </c>
      <c r="CR887" s="4">
        <v>0</v>
      </c>
      <c r="CS887" s="4">
        <v>1</v>
      </c>
      <c r="CT887" s="4">
        <v>15</v>
      </c>
      <c r="CU887" s="4">
        <v>3</v>
      </c>
      <c r="CV887" s="4">
        <v>34</v>
      </c>
      <c r="CW887" s="4">
        <v>7</v>
      </c>
      <c r="CX887" s="5">
        <v>7</v>
      </c>
    </row>
    <row r="888" spans="1:102" ht="15.75" x14ac:dyDescent="0.25">
      <c r="A888" s="4" t="s">
        <v>455</v>
      </c>
      <c r="B888" s="4" t="s">
        <v>456</v>
      </c>
      <c r="C888" s="4">
        <v>2021</v>
      </c>
      <c r="D888" s="4">
        <v>257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3</v>
      </c>
      <c r="M888" s="4">
        <v>0</v>
      </c>
      <c r="N888" s="4">
        <v>4</v>
      </c>
      <c r="O888" s="4">
        <v>70</v>
      </c>
      <c r="P888" s="4">
        <v>0</v>
      </c>
      <c r="Q888" s="4">
        <v>0</v>
      </c>
      <c r="R888" s="4">
        <v>1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3</v>
      </c>
      <c r="AH888" s="4">
        <v>18</v>
      </c>
      <c r="AI888" s="4">
        <v>6</v>
      </c>
      <c r="AJ888" s="4">
        <v>9</v>
      </c>
      <c r="AK888" s="4">
        <v>4</v>
      </c>
      <c r="AL888" s="4">
        <v>0</v>
      </c>
      <c r="AM888" s="4">
        <v>5</v>
      </c>
      <c r="AN888" s="4">
        <v>4</v>
      </c>
      <c r="AO888" s="4">
        <v>6</v>
      </c>
      <c r="AP888" s="4">
        <v>0</v>
      </c>
      <c r="AQ888" s="4">
        <v>4</v>
      </c>
      <c r="AR888" s="4">
        <v>0</v>
      </c>
      <c r="AS888" s="4">
        <v>1</v>
      </c>
      <c r="AT888" s="4">
        <v>3</v>
      </c>
      <c r="AU888" s="4">
        <v>1</v>
      </c>
      <c r="AV888" s="4">
        <v>0</v>
      </c>
      <c r="AW888" s="4">
        <v>1</v>
      </c>
      <c r="AX888" s="4">
        <v>6</v>
      </c>
      <c r="AY888" s="4">
        <v>0</v>
      </c>
      <c r="AZ888" s="4">
        <v>2</v>
      </c>
      <c r="BA888" s="4">
        <v>0</v>
      </c>
      <c r="BB888" s="4">
        <v>7</v>
      </c>
      <c r="BC888" s="4">
        <v>1</v>
      </c>
      <c r="BD888" s="4">
        <v>0</v>
      </c>
      <c r="BE888" s="4">
        <v>2</v>
      </c>
      <c r="BF888" s="4">
        <v>15</v>
      </c>
      <c r="BG888" s="4">
        <v>1</v>
      </c>
      <c r="BH888" s="4">
        <v>2</v>
      </c>
      <c r="BI888" s="4">
        <v>0</v>
      </c>
      <c r="BJ888" s="4">
        <v>4</v>
      </c>
      <c r="BK888" s="4">
        <v>7</v>
      </c>
      <c r="BL888" s="4">
        <v>0</v>
      </c>
      <c r="BM888" s="4">
        <v>1</v>
      </c>
      <c r="BN888" s="4">
        <v>7</v>
      </c>
      <c r="BO888" s="4">
        <v>0</v>
      </c>
      <c r="BP888" s="4">
        <v>0</v>
      </c>
      <c r="BQ888" s="4">
        <v>3</v>
      </c>
      <c r="BR888" s="4">
        <v>0</v>
      </c>
      <c r="BS888" s="4">
        <v>8</v>
      </c>
      <c r="BT888" s="4">
        <v>5</v>
      </c>
      <c r="BU888" s="4">
        <v>0</v>
      </c>
      <c r="BV888" s="4">
        <v>2</v>
      </c>
      <c r="BW888" s="4">
        <v>0</v>
      </c>
      <c r="BX888" s="4">
        <v>1</v>
      </c>
      <c r="BY888" s="4">
        <v>0</v>
      </c>
      <c r="BZ888" s="4">
        <v>0</v>
      </c>
      <c r="CA888" s="4">
        <v>5</v>
      </c>
      <c r="CB888" s="4">
        <v>0</v>
      </c>
      <c r="CC888" s="4">
        <v>0</v>
      </c>
      <c r="CD888" s="4">
        <v>3</v>
      </c>
      <c r="CE888" s="4">
        <v>0</v>
      </c>
      <c r="CF888" s="4">
        <v>0</v>
      </c>
      <c r="CG888" s="4">
        <v>0</v>
      </c>
      <c r="CH888" s="4">
        <v>2</v>
      </c>
      <c r="CI888" s="4">
        <v>1</v>
      </c>
      <c r="CJ888" s="4">
        <v>4</v>
      </c>
      <c r="CK888" s="4">
        <v>1</v>
      </c>
      <c r="CL888" s="4">
        <v>0</v>
      </c>
      <c r="CM888" s="4">
        <v>1</v>
      </c>
      <c r="CN888" s="4">
        <v>4</v>
      </c>
      <c r="CO888" s="4">
        <v>1</v>
      </c>
      <c r="CP888" s="4">
        <v>0</v>
      </c>
      <c r="CQ888" s="4">
        <v>0</v>
      </c>
      <c r="CR888" s="4">
        <v>0</v>
      </c>
      <c r="CS888" s="4">
        <v>0</v>
      </c>
      <c r="CT888" s="4">
        <v>4</v>
      </c>
      <c r="CU888" s="4">
        <v>0</v>
      </c>
      <c r="CV888" s="4">
        <v>7</v>
      </c>
      <c r="CW888" s="4">
        <v>1</v>
      </c>
      <c r="CX888" s="5">
        <v>1</v>
      </c>
    </row>
    <row r="889" spans="1:102" ht="15.75" x14ac:dyDescent="0.25">
      <c r="A889" s="4" t="s">
        <v>457</v>
      </c>
      <c r="B889" s="4" t="s">
        <v>458</v>
      </c>
      <c r="C889" s="4">
        <v>2021</v>
      </c>
      <c r="D889" s="4">
        <v>3173</v>
      </c>
      <c r="E889" s="4">
        <v>3</v>
      </c>
      <c r="F889" s="4">
        <v>0</v>
      </c>
      <c r="G889" s="4">
        <v>5</v>
      </c>
      <c r="H889" s="4">
        <v>0</v>
      </c>
      <c r="I889" s="4">
        <v>6</v>
      </c>
      <c r="J889" s="4">
        <v>6</v>
      </c>
      <c r="K889" s="4">
        <v>1</v>
      </c>
      <c r="L889" s="4">
        <v>36</v>
      </c>
      <c r="M889" s="4">
        <v>10</v>
      </c>
      <c r="N889" s="4">
        <v>39</v>
      </c>
      <c r="O889" s="4">
        <v>175</v>
      </c>
      <c r="P889" s="4">
        <v>0</v>
      </c>
      <c r="Q889" s="4">
        <v>0</v>
      </c>
      <c r="R889" s="4">
        <v>1</v>
      </c>
      <c r="S889" s="4">
        <v>0</v>
      </c>
      <c r="T889" s="4">
        <v>0</v>
      </c>
      <c r="U889" s="4">
        <v>2</v>
      </c>
      <c r="V889" s="4">
        <v>2</v>
      </c>
      <c r="W889" s="4">
        <v>54</v>
      </c>
      <c r="X889" s="4">
        <v>1</v>
      </c>
      <c r="Y889" s="4">
        <v>0</v>
      </c>
      <c r="Z889" s="4">
        <v>0</v>
      </c>
      <c r="AA889" s="4">
        <v>27</v>
      </c>
      <c r="AB889" s="4">
        <v>0</v>
      </c>
      <c r="AC889" s="4">
        <v>0</v>
      </c>
      <c r="AD889" s="4">
        <v>0</v>
      </c>
      <c r="AE889" s="4">
        <v>1</v>
      </c>
      <c r="AF889" s="4">
        <v>0</v>
      </c>
      <c r="AG889" s="4">
        <v>78</v>
      </c>
      <c r="AH889" s="4">
        <v>20</v>
      </c>
      <c r="AI889" s="4">
        <v>68</v>
      </c>
      <c r="AJ889" s="4">
        <v>301</v>
      </c>
      <c r="AK889" s="4">
        <v>113</v>
      </c>
      <c r="AL889" s="4">
        <v>1</v>
      </c>
      <c r="AM889" s="4">
        <v>39</v>
      </c>
      <c r="AN889" s="4">
        <v>25</v>
      </c>
      <c r="AO889" s="4">
        <v>59</v>
      </c>
      <c r="AP889" s="4">
        <v>0</v>
      </c>
      <c r="AQ889" s="4">
        <v>21</v>
      </c>
      <c r="AR889" s="4">
        <v>1</v>
      </c>
      <c r="AS889" s="4">
        <v>9</v>
      </c>
      <c r="AT889" s="4">
        <v>14</v>
      </c>
      <c r="AU889" s="4">
        <v>19</v>
      </c>
      <c r="AV889" s="4">
        <v>17</v>
      </c>
      <c r="AW889" s="4">
        <v>5</v>
      </c>
      <c r="AX889" s="4">
        <v>43</v>
      </c>
      <c r="AY889" s="4">
        <v>1</v>
      </c>
      <c r="AZ889" s="4">
        <v>26</v>
      </c>
      <c r="BA889" s="4">
        <v>0</v>
      </c>
      <c r="BB889" s="4">
        <v>220</v>
      </c>
      <c r="BC889" s="4">
        <v>73</v>
      </c>
      <c r="BD889" s="4">
        <v>0</v>
      </c>
      <c r="BE889" s="4">
        <v>51</v>
      </c>
      <c r="BF889" s="4">
        <v>236</v>
      </c>
      <c r="BG889" s="4">
        <v>11</v>
      </c>
      <c r="BH889" s="4">
        <v>10</v>
      </c>
      <c r="BI889" s="4">
        <v>0</v>
      </c>
      <c r="BJ889" s="4">
        <v>64</v>
      </c>
      <c r="BK889" s="4">
        <v>145</v>
      </c>
      <c r="BL889" s="4">
        <v>0</v>
      </c>
      <c r="BM889" s="4">
        <v>2</v>
      </c>
      <c r="BN889" s="4">
        <v>19</v>
      </c>
      <c r="BO889" s="4">
        <v>1</v>
      </c>
      <c r="BP889" s="4">
        <v>2</v>
      </c>
      <c r="BQ889" s="4">
        <v>34</v>
      </c>
      <c r="BR889" s="4">
        <v>7</v>
      </c>
      <c r="BS889" s="4">
        <v>79</v>
      </c>
      <c r="BT889" s="4">
        <v>42</v>
      </c>
      <c r="BU889" s="4">
        <v>3</v>
      </c>
      <c r="BV889" s="4">
        <v>58</v>
      </c>
      <c r="BW889" s="4">
        <v>32</v>
      </c>
      <c r="BX889" s="4">
        <v>422</v>
      </c>
      <c r="BY889" s="4">
        <v>0</v>
      </c>
      <c r="BZ889" s="4">
        <v>1</v>
      </c>
      <c r="CA889" s="4">
        <v>71</v>
      </c>
      <c r="CB889" s="4">
        <v>7</v>
      </c>
      <c r="CC889" s="4">
        <v>1</v>
      </c>
      <c r="CD889" s="4">
        <v>3</v>
      </c>
      <c r="CE889" s="4">
        <v>0</v>
      </c>
      <c r="CF889" s="4">
        <v>14</v>
      </c>
      <c r="CG889" s="4">
        <v>16</v>
      </c>
      <c r="CH889" s="4">
        <v>5</v>
      </c>
      <c r="CI889" s="4">
        <v>6</v>
      </c>
      <c r="CJ889" s="4">
        <v>52</v>
      </c>
      <c r="CK889" s="4">
        <v>7</v>
      </c>
      <c r="CL889" s="4">
        <v>0</v>
      </c>
      <c r="CM889" s="4">
        <v>25</v>
      </c>
      <c r="CN889" s="4">
        <v>91</v>
      </c>
      <c r="CO889" s="4">
        <v>16</v>
      </c>
      <c r="CP889" s="4">
        <v>3</v>
      </c>
      <c r="CQ889" s="4">
        <v>0</v>
      </c>
      <c r="CR889" s="4">
        <v>27</v>
      </c>
      <c r="CS889" s="4">
        <v>5</v>
      </c>
      <c r="CT889" s="4">
        <v>21</v>
      </c>
      <c r="CU889" s="4">
        <v>0</v>
      </c>
      <c r="CV889" s="4">
        <v>45</v>
      </c>
      <c r="CW889" s="4">
        <v>14</v>
      </c>
      <c r="CX889" s="5">
        <v>14</v>
      </c>
    </row>
    <row r="890" spans="1:102" ht="15.75" x14ac:dyDescent="0.25">
      <c r="A890" s="4" t="s">
        <v>459</v>
      </c>
      <c r="B890" s="4" t="s">
        <v>460</v>
      </c>
      <c r="C890" s="4">
        <v>2021</v>
      </c>
      <c r="D890" s="4">
        <v>19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1</v>
      </c>
      <c r="AJ890" s="4">
        <v>5</v>
      </c>
      <c r="AK890" s="4">
        <v>0</v>
      </c>
      <c r="AL890" s="4">
        <v>0</v>
      </c>
      <c r="AM890" s="4">
        <v>0</v>
      </c>
      <c r="AN890" s="4">
        <v>0</v>
      </c>
      <c r="AO890" s="4">
        <v>1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1</v>
      </c>
      <c r="BO890" s="4">
        <v>0</v>
      </c>
      <c r="BP890" s="4">
        <v>0</v>
      </c>
      <c r="BQ890" s="4">
        <v>1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1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2</v>
      </c>
      <c r="CO890" s="4">
        <v>2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1</v>
      </c>
      <c r="CW890" s="4">
        <v>0</v>
      </c>
      <c r="CX890" s="5">
        <v>0</v>
      </c>
    </row>
    <row r="891" spans="1:102" ht="15.75" x14ac:dyDescent="0.25">
      <c r="A891" s="4" t="s">
        <v>461</v>
      </c>
      <c r="B891" s="4" t="s">
        <v>462</v>
      </c>
      <c r="C891" s="4">
        <v>2021</v>
      </c>
      <c r="D891" s="4">
        <v>3108</v>
      </c>
      <c r="E891" s="4">
        <v>21</v>
      </c>
      <c r="F891" s="4">
        <v>1</v>
      </c>
      <c r="G891" s="4">
        <v>23</v>
      </c>
      <c r="H891" s="4">
        <v>1</v>
      </c>
      <c r="I891" s="4">
        <v>69</v>
      </c>
      <c r="J891" s="4">
        <v>4</v>
      </c>
      <c r="K891" s="4">
        <v>4</v>
      </c>
      <c r="L891" s="4">
        <v>67</v>
      </c>
      <c r="M891" s="4">
        <v>12</v>
      </c>
      <c r="N891" s="4">
        <v>30</v>
      </c>
      <c r="O891" s="4">
        <v>3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7</v>
      </c>
      <c r="W891" s="4">
        <v>4</v>
      </c>
      <c r="X891" s="4">
        <v>0</v>
      </c>
      <c r="Y891" s="4">
        <v>13</v>
      </c>
      <c r="Z891" s="4">
        <v>0</v>
      </c>
      <c r="AA891" s="4">
        <v>7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18</v>
      </c>
      <c r="AH891" s="4">
        <v>6</v>
      </c>
      <c r="AI891" s="4">
        <v>38</v>
      </c>
      <c r="AJ891" s="4">
        <v>241</v>
      </c>
      <c r="AK891" s="4">
        <v>104</v>
      </c>
      <c r="AL891" s="4">
        <v>1</v>
      </c>
      <c r="AM891" s="4">
        <v>14</v>
      </c>
      <c r="AN891" s="4">
        <v>11</v>
      </c>
      <c r="AO891" s="4">
        <v>76</v>
      </c>
      <c r="AP891" s="4">
        <v>0</v>
      </c>
      <c r="AQ891" s="4">
        <v>39</v>
      </c>
      <c r="AR891" s="4">
        <v>1</v>
      </c>
      <c r="AS891" s="4">
        <v>7</v>
      </c>
      <c r="AT891" s="4">
        <v>15</v>
      </c>
      <c r="AU891" s="4">
        <v>9</v>
      </c>
      <c r="AV891" s="4">
        <v>21</v>
      </c>
      <c r="AW891" s="4">
        <v>14</v>
      </c>
      <c r="AX891" s="4">
        <v>162</v>
      </c>
      <c r="AY891" s="4">
        <v>4</v>
      </c>
      <c r="AZ891" s="4">
        <v>31</v>
      </c>
      <c r="BA891" s="4">
        <v>0</v>
      </c>
      <c r="BB891" s="4">
        <v>356</v>
      </c>
      <c r="BC891" s="4">
        <v>5</v>
      </c>
      <c r="BD891" s="4">
        <v>0</v>
      </c>
      <c r="BE891" s="4">
        <v>16</v>
      </c>
      <c r="BF891" s="4">
        <v>41</v>
      </c>
      <c r="BG891" s="4">
        <v>7</v>
      </c>
      <c r="BH891" s="4">
        <v>2</v>
      </c>
      <c r="BI891" s="4">
        <v>0</v>
      </c>
      <c r="BJ891" s="4">
        <v>127</v>
      </c>
      <c r="BK891" s="4">
        <v>76</v>
      </c>
      <c r="BL891" s="4">
        <v>0</v>
      </c>
      <c r="BM891" s="4">
        <v>4</v>
      </c>
      <c r="BN891" s="4">
        <v>50</v>
      </c>
      <c r="BO891" s="4">
        <v>0</v>
      </c>
      <c r="BP891" s="4">
        <v>16</v>
      </c>
      <c r="BQ891" s="4">
        <v>88</v>
      </c>
      <c r="BR891" s="4">
        <v>3</v>
      </c>
      <c r="BS891" s="4">
        <v>134</v>
      </c>
      <c r="BT891" s="4">
        <v>81</v>
      </c>
      <c r="BU891" s="4">
        <v>1</v>
      </c>
      <c r="BV891" s="4">
        <v>11</v>
      </c>
      <c r="BW891" s="4">
        <v>21</v>
      </c>
      <c r="BX891" s="4">
        <v>180</v>
      </c>
      <c r="BY891" s="4">
        <v>0</v>
      </c>
      <c r="BZ891" s="4">
        <v>0</v>
      </c>
      <c r="CA891" s="4">
        <v>91</v>
      </c>
      <c r="CB891" s="4">
        <v>0</v>
      </c>
      <c r="CC891" s="4">
        <v>1</v>
      </c>
      <c r="CD891" s="4">
        <v>8</v>
      </c>
      <c r="CE891" s="4">
        <v>0</v>
      </c>
      <c r="CF891" s="4">
        <v>6</v>
      </c>
      <c r="CG891" s="4">
        <v>9</v>
      </c>
      <c r="CH891" s="4">
        <v>6</v>
      </c>
      <c r="CI891" s="4">
        <v>7</v>
      </c>
      <c r="CJ891" s="4">
        <v>70</v>
      </c>
      <c r="CK891" s="4">
        <v>3</v>
      </c>
      <c r="CL891" s="4">
        <v>0</v>
      </c>
      <c r="CM891" s="4">
        <v>55</v>
      </c>
      <c r="CN891" s="4">
        <v>164</v>
      </c>
      <c r="CO891" s="4">
        <v>13</v>
      </c>
      <c r="CP891" s="4">
        <v>2</v>
      </c>
      <c r="CQ891" s="4">
        <v>0</v>
      </c>
      <c r="CR891" s="4">
        <v>5</v>
      </c>
      <c r="CS891" s="4">
        <v>256</v>
      </c>
      <c r="CT891" s="4">
        <v>16</v>
      </c>
      <c r="CU891" s="4">
        <v>15</v>
      </c>
      <c r="CV891" s="4">
        <v>54</v>
      </c>
      <c r="CW891" s="4">
        <v>30</v>
      </c>
      <c r="CX891" s="5">
        <v>30</v>
      </c>
    </row>
    <row r="892" spans="1:102" ht="15.75" x14ac:dyDescent="0.25">
      <c r="A892" s="4" t="s">
        <v>463</v>
      </c>
      <c r="B892" s="4" t="s">
        <v>464</v>
      </c>
      <c r="C892" s="4">
        <v>2021</v>
      </c>
      <c r="D892" s="4">
        <v>13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13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5">
        <v>0</v>
      </c>
    </row>
    <row r="893" spans="1:102" ht="15.75" x14ac:dyDescent="0.25">
      <c r="A893" s="4" t="s">
        <v>465</v>
      </c>
      <c r="B893" s="4" t="s">
        <v>466</v>
      </c>
      <c r="C893" s="4">
        <v>2021</v>
      </c>
      <c r="D893" s="4">
        <v>20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1</v>
      </c>
      <c r="O893" s="4">
        <v>1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1</v>
      </c>
      <c r="AK893" s="4">
        <v>1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1</v>
      </c>
      <c r="AY893" s="4">
        <v>0</v>
      </c>
      <c r="AZ893" s="4">
        <v>0</v>
      </c>
      <c r="BA893" s="4">
        <v>0</v>
      </c>
      <c r="BB893" s="4">
        <v>1</v>
      </c>
      <c r="BC893" s="4">
        <v>0</v>
      </c>
      <c r="BD893" s="4">
        <v>0</v>
      </c>
      <c r="BE893" s="4">
        <v>0</v>
      </c>
      <c r="BF893" s="4">
        <v>2</v>
      </c>
      <c r="BG893" s="4">
        <v>0</v>
      </c>
      <c r="BH893" s="4">
        <v>0</v>
      </c>
      <c r="BI893" s="4">
        <v>0</v>
      </c>
      <c r="BJ893" s="4">
        <v>1</v>
      </c>
      <c r="BK893" s="4">
        <v>1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1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1</v>
      </c>
      <c r="BY893" s="4">
        <v>0</v>
      </c>
      <c r="BZ893" s="4">
        <v>0</v>
      </c>
      <c r="CA893" s="4">
        <v>1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1</v>
      </c>
      <c r="CU893" s="4">
        <v>0</v>
      </c>
      <c r="CV893" s="4">
        <v>1</v>
      </c>
      <c r="CW893" s="4">
        <v>0</v>
      </c>
      <c r="CX893" s="5">
        <v>0</v>
      </c>
    </row>
    <row r="894" spans="1:102" ht="15.75" x14ac:dyDescent="0.25">
      <c r="A894" s="4" t="s">
        <v>467</v>
      </c>
      <c r="B894" s="4" t="s">
        <v>468</v>
      </c>
      <c r="C894" s="4">
        <v>2021</v>
      </c>
      <c r="D894" s="4">
        <v>56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1</v>
      </c>
      <c r="K894" s="4">
        <v>0</v>
      </c>
      <c r="L894" s="4">
        <v>0</v>
      </c>
      <c r="M894" s="4">
        <v>0</v>
      </c>
      <c r="N894" s="4">
        <v>2</v>
      </c>
      <c r="O894" s="4">
        <v>7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11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2</v>
      </c>
      <c r="AK894" s="4">
        <v>1</v>
      </c>
      <c r="AL894" s="4">
        <v>0</v>
      </c>
      <c r="AM894" s="4">
        <v>0</v>
      </c>
      <c r="AN894" s="4">
        <v>1</v>
      </c>
      <c r="AO894" s="4">
        <v>4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2</v>
      </c>
      <c r="AY894" s="4">
        <v>0</v>
      </c>
      <c r="AZ894" s="4">
        <v>5</v>
      </c>
      <c r="BA894" s="4">
        <v>0</v>
      </c>
      <c r="BB894" s="4">
        <v>3</v>
      </c>
      <c r="BC894" s="4">
        <v>0</v>
      </c>
      <c r="BD894" s="4">
        <v>0</v>
      </c>
      <c r="BE894" s="4">
        <v>1</v>
      </c>
      <c r="BF894" s="4">
        <v>5</v>
      </c>
      <c r="BG894" s="4">
        <v>0</v>
      </c>
      <c r="BH894" s="4">
        <v>0</v>
      </c>
      <c r="BI894" s="4">
        <v>0</v>
      </c>
      <c r="BJ894" s="4">
        <v>1</v>
      </c>
      <c r="BK894" s="4">
        <v>1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1</v>
      </c>
      <c r="BT894" s="4">
        <v>0</v>
      </c>
      <c r="BU894" s="4">
        <v>0</v>
      </c>
      <c r="BV894" s="4">
        <v>1</v>
      </c>
      <c r="BW894" s="4">
        <v>2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1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1</v>
      </c>
      <c r="CW894" s="4">
        <v>0</v>
      </c>
      <c r="CX894" s="5">
        <v>0</v>
      </c>
    </row>
    <row r="895" spans="1:102" ht="15.75" x14ac:dyDescent="0.25">
      <c r="A895" s="4" t="s">
        <v>469</v>
      </c>
      <c r="B895" s="4" t="s">
        <v>470</v>
      </c>
      <c r="C895" s="4">
        <v>2021</v>
      </c>
      <c r="D895" s="4">
        <v>4568</v>
      </c>
      <c r="E895" s="4">
        <v>6</v>
      </c>
      <c r="F895" s="4">
        <v>4</v>
      </c>
      <c r="G895" s="4">
        <v>10</v>
      </c>
      <c r="H895" s="4">
        <v>5</v>
      </c>
      <c r="I895" s="4">
        <v>36</v>
      </c>
      <c r="J895" s="4">
        <v>6</v>
      </c>
      <c r="K895" s="4">
        <v>7</v>
      </c>
      <c r="L895" s="4">
        <v>18</v>
      </c>
      <c r="M895" s="4">
        <v>30</v>
      </c>
      <c r="N895" s="4">
        <v>35</v>
      </c>
      <c r="O895" s="4">
        <v>91</v>
      </c>
      <c r="P895" s="4">
        <v>0</v>
      </c>
      <c r="Q895" s="4">
        <v>8</v>
      </c>
      <c r="R895" s="4">
        <v>1</v>
      </c>
      <c r="S895" s="4">
        <v>1</v>
      </c>
      <c r="T895" s="4">
        <v>0</v>
      </c>
      <c r="U895" s="4">
        <v>1</v>
      </c>
      <c r="V895" s="4">
        <v>17</v>
      </c>
      <c r="W895" s="4">
        <v>25</v>
      </c>
      <c r="X895" s="4">
        <v>3</v>
      </c>
      <c r="Y895" s="4">
        <v>1</v>
      </c>
      <c r="Z895" s="4">
        <v>453</v>
      </c>
      <c r="AA895" s="4">
        <v>15</v>
      </c>
      <c r="AB895" s="4">
        <v>24</v>
      </c>
      <c r="AC895" s="4">
        <v>0</v>
      </c>
      <c r="AD895" s="4">
        <v>0</v>
      </c>
      <c r="AE895" s="4">
        <v>22</v>
      </c>
      <c r="AF895" s="4">
        <v>0</v>
      </c>
      <c r="AG895" s="4">
        <v>46</v>
      </c>
      <c r="AH895" s="4">
        <v>86</v>
      </c>
      <c r="AI895" s="4">
        <v>37</v>
      </c>
      <c r="AJ895" s="4">
        <v>144</v>
      </c>
      <c r="AK895" s="4">
        <v>73</v>
      </c>
      <c r="AL895" s="4">
        <v>4</v>
      </c>
      <c r="AM895" s="4">
        <v>58</v>
      </c>
      <c r="AN895" s="4">
        <v>80</v>
      </c>
      <c r="AO895" s="4">
        <v>116</v>
      </c>
      <c r="AP895" s="4">
        <v>2</v>
      </c>
      <c r="AQ895" s="4">
        <v>19</v>
      </c>
      <c r="AR895" s="4">
        <v>10</v>
      </c>
      <c r="AS895" s="4">
        <v>22</v>
      </c>
      <c r="AT895" s="4">
        <v>35</v>
      </c>
      <c r="AU895" s="4">
        <v>49</v>
      </c>
      <c r="AV895" s="4">
        <v>477</v>
      </c>
      <c r="AW895" s="4">
        <v>125</v>
      </c>
      <c r="AX895" s="4">
        <v>104</v>
      </c>
      <c r="AY895" s="4">
        <v>10</v>
      </c>
      <c r="AZ895" s="4">
        <v>11</v>
      </c>
      <c r="BA895" s="4">
        <v>0</v>
      </c>
      <c r="BB895" s="4">
        <v>183</v>
      </c>
      <c r="BC895" s="4">
        <v>18</v>
      </c>
      <c r="BD895" s="4">
        <v>32</v>
      </c>
      <c r="BE895" s="4">
        <v>41</v>
      </c>
      <c r="BF895" s="4">
        <v>90</v>
      </c>
      <c r="BG895" s="4">
        <v>7</v>
      </c>
      <c r="BH895" s="4">
        <v>9</v>
      </c>
      <c r="BI895" s="4">
        <v>1</v>
      </c>
      <c r="BJ895" s="4">
        <v>90</v>
      </c>
      <c r="BK895" s="4">
        <v>156</v>
      </c>
      <c r="BL895" s="4">
        <v>0</v>
      </c>
      <c r="BM895" s="4">
        <v>7</v>
      </c>
      <c r="BN895" s="4">
        <v>42</v>
      </c>
      <c r="BO895" s="4">
        <v>1</v>
      </c>
      <c r="BP895" s="4">
        <v>18</v>
      </c>
      <c r="BQ895" s="4">
        <v>65</v>
      </c>
      <c r="BR895" s="4">
        <v>27</v>
      </c>
      <c r="BS895" s="4">
        <v>164</v>
      </c>
      <c r="BT895" s="4">
        <v>50</v>
      </c>
      <c r="BU895" s="4">
        <v>3</v>
      </c>
      <c r="BV895" s="4">
        <v>218</v>
      </c>
      <c r="BW895" s="4">
        <v>34</v>
      </c>
      <c r="BX895" s="4">
        <v>428</v>
      </c>
      <c r="BY895" s="4">
        <v>5</v>
      </c>
      <c r="BZ895" s="4">
        <v>0</v>
      </c>
      <c r="CA895" s="4">
        <v>81</v>
      </c>
      <c r="CB895" s="4">
        <v>10</v>
      </c>
      <c r="CC895" s="4">
        <v>1</v>
      </c>
      <c r="CD895" s="4">
        <v>9</v>
      </c>
      <c r="CE895" s="4">
        <v>15</v>
      </c>
      <c r="CF895" s="4">
        <v>6</v>
      </c>
      <c r="CG895" s="4">
        <v>3</v>
      </c>
      <c r="CH895" s="4">
        <v>13</v>
      </c>
      <c r="CI895" s="4">
        <v>5</v>
      </c>
      <c r="CJ895" s="4">
        <v>49</v>
      </c>
      <c r="CK895" s="4">
        <v>13</v>
      </c>
      <c r="CL895" s="4">
        <v>0</v>
      </c>
      <c r="CM895" s="4">
        <v>19</v>
      </c>
      <c r="CN895" s="4">
        <v>96</v>
      </c>
      <c r="CO895" s="4">
        <v>4</v>
      </c>
      <c r="CP895" s="4">
        <v>6</v>
      </c>
      <c r="CQ895" s="4">
        <v>0</v>
      </c>
      <c r="CR895" s="4">
        <v>12</v>
      </c>
      <c r="CS895" s="4">
        <v>7</v>
      </c>
      <c r="CT895" s="4">
        <v>52</v>
      </c>
      <c r="CU895" s="4">
        <v>5</v>
      </c>
      <c r="CV895" s="4">
        <v>117</v>
      </c>
      <c r="CW895" s="4">
        <v>28</v>
      </c>
      <c r="CX895" s="5">
        <v>28</v>
      </c>
    </row>
    <row r="896" spans="1:102" ht="15.75" x14ac:dyDescent="0.25">
      <c r="A896" s="4" t="s">
        <v>471</v>
      </c>
      <c r="B896" s="4" t="s">
        <v>472</v>
      </c>
      <c r="C896" s="4">
        <v>2021</v>
      </c>
      <c r="D896" s="4">
        <v>4958</v>
      </c>
      <c r="E896" s="4">
        <v>0</v>
      </c>
      <c r="F896" s="4">
        <v>2</v>
      </c>
      <c r="G896" s="4">
        <v>11</v>
      </c>
      <c r="H896" s="4">
        <v>11</v>
      </c>
      <c r="I896" s="4">
        <v>17</v>
      </c>
      <c r="J896" s="4">
        <v>5</v>
      </c>
      <c r="K896" s="4">
        <v>3</v>
      </c>
      <c r="L896" s="4">
        <v>12</v>
      </c>
      <c r="M896" s="4">
        <v>4</v>
      </c>
      <c r="N896" s="4">
        <v>19</v>
      </c>
      <c r="O896" s="4">
        <v>298</v>
      </c>
      <c r="P896" s="4">
        <v>0</v>
      </c>
      <c r="Q896" s="4">
        <v>0</v>
      </c>
      <c r="R896" s="4">
        <v>5</v>
      </c>
      <c r="S896" s="4">
        <v>0</v>
      </c>
      <c r="T896" s="4">
        <v>0</v>
      </c>
      <c r="U896" s="4">
        <v>0</v>
      </c>
      <c r="V896" s="4">
        <v>4</v>
      </c>
      <c r="W896" s="4">
        <v>1</v>
      </c>
      <c r="X896" s="4">
        <v>1</v>
      </c>
      <c r="Y896" s="4">
        <v>0</v>
      </c>
      <c r="Z896" s="4">
        <v>0</v>
      </c>
      <c r="AA896" s="4">
        <v>93</v>
      </c>
      <c r="AB896" s="4">
        <v>0</v>
      </c>
      <c r="AC896" s="4">
        <v>0</v>
      </c>
      <c r="AD896" s="4">
        <v>0</v>
      </c>
      <c r="AE896" s="4">
        <v>4</v>
      </c>
      <c r="AF896" s="4">
        <v>0</v>
      </c>
      <c r="AG896" s="4">
        <v>27</v>
      </c>
      <c r="AH896" s="4">
        <v>3</v>
      </c>
      <c r="AI896" s="4">
        <v>10</v>
      </c>
      <c r="AJ896" s="4">
        <v>160</v>
      </c>
      <c r="AK896" s="4">
        <v>42</v>
      </c>
      <c r="AL896" s="4">
        <v>0</v>
      </c>
      <c r="AM896" s="4">
        <v>17</v>
      </c>
      <c r="AN896" s="4">
        <v>22</v>
      </c>
      <c r="AO896" s="4">
        <v>96</v>
      </c>
      <c r="AP896" s="4">
        <v>0</v>
      </c>
      <c r="AQ896" s="4">
        <v>11</v>
      </c>
      <c r="AR896" s="4">
        <v>1</v>
      </c>
      <c r="AS896" s="4">
        <v>7</v>
      </c>
      <c r="AT896" s="4">
        <v>8</v>
      </c>
      <c r="AU896" s="4">
        <v>22</v>
      </c>
      <c r="AV896" s="4">
        <v>33</v>
      </c>
      <c r="AW896" s="4">
        <v>31</v>
      </c>
      <c r="AX896" s="4">
        <v>100</v>
      </c>
      <c r="AY896" s="4">
        <v>4</v>
      </c>
      <c r="AZ896" s="4">
        <v>17</v>
      </c>
      <c r="BA896" s="4">
        <v>0</v>
      </c>
      <c r="BB896" s="4">
        <v>1575</v>
      </c>
      <c r="BC896" s="4">
        <v>17</v>
      </c>
      <c r="BD896" s="4">
        <v>0</v>
      </c>
      <c r="BE896" s="4">
        <v>28</v>
      </c>
      <c r="BF896" s="4">
        <v>22</v>
      </c>
      <c r="BG896" s="4">
        <v>2</v>
      </c>
      <c r="BH896" s="4">
        <v>4</v>
      </c>
      <c r="BI896" s="4">
        <v>0</v>
      </c>
      <c r="BJ896" s="4">
        <v>222</v>
      </c>
      <c r="BK896" s="4">
        <v>111</v>
      </c>
      <c r="BL896" s="4">
        <v>0</v>
      </c>
      <c r="BM896" s="4">
        <v>6</v>
      </c>
      <c r="BN896" s="4">
        <v>55</v>
      </c>
      <c r="BO896" s="4">
        <v>1</v>
      </c>
      <c r="BP896" s="4">
        <v>8</v>
      </c>
      <c r="BQ896" s="4">
        <v>51</v>
      </c>
      <c r="BR896" s="4">
        <v>3</v>
      </c>
      <c r="BS896" s="4">
        <v>183</v>
      </c>
      <c r="BT896" s="4">
        <v>69</v>
      </c>
      <c r="BU896" s="4">
        <v>13</v>
      </c>
      <c r="BV896" s="4">
        <v>14</v>
      </c>
      <c r="BW896" s="4">
        <v>9</v>
      </c>
      <c r="BX896" s="4">
        <v>216</v>
      </c>
      <c r="BY896" s="4">
        <v>2</v>
      </c>
      <c r="BZ896" s="4">
        <v>0</v>
      </c>
      <c r="CA896" s="4">
        <v>21</v>
      </c>
      <c r="CB896" s="4">
        <v>322</v>
      </c>
      <c r="CC896" s="4">
        <v>0</v>
      </c>
      <c r="CD896" s="4">
        <v>6</v>
      </c>
      <c r="CE896" s="4">
        <v>0</v>
      </c>
      <c r="CF896" s="4">
        <v>4</v>
      </c>
      <c r="CG896" s="4">
        <v>18</v>
      </c>
      <c r="CH896" s="4">
        <v>3</v>
      </c>
      <c r="CI896" s="4">
        <v>6</v>
      </c>
      <c r="CJ896" s="4">
        <v>19</v>
      </c>
      <c r="CK896" s="4">
        <v>4</v>
      </c>
      <c r="CL896" s="4">
        <v>0</v>
      </c>
      <c r="CM896" s="4">
        <v>20</v>
      </c>
      <c r="CN896" s="4">
        <v>134</v>
      </c>
      <c r="CO896" s="4">
        <v>21</v>
      </c>
      <c r="CP896" s="4">
        <v>6</v>
      </c>
      <c r="CQ896" s="4">
        <v>0</v>
      </c>
      <c r="CR896" s="4">
        <v>15</v>
      </c>
      <c r="CS896" s="4">
        <v>24</v>
      </c>
      <c r="CT896" s="4">
        <v>12</v>
      </c>
      <c r="CU896" s="4">
        <v>1</v>
      </c>
      <c r="CV896" s="4">
        <v>71</v>
      </c>
      <c r="CW896" s="4">
        <v>539</v>
      </c>
      <c r="CX896" s="5">
        <v>539</v>
      </c>
    </row>
    <row r="897" spans="1:102" ht="15.75" x14ac:dyDescent="0.25">
      <c r="A897" s="4" t="s">
        <v>473</v>
      </c>
      <c r="B897" s="4" t="s">
        <v>474</v>
      </c>
      <c r="C897" s="4">
        <v>2021</v>
      </c>
      <c r="D897" s="4">
        <v>20</v>
      </c>
      <c r="E897" s="4">
        <v>0</v>
      </c>
      <c r="F897" s="4">
        <v>0</v>
      </c>
      <c r="G897" s="4">
        <v>0</v>
      </c>
      <c r="H897" s="4">
        <v>0</v>
      </c>
      <c r="I897" s="4">
        <v>2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1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1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1</v>
      </c>
      <c r="AW897" s="4">
        <v>0</v>
      </c>
      <c r="AX897" s="4">
        <v>1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1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1</v>
      </c>
      <c r="BW897" s="4">
        <v>0</v>
      </c>
      <c r="BX897" s="4">
        <v>1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3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0</v>
      </c>
      <c r="CV897" s="4">
        <v>1</v>
      </c>
      <c r="CW897" s="4">
        <v>0</v>
      </c>
      <c r="CX897" s="5">
        <v>0</v>
      </c>
    </row>
    <row r="898" spans="1:102" ht="15.75" x14ac:dyDescent="0.25">
      <c r="A898" s="4" t="s">
        <v>475</v>
      </c>
      <c r="B898" s="4" t="s">
        <v>476</v>
      </c>
      <c r="C898" s="4">
        <v>2021</v>
      </c>
      <c r="D898" s="4">
        <v>262</v>
      </c>
      <c r="E898" s="4">
        <v>0</v>
      </c>
      <c r="F898" s="4">
        <v>0</v>
      </c>
      <c r="G898" s="4">
        <v>0</v>
      </c>
      <c r="H898" s="4">
        <v>0</v>
      </c>
      <c r="I898" s="4">
        <v>1</v>
      </c>
      <c r="J898" s="4">
        <v>0</v>
      </c>
      <c r="K898" s="4">
        <v>1</v>
      </c>
      <c r="L898" s="4">
        <v>0</v>
      </c>
      <c r="M898" s="4">
        <v>0</v>
      </c>
      <c r="N898" s="4">
        <v>6</v>
      </c>
      <c r="O898" s="4">
        <v>12</v>
      </c>
      <c r="P898" s="4">
        <v>0</v>
      </c>
      <c r="Q898" s="4">
        <v>0</v>
      </c>
      <c r="R898" s="4">
        <v>0</v>
      </c>
      <c r="S898" s="4">
        <v>0</v>
      </c>
      <c r="T898" s="4">
        <v>1</v>
      </c>
      <c r="U898" s="4">
        <v>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6</v>
      </c>
      <c r="AH898" s="4">
        <v>1</v>
      </c>
      <c r="AI898" s="4">
        <v>4</v>
      </c>
      <c r="AJ898" s="4">
        <v>4</v>
      </c>
      <c r="AK898" s="4">
        <v>9</v>
      </c>
      <c r="AL898" s="4">
        <v>0</v>
      </c>
      <c r="AM898" s="4">
        <v>5</v>
      </c>
      <c r="AN898" s="4">
        <v>11</v>
      </c>
      <c r="AO898" s="4">
        <v>9</v>
      </c>
      <c r="AP898" s="4">
        <v>1</v>
      </c>
      <c r="AQ898" s="4">
        <v>1</v>
      </c>
      <c r="AR898" s="4">
        <v>0</v>
      </c>
      <c r="AS898" s="4">
        <v>2</v>
      </c>
      <c r="AT898" s="4">
        <v>3</v>
      </c>
      <c r="AU898" s="4">
        <v>5</v>
      </c>
      <c r="AV898" s="4">
        <v>6</v>
      </c>
      <c r="AW898" s="4">
        <v>5</v>
      </c>
      <c r="AX898" s="4">
        <v>4</v>
      </c>
      <c r="AY898" s="4">
        <v>0</v>
      </c>
      <c r="AZ898" s="4">
        <v>1</v>
      </c>
      <c r="BA898" s="4">
        <v>0</v>
      </c>
      <c r="BB898" s="4">
        <v>29</v>
      </c>
      <c r="BC898" s="4">
        <v>1</v>
      </c>
      <c r="BD898" s="4">
        <v>0</v>
      </c>
      <c r="BE898" s="4">
        <v>3</v>
      </c>
      <c r="BF898" s="4">
        <v>15</v>
      </c>
      <c r="BG898" s="4">
        <v>0</v>
      </c>
      <c r="BH898" s="4">
        <v>1</v>
      </c>
      <c r="BI898" s="4">
        <v>0</v>
      </c>
      <c r="BJ898" s="4">
        <v>4</v>
      </c>
      <c r="BK898" s="4">
        <v>7</v>
      </c>
      <c r="BL898" s="4">
        <v>0</v>
      </c>
      <c r="BM898" s="4">
        <v>1</v>
      </c>
      <c r="BN898" s="4">
        <v>3</v>
      </c>
      <c r="BO898" s="4">
        <v>0</v>
      </c>
      <c r="BP898" s="4">
        <v>0</v>
      </c>
      <c r="BQ898" s="4">
        <v>3</v>
      </c>
      <c r="BR898" s="4">
        <v>1</v>
      </c>
      <c r="BS898" s="4">
        <v>10</v>
      </c>
      <c r="BT898" s="4">
        <v>8</v>
      </c>
      <c r="BU898" s="4">
        <v>0</v>
      </c>
      <c r="BV898" s="4">
        <v>2</v>
      </c>
      <c r="BW898" s="4">
        <v>7</v>
      </c>
      <c r="BX898" s="4">
        <v>29</v>
      </c>
      <c r="BY898" s="4">
        <v>0</v>
      </c>
      <c r="BZ898" s="4">
        <v>0</v>
      </c>
      <c r="CA898" s="4">
        <v>6</v>
      </c>
      <c r="CB898" s="4">
        <v>0</v>
      </c>
      <c r="CC898" s="4">
        <v>0</v>
      </c>
      <c r="CD898" s="4">
        <v>1</v>
      </c>
      <c r="CE898" s="4">
        <v>2</v>
      </c>
      <c r="CF898" s="4">
        <v>0</v>
      </c>
      <c r="CG898" s="4">
        <v>0</v>
      </c>
      <c r="CH898" s="4">
        <v>0</v>
      </c>
      <c r="CI898" s="4">
        <v>0</v>
      </c>
      <c r="CJ898" s="4">
        <v>1</v>
      </c>
      <c r="CK898" s="4">
        <v>0</v>
      </c>
      <c r="CL898" s="4">
        <v>0</v>
      </c>
      <c r="CM898" s="4">
        <v>1</v>
      </c>
      <c r="CN898" s="4">
        <v>9</v>
      </c>
      <c r="CO898" s="4">
        <v>0</v>
      </c>
      <c r="CP898" s="4">
        <v>1</v>
      </c>
      <c r="CQ898" s="4">
        <v>0</v>
      </c>
      <c r="CR898" s="4">
        <v>0</v>
      </c>
      <c r="CS898" s="4">
        <v>0</v>
      </c>
      <c r="CT898" s="4">
        <v>3</v>
      </c>
      <c r="CU898" s="4">
        <v>1</v>
      </c>
      <c r="CV898" s="4">
        <v>8</v>
      </c>
      <c r="CW898" s="4">
        <v>2</v>
      </c>
      <c r="CX898" s="5">
        <v>2</v>
      </c>
    </row>
    <row r="899" spans="1:102" ht="15.75" x14ac:dyDescent="0.25">
      <c r="A899" s="4" t="s">
        <v>477</v>
      </c>
      <c r="B899" s="4" t="s">
        <v>478</v>
      </c>
      <c r="C899" s="4">
        <v>2021</v>
      </c>
      <c r="D899" s="4">
        <v>719</v>
      </c>
      <c r="E899" s="4">
        <v>2</v>
      </c>
      <c r="F899" s="4">
        <v>0</v>
      </c>
      <c r="G899" s="4">
        <v>1</v>
      </c>
      <c r="H899" s="4">
        <v>0</v>
      </c>
      <c r="I899" s="4">
        <v>1</v>
      </c>
      <c r="J899" s="4">
        <v>1</v>
      </c>
      <c r="K899" s="4">
        <v>0</v>
      </c>
      <c r="L899" s="4">
        <v>2</v>
      </c>
      <c r="M899" s="4">
        <v>0</v>
      </c>
      <c r="N899" s="4">
        <v>3</v>
      </c>
      <c r="O899" s="4">
        <v>16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1</v>
      </c>
      <c r="W899" s="4">
        <v>3</v>
      </c>
      <c r="X899" s="4">
        <v>0</v>
      </c>
      <c r="Y899" s="4">
        <v>0</v>
      </c>
      <c r="Z899" s="4">
        <v>0</v>
      </c>
      <c r="AA899" s="4">
        <v>1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16</v>
      </c>
      <c r="AH899" s="4">
        <v>2</v>
      </c>
      <c r="AI899" s="4">
        <v>7</v>
      </c>
      <c r="AJ899" s="4">
        <v>4</v>
      </c>
      <c r="AK899" s="4">
        <v>11</v>
      </c>
      <c r="AL899" s="4">
        <v>0</v>
      </c>
      <c r="AM899" s="4">
        <v>16</v>
      </c>
      <c r="AN899" s="4">
        <v>12</v>
      </c>
      <c r="AO899" s="4">
        <v>8</v>
      </c>
      <c r="AP899" s="4">
        <v>1</v>
      </c>
      <c r="AQ899" s="4">
        <v>24</v>
      </c>
      <c r="AR899" s="4">
        <v>1</v>
      </c>
      <c r="AS899" s="4">
        <v>4</v>
      </c>
      <c r="AT899" s="4">
        <v>6</v>
      </c>
      <c r="AU899" s="4">
        <v>6</v>
      </c>
      <c r="AV899" s="4">
        <v>14</v>
      </c>
      <c r="AW899" s="4">
        <v>5</v>
      </c>
      <c r="AX899" s="4">
        <v>27</v>
      </c>
      <c r="AY899" s="4">
        <v>0</v>
      </c>
      <c r="AZ899" s="4">
        <v>0</v>
      </c>
      <c r="BA899" s="4">
        <v>0</v>
      </c>
      <c r="BB899" s="4">
        <v>19</v>
      </c>
      <c r="BC899" s="4">
        <v>2</v>
      </c>
      <c r="BD899" s="4">
        <v>0</v>
      </c>
      <c r="BE899" s="4">
        <v>2</v>
      </c>
      <c r="BF899" s="4">
        <v>18</v>
      </c>
      <c r="BG899" s="4">
        <v>1</v>
      </c>
      <c r="BH899" s="4">
        <v>2</v>
      </c>
      <c r="BI899" s="4">
        <v>0</v>
      </c>
      <c r="BJ899" s="4">
        <v>16</v>
      </c>
      <c r="BK899" s="4">
        <v>26</v>
      </c>
      <c r="BL899" s="4">
        <v>0</v>
      </c>
      <c r="BM899" s="4">
        <v>1</v>
      </c>
      <c r="BN899" s="4">
        <v>9</v>
      </c>
      <c r="BO899" s="4">
        <v>0</v>
      </c>
      <c r="BP899" s="4">
        <v>18</v>
      </c>
      <c r="BQ899" s="4">
        <v>26</v>
      </c>
      <c r="BR899" s="4">
        <v>1</v>
      </c>
      <c r="BS899" s="4">
        <v>51</v>
      </c>
      <c r="BT899" s="4">
        <v>10</v>
      </c>
      <c r="BU899" s="4">
        <v>0</v>
      </c>
      <c r="BV899" s="4">
        <v>168</v>
      </c>
      <c r="BW899" s="4">
        <v>1</v>
      </c>
      <c r="BX899" s="4">
        <v>25</v>
      </c>
      <c r="BY899" s="4">
        <v>1</v>
      </c>
      <c r="BZ899" s="4">
        <v>0</v>
      </c>
      <c r="CA899" s="4">
        <v>7</v>
      </c>
      <c r="CB899" s="4">
        <v>0</v>
      </c>
      <c r="CC899" s="4">
        <v>0</v>
      </c>
      <c r="CD899" s="4">
        <v>1</v>
      </c>
      <c r="CE899" s="4">
        <v>0</v>
      </c>
      <c r="CF899" s="4">
        <v>1</v>
      </c>
      <c r="CG899" s="4">
        <v>5</v>
      </c>
      <c r="CH899" s="4">
        <v>0</v>
      </c>
      <c r="CI899" s="4">
        <v>0</v>
      </c>
      <c r="CJ899" s="4">
        <v>5</v>
      </c>
      <c r="CK899" s="4">
        <v>0</v>
      </c>
      <c r="CL899" s="4">
        <v>0</v>
      </c>
      <c r="CM899" s="4">
        <v>34</v>
      </c>
      <c r="CN899" s="4">
        <v>8</v>
      </c>
      <c r="CO899" s="4">
        <v>0</v>
      </c>
      <c r="CP899" s="4">
        <v>1</v>
      </c>
      <c r="CQ899" s="4">
        <v>0</v>
      </c>
      <c r="CR899" s="4">
        <v>0</v>
      </c>
      <c r="CS899" s="4">
        <v>0</v>
      </c>
      <c r="CT899" s="4">
        <v>25</v>
      </c>
      <c r="CU899" s="4">
        <v>1</v>
      </c>
      <c r="CV899" s="4">
        <v>32</v>
      </c>
      <c r="CW899" s="4">
        <v>7</v>
      </c>
      <c r="CX899" s="5">
        <v>7</v>
      </c>
    </row>
    <row r="900" spans="1:102" ht="15.75" x14ac:dyDescent="0.25">
      <c r="A900" s="4" t="s">
        <v>479</v>
      </c>
      <c r="B900" s="4" t="s">
        <v>480</v>
      </c>
      <c r="C900" s="4">
        <v>2021</v>
      </c>
      <c r="D900" s="4">
        <v>35</v>
      </c>
      <c r="E900" s="4">
        <v>0</v>
      </c>
      <c r="F900" s="4">
        <v>1</v>
      </c>
      <c r="G900" s="4">
        <v>0</v>
      </c>
      <c r="H900" s="4">
        <v>0</v>
      </c>
      <c r="I900" s="4">
        <v>1</v>
      </c>
      <c r="J900" s="4">
        <v>1</v>
      </c>
      <c r="K900" s="4">
        <v>0</v>
      </c>
      <c r="L900" s="4">
        <v>0</v>
      </c>
      <c r="M900" s="4">
        <v>0</v>
      </c>
      <c r="N900" s="4">
        <v>1</v>
      </c>
      <c r="O900" s="4">
        <v>1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2</v>
      </c>
      <c r="AK900" s="4">
        <v>2</v>
      </c>
      <c r="AL900" s="4">
        <v>0</v>
      </c>
      <c r="AM900" s="4">
        <v>0</v>
      </c>
      <c r="AN900" s="4">
        <v>0</v>
      </c>
      <c r="AO900" s="4">
        <v>1</v>
      </c>
      <c r="AP900" s="4">
        <v>0</v>
      </c>
      <c r="AQ900" s="4">
        <v>0</v>
      </c>
      <c r="AR900" s="4">
        <v>0</v>
      </c>
      <c r="AS900" s="4">
        <v>0</v>
      </c>
      <c r="AT900" s="4">
        <v>1</v>
      </c>
      <c r="AU900" s="4">
        <v>0</v>
      </c>
      <c r="AV900" s="4">
        <v>1</v>
      </c>
      <c r="AW900" s="4">
        <v>0</v>
      </c>
      <c r="AX900" s="4">
        <v>1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1</v>
      </c>
      <c r="BF900" s="4">
        <v>1</v>
      </c>
      <c r="BG900" s="4">
        <v>0</v>
      </c>
      <c r="BH900" s="4">
        <v>0</v>
      </c>
      <c r="BI900" s="4">
        <v>0</v>
      </c>
      <c r="BJ900" s="4">
        <v>1</v>
      </c>
      <c r="BK900" s="4">
        <v>1</v>
      </c>
      <c r="BL900" s="4">
        <v>0</v>
      </c>
      <c r="BM900" s="4">
        <v>1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3</v>
      </c>
      <c r="BT900" s="4">
        <v>0</v>
      </c>
      <c r="BU900" s="4">
        <v>0</v>
      </c>
      <c r="BV900" s="4">
        <v>0</v>
      </c>
      <c r="BW900" s="4">
        <v>1</v>
      </c>
      <c r="BX900" s="4">
        <v>3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1</v>
      </c>
      <c r="CG900" s="4">
        <v>0</v>
      </c>
      <c r="CH900" s="4">
        <v>1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1</v>
      </c>
      <c r="CO900" s="4">
        <v>0</v>
      </c>
      <c r="CP900" s="4">
        <v>0</v>
      </c>
      <c r="CQ900" s="4">
        <v>0</v>
      </c>
      <c r="CR900" s="4">
        <v>0</v>
      </c>
      <c r="CS900" s="4">
        <v>1</v>
      </c>
      <c r="CT900" s="4">
        <v>0</v>
      </c>
      <c r="CU900" s="4">
        <v>0</v>
      </c>
      <c r="CV900" s="4">
        <v>2</v>
      </c>
      <c r="CW900" s="4">
        <v>0</v>
      </c>
      <c r="CX900" s="5">
        <v>0</v>
      </c>
    </row>
    <row r="901" spans="1:102" ht="15.75" x14ac:dyDescent="0.25">
      <c r="A901" s="4" t="s">
        <v>481</v>
      </c>
      <c r="B901" s="4" t="s">
        <v>482</v>
      </c>
      <c r="C901" s="4">
        <v>2021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5">
        <v>0</v>
      </c>
    </row>
    <row r="902" spans="1:102" ht="15.75" x14ac:dyDescent="0.25">
      <c r="A902" s="4" t="s">
        <v>483</v>
      </c>
      <c r="B902" s="4" t="s">
        <v>484</v>
      </c>
      <c r="C902" s="4">
        <v>2021</v>
      </c>
      <c r="D902" s="4">
        <v>170</v>
      </c>
      <c r="E902" s="4">
        <v>0</v>
      </c>
      <c r="F902" s="4">
        <v>2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1</v>
      </c>
      <c r="O902" s="4">
        <v>1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1</v>
      </c>
      <c r="V902" s="4">
        <v>0</v>
      </c>
      <c r="W902" s="4">
        <v>0</v>
      </c>
      <c r="X902" s="4">
        <v>1</v>
      </c>
      <c r="Y902" s="4">
        <v>0</v>
      </c>
      <c r="Z902" s="4">
        <v>0</v>
      </c>
      <c r="AA902" s="4">
        <v>68</v>
      </c>
      <c r="AB902" s="4">
        <v>17</v>
      </c>
      <c r="AC902" s="4">
        <v>0</v>
      </c>
      <c r="AD902" s="4">
        <v>0</v>
      </c>
      <c r="AE902" s="4">
        <v>0</v>
      </c>
      <c r="AF902" s="4">
        <v>0</v>
      </c>
      <c r="AG902" s="4">
        <v>1</v>
      </c>
      <c r="AH902" s="4">
        <v>0</v>
      </c>
      <c r="AI902" s="4">
        <v>1</v>
      </c>
      <c r="AJ902" s="4">
        <v>0</v>
      </c>
      <c r="AK902" s="4">
        <v>1</v>
      </c>
      <c r="AL902" s="4">
        <v>0</v>
      </c>
      <c r="AM902" s="4">
        <v>0</v>
      </c>
      <c r="AN902" s="4">
        <v>0</v>
      </c>
      <c r="AO902" s="4">
        <v>2</v>
      </c>
      <c r="AP902" s="4">
        <v>0</v>
      </c>
      <c r="AQ902" s="4">
        <v>1</v>
      </c>
      <c r="AR902" s="4">
        <v>0</v>
      </c>
      <c r="AS902" s="4">
        <v>0</v>
      </c>
      <c r="AT902" s="4">
        <v>2</v>
      </c>
      <c r="AU902" s="4">
        <v>0</v>
      </c>
      <c r="AV902" s="4">
        <v>2</v>
      </c>
      <c r="AW902" s="4">
        <v>1</v>
      </c>
      <c r="AX902" s="4">
        <v>10</v>
      </c>
      <c r="AY902" s="4">
        <v>0</v>
      </c>
      <c r="AZ902" s="4">
        <v>1</v>
      </c>
      <c r="BA902" s="4">
        <v>0</v>
      </c>
      <c r="BB902" s="4">
        <v>1</v>
      </c>
      <c r="BC902" s="4">
        <v>1</v>
      </c>
      <c r="BD902" s="4">
        <v>0</v>
      </c>
      <c r="BE902" s="4">
        <v>5</v>
      </c>
      <c r="BF902" s="4">
        <v>6</v>
      </c>
      <c r="BG902" s="4">
        <v>0</v>
      </c>
      <c r="BH902" s="4">
        <v>0</v>
      </c>
      <c r="BI902" s="4">
        <v>0</v>
      </c>
      <c r="BJ902" s="4">
        <v>4</v>
      </c>
      <c r="BK902" s="4">
        <v>5</v>
      </c>
      <c r="BL902" s="4">
        <v>0</v>
      </c>
      <c r="BM902" s="4">
        <v>0</v>
      </c>
      <c r="BN902" s="4">
        <v>1</v>
      </c>
      <c r="BO902" s="4">
        <v>0</v>
      </c>
      <c r="BP902" s="4">
        <v>1</v>
      </c>
      <c r="BQ902" s="4">
        <v>5</v>
      </c>
      <c r="BR902" s="4">
        <v>0</v>
      </c>
      <c r="BS902" s="4">
        <v>2</v>
      </c>
      <c r="BT902" s="4">
        <v>1</v>
      </c>
      <c r="BU902" s="4">
        <v>0</v>
      </c>
      <c r="BV902" s="4">
        <v>1</v>
      </c>
      <c r="BW902" s="4">
        <v>10</v>
      </c>
      <c r="BX902" s="4">
        <v>2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1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1</v>
      </c>
      <c r="CN902" s="4">
        <v>6</v>
      </c>
      <c r="CO902" s="4">
        <v>1</v>
      </c>
      <c r="CP902" s="4">
        <v>0</v>
      </c>
      <c r="CQ902" s="4">
        <v>0</v>
      </c>
      <c r="CR902" s="4">
        <v>0</v>
      </c>
      <c r="CS902" s="4">
        <v>0</v>
      </c>
      <c r="CT902" s="4">
        <v>1</v>
      </c>
      <c r="CU902" s="4">
        <v>0</v>
      </c>
      <c r="CV902" s="4">
        <v>1</v>
      </c>
      <c r="CW902" s="4">
        <v>1</v>
      </c>
      <c r="CX902" s="5">
        <v>1</v>
      </c>
    </row>
    <row r="903" spans="1:102" ht="15.75" x14ac:dyDescent="0.25">
      <c r="A903" s="4" t="s">
        <v>485</v>
      </c>
      <c r="B903" s="4" t="s">
        <v>486</v>
      </c>
      <c r="C903" s="4">
        <v>2021</v>
      </c>
      <c r="D903" s="4">
        <v>14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2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2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1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1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1</v>
      </c>
      <c r="BX903" s="4">
        <v>1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1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5">
        <v>0</v>
      </c>
    </row>
    <row r="904" spans="1:102" ht="15.75" x14ac:dyDescent="0.25">
      <c r="A904" s="4" t="s">
        <v>487</v>
      </c>
      <c r="B904" s="4" t="s">
        <v>488</v>
      </c>
      <c r="C904" s="4">
        <v>2021</v>
      </c>
      <c r="D904" s="4">
        <v>10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1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1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3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2</v>
      </c>
      <c r="BX904" s="4">
        <v>1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5">
        <v>0</v>
      </c>
    </row>
    <row r="905" spans="1:102" ht="15.75" x14ac:dyDescent="0.25">
      <c r="A905" s="4" t="s">
        <v>489</v>
      </c>
      <c r="B905" s="4" t="s">
        <v>490</v>
      </c>
      <c r="C905" s="4">
        <v>2021</v>
      </c>
      <c r="D905" s="4">
        <v>6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1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1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1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1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5">
        <v>0</v>
      </c>
    </row>
    <row r="906" spans="1:102" ht="15.75" x14ac:dyDescent="0.25">
      <c r="A906" s="4" t="s">
        <v>491</v>
      </c>
      <c r="B906" s="4" t="s">
        <v>492</v>
      </c>
      <c r="C906" s="4">
        <v>2021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5">
        <v>0</v>
      </c>
    </row>
    <row r="907" spans="1:102" ht="15.75" x14ac:dyDescent="0.25">
      <c r="A907" s="4" t="s">
        <v>493</v>
      </c>
      <c r="B907" s="4" t="s">
        <v>494</v>
      </c>
      <c r="C907" s="4">
        <v>2021</v>
      </c>
      <c r="D907" s="4">
        <v>26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1</v>
      </c>
      <c r="M907" s="4">
        <v>0</v>
      </c>
      <c r="N907" s="4">
        <v>1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1</v>
      </c>
      <c r="AK907" s="4">
        <v>0</v>
      </c>
      <c r="AL907" s="4">
        <v>0</v>
      </c>
      <c r="AM907" s="4">
        <v>1</v>
      </c>
      <c r="AN907" s="4">
        <v>2</v>
      </c>
      <c r="AO907" s="4">
        <v>0</v>
      </c>
      <c r="AP907" s="4">
        <v>0</v>
      </c>
      <c r="AQ907" s="4">
        <v>0</v>
      </c>
      <c r="AR907" s="4">
        <v>0</v>
      </c>
      <c r="AS907" s="4">
        <v>1</v>
      </c>
      <c r="AT907" s="4">
        <v>0</v>
      </c>
      <c r="AU907" s="4">
        <v>0</v>
      </c>
      <c r="AV907" s="4">
        <v>0</v>
      </c>
      <c r="AW907" s="4">
        <v>0</v>
      </c>
      <c r="AX907" s="4">
        <v>1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10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1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1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5">
        <v>0</v>
      </c>
    </row>
    <row r="908" spans="1:102" ht="15.75" x14ac:dyDescent="0.25">
      <c r="A908" s="4" t="s">
        <v>495</v>
      </c>
      <c r="B908" s="4" t="s">
        <v>496</v>
      </c>
      <c r="C908" s="4">
        <v>2021</v>
      </c>
      <c r="D908" s="4">
        <v>9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5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5">
        <v>0</v>
      </c>
    </row>
    <row r="909" spans="1:102" ht="15.75" x14ac:dyDescent="0.25">
      <c r="A909" s="4" t="s">
        <v>497</v>
      </c>
      <c r="B909" s="4" t="s">
        <v>498</v>
      </c>
      <c r="C909" s="4">
        <v>2021</v>
      </c>
      <c r="D909" s="4">
        <v>2</v>
      </c>
      <c r="E909" s="4">
        <v>0</v>
      </c>
      <c r="F909" s="4">
        <v>0</v>
      </c>
      <c r="G909" s="4">
        <v>1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5">
        <v>0</v>
      </c>
    </row>
    <row r="910" spans="1:102" ht="15.75" x14ac:dyDescent="0.25">
      <c r="A910" s="4" t="s">
        <v>499</v>
      </c>
      <c r="B910" s="4" t="s">
        <v>500</v>
      </c>
      <c r="C910" s="4">
        <v>2021</v>
      </c>
      <c r="D910" s="4">
        <v>6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2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1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5">
        <v>0</v>
      </c>
    </row>
    <row r="911" spans="1:102" ht="15.75" x14ac:dyDescent="0.25">
      <c r="A911" s="4" t="s">
        <v>501</v>
      </c>
      <c r="B911" s="4" t="s">
        <v>502</v>
      </c>
      <c r="C911" s="4">
        <v>2021</v>
      </c>
      <c r="D911" s="4">
        <v>8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4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5">
        <v>0</v>
      </c>
    </row>
    <row r="912" spans="1:102" ht="15.75" x14ac:dyDescent="0.25">
      <c r="A912" s="4" t="s">
        <v>503</v>
      </c>
      <c r="B912" s="4" t="s">
        <v>504</v>
      </c>
      <c r="C912" s="4">
        <v>2021</v>
      </c>
      <c r="D912" s="4">
        <v>10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5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4">
        <v>0</v>
      </c>
      <c r="CW912" s="4">
        <v>0</v>
      </c>
      <c r="CX912" s="5">
        <v>0</v>
      </c>
    </row>
    <row r="913" spans="1:102" ht="15.75" x14ac:dyDescent="0.25">
      <c r="A913" s="4" t="s">
        <v>505</v>
      </c>
      <c r="B913" s="4" t="s">
        <v>506</v>
      </c>
      <c r="C913" s="4">
        <v>2021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5">
        <v>0</v>
      </c>
    </row>
    <row r="914" spans="1:102" ht="15.75" x14ac:dyDescent="0.25">
      <c r="A914" s="4" t="s">
        <v>507</v>
      </c>
      <c r="B914" s="4" t="s">
        <v>508</v>
      </c>
      <c r="C914" s="4">
        <v>2021</v>
      </c>
      <c r="D914" s="4">
        <v>53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5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4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34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1</v>
      </c>
      <c r="AJ914" s="4">
        <v>0</v>
      </c>
      <c r="AK914" s="4">
        <v>1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1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5">
        <v>0</v>
      </c>
    </row>
    <row r="915" spans="1:102" ht="15.75" x14ac:dyDescent="0.25">
      <c r="A915" s="4" t="s">
        <v>509</v>
      </c>
      <c r="B915" s="4" t="s">
        <v>510</v>
      </c>
      <c r="C915" s="4">
        <v>2021</v>
      </c>
      <c r="D915" s="4">
        <v>1291</v>
      </c>
      <c r="E915" s="4">
        <v>2</v>
      </c>
      <c r="F915" s="4">
        <v>1</v>
      </c>
      <c r="G915" s="4">
        <v>4</v>
      </c>
      <c r="H915" s="4">
        <v>4</v>
      </c>
      <c r="I915" s="4">
        <v>11</v>
      </c>
      <c r="J915" s="4">
        <v>4</v>
      </c>
      <c r="K915" s="4">
        <v>1</v>
      </c>
      <c r="L915" s="4">
        <v>6</v>
      </c>
      <c r="M915" s="4">
        <v>24</v>
      </c>
      <c r="N915" s="4">
        <v>14</v>
      </c>
      <c r="O915" s="4">
        <v>18</v>
      </c>
      <c r="P915" s="4">
        <v>1</v>
      </c>
      <c r="Q915" s="4">
        <v>0</v>
      </c>
      <c r="R915" s="4">
        <v>4</v>
      </c>
      <c r="S915" s="4">
        <v>0</v>
      </c>
      <c r="T915" s="4">
        <v>97</v>
      </c>
      <c r="U915" s="4">
        <v>2</v>
      </c>
      <c r="V915" s="4">
        <v>10</v>
      </c>
      <c r="W915" s="4">
        <v>77</v>
      </c>
      <c r="X915" s="4">
        <v>10</v>
      </c>
      <c r="Y915" s="4">
        <v>1</v>
      </c>
      <c r="Z915" s="4">
        <v>0</v>
      </c>
      <c r="AA915" s="4">
        <v>2</v>
      </c>
      <c r="AB915" s="4">
        <v>0</v>
      </c>
      <c r="AC915" s="4">
        <v>0</v>
      </c>
      <c r="AD915" s="4">
        <v>0</v>
      </c>
      <c r="AE915" s="4">
        <v>1</v>
      </c>
      <c r="AF915" s="4">
        <v>0</v>
      </c>
      <c r="AG915" s="4">
        <v>11</v>
      </c>
      <c r="AH915" s="4">
        <v>6</v>
      </c>
      <c r="AI915" s="4">
        <v>14</v>
      </c>
      <c r="AJ915" s="4">
        <v>43</v>
      </c>
      <c r="AK915" s="4">
        <v>31</v>
      </c>
      <c r="AL915" s="4">
        <v>1</v>
      </c>
      <c r="AM915" s="4">
        <v>19</v>
      </c>
      <c r="AN915" s="4">
        <v>11</v>
      </c>
      <c r="AO915" s="4">
        <v>28</v>
      </c>
      <c r="AP915" s="4">
        <v>4</v>
      </c>
      <c r="AQ915" s="4">
        <v>5</v>
      </c>
      <c r="AR915" s="4">
        <v>0</v>
      </c>
      <c r="AS915" s="4">
        <v>7</v>
      </c>
      <c r="AT915" s="4">
        <v>16</v>
      </c>
      <c r="AU915" s="4">
        <v>21</v>
      </c>
      <c r="AV915" s="4">
        <v>8</v>
      </c>
      <c r="AW915" s="4">
        <v>12</v>
      </c>
      <c r="AX915" s="4">
        <v>24</v>
      </c>
      <c r="AY915" s="4">
        <v>1</v>
      </c>
      <c r="AZ915" s="4">
        <v>3</v>
      </c>
      <c r="BA915" s="4">
        <v>0</v>
      </c>
      <c r="BB915" s="4">
        <v>35</v>
      </c>
      <c r="BC915" s="4">
        <v>4</v>
      </c>
      <c r="BD915" s="4">
        <v>0</v>
      </c>
      <c r="BE915" s="4">
        <v>7</v>
      </c>
      <c r="BF915" s="4">
        <v>23</v>
      </c>
      <c r="BG915" s="4">
        <v>3</v>
      </c>
      <c r="BH915" s="4">
        <v>1</v>
      </c>
      <c r="BI915" s="4">
        <v>0</v>
      </c>
      <c r="BJ915" s="4">
        <v>29</v>
      </c>
      <c r="BK915" s="4">
        <v>57</v>
      </c>
      <c r="BL915" s="4">
        <v>0</v>
      </c>
      <c r="BM915" s="4">
        <v>3</v>
      </c>
      <c r="BN915" s="4">
        <v>5</v>
      </c>
      <c r="BO915" s="4">
        <v>0</v>
      </c>
      <c r="BP915" s="4">
        <v>3</v>
      </c>
      <c r="BQ915" s="4">
        <v>11</v>
      </c>
      <c r="BR915" s="4">
        <v>0</v>
      </c>
      <c r="BS915" s="4">
        <v>34</v>
      </c>
      <c r="BT915" s="4">
        <v>248</v>
      </c>
      <c r="BU915" s="4">
        <v>2</v>
      </c>
      <c r="BV915" s="4">
        <v>11</v>
      </c>
      <c r="BW915" s="4">
        <v>0</v>
      </c>
      <c r="BX915" s="4">
        <v>159</v>
      </c>
      <c r="BY915" s="4">
        <v>0</v>
      </c>
      <c r="BZ915" s="4">
        <v>0</v>
      </c>
      <c r="CA915" s="4">
        <v>6</v>
      </c>
      <c r="CB915" s="4">
        <v>2</v>
      </c>
      <c r="CC915" s="4">
        <v>0</v>
      </c>
      <c r="CD915" s="4">
        <v>0</v>
      </c>
      <c r="CE915" s="4">
        <v>0</v>
      </c>
      <c r="CF915" s="4">
        <v>1</v>
      </c>
      <c r="CG915" s="4">
        <v>0</v>
      </c>
      <c r="CH915" s="4">
        <v>0</v>
      </c>
      <c r="CI915" s="4">
        <v>1</v>
      </c>
      <c r="CJ915" s="4">
        <v>2</v>
      </c>
      <c r="CK915" s="4">
        <v>0</v>
      </c>
      <c r="CL915" s="4">
        <v>0</v>
      </c>
      <c r="CM915" s="4">
        <v>6</v>
      </c>
      <c r="CN915" s="4">
        <v>35</v>
      </c>
      <c r="CO915" s="4">
        <v>6</v>
      </c>
      <c r="CP915" s="4">
        <v>1</v>
      </c>
      <c r="CQ915" s="4">
        <v>0</v>
      </c>
      <c r="CR915" s="4">
        <v>2</v>
      </c>
      <c r="CS915" s="4">
        <v>8</v>
      </c>
      <c r="CT915" s="4">
        <v>5</v>
      </c>
      <c r="CU915" s="4">
        <v>2</v>
      </c>
      <c r="CV915" s="4">
        <v>13</v>
      </c>
      <c r="CW915" s="4">
        <v>7</v>
      </c>
      <c r="CX915" s="5">
        <v>7</v>
      </c>
    </row>
    <row r="916" spans="1:102" ht="15.75" x14ac:dyDescent="0.25">
      <c r="A916" s="4" t="s">
        <v>511</v>
      </c>
      <c r="B916" s="4" t="s">
        <v>512</v>
      </c>
      <c r="C916" s="4">
        <v>2021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5">
        <v>0</v>
      </c>
    </row>
    <row r="917" spans="1:102" ht="15.75" x14ac:dyDescent="0.25">
      <c r="A917" s="4" t="s">
        <v>513</v>
      </c>
      <c r="B917" s="4" t="s">
        <v>514</v>
      </c>
      <c r="C917" s="4">
        <v>2021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5">
        <v>0</v>
      </c>
    </row>
    <row r="918" spans="1:102" ht="15.75" x14ac:dyDescent="0.25">
      <c r="A918" s="4" t="s">
        <v>515</v>
      </c>
      <c r="B918" s="4" t="s">
        <v>516</v>
      </c>
      <c r="C918" s="4">
        <v>2021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5">
        <v>0</v>
      </c>
    </row>
    <row r="919" spans="1:102" ht="15.75" x14ac:dyDescent="0.25">
      <c r="A919" s="4" t="s">
        <v>517</v>
      </c>
      <c r="B919" s="4" t="s">
        <v>518</v>
      </c>
      <c r="C919" s="4">
        <v>2021</v>
      </c>
      <c r="D919" s="4">
        <v>11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3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3</v>
      </c>
      <c r="BC919" s="4">
        <v>1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1</v>
      </c>
      <c r="BK919" s="4">
        <v>1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5">
        <v>0</v>
      </c>
    </row>
    <row r="920" spans="1:102" ht="15.75" x14ac:dyDescent="0.25">
      <c r="A920" s="4" t="s">
        <v>519</v>
      </c>
      <c r="B920" s="4" t="s">
        <v>520</v>
      </c>
      <c r="C920" s="4">
        <v>2021</v>
      </c>
      <c r="D920" s="4">
        <v>211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7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1</v>
      </c>
      <c r="V920" s="4">
        <v>2</v>
      </c>
      <c r="W920" s="4">
        <v>0</v>
      </c>
      <c r="X920" s="4">
        <v>0</v>
      </c>
      <c r="Y920" s="4">
        <v>0</v>
      </c>
      <c r="Z920" s="4">
        <v>0</v>
      </c>
      <c r="AA920" s="4">
        <v>58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1</v>
      </c>
      <c r="AH920" s="4">
        <v>0</v>
      </c>
      <c r="AI920" s="4">
        <v>4</v>
      </c>
      <c r="AJ920" s="4">
        <v>15</v>
      </c>
      <c r="AK920" s="4">
        <v>4</v>
      </c>
      <c r="AL920" s="4">
        <v>0</v>
      </c>
      <c r="AM920" s="4">
        <v>1</v>
      </c>
      <c r="AN920" s="4">
        <v>1</v>
      </c>
      <c r="AO920" s="4">
        <v>4</v>
      </c>
      <c r="AP920" s="4">
        <v>0</v>
      </c>
      <c r="AQ920" s="4">
        <v>1</v>
      </c>
      <c r="AR920" s="4">
        <v>0</v>
      </c>
      <c r="AS920" s="4">
        <v>1</v>
      </c>
      <c r="AT920" s="4">
        <v>18</v>
      </c>
      <c r="AU920" s="4">
        <v>0</v>
      </c>
      <c r="AV920" s="4">
        <v>1</v>
      </c>
      <c r="AW920" s="4">
        <v>7</v>
      </c>
      <c r="AX920" s="4">
        <v>4</v>
      </c>
      <c r="AY920" s="4">
        <v>0</v>
      </c>
      <c r="AZ920" s="4">
        <v>0</v>
      </c>
      <c r="BA920" s="4">
        <v>0</v>
      </c>
      <c r="BB920" s="4">
        <v>6</v>
      </c>
      <c r="BC920" s="4">
        <v>0</v>
      </c>
      <c r="BD920" s="4">
        <v>0</v>
      </c>
      <c r="BE920" s="4">
        <v>1</v>
      </c>
      <c r="BF920" s="4">
        <v>13</v>
      </c>
      <c r="BG920" s="4">
        <v>0</v>
      </c>
      <c r="BH920" s="4">
        <v>0</v>
      </c>
      <c r="BI920" s="4">
        <v>0</v>
      </c>
      <c r="BJ920" s="4">
        <v>2</v>
      </c>
      <c r="BK920" s="4">
        <v>5</v>
      </c>
      <c r="BL920" s="4">
        <v>0</v>
      </c>
      <c r="BM920" s="4">
        <v>0</v>
      </c>
      <c r="BN920" s="4">
        <v>1</v>
      </c>
      <c r="BO920" s="4">
        <v>0</v>
      </c>
      <c r="BP920" s="4">
        <v>0</v>
      </c>
      <c r="BQ920" s="4">
        <v>2</v>
      </c>
      <c r="BR920" s="4">
        <v>0</v>
      </c>
      <c r="BS920" s="4">
        <v>15</v>
      </c>
      <c r="BT920" s="4">
        <v>3</v>
      </c>
      <c r="BU920" s="4">
        <v>0</v>
      </c>
      <c r="BV920" s="4">
        <v>6</v>
      </c>
      <c r="BW920" s="4">
        <v>0</v>
      </c>
      <c r="BX920" s="4">
        <v>12</v>
      </c>
      <c r="BY920" s="4">
        <v>0</v>
      </c>
      <c r="BZ920" s="4">
        <v>0</v>
      </c>
      <c r="CA920" s="4">
        <v>1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2</v>
      </c>
      <c r="CN920" s="4">
        <v>3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1</v>
      </c>
      <c r="CU920" s="4">
        <v>0</v>
      </c>
      <c r="CV920" s="4">
        <v>2</v>
      </c>
      <c r="CW920" s="4">
        <v>1</v>
      </c>
      <c r="CX920" s="5">
        <v>1</v>
      </c>
    </row>
    <row r="921" spans="1:102" ht="15.75" x14ac:dyDescent="0.25">
      <c r="A921" s="4" t="s">
        <v>521</v>
      </c>
      <c r="B921" s="4" t="s">
        <v>522</v>
      </c>
      <c r="C921" s="4">
        <v>2021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5">
        <v>0</v>
      </c>
    </row>
    <row r="922" spans="1:102" ht="15.75" x14ac:dyDescent="0.25">
      <c r="A922" s="4" t="s">
        <v>523</v>
      </c>
      <c r="B922" s="4" t="s">
        <v>524</v>
      </c>
      <c r="C922" s="4">
        <v>2021</v>
      </c>
      <c r="D922" s="4">
        <v>5118</v>
      </c>
      <c r="E922" s="4">
        <v>0</v>
      </c>
      <c r="F922" s="4">
        <v>0</v>
      </c>
      <c r="G922" s="4">
        <v>19</v>
      </c>
      <c r="H922" s="4">
        <v>0</v>
      </c>
      <c r="I922" s="4">
        <v>3</v>
      </c>
      <c r="J922" s="4">
        <v>3</v>
      </c>
      <c r="K922" s="4">
        <v>3</v>
      </c>
      <c r="L922" s="4">
        <v>8</v>
      </c>
      <c r="M922" s="4">
        <v>6</v>
      </c>
      <c r="N922" s="4">
        <v>23</v>
      </c>
      <c r="O922" s="4">
        <v>270</v>
      </c>
      <c r="P922" s="4">
        <v>5</v>
      </c>
      <c r="Q922" s="4">
        <v>0</v>
      </c>
      <c r="R922" s="4">
        <v>16</v>
      </c>
      <c r="S922" s="4">
        <v>0</v>
      </c>
      <c r="T922" s="4">
        <v>88</v>
      </c>
      <c r="U922" s="4">
        <v>4</v>
      </c>
      <c r="V922" s="4">
        <v>25</v>
      </c>
      <c r="W922" s="4">
        <v>819</v>
      </c>
      <c r="X922" s="4">
        <v>1</v>
      </c>
      <c r="Y922" s="4">
        <v>9</v>
      </c>
      <c r="Z922" s="4">
        <v>0</v>
      </c>
      <c r="AA922" s="4">
        <v>6</v>
      </c>
      <c r="AB922" s="4">
        <v>6</v>
      </c>
      <c r="AC922" s="4">
        <v>0</v>
      </c>
      <c r="AD922" s="4">
        <v>1</v>
      </c>
      <c r="AE922" s="4">
        <v>2</v>
      </c>
      <c r="AF922" s="4">
        <v>0</v>
      </c>
      <c r="AG922" s="4">
        <v>56</v>
      </c>
      <c r="AH922" s="4">
        <v>9</v>
      </c>
      <c r="AI922" s="4">
        <v>73</v>
      </c>
      <c r="AJ922" s="4">
        <v>211</v>
      </c>
      <c r="AK922" s="4">
        <v>57</v>
      </c>
      <c r="AL922" s="4">
        <v>2</v>
      </c>
      <c r="AM922" s="4">
        <v>116</v>
      </c>
      <c r="AN922" s="4">
        <v>36</v>
      </c>
      <c r="AO922" s="4">
        <v>72</v>
      </c>
      <c r="AP922" s="4">
        <v>2</v>
      </c>
      <c r="AQ922" s="4">
        <v>24</v>
      </c>
      <c r="AR922" s="4">
        <v>0</v>
      </c>
      <c r="AS922" s="4">
        <v>31</v>
      </c>
      <c r="AT922" s="4">
        <v>26</v>
      </c>
      <c r="AU922" s="4">
        <v>32</v>
      </c>
      <c r="AV922" s="4">
        <v>115</v>
      </c>
      <c r="AW922" s="4">
        <v>50</v>
      </c>
      <c r="AX922" s="4">
        <v>66</v>
      </c>
      <c r="AY922" s="4">
        <v>1</v>
      </c>
      <c r="AZ922" s="4">
        <v>22</v>
      </c>
      <c r="BA922" s="4">
        <v>0</v>
      </c>
      <c r="BB922" s="4">
        <v>1399</v>
      </c>
      <c r="BC922" s="4">
        <v>104</v>
      </c>
      <c r="BD922" s="4">
        <v>0</v>
      </c>
      <c r="BE922" s="4">
        <v>26</v>
      </c>
      <c r="BF922" s="4">
        <v>110</v>
      </c>
      <c r="BG922" s="4">
        <v>7</v>
      </c>
      <c r="BH922" s="4">
        <v>15</v>
      </c>
      <c r="BI922" s="4">
        <v>0</v>
      </c>
      <c r="BJ922" s="4">
        <v>72</v>
      </c>
      <c r="BK922" s="4">
        <v>114</v>
      </c>
      <c r="BL922" s="4">
        <v>0</v>
      </c>
      <c r="BM922" s="4">
        <v>3</v>
      </c>
      <c r="BN922" s="4">
        <v>26</v>
      </c>
      <c r="BO922" s="4">
        <v>0</v>
      </c>
      <c r="BP922" s="4">
        <v>4</v>
      </c>
      <c r="BQ922" s="4">
        <v>43</v>
      </c>
      <c r="BR922" s="4">
        <v>4</v>
      </c>
      <c r="BS922" s="4">
        <v>71</v>
      </c>
      <c r="BT922" s="4">
        <v>65</v>
      </c>
      <c r="BU922" s="4">
        <v>2</v>
      </c>
      <c r="BV922" s="4">
        <v>108</v>
      </c>
      <c r="BW922" s="4">
        <v>18</v>
      </c>
      <c r="BX922" s="4">
        <v>250</v>
      </c>
      <c r="BY922" s="4">
        <v>0</v>
      </c>
      <c r="BZ922" s="4">
        <v>0</v>
      </c>
      <c r="CA922" s="4">
        <v>60</v>
      </c>
      <c r="CB922" s="4">
        <v>32</v>
      </c>
      <c r="CC922" s="4">
        <v>0</v>
      </c>
      <c r="CD922" s="4">
        <v>3</v>
      </c>
      <c r="CE922" s="4">
        <v>2</v>
      </c>
      <c r="CF922" s="4">
        <v>2</v>
      </c>
      <c r="CG922" s="4">
        <v>5</v>
      </c>
      <c r="CH922" s="4">
        <v>1</v>
      </c>
      <c r="CI922" s="4">
        <v>1</v>
      </c>
      <c r="CJ922" s="4">
        <v>11</v>
      </c>
      <c r="CK922" s="4">
        <v>1</v>
      </c>
      <c r="CL922" s="4">
        <v>0</v>
      </c>
      <c r="CM922" s="4">
        <v>17</v>
      </c>
      <c r="CN922" s="4">
        <v>94</v>
      </c>
      <c r="CO922" s="4">
        <v>4</v>
      </c>
      <c r="CP922" s="4">
        <v>4</v>
      </c>
      <c r="CQ922" s="4">
        <v>0</v>
      </c>
      <c r="CR922" s="4">
        <v>2</v>
      </c>
      <c r="CS922" s="4">
        <v>1</v>
      </c>
      <c r="CT922" s="4">
        <v>42</v>
      </c>
      <c r="CU922" s="4">
        <v>22</v>
      </c>
      <c r="CV922" s="4">
        <v>39</v>
      </c>
      <c r="CW922" s="4">
        <v>14</v>
      </c>
      <c r="CX922" s="5">
        <v>14</v>
      </c>
    </row>
    <row r="923" spans="1:102" ht="15.75" x14ac:dyDescent="0.25">
      <c r="A923" s="4" t="s">
        <v>525</v>
      </c>
      <c r="B923" s="4" t="s">
        <v>526</v>
      </c>
      <c r="C923" s="4">
        <v>2021</v>
      </c>
      <c r="D923" s="4">
        <v>116</v>
      </c>
      <c r="E923" s="4">
        <v>0</v>
      </c>
      <c r="F923" s="4">
        <v>3</v>
      </c>
      <c r="G923" s="4">
        <v>2</v>
      </c>
      <c r="H923" s="4">
        <v>0</v>
      </c>
      <c r="I923" s="4">
        <v>5</v>
      </c>
      <c r="J923" s="4">
        <v>1</v>
      </c>
      <c r="K923" s="4">
        <v>0</v>
      </c>
      <c r="L923" s="4">
        <v>3</v>
      </c>
      <c r="M923" s="4">
        <v>0</v>
      </c>
      <c r="N923" s="4">
        <v>1</v>
      </c>
      <c r="O923" s="4">
        <v>4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1</v>
      </c>
      <c r="AI923" s="4">
        <v>4</v>
      </c>
      <c r="AJ923" s="4">
        <v>3</v>
      </c>
      <c r="AK923" s="4">
        <v>5</v>
      </c>
      <c r="AL923" s="4">
        <v>0</v>
      </c>
      <c r="AM923" s="4">
        <v>1</v>
      </c>
      <c r="AN923" s="4">
        <v>0</v>
      </c>
      <c r="AO923" s="4">
        <v>9</v>
      </c>
      <c r="AP923" s="4">
        <v>0</v>
      </c>
      <c r="AQ923" s="4">
        <v>2</v>
      </c>
      <c r="AR923" s="4">
        <v>0</v>
      </c>
      <c r="AS923" s="4">
        <v>0</v>
      </c>
      <c r="AT923" s="4">
        <v>1</v>
      </c>
      <c r="AU923" s="4">
        <v>1</v>
      </c>
      <c r="AV923" s="4">
        <v>2</v>
      </c>
      <c r="AW923" s="4">
        <v>0</v>
      </c>
      <c r="AX923" s="4">
        <v>5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2</v>
      </c>
      <c r="BF923" s="4">
        <v>5</v>
      </c>
      <c r="BG923" s="4">
        <v>0</v>
      </c>
      <c r="BH923" s="4">
        <v>0</v>
      </c>
      <c r="BI923" s="4">
        <v>0</v>
      </c>
      <c r="BJ923" s="4">
        <v>9</v>
      </c>
      <c r="BK923" s="4">
        <v>3</v>
      </c>
      <c r="BL923" s="4">
        <v>0</v>
      </c>
      <c r="BM923" s="4">
        <v>0</v>
      </c>
      <c r="BN923" s="4">
        <v>1</v>
      </c>
      <c r="BO923" s="4">
        <v>0</v>
      </c>
      <c r="BP923" s="4">
        <v>0</v>
      </c>
      <c r="BQ923" s="4">
        <v>1</v>
      </c>
      <c r="BR923" s="4">
        <v>0</v>
      </c>
      <c r="BS923" s="4">
        <v>6</v>
      </c>
      <c r="BT923" s="4">
        <v>1</v>
      </c>
      <c r="BU923" s="4">
        <v>0</v>
      </c>
      <c r="BV923" s="4">
        <v>2</v>
      </c>
      <c r="BW923" s="4">
        <v>3</v>
      </c>
      <c r="BX923" s="4">
        <v>7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1</v>
      </c>
      <c r="CN923" s="4">
        <v>3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12</v>
      </c>
      <c r="CU923" s="4">
        <v>0</v>
      </c>
      <c r="CV923" s="4">
        <v>4</v>
      </c>
      <c r="CW923" s="4">
        <v>1</v>
      </c>
      <c r="CX923" s="5">
        <v>1</v>
      </c>
    </row>
    <row r="924" spans="1:102" ht="15.75" x14ac:dyDescent="0.25">
      <c r="A924" s="4" t="s">
        <v>527</v>
      </c>
      <c r="B924" s="4" t="s">
        <v>528</v>
      </c>
      <c r="C924" s="4">
        <v>2021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5">
        <v>0</v>
      </c>
    </row>
    <row r="925" spans="1:102" ht="15.75" x14ac:dyDescent="0.25">
      <c r="A925" s="4" t="s">
        <v>529</v>
      </c>
      <c r="B925" s="4" t="s">
        <v>530</v>
      </c>
      <c r="C925" s="4">
        <v>2021</v>
      </c>
      <c r="D925" s="4">
        <v>1494</v>
      </c>
      <c r="E925" s="4">
        <v>0</v>
      </c>
      <c r="F925" s="4">
        <v>1</v>
      </c>
      <c r="G925" s="4">
        <v>3</v>
      </c>
      <c r="H925" s="4">
        <v>15</v>
      </c>
      <c r="I925" s="4">
        <v>5</v>
      </c>
      <c r="J925" s="4">
        <v>1</v>
      </c>
      <c r="K925" s="4">
        <v>1</v>
      </c>
      <c r="L925" s="4">
        <v>5</v>
      </c>
      <c r="M925" s="4">
        <v>5</v>
      </c>
      <c r="N925" s="4">
        <v>3</v>
      </c>
      <c r="O925" s="4">
        <v>272</v>
      </c>
      <c r="P925" s="4">
        <v>0</v>
      </c>
      <c r="Q925" s="4">
        <v>0</v>
      </c>
      <c r="R925" s="4">
        <v>2</v>
      </c>
      <c r="S925" s="4">
        <v>0</v>
      </c>
      <c r="T925" s="4">
        <v>5</v>
      </c>
      <c r="U925" s="4">
        <v>2</v>
      </c>
      <c r="V925" s="4">
        <v>1</v>
      </c>
      <c r="W925" s="4">
        <v>32</v>
      </c>
      <c r="X925" s="4">
        <v>2</v>
      </c>
      <c r="Y925" s="4">
        <v>0</v>
      </c>
      <c r="Z925" s="4">
        <v>0</v>
      </c>
      <c r="AA925" s="4">
        <v>4</v>
      </c>
      <c r="AB925" s="4">
        <v>0</v>
      </c>
      <c r="AC925" s="4">
        <v>0</v>
      </c>
      <c r="AD925" s="4">
        <v>0</v>
      </c>
      <c r="AE925" s="4">
        <v>3</v>
      </c>
      <c r="AF925" s="4">
        <v>0</v>
      </c>
      <c r="AG925" s="4">
        <v>8</v>
      </c>
      <c r="AH925" s="4">
        <v>5</v>
      </c>
      <c r="AI925" s="4">
        <v>16</v>
      </c>
      <c r="AJ925" s="4">
        <v>106</v>
      </c>
      <c r="AK925" s="4">
        <v>25</v>
      </c>
      <c r="AL925" s="4">
        <v>0</v>
      </c>
      <c r="AM925" s="4">
        <v>19</v>
      </c>
      <c r="AN925" s="4">
        <v>12</v>
      </c>
      <c r="AO925" s="4">
        <v>92</v>
      </c>
      <c r="AP925" s="4">
        <v>0</v>
      </c>
      <c r="AQ925" s="4">
        <v>4</v>
      </c>
      <c r="AR925" s="4">
        <v>1</v>
      </c>
      <c r="AS925" s="4">
        <v>8</v>
      </c>
      <c r="AT925" s="4">
        <v>7</v>
      </c>
      <c r="AU925" s="4">
        <v>10</v>
      </c>
      <c r="AV925" s="4">
        <v>47</v>
      </c>
      <c r="AW925" s="4">
        <v>62</v>
      </c>
      <c r="AX925" s="4">
        <v>26</v>
      </c>
      <c r="AY925" s="4">
        <v>1</v>
      </c>
      <c r="AZ925" s="4">
        <v>10</v>
      </c>
      <c r="BA925" s="4">
        <v>0</v>
      </c>
      <c r="BB925" s="4">
        <v>16</v>
      </c>
      <c r="BC925" s="4">
        <v>6</v>
      </c>
      <c r="BD925" s="4">
        <v>0</v>
      </c>
      <c r="BE925" s="4">
        <v>6</v>
      </c>
      <c r="BF925" s="4">
        <v>34</v>
      </c>
      <c r="BG925" s="4">
        <v>2</v>
      </c>
      <c r="BH925" s="4">
        <v>3</v>
      </c>
      <c r="BI925" s="4">
        <v>0</v>
      </c>
      <c r="BJ925" s="4">
        <v>31</v>
      </c>
      <c r="BK925" s="4">
        <v>35</v>
      </c>
      <c r="BL925" s="4">
        <v>0</v>
      </c>
      <c r="BM925" s="4">
        <v>3</v>
      </c>
      <c r="BN925" s="4">
        <v>16</v>
      </c>
      <c r="BO925" s="4">
        <v>0</v>
      </c>
      <c r="BP925" s="4">
        <v>2</v>
      </c>
      <c r="BQ925" s="4">
        <v>32</v>
      </c>
      <c r="BR925" s="4">
        <v>1</v>
      </c>
      <c r="BS925" s="4">
        <v>45</v>
      </c>
      <c r="BT925" s="4">
        <v>30</v>
      </c>
      <c r="BU925" s="4">
        <v>1</v>
      </c>
      <c r="BV925" s="4">
        <v>11</v>
      </c>
      <c r="BW925" s="4">
        <v>20</v>
      </c>
      <c r="BX925" s="4">
        <v>140</v>
      </c>
      <c r="BY925" s="4">
        <v>1</v>
      </c>
      <c r="BZ925" s="4">
        <v>0</v>
      </c>
      <c r="CA925" s="4">
        <v>14</v>
      </c>
      <c r="CB925" s="4">
        <v>10</v>
      </c>
      <c r="CC925" s="4">
        <v>0</v>
      </c>
      <c r="CD925" s="4">
        <v>1</v>
      </c>
      <c r="CE925" s="4">
        <v>0</v>
      </c>
      <c r="CF925" s="4">
        <v>2</v>
      </c>
      <c r="CG925" s="4">
        <v>1</v>
      </c>
      <c r="CH925" s="4">
        <v>1</v>
      </c>
      <c r="CI925" s="4">
        <v>7</v>
      </c>
      <c r="CJ925" s="4">
        <v>25</v>
      </c>
      <c r="CK925" s="4">
        <v>5</v>
      </c>
      <c r="CL925" s="4">
        <v>0</v>
      </c>
      <c r="CM925" s="4">
        <v>8</v>
      </c>
      <c r="CN925" s="4">
        <v>65</v>
      </c>
      <c r="CO925" s="4">
        <v>7</v>
      </c>
      <c r="CP925" s="4">
        <v>8</v>
      </c>
      <c r="CQ925" s="4">
        <v>0</v>
      </c>
      <c r="CR925" s="4">
        <v>27</v>
      </c>
      <c r="CS925" s="4">
        <v>15</v>
      </c>
      <c r="CT925" s="4">
        <v>3</v>
      </c>
      <c r="CU925" s="4">
        <v>18</v>
      </c>
      <c r="CV925" s="4">
        <v>19</v>
      </c>
      <c r="CW925" s="4">
        <v>5</v>
      </c>
      <c r="CX925" s="5">
        <v>5</v>
      </c>
    </row>
    <row r="926" spans="1:102" ht="15.75" x14ac:dyDescent="0.25">
      <c r="A926" s="4" t="s">
        <v>531</v>
      </c>
      <c r="B926" s="4" t="s">
        <v>532</v>
      </c>
      <c r="C926" s="4">
        <v>2021</v>
      </c>
      <c r="D926" s="4">
        <v>97</v>
      </c>
      <c r="E926" s="4">
        <v>1</v>
      </c>
      <c r="F926" s="4">
        <v>0</v>
      </c>
      <c r="G926" s="4">
        <v>0</v>
      </c>
      <c r="H926" s="4">
        <v>0</v>
      </c>
      <c r="I926" s="4">
        <v>1</v>
      </c>
      <c r="J926" s="4">
        <v>0</v>
      </c>
      <c r="K926" s="4">
        <v>0</v>
      </c>
      <c r="L926" s="4">
        <v>0</v>
      </c>
      <c r="M926" s="4">
        <v>0</v>
      </c>
      <c r="N926" s="4">
        <v>2</v>
      </c>
      <c r="O926" s="4">
        <v>2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1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2</v>
      </c>
      <c r="AJ926" s="4">
        <v>1</v>
      </c>
      <c r="AK926" s="4">
        <v>2</v>
      </c>
      <c r="AL926" s="4">
        <v>0</v>
      </c>
      <c r="AM926" s="4">
        <v>0</v>
      </c>
      <c r="AN926" s="4">
        <v>0</v>
      </c>
      <c r="AO926" s="4">
        <v>2</v>
      </c>
      <c r="AP926" s="4">
        <v>0</v>
      </c>
      <c r="AQ926" s="4">
        <v>1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2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2</v>
      </c>
      <c r="BF926" s="4">
        <v>4</v>
      </c>
      <c r="BG926" s="4">
        <v>0</v>
      </c>
      <c r="BH926" s="4">
        <v>0</v>
      </c>
      <c r="BI926" s="4">
        <v>0</v>
      </c>
      <c r="BJ926" s="4">
        <v>2</v>
      </c>
      <c r="BK926" s="4">
        <v>4</v>
      </c>
      <c r="BL926" s="4">
        <v>0</v>
      </c>
      <c r="BM926" s="4">
        <v>0</v>
      </c>
      <c r="BN926" s="4">
        <v>2</v>
      </c>
      <c r="BO926" s="4">
        <v>0</v>
      </c>
      <c r="BP926" s="4">
        <v>0</v>
      </c>
      <c r="BQ926" s="4">
        <v>2</v>
      </c>
      <c r="BR926" s="4">
        <v>5</v>
      </c>
      <c r="BS926" s="4">
        <v>3</v>
      </c>
      <c r="BT926" s="4">
        <v>1</v>
      </c>
      <c r="BU926" s="4">
        <v>0</v>
      </c>
      <c r="BV926" s="4">
        <v>2</v>
      </c>
      <c r="BW926" s="4">
        <v>34</v>
      </c>
      <c r="BX926" s="4">
        <v>7</v>
      </c>
      <c r="BY926" s="4">
        <v>0</v>
      </c>
      <c r="BZ926" s="4">
        <v>0</v>
      </c>
      <c r="CA926" s="4">
        <v>1</v>
      </c>
      <c r="CB926" s="4">
        <v>0</v>
      </c>
      <c r="CC926" s="4">
        <v>0</v>
      </c>
      <c r="CD926" s="4">
        <v>0</v>
      </c>
      <c r="CE926" s="4">
        <v>0</v>
      </c>
      <c r="CF926" s="4">
        <v>1</v>
      </c>
      <c r="CG926" s="4">
        <v>0</v>
      </c>
      <c r="CH926" s="4">
        <v>1</v>
      </c>
      <c r="CI926" s="4">
        <v>0</v>
      </c>
      <c r="CJ926" s="4">
        <v>4</v>
      </c>
      <c r="CK926" s="4">
        <v>0</v>
      </c>
      <c r="CL926" s="4">
        <v>0</v>
      </c>
      <c r="CM926" s="4">
        <v>0</v>
      </c>
      <c r="CN926" s="4">
        <v>2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4">
        <v>2</v>
      </c>
      <c r="CW926" s="4">
        <v>0</v>
      </c>
      <c r="CX926" s="5">
        <v>0</v>
      </c>
    </row>
    <row r="927" spans="1:102" ht="15.75" x14ac:dyDescent="0.25">
      <c r="A927" s="4" t="s">
        <v>533</v>
      </c>
      <c r="B927" s="4" t="s">
        <v>534</v>
      </c>
      <c r="C927" s="4">
        <v>2021</v>
      </c>
      <c r="D927" s="4">
        <v>835</v>
      </c>
      <c r="E927" s="4">
        <v>0</v>
      </c>
      <c r="F927" s="4">
        <v>0</v>
      </c>
      <c r="G927" s="4">
        <v>1</v>
      </c>
      <c r="H927" s="4">
        <v>13</v>
      </c>
      <c r="I927" s="4">
        <v>2</v>
      </c>
      <c r="J927" s="4">
        <v>0</v>
      </c>
      <c r="K927" s="4">
        <v>0</v>
      </c>
      <c r="L927" s="4">
        <v>8</v>
      </c>
      <c r="M927" s="4">
        <v>2</v>
      </c>
      <c r="N927" s="4">
        <v>6</v>
      </c>
      <c r="O927" s="4">
        <v>146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47</v>
      </c>
      <c r="V927" s="4">
        <v>1</v>
      </c>
      <c r="W927" s="4">
        <v>1</v>
      </c>
      <c r="X927" s="4">
        <v>0</v>
      </c>
      <c r="Y927" s="4">
        <v>0</v>
      </c>
      <c r="Z927" s="4">
        <v>0</v>
      </c>
      <c r="AA927" s="4">
        <v>2</v>
      </c>
      <c r="AB927" s="4">
        <v>1</v>
      </c>
      <c r="AC927" s="4">
        <v>0</v>
      </c>
      <c r="AD927" s="4">
        <v>0</v>
      </c>
      <c r="AE927" s="4">
        <v>0</v>
      </c>
      <c r="AF927" s="4">
        <v>0</v>
      </c>
      <c r="AG927" s="4">
        <v>5</v>
      </c>
      <c r="AH927" s="4">
        <v>0</v>
      </c>
      <c r="AI927" s="4">
        <v>9</v>
      </c>
      <c r="AJ927" s="4">
        <v>85</v>
      </c>
      <c r="AK927" s="4">
        <v>15</v>
      </c>
      <c r="AL927" s="4">
        <v>2</v>
      </c>
      <c r="AM927" s="4">
        <v>5</v>
      </c>
      <c r="AN927" s="4">
        <v>8</v>
      </c>
      <c r="AO927" s="4">
        <v>60</v>
      </c>
      <c r="AP927" s="4">
        <v>0</v>
      </c>
      <c r="AQ927" s="4">
        <v>3</v>
      </c>
      <c r="AR927" s="4">
        <v>0</v>
      </c>
      <c r="AS927" s="4">
        <v>4</v>
      </c>
      <c r="AT927" s="4">
        <v>3</v>
      </c>
      <c r="AU927" s="4">
        <v>3</v>
      </c>
      <c r="AV927" s="4">
        <v>1</v>
      </c>
      <c r="AW927" s="4">
        <v>2</v>
      </c>
      <c r="AX927" s="4">
        <v>3</v>
      </c>
      <c r="AY927" s="4">
        <v>0</v>
      </c>
      <c r="AZ927" s="4">
        <v>1</v>
      </c>
      <c r="BA927" s="4">
        <v>0</v>
      </c>
      <c r="BB927" s="4">
        <v>4</v>
      </c>
      <c r="BC927" s="4">
        <v>10</v>
      </c>
      <c r="BD927" s="4">
        <v>0</v>
      </c>
      <c r="BE927" s="4">
        <v>6</v>
      </c>
      <c r="BF927" s="4">
        <v>108</v>
      </c>
      <c r="BG927" s="4">
        <v>1</v>
      </c>
      <c r="BH927" s="4">
        <v>0</v>
      </c>
      <c r="BI927" s="4">
        <v>0</v>
      </c>
      <c r="BJ927" s="4">
        <v>7</v>
      </c>
      <c r="BK927" s="4">
        <v>31</v>
      </c>
      <c r="BL927" s="4">
        <v>0</v>
      </c>
      <c r="BM927" s="4">
        <v>0</v>
      </c>
      <c r="BN927" s="4">
        <v>2</v>
      </c>
      <c r="BO927" s="4">
        <v>0</v>
      </c>
      <c r="BP927" s="4">
        <v>1</v>
      </c>
      <c r="BQ927" s="4">
        <v>5</v>
      </c>
      <c r="BR927" s="4">
        <v>0</v>
      </c>
      <c r="BS927" s="4">
        <v>12</v>
      </c>
      <c r="BT927" s="4">
        <v>11</v>
      </c>
      <c r="BU927" s="4">
        <v>0</v>
      </c>
      <c r="BV927" s="4">
        <v>7</v>
      </c>
      <c r="BW927" s="4">
        <v>10</v>
      </c>
      <c r="BX927" s="4">
        <v>120</v>
      </c>
      <c r="BY927" s="4">
        <v>0</v>
      </c>
      <c r="BZ927" s="4">
        <v>0</v>
      </c>
      <c r="CA927" s="4">
        <v>3</v>
      </c>
      <c r="CB927" s="4">
        <v>0</v>
      </c>
      <c r="CC927" s="4">
        <v>0</v>
      </c>
      <c r="CD927" s="4">
        <v>0</v>
      </c>
      <c r="CE927" s="4">
        <v>0</v>
      </c>
      <c r="CF927" s="4">
        <v>1</v>
      </c>
      <c r="CG927" s="4">
        <v>0</v>
      </c>
      <c r="CH927" s="4">
        <v>1</v>
      </c>
      <c r="CI927" s="4">
        <v>1</v>
      </c>
      <c r="CJ927" s="4">
        <v>21</v>
      </c>
      <c r="CK927" s="4">
        <v>3</v>
      </c>
      <c r="CL927" s="4">
        <v>0</v>
      </c>
      <c r="CM927" s="4">
        <v>1</v>
      </c>
      <c r="CN927" s="4">
        <v>10</v>
      </c>
      <c r="CO927" s="4">
        <v>3</v>
      </c>
      <c r="CP927" s="4">
        <v>2</v>
      </c>
      <c r="CQ927" s="4">
        <v>0</v>
      </c>
      <c r="CR927" s="4">
        <v>0</v>
      </c>
      <c r="CS927" s="4">
        <v>0</v>
      </c>
      <c r="CT927" s="4">
        <v>3</v>
      </c>
      <c r="CU927" s="4">
        <v>1</v>
      </c>
      <c r="CV927" s="4">
        <v>9</v>
      </c>
      <c r="CW927" s="4">
        <v>2</v>
      </c>
      <c r="CX927" s="5">
        <v>2</v>
      </c>
    </row>
    <row r="928" spans="1:102" ht="15.75" x14ac:dyDescent="0.25">
      <c r="A928" s="4" t="s">
        <v>535</v>
      </c>
      <c r="B928" s="4" t="s">
        <v>536</v>
      </c>
      <c r="C928" s="4">
        <v>2021</v>
      </c>
      <c r="D928" s="4">
        <v>51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1</v>
      </c>
      <c r="O928" s="4">
        <v>2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1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4</v>
      </c>
      <c r="AK928" s="4">
        <v>1</v>
      </c>
      <c r="AL928" s="4">
        <v>0</v>
      </c>
      <c r="AM928" s="4">
        <v>1</v>
      </c>
      <c r="AN928" s="4">
        <v>0</v>
      </c>
      <c r="AO928" s="4">
        <v>4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2</v>
      </c>
      <c r="AY928" s="4">
        <v>0</v>
      </c>
      <c r="AZ928" s="4">
        <v>0</v>
      </c>
      <c r="BA928" s="4">
        <v>0</v>
      </c>
      <c r="BB928" s="4">
        <v>1</v>
      </c>
      <c r="BC928" s="4">
        <v>0</v>
      </c>
      <c r="BD928" s="4">
        <v>0</v>
      </c>
      <c r="BE928" s="4">
        <v>1</v>
      </c>
      <c r="BF928" s="4">
        <v>1</v>
      </c>
      <c r="BG928" s="4">
        <v>0</v>
      </c>
      <c r="BH928" s="4">
        <v>0</v>
      </c>
      <c r="BI928" s="4">
        <v>0</v>
      </c>
      <c r="BJ928" s="4">
        <v>3</v>
      </c>
      <c r="BK928" s="4">
        <v>2</v>
      </c>
      <c r="BL928" s="4">
        <v>0</v>
      </c>
      <c r="BM928" s="4">
        <v>0</v>
      </c>
      <c r="BN928" s="4">
        <v>1</v>
      </c>
      <c r="BO928" s="4">
        <v>0</v>
      </c>
      <c r="BP928" s="4">
        <v>0</v>
      </c>
      <c r="BQ928" s="4">
        <v>1</v>
      </c>
      <c r="BR928" s="4">
        <v>0</v>
      </c>
      <c r="BS928" s="4">
        <v>2</v>
      </c>
      <c r="BT928" s="4">
        <v>1</v>
      </c>
      <c r="BU928" s="4">
        <v>0</v>
      </c>
      <c r="BV928" s="4">
        <v>0</v>
      </c>
      <c r="BW928" s="4">
        <v>4</v>
      </c>
      <c r="BX928" s="4">
        <v>3</v>
      </c>
      <c r="BY928" s="4">
        <v>0</v>
      </c>
      <c r="BZ928" s="4">
        <v>0</v>
      </c>
      <c r="CA928" s="4">
        <v>1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5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1</v>
      </c>
      <c r="CU928" s="4">
        <v>0</v>
      </c>
      <c r="CV928" s="4">
        <v>3</v>
      </c>
      <c r="CW928" s="4">
        <v>1</v>
      </c>
      <c r="CX928" s="5">
        <v>1</v>
      </c>
    </row>
    <row r="929" spans="1:102" ht="15.75" x14ac:dyDescent="0.25">
      <c r="A929" s="4" t="s">
        <v>537</v>
      </c>
      <c r="B929" s="4" t="s">
        <v>538</v>
      </c>
      <c r="C929" s="4">
        <v>2021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5">
        <v>0</v>
      </c>
    </row>
    <row r="930" spans="1:102" ht="15.75" x14ac:dyDescent="0.25">
      <c r="A930" s="4" t="s">
        <v>539</v>
      </c>
      <c r="B930" s="4" t="s">
        <v>540</v>
      </c>
      <c r="C930" s="4">
        <v>2021</v>
      </c>
      <c r="D930" s="4">
        <v>49720</v>
      </c>
      <c r="E930" s="4">
        <v>44</v>
      </c>
      <c r="F930" s="4">
        <v>42</v>
      </c>
      <c r="G930" s="4">
        <v>78</v>
      </c>
      <c r="H930" s="4">
        <v>226</v>
      </c>
      <c r="I930" s="4">
        <v>124</v>
      </c>
      <c r="J930" s="4">
        <v>23</v>
      </c>
      <c r="K930" s="4">
        <v>23</v>
      </c>
      <c r="L930" s="4">
        <v>83</v>
      </c>
      <c r="M930" s="4">
        <v>45</v>
      </c>
      <c r="N930" s="4">
        <v>110</v>
      </c>
      <c r="O930" s="4">
        <v>1474</v>
      </c>
      <c r="P930" s="4">
        <v>0</v>
      </c>
      <c r="Q930" s="4">
        <v>2</v>
      </c>
      <c r="R930" s="4">
        <v>18</v>
      </c>
      <c r="S930" s="4">
        <v>2</v>
      </c>
      <c r="T930" s="4">
        <v>0</v>
      </c>
      <c r="U930" s="4">
        <v>10</v>
      </c>
      <c r="V930" s="4">
        <v>20</v>
      </c>
      <c r="W930" s="4">
        <v>799</v>
      </c>
      <c r="X930" s="4">
        <v>19</v>
      </c>
      <c r="Y930" s="4">
        <v>0</v>
      </c>
      <c r="Z930" s="4">
        <v>1321</v>
      </c>
      <c r="AA930" s="4">
        <v>1943</v>
      </c>
      <c r="AB930" s="4">
        <v>1</v>
      </c>
      <c r="AC930" s="4">
        <v>0</v>
      </c>
      <c r="AD930" s="4">
        <v>4</v>
      </c>
      <c r="AE930" s="4">
        <v>6</v>
      </c>
      <c r="AF930" s="4">
        <v>0</v>
      </c>
      <c r="AG930" s="4">
        <v>2233</v>
      </c>
      <c r="AH930" s="4">
        <v>398</v>
      </c>
      <c r="AI930" s="4">
        <v>155</v>
      </c>
      <c r="AJ930" s="4">
        <v>4999</v>
      </c>
      <c r="AK930" s="4">
        <v>476</v>
      </c>
      <c r="AL930" s="4">
        <v>15</v>
      </c>
      <c r="AM930" s="4">
        <v>317</v>
      </c>
      <c r="AN930" s="4">
        <v>379</v>
      </c>
      <c r="AO930" s="4">
        <v>1081</v>
      </c>
      <c r="AP930" s="4">
        <v>35</v>
      </c>
      <c r="AQ930" s="4">
        <v>155</v>
      </c>
      <c r="AR930" s="4">
        <v>28</v>
      </c>
      <c r="AS930" s="4">
        <v>242</v>
      </c>
      <c r="AT930" s="4">
        <v>262</v>
      </c>
      <c r="AU930" s="4">
        <v>482</v>
      </c>
      <c r="AV930" s="4">
        <v>438</v>
      </c>
      <c r="AW930" s="4">
        <v>1714</v>
      </c>
      <c r="AX930" s="4">
        <v>720</v>
      </c>
      <c r="AY930" s="4">
        <v>34</v>
      </c>
      <c r="AZ930" s="4">
        <v>157</v>
      </c>
      <c r="BA930" s="4">
        <v>0</v>
      </c>
      <c r="BB930" s="4">
        <v>3051</v>
      </c>
      <c r="BC930" s="4">
        <v>507</v>
      </c>
      <c r="BD930" s="4">
        <v>9</v>
      </c>
      <c r="BE930" s="4">
        <v>367</v>
      </c>
      <c r="BF930" s="4">
        <v>1154</v>
      </c>
      <c r="BG930" s="4">
        <v>99</v>
      </c>
      <c r="BH930" s="4">
        <v>136</v>
      </c>
      <c r="BI930" s="4">
        <v>3</v>
      </c>
      <c r="BJ930" s="4">
        <v>1031</v>
      </c>
      <c r="BK930" s="4">
        <v>1605</v>
      </c>
      <c r="BL930" s="4">
        <v>0</v>
      </c>
      <c r="BM930" s="4">
        <v>84</v>
      </c>
      <c r="BN930" s="4">
        <v>499</v>
      </c>
      <c r="BO930" s="4">
        <v>6</v>
      </c>
      <c r="BP930" s="4">
        <v>133</v>
      </c>
      <c r="BQ930" s="4">
        <v>638</v>
      </c>
      <c r="BR930" s="4">
        <v>33</v>
      </c>
      <c r="BS930" s="4">
        <v>1385</v>
      </c>
      <c r="BT930" s="4">
        <v>735</v>
      </c>
      <c r="BU930" s="4">
        <v>22</v>
      </c>
      <c r="BV930" s="4">
        <v>490</v>
      </c>
      <c r="BW930" s="4">
        <v>374</v>
      </c>
      <c r="BX930" s="4">
        <v>6803</v>
      </c>
      <c r="BY930" s="4">
        <v>7</v>
      </c>
      <c r="BZ930" s="4">
        <v>10</v>
      </c>
      <c r="CA930" s="4">
        <v>1985</v>
      </c>
      <c r="CB930" s="4">
        <v>411</v>
      </c>
      <c r="CC930" s="4">
        <v>3</v>
      </c>
      <c r="CD930" s="4">
        <v>63</v>
      </c>
      <c r="CE930" s="4">
        <v>22</v>
      </c>
      <c r="CF930" s="4">
        <v>100</v>
      </c>
      <c r="CG930" s="4">
        <v>192</v>
      </c>
      <c r="CH930" s="4">
        <v>77</v>
      </c>
      <c r="CI930" s="4">
        <v>47</v>
      </c>
      <c r="CJ930" s="4">
        <v>603</v>
      </c>
      <c r="CK930" s="4">
        <v>55</v>
      </c>
      <c r="CL930" s="4">
        <v>0</v>
      </c>
      <c r="CM930" s="4">
        <v>266</v>
      </c>
      <c r="CN930" s="4">
        <v>2117</v>
      </c>
      <c r="CO930" s="4">
        <v>179</v>
      </c>
      <c r="CP930" s="4">
        <v>95</v>
      </c>
      <c r="CQ930" s="4">
        <v>1</v>
      </c>
      <c r="CR930" s="4">
        <v>1426</v>
      </c>
      <c r="CS930" s="4">
        <v>240</v>
      </c>
      <c r="CT930" s="4">
        <v>184</v>
      </c>
      <c r="CU930" s="4">
        <v>48</v>
      </c>
      <c r="CV930" s="4">
        <v>1434</v>
      </c>
      <c r="CW930" s="4">
        <v>253</v>
      </c>
      <c r="CX930" s="5">
        <v>253</v>
      </c>
    </row>
    <row r="931" spans="1:102" ht="15.75" x14ac:dyDescent="0.25">
      <c r="A931" s="4" t="s">
        <v>541</v>
      </c>
      <c r="B931" s="4" t="s">
        <v>542</v>
      </c>
      <c r="C931" s="4">
        <v>2021</v>
      </c>
      <c r="D931" s="4">
        <v>99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1</v>
      </c>
      <c r="M931" s="4">
        <v>0</v>
      </c>
      <c r="N931" s="4">
        <v>1</v>
      </c>
      <c r="O931" s="4">
        <v>23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1</v>
      </c>
      <c r="AH931" s="4">
        <v>0</v>
      </c>
      <c r="AI931" s="4">
        <v>1</v>
      </c>
      <c r="AJ931" s="4">
        <v>19</v>
      </c>
      <c r="AK931" s="4">
        <v>3</v>
      </c>
      <c r="AL931" s="4">
        <v>0</v>
      </c>
      <c r="AM931" s="4">
        <v>0</v>
      </c>
      <c r="AN931" s="4">
        <v>1</v>
      </c>
      <c r="AO931" s="4">
        <v>8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12</v>
      </c>
      <c r="AW931" s="4">
        <v>0</v>
      </c>
      <c r="AX931" s="4">
        <v>2</v>
      </c>
      <c r="AY931" s="4">
        <v>0</v>
      </c>
      <c r="AZ931" s="4">
        <v>0</v>
      </c>
      <c r="BA931" s="4">
        <v>0</v>
      </c>
      <c r="BB931" s="4">
        <v>4</v>
      </c>
      <c r="BC931" s="4">
        <v>0</v>
      </c>
      <c r="BD931" s="4">
        <v>0</v>
      </c>
      <c r="BE931" s="4">
        <v>1</v>
      </c>
      <c r="BF931" s="4">
        <v>4</v>
      </c>
      <c r="BG931" s="4">
        <v>0</v>
      </c>
      <c r="BH931" s="4">
        <v>0</v>
      </c>
      <c r="BI931" s="4">
        <v>0</v>
      </c>
      <c r="BJ931" s="4">
        <v>1</v>
      </c>
      <c r="BK931" s="4">
        <v>2</v>
      </c>
      <c r="BL931" s="4">
        <v>0</v>
      </c>
      <c r="BM931" s="4">
        <v>0</v>
      </c>
      <c r="BN931" s="4">
        <v>1</v>
      </c>
      <c r="BO931" s="4">
        <v>0</v>
      </c>
      <c r="BP931" s="4">
        <v>0</v>
      </c>
      <c r="BQ931" s="4">
        <v>0</v>
      </c>
      <c r="BR931" s="4">
        <v>0</v>
      </c>
      <c r="BS931" s="4">
        <v>1</v>
      </c>
      <c r="BT931" s="4">
        <v>1</v>
      </c>
      <c r="BU931" s="4">
        <v>0</v>
      </c>
      <c r="BV931" s="4">
        <v>1</v>
      </c>
      <c r="BW931" s="4">
        <v>0</v>
      </c>
      <c r="BX931" s="4">
        <v>3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2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1</v>
      </c>
      <c r="CW931" s="4">
        <v>0</v>
      </c>
      <c r="CX931" s="5">
        <v>0</v>
      </c>
    </row>
    <row r="932" spans="1:102" ht="15.75" x14ac:dyDescent="0.25">
      <c r="A932" s="4" t="s">
        <v>543</v>
      </c>
      <c r="B932" s="4" t="s">
        <v>544</v>
      </c>
      <c r="C932" s="4">
        <v>2021</v>
      </c>
      <c r="D932" s="4">
        <v>80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25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2</v>
      </c>
      <c r="AL932" s="4">
        <v>0</v>
      </c>
      <c r="AM932" s="4">
        <v>0</v>
      </c>
      <c r="AN932" s="4">
        <v>0</v>
      </c>
      <c r="AO932" s="4">
        <v>1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3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23</v>
      </c>
      <c r="BC932" s="4">
        <v>4</v>
      </c>
      <c r="BD932" s="4">
        <v>0</v>
      </c>
      <c r="BE932" s="4">
        <v>0</v>
      </c>
      <c r="BF932" s="4">
        <v>2</v>
      </c>
      <c r="BG932" s="4">
        <v>0</v>
      </c>
      <c r="BH932" s="4">
        <v>0</v>
      </c>
      <c r="BI932" s="4">
        <v>0</v>
      </c>
      <c r="BJ932" s="4">
        <v>3</v>
      </c>
      <c r="BK932" s="4">
        <v>3</v>
      </c>
      <c r="BL932" s="4">
        <v>0</v>
      </c>
      <c r="BM932" s="4">
        <v>0</v>
      </c>
      <c r="BN932" s="4">
        <v>1</v>
      </c>
      <c r="BO932" s="4">
        <v>0</v>
      </c>
      <c r="BP932" s="4">
        <v>0</v>
      </c>
      <c r="BQ932" s="4">
        <v>0</v>
      </c>
      <c r="BR932" s="4">
        <v>0</v>
      </c>
      <c r="BS932" s="4">
        <v>1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1</v>
      </c>
      <c r="BZ932" s="4">
        <v>0</v>
      </c>
      <c r="CA932" s="4">
        <v>1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1</v>
      </c>
      <c r="CK932" s="4">
        <v>0</v>
      </c>
      <c r="CL932" s="4">
        <v>0</v>
      </c>
      <c r="CM932" s="4">
        <v>0</v>
      </c>
      <c r="CN932" s="4">
        <v>1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2</v>
      </c>
      <c r="CW932" s="4">
        <v>0</v>
      </c>
      <c r="CX932" s="5">
        <v>0</v>
      </c>
    </row>
    <row r="933" spans="1:102" ht="15.75" x14ac:dyDescent="0.25">
      <c r="A933" s="4" t="s">
        <v>545</v>
      </c>
      <c r="B933" s="4" t="s">
        <v>546</v>
      </c>
      <c r="C933" s="4">
        <v>2021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5">
        <v>0</v>
      </c>
    </row>
    <row r="934" spans="1:102" ht="15.75" x14ac:dyDescent="0.25">
      <c r="A934" s="4" t="s">
        <v>547</v>
      </c>
      <c r="B934" s="4" t="s">
        <v>548</v>
      </c>
      <c r="C934" s="4">
        <v>2021</v>
      </c>
      <c r="D934" s="4">
        <v>14</v>
      </c>
      <c r="E934" s="4">
        <v>0</v>
      </c>
      <c r="F934" s="4">
        <v>3</v>
      </c>
      <c r="G934" s="4">
        <v>2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1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1</v>
      </c>
      <c r="AV934" s="4">
        <v>0</v>
      </c>
      <c r="AW934" s="4">
        <v>0</v>
      </c>
      <c r="AX934" s="4">
        <v>1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2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1</v>
      </c>
      <c r="CW934" s="4">
        <v>0</v>
      </c>
      <c r="CX934" s="5">
        <v>0</v>
      </c>
    </row>
    <row r="935" spans="1:102" ht="15.75" x14ac:dyDescent="0.25">
      <c r="A935" s="4" t="s">
        <v>549</v>
      </c>
      <c r="B935" s="4" t="s">
        <v>550</v>
      </c>
      <c r="C935" s="4">
        <v>2021</v>
      </c>
      <c r="D935" s="4">
        <v>15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11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1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1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5">
        <v>0</v>
      </c>
    </row>
    <row r="936" spans="1:102" ht="15.75" x14ac:dyDescent="0.25">
      <c r="A936" s="4" t="s">
        <v>551</v>
      </c>
      <c r="B936" s="4" t="s">
        <v>552</v>
      </c>
      <c r="C936" s="4">
        <v>2021</v>
      </c>
      <c r="D936" s="4">
        <v>7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1</v>
      </c>
      <c r="O936" s="4">
        <v>1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1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1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1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5">
        <v>0</v>
      </c>
    </row>
    <row r="937" spans="1:102" ht="15.75" x14ac:dyDescent="0.25">
      <c r="A937" s="4" t="s">
        <v>553</v>
      </c>
      <c r="B937" s="4" t="s">
        <v>554</v>
      </c>
      <c r="C937" s="4">
        <v>2021</v>
      </c>
      <c r="D937" s="4">
        <v>2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2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5">
        <v>0</v>
      </c>
    </row>
    <row r="938" spans="1:102" ht="15.75" x14ac:dyDescent="0.25">
      <c r="A938" s="4" t="s">
        <v>555</v>
      </c>
      <c r="B938" s="4" t="s">
        <v>556</v>
      </c>
      <c r="C938" s="4">
        <v>2021</v>
      </c>
      <c r="D938" s="4">
        <v>618</v>
      </c>
      <c r="E938" s="4">
        <v>3</v>
      </c>
      <c r="F938" s="4">
        <v>0</v>
      </c>
      <c r="G938" s="4">
        <v>1</v>
      </c>
      <c r="H938" s="4">
        <v>4</v>
      </c>
      <c r="I938" s="4">
        <v>2</v>
      </c>
      <c r="J938" s="4">
        <v>1</v>
      </c>
      <c r="K938" s="4">
        <v>0</v>
      </c>
      <c r="L938" s="4">
        <v>1</v>
      </c>
      <c r="M938" s="4">
        <v>17</v>
      </c>
      <c r="N938" s="4">
        <v>11</v>
      </c>
      <c r="O938" s="4">
        <v>39</v>
      </c>
      <c r="P938" s="4">
        <v>0</v>
      </c>
      <c r="Q938" s="4">
        <v>0</v>
      </c>
      <c r="R938" s="4">
        <v>0</v>
      </c>
      <c r="S938" s="4">
        <v>1</v>
      </c>
      <c r="T938" s="4">
        <v>66</v>
      </c>
      <c r="U938" s="4">
        <v>0</v>
      </c>
      <c r="V938" s="4">
        <v>2</v>
      </c>
      <c r="W938" s="4">
        <v>36</v>
      </c>
      <c r="X938" s="4">
        <v>1</v>
      </c>
      <c r="Y938" s="4">
        <v>0</v>
      </c>
      <c r="Z938" s="4">
        <v>0</v>
      </c>
      <c r="AA938" s="4">
        <v>2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4</v>
      </c>
      <c r="AH938" s="4">
        <v>1</v>
      </c>
      <c r="AI938" s="4">
        <v>12</v>
      </c>
      <c r="AJ938" s="4">
        <v>60</v>
      </c>
      <c r="AK938" s="4">
        <v>16</v>
      </c>
      <c r="AL938" s="4">
        <v>1</v>
      </c>
      <c r="AM938" s="4">
        <v>9</v>
      </c>
      <c r="AN938" s="4">
        <v>21</v>
      </c>
      <c r="AO938" s="4">
        <v>22</v>
      </c>
      <c r="AP938" s="4">
        <v>7</v>
      </c>
      <c r="AQ938" s="4">
        <v>1</v>
      </c>
      <c r="AR938" s="4">
        <v>0</v>
      </c>
      <c r="AS938" s="4">
        <v>2</v>
      </c>
      <c r="AT938" s="4">
        <v>13</v>
      </c>
      <c r="AU938" s="4">
        <v>2</v>
      </c>
      <c r="AV938" s="4">
        <v>1</v>
      </c>
      <c r="AW938" s="4">
        <v>6</v>
      </c>
      <c r="AX938" s="4">
        <v>7</v>
      </c>
      <c r="AY938" s="4">
        <v>0</v>
      </c>
      <c r="AZ938" s="4">
        <v>8</v>
      </c>
      <c r="BA938" s="4">
        <v>0</v>
      </c>
      <c r="BB938" s="4">
        <v>8</v>
      </c>
      <c r="BC938" s="4">
        <v>3</v>
      </c>
      <c r="BD938" s="4">
        <v>0</v>
      </c>
      <c r="BE938" s="4">
        <v>4</v>
      </c>
      <c r="BF938" s="4">
        <v>9</v>
      </c>
      <c r="BG938" s="4">
        <v>3</v>
      </c>
      <c r="BH938" s="4">
        <v>8</v>
      </c>
      <c r="BI938" s="4">
        <v>0</v>
      </c>
      <c r="BJ938" s="4">
        <v>7</v>
      </c>
      <c r="BK938" s="4">
        <v>10</v>
      </c>
      <c r="BL938" s="4">
        <v>0</v>
      </c>
      <c r="BM938" s="4">
        <v>4</v>
      </c>
      <c r="BN938" s="4">
        <v>2</v>
      </c>
      <c r="BO938" s="4">
        <v>0</v>
      </c>
      <c r="BP938" s="4">
        <v>1</v>
      </c>
      <c r="BQ938" s="4">
        <v>29</v>
      </c>
      <c r="BR938" s="4">
        <v>0</v>
      </c>
      <c r="BS938" s="4">
        <v>11</v>
      </c>
      <c r="BT938" s="4">
        <v>25</v>
      </c>
      <c r="BU938" s="4">
        <v>0</v>
      </c>
      <c r="BV938" s="4">
        <v>1</v>
      </c>
      <c r="BW938" s="4">
        <v>1</v>
      </c>
      <c r="BX938" s="4">
        <v>14</v>
      </c>
      <c r="BY938" s="4">
        <v>0</v>
      </c>
      <c r="BZ938" s="4">
        <v>0</v>
      </c>
      <c r="CA938" s="4">
        <v>2</v>
      </c>
      <c r="CB938" s="4">
        <v>19</v>
      </c>
      <c r="CC938" s="4">
        <v>0</v>
      </c>
      <c r="CD938" s="4">
        <v>1</v>
      </c>
      <c r="CE938" s="4">
        <v>0</v>
      </c>
      <c r="CF938" s="4">
        <v>0</v>
      </c>
      <c r="CG938" s="4">
        <v>0</v>
      </c>
      <c r="CH938" s="4">
        <v>0</v>
      </c>
      <c r="CI938" s="4">
        <v>3</v>
      </c>
      <c r="CJ938" s="4">
        <v>8</v>
      </c>
      <c r="CK938" s="4">
        <v>2</v>
      </c>
      <c r="CL938" s="4">
        <v>0</v>
      </c>
      <c r="CM938" s="4">
        <v>6</v>
      </c>
      <c r="CN938" s="4">
        <v>29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2</v>
      </c>
      <c r="CU938" s="4">
        <v>4</v>
      </c>
      <c r="CV938" s="4">
        <v>16</v>
      </c>
      <c r="CW938" s="4">
        <v>2</v>
      </c>
      <c r="CX938" s="5">
        <v>2</v>
      </c>
    </row>
    <row r="939" spans="1:102" ht="15.75" x14ac:dyDescent="0.25">
      <c r="A939" s="4" t="s">
        <v>557</v>
      </c>
      <c r="B939" s="4" t="s">
        <v>558</v>
      </c>
      <c r="C939" s="4">
        <v>2021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5">
        <v>0</v>
      </c>
    </row>
    <row r="940" spans="1:102" ht="15.75" x14ac:dyDescent="0.25">
      <c r="A940" s="4" t="s">
        <v>559</v>
      </c>
      <c r="B940" s="4" t="s">
        <v>560</v>
      </c>
      <c r="C940" s="4">
        <v>2021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5">
        <v>0</v>
      </c>
    </row>
    <row r="941" spans="1:102" ht="15.75" x14ac:dyDescent="0.25">
      <c r="A941" s="4" t="s">
        <v>561</v>
      </c>
      <c r="B941" s="4" t="s">
        <v>562</v>
      </c>
      <c r="C941" s="4">
        <v>2021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5">
        <v>0</v>
      </c>
    </row>
    <row r="942" spans="1:102" ht="15.75" x14ac:dyDescent="0.25">
      <c r="A942" s="4" t="s">
        <v>563</v>
      </c>
      <c r="B942" s="4" t="s">
        <v>564</v>
      </c>
      <c r="C942" s="4">
        <v>2021</v>
      </c>
      <c r="D942" s="4">
        <v>13</v>
      </c>
      <c r="E942" s="4">
        <v>0</v>
      </c>
      <c r="F942" s="4">
        <v>6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1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1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1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1</v>
      </c>
      <c r="CW942" s="4">
        <v>0</v>
      </c>
      <c r="CX942" s="5">
        <v>0</v>
      </c>
    </row>
    <row r="943" spans="1:102" ht="15.75" x14ac:dyDescent="0.25">
      <c r="A943" s="4" t="s">
        <v>565</v>
      </c>
      <c r="B943" s="4" t="s">
        <v>566</v>
      </c>
      <c r="C943" s="4">
        <v>2021</v>
      </c>
      <c r="D943" s="4">
        <v>45</v>
      </c>
      <c r="E943" s="4">
        <v>0</v>
      </c>
      <c r="F943" s="4">
        <v>0</v>
      </c>
      <c r="G943" s="4">
        <v>1</v>
      </c>
      <c r="H943" s="4">
        <v>0</v>
      </c>
      <c r="I943" s="4">
        <v>1</v>
      </c>
      <c r="J943" s="4">
        <v>3</v>
      </c>
      <c r="K943" s="4">
        <v>1</v>
      </c>
      <c r="L943" s="4">
        <v>0</v>
      </c>
      <c r="M943" s="4">
        <v>0</v>
      </c>
      <c r="N943" s="4">
        <v>4</v>
      </c>
      <c r="O943" s="4">
        <v>1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1</v>
      </c>
      <c r="AJ943" s="4">
        <v>1</v>
      </c>
      <c r="AK943" s="4">
        <v>0</v>
      </c>
      <c r="AL943" s="4">
        <v>0</v>
      </c>
      <c r="AM943" s="4">
        <v>0</v>
      </c>
      <c r="AN943" s="4">
        <v>0</v>
      </c>
      <c r="AO943" s="4">
        <v>1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4</v>
      </c>
      <c r="BA943" s="4">
        <v>0</v>
      </c>
      <c r="BB943" s="4">
        <v>7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2</v>
      </c>
      <c r="BK943" s="4">
        <v>2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2</v>
      </c>
      <c r="BU943" s="4">
        <v>0</v>
      </c>
      <c r="BV943" s="4">
        <v>0</v>
      </c>
      <c r="BW943" s="4">
        <v>0</v>
      </c>
      <c r="BX943" s="4">
        <v>11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1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5">
        <v>0</v>
      </c>
    </row>
    <row r="944" spans="1:102" ht="15.75" x14ac:dyDescent="0.25">
      <c r="A944" s="4" t="s">
        <v>567</v>
      </c>
      <c r="B944" s="4" t="s">
        <v>568</v>
      </c>
      <c r="C944" s="4">
        <v>2021</v>
      </c>
      <c r="D944" s="4">
        <v>1716</v>
      </c>
      <c r="E944" s="4">
        <v>9</v>
      </c>
      <c r="F944" s="4">
        <v>15</v>
      </c>
      <c r="G944" s="4">
        <v>8</v>
      </c>
      <c r="H944" s="4">
        <v>0</v>
      </c>
      <c r="I944" s="4">
        <v>20</v>
      </c>
      <c r="J944" s="4">
        <v>2</v>
      </c>
      <c r="K944" s="4">
        <v>5</v>
      </c>
      <c r="L944" s="4">
        <v>12</v>
      </c>
      <c r="M944" s="4">
        <v>18</v>
      </c>
      <c r="N944" s="4">
        <v>13</v>
      </c>
      <c r="O944" s="4">
        <v>102</v>
      </c>
      <c r="P944" s="4">
        <v>0</v>
      </c>
      <c r="Q944" s="4">
        <v>0</v>
      </c>
      <c r="R944" s="4">
        <v>6</v>
      </c>
      <c r="S944" s="4">
        <v>0</v>
      </c>
      <c r="T944" s="4">
        <v>0</v>
      </c>
      <c r="U944" s="4">
        <v>1</v>
      </c>
      <c r="V944" s="4">
        <v>4</v>
      </c>
      <c r="W944" s="4">
        <v>2</v>
      </c>
      <c r="X944" s="4">
        <v>1</v>
      </c>
      <c r="Y944" s="4">
        <v>0</v>
      </c>
      <c r="Z944" s="4">
        <v>35</v>
      </c>
      <c r="AA944" s="4">
        <v>138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16</v>
      </c>
      <c r="AH944" s="4">
        <v>8</v>
      </c>
      <c r="AI944" s="4">
        <v>18</v>
      </c>
      <c r="AJ944" s="4">
        <v>62</v>
      </c>
      <c r="AK944" s="4">
        <v>41</v>
      </c>
      <c r="AL944" s="4">
        <v>1</v>
      </c>
      <c r="AM944" s="4">
        <v>15</v>
      </c>
      <c r="AN944" s="4">
        <v>29</v>
      </c>
      <c r="AO944" s="4">
        <v>40</v>
      </c>
      <c r="AP944" s="4">
        <v>0</v>
      </c>
      <c r="AQ944" s="4">
        <v>8</v>
      </c>
      <c r="AR944" s="4">
        <v>0</v>
      </c>
      <c r="AS944" s="4">
        <v>15</v>
      </c>
      <c r="AT944" s="4">
        <v>11</v>
      </c>
      <c r="AU944" s="4">
        <v>24</v>
      </c>
      <c r="AV944" s="4">
        <v>9</v>
      </c>
      <c r="AW944" s="4">
        <v>11</v>
      </c>
      <c r="AX944" s="4">
        <v>31</v>
      </c>
      <c r="AY944" s="4">
        <v>4</v>
      </c>
      <c r="AZ944" s="4">
        <v>10</v>
      </c>
      <c r="BA944" s="4">
        <v>0</v>
      </c>
      <c r="BB944" s="4">
        <v>68</v>
      </c>
      <c r="BC944" s="4">
        <v>18</v>
      </c>
      <c r="BD944" s="4">
        <v>0</v>
      </c>
      <c r="BE944" s="4">
        <v>20</v>
      </c>
      <c r="BF944" s="4">
        <v>71</v>
      </c>
      <c r="BG944" s="4">
        <v>6</v>
      </c>
      <c r="BH944" s="4">
        <v>4</v>
      </c>
      <c r="BI944" s="4">
        <v>1</v>
      </c>
      <c r="BJ944" s="4">
        <v>59</v>
      </c>
      <c r="BK944" s="4">
        <v>43</v>
      </c>
      <c r="BL944" s="4">
        <v>0</v>
      </c>
      <c r="BM944" s="4">
        <v>4</v>
      </c>
      <c r="BN944" s="4">
        <v>38</v>
      </c>
      <c r="BO944" s="4">
        <v>0</v>
      </c>
      <c r="BP944" s="4">
        <v>6</v>
      </c>
      <c r="BQ944" s="4">
        <v>54</v>
      </c>
      <c r="BR944" s="4">
        <v>2</v>
      </c>
      <c r="BS944" s="4">
        <v>139</v>
      </c>
      <c r="BT944" s="4">
        <v>35</v>
      </c>
      <c r="BU944" s="4">
        <v>0</v>
      </c>
      <c r="BV944" s="4">
        <v>37</v>
      </c>
      <c r="BW944" s="4">
        <v>20</v>
      </c>
      <c r="BX944" s="4">
        <v>147</v>
      </c>
      <c r="BY944" s="4">
        <v>1</v>
      </c>
      <c r="BZ944" s="4">
        <v>0</v>
      </c>
      <c r="CA944" s="4">
        <v>8</v>
      </c>
      <c r="CB944" s="4">
        <v>5</v>
      </c>
      <c r="CC944" s="4">
        <v>0</v>
      </c>
      <c r="CD944" s="4">
        <v>3</v>
      </c>
      <c r="CE944" s="4">
        <v>0</v>
      </c>
      <c r="CF944" s="4">
        <v>2</v>
      </c>
      <c r="CG944" s="4">
        <v>3</v>
      </c>
      <c r="CH944" s="4">
        <v>2</v>
      </c>
      <c r="CI944" s="4">
        <v>1</v>
      </c>
      <c r="CJ944" s="4">
        <v>6</v>
      </c>
      <c r="CK944" s="4">
        <v>1</v>
      </c>
      <c r="CL944" s="4">
        <v>0</v>
      </c>
      <c r="CM944" s="4">
        <v>11</v>
      </c>
      <c r="CN944" s="4">
        <v>49</v>
      </c>
      <c r="CO944" s="4">
        <v>6</v>
      </c>
      <c r="CP944" s="4">
        <v>2</v>
      </c>
      <c r="CQ944" s="4">
        <v>0</v>
      </c>
      <c r="CR944" s="4">
        <v>2</v>
      </c>
      <c r="CS944" s="4">
        <v>1</v>
      </c>
      <c r="CT944" s="4">
        <v>18</v>
      </c>
      <c r="CU944" s="4">
        <v>2</v>
      </c>
      <c r="CV944" s="4">
        <v>65</v>
      </c>
      <c r="CW944" s="4">
        <v>9</v>
      </c>
      <c r="CX944" s="5">
        <v>9</v>
      </c>
    </row>
    <row r="945" spans="1:102" ht="15.75" x14ac:dyDescent="0.25">
      <c r="A945" s="4" t="s">
        <v>569</v>
      </c>
      <c r="B945" s="4" t="s">
        <v>570</v>
      </c>
      <c r="C945" s="4">
        <v>2021</v>
      </c>
      <c r="D945" s="4">
        <v>63</v>
      </c>
      <c r="E945" s="4">
        <v>2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1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1</v>
      </c>
      <c r="AK945" s="4">
        <v>0</v>
      </c>
      <c r="AL945" s="4">
        <v>0</v>
      </c>
      <c r="AM945" s="4">
        <v>5</v>
      </c>
      <c r="AN945" s="4">
        <v>0</v>
      </c>
      <c r="AO945" s="4">
        <v>2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1</v>
      </c>
      <c r="AY945" s="4">
        <v>0</v>
      </c>
      <c r="AZ945" s="4">
        <v>0</v>
      </c>
      <c r="BA945" s="4">
        <v>0</v>
      </c>
      <c r="BB945" s="4">
        <v>3</v>
      </c>
      <c r="BC945" s="4">
        <v>0</v>
      </c>
      <c r="BD945" s="4">
        <v>0</v>
      </c>
      <c r="BE945" s="4">
        <v>1</v>
      </c>
      <c r="BF945" s="4">
        <v>1</v>
      </c>
      <c r="BG945" s="4">
        <v>0</v>
      </c>
      <c r="BH945" s="4">
        <v>0</v>
      </c>
      <c r="BI945" s="4">
        <v>0</v>
      </c>
      <c r="BJ945" s="4">
        <v>2</v>
      </c>
      <c r="BK945" s="4">
        <v>1</v>
      </c>
      <c r="BL945" s="4">
        <v>0</v>
      </c>
      <c r="BM945" s="4">
        <v>0</v>
      </c>
      <c r="BN945" s="4">
        <v>2</v>
      </c>
      <c r="BO945" s="4">
        <v>0</v>
      </c>
      <c r="BP945" s="4">
        <v>0</v>
      </c>
      <c r="BQ945" s="4">
        <v>1</v>
      </c>
      <c r="BR945" s="4">
        <v>0</v>
      </c>
      <c r="BS945" s="4">
        <v>3</v>
      </c>
      <c r="BT945" s="4">
        <v>1</v>
      </c>
      <c r="BU945" s="4">
        <v>0</v>
      </c>
      <c r="BV945" s="4">
        <v>5</v>
      </c>
      <c r="BW945" s="4">
        <v>17</v>
      </c>
      <c r="BX945" s="4">
        <v>2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1</v>
      </c>
      <c r="CK945" s="4">
        <v>0</v>
      </c>
      <c r="CL945" s="4">
        <v>0</v>
      </c>
      <c r="CM945" s="4">
        <v>0</v>
      </c>
      <c r="CN945" s="4">
        <v>7</v>
      </c>
      <c r="CO945" s="4">
        <v>1</v>
      </c>
      <c r="CP945" s="4">
        <v>0</v>
      </c>
      <c r="CQ945" s="4">
        <v>0</v>
      </c>
      <c r="CR945" s="4">
        <v>0</v>
      </c>
      <c r="CS945" s="4">
        <v>0</v>
      </c>
      <c r="CT945" s="4">
        <v>1</v>
      </c>
      <c r="CU945" s="4">
        <v>0</v>
      </c>
      <c r="CV945" s="4">
        <v>1</v>
      </c>
      <c r="CW945" s="4">
        <v>0</v>
      </c>
      <c r="CX945" s="5">
        <v>0</v>
      </c>
    </row>
    <row r="946" spans="1:102" ht="15.75" x14ac:dyDescent="0.25">
      <c r="A946" s="4" t="s">
        <v>571</v>
      </c>
      <c r="B946" s="4" t="s">
        <v>572</v>
      </c>
      <c r="C946" s="4">
        <v>2021</v>
      </c>
      <c r="D946" s="4">
        <v>51</v>
      </c>
      <c r="E946" s="4">
        <v>1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1</v>
      </c>
      <c r="AK946" s="4">
        <v>0</v>
      </c>
      <c r="AL946" s="4">
        <v>0</v>
      </c>
      <c r="AM946" s="4">
        <v>0</v>
      </c>
      <c r="AN946" s="4">
        <v>0</v>
      </c>
      <c r="AO946" s="4">
        <v>1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1</v>
      </c>
      <c r="BF946" s="4">
        <v>2</v>
      </c>
      <c r="BG946" s="4">
        <v>0</v>
      </c>
      <c r="BH946" s="4">
        <v>0</v>
      </c>
      <c r="BI946" s="4">
        <v>0</v>
      </c>
      <c r="BJ946" s="4">
        <v>1</v>
      </c>
      <c r="BK946" s="4">
        <v>1</v>
      </c>
      <c r="BL946" s="4">
        <v>0</v>
      </c>
      <c r="BM946" s="4">
        <v>0</v>
      </c>
      <c r="BN946" s="4">
        <v>1</v>
      </c>
      <c r="BO946" s="4">
        <v>0</v>
      </c>
      <c r="BP946" s="4">
        <v>0</v>
      </c>
      <c r="BQ946" s="4">
        <v>1</v>
      </c>
      <c r="BR946" s="4">
        <v>0</v>
      </c>
      <c r="BS946" s="4">
        <v>1</v>
      </c>
      <c r="BT946" s="4">
        <v>0</v>
      </c>
      <c r="BU946" s="4">
        <v>0</v>
      </c>
      <c r="BV946" s="4">
        <v>1</v>
      </c>
      <c r="BW946" s="4">
        <v>20</v>
      </c>
      <c r="BX946" s="4">
        <v>11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1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1</v>
      </c>
      <c r="CW946" s="4">
        <v>0</v>
      </c>
      <c r="CX946" s="5">
        <v>0</v>
      </c>
    </row>
    <row r="947" spans="1:102" ht="15.75" x14ac:dyDescent="0.25">
      <c r="A947" s="4" t="s">
        <v>101</v>
      </c>
      <c r="B947" s="4" t="s">
        <v>102</v>
      </c>
      <c r="C947" s="4">
        <v>2022</v>
      </c>
      <c r="D947" s="4">
        <v>12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5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1</v>
      </c>
      <c r="BG947" s="4">
        <v>0</v>
      </c>
      <c r="BH947" s="4">
        <v>0</v>
      </c>
      <c r="BI947" s="4">
        <v>0</v>
      </c>
      <c r="BJ947" s="4">
        <v>1</v>
      </c>
      <c r="BK947" s="4">
        <v>2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5">
        <v>0</v>
      </c>
    </row>
    <row r="948" spans="1:102" ht="15.75" x14ac:dyDescent="0.25">
      <c r="A948" s="4" t="s">
        <v>103</v>
      </c>
      <c r="B948" s="4" t="s">
        <v>104</v>
      </c>
      <c r="C948" s="4">
        <v>2022</v>
      </c>
      <c r="D948" s="4">
        <v>8996</v>
      </c>
      <c r="E948" s="4">
        <v>9</v>
      </c>
      <c r="F948" s="4">
        <v>3</v>
      </c>
      <c r="G948" s="4">
        <v>28</v>
      </c>
      <c r="H948" s="4">
        <v>7</v>
      </c>
      <c r="I948" s="4">
        <v>85</v>
      </c>
      <c r="J948" s="4">
        <v>25</v>
      </c>
      <c r="K948" s="4">
        <v>11</v>
      </c>
      <c r="L948" s="4">
        <v>92</v>
      </c>
      <c r="M948" s="4">
        <v>11</v>
      </c>
      <c r="N948" s="4">
        <v>52</v>
      </c>
      <c r="O948" s="4">
        <v>293</v>
      </c>
      <c r="P948" s="4">
        <v>0</v>
      </c>
      <c r="Q948" s="4">
        <v>0</v>
      </c>
      <c r="R948" s="4">
        <v>0</v>
      </c>
      <c r="S948" s="4">
        <v>2</v>
      </c>
      <c r="T948" s="4">
        <v>0</v>
      </c>
      <c r="U948" s="4">
        <v>53</v>
      </c>
      <c r="V948" s="4">
        <v>13</v>
      </c>
      <c r="W948" s="4">
        <v>5</v>
      </c>
      <c r="X948" s="4">
        <v>5</v>
      </c>
      <c r="Y948" s="4">
        <v>0</v>
      </c>
      <c r="Z948" s="4">
        <v>0</v>
      </c>
      <c r="AA948" s="4">
        <v>53</v>
      </c>
      <c r="AB948" s="4">
        <v>0</v>
      </c>
      <c r="AC948" s="4">
        <v>0</v>
      </c>
      <c r="AD948" s="4">
        <v>0</v>
      </c>
      <c r="AE948" s="4">
        <v>1</v>
      </c>
      <c r="AF948" s="4">
        <v>0</v>
      </c>
      <c r="AG948" s="4">
        <v>22</v>
      </c>
      <c r="AH948" s="4">
        <v>5</v>
      </c>
      <c r="AI948" s="4">
        <v>41</v>
      </c>
      <c r="AJ948" s="4">
        <v>248</v>
      </c>
      <c r="AK948" s="4">
        <v>149</v>
      </c>
      <c r="AL948" s="4">
        <v>1</v>
      </c>
      <c r="AM948" s="4">
        <v>19</v>
      </c>
      <c r="AN948" s="4">
        <v>32</v>
      </c>
      <c r="AO948" s="4">
        <v>48</v>
      </c>
      <c r="AP948" s="4">
        <v>5</v>
      </c>
      <c r="AQ948" s="4">
        <v>38</v>
      </c>
      <c r="AR948" s="4">
        <v>2</v>
      </c>
      <c r="AS948" s="4">
        <v>21</v>
      </c>
      <c r="AT948" s="4">
        <v>31</v>
      </c>
      <c r="AU948" s="4">
        <v>39</v>
      </c>
      <c r="AV948" s="4">
        <v>34</v>
      </c>
      <c r="AW948" s="4">
        <v>38</v>
      </c>
      <c r="AX948" s="4">
        <v>102</v>
      </c>
      <c r="AY948" s="4">
        <v>4</v>
      </c>
      <c r="AZ948" s="4">
        <v>48</v>
      </c>
      <c r="BA948" s="4">
        <v>0</v>
      </c>
      <c r="BB948" s="4">
        <v>1270</v>
      </c>
      <c r="BC948" s="4">
        <v>102</v>
      </c>
      <c r="BD948" s="4">
        <v>1</v>
      </c>
      <c r="BE948" s="4">
        <v>36</v>
      </c>
      <c r="BF948" s="4">
        <v>39</v>
      </c>
      <c r="BG948" s="4">
        <v>4</v>
      </c>
      <c r="BH948" s="4">
        <v>5</v>
      </c>
      <c r="BI948" s="4">
        <v>1</v>
      </c>
      <c r="BJ948" s="4">
        <v>162</v>
      </c>
      <c r="BK948" s="4">
        <v>200</v>
      </c>
      <c r="BL948" s="4">
        <v>0</v>
      </c>
      <c r="BM948" s="4">
        <v>4</v>
      </c>
      <c r="BN948" s="4">
        <v>187</v>
      </c>
      <c r="BO948" s="4">
        <v>1</v>
      </c>
      <c r="BP948" s="4">
        <v>13</v>
      </c>
      <c r="BQ948" s="4">
        <v>456</v>
      </c>
      <c r="BR948" s="4">
        <v>30</v>
      </c>
      <c r="BS948" s="4">
        <v>190</v>
      </c>
      <c r="BT948" s="4">
        <v>72</v>
      </c>
      <c r="BU948" s="4">
        <v>3</v>
      </c>
      <c r="BV948" s="4">
        <v>44</v>
      </c>
      <c r="BW948" s="4">
        <v>11</v>
      </c>
      <c r="BX948" s="4">
        <v>675</v>
      </c>
      <c r="BY948" s="4">
        <v>1</v>
      </c>
      <c r="BZ948" s="4">
        <v>0</v>
      </c>
      <c r="CA948" s="4">
        <v>115</v>
      </c>
      <c r="CB948" s="4">
        <v>81</v>
      </c>
      <c r="CC948" s="4">
        <v>1</v>
      </c>
      <c r="CD948" s="4">
        <v>22</v>
      </c>
      <c r="CE948" s="4">
        <v>0</v>
      </c>
      <c r="CF948" s="4">
        <v>21</v>
      </c>
      <c r="CG948" s="4">
        <v>22</v>
      </c>
      <c r="CH948" s="4">
        <v>10</v>
      </c>
      <c r="CI948" s="4">
        <v>13</v>
      </c>
      <c r="CJ948" s="4">
        <v>106</v>
      </c>
      <c r="CK948" s="4">
        <v>14</v>
      </c>
      <c r="CL948" s="4">
        <v>0</v>
      </c>
      <c r="CM948" s="4">
        <v>25</v>
      </c>
      <c r="CN948" s="4">
        <v>200</v>
      </c>
      <c r="CO948" s="4">
        <v>42</v>
      </c>
      <c r="CP948" s="4">
        <v>6</v>
      </c>
      <c r="CQ948" s="4">
        <v>0</v>
      </c>
      <c r="CR948" s="4">
        <v>52</v>
      </c>
      <c r="CS948" s="4">
        <v>292</v>
      </c>
      <c r="CT948" s="4">
        <v>25</v>
      </c>
      <c r="CU948" s="4">
        <v>9</v>
      </c>
      <c r="CV948" s="4">
        <v>179</v>
      </c>
      <c r="CW948" s="4">
        <v>2582</v>
      </c>
      <c r="CX948" s="5">
        <v>2540</v>
      </c>
    </row>
    <row r="949" spans="1:102" ht="15.75" x14ac:dyDescent="0.25">
      <c r="A949" s="4" t="s">
        <v>105</v>
      </c>
      <c r="B949" s="4" t="s">
        <v>106</v>
      </c>
      <c r="C949" s="4">
        <v>2022</v>
      </c>
      <c r="D949" s="4">
        <v>1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1</v>
      </c>
      <c r="AL949" s="4">
        <v>0</v>
      </c>
      <c r="AM949" s="4">
        <v>0</v>
      </c>
      <c r="AN949" s="4">
        <v>0</v>
      </c>
      <c r="AO949" s="4">
        <v>1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4">
        <v>0</v>
      </c>
      <c r="CX949" s="5">
        <v>0</v>
      </c>
    </row>
    <row r="950" spans="1:102" ht="15.75" x14ac:dyDescent="0.25">
      <c r="A950" s="4" t="s">
        <v>107</v>
      </c>
      <c r="B950" s="4" t="s">
        <v>108</v>
      </c>
      <c r="C950" s="4">
        <v>2022</v>
      </c>
      <c r="D950" s="4">
        <v>23</v>
      </c>
      <c r="E950" s="4">
        <v>0</v>
      </c>
      <c r="F950" s="4">
        <v>0</v>
      </c>
      <c r="G950" s="4">
        <v>3</v>
      </c>
      <c r="H950" s="4">
        <v>0</v>
      </c>
      <c r="I950" s="4">
        <v>0</v>
      </c>
      <c r="J950" s="4">
        <v>1</v>
      </c>
      <c r="K950" s="4">
        <v>0</v>
      </c>
      <c r="L950" s="4">
        <v>0</v>
      </c>
      <c r="M950" s="4">
        <v>0</v>
      </c>
      <c r="N950" s="4">
        <v>1</v>
      </c>
      <c r="O950" s="4">
        <v>1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2</v>
      </c>
      <c r="AK950" s="4">
        <v>1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1</v>
      </c>
      <c r="AU950" s="4">
        <v>0</v>
      </c>
      <c r="AV950" s="4">
        <v>0</v>
      </c>
      <c r="AW950" s="4">
        <v>0</v>
      </c>
      <c r="AX950" s="4">
        <v>1</v>
      </c>
      <c r="AY950" s="4">
        <v>0</v>
      </c>
      <c r="AZ950" s="4">
        <v>0</v>
      </c>
      <c r="BA950" s="4">
        <v>0</v>
      </c>
      <c r="BB950" s="4">
        <v>1</v>
      </c>
      <c r="BC950" s="4">
        <v>0</v>
      </c>
      <c r="BD950" s="4">
        <v>0</v>
      </c>
      <c r="BE950" s="4">
        <v>0</v>
      </c>
      <c r="BF950" s="4">
        <v>1</v>
      </c>
      <c r="BG950" s="4">
        <v>0</v>
      </c>
      <c r="BH950" s="4">
        <v>0</v>
      </c>
      <c r="BI950" s="4">
        <v>0</v>
      </c>
      <c r="BJ950" s="4">
        <v>1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1</v>
      </c>
      <c r="BX950" s="4">
        <v>0</v>
      </c>
      <c r="BY950" s="4">
        <v>0</v>
      </c>
      <c r="BZ950" s="4">
        <v>0</v>
      </c>
      <c r="CA950" s="4">
        <v>0</v>
      </c>
      <c r="CB950" s="4">
        <v>5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1</v>
      </c>
      <c r="CW950" s="4">
        <v>0</v>
      </c>
      <c r="CX950" s="5">
        <v>0</v>
      </c>
    </row>
    <row r="951" spans="1:102" ht="15.75" x14ac:dyDescent="0.25">
      <c r="A951" s="4" t="s">
        <v>109</v>
      </c>
      <c r="B951" s="4" t="s">
        <v>110</v>
      </c>
      <c r="C951" s="4">
        <v>2022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5">
        <v>0</v>
      </c>
    </row>
    <row r="952" spans="1:102" ht="15.75" x14ac:dyDescent="0.25">
      <c r="A952" s="4" t="s">
        <v>111</v>
      </c>
      <c r="B952" s="4" t="s">
        <v>112</v>
      </c>
      <c r="C952" s="4">
        <v>2022</v>
      </c>
      <c r="D952" s="4">
        <v>38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1</v>
      </c>
      <c r="O952" s="4">
        <v>3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1</v>
      </c>
      <c r="AJ952" s="4">
        <v>1</v>
      </c>
      <c r="AK952" s="4">
        <v>1</v>
      </c>
      <c r="AL952" s="4">
        <v>0</v>
      </c>
      <c r="AM952" s="4">
        <v>0</v>
      </c>
      <c r="AN952" s="4">
        <v>0</v>
      </c>
      <c r="AO952" s="4">
        <v>0</v>
      </c>
      <c r="AP952" s="4">
        <v>2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1</v>
      </c>
      <c r="BA952" s="4">
        <v>0</v>
      </c>
      <c r="BB952" s="4">
        <v>0</v>
      </c>
      <c r="BC952" s="4">
        <v>1</v>
      </c>
      <c r="BD952" s="4">
        <v>0</v>
      </c>
      <c r="BE952" s="4">
        <v>4</v>
      </c>
      <c r="BF952" s="4">
        <v>1</v>
      </c>
      <c r="BG952" s="4">
        <v>0</v>
      </c>
      <c r="BH952" s="4">
        <v>0</v>
      </c>
      <c r="BI952" s="4">
        <v>0</v>
      </c>
      <c r="BJ952" s="4">
        <v>1</v>
      </c>
      <c r="BK952" s="4">
        <v>0</v>
      </c>
      <c r="BL952" s="4">
        <v>0</v>
      </c>
      <c r="BM952" s="4">
        <v>0</v>
      </c>
      <c r="BN952" s="4">
        <v>1</v>
      </c>
      <c r="BO952" s="4">
        <v>0</v>
      </c>
      <c r="BP952" s="4">
        <v>0</v>
      </c>
      <c r="BQ952" s="4">
        <v>2</v>
      </c>
      <c r="BR952" s="4">
        <v>0</v>
      </c>
      <c r="BS952" s="4">
        <v>2</v>
      </c>
      <c r="BT952" s="4">
        <v>1</v>
      </c>
      <c r="BU952" s="4">
        <v>0</v>
      </c>
      <c r="BV952" s="4">
        <v>1</v>
      </c>
      <c r="BW952" s="4">
        <v>0</v>
      </c>
      <c r="BX952" s="4">
        <v>1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2</v>
      </c>
      <c r="CN952" s="4">
        <v>4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2</v>
      </c>
      <c r="CW952" s="4">
        <v>0</v>
      </c>
      <c r="CX952" s="5">
        <v>0</v>
      </c>
    </row>
    <row r="953" spans="1:102" ht="15.75" x14ac:dyDescent="0.25">
      <c r="A953" s="4" t="s">
        <v>113</v>
      </c>
      <c r="B953" s="4" t="s">
        <v>114</v>
      </c>
      <c r="C953" s="4">
        <v>2022</v>
      </c>
      <c r="D953" s="4">
        <v>43</v>
      </c>
      <c r="E953" s="4">
        <v>0</v>
      </c>
      <c r="F953" s="4">
        <v>0</v>
      </c>
      <c r="G953" s="4">
        <v>0</v>
      </c>
      <c r="H953" s="4">
        <v>2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5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1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1</v>
      </c>
      <c r="AK953" s="4">
        <v>1</v>
      </c>
      <c r="AL953" s="4">
        <v>0</v>
      </c>
      <c r="AM953" s="4">
        <v>0</v>
      </c>
      <c r="AN953" s="4">
        <v>0</v>
      </c>
      <c r="AO953" s="4">
        <v>1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9</v>
      </c>
      <c r="BG953" s="4">
        <v>0</v>
      </c>
      <c r="BH953" s="4">
        <v>0</v>
      </c>
      <c r="BI953" s="4">
        <v>0</v>
      </c>
      <c r="BJ953" s="4">
        <v>2</v>
      </c>
      <c r="BK953" s="4">
        <v>1</v>
      </c>
      <c r="BL953" s="4">
        <v>0</v>
      </c>
      <c r="BM953" s="4">
        <v>0</v>
      </c>
      <c r="BN953" s="4">
        <v>1</v>
      </c>
      <c r="BO953" s="4">
        <v>0</v>
      </c>
      <c r="BP953" s="4">
        <v>1</v>
      </c>
      <c r="BQ953" s="4">
        <v>3</v>
      </c>
      <c r="BR953" s="4">
        <v>0</v>
      </c>
      <c r="BS953" s="4">
        <v>1</v>
      </c>
      <c r="BT953" s="4">
        <v>1</v>
      </c>
      <c r="BU953" s="4">
        <v>0</v>
      </c>
      <c r="BV953" s="4">
        <v>1</v>
      </c>
      <c r="BW953" s="4">
        <v>0</v>
      </c>
      <c r="BX953" s="4">
        <v>3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1</v>
      </c>
      <c r="CK953" s="4">
        <v>0</v>
      </c>
      <c r="CL953" s="4">
        <v>0</v>
      </c>
      <c r="CM953" s="4">
        <v>0</v>
      </c>
      <c r="CN953" s="4">
        <v>2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1</v>
      </c>
      <c r="CW953" s="4">
        <v>0</v>
      </c>
      <c r="CX953" s="5">
        <v>0</v>
      </c>
    </row>
    <row r="954" spans="1:102" ht="15.75" x14ac:dyDescent="0.25">
      <c r="A954" s="4" t="s">
        <v>115</v>
      </c>
      <c r="B954" s="4" t="s">
        <v>116</v>
      </c>
      <c r="C954" s="4">
        <v>2022</v>
      </c>
      <c r="D954" s="4">
        <v>352</v>
      </c>
      <c r="E954" s="4">
        <v>0</v>
      </c>
      <c r="F954" s="4">
        <v>5</v>
      </c>
      <c r="G954" s="4">
        <v>3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8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1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2</v>
      </c>
      <c r="AH954" s="4">
        <v>2</v>
      </c>
      <c r="AI954" s="4">
        <v>4</v>
      </c>
      <c r="AJ954" s="4">
        <v>0</v>
      </c>
      <c r="AK954" s="4">
        <v>1</v>
      </c>
      <c r="AL954" s="4">
        <v>1</v>
      </c>
      <c r="AM954" s="4">
        <v>4</v>
      </c>
      <c r="AN954" s="4">
        <v>2</v>
      </c>
      <c r="AO954" s="4">
        <v>10</v>
      </c>
      <c r="AP954" s="4">
        <v>0</v>
      </c>
      <c r="AQ954" s="4">
        <v>4</v>
      </c>
      <c r="AR954" s="4">
        <v>0</v>
      </c>
      <c r="AS954" s="4">
        <v>0</v>
      </c>
      <c r="AT954" s="4">
        <v>1</v>
      </c>
      <c r="AU954" s="4">
        <v>1</v>
      </c>
      <c r="AV954" s="4">
        <v>20</v>
      </c>
      <c r="AW954" s="4">
        <v>1</v>
      </c>
      <c r="AX954" s="4">
        <v>52</v>
      </c>
      <c r="AY954" s="4">
        <v>0</v>
      </c>
      <c r="AZ954" s="4">
        <v>1</v>
      </c>
      <c r="BA954" s="4">
        <v>0</v>
      </c>
      <c r="BB954" s="4">
        <v>21</v>
      </c>
      <c r="BC954" s="4">
        <v>3</v>
      </c>
      <c r="BD954" s="4">
        <v>0</v>
      </c>
      <c r="BE954" s="4">
        <v>9</v>
      </c>
      <c r="BF954" s="4">
        <v>8</v>
      </c>
      <c r="BG954" s="4">
        <v>0</v>
      </c>
      <c r="BH954" s="4">
        <v>0</v>
      </c>
      <c r="BI954" s="4">
        <v>0</v>
      </c>
      <c r="BJ954" s="4">
        <v>100</v>
      </c>
      <c r="BK954" s="4">
        <v>18</v>
      </c>
      <c r="BL954" s="4">
        <v>0</v>
      </c>
      <c r="BM954" s="4">
        <v>0</v>
      </c>
      <c r="BN954" s="4">
        <v>2</v>
      </c>
      <c r="BO954" s="4">
        <v>0</v>
      </c>
      <c r="BP954" s="4">
        <v>1</v>
      </c>
      <c r="BQ954" s="4">
        <v>5</v>
      </c>
      <c r="BR954" s="4">
        <v>0</v>
      </c>
      <c r="BS954" s="4">
        <v>9</v>
      </c>
      <c r="BT954" s="4">
        <v>4</v>
      </c>
      <c r="BU954" s="4">
        <v>0</v>
      </c>
      <c r="BV954" s="4">
        <v>1</v>
      </c>
      <c r="BW954" s="4">
        <v>7</v>
      </c>
      <c r="BX954" s="4">
        <v>1</v>
      </c>
      <c r="BY954" s="4">
        <v>0</v>
      </c>
      <c r="BZ954" s="4">
        <v>0</v>
      </c>
      <c r="CA954" s="4">
        <v>1</v>
      </c>
      <c r="CB954" s="4">
        <v>1</v>
      </c>
      <c r="CC954" s="4">
        <v>0</v>
      </c>
      <c r="CD954" s="4">
        <v>1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1</v>
      </c>
      <c r="CK954" s="4">
        <v>0</v>
      </c>
      <c r="CL954" s="4">
        <v>0</v>
      </c>
      <c r="CM954" s="4">
        <v>3</v>
      </c>
      <c r="CN954" s="4">
        <v>17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1</v>
      </c>
      <c r="CU954" s="4">
        <v>0</v>
      </c>
      <c r="CV954" s="4">
        <v>2</v>
      </c>
      <c r="CW954" s="4">
        <v>5</v>
      </c>
      <c r="CX954" s="5">
        <v>5</v>
      </c>
    </row>
    <row r="955" spans="1:102" ht="15.75" x14ac:dyDescent="0.25">
      <c r="A955" s="4" t="s">
        <v>117</v>
      </c>
      <c r="B955" s="4" t="s">
        <v>118</v>
      </c>
      <c r="C955" s="4">
        <v>2022</v>
      </c>
      <c r="D955" s="4">
        <v>9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7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4">
        <v>0</v>
      </c>
      <c r="CW955" s="4">
        <v>0</v>
      </c>
      <c r="CX955" s="5">
        <v>0</v>
      </c>
    </row>
    <row r="956" spans="1:102" ht="15.75" x14ac:dyDescent="0.25">
      <c r="A956" s="4" t="s">
        <v>119</v>
      </c>
      <c r="B956" s="4" t="s">
        <v>120</v>
      </c>
      <c r="C956" s="4">
        <v>2022</v>
      </c>
      <c r="D956" s="4">
        <v>566</v>
      </c>
      <c r="E956" s="4">
        <v>0</v>
      </c>
      <c r="F956" s="4">
        <v>0</v>
      </c>
      <c r="G956" s="4">
        <v>0</v>
      </c>
      <c r="H956" s="4">
        <v>0</v>
      </c>
      <c r="I956" s="4">
        <v>2</v>
      </c>
      <c r="J956" s="4">
        <v>0</v>
      </c>
      <c r="K956" s="4">
        <v>0</v>
      </c>
      <c r="L956" s="4">
        <v>4</v>
      </c>
      <c r="M956" s="4">
        <v>1</v>
      </c>
      <c r="N956" s="4">
        <v>2</v>
      </c>
      <c r="O956" s="4">
        <v>32</v>
      </c>
      <c r="P956" s="4">
        <v>1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3</v>
      </c>
      <c r="W956" s="4">
        <v>0</v>
      </c>
      <c r="X956" s="4">
        <v>1</v>
      </c>
      <c r="Y956" s="4">
        <v>0</v>
      </c>
      <c r="Z956" s="4">
        <v>0</v>
      </c>
      <c r="AA956" s="4">
        <v>71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23</v>
      </c>
      <c r="AH956" s="4">
        <v>2</v>
      </c>
      <c r="AI956" s="4">
        <v>4</v>
      </c>
      <c r="AJ956" s="4">
        <v>79</v>
      </c>
      <c r="AK956" s="4">
        <v>14</v>
      </c>
      <c r="AL956" s="4">
        <v>2</v>
      </c>
      <c r="AM956" s="4">
        <v>12</v>
      </c>
      <c r="AN956" s="4">
        <v>3</v>
      </c>
      <c r="AO956" s="4">
        <v>31</v>
      </c>
      <c r="AP956" s="4">
        <v>0</v>
      </c>
      <c r="AQ956" s="4">
        <v>2</v>
      </c>
      <c r="AR956" s="4">
        <v>0</v>
      </c>
      <c r="AS956" s="4">
        <v>2</v>
      </c>
      <c r="AT956" s="4">
        <v>1</v>
      </c>
      <c r="AU956" s="4">
        <v>2</v>
      </c>
      <c r="AV956" s="4">
        <v>11</v>
      </c>
      <c r="AW956" s="4">
        <v>112</v>
      </c>
      <c r="AX956" s="4">
        <v>6</v>
      </c>
      <c r="AY956" s="4">
        <v>0</v>
      </c>
      <c r="AZ956" s="4">
        <v>6</v>
      </c>
      <c r="BA956" s="4">
        <v>0</v>
      </c>
      <c r="BB956" s="4">
        <v>36</v>
      </c>
      <c r="BC956" s="4">
        <v>5</v>
      </c>
      <c r="BD956" s="4">
        <v>0</v>
      </c>
      <c r="BE956" s="4">
        <v>4</v>
      </c>
      <c r="BF956" s="4">
        <v>13</v>
      </c>
      <c r="BG956" s="4">
        <v>1</v>
      </c>
      <c r="BH956" s="4">
        <v>3</v>
      </c>
      <c r="BI956" s="4">
        <v>0</v>
      </c>
      <c r="BJ956" s="4">
        <v>8</v>
      </c>
      <c r="BK956" s="4">
        <v>11</v>
      </c>
      <c r="BL956" s="4">
        <v>0</v>
      </c>
      <c r="BM956" s="4">
        <v>0</v>
      </c>
      <c r="BN956" s="4">
        <v>1</v>
      </c>
      <c r="BO956" s="4">
        <v>0</v>
      </c>
      <c r="BP956" s="4">
        <v>0</v>
      </c>
      <c r="BQ956" s="4">
        <v>4</v>
      </c>
      <c r="BR956" s="4">
        <v>1</v>
      </c>
      <c r="BS956" s="4">
        <v>7</v>
      </c>
      <c r="BT956" s="4">
        <v>4</v>
      </c>
      <c r="BU956" s="4">
        <v>0</v>
      </c>
      <c r="BV956" s="4">
        <v>6</v>
      </c>
      <c r="BW956" s="4">
        <v>0</v>
      </c>
      <c r="BX956" s="4">
        <v>3</v>
      </c>
      <c r="BY956" s="4">
        <v>1</v>
      </c>
      <c r="BZ956" s="4">
        <v>0</v>
      </c>
      <c r="CA956" s="4">
        <v>1</v>
      </c>
      <c r="CB956" s="4">
        <v>1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1</v>
      </c>
      <c r="CN956" s="4">
        <v>13</v>
      </c>
      <c r="CO956" s="4">
        <v>0</v>
      </c>
      <c r="CP956" s="4">
        <v>0</v>
      </c>
      <c r="CQ956" s="4">
        <v>0</v>
      </c>
      <c r="CR956" s="4">
        <v>1</v>
      </c>
      <c r="CS956" s="4">
        <v>0</v>
      </c>
      <c r="CT956" s="4">
        <v>3</v>
      </c>
      <c r="CU956" s="4">
        <v>0</v>
      </c>
      <c r="CV956" s="4">
        <v>9</v>
      </c>
      <c r="CW956" s="4">
        <v>1</v>
      </c>
      <c r="CX956" s="5">
        <v>1</v>
      </c>
    </row>
    <row r="957" spans="1:102" ht="15.75" x14ac:dyDescent="0.25">
      <c r="A957" s="4" t="s">
        <v>121</v>
      </c>
      <c r="B957" s="4" t="s">
        <v>122</v>
      </c>
      <c r="C957" s="4">
        <v>2022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5">
        <v>0</v>
      </c>
    </row>
    <row r="958" spans="1:102" ht="15.75" x14ac:dyDescent="0.25">
      <c r="A958" s="4" t="s">
        <v>123</v>
      </c>
      <c r="B958" s="4" t="s">
        <v>124</v>
      </c>
      <c r="C958" s="4">
        <v>2022</v>
      </c>
      <c r="D958" s="4">
        <v>1837</v>
      </c>
      <c r="E958" s="4">
        <v>0</v>
      </c>
      <c r="F958" s="4">
        <v>6</v>
      </c>
      <c r="G958" s="4">
        <v>7</v>
      </c>
      <c r="H958" s="4">
        <v>1</v>
      </c>
      <c r="I958" s="4">
        <v>3</v>
      </c>
      <c r="J958" s="4">
        <v>1</v>
      </c>
      <c r="K958" s="4">
        <v>4</v>
      </c>
      <c r="L958" s="4">
        <v>4</v>
      </c>
      <c r="M958" s="4">
        <v>2</v>
      </c>
      <c r="N958" s="4">
        <v>7</v>
      </c>
      <c r="O958" s="4">
        <v>35</v>
      </c>
      <c r="P958" s="4">
        <v>0</v>
      </c>
      <c r="Q958" s="4">
        <v>0</v>
      </c>
      <c r="R958" s="4">
        <v>0</v>
      </c>
      <c r="S958" s="4">
        <v>0</v>
      </c>
      <c r="T958" s="4">
        <v>3</v>
      </c>
      <c r="U958" s="4">
        <v>1</v>
      </c>
      <c r="V958" s="4">
        <v>1</v>
      </c>
      <c r="W958" s="4">
        <v>18</v>
      </c>
      <c r="X958" s="4">
        <v>2</v>
      </c>
      <c r="Y958" s="4">
        <v>0</v>
      </c>
      <c r="Z958" s="4">
        <v>0</v>
      </c>
      <c r="AA958" s="4">
        <v>2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13</v>
      </c>
      <c r="AH958" s="4">
        <v>5</v>
      </c>
      <c r="AI958" s="4">
        <v>22</v>
      </c>
      <c r="AJ958" s="4">
        <v>109</v>
      </c>
      <c r="AK958" s="4">
        <v>12</v>
      </c>
      <c r="AL958" s="4">
        <v>2</v>
      </c>
      <c r="AM958" s="4">
        <v>32</v>
      </c>
      <c r="AN958" s="4">
        <v>17</v>
      </c>
      <c r="AO958" s="4">
        <v>29</v>
      </c>
      <c r="AP958" s="4">
        <v>0</v>
      </c>
      <c r="AQ958" s="4">
        <v>7</v>
      </c>
      <c r="AR958" s="4">
        <v>1</v>
      </c>
      <c r="AS958" s="4">
        <v>7</v>
      </c>
      <c r="AT958" s="4">
        <v>11</v>
      </c>
      <c r="AU958" s="4">
        <v>24</v>
      </c>
      <c r="AV958" s="4">
        <v>32</v>
      </c>
      <c r="AW958" s="4">
        <v>106</v>
      </c>
      <c r="AX958" s="4">
        <v>53</v>
      </c>
      <c r="AY958" s="4">
        <v>0</v>
      </c>
      <c r="AZ958" s="4">
        <v>6</v>
      </c>
      <c r="BA958" s="4">
        <v>0</v>
      </c>
      <c r="BB958" s="4">
        <v>62</v>
      </c>
      <c r="BC958" s="4">
        <v>21</v>
      </c>
      <c r="BD958" s="4">
        <v>0</v>
      </c>
      <c r="BE958" s="4">
        <v>18</v>
      </c>
      <c r="BF958" s="4">
        <v>110</v>
      </c>
      <c r="BG958" s="4">
        <v>3</v>
      </c>
      <c r="BH958" s="4">
        <v>2</v>
      </c>
      <c r="BI958" s="4">
        <v>0</v>
      </c>
      <c r="BJ958" s="4">
        <v>37</v>
      </c>
      <c r="BK958" s="4">
        <v>38</v>
      </c>
      <c r="BL958" s="4">
        <v>0</v>
      </c>
      <c r="BM958" s="4">
        <v>4</v>
      </c>
      <c r="BN958" s="4">
        <v>18</v>
      </c>
      <c r="BO958" s="4">
        <v>0</v>
      </c>
      <c r="BP958" s="4">
        <v>16</v>
      </c>
      <c r="BQ958" s="4">
        <v>24</v>
      </c>
      <c r="BR958" s="4">
        <v>1</v>
      </c>
      <c r="BS958" s="4">
        <v>55</v>
      </c>
      <c r="BT958" s="4">
        <v>43</v>
      </c>
      <c r="BU958" s="4">
        <v>2</v>
      </c>
      <c r="BV958" s="4">
        <v>48</v>
      </c>
      <c r="BW958" s="4">
        <v>17</v>
      </c>
      <c r="BX958" s="4">
        <v>192</v>
      </c>
      <c r="BY958" s="4">
        <v>4</v>
      </c>
      <c r="BZ958" s="4">
        <v>0</v>
      </c>
      <c r="CA958" s="4">
        <v>23</v>
      </c>
      <c r="CB958" s="4">
        <v>1</v>
      </c>
      <c r="CC958" s="4">
        <v>0</v>
      </c>
      <c r="CD958" s="4">
        <v>57</v>
      </c>
      <c r="CE958" s="4">
        <v>0</v>
      </c>
      <c r="CF958" s="4">
        <v>3</v>
      </c>
      <c r="CG958" s="4">
        <v>3</v>
      </c>
      <c r="CH958" s="4">
        <v>2</v>
      </c>
      <c r="CI958" s="4">
        <v>1</v>
      </c>
      <c r="CJ958" s="4">
        <v>9</v>
      </c>
      <c r="CK958" s="4">
        <v>5</v>
      </c>
      <c r="CL958" s="4">
        <v>2</v>
      </c>
      <c r="CM958" s="4">
        <v>11</v>
      </c>
      <c r="CN958" s="4">
        <v>75</v>
      </c>
      <c r="CO958" s="4">
        <v>1</v>
      </c>
      <c r="CP958" s="4">
        <v>3</v>
      </c>
      <c r="CQ958" s="4">
        <v>0</v>
      </c>
      <c r="CR958" s="4">
        <v>124</v>
      </c>
      <c r="CS958" s="4">
        <v>1</v>
      </c>
      <c r="CT958" s="4">
        <v>14</v>
      </c>
      <c r="CU958" s="4">
        <v>4</v>
      </c>
      <c r="CV958" s="4">
        <v>22</v>
      </c>
      <c r="CW958" s="4">
        <v>171</v>
      </c>
      <c r="CX958" s="5">
        <v>173</v>
      </c>
    </row>
    <row r="959" spans="1:102" ht="15.75" x14ac:dyDescent="0.25">
      <c r="A959" s="4" t="s">
        <v>125</v>
      </c>
      <c r="B959" s="4" t="s">
        <v>126</v>
      </c>
      <c r="C959" s="4">
        <v>2022</v>
      </c>
      <c r="D959" s="4">
        <v>4870</v>
      </c>
      <c r="E959" s="4">
        <v>28</v>
      </c>
      <c r="F959" s="4">
        <v>8</v>
      </c>
      <c r="G959" s="4">
        <v>23</v>
      </c>
      <c r="H959" s="4">
        <v>11</v>
      </c>
      <c r="I959" s="4">
        <v>92</v>
      </c>
      <c r="J959" s="4">
        <v>15</v>
      </c>
      <c r="K959" s="4">
        <v>16</v>
      </c>
      <c r="L959" s="4">
        <v>53</v>
      </c>
      <c r="M959" s="4">
        <v>7</v>
      </c>
      <c r="N959" s="4">
        <v>62</v>
      </c>
      <c r="O959" s="4">
        <v>255</v>
      </c>
      <c r="P959" s="4">
        <v>0</v>
      </c>
      <c r="Q959" s="4">
        <v>3</v>
      </c>
      <c r="R959" s="4">
        <v>3</v>
      </c>
      <c r="S959" s="4">
        <v>1</v>
      </c>
      <c r="T959" s="4">
        <v>0</v>
      </c>
      <c r="U959" s="4">
        <v>1</v>
      </c>
      <c r="V959" s="4">
        <v>4</v>
      </c>
      <c r="W959" s="4">
        <v>15</v>
      </c>
      <c r="X959" s="4">
        <v>6</v>
      </c>
      <c r="Y959" s="4">
        <v>3</v>
      </c>
      <c r="Z959" s="4">
        <v>0</v>
      </c>
      <c r="AA959" s="4">
        <v>10</v>
      </c>
      <c r="AB959" s="4">
        <v>1</v>
      </c>
      <c r="AC959" s="4">
        <v>0</v>
      </c>
      <c r="AD959" s="4">
        <v>0</v>
      </c>
      <c r="AE959" s="4">
        <v>6</v>
      </c>
      <c r="AF959" s="4">
        <v>0</v>
      </c>
      <c r="AG959" s="4">
        <v>32</v>
      </c>
      <c r="AH959" s="4">
        <v>16</v>
      </c>
      <c r="AI959" s="4">
        <v>31</v>
      </c>
      <c r="AJ959" s="4">
        <v>520</v>
      </c>
      <c r="AK959" s="4">
        <v>122</v>
      </c>
      <c r="AL959" s="4">
        <v>2</v>
      </c>
      <c r="AM959" s="4">
        <v>26</v>
      </c>
      <c r="AN959" s="4">
        <v>52</v>
      </c>
      <c r="AO959" s="4">
        <v>79</v>
      </c>
      <c r="AP959" s="4">
        <v>3</v>
      </c>
      <c r="AQ959" s="4">
        <v>21</v>
      </c>
      <c r="AR959" s="4">
        <v>12</v>
      </c>
      <c r="AS959" s="4">
        <v>23</v>
      </c>
      <c r="AT959" s="4">
        <v>37</v>
      </c>
      <c r="AU959" s="4">
        <v>31</v>
      </c>
      <c r="AV959" s="4">
        <v>39</v>
      </c>
      <c r="AW959" s="4">
        <v>77</v>
      </c>
      <c r="AX959" s="4">
        <v>167</v>
      </c>
      <c r="AY959" s="4">
        <v>2</v>
      </c>
      <c r="AZ959" s="4">
        <v>30</v>
      </c>
      <c r="BA959" s="4">
        <v>0</v>
      </c>
      <c r="BB959" s="4">
        <v>97</v>
      </c>
      <c r="BC959" s="4">
        <v>16</v>
      </c>
      <c r="BD959" s="4">
        <v>4</v>
      </c>
      <c r="BE959" s="4">
        <v>49</v>
      </c>
      <c r="BF959" s="4">
        <v>286</v>
      </c>
      <c r="BG959" s="4">
        <v>7</v>
      </c>
      <c r="BH959" s="4">
        <v>12</v>
      </c>
      <c r="BI959" s="4">
        <v>1</v>
      </c>
      <c r="BJ959" s="4">
        <v>144</v>
      </c>
      <c r="BK959" s="4">
        <v>245</v>
      </c>
      <c r="BL959" s="4">
        <v>0</v>
      </c>
      <c r="BM959" s="4">
        <v>4</v>
      </c>
      <c r="BN959" s="4">
        <v>45</v>
      </c>
      <c r="BO959" s="4">
        <v>2</v>
      </c>
      <c r="BP959" s="4">
        <v>10</v>
      </c>
      <c r="BQ959" s="4">
        <v>77</v>
      </c>
      <c r="BR959" s="4">
        <v>12</v>
      </c>
      <c r="BS959" s="4">
        <v>128</v>
      </c>
      <c r="BT959" s="4">
        <v>66</v>
      </c>
      <c r="BU959" s="4">
        <v>6</v>
      </c>
      <c r="BV959" s="4">
        <v>127</v>
      </c>
      <c r="BW959" s="4">
        <v>128</v>
      </c>
      <c r="BX959" s="4">
        <v>498</v>
      </c>
      <c r="BY959" s="4">
        <v>4</v>
      </c>
      <c r="BZ959" s="4">
        <v>0</v>
      </c>
      <c r="CA959" s="4">
        <v>29</v>
      </c>
      <c r="CB959" s="4">
        <v>13</v>
      </c>
      <c r="CC959" s="4">
        <v>0</v>
      </c>
      <c r="CD959" s="4">
        <v>18</v>
      </c>
      <c r="CE959" s="4">
        <v>2</v>
      </c>
      <c r="CF959" s="4">
        <v>11</v>
      </c>
      <c r="CG959" s="4">
        <v>5</v>
      </c>
      <c r="CH959" s="4">
        <v>8</v>
      </c>
      <c r="CI959" s="4">
        <v>9</v>
      </c>
      <c r="CJ959" s="4">
        <v>141</v>
      </c>
      <c r="CK959" s="4">
        <v>14</v>
      </c>
      <c r="CL959" s="4">
        <v>0</v>
      </c>
      <c r="CM959" s="4">
        <v>19</v>
      </c>
      <c r="CN959" s="4">
        <v>170</v>
      </c>
      <c r="CO959" s="4">
        <v>22</v>
      </c>
      <c r="CP959" s="4">
        <v>6</v>
      </c>
      <c r="CQ959" s="4">
        <v>0</v>
      </c>
      <c r="CR959" s="4">
        <v>29</v>
      </c>
      <c r="CS959" s="4">
        <v>10</v>
      </c>
      <c r="CT959" s="4">
        <v>32</v>
      </c>
      <c r="CU959" s="4">
        <v>39</v>
      </c>
      <c r="CV959" s="4">
        <v>343</v>
      </c>
      <c r="CW959" s="4">
        <v>44</v>
      </c>
      <c r="CX959" s="5">
        <v>44</v>
      </c>
    </row>
    <row r="960" spans="1:102" ht="15.75" x14ac:dyDescent="0.25">
      <c r="A960" s="4" t="s">
        <v>127</v>
      </c>
      <c r="B960" s="4" t="s">
        <v>128</v>
      </c>
      <c r="C960" s="4">
        <v>2022</v>
      </c>
      <c r="D960" s="4">
        <v>8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5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0</v>
      </c>
      <c r="CP960" s="4">
        <v>0</v>
      </c>
      <c r="CQ960" s="4">
        <v>0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4">
        <v>0</v>
      </c>
      <c r="CX960" s="5">
        <v>0</v>
      </c>
    </row>
    <row r="961" spans="1:102" ht="15.75" x14ac:dyDescent="0.25">
      <c r="A961" s="4" t="s">
        <v>129</v>
      </c>
      <c r="B961" s="4" t="s">
        <v>130</v>
      </c>
      <c r="C961" s="4">
        <v>2022</v>
      </c>
      <c r="D961" s="4">
        <v>457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31</v>
      </c>
      <c r="P961" s="4">
        <v>0</v>
      </c>
      <c r="Q961" s="4">
        <v>0</v>
      </c>
      <c r="R961" s="4">
        <v>1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1</v>
      </c>
      <c r="AH961" s="4">
        <v>1</v>
      </c>
      <c r="AI961" s="4">
        <v>1</v>
      </c>
      <c r="AJ961" s="4">
        <v>1</v>
      </c>
      <c r="AK961" s="4">
        <v>2</v>
      </c>
      <c r="AL961" s="4">
        <v>0</v>
      </c>
      <c r="AM961" s="4">
        <v>2</v>
      </c>
      <c r="AN961" s="4">
        <v>1</v>
      </c>
      <c r="AO961" s="4">
        <v>5</v>
      </c>
      <c r="AP961" s="4">
        <v>0</v>
      </c>
      <c r="AQ961" s="4">
        <v>3</v>
      </c>
      <c r="AR961" s="4">
        <v>0</v>
      </c>
      <c r="AS961" s="4">
        <v>0</v>
      </c>
      <c r="AT961" s="4">
        <v>1</v>
      </c>
      <c r="AU961" s="4">
        <v>1</v>
      </c>
      <c r="AV961" s="4">
        <v>13</v>
      </c>
      <c r="AW961" s="4">
        <v>1</v>
      </c>
      <c r="AX961" s="4">
        <v>13</v>
      </c>
      <c r="AY961" s="4">
        <v>0</v>
      </c>
      <c r="AZ961" s="4">
        <v>1</v>
      </c>
      <c r="BA961" s="4">
        <v>0</v>
      </c>
      <c r="BB961" s="4">
        <v>70</v>
      </c>
      <c r="BC961" s="4">
        <v>1</v>
      </c>
      <c r="BD961" s="4">
        <v>0</v>
      </c>
      <c r="BE961" s="4">
        <v>4</v>
      </c>
      <c r="BF961" s="4">
        <v>7</v>
      </c>
      <c r="BG961" s="4">
        <v>0</v>
      </c>
      <c r="BH961" s="4">
        <v>0</v>
      </c>
      <c r="BI961" s="4">
        <v>0</v>
      </c>
      <c r="BJ961" s="4">
        <v>22</v>
      </c>
      <c r="BK961" s="4">
        <v>10</v>
      </c>
      <c r="BL961" s="4">
        <v>0</v>
      </c>
      <c r="BM961" s="4">
        <v>0</v>
      </c>
      <c r="BN961" s="4">
        <v>2</v>
      </c>
      <c r="BO961" s="4">
        <v>0</v>
      </c>
      <c r="BP961" s="4">
        <v>0</v>
      </c>
      <c r="BQ961" s="4">
        <v>3</v>
      </c>
      <c r="BR961" s="4">
        <v>0</v>
      </c>
      <c r="BS961" s="4">
        <v>9</v>
      </c>
      <c r="BT961" s="4">
        <v>3</v>
      </c>
      <c r="BU961" s="4">
        <v>0</v>
      </c>
      <c r="BV961" s="4">
        <v>1</v>
      </c>
      <c r="BW961" s="4">
        <v>1</v>
      </c>
      <c r="BX961" s="4">
        <v>208</v>
      </c>
      <c r="BY961" s="4">
        <v>0</v>
      </c>
      <c r="BZ961" s="4">
        <v>0</v>
      </c>
      <c r="CA961" s="4">
        <v>3</v>
      </c>
      <c r="CB961" s="4">
        <v>1</v>
      </c>
      <c r="CC961" s="4">
        <v>0</v>
      </c>
      <c r="CD961" s="4">
        <v>1</v>
      </c>
      <c r="CE961" s="4">
        <v>0</v>
      </c>
      <c r="CF961" s="4">
        <v>0</v>
      </c>
      <c r="CG961" s="4">
        <v>0</v>
      </c>
      <c r="CH961" s="4">
        <v>0</v>
      </c>
      <c r="CI961" s="4">
        <v>1</v>
      </c>
      <c r="CJ961" s="4">
        <v>3</v>
      </c>
      <c r="CK961" s="4">
        <v>2</v>
      </c>
      <c r="CL961" s="4">
        <v>0</v>
      </c>
      <c r="CM961" s="4">
        <v>3</v>
      </c>
      <c r="CN961" s="4">
        <v>10</v>
      </c>
      <c r="CO961" s="4">
        <v>0</v>
      </c>
      <c r="CP961" s="4">
        <v>0</v>
      </c>
      <c r="CQ961" s="4">
        <v>0</v>
      </c>
      <c r="CR961" s="4">
        <v>0</v>
      </c>
      <c r="CS961" s="4">
        <v>3</v>
      </c>
      <c r="CT961" s="4">
        <v>6</v>
      </c>
      <c r="CU961" s="4">
        <v>1</v>
      </c>
      <c r="CV961" s="4">
        <v>2</v>
      </c>
      <c r="CW961" s="4">
        <v>2</v>
      </c>
      <c r="CX961" s="5">
        <v>2</v>
      </c>
    </row>
    <row r="962" spans="1:102" ht="15.75" x14ac:dyDescent="0.25">
      <c r="A962" s="4" t="s">
        <v>131</v>
      </c>
      <c r="B962" s="4" t="s">
        <v>132</v>
      </c>
      <c r="C962" s="4">
        <v>2022</v>
      </c>
      <c r="D962" s="4">
        <v>35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1</v>
      </c>
      <c r="O962" s="4">
        <v>1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1</v>
      </c>
      <c r="AK962" s="4">
        <v>0</v>
      </c>
      <c r="AL962" s="4">
        <v>0</v>
      </c>
      <c r="AM962" s="4">
        <v>1</v>
      </c>
      <c r="AN962" s="4">
        <v>0</v>
      </c>
      <c r="AO962" s="4">
        <v>1</v>
      </c>
      <c r="AP962" s="4">
        <v>3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2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1</v>
      </c>
      <c r="BG962" s="4">
        <v>0</v>
      </c>
      <c r="BH962" s="4">
        <v>0</v>
      </c>
      <c r="BI962" s="4">
        <v>0</v>
      </c>
      <c r="BJ962" s="4">
        <v>1</v>
      </c>
      <c r="BK962" s="4">
        <v>1</v>
      </c>
      <c r="BL962" s="4">
        <v>0</v>
      </c>
      <c r="BM962" s="4">
        <v>0</v>
      </c>
      <c r="BN962" s="4">
        <v>1</v>
      </c>
      <c r="BO962" s="4">
        <v>0</v>
      </c>
      <c r="BP962" s="4">
        <v>0</v>
      </c>
      <c r="BQ962" s="4">
        <v>0</v>
      </c>
      <c r="BR962" s="4">
        <v>0</v>
      </c>
      <c r="BS962" s="4">
        <v>1</v>
      </c>
      <c r="BT962" s="4">
        <v>1</v>
      </c>
      <c r="BU962" s="4">
        <v>0</v>
      </c>
      <c r="BV962" s="4">
        <v>1</v>
      </c>
      <c r="BW962" s="4">
        <v>1</v>
      </c>
      <c r="BX962" s="4">
        <v>2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1</v>
      </c>
      <c r="CO962" s="4">
        <v>0</v>
      </c>
      <c r="CP962" s="4">
        <v>0</v>
      </c>
      <c r="CQ962" s="4">
        <v>0</v>
      </c>
      <c r="CR962" s="4">
        <v>9</v>
      </c>
      <c r="CS962" s="4">
        <v>0</v>
      </c>
      <c r="CT962" s="4">
        <v>0</v>
      </c>
      <c r="CU962" s="4">
        <v>0</v>
      </c>
      <c r="CV962" s="4">
        <v>1</v>
      </c>
      <c r="CW962" s="4">
        <v>0</v>
      </c>
      <c r="CX962" s="5">
        <v>0</v>
      </c>
    </row>
    <row r="963" spans="1:102" ht="15.75" x14ac:dyDescent="0.25">
      <c r="A963" s="4" t="s">
        <v>133</v>
      </c>
      <c r="B963" s="4" t="s">
        <v>134</v>
      </c>
      <c r="C963" s="4">
        <v>2022</v>
      </c>
      <c r="D963" s="4">
        <v>76</v>
      </c>
      <c r="E963" s="4">
        <v>0</v>
      </c>
      <c r="F963" s="4">
        <v>2</v>
      </c>
      <c r="G963" s="4">
        <v>3</v>
      </c>
      <c r="H963" s="4">
        <v>1</v>
      </c>
      <c r="I963" s="4">
        <v>2</v>
      </c>
      <c r="J963" s="4">
        <v>3</v>
      </c>
      <c r="K963" s="4">
        <v>4</v>
      </c>
      <c r="L963" s="4">
        <v>1</v>
      </c>
      <c r="M963" s="4">
        <v>0</v>
      </c>
      <c r="N963" s="4">
        <v>3</v>
      </c>
      <c r="O963" s="4">
        <v>3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2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4</v>
      </c>
      <c r="AK963" s="4">
        <v>2</v>
      </c>
      <c r="AL963" s="4">
        <v>0</v>
      </c>
      <c r="AM963" s="4">
        <v>0</v>
      </c>
      <c r="AN963" s="4">
        <v>0</v>
      </c>
      <c r="AO963" s="4">
        <v>1</v>
      </c>
      <c r="AP963" s="4">
        <v>0</v>
      </c>
      <c r="AQ963" s="4">
        <v>0</v>
      </c>
      <c r="AR963" s="4">
        <v>0</v>
      </c>
      <c r="AS963" s="4">
        <v>1</v>
      </c>
      <c r="AT963" s="4">
        <v>1</v>
      </c>
      <c r="AU963" s="4">
        <v>1</v>
      </c>
      <c r="AV963" s="4">
        <v>2</v>
      </c>
      <c r="AW963" s="4">
        <v>0</v>
      </c>
      <c r="AX963" s="4">
        <v>4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1</v>
      </c>
      <c r="BF963" s="4">
        <v>4</v>
      </c>
      <c r="BG963" s="4">
        <v>0</v>
      </c>
      <c r="BH963" s="4">
        <v>0</v>
      </c>
      <c r="BI963" s="4">
        <v>0</v>
      </c>
      <c r="BJ963" s="4">
        <v>1</v>
      </c>
      <c r="BK963" s="4">
        <v>1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1</v>
      </c>
      <c r="BS963" s="4">
        <v>4</v>
      </c>
      <c r="BT963" s="4">
        <v>1</v>
      </c>
      <c r="BU963" s="4">
        <v>0</v>
      </c>
      <c r="BV963" s="4">
        <v>1</v>
      </c>
      <c r="BW963" s="4">
        <v>1</v>
      </c>
      <c r="BX963" s="4">
        <v>10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1</v>
      </c>
      <c r="CG963" s="4">
        <v>0</v>
      </c>
      <c r="CH963" s="4">
        <v>0</v>
      </c>
      <c r="CI963" s="4">
        <v>0</v>
      </c>
      <c r="CJ963" s="4">
        <v>1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3</v>
      </c>
      <c r="CU963" s="4">
        <v>0</v>
      </c>
      <c r="CV963" s="4">
        <v>3</v>
      </c>
      <c r="CW963" s="4">
        <v>1</v>
      </c>
      <c r="CX963" s="5">
        <v>1</v>
      </c>
    </row>
    <row r="964" spans="1:102" ht="15.75" x14ac:dyDescent="0.25">
      <c r="A964" s="4" t="s">
        <v>135</v>
      </c>
      <c r="B964" s="4" t="s">
        <v>136</v>
      </c>
      <c r="C964" s="4">
        <v>2022</v>
      </c>
      <c r="D964" s="4">
        <v>569</v>
      </c>
      <c r="E964" s="4">
        <v>1</v>
      </c>
      <c r="F964" s="4">
        <v>0</v>
      </c>
      <c r="G964" s="4">
        <v>2</v>
      </c>
      <c r="H964" s="4">
        <v>0</v>
      </c>
      <c r="I964" s="4">
        <v>0</v>
      </c>
      <c r="J964" s="4">
        <v>1</v>
      </c>
      <c r="K964" s="4">
        <v>0</v>
      </c>
      <c r="L964" s="4">
        <v>1</v>
      </c>
      <c r="M964" s="4">
        <v>1</v>
      </c>
      <c r="N964" s="4">
        <v>1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1</v>
      </c>
      <c r="U964" s="4">
        <v>1</v>
      </c>
      <c r="V964" s="4">
        <v>4</v>
      </c>
      <c r="W964" s="4">
        <v>323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2</v>
      </c>
      <c r="AH964" s="4">
        <v>1</v>
      </c>
      <c r="AI964" s="4">
        <v>2</v>
      </c>
      <c r="AJ964" s="4">
        <v>9</v>
      </c>
      <c r="AK964" s="4">
        <v>3</v>
      </c>
      <c r="AL964" s="4">
        <v>0</v>
      </c>
      <c r="AM964" s="4">
        <v>2</v>
      </c>
      <c r="AN964" s="4">
        <v>1</v>
      </c>
      <c r="AO964" s="4">
        <v>5</v>
      </c>
      <c r="AP964" s="4">
        <v>0</v>
      </c>
      <c r="AQ964" s="4">
        <v>1</v>
      </c>
      <c r="AR964" s="4">
        <v>0</v>
      </c>
      <c r="AS964" s="4">
        <v>0</v>
      </c>
      <c r="AT964" s="4">
        <v>4</v>
      </c>
      <c r="AU964" s="4">
        <v>0</v>
      </c>
      <c r="AV964" s="4">
        <v>2</v>
      </c>
      <c r="AW964" s="4">
        <v>0</v>
      </c>
      <c r="AX964" s="4">
        <v>5</v>
      </c>
      <c r="AY964" s="4">
        <v>0</v>
      </c>
      <c r="AZ964" s="4">
        <v>23</v>
      </c>
      <c r="BA964" s="4">
        <v>0</v>
      </c>
      <c r="BB964" s="4">
        <v>33</v>
      </c>
      <c r="BC964" s="4">
        <v>6</v>
      </c>
      <c r="BD964" s="4">
        <v>0</v>
      </c>
      <c r="BE964" s="4">
        <v>2</v>
      </c>
      <c r="BF964" s="4">
        <v>12</v>
      </c>
      <c r="BG964" s="4">
        <v>0</v>
      </c>
      <c r="BH964" s="4">
        <v>0</v>
      </c>
      <c r="BI964" s="4">
        <v>0</v>
      </c>
      <c r="BJ964" s="4">
        <v>6</v>
      </c>
      <c r="BK964" s="4">
        <v>24</v>
      </c>
      <c r="BL964" s="4">
        <v>0</v>
      </c>
      <c r="BM964" s="4">
        <v>0</v>
      </c>
      <c r="BN964" s="4">
        <v>7</v>
      </c>
      <c r="BO964" s="4">
        <v>0</v>
      </c>
      <c r="BP964" s="4">
        <v>0</v>
      </c>
      <c r="BQ964" s="4">
        <v>2</v>
      </c>
      <c r="BR964" s="4">
        <v>0</v>
      </c>
      <c r="BS964" s="4">
        <v>7</v>
      </c>
      <c r="BT964" s="4">
        <v>3</v>
      </c>
      <c r="BU964" s="4">
        <v>0</v>
      </c>
      <c r="BV964" s="4">
        <v>0</v>
      </c>
      <c r="BW964" s="4">
        <v>1</v>
      </c>
      <c r="BX964" s="4">
        <v>14</v>
      </c>
      <c r="BY964" s="4">
        <v>0</v>
      </c>
      <c r="BZ964" s="4">
        <v>0</v>
      </c>
      <c r="CA964" s="4">
        <v>29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1</v>
      </c>
      <c r="CN964" s="4">
        <v>16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1</v>
      </c>
      <c r="CU964" s="4">
        <v>0</v>
      </c>
      <c r="CV964" s="4">
        <v>4</v>
      </c>
      <c r="CW964" s="4">
        <v>2</v>
      </c>
      <c r="CX964" s="5">
        <v>2</v>
      </c>
    </row>
    <row r="965" spans="1:102" ht="15.75" x14ac:dyDescent="0.25">
      <c r="A965" s="4" t="s">
        <v>137</v>
      </c>
      <c r="B965" s="4" t="s">
        <v>138</v>
      </c>
      <c r="C965" s="4">
        <v>2022</v>
      </c>
      <c r="D965" s="4">
        <v>29133</v>
      </c>
      <c r="E965" s="4">
        <v>3</v>
      </c>
      <c r="F965" s="4">
        <v>88</v>
      </c>
      <c r="G965" s="4">
        <v>151</v>
      </c>
      <c r="H965" s="4">
        <v>9</v>
      </c>
      <c r="I965" s="4">
        <v>128</v>
      </c>
      <c r="J965" s="4">
        <v>25</v>
      </c>
      <c r="K965" s="4">
        <v>10</v>
      </c>
      <c r="L965" s="4">
        <v>66</v>
      </c>
      <c r="M965" s="4">
        <v>38</v>
      </c>
      <c r="N965" s="4">
        <v>42</v>
      </c>
      <c r="O965" s="4">
        <v>340</v>
      </c>
      <c r="P965" s="4">
        <v>0</v>
      </c>
      <c r="Q965" s="4">
        <v>4</v>
      </c>
      <c r="R965" s="4">
        <v>145</v>
      </c>
      <c r="S965" s="4">
        <v>3</v>
      </c>
      <c r="T965" s="4">
        <v>9</v>
      </c>
      <c r="U965" s="4">
        <v>6</v>
      </c>
      <c r="V965" s="4">
        <v>36</v>
      </c>
      <c r="W965" s="4">
        <v>615</v>
      </c>
      <c r="X965" s="4">
        <v>14</v>
      </c>
      <c r="Y965" s="4">
        <v>7</v>
      </c>
      <c r="Z965" s="4">
        <v>195</v>
      </c>
      <c r="AA965" s="4">
        <v>2584</v>
      </c>
      <c r="AB965" s="4">
        <v>12259</v>
      </c>
      <c r="AC965" s="4">
        <v>494</v>
      </c>
      <c r="AD965" s="4">
        <v>31</v>
      </c>
      <c r="AE965" s="4">
        <v>47</v>
      </c>
      <c r="AF965" s="4">
        <v>24</v>
      </c>
      <c r="AG965" s="4">
        <v>899</v>
      </c>
      <c r="AH965" s="4">
        <v>106</v>
      </c>
      <c r="AI965" s="4">
        <v>170</v>
      </c>
      <c r="AJ965" s="4">
        <v>3025</v>
      </c>
      <c r="AK965" s="4">
        <v>476</v>
      </c>
      <c r="AL965" s="4">
        <v>5</v>
      </c>
      <c r="AM965" s="4">
        <v>529</v>
      </c>
      <c r="AN965" s="4">
        <v>202</v>
      </c>
      <c r="AO965" s="4">
        <v>237</v>
      </c>
      <c r="AP965" s="4">
        <v>6</v>
      </c>
      <c r="AQ965" s="4">
        <v>154</v>
      </c>
      <c r="AR965" s="4">
        <v>35</v>
      </c>
      <c r="AS965" s="4">
        <v>111</v>
      </c>
      <c r="AT965" s="4">
        <v>66</v>
      </c>
      <c r="AU965" s="4">
        <v>319</v>
      </c>
      <c r="AV965" s="4">
        <v>226</v>
      </c>
      <c r="AW965" s="4">
        <v>298</v>
      </c>
      <c r="AX965" s="4">
        <v>211</v>
      </c>
      <c r="AY965" s="4">
        <v>3</v>
      </c>
      <c r="AZ965" s="4">
        <v>11</v>
      </c>
      <c r="BA965" s="4">
        <v>0</v>
      </c>
      <c r="BB965" s="4">
        <v>206</v>
      </c>
      <c r="BC965" s="4">
        <v>24</v>
      </c>
      <c r="BD965" s="4">
        <v>1</v>
      </c>
      <c r="BE965" s="4">
        <v>61</v>
      </c>
      <c r="BF965" s="4">
        <v>351</v>
      </c>
      <c r="BG965" s="4">
        <v>23</v>
      </c>
      <c r="BH965" s="4">
        <v>96</v>
      </c>
      <c r="BI965" s="4">
        <v>0</v>
      </c>
      <c r="BJ965" s="4">
        <v>241</v>
      </c>
      <c r="BK965" s="4">
        <v>495</v>
      </c>
      <c r="BL965" s="4">
        <v>0</v>
      </c>
      <c r="BM965" s="4">
        <v>8</v>
      </c>
      <c r="BN965" s="4">
        <v>48</v>
      </c>
      <c r="BO965" s="4">
        <v>2</v>
      </c>
      <c r="BP965" s="4">
        <v>7</v>
      </c>
      <c r="BQ965" s="4">
        <v>62</v>
      </c>
      <c r="BR965" s="4">
        <v>15</v>
      </c>
      <c r="BS965" s="4">
        <v>179</v>
      </c>
      <c r="BT965" s="4">
        <v>67</v>
      </c>
      <c r="BU965" s="4">
        <v>24</v>
      </c>
      <c r="BV965" s="4">
        <v>119</v>
      </c>
      <c r="BW965" s="4">
        <v>92</v>
      </c>
      <c r="BX965" s="4">
        <v>1270</v>
      </c>
      <c r="BY965" s="4">
        <v>5</v>
      </c>
      <c r="BZ965" s="4">
        <v>0</v>
      </c>
      <c r="CA965" s="4">
        <v>89</v>
      </c>
      <c r="CB965" s="4">
        <v>6</v>
      </c>
      <c r="CC965" s="4">
        <v>0</v>
      </c>
      <c r="CD965" s="4">
        <v>11</v>
      </c>
      <c r="CE965" s="4">
        <v>2</v>
      </c>
      <c r="CF965" s="4">
        <v>9</v>
      </c>
      <c r="CG965" s="4">
        <v>23</v>
      </c>
      <c r="CH965" s="4">
        <v>13</v>
      </c>
      <c r="CI965" s="4">
        <v>10</v>
      </c>
      <c r="CJ965" s="4">
        <v>110</v>
      </c>
      <c r="CK965" s="4">
        <v>38</v>
      </c>
      <c r="CL965" s="4">
        <v>0</v>
      </c>
      <c r="CM965" s="4">
        <v>14</v>
      </c>
      <c r="CN965" s="4">
        <v>428</v>
      </c>
      <c r="CO965" s="4">
        <v>56</v>
      </c>
      <c r="CP965" s="4">
        <v>17</v>
      </c>
      <c r="CQ965" s="4">
        <v>0</v>
      </c>
      <c r="CR965" s="4">
        <v>105</v>
      </c>
      <c r="CS965" s="4">
        <v>7</v>
      </c>
      <c r="CT965" s="4">
        <v>87</v>
      </c>
      <c r="CU965" s="4">
        <v>7</v>
      </c>
      <c r="CV965" s="4">
        <v>210</v>
      </c>
      <c r="CW965" s="4">
        <v>32</v>
      </c>
      <c r="CX965" s="5">
        <v>33</v>
      </c>
    </row>
    <row r="966" spans="1:102" ht="15.75" x14ac:dyDescent="0.25">
      <c r="A966" s="4" t="s">
        <v>139</v>
      </c>
      <c r="B966" s="4" t="s">
        <v>140</v>
      </c>
      <c r="C966" s="4">
        <v>2022</v>
      </c>
      <c r="D966" s="4">
        <v>13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1</v>
      </c>
      <c r="AK966" s="4">
        <v>0</v>
      </c>
      <c r="AL966" s="4">
        <v>0</v>
      </c>
      <c r="AM966" s="4">
        <v>0</v>
      </c>
      <c r="AN966" s="4">
        <v>0</v>
      </c>
      <c r="AO966" s="4">
        <v>1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1</v>
      </c>
      <c r="AY966" s="4">
        <v>0</v>
      </c>
      <c r="AZ966" s="4">
        <v>0</v>
      </c>
      <c r="BA966" s="4">
        <v>0</v>
      </c>
      <c r="BB966" s="4">
        <v>1</v>
      </c>
      <c r="BC966" s="4">
        <v>0</v>
      </c>
      <c r="BD966" s="4">
        <v>0</v>
      </c>
      <c r="BE966" s="4">
        <v>1</v>
      </c>
      <c r="BF966" s="4">
        <v>0</v>
      </c>
      <c r="BG966" s="4">
        <v>0</v>
      </c>
      <c r="BH966" s="4">
        <v>0</v>
      </c>
      <c r="BI966" s="4">
        <v>0</v>
      </c>
      <c r="BJ966" s="4">
        <v>1</v>
      </c>
      <c r="BK966" s="4">
        <v>1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1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1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5">
        <v>0</v>
      </c>
    </row>
    <row r="967" spans="1:102" ht="15.75" x14ac:dyDescent="0.25">
      <c r="A967" s="4" t="s">
        <v>141</v>
      </c>
      <c r="B967" s="4" t="s">
        <v>142</v>
      </c>
      <c r="C967" s="4">
        <v>2022</v>
      </c>
      <c r="D967" s="4">
        <v>389</v>
      </c>
      <c r="E967" s="4">
        <v>0</v>
      </c>
      <c r="F967" s="4">
        <v>0</v>
      </c>
      <c r="G967" s="4">
        <v>1</v>
      </c>
      <c r="H967" s="4">
        <v>0</v>
      </c>
      <c r="I967" s="4">
        <v>1</v>
      </c>
      <c r="J967" s="4">
        <v>1</v>
      </c>
      <c r="K967" s="4">
        <v>0</v>
      </c>
      <c r="L967" s="4">
        <v>3</v>
      </c>
      <c r="M967" s="4">
        <v>1</v>
      </c>
      <c r="N967" s="4">
        <v>3</v>
      </c>
      <c r="O967" s="4">
        <v>41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1</v>
      </c>
      <c r="V967" s="4">
        <v>4</v>
      </c>
      <c r="W967" s="4">
        <v>9</v>
      </c>
      <c r="X967" s="4">
        <v>1</v>
      </c>
      <c r="Y967" s="4">
        <v>0</v>
      </c>
      <c r="Z967" s="4">
        <v>0</v>
      </c>
      <c r="AA967" s="4">
        <v>1</v>
      </c>
      <c r="AB967" s="4">
        <v>0</v>
      </c>
      <c r="AC967" s="4">
        <v>0</v>
      </c>
      <c r="AD967" s="4">
        <v>0</v>
      </c>
      <c r="AE967" s="4">
        <v>0</v>
      </c>
      <c r="AF967" s="4">
        <v>1</v>
      </c>
      <c r="AG967" s="4">
        <v>4</v>
      </c>
      <c r="AH967" s="4">
        <v>2</v>
      </c>
      <c r="AI967" s="4">
        <v>4</v>
      </c>
      <c r="AJ967" s="4">
        <v>9</v>
      </c>
      <c r="AK967" s="4">
        <v>8</v>
      </c>
      <c r="AL967" s="4">
        <v>2</v>
      </c>
      <c r="AM967" s="4">
        <v>5</v>
      </c>
      <c r="AN967" s="4">
        <v>5</v>
      </c>
      <c r="AO967" s="4">
        <v>9</v>
      </c>
      <c r="AP967" s="4">
        <v>0</v>
      </c>
      <c r="AQ967" s="4">
        <v>1</v>
      </c>
      <c r="AR967" s="4">
        <v>0</v>
      </c>
      <c r="AS967" s="4">
        <v>2</v>
      </c>
      <c r="AT967" s="4">
        <v>8</v>
      </c>
      <c r="AU967" s="4">
        <v>2</v>
      </c>
      <c r="AV967" s="4">
        <v>1</v>
      </c>
      <c r="AW967" s="4">
        <v>3</v>
      </c>
      <c r="AX967" s="4">
        <v>5</v>
      </c>
      <c r="AY967" s="4">
        <v>0</v>
      </c>
      <c r="AZ967" s="4">
        <v>1</v>
      </c>
      <c r="BA967" s="4">
        <v>0</v>
      </c>
      <c r="BB967" s="4">
        <v>48</v>
      </c>
      <c r="BC967" s="4">
        <v>2</v>
      </c>
      <c r="BD967" s="4">
        <v>0</v>
      </c>
      <c r="BE967" s="4">
        <v>2</v>
      </c>
      <c r="BF967" s="4">
        <v>60</v>
      </c>
      <c r="BG967" s="4">
        <v>0</v>
      </c>
      <c r="BH967" s="4">
        <v>1</v>
      </c>
      <c r="BI967" s="4">
        <v>0</v>
      </c>
      <c r="BJ967" s="4">
        <v>6</v>
      </c>
      <c r="BK967" s="4">
        <v>14</v>
      </c>
      <c r="BL967" s="4">
        <v>0</v>
      </c>
      <c r="BM967" s="4">
        <v>0</v>
      </c>
      <c r="BN967" s="4">
        <v>7</v>
      </c>
      <c r="BO967" s="4">
        <v>0</v>
      </c>
      <c r="BP967" s="4">
        <v>3</v>
      </c>
      <c r="BQ967" s="4">
        <v>4</v>
      </c>
      <c r="BR967" s="4">
        <v>0</v>
      </c>
      <c r="BS967" s="4">
        <v>8</v>
      </c>
      <c r="BT967" s="4">
        <v>6</v>
      </c>
      <c r="BU967" s="4">
        <v>0</v>
      </c>
      <c r="BV967" s="4">
        <v>2</v>
      </c>
      <c r="BW967" s="4">
        <v>5</v>
      </c>
      <c r="BX967" s="4">
        <v>21</v>
      </c>
      <c r="BY967" s="4">
        <v>0</v>
      </c>
      <c r="BZ967" s="4">
        <v>0</v>
      </c>
      <c r="CA967" s="4">
        <v>17</v>
      </c>
      <c r="CB967" s="4">
        <v>5</v>
      </c>
      <c r="CC967" s="4">
        <v>0</v>
      </c>
      <c r="CD967" s="4">
        <v>2</v>
      </c>
      <c r="CE967" s="4">
        <v>0</v>
      </c>
      <c r="CF967" s="4">
        <v>1</v>
      </c>
      <c r="CG967" s="4">
        <v>0</v>
      </c>
      <c r="CH967" s="4">
        <v>1</v>
      </c>
      <c r="CI967" s="4">
        <v>0</v>
      </c>
      <c r="CJ967" s="4">
        <v>2</v>
      </c>
      <c r="CK967" s="4">
        <v>0</v>
      </c>
      <c r="CL967" s="4">
        <v>0</v>
      </c>
      <c r="CM967" s="4">
        <v>2</v>
      </c>
      <c r="CN967" s="4">
        <v>10</v>
      </c>
      <c r="CO967" s="4">
        <v>1</v>
      </c>
      <c r="CP967" s="4">
        <v>1</v>
      </c>
      <c r="CQ967" s="4">
        <v>0</v>
      </c>
      <c r="CR967" s="4">
        <v>0</v>
      </c>
      <c r="CS967" s="4">
        <v>0</v>
      </c>
      <c r="CT967" s="4">
        <v>2</v>
      </c>
      <c r="CU967" s="4">
        <v>2</v>
      </c>
      <c r="CV967" s="4">
        <v>9</v>
      </c>
      <c r="CW967" s="4">
        <v>2</v>
      </c>
      <c r="CX967" s="5">
        <v>2</v>
      </c>
    </row>
    <row r="968" spans="1:102" ht="15.75" x14ac:dyDescent="0.25">
      <c r="A968" s="4" t="s">
        <v>143</v>
      </c>
      <c r="B968" s="4" t="s">
        <v>144</v>
      </c>
      <c r="C968" s="4">
        <v>2022</v>
      </c>
      <c r="D968" s="4">
        <v>402</v>
      </c>
      <c r="E968" s="4">
        <v>2</v>
      </c>
      <c r="F968" s="4">
        <v>1</v>
      </c>
      <c r="G968" s="4">
        <v>4</v>
      </c>
      <c r="H968" s="4">
        <v>1</v>
      </c>
      <c r="I968" s="4">
        <v>8</v>
      </c>
      <c r="J968" s="4">
        <v>3</v>
      </c>
      <c r="K968" s="4">
        <v>1</v>
      </c>
      <c r="L968" s="4">
        <v>4</v>
      </c>
      <c r="M968" s="4">
        <v>1</v>
      </c>
      <c r="N968" s="4">
        <v>5</v>
      </c>
      <c r="O968" s="4">
        <v>8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1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2</v>
      </c>
      <c r="AJ968" s="4">
        <v>7</v>
      </c>
      <c r="AK968" s="4">
        <v>3</v>
      </c>
      <c r="AL968" s="4">
        <v>0</v>
      </c>
      <c r="AM968" s="4">
        <v>0</v>
      </c>
      <c r="AN968" s="4">
        <v>3</v>
      </c>
      <c r="AO968" s="4">
        <v>6</v>
      </c>
      <c r="AP968" s="4">
        <v>0</v>
      </c>
      <c r="AQ968" s="4">
        <v>2</v>
      </c>
      <c r="AR968" s="4">
        <v>0</v>
      </c>
      <c r="AS968" s="4">
        <v>1</v>
      </c>
      <c r="AT968" s="4">
        <v>2</v>
      </c>
      <c r="AU968" s="4">
        <v>3</v>
      </c>
      <c r="AV968" s="4">
        <v>1</v>
      </c>
      <c r="AW968" s="4">
        <v>1</v>
      </c>
      <c r="AX968" s="4">
        <v>5</v>
      </c>
      <c r="AY968" s="4">
        <v>0</v>
      </c>
      <c r="AZ968" s="4">
        <v>7</v>
      </c>
      <c r="BA968" s="4">
        <v>0</v>
      </c>
      <c r="BB968" s="4">
        <v>61</v>
      </c>
      <c r="BC968" s="4">
        <v>1</v>
      </c>
      <c r="BD968" s="4">
        <v>0</v>
      </c>
      <c r="BE968" s="4">
        <v>1</v>
      </c>
      <c r="BF968" s="4">
        <v>2</v>
      </c>
      <c r="BG968" s="4">
        <v>0</v>
      </c>
      <c r="BH968" s="4">
        <v>0</v>
      </c>
      <c r="BI968" s="4">
        <v>0</v>
      </c>
      <c r="BJ968" s="4">
        <v>10</v>
      </c>
      <c r="BK968" s="4">
        <v>9</v>
      </c>
      <c r="BL968" s="4">
        <v>0</v>
      </c>
      <c r="BM968" s="4">
        <v>1</v>
      </c>
      <c r="BN968" s="4">
        <v>3</v>
      </c>
      <c r="BO968" s="4">
        <v>0</v>
      </c>
      <c r="BP968" s="4">
        <v>0</v>
      </c>
      <c r="BQ968" s="4">
        <v>3</v>
      </c>
      <c r="BR968" s="4">
        <v>1</v>
      </c>
      <c r="BS968" s="4">
        <v>11</v>
      </c>
      <c r="BT968" s="4">
        <v>4</v>
      </c>
      <c r="BU968" s="4">
        <v>0</v>
      </c>
      <c r="BV968" s="4">
        <v>2</v>
      </c>
      <c r="BW968" s="4">
        <v>0</v>
      </c>
      <c r="BX968" s="4">
        <v>54</v>
      </c>
      <c r="BY968" s="4">
        <v>0</v>
      </c>
      <c r="BZ968" s="4">
        <v>0</v>
      </c>
      <c r="CA968" s="4">
        <v>5</v>
      </c>
      <c r="CB968" s="4">
        <v>0</v>
      </c>
      <c r="CC968" s="4">
        <v>0</v>
      </c>
      <c r="CD968" s="4">
        <v>2</v>
      </c>
      <c r="CE968" s="4">
        <v>0</v>
      </c>
      <c r="CF968" s="4">
        <v>2</v>
      </c>
      <c r="CG968" s="4">
        <v>0</v>
      </c>
      <c r="CH968" s="4">
        <v>1</v>
      </c>
      <c r="CI968" s="4">
        <v>1</v>
      </c>
      <c r="CJ968" s="4">
        <v>3</v>
      </c>
      <c r="CK968" s="4">
        <v>1</v>
      </c>
      <c r="CL968" s="4">
        <v>0</v>
      </c>
      <c r="CM968" s="4">
        <v>2</v>
      </c>
      <c r="CN968" s="4">
        <v>8</v>
      </c>
      <c r="CO968" s="4">
        <v>2</v>
      </c>
      <c r="CP968" s="4">
        <v>0</v>
      </c>
      <c r="CQ968" s="4">
        <v>0</v>
      </c>
      <c r="CR968" s="4">
        <v>4</v>
      </c>
      <c r="CS968" s="4">
        <v>113</v>
      </c>
      <c r="CT968" s="4">
        <v>3</v>
      </c>
      <c r="CU968" s="4">
        <v>0</v>
      </c>
      <c r="CV968" s="4">
        <v>5</v>
      </c>
      <c r="CW968" s="4">
        <v>1</v>
      </c>
      <c r="CX968" s="5">
        <v>1</v>
      </c>
    </row>
    <row r="969" spans="1:102" ht="15.75" x14ac:dyDescent="0.25">
      <c r="A969" s="4" t="s">
        <v>145</v>
      </c>
      <c r="B969" s="4" t="s">
        <v>146</v>
      </c>
      <c r="C969" s="4">
        <v>2022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1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5">
        <v>0</v>
      </c>
    </row>
    <row r="970" spans="1:102" ht="15.75" x14ac:dyDescent="0.25">
      <c r="A970" s="4" t="s">
        <v>147</v>
      </c>
      <c r="B970" s="4" t="s">
        <v>148</v>
      </c>
      <c r="C970" s="4">
        <v>2022</v>
      </c>
      <c r="D970" s="4">
        <v>47</v>
      </c>
      <c r="E970" s="4">
        <v>0</v>
      </c>
      <c r="F970" s="4">
        <v>18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1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19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1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1</v>
      </c>
      <c r="BK970" s="4">
        <v>1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1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5">
        <v>0</v>
      </c>
    </row>
    <row r="971" spans="1:102" ht="15.75" x14ac:dyDescent="0.25">
      <c r="A971" s="4" t="s">
        <v>149</v>
      </c>
      <c r="B971" s="4" t="s">
        <v>150</v>
      </c>
      <c r="C971" s="4">
        <v>2022</v>
      </c>
      <c r="D971" s="4">
        <v>37</v>
      </c>
      <c r="E971" s="4">
        <v>0</v>
      </c>
      <c r="F971" s="4">
        <v>1</v>
      </c>
      <c r="G971" s="4">
        <v>0</v>
      </c>
      <c r="H971" s="4">
        <v>0</v>
      </c>
      <c r="I971" s="4">
        <v>1</v>
      </c>
      <c r="J971" s="4">
        <v>0</v>
      </c>
      <c r="K971" s="4">
        <v>1</v>
      </c>
      <c r="L971" s="4">
        <v>1</v>
      </c>
      <c r="M971" s="4">
        <v>0</v>
      </c>
      <c r="N971" s="4">
        <v>2</v>
      </c>
      <c r="O971" s="4">
        <v>2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14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1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1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2</v>
      </c>
      <c r="BT971" s="4">
        <v>0</v>
      </c>
      <c r="BU971" s="4">
        <v>0</v>
      </c>
      <c r="BV971" s="4">
        <v>1</v>
      </c>
      <c r="BW971" s="4">
        <v>1</v>
      </c>
      <c r="BX971" s="4">
        <v>1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1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1</v>
      </c>
      <c r="CS971" s="4">
        <v>1</v>
      </c>
      <c r="CT971" s="4">
        <v>1</v>
      </c>
      <c r="CU971" s="4">
        <v>0</v>
      </c>
      <c r="CV971" s="4">
        <v>1</v>
      </c>
      <c r="CW971" s="4">
        <v>0</v>
      </c>
      <c r="CX971" s="5">
        <v>0</v>
      </c>
    </row>
    <row r="972" spans="1:102" ht="15.75" x14ac:dyDescent="0.25">
      <c r="A972" s="4" t="s">
        <v>151</v>
      </c>
      <c r="B972" s="4" t="s">
        <v>152</v>
      </c>
      <c r="C972" s="4">
        <v>2022</v>
      </c>
      <c r="D972" s="4">
        <v>53</v>
      </c>
      <c r="E972" s="4">
        <v>0</v>
      </c>
      <c r="F972" s="4">
        <v>1</v>
      </c>
      <c r="G972" s="4">
        <v>0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 s="4">
        <v>0</v>
      </c>
      <c r="N972" s="4">
        <v>1</v>
      </c>
      <c r="O972" s="4">
        <v>1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2</v>
      </c>
      <c r="AK972" s="4">
        <v>0</v>
      </c>
      <c r="AL972" s="4">
        <v>0</v>
      </c>
      <c r="AM972" s="4">
        <v>0</v>
      </c>
      <c r="AN972" s="4">
        <v>0</v>
      </c>
      <c r="AO972" s="4">
        <v>1</v>
      </c>
      <c r="AP972" s="4">
        <v>0</v>
      </c>
      <c r="AQ972" s="4">
        <v>1</v>
      </c>
      <c r="AR972" s="4">
        <v>0</v>
      </c>
      <c r="AS972" s="4">
        <v>0</v>
      </c>
      <c r="AT972" s="4">
        <v>0</v>
      </c>
      <c r="AU972" s="4">
        <v>0</v>
      </c>
      <c r="AV972" s="4">
        <v>1</v>
      </c>
      <c r="AW972" s="4">
        <v>0</v>
      </c>
      <c r="AX972" s="4">
        <v>1</v>
      </c>
      <c r="AY972" s="4">
        <v>0</v>
      </c>
      <c r="AZ972" s="4">
        <v>0</v>
      </c>
      <c r="BA972" s="4">
        <v>0</v>
      </c>
      <c r="BB972" s="4">
        <v>3</v>
      </c>
      <c r="BC972" s="4">
        <v>0</v>
      </c>
      <c r="BD972" s="4">
        <v>0</v>
      </c>
      <c r="BE972" s="4">
        <v>0</v>
      </c>
      <c r="BF972" s="4">
        <v>1</v>
      </c>
      <c r="BG972" s="4">
        <v>0</v>
      </c>
      <c r="BH972" s="4">
        <v>0</v>
      </c>
      <c r="BI972" s="4">
        <v>0</v>
      </c>
      <c r="BJ972" s="4">
        <v>3</v>
      </c>
      <c r="BK972" s="4">
        <v>1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4</v>
      </c>
      <c r="BT972" s="4">
        <v>0</v>
      </c>
      <c r="BU972" s="4">
        <v>0</v>
      </c>
      <c r="BV972" s="4">
        <v>0</v>
      </c>
      <c r="BW972" s="4">
        <v>0</v>
      </c>
      <c r="BX972" s="4">
        <v>20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1</v>
      </c>
      <c r="CJ972" s="4">
        <v>0</v>
      </c>
      <c r="CK972" s="4">
        <v>0</v>
      </c>
      <c r="CL972" s="4">
        <v>0</v>
      </c>
      <c r="CM972" s="4">
        <v>0</v>
      </c>
      <c r="CN972" s="4">
        <v>2</v>
      </c>
      <c r="CO972" s="4">
        <v>0</v>
      </c>
      <c r="CP972" s="4">
        <v>0</v>
      </c>
      <c r="CQ972" s="4">
        <v>0</v>
      </c>
      <c r="CR972" s="4">
        <v>0</v>
      </c>
      <c r="CS972" s="4">
        <v>2</v>
      </c>
      <c r="CT972" s="4">
        <v>0</v>
      </c>
      <c r="CU972" s="4">
        <v>0</v>
      </c>
      <c r="CV972" s="4">
        <v>1</v>
      </c>
      <c r="CW972" s="4">
        <v>0</v>
      </c>
      <c r="CX972" s="5">
        <v>0</v>
      </c>
    </row>
    <row r="973" spans="1:102" ht="15.75" x14ac:dyDescent="0.25">
      <c r="A973" s="4" t="s">
        <v>153</v>
      </c>
      <c r="B973" s="4" t="s">
        <v>154</v>
      </c>
      <c r="C973" s="4">
        <v>2022</v>
      </c>
      <c r="D973" s="4">
        <v>17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5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1</v>
      </c>
      <c r="AO973" s="4">
        <v>1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1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1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1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1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5">
        <v>0</v>
      </c>
    </row>
    <row r="974" spans="1:102" ht="15.75" x14ac:dyDescent="0.25">
      <c r="A974" s="4" t="s">
        <v>155</v>
      </c>
      <c r="B974" s="4" t="s">
        <v>156</v>
      </c>
      <c r="C974" s="4">
        <v>2022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5">
        <v>0</v>
      </c>
    </row>
    <row r="975" spans="1:102" ht="15.75" x14ac:dyDescent="0.25">
      <c r="A975" s="4" t="s">
        <v>157</v>
      </c>
      <c r="B975" s="4" t="s">
        <v>158</v>
      </c>
      <c r="C975" s="4">
        <v>2022</v>
      </c>
      <c r="D975" s="4">
        <v>2726</v>
      </c>
      <c r="E975" s="4">
        <v>1</v>
      </c>
      <c r="F975" s="4">
        <v>0</v>
      </c>
      <c r="G975" s="4">
        <v>1</v>
      </c>
      <c r="H975" s="4">
        <v>0</v>
      </c>
      <c r="I975" s="4">
        <v>3</v>
      </c>
      <c r="J975" s="4">
        <v>11</v>
      </c>
      <c r="K975" s="4">
        <v>0</v>
      </c>
      <c r="L975" s="4">
        <v>5</v>
      </c>
      <c r="M975" s="4">
        <v>6</v>
      </c>
      <c r="N975" s="4">
        <v>12</v>
      </c>
      <c r="O975" s="4">
        <v>179</v>
      </c>
      <c r="P975" s="4">
        <v>0</v>
      </c>
      <c r="Q975" s="4">
        <v>0</v>
      </c>
      <c r="R975" s="4">
        <v>7</v>
      </c>
      <c r="S975" s="4">
        <v>0</v>
      </c>
      <c r="T975" s="4">
        <v>0</v>
      </c>
      <c r="U975" s="4">
        <v>1</v>
      </c>
      <c r="V975" s="4">
        <v>5</v>
      </c>
      <c r="W975" s="4">
        <v>0</v>
      </c>
      <c r="X975" s="4">
        <v>5</v>
      </c>
      <c r="Y975" s="4">
        <v>0</v>
      </c>
      <c r="Z975" s="4">
        <v>0</v>
      </c>
      <c r="AA975" s="4">
        <v>22</v>
      </c>
      <c r="AB975" s="4">
        <v>0</v>
      </c>
      <c r="AC975" s="4">
        <v>0</v>
      </c>
      <c r="AD975" s="4">
        <v>1</v>
      </c>
      <c r="AE975" s="4">
        <v>0</v>
      </c>
      <c r="AF975" s="4">
        <v>0</v>
      </c>
      <c r="AG975" s="4">
        <v>148</v>
      </c>
      <c r="AH975" s="4">
        <v>75</v>
      </c>
      <c r="AI975" s="4">
        <v>17</v>
      </c>
      <c r="AJ975" s="4">
        <v>271</v>
      </c>
      <c r="AK975" s="4">
        <v>9</v>
      </c>
      <c r="AL975" s="4">
        <v>79</v>
      </c>
      <c r="AM975" s="4">
        <v>55</v>
      </c>
      <c r="AN975" s="4">
        <v>34</v>
      </c>
      <c r="AO975" s="4">
        <v>145</v>
      </c>
      <c r="AP975" s="4">
        <v>0</v>
      </c>
      <c r="AQ975" s="4">
        <v>14</v>
      </c>
      <c r="AR975" s="4">
        <v>0</v>
      </c>
      <c r="AS975" s="4">
        <v>3</v>
      </c>
      <c r="AT975" s="4">
        <v>6</v>
      </c>
      <c r="AU975" s="4">
        <v>13</v>
      </c>
      <c r="AV975" s="4">
        <v>82</v>
      </c>
      <c r="AW975" s="4">
        <v>38</v>
      </c>
      <c r="AX975" s="4">
        <v>59</v>
      </c>
      <c r="AY975" s="4">
        <v>6</v>
      </c>
      <c r="AZ975" s="4">
        <v>17</v>
      </c>
      <c r="BA975" s="4">
        <v>0</v>
      </c>
      <c r="BB975" s="4">
        <v>386</v>
      </c>
      <c r="BC975" s="4">
        <v>38</v>
      </c>
      <c r="BD975" s="4">
        <v>0</v>
      </c>
      <c r="BE975" s="4">
        <v>74</v>
      </c>
      <c r="BF975" s="4">
        <v>50</v>
      </c>
      <c r="BG975" s="4">
        <v>8</v>
      </c>
      <c r="BH975" s="4">
        <v>22</v>
      </c>
      <c r="BI975" s="4">
        <v>0</v>
      </c>
      <c r="BJ975" s="4">
        <v>118</v>
      </c>
      <c r="BK975" s="4">
        <v>101</v>
      </c>
      <c r="BL975" s="4">
        <v>0</v>
      </c>
      <c r="BM975" s="4">
        <v>2</v>
      </c>
      <c r="BN975" s="4">
        <v>7</v>
      </c>
      <c r="BO975" s="4">
        <v>0</v>
      </c>
      <c r="BP975" s="4">
        <v>2</v>
      </c>
      <c r="BQ975" s="4">
        <v>18</v>
      </c>
      <c r="BR975" s="4">
        <v>1</v>
      </c>
      <c r="BS975" s="4">
        <v>64</v>
      </c>
      <c r="BT975" s="4">
        <v>19</v>
      </c>
      <c r="BU975" s="4">
        <v>0</v>
      </c>
      <c r="BV975" s="4">
        <v>48</v>
      </c>
      <c r="BW975" s="4">
        <v>4</v>
      </c>
      <c r="BX975" s="4">
        <v>115</v>
      </c>
      <c r="BY975" s="4">
        <v>0</v>
      </c>
      <c r="BZ975" s="4">
        <v>0</v>
      </c>
      <c r="CA975" s="4">
        <v>52</v>
      </c>
      <c r="CB975" s="4">
        <v>98</v>
      </c>
      <c r="CC975" s="4">
        <v>0</v>
      </c>
      <c r="CD975" s="4">
        <v>3</v>
      </c>
      <c r="CE975" s="4">
        <v>0</v>
      </c>
      <c r="CF975" s="4">
        <v>0</v>
      </c>
      <c r="CG975" s="4">
        <v>4</v>
      </c>
      <c r="CH975" s="4">
        <v>2</v>
      </c>
      <c r="CI975" s="4">
        <v>1</v>
      </c>
      <c r="CJ975" s="4">
        <v>1</v>
      </c>
      <c r="CK975" s="4">
        <v>0</v>
      </c>
      <c r="CL975" s="4">
        <v>0</v>
      </c>
      <c r="CM975" s="4">
        <v>23</v>
      </c>
      <c r="CN975" s="4">
        <v>78</v>
      </c>
      <c r="CO975" s="4">
        <v>1</v>
      </c>
      <c r="CP975" s="4">
        <v>1</v>
      </c>
      <c r="CQ975" s="4">
        <v>0</v>
      </c>
      <c r="CR975" s="4">
        <v>4</v>
      </c>
      <c r="CS975" s="4">
        <v>0</v>
      </c>
      <c r="CT975" s="4">
        <v>10</v>
      </c>
      <c r="CU975" s="4">
        <v>0</v>
      </c>
      <c r="CV975" s="4">
        <v>32</v>
      </c>
      <c r="CW975" s="4">
        <v>9</v>
      </c>
      <c r="CX975" s="5">
        <v>9</v>
      </c>
    </row>
    <row r="976" spans="1:102" ht="15.75" x14ac:dyDescent="0.25">
      <c r="A976" s="4" t="s">
        <v>159</v>
      </c>
      <c r="B976" s="4" t="s">
        <v>160</v>
      </c>
      <c r="C976" s="4">
        <v>2022</v>
      </c>
      <c r="D976" s="4">
        <v>27</v>
      </c>
      <c r="E976" s="4">
        <v>0</v>
      </c>
      <c r="F976" s="4">
        <v>0</v>
      </c>
      <c r="G976" s="4">
        <v>0</v>
      </c>
      <c r="H976" s="4">
        <v>0</v>
      </c>
      <c r="I976" s="4">
        <v>3</v>
      </c>
      <c r="J976" s="4">
        <v>0</v>
      </c>
      <c r="K976" s="4">
        <v>1</v>
      </c>
      <c r="L976" s="4">
        <v>0</v>
      </c>
      <c r="M976" s="4">
        <v>0</v>
      </c>
      <c r="N976" s="4">
        <v>1</v>
      </c>
      <c r="O976" s="4">
        <v>2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4</v>
      </c>
      <c r="AK976" s="4">
        <v>1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1</v>
      </c>
      <c r="AU976" s="4">
        <v>0</v>
      </c>
      <c r="AV976" s="4">
        <v>0</v>
      </c>
      <c r="AW976" s="4">
        <v>0</v>
      </c>
      <c r="AX976" s="4">
        <v>1</v>
      </c>
      <c r="AY976" s="4">
        <v>0</v>
      </c>
      <c r="AZ976" s="4">
        <v>0</v>
      </c>
      <c r="BA976" s="4">
        <v>0</v>
      </c>
      <c r="BB976" s="4">
        <v>1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1</v>
      </c>
      <c r="BT976" s="4">
        <v>1</v>
      </c>
      <c r="BU976" s="4">
        <v>0</v>
      </c>
      <c r="BV976" s="4">
        <v>0</v>
      </c>
      <c r="BW976" s="4">
        <v>0</v>
      </c>
      <c r="BX976" s="4">
        <v>1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1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2</v>
      </c>
      <c r="CS976" s="4">
        <v>0</v>
      </c>
      <c r="CT976" s="4">
        <v>1</v>
      </c>
      <c r="CU976" s="4">
        <v>0</v>
      </c>
      <c r="CV976" s="4">
        <v>1</v>
      </c>
      <c r="CW976" s="4">
        <v>0</v>
      </c>
      <c r="CX976" s="5">
        <v>0</v>
      </c>
    </row>
    <row r="977" spans="1:102" ht="15.75" x14ac:dyDescent="0.25">
      <c r="A977" s="4" t="s">
        <v>161</v>
      </c>
      <c r="B977" s="4" t="s">
        <v>162</v>
      </c>
      <c r="C977" s="4">
        <v>2022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1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5">
        <v>0</v>
      </c>
    </row>
    <row r="978" spans="1:102" ht="15.75" x14ac:dyDescent="0.25">
      <c r="A978" s="4" t="s">
        <v>163</v>
      </c>
      <c r="B978" s="4" t="s">
        <v>164</v>
      </c>
      <c r="C978" s="4">
        <v>2022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5">
        <v>0</v>
      </c>
    </row>
    <row r="979" spans="1:102" ht="15.75" x14ac:dyDescent="0.25">
      <c r="A979" s="4" t="s">
        <v>165</v>
      </c>
      <c r="B979" s="4" t="s">
        <v>166</v>
      </c>
      <c r="C979" s="4">
        <v>2022</v>
      </c>
      <c r="D979" s="4">
        <v>21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1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10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2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1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1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1</v>
      </c>
      <c r="CW979" s="4">
        <v>0</v>
      </c>
      <c r="CX979" s="5">
        <v>0</v>
      </c>
    </row>
    <row r="980" spans="1:102" ht="15.75" x14ac:dyDescent="0.25">
      <c r="A980" s="4" t="s">
        <v>167</v>
      </c>
      <c r="B980" s="4" t="s">
        <v>168</v>
      </c>
      <c r="C980" s="4">
        <v>2022</v>
      </c>
      <c r="D980" s="4">
        <v>30</v>
      </c>
      <c r="E980" s="4">
        <v>1</v>
      </c>
      <c r="F980" s="4">
        <v>0</v>
      </c>
      <c r="G980" s="4">
        <v>0</v>
      </c>
      <c r="H980" s="4">
        <v>1</v>
      </c>
      <c r="I980" s="4">
        <v>0</v>
      </c>
      <c r="J980" s="4">
        <v>1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3</v>
      </c>
      <c r="AJ980" s="4">
        <v>1</v>
      </c>
      <c r="AK980" s="4">
        <v>1</v>
      </c>
      <c r="AL980" s="4">
        <v>0</v>
      </c>
      <c r="AM980" s="4">
        <v>3</v>
      </c>
      <c r="AN980" s="4">
        <v>0</v>
      </c>
      <c r="AO980" s="4">
        <v>2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2</v>
      </c>
      <c r="BC980" s="4">
        <v>0</v>
      </c>
      <c r="BD980" s="4">
        <v>0</v>
      </c>
      <c r="BE980" s="4">
        <v>0</v>
      </c>
      <c r="BF980" s="4">
        <v>1</v>
      </c>
      <c r="BG980" s="4">
        <v>0</v>
      </c>
      <c r="BH980" s="4">
        <v>0</v>
      </c>
      <c r="BI980" s="4">
        <v>0</v>
      </c>
      <c r="BJ980" s="4">
        <v>1</v>
      </c>
      <c r="BK980" s="4">
        <v>1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4</v>
      </c>
      <c r="BW980" s="4">
        <v>1</v>
      </c>
      <c r="BX980" s="4">
        <v>1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1</v>
      </c>
      <c r="CK980" s="4">
        <v>0</v>
      </c>
      <c r="CL980" s="4">
        <v>0</v>
      </c>
      <c r="CM980" s="4">
        <v>0</v>
      </c>
      <c r="CN980" s="4">
        <v>0</v>
      </c>
      <c r="CO980" s="4">
        <v>1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5">
        <v>0</v>
      </c>
    </row>
    <row r="981" spans="1:102" ht="15.75" x14ac:dyDescent="0.25">
      <c r="A981" s="4" t="s">
        <v>169</v>
      </c>
      <c r="B981" s="4" t="s">
        <v>170</v>
      </c>
      <c r="C981" s="4">
        <v>2022</v>
      </c>
      <c r="D981" s="4">
        <v>8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1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1</v>
      </c>
      <c r="BF981" s="4">
        <v>1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2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1</v>
      </c>
      <c r="CS981" s="4">
        <v>0</v>
      </c>
      <c r="CT981" s="4">
        <v>1</v>
      </c>
      <c r="CU981" s="4">
        <v>0</v>
      </c>
      <c r="CV981" s="4">
        <v>0</v>
      </c>
      <c r="CW981" s="4">
        <v>0</v>
      </c>
      <c r="CX981" s="5">
        <v>0</v>
      </c>
    </row>
    <row r="982" spans="1:102" ht="15.75" x14ac:dyDescent="0.25">
      <c r="A982" s="4" t="s">
        <v>171</v>
      </c>
      <c r="B982" s="4" t="s">
        <v>172</v>
      </c>
      <c r="C982" s="4">
        <v>2022</v>
      </c>
      <c r="D982" s="4">
        <v>5909</v>
      </c>
      <c r="E982" s="4">
        <v>4</v>
      </c>
      <c r="F982" s="4">
        <v>33</v>
      </c>
      <c r="G982" s="4">
        <v>21</v>
      </c>
      <c r="H982" s="4">
        <v>22</v>
      </c>
      <c r="I982" s="4">
        <v>55</v>
      </c>
      <c r="J982" s="4">
        <v>9</v>
      </c>
      <c r="K982" s="4">
        <v>25</v>
      </c>
      <c r="L982" s="4">
        <v>97</v>
      </c>
      <c r="M982" s="4">
        <v>12</v>
      </c>
      <c r="N982" s="4">
        <v>28</v>
      </c>
      <c r="O982" s="4">
        <v>241</v>
      </c>
      <c r="P982" s="4">
        <v>0</v>
      </c>
      <c r="Q982" s="4">
        <v>1</v>
      </c>
      <c r="R982" s="4">
        <v>1</v>
      </c>
      <c r="S982" s="4">
        <v>1</v>
      </c>
      <c r="T982" s="4">
        <v>0</v>
      </c>
      <c r="U982" s="4">
        <v>1</v>
      </c>
      <c r="V982" s="4">
        <v>3</v>
      </c>
      <c r="W982" s="4">
        <v>71</v>
      </c>
      <c r="X982" s="4">
        <v>4</v>
      </c>
      <c r="Y982" s="4">
        <v>0</v>
      </c>
      <c r="Z982" s="4">
        <v>0</v>
      </c>
      <c r="AA982" s="4">
        <v>519</v>
      </c>
      <c r="AB982" s="4">
        <v>0</v>
      </c>
      <c r="AC982" s="4">
        <v>0</v>
      </c>
      <c r="AD982" s="4">
        <v>1</v>
      </c>
      <c r="AE982" s="4">
        <v>6</v>
      </c>
      <c r="AF982" s="4">
        <v>0</v>
      </c>
      <c r="AG982" s="4">
        <v>59</v>
      </c>
      <c r="AH982" s="4">
        <v>232</v>
      </c>
      <c r="AI982" s="4">
        <v>18</v>
      </c>
      <c r="AJ982" s="4">
        <v>395</v>
      </c>
      <c r="AK982" s="4">
        <v>61</v>
      </c>
      <c r="AL982" s="4">
        <v>9</v>
      </c>
      <c r="AM982" s="4">
        <v>45</v>
      </c>
      <c r="AN982" s="4">
        <v>30</v>
      </c>
      <c r="AO982" s="4">
        <v>111</v>
      </c>
      <c r="AP982" s="4">
        <v>2</v>
      </c>
      <c r="AQ982" s="4">
        <v>29</v>
      </c>
      <c r="AR982" s="4">
        <v>3</v>
      </c>
      <c r="AS982" s="4">
        <v>26</v>
      </c>
      <c r="AT982" s="4">
        <v>30</v>
      </c>
      <c r="AU982" s="4">
        <v>23</v>
      </c>
      <c r="AV982" s="4">
        <v>101</v>
      </c>
      <c r="AW982" s="4">
        <v>574</v>
      </c>
      <c r="AX982" s="4">
        <v>111</v>
      </c>
      <c r="AY982" s="4">
        <v>4</v>
      </c>
      <c r="AZ982" s="4">
        <v>13</v>
      </c>
      <c r="BA982" s="4">
        <v>0</v>
      </c>
      <c r="BB982" s="4">
        <v>284</v>
      </c>
      <c r="BC982" s="4">
        <v>54</v>
      </c>
      <c r="BD982" s="4">
        <v>2</v>
      </c>
      <c r="BE982" s="4">
        <v>44</v>
      </c>
      <c r="BF982" s="4">
        <v>134</v>
      </c>
      <c r="BG982" s="4">
        <v>6</v>
      </c>
      <c r="BH982" s="4">
        <v>11</v>
      </c>
      <c r="BI982" s="4">
        <v>0</v>
      </c>
      <c r="BJ982" s="4">
        <v>141</v>
      </c>
      <c r="BK982" s="4">
        <v>119</v>
      </c>
      <c r="BL982" s="4">
        <v>0</v>
      </c>
      <c r="BM982" s="4">
        <v>4</v>
      </c>
      <c r="BN982" s="4">
        <v>38</v>
      </c>
      <c r="BO982" s="4">
        <v>2</v>
      </c>
      <c r="BP982" s="4">
        <v>13</v>
      </c>
      <c r="BQ982" s="4">
        <v>58</v>
      </c>
      <c r="BR982" s="4">
        <v>14</v>
      </c>
      <c r="BS982" s="4">
        <v>117</v>
      </c>
      <c r="BT982" s="4">
        <v>68</v>
      </c>
      <c r="BU982" s="4">
        <v>3</v>
      </c>
      <c r="BV982" s="4">
        <v>62</v>
      </c>
      <c r="BW982" s="4">
        <v>23</v>
      </c>
      <c r="BX982" s="4">
        <v>595</v>
      </c>
      <c r="BY982" s="4">
        <v>10</v>
      </c>
      <c r="BZ982" s="4">
        <v>0</v>
      </c>
      <c r="CA982" s="4">
        <v>564</v>
      </c>
      <c r="CB982" s="4">
        <v>4</v>
      </c>
      <c r="CC982" s="4">
        <v>0</v>
      </c>
      <c r="CD982" s="4">
        <v>4</v>
      </c>
      <c r="CE982" s="4">
        <v>1</v>
      </c>
      <c r="CF982" s="4">
        <v>7</v>
      </c>
      <c r="CG982" s="4">
        <v>17</v>
      </c>
      <c r="CH982" s="4">
        <v>4</v>
      </c>
      <c r="CI982" s="4">
        <v>6</v>
      </c>
      <c r="CJ982" s="4">
        <v>40</v>
      </c>
      <c r="CK982" s="4">
        <v>5</v>
      </c>
      <c r="CL982" s="4">
        <v>0</v>
      </c>
      <c r="CM982" s="4">
        <v>31</v>
      </c>
      <c r="CN982" s="4">
        <v>150</v>
      </c>
      <c r="CO982" s="4">
        <v>9</v>
      </c>
      <c r="CP982" s="4">
        <v>14</v>
      </c>
      <c r="CQ982" s="4">
        <v>0</v>
      </c>
      <c r="CR982" s="4">
        <v>62</v>
      </c>
      <c r="CS982" s="4">
        <v>9</v>
      </c>
      <c r="CT982" s="4">
        <v>20</v>
      </c>
      <c r="CU982" s="4">
        <v>7</v>
      </c>
      <c r="CV982" s="4">
        <v>75</v>
      </c>
      <c r="CW982" s="4">
        <v>53</v>
      </c>
      <c r="CX982" s="5">
        <v>52</v>
      </c>
    </row>
    <row r="983" spans="1:102" ht="15.75" x14ac:dyDescent="0.25">
      <c r="A983" s="4" t="s">
        <v>173</v>
      </c>
      <c r="B983" s="4" t="s">
        <v>174</v>
      </c>
      <c r="C983" s="4">
        <v>2022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5">
        <v>0</v>
      </c>
    </row>
    <row r="984" spans="1:102" ht="15.75" x14ac:dyDescent="0.25">
      <c r="A984" s="4" t="s">
        <v>175</v>
      </c>
      <c r="B984" s="4" t="s">
        <v>176</v>
      </c>
      <c r="C984" s="4">
        <v>2022</v>
      </c>
      <c r="D984" s="4">
        <v>47</v>
      </c>
      <c r="E984" s="4">
        <v>0</v>
      </c>
      <c r="F984" s="4">
        <v>2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6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1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3</v>
      </c>
      <c r="AL984" s="4">
        <v>0</v>
      </c>
      <c r="AM984" s="4">
        <v>7</v>
      </c>
      <c r="AN984" s="4">
        <v>0</v>
      </c>
      <c r="AO984" s="4">
        <v>1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1</v>
      </c>
      <c r="AV984" s="4">
        <v>0</v>
      </c>
      <c r="AW984" s="4">
        <v>1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2</v>
      </c>
      <c r="BR984" s="4">
        <v>0</v>
      </c>
      <c r="BS984" s="4">
        <v>0</v>
      </c>
      <c r="BT984" s="4">
        <v>0</v>
      </c>
      <c r="BU984" s="4">
        <v>0</v>
      </c>
      <c r="BV984" s="4">
        <v>1</v>
      </c>
      <c r="BW984" s="4">
        <v>5</v>
      </c>
      <c r="BX984" s="4">
        <v>7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1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1</v>
      </c>
      <c r="CO984" s="4">
        <v>0</v>
      </c>
      <c r="CP984" s="4">
        <v>0</v>
      </c>
      <c r="CQ984" s="4">
        <v>0</v>
      </c>
      <c r="CR984" s="4">
        <v>0</v>
      </c>
      <c r="CS984" s="4">
        <v>0</v>
      </c>
      <c r="CT984" s="4">
        <v>2</v>
      </c>
      <c r="CU984" s="4">
        <v>0</v>
      </c>
      <c r="CV984" s="4">
        <v>1</v>
      </c>
      <c r="CW984" s="4">
        <v>0</v>
      </c>
      <c r="CX984" s="5">
        <v>0</v>
      </c>
    </row>
    <row r="985" spans="1:102" ht="15.75" x14ac:dyDescent="0.25">
      <c r="A985" s="4" t="s">
        <v>177</v>
      </c>
      <c r="B985" s="4" t="s">
        <v>178</v>
      </c>
      <c r="C985" s="4">
        <v>2022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5">
        <v>0</v>
      </c>
    </row>
    <row r="986" spans="1:102" ht="15.75" x14ac:dyDescent="0.25">
      <c r="A986" s="4" t="s">
        <v>179</v>
      </c>
      <c r="B986" s="4" t="s">
        <v>180</v>
      </c>
      <c r="C986" s="4">
        <v>2022</v>
      </c>
      <c r="D986" s="4">
        <v>34</v>
      </c>
      <c r="E986" s="4">
        <v>0</v>
      </c>
      <c r="F986" s="4">
        <v>3</v>
      </c>
      <c r="G986" s="4">
        <v>3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1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1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5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1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1</v>
      </c>
      <c r="BF986" s="4">
        <v>4</v>
      </c>
      <c r="BG986" s="4">
        <v>0</v>
      </c>
      <c r="BH986" s="4">
        <v>0</v>
      </c>
      <c r="BI986" s="4">
        <v>0</v>
      </c>
      <c r="BJ986" s="4">
        <v>2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2</v>
      </c>
      <c r="BR986" s="4">
        <v>0</v>
      </c>
      <c r="BS986" s="4">
        <v>1</v>
      </c>
      <c r="BT986" s="4">
        <v>1</v>
      </c>
      <c r="BU986" s="4">
        <v>0</v>
      </c>
      <c r="BV986" s="4">
        <v>0</v>
      </c>
      <c r="BW986" s="4">
        <v>0</v>
      </c>
      <c r="BX986" s="4">
        <v>2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1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5">
        <v>0</v>
      </c>
    </row>
    <row r="987" spans="1:102" ht="15.75" x14ac:dyDescent="0.25">
      <c r="A987" s="4" t="s">
        <v>181</v>
      </c>
      <c r="B987" s="4" t="s">
        <v>182</v>
      </c>
      <c r="C987" s="4">
        <v>2022</v>
      </c>
      <c r="D987" s="4">
        <v>18420</v>
      </c>
      <c r="E987" s="4">
        <v>1</v>
      </c>
      <c r="F987" s="4">
        <v>6</v>
      </c>
      <c r="G987" s="4">
        <v>10</v>
      </c>
      <c r="H987" s="4">
        <v>5</v>
      </c>
      <c r="I987" s="4">
        <v>16</v>
      </c>
      <c r="J987" s="4">
        <v>5</v>
      </c>
      <c r="K987" s="4">
        <v>8</v>
      </c>
      <c r="L987" s="4">
        <v>16</v>
      </c>
      <c r="M987" s="4">
        <v>10</v>
      </c>
      <c r="N987" s="4">
        <v>31</v>
      </c>
      <c r="O987" s="4">
        <v>155</v>
      </c>
      <c r="P987" s="4">
        <v>0</v>
      </c>
      <c r="Q987" s="4">
        <v>0</v>
      </c>
      <c r="R987" s="4">
        <v>1</v>
      </c>
      <c r="S987" s="4">
        <v>0</v>
      </c>
      <c r="T987" s="4">
        <v>0</v>
      </c>
      <c r="U987" s="4">
        <v>1</v>
      </c>
      <c r="V987" s="4">
        <v>10</v>
      </c>
      <c r="W987" s="4">
        <v>54</v>
      </c>
      <c r="X987" s="4">
        <v>2</v>
      </c>
      <c r="Y987" s="4">
        <v>0</v>
      </c>
      <c r="Z987" s="4">
        <v>0</v>
      </c>
      <c r="AA987" s="4">
        <v>2</v>
      </c>
      <c r="AB987" s="4">
        <v>0</v>
      </c>
      <c r="AC987" s="4">
        <v>0</v>
      </c>
      <c r="AD987" s="4">
        <v>0</v>
      </c>
      <c r="AE987" s="4">
        <v>5</v>
      </c>
      <c r="AF987" s="4">
        <v>0</v>
      </c>
      <c r="AG987" s="4">
        <v>376</v>
      </c>
      <c r="AH987" s="4">
        <v>29</v>
      </c>
      <c r="AI987" s="4">
        <v>22</v>
      </c>
      <c r="AJ987" s="4">
        <v>694</v>
      </c>
      <c r="AK987" s="4">
        <v>75</v>
      </c>
      <c r="AL987" s="4">
        <v>0</v>
      </c>
      <c r="AM987" s="4">
        <v>28</v>
      </c>
      <c r="AN987" s="4">
        <v>63</v>
      </c>
      <c r="AO987" s="4">
        <v>95</v>
      </c>
      <c r="AP987" s="4">
        <v>1</v>
      </c>
      <c r="AQ987" s="4">
        <v>15</v>
      </c>
      <c r="AR987" s="4">
        <v>3</v>
      </c>
      <c r="AS987" s="4">
        <v>19</v>
      </c>
      <c r="AT987" s="4">
        <v>22</v>
      </c>
      <c r="AU987" s="4">
        <v>95</v>
      </c>
      <c r="AV987" s="4">
        <v>27</v>
      </c>
      <c r="AW987" s="4">
        <v>824</v>
      </c>
      <c r="AX987" s="4">
        <v>59</v>
      </c>
      <c r="AY987" s="4">
        <v>11</v>
      </c>
      <c r="AZ987" s="4">
        <v>12</v>
      </c>
      <c r="BA987" s="4">
        <v>0</v>
      </c>
      <c r="BB987" s="4">
        <v>147</v>
      </c>
      <c r="BC987" s="4">
        <v>17</v>
      </c>
      <c r="BD987" s="4">
        <v>0</v>
      </c>
      <c r="BE987" s="4">
        <v>15</v>
      </c>
      <c r="BF987" s="4">
        <v>63</v>
      </c>
      <c r="BG987" s="4">
        <v>4</v>
      </c>
      <c r="BH987" s="4">
        <v>4</v>
      </c>
      <c r="BI987" s="4">
        <v>0</v>
      </c>
      <c r="BJ987" s="4">
        <v>52</v>
      </c>
      <c r="BK987" s="4">
        <v>134</v>
      </c>
      <c r="BL987" s="4">
        <v>0</v>
      </c>
      <c r="BM987" s="4">
        <v>12</v>
      </c>
      <c r="BN987" s="4">
        <v>69</v>
      </c>
      <c r="BO987" s="4">
        <v>1</v>
      </c>
      <c r="BP987" s="4">
        <v>6</v>
      </c>
      <c r="BQ987" s="4">
        <v>70</v>
      </c>
      <c r="BR987" s="4">
        <v>4</v>
      </c>
      <c r="BS987" s="4">
        <v>129</v>
      </c>
      <c r="BT987" s="4">
        <v>57</v>
      </c>
      <c r="BU987" s="4">
        <v>5</v>
      </c>
      <c r="BV987" s="4">
        <v>42</v>
      </c>
      <c r="BW987" s="4">
        <v>13</v>
      </c>
      <c r="BX987" s="4">
        <v>347</v>
      </c>
      <c r="BY987" s="4">
        <v>2</v>
      </c>
      <c r="BZ987" s="4">
        <v>0</v>
      </c>
      <c r="CA987" s="4">
        <v>83</v>
      </c>
      <c r="CB987" s="4">
        <v>536</v>
      </c>
      <c r="CC987" s="4">
        <v>1</v>
      </c>
      <c r="CD987" s="4">
        <v>7</v>
      </c>
      <c r="CE987" s="4">
        <v>0</v>
      </c>
      <c r="CF987" s="4">
        <v>14</v>
      </c>
      <c r="CG987" s="4">
        <v>5</v>
      </c>
      <c r="CH987" s="4">
        <v>9</v>
      </c>
      <c r="CI987" s="4">
        <v>15</v>
      </c>
      <c r="CJ987" s="4">
        <v>58</v>
      </c>
      <c r="CK987" s="4">
        <v>22</v>
      </c>
      <c r="CL987" s="4">
        <v>0</v>
      </c>
      <c r="CM987" s="4">
        <v>13</v>
      </c>
      <c r="CN987" s="4">
        <v>108</v>
      </c>
      <c r="CO987" s="4">
        <v>150</v>
      </c>
      <c r="CP987" s="4">
        <v>11</v>
      </c>
      <c r="CQ987" s="4">
        <v>0</v>
      </c>
      <c r="CR987" s="4">
        <v>663</v>
      </c>
      <c r="CS987" s="4">
        <v>452</v>
      </c>
      <c r="CT987" s="4">
        <v>31</v>
      </c>
      <c r="CU987" s="4">
        <v>4</v>
      </c>
      <c r="CV987" s="4">
        <v>113</v>
      </c>
      <c r="CW987" s="4">
        <v>12127</v>
      </c>
      <c r="CX987" s="5">
        <v>12018</v>
      </c>
    </row>
    <row r="988" spans="1:102" ht="15.75" x14ac:dyDescent="0.25">
      <c r="A988" s="4" t="s">
        <v>183</v>
      </c>
      <c r="B988" s="4" t="s">
        <v>184</v>
      </c>
      <c r="C988" s="4">
        <v>2022</v>
      </c>
      <c r="D988" s="4">
        <v>143</v>
      </c>
      <c r="E988" s="4">
        <v>0</v>
      </c>
      <c r="F988" s="4">
        <v>3</v>
      </c>
      <c r="G988" s="4">
        <v>4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1</v>
      </c>
      <c r="O988" s="4">
        <v>4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15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1</v>
      </c>
      <c r="AJ988" s="4">
        <v>2</v>
      </c>
      <c r="AK988" s="4">
        <v>1</v>
      </c>
      <c r="AL988" s="4">
        <v>0</v>
      </c>
      <c r="AM988" s="4">
        <v>1</v>
      </c>
      <c r="AN988" s="4">
        <v>2</v>
      </c>
      <c r="AO988" s="4">
        <v>2</v>
      </c>
      <c r="AP988" s="4">
        <v>0</v>
      </c>
      <c r="AQ988" s="4">
        <v>1</v>
      </c>
      <c r="AR988" s="4">
        <v>0</v>
      </c>
      <c r="AS988" s="4">
        <v>0</v>
      </c>
      <c r="AT988" s="4">
        <v>0</v>
      </c>
      <c r="AU988" s="4">
        <v>0</v>
      </c>
      <c r="AV988" s="4">
        <v>2</v>
      </c>
      <c r="AW988" s="4">
        <v>0</v>
      </c>
      <c r="AX988" s="4">
        <v>6</v>
      </c>
      <c r="AY988" s="4">
        <v>0</v>
      </c>
      <c r="AZ988" s="4">
        <v>10</v>
      </c>
      <c r="BA988" s="4">
        <v>0</v>
      </c>
      <c r="BB988" s="4">
        <v>0</v>
      </c>
      <c r="BC988" s="4">
        <v>1</v>
      </c>
      <c r="BD988" s="4">
        <v>0</v>
      </c>
      <c r="BE988" s="4">
        <v>4</v>
      </c>
      <c r="BF988" s="4">
        <v>5</v>
      </c>
      <c r="BG988" s="4">
        <v>0</v>
      </c>
      <c r="BH988" s="4">
        <v>0</v>
      </c>
      <c r="BI988" s="4">
        <v>0</v>
      </c>
      <c r="BJ988" s="4">
        <v>20</v>
      </c>
      <c r="BK988" s="4">
        <v>7</v>
      </c>
      <c r="BL988" s="4">
        <v>0</v>
      </c>
      <c r="BM988" s="4">
        <v>0</v>
      </c>
      <c r="BN988" s="4">
        <v>1</v>
      </c>
      <c r="BO988" s="4">
        <v>0</v>
      </c>
      <c r="BP988" s="4">
        <v>0</v>
      </c>
      <c r="BQ988" s="4">
        <v>5</v>
      </c>
      <c r="BR988" s="4">
        <v>0</v>
      </c>
      <c r="BS988" s="4">
        <v>2</v>
      </c>
      <c r="BT988" s="4">
        <v>2</v>
      </c>
      <c r="BU988" s="4">
        <v>0</v>
      </c>
      <c r="BV988" s="4">
        <v>2</v>
      </c>
      <c r="BW988" s="4">
        <v>1</v>
      </c>
      <c r="BX988" s="4">
        <v>7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1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1</v>
      </c>
      <c r="CN988" s="4">
        <v>9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1</v>
      </c>
      <c r="CU988" s="4">
        <v>0</v>
      </c>
      <c r="CV988" s="4">
        <v>2</v>
      </c>
      <c r="CW988" s="4">
        <v>1</v>
      </c>
      <c r="CX988" s="5">
        <v>1</v>
      </c>
    </row>
    <row r="989" spans="1:102" ht="15.75" x14ac:dyDescent="0.25">
      <c r="A989" s="4" t="s">
        <v>185</v>
      </c>
      <c r="B989" s="4" t="s">
        <v>186</v>
      </c>
      <c r="C989" s="4">
        <v>2022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5">
        <v>0</v>
      </c>
    </row>
    <row r="990" spans="1:102" ht="15.75" x14ac:dyDescent="0.25">
      <c r="A990" s="4" t="s">
        <v>187</v>
      </c>
      <c r="B990" s="4" t="s">
        <v>188</v>
      </c>
      <c r="C990" s="4">
        <v>2022</v>
      </c>
      <c r="D990" s="4">
        <v>498</v>
      </c>
      <c r="E990" s="4">
        <v>0</v>
      </c>
      <c r="F990" s="4">
        <v>0</v>
      </c>
      <c r="G990" s="4">
        <v>0</v>
      </c>
      <c r="H990" s="4">
        <v>0</v>
      </c>
      <c r="I990" s="4">
        <v>1</v>
      </c>
      <c r="J990" s="4">
        <v>1</v>
      </c>
      <c r="K990" s="4">
        <v>0</v>
      </c>
      <c r="L990" s="4">
        <v>18</v>
      </c>
      <c r="M990" s="4">
        <v>11</v>
      </c>
      <c r="N990" s="4">
        <v>3</v>
      </c>
      <c r="O990" s="4">
        <v>53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1</v>
      </c>
      <c r="V990" s="4">
        <v>1</v>
      </c>
      <c r="W990" s="4">
        <v>0</v>
      </c>
      <c r="X990" s="4">
        <v>5</v>
      </c>
      <c r="Y990" s="4">
        <v>0</v>
      </c>
      <c r="Z990" s="4">
        <v>0</v>
      </c>
      <c r="AA990" s="4">
        <v>1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2</v>
      </c>
      <c r="AH990" s="4">
        <v>1</v>
      </c>
      <c r="AI990" s="4">
        <v>5</v>
      </c>
      <c r="AJ990" s="4">
        <v>53</v>
      </c>
      <c r="AK990" s="4">
        <v>14</v>
      </c>
      <c r="AL990" s="4">
        <v>2</v>
      </c>
      <c r="AM990" s="4">
        <v>13</v>
      </c>
      <c r="AN990" s="4">
        <v>4</v>
      </c>
      <c r="AO990" s="4">
        <v>17</v>
      </c>
      <c r="AP990" s="4">
        <v>0</v>
      </c>
      <c r="AQ990" s="4">
        <v>4</v>
      </c>
      <c r="AR990" s="4">
        <v>0</v>
      </c>
      <c r="AS990" s="4">
        <v>3</v>
      </c>
      <c r="AT990" s="4">
        <v>3</v>
      </c>
      <c r="AU990" s="4">
        <v>3</v>
      </c>
      <c r="AV990" s="4">
        <v>1</v>
      </c>
      <c r="AW990" s="4">
        <v>6</v>
      </c>
      <c r="AX990" s="4">
        <v>13</v>
      </c>
      <c r="AY990" s="4">
        <v>1</v>
      </c>
      <c r="AZ990" s="4">
        <v>6</v>
      </c>
      <c r="BA990" s="4">
        <v>0</v>
      </c>
      <c r="BB990" s="4">
        <v>24</v>
      </c>
      <c r="BC990" s="4">
        <v>34</v>
      </c>
      <c r="BD990" s="4">
        <v>0</v>
      </c>
      <c r="BE990" s="4">
        <v>10</v>
      </c>
      <c r="BF990" s="4">
        <v>24</v>
      </c>
      <c r="BG990" s="4">
        <v>0</v>
      </c>
      <c r="BH990" s="4">
        <v>0</v>
      </c>
      <c r="BI990" s="4">
        <v>1</v>
      </c>
      <c r="BJ990" s="4">
        <v>14</v>
      </c>
      <c r="BK990" s="4">
        <v>17</v>
      </c>
      <c r="BL990" s="4">
        <v>0</v>
      </c>
      <c r="BM990" s="4">
        <v>0</v>
      </c>
      <c r="BN990" s="4">
        <v>2</v>
      </c>
      <c r="BO990" s="4">
        <v>0</v>
      </c>
      <c r="BP990" s="4">
        <v>2</v>
      </c>
      <c r="BQ990" s="4">
        <v>4</v>
      </c>
      <c r="BR990" s="4">
        <v>1</v>
      </c>
      <c r="BS990" s="4">
        <v>7</v>
      </c>
      <c r="BT990" s="4">
        <v>6</v>
      </c>
      <c r="BU990" s="4">
        <v>1</v>
      </c>
      <c r="BV990" s="4">
        <v>5</v>
      </c>
      <c r="BW990" s="4">
        <v>3</v>
      </c>
      <c r="BX990" s="4">
        <v>38</v>
      </c>
      <c r="BY990" s="4">
        <v>1</v>
      </c>
      <c r="BZ990" s="4">
        <v>0</v>
      </c>
      <c r="CA990" s="4">
        <v>3</v>
      </c>
      <c r="CB990" s="4">
        <v>1</v>
      </c>
      <c r="CC990" s="4">
        <v>0</v>
      </c>
      <c r="CD990" s="4">
        <v>0</v>
      </c>
      <c r="CE990" s="4">
        <v>0</v>
      </c>
      <c r="CF990" s="4">
        <v>3</v>
      </c>
      <c r="CG990" s="4">
        <v>0</v>
      </c>
      <c r="CH990" s="4">
        <v>0</v>
      </c>
      <c r="CI990" s="4">
        <v>0</v>
      </c>
      <c r="CJ990" s="4">
        <v>3</v>
      </c>
      <c r="CK990" s="4">
        <v>0</v>
      </c>
      <c r="CL990" s="4">
        <v>0</v>
      </c>
      <c r="CM990" s="4">
        <v>2</v>
      </c>
      <c r="CN990" s="4">
        <v>16</v>
      </c>
      <c r="CO990" s="4">
        <v>0</v>
      </c>
      <c r="CP990" s="4">
        <v>0</v>
      </c>
      <c r="CQ990" s="4">
        <v>0</v>
      </c>
      <c r="CR990" s="4">
        <v>1</v>
      </c>
      <c r="CS990" s="4">
        <v>0</v>
      </c>
      <c r="CT990" s="4">
        <v>3</v>
      </c>
      <c r="CU990" s="4">
        <v>15</v>
      </c>
      <c r="CV990" s="4">
        <v>8</v>
      </c>
      <c r="CW990" s="4">
        <v>2</v>
      </c>
      <c r="CX990" s="5">
        <v>2</v>
      </c>
    </row>
    <row r="991" spans="1:102" ht="15.75" x14ac:dyDescent="0.25">
      <c r="A991" s="4" t="s">
        <v>189</v>
      </c>
      <c r="B991" s="4" t="s">
        <v>190</v>
      </c>
      <c r="C991" s="4">
        <v>2022</v>
      </c>
      <c r="D991" s="4">
        <v>45</v>
      </c>
      <c r="E991" s="4">
        <v>0</v>
      </c>
      <c r="F991" s="4">
        <v>0</v>
      </c>
      <c r="G991" s="4">
        <v>1</v>
      </c>
      <c r="H991" s="4">
        <v>0</v>
      </c>
      <c r="I991" s="4">
        <v>1</v>
      </c>
      <c r="J991" s="4">
        <v>0</v>
      </c>
      <c r="K991" s="4">
        <v>0</v>
      </c>
      <c r="L991" s="4">
        <v>0</v>
      </c>
      <c r="M991" s="4">
        <v>0</v>
      </c>
      <c r="N991" s="4">
        <v>2</v>
      </c>
      <c r="O991" s="4">
        <v>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1</v>
      </c>
      <c r="V991" s="4">
        <v>0</v>
      </c>
      <c r="W991" s="4">
        <v>0</v>
      </c>
      <c r="X991" s="4">
        <v>1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6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1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2</v>
      </c>
      <c r="AY991" s="4">
        <v>0</v>
      </c>
      <c r="AZ991" s="4">
        <v>1</v>
      </c>
      <c r="BA991" s="4">
        <v>0</v>
      </c>
      <c r="BB991" s="4">
        <v>0</v>
      </c>
      <c r="BC991" s="4">
        <v>0</v>
      </c>
      <c r="BD991" s="4">
        <v>0</v>
      </c>
      <c r="BE991" s="4">
        <v>1</v>
      </c>
      <c r="BF991" s="4">
        <v>1</v>
      </c>
      <c r="BG991" s="4">
        <v>0</v>
      </c>
      <c r="BH991" s="4">
        <v>0</v>
      </c>
      <c r="BI991" s="4">
        <v>0</v>
      </c>
      <c r="BJ991" s="4">
        <v>2</v>
      </c>
      <c r="BK991" s="4">
        <v>1</v>
      </c>
      <c r="BL991" s="4">
        <v>0</v>
      </c>
      <c r="BM991" s="4">
        <v>0</v>
      </c>
      <c r="BN991" s="4">
        <v>1</v>
      </c>
      <c r="BO991" s="4">
        <v>0</v>
      </c>
      <c r="BP991" s="4">
        <v>0</v>
      </c>
      <c r="BQ991" s="4">
        <v>1</v>
      </c>
      <c r="BR991" s="4">
        <v>0</v>
      </c>
      <c r="BS991" s="4">
        <v>2</v>
      </c>
      <c r="BT991" s="4">
        <v>0</v>
      </c>
      <c r="BU991" s="4">
        <v>0</v>
      </c>
      <c r="BV991" s="4">
        <v>0</v>
      </c>
      <c r="BW991" s="4">
        <v>0</v>
      </c>
      <c r="BX991" s="4">
        <v>3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2</v>
      </c>
      <c r="CG991" s="4">
        <v>0</v>
      </c>
      <c r="CH991" s="4">
        <v>1</v>
      </c>
      <c r="CI991" s="4">
        <v>0</v>
      </c>
      <c r="CJ991" s="4">
        <v>0</v>
      </c>
      <c r="CK991" s="4">
        <v>0</v>
      </c>
      <c r="CL991" s="4">
        <v>0</v>
      </c>
      <c r="CM991" s="4">
        <v>1</v>
      </c>
      <c r="CN991" s="4">
        <v>1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2</v>
      </c>
      <c r="CU991" s="4">
        <v>0</v>
      </c>
      <c r="CV991" s="4">
        <v>1</v>
      </c>
      <c r="CW991" s="4">
        <v>0</v>
      </c>
      <c r="CX991" s="5">
        <v>0</v>
      </c>
    </row>
    <row r="992" spans="1:102" ht="15.75" x14ac:dyDescent="0.25">
      <c r="A992" s="4" t="s">
        <v>191</v>
      </c>
      <c r="B992" s="4" t="s">
        <v>192</v>
      </c>
      <c r="C992" s="4">
        <v>2022</v>
      </c>
      <c r="D992" s="4">
        <v>29369</v>
      </c>
      <c r="E992" s="4">
        <v>0</v>
      </c>
      <c r="F992" s="4">
        <v>217</v>
      </c>
      <c r="G992" s="4">
        <v>39</v>
      </c>
      <c r="H992" s="4">
        <v>74</v>
      </c>
      <c r="I992" s="4">
        <v>9</v>
      </c>
      <c r="J992" s="4">
        <v>6</v>
      </c>
      <c r="K992" s="4">
        <v>1</v>
      </c>
      <c r="L992" s="4">
        <v>31</v>
      </c>
      <c r="M992" s="4">
        <v>2</v>
      </c>
      <c r="N992" s="4">
        <v>150</v>
      </c>
      <c r="O992" s="4">
        <v>290</v>
      </c>
      <c r="P992" s="4">
        <v>29</v>
      </c>
      <c r="Q992" s="4">
        <v>0</v>
      </c>
      <c r="R992" s="4">
        <v>16</v>
      </c>
      <c r="S992" s="4">
        <v>0</v>
      </c>
      <c r="T992" s="4">
        <v>1</v>
      </c>
      <c r="U992" s="4">
        <v>90</v>
      </c>
      <c r="V992" s="4">
        <v>22</v>
      </c>
      <c r="W992" s="4">
        <v>516</v>
      </c>
      <c r="X992" s="4">
        <v>7</v>
      </c>
      <c r="Y992" s="4">
        <v>0</v>
      </c>
      <c r="Z992" s="4">
        <v>3524</v>
      </c>
      <c r="AA992" s="4">
        <v>245</v>
      </c>
      <c r="AB992" s="4">
        <v>0</v>
      </c>
      <c r="AC992" s="4">
        <v>0</v>
      </c>
      <c r="AD992" s="4">
        <v>0</v>
      </c>
      <c r="AE992" s="4">
        <v>2</v>
      </c>
      <c r="AF992" s="4">
        <v>0</v>
      </c>
      <c r="AG992" s="4">
        <v>80</v>
      </c>
      <c r="AH992" s="4">
        <v>114</v>
      </c>
      <c r="AI992" s="4">
        <v>79</v>
      </c>
      <c r="AJ992" s="4">
        <v>1491</v>
      </c>
      <c r="AK992" s="4">
        <v>140</v>
      </c>
      <c r="AL992" s="4">
        <v>13</v>
      </c>
      <c r="AM992" s="4">
        <v>142</v>
      </c>
      <c r="AN992" s="4">
        <v>192</v>
      </c>
      <c r="AO992" s="4">
        <v>257</v>
      </c>
      <c r="AP992" s="4">
        <v>5</v>
      </c>
      <c r="AQ992" s="4">
        <v>55</v>
      </c>
      <c r="AR992" s="4">
        <v>2</v>
      </c>
      <c r="AS992" s="4">
        <v>34</v>
      </c>
      <c r="AT992" s="4">
        <v>79</v>
      </c>
      <c r="AU992" s="4">
        <v>102</v>
      </c>
      <c r="AV992" s="4">
        <v>84</v>
      </c>
      <c r="AW992" s="4">
        <v>762</v>
      </c>
      <c r="AX992" s="4">
        <v>216</v>
      </c>
      <c r="AY992" s="4">
        <v>7</v>
      </c>
      <c r="AZ992" s="4">
        <v>10</v>
      </c>
      <c r="BA992" s="4">
        <v>0</v>
      </c>
      <c r="BB992" s="4">
        <v>620</v>
      </c>
      <c r="BC992" s="4">
        <v>282</v>
      </c>
      <c r="BD992" s="4">
        <v>2</v>
      </c>
      <c r="BE992" s="4">
        <v>75</v>
      </c>
      <c r="BF992" s="4">
        <v>352</v>
      </c>
      <c r="BG992" s="4">
        <v>27</v>
      </c>
      <c r="BH992" s="4">
        <v>51</v>
      </c>
      <c r="BI992" s="4">
        <v>1</v>
      </c>
      <c r="BJ992" s="4">
        <v>422</v>
      </c>
      <c r="BK992" s="4">
        <v>368</v>
      </c>
      <c r="BL992" s="4">
        <v>0</v>
      </c>
      <c r="BM992" s="4">
        <v>33</v>
      </c>
      <c r="BN992" s="4">
        <v>98</v>
      </c>
      <c r="BO992" s="4">
        <v>1</v>
      </c>
      <c r="BP992" s="4">
        <v>12</v>
      </c>
      <c r="BQ992" s="4">
        <v>174</v>
      </c>
      <c r="BR992" s="4">
        <v>8</v>
      </c>
      <c r="BS992" s="4">
        <v>486</v>
      </c>
      <c r="BT992" s="4">
        <v>195</v>
      </c>
      <c r="BU992" s="4">
        <v>12</v>
      </c>
      <c r="BV992" s="4">
        <v>291</v>
      </c>
      <c r="BW992" s="4">
        <v>2</v>
      </c>
      <c r="BX992" s="4">
        <v>4571</v>
      </c>
      <c r="BY992" s="4">
        <v>6</v>
      </c>
      <c r="BZ992" s="4">
        <v>0</v>
      </c>
      <c r="CA992" s="4">
        <v>108</v>
      </c>
      <c r="CB992" s="4">
        <v>495</v>
      </c>
      <c r="CC992" s="4">
        <v>0</v>
      </c>
      <c r="CD992" s="4">
        <v>7</v>
      </c>
      <c r="CE992" s="4">
        <v>0</v>
      </c>
      <c r="CF992" s="4">
        <v>21</v>
      </c>
      <c r="CG992" s="4">
        <v>36</v>
      </c>
      <c r="CH992" s="4">
        <v>4</v>
      </c>
      <c r="CI992" s="4">
        <v>10</v>
      </c>
      <c r="CJ992" s="4">
        <v>29</v>
      </c>
      <c r="CK992" s="4">
        <v>18</v>
      </c>
      <c r="CL992" s="4">
        <v>0</v>
      </c>
      <c r="CM992" s="4">
        <v>83</v>
      </c>
      <c r="CN992" s="4">
        <v>754</v>
      </c>
      <c r="CO992" s="4">
        <v>10</v>
      </c>
      <c r="CP992" s="4">
        <v>17</v>
      </c>
      <c r="CQ992" s="4">
        <v>0</v>
      </c>
      <c r="CR992" s="4">
        <v>46</v>
      </c>
      <c r="CS992" s="4">
        <v>43</v>
      </c>
      <c r="CT992" s="4">
        <v>29</v>
      </c>
      <c r="CU992" s="4">
        <v>1</v>
      </c>
      <c r="CV992" s="4">
        <v>163</v>
      </c>
      <c r="CW992" s="4">
        <v>10271</v>
      </c>
      <c r="CX992" s="5">
        <v>10163</v>
      </c>
    </row>
    <row r="993" spans="1:102" ht="15.75" x14ac:dyDescent="0.25">
      <c r="A993" s="4" t="s">
        <v>193</v>
      </c>
      <c r="B993" s="4" t="s">
        <v>194</v>
      </c>
      <c r="C993" s="4">
        <v>2022</v>
      </c>
      <c r="D993" s="4">
        <v>717</v>
      </c>
      <c r="E993" s="4">
        <v>0</v>
      </c>
      <c r="F993" s="4">
        <v>0</v>
      </c>
      <c r="G993" s="4">
        <v>0</v>
      </c>
      <c r="H993" s="4">
        <v>0</v>
      </c>
      <c r="I993" s="4">
        <v>2</v>
      </c>
      <c r="J993" s="4">
        <v>0</v>
      </c>
      <c r="K993" s="4">
        <v>0</v>
      </c>
      <c r="L993" s="4">
        <v>1</v>
      </c>
      <c r="M993" s="4">
        <v>5</v>
      </c>
      <c r="N993" s="4">
        <v>4</v>
      </c>
      <c r="O993" s="4">
        <v>106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2</v>
      </c>
      <c r="W993" s="4">
        <v>0</v>
      </c>
      <c r="X993" s="4">
        <v>0</v>
      </c>
      <c r="Y993" s="4">
        <v>0</v>
      </c>
      <c r="Z993" s="4">
        <v>0</v>
      </c>
      <c r="AA993" s="4">
        <v>285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10</v>
      </c>
      <c r="AH993" s="4">
        <v>0</v>
      </c>
      <c r="AI993" s="4">
        <v>4</v>
      </c>
      <c r="AJ993" s="4">
        <v>64</v>
      </c>
      <c r="AK993" s="4">
        <v>12</v>
      </c>
      <c r="AL993" s="4">
        <v>3</v>
      </c>
      <c r="AM993" s="4">
        <v>5</v>
      </c>
      <c r="AN993" s="4">
        <v>2</v>
      </c>
      <c r="AO993" s="4">
        <v>32</v>
      </c>
      <c r="AP993" s="4">
        <v>0</v>
      </c>
      <c r="AQ993" s="4">
        <v>5</v>
      </c>
      <c r="AR993" s="4">
        <v>0</v>
      </c>
      <c r="AS993" s="4">
        <v>4</v>
      </c>
      <c r="AT993" s="4">
        <v>1</v>
      </c>
      <c r="AU993" s="4">
        <v>1</v>
      </c>
      <c r="AV993" s="4">
        <v>2</v>
      </c>
      <c r="AW993" s="4">
        <v>0</v>
      </c>
      <c r="AX993" s="4">
        <v>6</v>
      </c>
      <c r="AY993" s="4">
        <v>0</v>
      </c>
      <c r="AZ993" s="4">
        <v>5</v>
      </c>
      <c r="BA993" s="4">
        <v>0</v>
      </c>
      <c r="BB993" s="4">
        <v>17</v>
      </c>
      <c r="BC993" s="4">
        <v>3</v>
      </c>
      <c r="BD993" s="4">
        <v>0</v>
      </c>
      <c r="BE993" s="4">
        <v>3</v>
      </c>
      <c r="BF993" s="4">
        <v>10</v>
      </c>
      <c r="BG993" s="4">
        <v>0</v>
      </c>
      <c r="BH993" s="4">
        <v>1</v>
      </c>
      <c r="BI993" s="4">
        <v>0</v>
      </c>
      <c r="BJ993" s="4">
        <v>7</v>
      </c>
      <c r="BK993" s="4">
        <v>10</v>
      </c>
      <c r="BL993" s="4">
        <v>0</v>
      </c>
      <c r="BM993" s="4">
        <v>1</v>
      </c>
      <c r="BN993" s="4">
        <v>3</v>
      </c>
      <c r="BO993" s="4">
        <v>0</v>
      </c>
      <c r="BP993" s="4">
        <v>1</v>
      </c>
      <c r="BQ993" s="4">
        <v>3</v>
      </c>
      <c r="BR993" s="4">
        <v>0</v>
      </c>
      <c r="BS993" s="4">
        <v>7</v>
      </c>
      <c r="BT993" s="4">
        <v>5</v>
      </c>
      <c r="BU993" s="4">
        <v>0</v>
      </c>
      <c r="BV993" s="4">
        <v>2</v>
      </c>
      <c r="BW993" s="4">
        <v>6</v>
      </c>
      <c r="BX993" s="4">
        <v>34</v>
      </c>
      <c r="BY993" s="4">
        <v>0</v>
      </c>
      <c r="BZ993" s="4">
        <v>0</v>
      </c>
      <c r="CA993" s="4">
        <v>2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1</v>
      </c>
      <c r="CK993" s="4">
        <v>0</v>
      </c>
      <c r="CL993" s="4">
        <v>0</v>
      </c>
      <c r="CM993" s="4">
        <v>4</v>
      </c>
      <c r="CN993" s="4">
        <v>15</v>
      </c>
      <c r="CO993" s="4">
        <v>0</v>
      </c>
      <c r="CP993" s="4">
        <v>1</v>
      </c>
      <c r="CQ993" s="4">
        <v>0</v>
      </c>
      <c r="CR993" s="4">
        <v>0</v>
      </c>
      <c r="CS993" s="4">
        <v>0</v>
      </c>
      <c r="CT993" s="4">
        <v>6</v>
      </c>
      <c r="CU993" s="4">
        <v>0</v>
      </c>
      <c r="CV993" s="4">
        <v>10</v>
      </c>
      <c r="CW993" s="4">
        <v>1</v>
      </c>
      <c r="CX993" s="5">
        <v>1</v>
      </c>
    </row>
    <row r="994" spans="1:102" ht="15.75" x14ac:dyDescent="0.25">
      <c r="A994" s="4" t="s">
        <v>195</v>
      </c>
      <c r="B994" s="4" t="s">
        <v>196</v>
      </c>
      <c r="C994" s="4">
        <v>2022</v>
      </c>
      <c r="D994" s="4">
        <v>93</v>
      </c>
      <c r="E994" s="4">
        <v>0</v>
      </c>
      <c r="F994" s="4">
        <v>0</v>
      </c>
      <c r="G994" s="4">
        <v>0</v>
      </c>
      <c r="H994" s="4">
        <v>0</v>
      </c>
      <c r="I994" s="4">
        <v>1</v>
      </c>
      <c r="J994" s="4">
        <v>0</v>
      </c>
      <c r="K994" s="4">
        <v>1</v>
      </c>
      <c r="L994" s="4">
        <v>1</v>
      </c>
      <c r="M994" s="4">
        <v>0</v>
      </c>
      <c r="N994" s="4">
        <v>0</v>
      </c>
      <c r="O994" s="4">
        <v>3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1</v>
      </c>
      <c r="AH994" s="4">
        <v>0</v>
      </c>
      <c r="AI994" s="4">
        <v>0</v>
      </c>
      <c r="AJ994" s="4">
        <v>4</v>
      </c>
      <c r="AK994" s="4">
        <v>1</v>
      </c>
      <c r="AL994" s="4">
        <v>2</v>
      </c>
      <c r="AM994" s="4">
        <v>1</v>
      </c>
      <c r="AN994" s="4">
        <v>4</v>
      </c>
      <c r="AO994" s="4">
        <v>3</v>
      </c>
      <c r="AP994" s="4">
        <v>0</v>
      </c>
      <c r="AQ994" s="4">
        <v>0</v>
      </c>
      <c r="AR994" s="4">
        <v>0</v>
      </c>
      <c r="AS994" s="4">
        <v>0</v>
      </c>
      <c r="AT994" s="4">
        <v>1</v>
      </c>
      <c r="AU994" s="4">
        <v>1</v>
      </c>
      <c r="AV994" s="4">
        <v>0</v>
      </c>
      <c r="AW994" s="4">
        <v>1</v>
      </c>
      <c r="AX994" s="4">
        <v>3</v>
      </c>
      <c r="AY994" s="4">
        <v>0</v>
      </c>
      <c r="AZ994" s="4">
        <v>0</v>
      </c>
      <c r="BA994" s="4">
        <v>0</v>
      </c>
      <c r="BB994" s="4">
        <v>1</v>
      </c>
      <c r="BC994" s="4">
        <v>0</v>
      </c>
      <c r="BD994" s="4">
        <v>0</v>
      </c>
      <c r="BE994" s="4">
        <v>1</v>
      </c>
      <c r="BF994" s="4">
        <v>10</v>
      </c>
      <c r="BG994" s="4">
        <v>0</v>
      </c>
      <c r="BH994" s="4">
        <v>0</v>
      </c>
      <c r="BI994" s="4">
        <v>0</v>
      </c>
      <c r="BJ994" s="4">
        <v>1</v>
      </c>
      <c r="BK994" s="4">
        <v>2</v>
      </c>
      <c r="BL994" s="4">
        <v>0</v>
      </c>
      <c r="BM994" s="4">
        <v>1</v>
      </c>
      <c r="BN994" s="4">
        <v>1</v>
      </c>
      <c r="BO994" s="4">
        <v>0</v>
      </c>
      <c r="BP994" s="4">
        <v>0</v>
      </c>
      <c r="BQ994" s="4">
        <v>2</v>
      </c>
      <c r="BR994" s="4">
        <v>0</v>
      </c>
      <c r="BS994" s="4">
        <v>1</v>
      </c>
      <c r="BT994" s="4">
        <v>1</v>
      </c>
      <c r="BU994" s="4">
        <v>0</v>
      </c>
      <c r="BV994" s="4">
        <v>1</v>
      </c>
      <c r="BW994" s="4">
        <v>0</v>
      </c>
      <c r="BX994" s="4">
        <v>28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3</v>
      </c>
      <c r="CO994" s="4">
        <v>0</v>
      </c>
      <c r="CP994" s="4">
        <v>2</v>
      </c>
      <c r="CQ994" s="4">
        <v>0</v>
      </c>
      <c r="CR994" s="4">
        <v>0</v>
      </c>
      <c r="CS994" s="4">
        <v>0</v>
      </c>
      <c r="CT994" s="4">
        <v>2</v>
      </c>
      <c r="CU994" s="4">
        <v>0</v>
      </c>
      <c r="CV994" s="4">
        <v>3</v>
      </c>
      <c r="CW994" s="4">
        <v>0</v>
      </c>
      <c r="CX994" s="5">
        <v>0</v>
      </c>
    </row>
    <row r="995" spans="1:102" ht="15.75" x14ac:dyDescent="0.25">
      <c r="A995" s="4" t="s">
        <v>197</v>
      </c>
      <c r="B995" s="4" t="s">
        <v>198</v>
      </c>
      <c r="C995" s="4">
        <v>2022</v>
      </c>
      <c r="D995" s="4">
        <v>7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2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2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4">
        <v>0</v>
      </c>
      <c r="CV995" s="4">
        <v>1</v>
      </c>
      <c r="CW995" s="4">
        <v>0</v>
      </c>
      <c r="CX995" s="5">
        <v>0</v>
      </c>
    </row>
    <row r="996" spans="1:102" ht="15.75" x14ac:dyDescent="0.25">
      <c r="A996" s="4" t="s">
        <v>199</v>
      </c>
      <c r="B996" s="4" t="s">
        <v>200</v>
      </c>
      <c r="C996" s="4">
        <v>2022</v>
      </c>
      <c r="D996" s="4">
        <v>1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1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5">
        <v>0</v>
      </c>
    </row>
    <row r="997" spans="1:102" ht="15.75" x14ac:dyDescent="0.25">
      <c r="A997" s="4" t="s">
        <v>201</v>
      </c>
      <c r="B997" s="4" t="s">
        <v>202</v>
      </c>
      <c r="C997" s="4">
        <v>2022</v>
      </c>
      <c r="D997" s="4">
        <v>10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2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2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1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5">
        <v>0</v>
      </c>
    </row>
    <row r="998" spans="1:102" ht="15.75" x14ac:dyDescent="0.25">
      <c r="A998" s="4" t="s">
        <v>203</v>
      </c>
      <c r="B998" s="4" t="s">
        <v>204</v>
      </c>
      <c r="C998" s="4">
        <v>2022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5">
        <v>0</v>
      </c>
    </row>
    <row r="999" spans="1:102" ht="15.75" x14ac:dyDescent="0.25">
      <c r="A999" s="4" t="s">
        <v>205</v>
      </c>
      <c r="B999" s="4" t="s">
        <v>206</v>
      </c>
      <c r="C999" s="4">
        <v>2022</v>
      </c>
      <c r="D999" s="4">
        <v>356</v>
      </c>
      <c r="E999" s="4">
        <v>0</v>
      </c>
      <c r="F999" s="4">
        <v>1</v>
      </c>
      <c r="G999" s="4">
        <v>4</v>
      </c>
      <c r="H999" s="4">
        <v>2</v>
      </c>
      <c r="I999" s="4">
        <v>11</v>
      </c>
      <c r="J999" s="4">
        <v>2</v>
      </c>
      <c r="K999" s="4">
        <v>1</v>
      </c>
      <c r="L999" s="4">
        <v>7</v>
      </c>
      <c r="M999" s="4">
        <v>1</v>
      </c>
      <c r="N999" s="4">
        <v>11</v>
      </c>
      <c r="O999" s="4">
        <v>24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1</v>
      </c>
      <c r="AB999" s="4">
        <v>0</v>
      </c>
      <c r="AC999" s="4">
        <v>0</v>
      </c>
      <c r="AD999" s="4">
        <v>0</v>
      </c>
      <c r="AE999" s="4">
        <v>2</v>
      </c>
      <c r="AF999" s="4">
        <v>0</v>
      </c>
      <c r="AG999" s="4">
        <v>2</v>
      </c>
      <c r="AH999" s="4">
        <v>1</v>
      </c>
      <c r="AI999" s="4">
        <v>2</v>
      </c>
      <c r="AJ999" s="4">
        <v>7</v>
      </c>
      <c r="AK999" s="4">
        <v>6</v>
      </c>
      <c r="AL999" s="4">
        <v>0</v>
      </c>
      <c r="AM999" s="4">
        <v>1</v>
      </c>
      <c r="AN999" s="4">
        <v>2</v>
      </c>
      <c r="AO999" s="4">
        <v>7</v>
      </c>
      <c r="AP999" s="4">
        <v>0</v>
      </c>
      <c r="AQ999" s="4">
        <v>1</v>
      </c>
      <c r="AR999" s="4">
        <v>1</v>
      </c>
      <c r="AS999" s="4">
        <v>3</v>
      </c>
      <c r="AT999" s="4">
        <v>3</v>
      </c>
      <c r="AU999" s="4">
        <v>2</v>
      </c>
      <c r="AV999" s="4">
        <v>2</v>
      </c>
      <c r="AW999" s="4">
        <v>1</v>
      </c>
      <c r="AX999" s="4">
        <v>8</v>
      </c>
      <c r="AY999" s="4">
        <v>0</v>
      </c>
      <c r="AZ999" s="4">
        <v>1</v>
      </c>
      <c r="BA999" s="4">
        <v>0</v>
      </c>
      <c r="BB999" s="4">
        <v>4</v>
      </c>
      <c r="BC999" s="4">
        <v>1</v>
      </c>
      <c r="BD999" s="4">
        <v>0</v>
      </c>
      <c r="BE999" s="4">
        <v>4</v>
      </c>
      <c r="BF999" s="4">
        <v>9</v>
      </c>
      <c r="BG999" s="4">
        <v>0</v>
      </c>
      <c r="BH999" s="4">
        <v>0</v>
      </c>
      <c r="BI999" s="4">
        <v>0</v>
      </c>
      <c r="BJ999" s="4">
        <v>5</v>
      </c>
      <c r="BK999" s="4">
        <v>10</v>
      </c>
      <c r="BL999" s="4">
        <v>0</v>
      </c>
      <c r="BM999" s="4">
        <v>0</v>
      </c>
      <c r="BN999" s="4">
        <v>4</v>
      </c>
      <c r="BO999" s="4">
        <v>0</v>
      </c>
      <c r="BP999" s="4">
        <v>2</v>
      </c>
      <c r="BQ999" s="4">
        <v>7</v>
      </c>
      <c r="BR999" s="4">
        <v>2</v>
      </c>
      <c r="BS999" s="4">
        <v>18</v>
      </c>
      <c r="BT999" s="4">
        <v>4</v>
      </c>
      <c r="BU999" s="4">
        <v>0</v>
      </c>
      <c r="BV999" s="4">
        <v>4</v>
      </c>
      <c r="BW999" s="4">
        <v>7</v>
      </c>
      <c r="BX999" s="4">
        <v>110</v>
      </c>
      <c r="BY999" s="4">
        <v>0</v>
      </c>
      <c r="BZ999" s="4">
        <v>2</v>
      </c>
      <c r="CA999" s="4">
        <v>1</v>
      </c>
      <c r="CB999" s="4">
        <v>1</v>
      </c>
      <c r="CC999" s="4">
        <v>0</v>
      </c>
      <c r="CD999" s="4">
        <v>1</v>
      </c>
      <c r="CE999" s="4">
        <v>0</v>
      </c>
      <c r="CF999" s="4">
        <v>1</v>
      </c>
      <c r="CG999" s="4">
        <v>0</v>
      </c>
      <c r="CH999" s="4">
        <v>1</v>
      </c>
      <c r="CI999" s="4">
        <v>1</v>
      </c>
      <c r="CJ999" s="4">
        <v>3</v>
      </c>
      <c r="CK999" s="4">
        <v>0</v>
      </c>
      <c r="CL999" s="4">
        <v>0</v>
      </c>
      <c r="CM999" s="4">
        <v>4</v>
      </c>
      <c r="CN999" s="4">
        <v>7</v>
      </c>
      <c r="CO999" s="4">
        <v>1</v>
      </c>
      <c r="CP999" s="4">
        <v>0</v>
      </c>
      <c r="CQ999" s="4">
        <v>0</v>
      </c>
      <c r="CR999" s="4">
        <v>2</v>
      </c>
      <c r="CS999" s="4">
        <v>2</v>
      </c>
      <c r="CT999" s="4">
        <v>3</v>
      </c>
      <c r="CU999" s="4">
        <v>3</v>
      </c>
      <c r="CV999" s="4">
        <v>11</v>
      </c>
      <c r="CW999" s="4">
        <v>2</v>
      </c>
      <c r="CX999" s="5">
        <v>2</v>
      </c>
    </row>
    <row r="1000" spans="1:102" ht="15.75" x14ac:dyDescent="0.25">
      <c r="A1000" s="4" t="s">
        <v>207</v>
      </c>
      <c r="B1000" s="4" t="s">
        <v>208</v>
      </c>
      <c r="C1000" s="4">
        <v>2022</v>
      </c>
      <c r="D1000" s="4">
        <v>2268</v>
      </c>
      <c r="E1000" s="4">
        <v>0</v>
      </c>
      <c r="F1000" s="4">
        <v>3</v>
      </c>
      <c r="G1000" s="4">
        <v>10</v>
      </c>
      <c r="H1000" s="4">
        <v>1</v>
      </c>
      <c r="I1000" s="4">
        <v>6</v>
      </c>
      <c r="J1000" s="4">
        <v>3</v>
      </c>
      <c r="K1000" s="4">
        <v>3</v>
      </c>
      <c r="L1000" s="4">
        <v>27</v>
      </c>
      <c r="M1000" s="4">
        <v>9</v>
      </c>
      <c r="N1000" s="4">
        <v>11</v>
      </c>
      <c r="O1000" s="4">
        <v>126</v>
      </c>
      <c r="P1000" s="4">
        <v>2</v>
      </c>
      <c r="Q1000" s="4">
        <v>0</v>
      </c>
      <c r="R1000" s="4">
        <v>1</v>
      </c>
      <c r="S1000" s="4">
        <v>4</v>
      </c>
      <c r="T1000" s="4">
        <v>0</v>
      </c>
      <c r="U1000" s="4">
        <v>7</v>
      </c>
      <c r="V1000" s="4">
        <v>2</v>
      </c>
      <c r="W1000" s="4">
        <v>6</v>
      </c>
      <c r="X1000" s="4">
        <v>2</v>
      </c>
      <c r="Y1000" s="4">
        <v>0</v>
      </c>
      <c r="Z1000" s="4">
        <v>0</v>
      </c>
      <c r="AA1000" s="4">
        <v>4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9</v>
      </c>
      <c r="AH1000" s="4">
        <v>4</v>
      </c>
      <c r="AI1000" s="4">
        <v>26</v>
      </c>
      <c r="AJ1000" s="4">
        <v>18</v>
      </c>
      <c r="AK1000" s="4">
        <v>220</v>
      </c>
      <c r="AL1000" s="4">
        <v>2</v>
      </c>
      <c r="AM1000" s="4">
        <v>46</v>
      </c>
      <c r="AN1000" s="4">
        <v>46</v>
      </c>
      <c r="AO1000" s="4">
        <v>93</v>
      </c>
      <c r="AP1000" s="4">
        <v>9</v>
      </c>
      <c r="AQ1000" s="4">
        <v>15</v>
      </c>
      <c r="AR1000" s="4">
        <v>3</v>
      </c>
      <c r="AS1000" s="4">
        <v>23</v>
      </c>
      <c r="AT1000" s="4">
        <v>28</v>
      </c>
      <c r="AU1000" s="4">
        <v>20</v>
      </c>
      <c r="AV1000" s="4">
        <v>63</v>
      </c>
      <c r="AW1000" s="4">
        <v>26</v>
      </c>
      <c r="AX1000" s="4">
        <v>150</v>
      </c>
      <c r="AY1000" s="4">
        <v>1</v>
      </c>
      <c r="AZ1000" s="4">
        <v>4</v>
      </c>
      <c r="BA1000" s="4">
        <v>0</v>
      </c>
      <c r="BB1000" s="4">
        <v>102</v>
      </c>
      <c r="BC1000" s="4">
        <v>16</v>
      </c>
      <c r="BD1000" s="4">
        <v>7</v>
      </c>
      <c r="BE1000" s="4">
        <v>27</v>
      </c>
      <c r="BF1000" s="4">
        <v>80</v>
      </c>
      <c r="BG1000" s="4">
        <v>4</v>
      </c>
      <c r="BH1000" s="4">
        <v>10</v>
      </c>
      <c r="BI1000" s="4">
        <v>0</v>
      </c>
      <c r="BJ1000" s="4">
        <v>61</v>
      </c>
      <c r="BK1000" s="4">
        <v>138</v>
      </c>
      <c r="BL1000" s="4">
        <v>0</v>
      </c>
      <c r="BM1000" s="4">
        <v>13</v>
      </c>
      <c r="BN1000" s="4">
        <v>73</v>
      </c>
      <c r="BO1000" s="4">
        <v>1</v>
      </c>
      <c r="BP1000" s="4">
        <v>7</v>
      </c>
      <c r="BQ1000" s="4">
        <v>68</v>
      </c>
      <c r="BR1000" s="4">
        <v>3</v>
      </c>
      <c r="BS1000" s="4">
        <v>134</v>
      </c>
      <c r="BT1000" s="4">
        <v>51</v>
      </c>
      <c r="BU1000" s="4">
        <v>10</v>
      </c>
      <c r="BV1000" s="4">
        <v>76</v>
      </c>
      <c r="BW1000" s="4">
        <v>11</v>
      </c>
      <c r="BX1000" s="4">
        <v>34</v>
      </c>
      <c r="BY1000" s="4">
        <v>4</v>
      </c>
      <c r="BZ1000" s="4">
        <v>0</v>
      </c>
      <c r="CA1000" s="4">
        <v>27</v>
      </c>
      <c r="CB1000" s="4">
        <v>0</v>
      </c>
      <c r="CC1000" s="4">
        <v>0</v>
      </c>
      <c r="CD1000" s="4">
        <v>2</v>
      </c>
      <c r="CE1000" s="4">
        <v>0</v>
      </c>
      <c r="CF1000" s="4">
        <v>6</v>
      </c>
      <c r="CG1000" s="4">
        <v>2</v>
      </c>
      <c r="CH1000" s="4">
        <v>31</v>
      </c>
      <c r="CI1000" s="4">
        <v>3</v>
      </c>
      <c r="CJ1000" s="4">
        <v>11</v>
      </c>
      <c r="CK1000" s="4">
        <v>2</v>
      </c>
      <c r="CL1000" s="4">
        <v>0</v>
      </c>
      <c r="CM1000" s="4">
        <v>14</v>
      </c>
      <c r="CN1000" s="4">
        <v>58</v>
      </c>
      <c r="CO1000" s="4">
        <v>1</v>
      </c>
      <c r="CP1000" s="4">
        <v>3</v>
      </c>
      <c r="CQ1000" s="4">
        <v>0</v>
      </c>
      <c r="CR1000" s="4">
        <v>7</v>
      </c>
      <c r="CS1000" s="4">
        <v>1</v>
      </c>
      <c r="CT1000" s="4">
        <v>47</v>
      </c>
      <c r="CU1000" s="4">
        <v>3</v>
      </c>
      <c r="CV1000" s="4">
        <v>70</v>
      </c>
      <c r="CW1000" s="4">
        <v>16</v>
      </c>
      <c r="CX1000" s="5">
        <v>16</v>
      </c>
    </row>
    <row r="1001" spans="1:102" ht="15.75" x14ac:dyDescent="0.25">
      <c r="A1001" s="4" t="s">
        <v>209</v>
      </c>
      <c r="B1001" s="4" t="s">
        <v>210</v>
      </c>
      <c r="C1001" s="4">
        <v>2022</v>
      </c>
      <c r="D1001" s="4">
        <v>33879</v>
      </c>
      <c r="E1001" s="4">
        <v>26</v>
      </c>
      <c r="F1001" s="4">
        <v>151</v>
      </c>
      <c r="G1001" s="4">
        <v>55</v>
      </c>
      <c r="H1001" s="4">
        <v>22</v>
      </c>
      <c r="I1001" s="4">
        <v>106</v>
      </c>
      <c r="J1001" s="4">
        <v>26</v>
      </c>
      <c r="K1001" s="4">
        <v>24</v>
      </c>
      <c r="L1001" s="4">
        <v>74</v>
      </c>
      <c r="M1001" s="4">
        <v>42</v>
      </c>
      <c r="N1001" s="4">
        <v>126</v>
      </c>
      <c r="O1001" s="4">
        <v>593</v>
      </c>
      <c r="P1001" s="4">
        <v>3</v>
      </c>
      <c r="Q1001" s="4">
        <v>7</v>
      </c>
      <c r="R1001" s="4">
        <v>28</v>
      </c>
      <c r="S1001" s="4">
        <v>4</v>
      </c>
      <c r="T1001" s="4">
        <v>74</v>
      </c>
      <c r="U1001" s="4">
        <v>14</v>
      </c>
      <c r="V1001" s="4">
        <v>43</v>
      </c>
      <c r="W1001" s="4">
        <v>513</v>
      </c>
      <c r="X1001" s="4">
        <v>35</v>
      </c>
      <c r="Y1001" s="4">
        <v>2</v>
      </c>
      <c r="Z1001" s="4">
        <v>2175</v>
      </c>
      <c r="AA1001" s="4">
        <v>131</v>
      </c>
      <c r="AB1001" s="4">
        <v>71</v>
      </c>
      <c r="AC1001" s="4">
        <v>0</v>
      </c>
      <c r="AD1001" s="4">
        <v>10</v>
      </c>
      <c r="AE1001" s="4">
        <v>31</v>
      </c>
      <c r="AF1001" s="4">
        <v>6</v>
      </c>
      <c r="AG1001" s="4">
        <v>448</v>
      </c>
      <c r="AH1001" s="4">
        <v>261</v>
      </c>
      <c r="AI1001" s="4">
        <v>233</v>
      </c>
      <c r="AJ1001" s="4">
        <v>3149</v>
      </c>
      <c r="AK1001" s="4">
        <v>339</v>
      </c>
      <c r="AL1001" s="4">
        <v>15</v>
      </c>
      <c r="AM1001" s="4">
        <v>566</v>
      </c>
      <c r="AN1001" s="4">
        <v>408</v>
      </c>
      <c r="AO1001" s="4">
        <v>521</v>
      </c>
      <c r="AP1001" s="4">
        <v>15</v>
      </c>
      <c r="AQ1001" s="4">
        <v>155</v>
      </c>
      <c r="AR1001" s="4">
        <v>31</v>
      </c>
      <c r="AS1001" s="4">
        <v>267</v>
      </c>
      <c r="AT1001" s="4">
        <v>262</v>
      </c>
      <c r="AU1001" s="4">
        <v>263</v>
      </c>
      <c r="AV1001" s="4">
        <v>476</v>
      </c>
      <c r="AW1001" s="4">
        <v>2232</v>
      </c>
      <c r="AX1001" s="4">
        <v>812</v>
      </c>
      <c r="AY1001" s="4">
        <v>15</v>
      </c>
      <c r="AZ1001" s="4">
        <v>118</v>
      </c>
      <c r="BA1001" s="4">
        <v>0</v>
      </c>
      <c r="BB1001" s="4">
        <v>2503</v>
      </c>
      <c r="BC1001" s="4">
        <v>255</v>
      </c>
      <c r="BD1001" s="4">
        <v>45</v>
      </c>
      <c r="BE1001" s="4">
        <v>179</v>
      </c>
      <c r="BF1001" s="4">
        <v>582</v>
      </c>
      <c r="BG1001" s="4">
        <v>42</v>
      </c>
      <c r="BH1001" s="4">
        <v>65</v>
      </c>
      <c r="BI1001" s="4">
        <v>4</v>
      </c>
      <c r="BJ1001" s="4">
        <v>645</v>
      </c>
      <c r="BK1001" s="4">
        <v>770</v>
      </c>
      <c r="BL1001" s="4">
        <v>0</v>
      </c>
      <c r="BM1001" s="4">
        <v>85</v>
      </c>
      <c r="BN1001" s="4">
        <v>812</v>
      </c>
      <c r="BO1001" s="4">
        <v>10</v>
      </c>
      <c r="BP1001" s="4">
        <v>65</v>
      </c>
      <c r="BQ1001" s="4">
        <v>645</v>
      </c>
      <c r="BR1001" s="4">
        <v>108</v>
      </c>
      <c r="BS1001" s="4">
        <v>1392</v>
      </c>
      <c r="BT1001" s="4">
        <v>953</v>
      </c>
      <c r="BU1001" s="4">
        <v>22</v>
      </c>
      <c r="BV1001" s="4">
        <v>624</v>
      </c>
      <c r="BW1001" s="4">
        <v>218</v>
      </c>
      <c r="BX1001" s="4">
        <v>2233</v>
      </c>
      <c r="BY1001" s="4">
        <v>20</v>
      </c>
      <c r="BZ1001" s="4">
        <v>3</v>
      </c>
      <c r="CA1001" s="4">
        <v>2310</v>
      </c>
      <c r="CB1001" s="4">
        <v>106</v>
      </c>
      <c r="CC1001" s="4">
        <v>2</v>
      </c>
      <c r="CD1001" s="4">
        <v>78</v>
      </c>
      <c r="CE1001" s="4">
        <v>6</v>
      </c>
      <c r="CF1001" s="4">
        <v>47</v>
      </c>
      <c r="CG1001" s="4">
        <v>70</v>
      </c>
      <c r="CH1001" s="4">
        <v>68</v>
      </c>
      <c r="CI1001" s="4">
        <v>32</v>
      </c>
      <c r="CJ1001" s="4">
        <v>313</v>
      </c>
      <c r="CK1001" s="4">
        <v>66</v>
      </c>
      <c r="CL1001" s="4">
        <v>1</v>
      </c>
      <c r="CM1001" s="4">
        <v>292</v>
      </c>
      <c r="CN1001" s="4">
        <v>1261</v>
      </c>
      <c r="CO1001" s="4">
        <v>46</v>
      </c>
      <c r="CP1001" s="4">
        <v>84</v>
      </c>
      <c r="CQ1001" s="4">
        <v>0</v>
      </c>
      <c r="CR1001" s="4">
        <v>176</v>
      </c>
      <c r="CS1001" s="4">
        <v>29</v>
      </c>
      <c r="CT1001" s="4">
        <v>321</v>
      </c>
      <c r="CU1001" s="4">
        <v>42</v>
      </c>
      <c r="CV1001" s="4">
        <v>823</v>
      </c>
      <c r="CW1001" s="4">
        <v>448</v>
      </c>
      <c r="CX1001" s="5">
        <v>468</v>
      </c>
    </row>
    <row r="1002" spans="1:102" ht="15.75" x14ac:dyDescent="0.25">
      <c r="A1002" s="4" t="s">
        <v>211</v>
      </c>
      <c r="B1002" s="4" t="s">
        <v>212</v>
      </c>
      <c r="C1002" s="4">
        <v>2022</v>
      </c>
      <c r="D1002" s="4">
        <v>33</v>
      </c>
      <c r="E1002" s="4">
        <v>0</v>
      </c>
      <c r="F1002" s="4">
        <v>0</v>
      </c>
      <c r="G1002" s="4">
        <v>0</v>
      </c>
      <c r="H1002" s="4">
        <v>0</v>
      </c>
      <c r="I1002" s="4">
        <v>3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17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1</v>
      </c>
      <c r="AT1002" s="4">
        <v>1</v>
      </c>
      <c r="AU1002" s="4">
        <v>0</v>
      </c>
      <c r="AV1002" s="4">
        <v>0</v>
      </c>
      <c r="AW1002" s="4">
        <v>0</v>
      </c>
      <c r="AX1002" s="4">
        <v>1</v>
      </c>
      <c r="AY1002" s="4">
        <v>0</v>
      </c>
      <c r="AZ1002" s="4">
        <v>0</v>
      </c>
      <c r="BA1002" s="4">
        <v>0</v>
      </c>
      <c r="BB1002" s="4">
        <v>0</v>
      </c>
      <c r="BC1002" s="4">
        <v>1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3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1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0</v>
      </c>
      <c r="CV1002" s="4">
        <v>1</v>
      </c>
      <c r="CW1002" s="4">
        <v>0</v>
      </c>
      <c r="CX1002" s="5">
        <v>0</v>
      </c>
    </row>
    <row r="1003" spans="1:102" ht="15.75" x14ac:dyDescent="0.25">
      <c r="A1003" s="4" t="s">
        <v>213</v>
      </c>
      <c r="B1003" s="4" t="s">
        <v>214</v>
      </c>
      <c r="C1003" s="4">
        <v>2022</v>
      </c>
      <c r="D1003" s="4">
        <v>3128</v>
      </c>
      <c r="E1003" s="4">
        <v>3</v>
      </c>
      <c r="F1003" s="4">
        <v>18</v>
      </c>
      <c r="G1003" s="4">
        <v>67</v>
      </c>
      <c r="H1003" s="4">
        <v>12</v>
      </c>
      <c r="I1003" s="4">
        <v>12</v>
      </c>
      <c r="J1003" s="4">
        <v>17</v>
      </c>
      <c r="K1003" s="4">
        <v>9</v>
      </c>
      <c r="L1003" s="4">
        <v>10</v>
      </c>
      <c r="M1003" s="4">
        <v>18</v>
      </c>
      <c r="N1003" s="4">
        <v>33</v>
      </c>
      <c r="O1003" s="4">
        <v>77</v>
      </c>
      <c r="P1003" s="4">
        <v>0</v>
      </c>
      <c r="Q1003" s="4">
        <v>1</v>
      </c>
      <c r="R1003" s="4">
        <v>0</v>
      </c>
      <c r="S1003" s="4">
        <v>4</v>
      </c>
      <c r="T1003" s="4">
        <v>0</v>
      </c>
      <c r="U1003" s="4">
        <v>1</v>
      </c>
      <c r="V1003" s="4">
        <v>7</v>
      </c>
      <c r="W1003" s="4">
        <v>9</v>
      </c>
      <c r="X1003" s="4">
        <v>12</v>
      </c>
      <c r="Y1003" s="4">
        <v>0</v>
      </c>
      <c r="Z1003" s="4">
        <v>361</v>
      </c>
      <c r="AA1003" s="4">
        <v>293</v>
      </c>
      <c r="AB1003" s="4">
        <v>7</v>
      </c>
      <c r="AC1003" s="4">
        <v>0</v>
      </c>
      <c r="AD1003" s="4">
        <v>0</v>
      </c>
      <c r="AE1003" s="4">
        <v>2</v>
      </c>
      <c r="AF1003" s="4">
        <v>6</v>
      </c>
      <c r="AG1003" s="4">
        <v>48</v>
      </c>
      <c r="AH1003" s="4">
        <v>18</v>
      </c>
      <c r="AI1003" s="4">
        <v>21</v>
      </c>
      <c r="AJ1003" s="4">
        <v>92</v>
      </c>
      <c r="AK1003" s="4">
        <v>54</v>
      </c>
      <c r="AL1003" s="4">
        <v>3</v>
      </c>
      <c r="AM1003" s="4">
        <v>37</v>
      </c>
      <c r="AN1003" s="4">
        <v>52</v>
      </c>
      <c r="AO1003" s="4">
        <v>82</v>
      </c>
      <c r="AP1003" s="4">
        <v>2</v>
      </c>
      <c r="AQ1003" s="4">
        <v>14</v>
      </c>
      <c r="AR1003" s="4">
        <v>7</v>
      </c>
      <c r="AS1003" s="4">
        <v>15</v>
      </c>
      <c r="AT1003" s="4">
        <v>69</v>
      </c>
      <c r="AU1003" s="4">
        <v>70</v>
      </c>
      <c r="AV1003" s="4">
        <v>56</v>
      </c>
      <c r="AW1003" s="4">
        <v>20</v>
      </c>
      <c r="AX1003" s="4">
        <v>147</v>
      </c>
      <c r="AY1003" s="4">
        <v>4</v>
      </c>
      <c r="AZ1003" s="4">
        <v>10</v>
      </c>
      <c r="BA1003" s="4">
        <v>0</v>
      </c>
      <c r="BB1003" s="4">
        <v>53</v>
      </c>
      <c r="BC1003" s="4">
        <v>9</v>
      </c>
      <c r="BD1003" s="4">
        <v>1</v>
      </c>
      <c r="BE1003" s="4">
        <v>31</v>
      </c>
      <c r="BF1003" s="4">
        <v>98</v>
      </c>
      <c r="BG1003" s="4">
        <v>2</v>
      </c>
      <c r="BH1003" s="4">
        <v>4</v>
      </c>
      <c r="BI1003" s="4">
        <v>1</v>
      </c>
      <c r="BJ1003" s="4">
        <v>82</v>
      </c>
      <c r="BK1003" s="4">
        <v>94</v>
      </c>
      <c r="BL1003" s="4">
        <v>0</v>
      </c>
      <c r="BM1003" s="4">
        <v>6</v>
      </c>
      <c r="BN1003" s="4">
        <v>66</v>
      </c>
      <c r="BO1003" s="4">
        <v>0</v>
      </c>
      <c r="BP1003" s="4">
        <v>6</v>
      </c>
      <c r="BQ1003" s="4">
        <v>58</v>
      </c>
      <c r="BR1003" s="4">
        <v>4</v>
      </c>
      <c r="BS1003" s="4">
        <v>84</v>
      </c>
      <c r="BT1003" s="4">
        <v>45</v>
      </c>
      <c r="BU1003" s="4">
        <v>2</v>
      </c>
      <c r="BV1003" s="4">
        <v>23</v>
      </c>
      <c r="BW1003" s="4">
        <v>23</v>
      </c>
      <c r="BX1003" s="4">
        <v>107</v>
      </c>
      <c r="BY1003" s="4">
        <v>3</v>
      </c>
      <c r="BZ1003" s="4">
        <v>0</v>
      </c>
      <c r="CA1003" s="4">
        <v>49</v>
      </c>
      <c r="CB1003" s="4">
        <v>105</v>
      </c>
      <c r="CC1003" s="4">
        <v>0</v>
      </c>
      <c r="CD1003" s="4">
        <v>11</v>
      </c>
      <c r="CE1003" s="4">
        <v>1</v>
      </c>
      <c r="CF1003" s="4">
        <v>6</v>
      </c>
      <c r="CG1003" s="4">
        <v>2</v>
      </c>
      <c r="CH1003" s="4">
        <v>4</v>
      </c>
      <c r="CI1003" s="4">
        <v>7</v>
      </c>
      <c r="CJ1003" s="4">
        <v>22</v>
      </c>
      <c r="CK1003" s="4">
        <v>8</v>
      </c>
      <c r="CL1003" s="4">
        <v>0</v>
      </c>
      <c r="CM1003" s="4">
        <v>17</v>
      </c>
      <c r="CN1003" s="4">
        <v>92</v>
      </c>
      <c r="CO1003" s="4">
        <v>20</v>
      </c>
      <c r="CP1003" s="4">
        <v>4</v>
      </c>
      <c r="CQ1003" s="4">
        <v>0</v>
      </c>
      <c r="CR1003" s="4">
        <v>29</v>
      </c>
      <c r="CS1003" s="4">
        <v>2</v>
      </c>
      <c r="CT1003" s="4">
        <v>34</v>
      </c>
      <c r="CU1003" s="4">
        <v>4</v>
      </c>
      <c r="CV1003" s="4">
        <v>80</v>
      </c>
      <c r="CW1003" s="4">
        <v>28</v>
      </c>
      <c r="CX1003" s="5">
        <v>29</v>
      </c>
    </row>
    <row r="1004" spans="1:102" ht="15.75" x14ac:dyDescent="0.25">
      <c r="A1004" s="4" t="s">
        <v>215</v>
      </c>
      <c r="B1004" s="4" t="s">
        <v>216</v>
      </c>
      <c r="C1004" s="4">
        <v>2022</v>
      </c>
      <c r="D1004" s="4">
        <v>9</v>
      </c>
      <c r="E1004" s="4">
        <v>0</v>
      </c>
      <c r="F1004" s="4">
        <v>1</v>
      </c>
      <c r="G1004" s="4">
        <v>1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1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1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5">
        <v>0</v>
      </c>
    </row>
    <row r="1005" spans="1:102" ht="15.75" x14ac:dyDescent="0.25">
      <c r="A1005" s="4" t="s">
        <v>217</v>
      </c>
      <c r="B1005" s="4" t="s">
        <v>218</v>
      </c>
      <c r="C1005" s="4">
        <v>2022</v>
      </c>
      <c r="D1005" s="4">
        <v>322</v>
      </c>
      <c r="E1005" s="4">
        <v>0</v>
      </c>
      <c r="F1005" s="4">
        <v>7</v>
      </c>
      <c r="G1005" s="4">
        <v>4</v>
      </c>
      <c r="H1005" s="4">
        <v>0</v>
      </c>
      <c r="I1005" s="4">
        <v>0</v>
      </c>
      <c r="J1005" s="4">
        <v>0</v>
      </c>
      <c r="K1005" s="4">
        <v>0</v>
      </c>
      <c r="L1005" s="4">
        <v>1</v>
      </c>
      <c r="M1005" s="4">
        <v>0</v>
      </c>
      <c r="N1005" s="4">
        <v>1</v>
      </c>
      <c r="O1005" s="4">
        <v>91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130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1</v>
      </c>
      <c r="AH1005" s="4">
        <v>2</v>
      </c>
      <c r="AI1005" s="4">
        <v>1</v>
      </c>
      <c r="AJ1005" s="4">
        <v>10</v>
      </c>
      <c r="AK1005" s="4">
        <v>1</v>
      </c>
      <c r="AL1005" s="4">
        <v>0</v>
      </c>
      <c r="AM1005" s="4">
        <v>0</v>
      </c>
      <c r="AN1005" s="4">
        <v>9</v>
      </c>
      <c r="AO1005" s="4">
        <v>1</v>
      </c>
      <c r="AP1005" s="4">
        <v>0</v>
      </c>
      <c r="AQ1005" s="4">
        <v>0</v>
      </c>
      <c r="AR1005" s="4">
        <v>0</v>
      </c>
      <c r="AS1005" s="4">
        <v>4</v>
      </c>
      <c r="AT1005" s="4">
        <v>3</v>
      </c>
      <c r="AU1005" s="4">
        <v>9</v>
      </c>
      <c r="AV1005" s="4">
        <v>0</v>
      </c>
      <c r="AW1005" s="4">
        <v>0</v>
      </c>
      <c r="AX1005" s="4">
        <v>5</v>
      </c>
      <c r="AY1005" s="4">
        <v>0</v>
      </c>
      <c r="AZ1005" s="4">
        <v>3</v>
      </c>
      <c r="BA1005" s="4">
        <v>0</v>
      </c>
      <c r="BB1005" s="4">
        <v>1</v>
      </c>
      <c r="BC1005" s="4">
        <v>0</v>
      </c>
      <c r="BD1005" s="4">
        <v>0</v>
      </c>
      <c r="BE1005" s="4">
        <v>1</v>
      </c>
      <c r="BF1005" s="4">
        <v>4</v>
      </c>
      <c r="BG1005" s="4">
        <v>0</v>
      </c>
      <c r="BH1005" s="4">
        <v>0</v>
      </c>
      <c r="BI1005" s="4">
        <v>0</v>
      </c>
      <c r="BJ1005" s="4">
        <v>3</v>
      </c>
      <c r="BK1005" s="4">
        <v>2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2</v>
      </c>
      <c r="BT1005" s="4">
        <v>4</v>
      </c>
      <c r="BU1005" s="4">
        <v>0</v>
      </c>
      <c r="BV1005" s="4">
        <v>1</v>
      </c>
      <c r="BW1005" s="4">
        <v>0</v>
      </c>
      <c r="BX1005" s="4">
        <v>6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1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6</v>
      </c>
      <c r="CU1005" s="4">
        <v>0</v>
      </c>
      <c r="CV1005" s="4">
        <v>3</v>
      </c>
      <c r="CW1005" s="4">
        <v>0</v>
      </c>
      <c r="CX1005" s="5">
        <v>0</v>
      </c>
    </row>
    <row r="1006" spans="1:102" ht="15.75" x14ac:dyDescent="0.25">
      <c r="A1006" s="4" t="s">
        <v>219</v>
      </c>
      <c r="B1006" s="4" t="s">
        <v>220</v>
      </c>
      <c r="C1006" s="4">
        <v>2022</v>
      </c>
      <c r="D1006" s="4">
        <v>337</v>
      </c>
      <c r="E1006" s="4">
        <v>1</v>
      </c>
      <c r="F1006" s="4">
        <v>0</v>
      </c>
      <c r="G1006" s="4">
        <v>14</v>
      </c>
      <c r="H1006" s="4">
        <v>0</v>
      </c>
      <c r="I1006" s="4">
        <v>11</v>
      </c>
      <c r="J1006" s="4">
        <v>0</v>
      </c>
      <c r="K1006" s="4">
        <v>0</v>
      </c>
      <c r="L1006" s="4">
        <v>0</v>
      </c>
      <c r="M1006" s="4">
        <v>0</v>
      </c>
      <c r="N1006" s="4">
        <v>1</v>
      </c>
      <c r="O1006" s="4">
        <v>120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2</v>
      </c>
      <c r="W1006" s="4">
        <v>0</v>
      </c>
      <c r="X1006" s="4">
        <v>0</v>
      </c>
      <c r="Y1006" s="4">
        <v>0</v>
      </c>
      <c r="Z1006" s="4">
        <v>0</v>
      </c>
      <c r="AA1006" s="4">
        <v>1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1</v>
      </c>
      <c r="AH1006" s="4">
        <v>1</v>
      </c>
      <c r="AI1006" s="4">
        <v>6</v>
      </c>
      <c r="AJ1006" s="4">
        <v>42</v>
      </c>
      <c r="AK1006" s="4">
        <v>3</v>
      </c>
      <c r="AL1006" s="4">
        <v>0</v>
      </c>
      <c r="AM1006" s="4">
        <v>2</v>
      </c>
      <c r="AN1006" s="4">
        <v>1</v>
      </c>
      <c r="AO1006" s="4">
        <v>14</v>
      </c>
      <c r="AP1006" s="4">
        <v>0</v>
      </c>
      <c r="AQ1006" s="4">
        <v>1</v>
      </c>
      <c r="AR1006" s="4">
        <v>0</v>
      </c>
      <c r="AS1006" s="4">
        <v>4</v>
      </c>
      <c r="AT1006" s="4">
        <v>1</v>
      </c>
      <c r="AU1006" s="4">
        <v>0</v>
      </c>
      <c r="AV1006" s="4">
        <v>5</v>
      </c>
      <c r="AW1006" s="4">
        <v>1</v>
      </c>
      <c r="AX1006" s="4">
        <v>4</v>
      </c>
      <c r="AY1006" s="4">
        <v>0</v>
      </c>
      <c r="AZ1006" s="4">
        <v>1</v>
      </c>
      <c r="BA1006" s="4">
        <v>0</v>
      </c>
      <c r="BB1006" s="4">
        <v>17</v>
      </c>
      <c r="BC1006" s="4">
        <v>0</v>
      </c>
      <c r="BD1006" s="4">
        <v>0</v>
      </c>
      <c r="BE1006" s="4">
        <v>2</v>
      </c>
      <c r="BF1006" s="4">
        <v>1</v>
      </c>
      <c r="BG1006" s="4">
        <v>0</v>
      </c>
      <c r="BH1006" s="4">
        <v>0</v>
      </c>
      <c r="BI1006" s="4">
        <v>0</v>
      </c>
      <c r="BJ1006" s="4">
        <v>13</v>
      </c>
      <c r="BK1006" s="4">
        <v>13</v>
      </c>
      <c r="BL1006" s="4">
        <v>0</v>
      </c>
      <c r="BM1006" s="4">
        <v>1</v>
      </c>
      <c r="BN1006" s="4">
        <v>4</v>
      </c>
      <c r="BO1006" s="4">
        <v>0</v>
      </c>
      <c r="BP1006" s="4">
        <v>1</v>
      </c>
      <c r="BQ1006" s="4">
        <v>5</v>
      </c>
      <c r="BR1006" s="4">
        <v>0</v>
      </c>
      <c r="BS1006" s="4">
        <v>8</v>
      </c>
      <c r="BT1006" s="4">
        <v>4</v>
      </c>
      <c r="BU1006" s="4">
        <v>0</v>
      </c>
      <c r="BV1006" s="4">
        <v>1</v>
      </c>
      <c r="BW1006" s="4">
        <v>0</v>
      </c>
      <c r="BX1006" s="4">
        <v>0</v>
      </c>
      <c r="BY1006" s="4">
        <v>0</v>
      </c>
      <c r="BZ1006" s="4">
        <v>0</v>
      </c>
      <c r="CA1006" s="4">
        <v>3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7</v>
      </c>
      <c r="CK1006" s="4">
        <v>2</v>
      </c>
      <c r="CL1006" s="4">
        <v>0</v>
      </c>
      <c r="CM1006" s="4">
        <v>2</v>
      </c>
      <c r="CN1006" s="4">
        <v>9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1</v>
      </c>
      <c r="CU1006" s="4">
        <v>0</v>
      </c>
      <c r="CV1006" s="4">
        <v>3</v>
      </c>
      <c r="CW1006" s="4">
        <v>1</v>
      </c>
      <c r="CX1006" s="5">
        <v>0</v>
      </c>
    </row>
    <row r="1007" spans="1:102" ht="15.75" x14ac:dyDescent="0.25">
      <c r="A1007" s="4" t="s">
        <v>221</v>
      </c>
      <c r="B1007" s="4" t="s">
        <v>222</v>
      </c>
      <c r="C1007" s="4">
        <v>2022</v>
      </c>
      <c r="D1007" s="4">
        <v>93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3</v>
      </c>
      <c r="M1007" s="4">
        <v>2</v>
      </c>
      <c r="N1007" s="4">
        <v>1</v>
      </c>
      <c r="O1007" s="4">
        <v>26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1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2</v>
      </c>
      <c r="AH1007" s="4">
        <v>0</v>
      </c>
      <c r="AI1007" s="4">
        <v>1</v>
      </c>
      <c r="AJ1007" s="4">
        <v>10</v>
      </c>
      <c r="AK1007" s="4">
        <v>1</v>
      </c>
      <c r="AL1007" s="4">
        <v>2</v>
      </c>
      <c r="AM1007" s="4">
        <v>2</v>
      </c>
      <c r="AN1007" s="4">
        <v>2</v>
      </c>
      <c r="AO1007" s="4">
        <v>3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1</v>
      </c>
      <c r="AW1007" s="4">
        <v>0</v>
      </c>
      <c r="AX1007" s="4">
        <v>1</v>
      </c>
      <c r="AY1007" s="4">
        <v>0</v>
      </c>
      <c r="AZ1007" s="4">
        <v>3</v>
      </c>
      <c r="BA1007" s="4">
        <v>0</v>
      </c>
      <c r="BB1007" s="4">
        <v>2</v>
      </c>
      <c r="BC1007" s="4">
        <v>0</v>
      </c>
      <c r="BD1007" s="4">
        <v>0</v>
      </c>
      <c r="BE1007" s="4">
        <v>1</v>
      </c>
      <c r="BF1007" s="4">
        <v>2</v>
      </c>
      <c r="BG1007" s="4">
        <v>0</v>
      </c>
      <c r="BH1007" s="4">
        <v>0</v>
      </c>
      <c r="BI1007" s="4">
        <v>0</v>
      </c>
      <c r="BJ1007" s="4">
        <v>2</v>
      </c>
      <c r="BK1007" s="4">
        <v>2</v>
      </c>
      <c r="BL1007" s="4">
        <v>0</v>
      </c>
      <c r="BM1007" s="4">
        <v>0</v>
      </c>
      <c r="BN1007" s="4">
        <v>1</v>
      </c>
      <c r="BO1007" s="4">
        <v>0</v>
      </c>
      <c r="BP1007" s="4">
        <v>0</v>
      </c>
      <c r="BQ1007" s="4">
        <v>1</v>
      </c>
      <c r="BR1007" s="4">
        <v>0</v>
      </c>
      <c r="BS1007" s="4">
        <v>1</v>
      </c>
      <c r="BT1007" s="4">
        <v>1</v>
      </c>
      <c r="BU1007" s="4">
        <v>0</v>
      </c>
      <c r="BV1007" s="4">
        <v>1</v>
      </c>
      <c r="BW1007" s="4">
        <v>0</v>
      </c>
      <c r="BX1007" s="4">
        <v>3</v>
      </c>
      <c r="BY1007" s="4">
        <v>0</v>
      </c>
      <c r="BZ1007" s="4">
        <v>0</v>
      </c>
      <c r="CA1007" s="4">
        <v>1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1</v>
      </c>
      <c r="CK1007" s="4">
        <v>0</v>
      </c>
      <c r="CL1007" s="4">
        <v>0</v>
      </c>
      <c r="CM1007" s="4">
        <v>1</v>
      </c>
      <c r="CN1007" s="4">
        <v>4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1</v>
      </c>
      <c r="CU1007" s="4">
        <v>0</v>
      </c>
      <c r="CV1007" s="4">
        <v>6</v>
      </c>
      <c r="CW1007" s="4">
        <v>0</v>
      </c>
      <c r="CX1007" s="5">
        <v>0</v>
      </c>
    </row>
    <row r="1008" spans="1:102" ht="15.75" x14ac:dyDescent="0.25">
      <c r="A1008" s="4" t="s">
        <v>223</v>
      </c>
      <c r="B1008" s="4" t="s">
        <v>224</v>
      </c>
      <c r="C1008" s="4">
        <v>2022</v>
      </c>
      <c r="D1008" s="4">
        <v>320</v>
      </c>
      <c r="E1008" s="4">
        <v>0</v>
      </c>
      <c r="F1008" s="4">
        <v>1</v>
      </c>
      <c r="G1008" s="4">
        <v>0</v>
      </c>
      <c r="H1008" s="4">
        <v>0</v>
      </c>
      <c r="I1008" s="4">
        <v>3</v>
      </c>
      <c r="J1008" s="4">
        <v>0</v>
      </c>
      <c r="K1008" s="4">
        <v>0</v>
      </c>
      <c r="L1008" s="4">
        <v>0</v>
      </c>
      <c r="M1008" s="4">
        <v>0</v>
      </c>
      <c r="N1008" s="4">
        <v>3</v>
      </c>
      <c r="O1008" s="4">
        <v>17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2</v>
      </c>
      <c r="V1008" s="4">
        <v>1</v>
      </c>
      <c r="W1008" s="4">
        <v>5</v>
      </c>
      <c r="X1008" s="4">
        <v>0</v>
      </c>
      <c r="Y1008" s="4">
        <v>0</v>
      </c>
      <c r="Z1008" s="4">
        <v>0</v>
      </c>
      <c r="AA1008" s="4">
        <v>1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1</v>
      </c>
      <c r="AH1008" s="4">
        <v>0</v>
      </c>
      <c r="AI1008" s="4">
        <v>3</v>
      </c>
      <c r="AJ1008" s="4">
        <v>1</v>
      </c>
      <c r="AK1008" s="4">
        <v>4</v>
      </c>
      <c r="AL1008" s="4">
        <v>7</v>
      </c>
      <c r="AM1008" s="4">
        <v>2</v>
      </c>
      <c r="AN1008" s="4">
        <v>4</v>
      </c>
      <c r="AO1008" s="4">
        <v>10</v>
      </c>
      <c r="AP1008" s="4">
        <v>0</v>
      </c>
      <c r="AQ1008" s="4">
        <v>3</v>
      </c>
      <c r="AR1008" s="4">
        <v>0</v>
      </c>
      <c r="AS1008" s="4">
        <v>2</v>
      </c>
      <c r="AT1008" s="4">
        <v>5</v>
      </c>
      <c r="AU1008" s="4">
        <v>2</v>
      </c>
      <c r="AV1008" s="4">
        <v>13</v>
      </c>
      <c r="AW1008" s="4">
        <v>1</v>
      </c>
      <c r="AX1008" s="4">
        <v>4</v>
      </c>
      <c r="AY1008" s="4">
        <v>0</v>
      </c>
      <c r="AZ1008" s="4">
        <v>1</v>
      </c>
      <c r="BA1008" s="4">
        <v>0</v>
      </c>
      <c r="BB1008" s="4">
        <v>18</v>
      </c>
      <c r="BC1008" s="4">
        <v>0</v>
      </c>
      <c r="BD1008" s="4">
        <v>1</v>
      </c>
      <c r="BE1008" s="4">
        <v>4</v>
      </c>
      <c r="BF1008" s="4">
        <v>26</v>
      </c>
      <c r="BG1008" s="4">
        <v>0</v>
      </c>
      <c r="BH1008" s="4">
        <v>0</v>
      </c>
      <c r="BI1008" s="4">
        <v>0</v>
      </c>
      <c r="BJ1008" s="4">
        <v>8</v>
      </c>
      <c r="BK1008" s="4">
        <v>8</v>
      </c>
      <c r="BL1008" s="4">
        <v>0</v>
      </c>
      <c r="BM1008" s="4">
        <v>1</v>
      </c>
      <c r="BN1008" s="4">
        <v>6</v>
      </c>
      <c r="BO1008" s="4">
        <v>0</v>
      </c>
      <c r="BP1008" s="4">
        <v>2</v>
      </c>
      <c r="BQ1008" s="4">
        <v>43</v>
      </c>
      <c r="BR1008" s="4">
        <v>1</v>
      </c>
      <c r="BS1008" s="4">
        <v>18</v>
      </c>
      <c r="BT1008" s="4">
        <v>17</v>
      </c>
      <c r="BU1008" s="4">
        <v>0</v>
      </c>
      <c r="BV1008" s="4">
        <v>7</v>
      </c>
      <c r="BW1008" s="4">
        <v>2</v>
      </c>
      <c r="BX1008" s="4">
        <v>15</v>
      </c>
      <c r="BY1008" s="4">
        <v>2</v>
      </c>
      <c r="BZ1008" s="4">
        <v>0</v>
      </c>
      <c r="CA1008" s="4">
        <v>4</v>
      </c>
      <c r="CB1008" s="4">
        <v>1</v>
      </c>
      <c r="CC1008" s="4">
        <v>0</v>
      </c>
      <c r="CD1008" s="4">
        <v>1</v>
      </c>
      <c r="CE1008" s="4">
        <v>0</v>
      </c>
      <c r="CF1008" s="4">
        <v>0</v>
      </c>
      <c r="CG1008" s="4">
        <v>2</v>
      </c>
      <c r="CH1008" s="4">
        <v>1</v>
      </c>
      <c r="CI1008" s="4">
        <v>1</v>
      </c>
      <c r="CJ1008" s="4">
        <v>2</v>
      </c>
      <c r="CK1008" s="4">
        <v>0</v>
      </c>
      <c r="CL1008" s="4">
        <v>0</v>
      </c>
      <c r="CM1008" s="4">
        <v>1</v>
      </c>
      <c r="CN1008" s="4">
        <v>13</v>
      </c>
      <c r="CO1008" s="4">
        <v>0</v>
      </c>
      <c r="CP1008" s="4">
        <v>1</v>
      </c>
      <c r="CQ1008" s="4">
        <v>0</v>
      </c>
      <c r="CR1008" s="4">
        <v>0</v>
      </c>
      <c r="CS1008" s="4">
        <v>0</v>
      </c>
      <c r="CT1008" s="4">
        <v>3</v>
      </c>
      <c r="CU1008" s="4">
        <v>1</v>
      </c>
      <c r="CV1008" s="4">
        <v>11</v>
      </c>
      <c r="CW1008" s="4">
        <v>1</v>
      </c>
      <c r="CX1008" s="5">
        <v>1</v>
      </c>
    </row>
    <row r="1009" spans="1:102" ht="15.75" x14ac:dyDescent="0.25">
      <c r="A1009" s="4" t="s">
        <v>225</v>
      </c>
      <c r="B1009" s="4" t="s">
        <v>226</v>
      </c>
      <c r="C1009" s="4">
        <v>2022</v>
      </c>
      <c r="D1009" s="4">
        <v>1858</v>
      </c>
      <c r="E1009" s="4">
        <v>12</v>
      </c>
      <c r="F1009" s="4">
        <v>0</v>
      </c>
      <c r="G1009" s="4">
        <v>26</v>
      </c>
      <c r="H1009" s="4">
        <v>0</v>
      </c>
      <c r="I1009" s="4">
        <v>5</v>
      </c>
      <c r="J1009" s="4">
        <v>82</v>
      </c>
      <c r="K1009" s="4">
        <v>1</v>
      </c>
      <c r="L1009" s="4">
        <v>10</v>
      </c>
      <c r="M1009" s="4">
        <v>3</v>
      </c>
      <c r="N1009" s="4">
        <v>8</v>
      </c>
      <c r="O1009" s="4">
        <v>54</v>
      </c>
      <c r="P1009" s="4">
        <v>0</v>
      </c>
      <c r="Q1009" s="4">
        <v>0</v>
      </c>
      <c r="R1009" s="4">
        <v>5</v>
      </c>
      <c r="S1009" s="4">
        <v>0</v>
      </c>
      <c r="T1009" s="4">
        <v>0</v>
      </c>
      <c r="U1009" s="4">
        <v>1</v>
      </c>
      <c r="V1009" s="4">
        <v>18</v>
      </c>
      <c r="W1009" s="4">
        <v>545</v>
      </c>
      <c r="X1009" s="4">
        <v>3</v>
      </c>
      <c r="Y1009" s="4">
        <v>0</v>
      </c>
      <c r="Z1009" s="4">
        <v>0</v>
      </c>
      <c r="AA1009" s="4">
        <v>38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9</v>
      </c>
      <c r="AH1009" s="4">
        <v>2</v>
      </c>
      <c r="AI1009" s="4">
        <v>22</v>
      </c>
      <c r="AJ1009" s="4">
        <v>156</v>
      </c>
      <c r="AK1009" s="4">
        <v>15</v>
      </c>
      <c r="AL1009" s="4">
        <v>3</v>
      </c>
      <c r="AM1009" s="4">
        <v>17</v>
      </c>
      <c r="AN1009" s="4">
        <v>21</v>
      </c>
      <c r="AO1009" s="4">
        <v>35</v>
      </c>
      <c r="AP1009" s="4">
        <v>0</v>
      </c>
      <c r="AQ1009" s="4">
        <v>8</v>
      </c>
      <c r="AR1009" s="4">
        <v>1</v>
      </c>
      <c r="AS1009" s="4">
        <v>11</v>
      </c>
      <c r="AT1009" s="4">
        <v>5</v>
      </c>
      <c r="AU1009" s="4">
        <v>2</v>
      </c>
      <c r="AV1009" s="4">
        <v>8</v>
      </c>
      <c r="AW1009" s="4">
        <v>29</v>
      </c>
      <c r="AX1009" s="4">
        <v>19</v>
      </c>
      <c r="AY1009" s="4">
        <v>1</v>
      </c>
      <c r="AZ1009" s="4">
        <v>16</v>
      </c>
      <c r="BA1009" s="4">
        <v>0</v>
      </c>
      <c r="BB1009" s="4">
        <v>104</v>
      </c>
      <c r="BC1009" s="4">
        <v>7</v>
      </c>
      <c r="BD1009" s="4">
        <v>0</v>
      </c>
      <c r="BE1009" s="4">
        <v>12</v>
      </c>
      <c r="BF1009" s="4">
        <v>24</v>
      </c>
      <c r="BG1009" s="4">
        <v>3</v>
      </c>
      <c r="BH1009" s="4">
        <v>2</v>
      </c>
      <c r="BI1009" s="4">
        <v>0</v>
      </c>
      <c r="BJ1009" s="4">
        <v>35</v>
      </c>
      <c r="BK1009" s="4">
        <v>37</v>
      </c>
      <c r="BL1009" s="4">
        <v>0</v>
      </c>
      <c r="BM1009" s="4">
        <v>1</v>
      </c>
      <c r="BN1009" s="4">
        <v>11</v>
      </c>
      <c r="BO1009" s="4">
        <v>0</v>
      </c>
      <c r="BP1009" s="4">
        <v>0</v>
      </c>
      <c r="BQ1009" s="4">
        <v>8</v>
      </c>
      <c r="BR1009" s="4">
        <v>2</v>
      </c>
      <c r="BS1009" s="4">
        <v>34</v>
      </c>
      <c r="BT1009" s="4">
        <v>51</v>
      </c>
      <c r="BU1009" s="4">
        <v>0</v>
      </c>
      <c r="BV1009" s="4">
        <v>4</v>
      </c>
      <c r="BW1009" s="4">
        <v>5</v>
      </c>
      <c r="BX1009" s="4">
        <v>97</v>
      </c>
      <c r="BY1009" s="4">
        <v>3</v>
      </c>
      <c r="BZ1009" s="4">
        <v>97</v>
      </c>
      <c r="CA1009" s="4">
        <v>11</v>
      </c>
      <c r="CB1009" s="4">
        <v>23</v>
      </c>
      <c r="CC1009" s="4">
        <v>0</v>
      </c>
      <c r="CD1009" s="4">
        <v>2</v>
      </c>
      <c r="CE1009" s="4">
        <v>0</v>
      </c>
      <c r="CF1009" s="4">
        <v>1</v>
      </c>
      <c r="CG1009" s="4">
        <v>1</v>
      </c>
      <c r="CH1009" s="4">
        <v>2</v>
      </c>
      <c r="CI1009" s="4">
        <v>0</v>
      </c>
      <c r="CJ1009" s="4">
        <v>2</v>
      </c>
      <c r="CK1009" s="4">
        <v>0</v>
      </c>
      <c r="CL1009" s="4">
        <v>0</v>
      </c>
      <c r="CM1009" s="4">
        <v>3</v>
      </c>
      <c r="CN1009" s="4">
        <v>34</v>
      </c>
      <c r="CO1009" s="4">
        <v>0</v>
      </c>
      <c r="CP1009" s="4">
        <v>1</v>
      </c>
      <c r="CQ1009" s="4">
        <v>0</v>
      </c>
      <c r="CR1009" s="4">
        <v>2</v>
      </c>
      <c r="CS1009" s="4">
        <v>0</v>
      </c>
      <c r="CT1009" s="4">
        <v>6</v>
      </c>
      <c r="CU1009" s="4">
        <v>17</v>
      </c>
      <c r="CV1009" s="4">
        <v>19</v>
      </c>
      <c r="CW1009" s="4">
        <v>3</v>
      </c>
      <c r="CX1009" s="5">
        <v>3</v>
      </c>
    </row>
    <row r="1010" spans="1:102" ht="15.75" x14ac:dyDescent="0.25">
      <c r="A1010" s="4" t="s">
        <v>227</v>
      </c>
      <c r="B1010" s="4" t="s">
        <v>228</v>
      </c>
      <c r="C1010" s="4">
        <v>2022</v>
      </c>
      <c r="D1010" s="4">
        <v>5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1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4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5">
        <v>0</v>
      </c>
    </row>
    <row r="1011" spans="1:102" ht="15.75" x14ac:dyDescent="0.25">
      <c r="A1011" s="4" t="s">
        <v>229</v>
      </c>
      <c r="B1011" s="4" t="s">
        <v>230</v>
      </c>
      <c r="C1011" s="4">
        <v>2022</v>
      </c>
      <c r="D1011" s="4">
        <v>9482</v>
      </c>
      <c r="E1011" s="4">
        <v>12</v>
      </c>
      <c r="F1011" s="4">
        <v>25</v>
      </c>
      <c r="G1011" s="4">
        <v>40</v>
      </c>
      <c r="H1011" s="4">
        <v>104</v>
      </c>
      <c r="I1011" s="4">
        <v>229</v>
      </c>
      <c r="J1011" s="4">
        <v>38</v>
      </c>
      <c r="K1011" s="4">
        <v>9</v>
      </c>
      <c r="L1011" s="4">
        <v>20</v>
      </c>
      <c r="M1011" s="4">
        <v>13</v>
      </c>
      <c r="N1011" s="4">
        <v>43</v>
      </c>
      <c r="O1011" s="4">
        <v>402</v>
      </c>
      <c r="P1011" s="4">
        <v>1</v>
      </c>
      <c r="Q1011" s="4">
        <v>0</v>
      </c>
      <c r="R1011" s="4">
        <v>8</v>
      </c>
      <c r="S1011" s="4">
        <v>0</v>
      </c>
      <c r="T1011" s="4">
        <v>6</v>
      </c>
      <c r="U1011" s="4">
        <v>13</v>
      </c>
      <c r="V1011" s="4">
        <v>27</v>
      </c>
      <c r="W1011" s="4">
        <v>289</v>
      </c>
      <c r="X1011" s="4">
        <v>18</v>
      </c>
      <c r="Y1011" s="4">
        <v>6</v>
      </c>
      <c r="Z1011" s="4">
        <v>283</v>
      </c>
      <c r="AA1011" s="4">
        <v>348</v>
      </c>
      <c r="AB1011" s="4">
        <v>37</v>
      </c>
      <c r="AC1011" s="4">
        <v>0</v>
      </c>
      <c r="AD1011" s="4">
        <v>1</v>
      </c>
      <c r="AE1011" s="4">
        <v>6</v>
      </c>
      <c r="AF1011" s="4">
        <v>6</v>
      </c>
      <c r="AG1011" s="4">
        <v>129</v>
      </c>
      <c r="AH1011" s="4">
        <v>343</v>
      </c>
      <c r="AI1011" s="4">
        <v>91</v>
      </c>
      <c r="AJ1011" s="4">
        <v>340</v>
      </c>
      <c r="AK1011" s="4">
        <v>200</v>
      </c>
      <c r="AL1011" s="4">
        <v>26</v>
      </c>
      <c r="AM1011" s="4">
        <v>113</v>
      </c>
      <c r="AN1011" s="4">
        <v>103</v>
      </c>
      <c r="AO1011" s="4">
        <v>159</v>
      </c>
      <c r="AP1011" s="4">
        <v>4</v>
      </c>
      <c r="AQ1011" s="4">
        <v>38</v>
      </c>
      <c r="AR1011" s="4">
        <v>31</v>
      </c>
      <c r="AS1011" s="4">
        <v>46</v>
      </c>
      <c r="AT1011" s="4">
        <v>40</v>
      </c>
      <c r="AU1011" s="4">
        <v>56</v>
      </c>
      <c r="AV1011" s="4">
        <v>323</v>
      </c>
      <c r="AW1011" s="4">
        <v>314</v>
      </c>
      <c r="AX1011" s="4">
        <v>173</v>
      </c>
      <c r="AY1011" s="4">
        <v>3</v>
      </c>
      <c r="AZ1011" s="4">
        <v>48</v>
      </c>
      <c r="BA1011" s="4">
        <v>0</v>
      </c>
      <c r="BB1011" s="4">
        <v>1085</v>
      </c>
      <c r="BC1011" s="4">
        <v>36</v>
      </c>
      <c r="BD1011" s="4">
        <v>4</v>
      </c>
      <c r="BE1011" s="4">
        <v>28</v>
      </c>
      <c r="BF1011" s="4">
        <v>177</v>
      </c>
      <c r="BG1011" s="4">
        <v>10</v>
      </c>
      <c r="BH1011" s="4">
        <v>16</v>
      </c>
      <c r="BI1011" s="4">
        <v>1</v>
      </c>
      <c r="BJ1011" s="4">
        <v>209</v>
      </c>
      <c r="BK1011" s="4">
        <v>177</v>
      </c>
      <c r="BL1011" s="4">
        <v>0</v>
      </c>
      <c r="BM1011" s="4">
        <v>13</v>
      </c>
      <c r="BN1011" s="4">
        <v>71</v>
      </c>
      <c r="BO1011" s="4">
        <v>1</v>
      </c>
      <c r="BP1011" s="4">
        <v>15</v>
      </c>
      <c r="BQ1011" s="4">
        <v>133</v>
      </c>
      <c r="BR1011" s="4">
        <v>18</v>
      </c>
      <c r="BS1011" s="4">
        <v>206</v>
      </c>
      <c r="BT1011" s="4">
        <v>92</v>
      </c>
      <c r="BU1011" s="4">
        <v>6</v>
      </c>
      <c r="BV1011" s="4">
        <v>167</v>
      </c>
      <c r="BW1011" s="4">
        <v>99</v>
      </c>
      <c r="BX1011" s="4">
        <v>751</v>
      </c>
      <c r="BY1011" s="4">
        <v>8</v>
      </c>
      <c r="BZ1011" s="4">
        <v>0</v>
      </c>
      <c r="CA1011" s="4">
        <v>311</v>
      </c>
      <c r="CB1011" s="4">
        <v>105</v>
      </c>
      <c r="CC1011" s="4">
        <v>1</v>
      </c>
      <c r="CD1011" s="4">
        <v>19</v>
      </c>
      <c r="CE1011" s="4">
        <v>2</v>
      </c>
      <c r="CF1011" s="4">
        <v>15</v>
      </c>
      <c r="CG1011" s="4">
        <v>3</v>
      </c>
      <c r="CH1011" s="4">
        <v>10</v>
      </c>
      <c r="CI1011" s="4">
        <v>9</v>
      </c>
      <c r="CJ1011" s="4">
        <v>83</v>
      </c>
      <c r="CK1011" s="4">
        <v>24</v>
      </c>
      <c r="CL1011" s="4">
        <v>1</v>
      </c>
      <c r="CM1011" s="4">
        <v>87</v>
      </c>
      <c r="CN1011" s="4">
        <v>171</v>
      </c>
      <c r="CO1011" s="4">
        <v>60</v>
      </c>
      <c r="CP1011" s="4">
        <v>9</v>
      </c>
      <c r="CQ1011" s="4">
        <v>0</v>
      </c>
      <c r="CR1011" s="4">
        <v>25</v>
      </c>
      <c r="CS1011" s="4">
        <v>3</v>
      </c>
      <c r="CT1011" s="4">
        <v>82</v>
      </c>
      <c r="CU1011" s="4">
        <v>25</v>
      </c>
      <c r="CV1011" s="4">
        <v>123</v>
      </c>
      <c r="CW1011" s="4">
        <v>424</v>
      </c>
      <c r="CX1011" s="5">
        <v>445</v>
      </c>
    </row>
    <row r="1012" spans="1:102" ht="15.75" x14ac:dyDescent="0.25">
      <c r="A1012" s="4" t="s">
        <v>231</v>
      </c>
      <c r="B1012" s="4" t="s">
        <v>232</v>
      </c>
      <c r="C1012" s="4">
        <v>2022</v>
      </c>
      <c r="D1012" s="4">
        <v>369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7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2</v>
      </c>
      <c r="AK1012" s="4">
        <v>2</v>
      </c>
      <c r="AL1012" s="4">
        <v>0</v>
      </c>
      <c r="AM1012" s="4">
        <v>0</v>
      </c>
      <c r="AN1012" s="4">
        <v>0</v>
      </c>
      <c r="AO1012" s="4">
        <v>2</v>
      </c>
      <c r="AP1012" s="4">
        <v>0</v>
      </c>
      <c r="AQ1012" s="4">
        <v>2</v>
      </c>
      <c r="AR1012" s="4">
        <v>0</v>
      </c>
      <c r="AS1012" s="4">
        <v>0</v>
      </c>
      <c r="AT1012" s="4">
        <v>1</v>
      </c>
      <c r="AU1012" s="4">
        <v>0</v>
      </c>
      <c r="AV1012" s="4">
        <v>1</v>
      </c>
      <c r="AW1012" s="4">
        <v>0</v>
      </c>
      <c r="AX1012" s="4">
        <v>2</v>
      </c>
      <c r="AY1012" s="4">
        <v>0</v>
      </c>
      <c r="AZ1012" s="4">
        <v>2</v>
      </c>
      <c r="BA1012" s="4">
        <v>0</v>
      </c>
      <c r="BB1012" s="4">
        <v>224</v>
      </c>
      <c r="BC1012" s="4">
        <v>2</v>
      </c>
      <c r="BD1012" s="4">
        <v>0</v>
      </c>
      <c r="BE1012" s="4">
        <v>2</v>
      </c>
      <c r="BF1012" s="4">
        <v>8</v>
      </c>
      <c r="BG1012" s="4">
        <v>0</v>
      </c>
      <c r="BH1012" s="4">
        <v>0</v>
      </c>
      <c r="BI1012" s="4">
        <v>0</v>
      </c>
      <c r="BJ1012" s="4">
        <v>3</v>
      </c>
      <c r="BK1012" s="4">
        <v>41</v>
      </c>
      <c r="BL1012" s="4">
        <v>0</v>
      </c>
      <c r="BM1012" s="4">
        <v>0</v>
      </c>
      <c r="BN1012" s="4">
        <v>3</v>
      </c>
      <c r="BO1012" s="4">
        <v>0</v>
      </c>
      <c r="BP1012" s="4">
        <v>0</v>
      </c>
      <c r="BQ1012" s="4">
        <v>5</v>
      </c>
      <c r="BR1012" s="4">
        <v>0</v>
      </c>
      <c r="BS1012" s="4">
        <v>23</v>
      </c>
      <c r="BT1012" s="4">
        <v>5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14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2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1</v>
      </c>
      <c r="CN1012" s="4">
        <v>8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4">
        <v>0</v>
      </c>
      <c r="CV1012" s="4">
        <v>2</v>
      </c>
      <c r="CW1012" s="4">
        <v>1</v>
      </c>
      <c r="CX1012" s="5">
        <v>1</v>
      </c>
    </row>
    <row r="1013" spans="1:102" ht="15.75" x14ac:dyDescent="0.25">
      <c r="A1013" s="4" t="s">
        <v>233</v>
      </c>
      <c r="B1013" s="4" t="s">
        <v>234</v>
      </c>
      <c r="C1013" s="4">
        <v>2022</v>
      </c>
      <c r="D1013" s="4">
        <v>1535</v>
      </c>
      <c r="E1013" s="4">
        <v>0</v>
      </c>
      <c r="F1013" s="4">
        <v>0</v>
      </c>
      <c r="G1013" s="4">
        <v>1</v>
      </c>
      <c r="H1013" s="4">
        <v>0</v>
      </c>
      <c r="I1013" s="4">
        <v>13</v>
      </c>
      <c r="J1013" s="4">
        <v>2</v>
      </c>
      <c r="K1013" s="4">
        <v>1</v>
      </c>
      <c r="L1013" s="4">
        <v>1</v>
      </c>
      <c r="M1013" s="4">
        <v>14</v>
      </c>
      <c r="N1013" s="4">
        <v>8</v>
      </c>
      <c r="O1013" s="4">
        <v>24</v>
      </c>
      <c r="P1013" s="4">
        <v>0</v>
      </c>
      <c r="Q1013" s="4">
        <v>0</v>
      </c>
      <c r="R1013" s="4">
        <v>0</v>
      </c>
      <c r="S1013" s="4">
        <v>1</v>
      </c>
      <c r="T1013" s="4">
        <v>1</v>
      </c>
      <c r="U1013" s="4">
        <v>1</v>
      </c>
      <c r="V1013" s="4">
        <v>15</v>
      </c>
      <c r="W1013" s="4">
        <v>27</v>
      </c>
      <c r="X1013" s="4">
        <v>1</v>
      </c>
      <c r="Y1013" s="4">
        <v>8</v>
      </c>
      <c r="Z1013" s="4">
        <v>401</v>
      </c>
      <c r="AA1013" s="4">
        <v>11</v>
      </c>
      <c r="AB1013" s="4">
        <v>0</v>
      </c>
      <c r="AC1013" s="4">
        <v>0</v>
      </c>
      <c r="AD1013" s="4">
        <v>0</v>
      </c>
      <c r="AE1013" s="4">
        <v>1</v>
      </c>
      <c r="AF1013" s="4">
        <v>14</v>
      </c>
      <c r="AG1013" s="4">
        <v>28</v>
      </c>
      <c r="AH1013" s="4">
        <v>7</v>
      </c>
      <c r="AI1013" s="4">
        <v>13</v>
      </c>
      <c r="AJ1013" s="4">
        <v>21</v>
      </c>
      <c r="AK1013" s="4">
        <v>12</v>
      </c>
      <c r="AL1013" s="4">
        <v>2</v>
      </c>
      <c r="AM1013" s="4">
        <v>23</v>
      </c>
      <c r="AN1013" s="4">
        <v>18</v>
      </c>
      <c r="AO1013" s="4">
        <v>26</v>
      </c>
      <c r="AP1013" s="4">
        <v>1</v>
      </c>
      <c r="AQ1013" s="4">
        <v>7</v>
      </c>
      <c r="AR1013" s="4">
        <v>1</v>
      </c>
      <c r="AS1013" s="4">
        <v>24</v>
      </c>
      <c r="AT1013" s="4">
        <v>28</v>
      </c>
      <c r="AU1013" s="4">
        <v>10</v>
      </c>
      <c r="AV1013" s="4">
        <v>38</v>
      </c>
      <c r="AW1013" s="4">
        <v>27</v>
      </c>
      <c r="AX1013" s="4">
        <v>31</v>
      </c>
      <c r="AY1013" s="4">
        <v>0</v>
      </c>
      <c r="AZ1013" s="4">
        <v>2</v>
      </c>
      <c r="BA1013" s="4">
        <v>0</v>
      </c>
      <c r="BB1013" s="4">
        <v>31</v>
      </c>
      <c r="BC1013" s="4">
        <v>24</v>
      </c>
      <c r="BD1013" s="4">
        <v>1</v>
      </c>
      <c r="BE1013" s="4">
        <v>16</v>
      </c>
      <c r="BF1013" s="4">
        <v>60</v>
      </c>
      <c r="BG1013" s="4">
        <v>3</v>
      </c>
      <c r="BH1013" s="4">
        <v>3</v>
      </c>
      <c r="BI1013" s="4">
        <v>0</v>
      </c>
      <c r="BJ1013" s="4">
        <v>57</v>
      </c>
      <c r="BK1013" s="4">
        <v>50</v>
      </c>
      <c r="BL1013" s="4">
        <v>0</v>
      </c>
      <c r="BM1013" s="4">
        <v>2</v>
      </c>
      <c r="BN1013" s="4">
        <v>11</v>
      </c>
      <c r="BO1013" s="4">
        <v>0</v>
      </c>
      <c r="BP1013" s="4">
        <v>2</v>
      </c>
      <c r="BQ1013" s="4">
        <v>19</v>
      </c>
      <c r="BR1013" s="4">
        <v>3</v>
      </c>
      <c r="BS1013" s="4">
        <v>47</v>
      </c>
      <c r="BT1013" s="4">
        <v>23</v>
      </c>
      <c r="BU1013" s="4">
        <v>1</v>
      </c>
      <c r="BV1013" s="4">
        <v>27</v>
      </c>
      <c r="BW1013" s="4">
        <v>12</v>
      </c>
      <c r="BX1013" s="4">
        <v>98</v>
      </c>
      <c r="BY1013" s="4">
        <v>1</v>
      </c>
      <c r="BZ1013" s="4">
        <v>0</v>
      </c>
      <c r="CA1013" s="4">
        <v>19</v>
      </c>
      <c r="CB1013" s="4">
        <v>5</v>
      </c>
      <c r="CC1013" s="4">
        <v>0</v>
      </c>
      <c r="CD1013" s="4">
        <v>3</v>
      </c>
      <c r="CE1013" s="4">
        <v>0</v>
      </c>
      <c r="CF1013" s="4">
        <v>2</v>
      </c>
      <c r="CG1013" s="4">
        <v>4</v>
      </c>
      <c r="CH1013" s="4">
        <v>3</v>
      </c>
      <c r="CI1013" s="4">
        <v>1</v>
      </c>
      <c r="CJ1013" s="4">
        <v>6</v>
      </c>
      <c r="CK1013" s="4">
        <v>3</v>
      </c>
      <c r="CL1013" s="4">
        <v>0</v>
      </c>
      <c r="CM1013" s="4">
        <v>4</v>
      </c>
      <c r="CN1013" s="4">
        <v>76</v>
      </c>
      <c r="CO1013" s="4">
        <v>0</v>
      </c>
      <c r="CP1013" s="4">
        <v>2</v>
      </c>
      <c r="CQ1013" s="4">
        <v>0</v>
      </c>
      <c r="CR1013" s="4">
        <v>5</v>
      </c>
      <c r="CS1013" s="4">
        <v>1</v>
      </c>
      <c r="CT1013" s="4">
        <v>13</v>
      </c>
      <c r="CU1013" s="4">
        <v>1</v>
      </c>
      <c r="CV1013" s="4">
        <v>25</v>
      </c>
      <c r="CW1013" s="4">
        <v>7</v>
      </c>
      <c r="CX1013" s="5">
        <v>8</v>
      </c>
    </row>
    <row r="1014" spans="1:102" ht="15.75" x14ac:dyDescent="0.25">
      <c r="A1014" s="4" t="s">
        <v>235</v>
      </c>
      <c r="B1014" s="4" t="s">
        <v>236</v>
      </c>
      <c r="C1014" s="4">
        <v>2022</v>
      </c>
      <c r="D1014" s="4">
        <v>11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9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5">
        <v>0</v>
      </c>
    </row>
    <row r="1015" spans="1:102" ht="15.75" x14ac:dyDescent="0.25">
      <c r="A1015" s="4" t="s">
        <v>237</v>
      </c>
      <c r="B1015" s="4" t="s">
        <v>238</v>
      </c>
      <c r="C1015" s="4">
        <v>2022</v>
      </c>
      <c r="D1015" s="4">
        <v>71</v>
      </c>
      <c r="E1015" s="4">
        <v>0</v>
      </c>
      <c r="F1015" s="4">
        <v>1</v>
      </c>
      <c r="G1015" s="4">
        <v>0</v>
      </c>
      <c r="H1015" s="4">
        <v>0</v>
      </c>
      <c r="I1015" s="4">
        <v>1</v>
      </c>
      <c r="J1015" s="4">
        <v>1</v>
      </c>
      <c r="K1015" s="4">
        <v>0</v>
      </c>
      <c r="L1015" s="4">
        <v>0</v>
      </c>
      <c r="M1015" s="4">
        <v>0</v>
      </c>
      <c r="N1015" s="4">
        <v>3</v>
      </c>
      <c r="O1015" s="4">
        <v>2</v>
      </c>
      <c r="P1015" s="4">
        <v>0</v>
      </c>
      <c r="Q1015" s="4">
        <v>0</v>
      </c>
      <c r="R1015" s="4">
        <v>0</v>
      </c>
      <c r="S1015" s="4">
        <v>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1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2</v>
      </c>
      <c r="AK1015" s="4">
        <v>1</v>
      </c>
      <c r="AL1015" s="4">
        <v>0</v>
      </c>
      <c r="AM1015" s="4">
        <v>0</v>
      </c>
      <c r="AN1015" s="4">
        <v>2</v>
      </c>
      <c r="AO1015" s="4">
        <v>0</v>
      </c>
      <c r="AP1015" s="4">
        <v>0</v>
      </c>
      <c r="AQ1015" s="4">
        <v>1</v>
      </c>
      <c r="AR1015" s="4">
        <v>1</v>
      </c>
      <c r="AS1015" s="4">
        <v>0</v>
      </c>
      <c r="AT1015" s="4">
        <v>0</v>
      </c>
      <c r="AU1015" s="4">
        <v>2</v>
      </c>
      <c r="AV1015" s="4">
        <v>2</v>
      </c>
      <c r="AW1015" s="4">
        <v>0</v>
      </c>
      <c r="AX1015" s="4">
        <v>5</v>
      </c>
      <c r="AY1015" s="4">
        <v>0</v>
      </c>
      <c r="AZ1015" s="4">
        <v>2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2</v>
      </c>
      <c r="BG1015" s="4">
        <v>0</v>
      </c>
      <c r="BH1015" s="4">
        <v>0</v>
      </c>
      <c r="BI1015" s="4">
        <v>0</v>
      </c>
      <c r="BJ1015" s="4">
        <v>1</v>
      </c>
      <c r="BK1015" s="4">
        <v>3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1</v>
      </c>
      <c r="BR1015" s="4">
        <v>1</v>
      </c>
      <c r="BS1015" s="4">
        <v>3</v>
      </c>
      <c r="BT1015" s="4">
        <v>1</v>
      </c>
      <c r="BU1015" s="4">
        <v>0</v>
      </c>
      <c r="BV1015" s="4">
        <v>2</v>
      </c>
      <c r="BW1015" s="4">
        <v>2</v>
      </c>
      <c r="BX1015" s="4">
        <v>2</v>
      </c>
      <c r="BY1015" s="4">
        <v>0</v>
      </c>
      <c r="BZ1015" s="4">
        <v>0</v>
      </c>
      <c r="CA1015" s="4">
        <v>5</v>
      </c>
      <c r="CB1015" s="4">
        <v>0</v>
      </c>
      <c r="CC1015" s="4">
        <v>0</v>
      </c>
      <c r="CD1015" s="4">
        <v>7</v>
      </c>
      <c r="CE1015" s="4">
        <v>0</v>
      </c>
      <c r="CF1015" s="4">
        <v>1</v>
      </c>
      <c r="CG1015" s="4">
        <v>0</v>
      </c>
      <c r="CH1015" s="4">
        <v>0</v>
      </c>
      <c r="CI1015" s="4">
        <v>0</v>
      </c>
      <c r="CJ1015" s="4">
        <v>1</v>
      </c>
      <c r="CK1015" s="4">
        <v>0</v>
      </c>
      <c r="CL1015" s="4">
        <v>0</v>
      </c>
      <c r="CM1015" s="4">
        <v>0</v>
      </c>
      <c r="CN1015" s="4">
        <v>1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1</v>
      </c>
      <c r="CU1015" s="4">
        <v>0</v>
      </c>
      <c r="CV1015" s="4">
        <v>4</v>
      </c>
      <c r="CW1015" s="4">
        <v>1</v>
      </c>
      <c r="CX1015" s="5">
        <v>1</v>
      </c>
    </row>
    <row r="1016" spans="1:102" ht="15.75" x14ac:dyDescent="0.25">
      <c r="A1016" s="4" t="s">
        <v>239</v>
      </c>
      <c r="B1016" s="4" t="s">
        <v>240</v>
      </c>
      <c r="C1016" s="4">
        <v>2022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5">
        <v>0</v>
      </c>
    </row>
    <row r="1017" spans="1:102" ht="15.75" x14ac:dyDescent="0.25">
      <c r="A1017" s="4" t="s">
        <v>241</v>
      </c>
      <c r="B1017" s="4" t="s">
        <v>242</v>
      </c>
      <c r="C1017" s="4">
        <v>2022</v>
      </c>
      <c r="D1017" s="4">
        <v>17</v>
      </c>
      <c r="E1017" s="4">
        <v>0</v>
      </c>
      <c r="F1017" s="4">
        <v>0</v>
      </c>
      <c r="G1017" s="4">
        <v>0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 s="4">
        <v>5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1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2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1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5">
        <v>0</v>
      </c>
    </row>
    <row r="1018" spans="1:102" ht="15.75" x14ac:dyDescent="0.25">
      <c r="A1018" s="4" t="s">
        <v>243</v>
      </c>
      <c r="B1018" s="4" t="s">
        <v>244</v>
      </c>
      <c r="C1018" s="4">
        <v>2022</v>
      </c>
      <c r="D1018" s="4">
        <v>25954</v>
      </c>
      <c r="E1018" s="4">
        <v>57</v>
      </c>
      <c r="F1018" s="4">
        <v>510</v>
      </c>
      <c r="G1018" s="4">
        <v>157</v>
      </c>
      <c r="H1018" s="4">
        <v>806</v>
      </c>
      <c r="I1018" s="4">
        <v>155</v>
      </c>
      <c r="J1018" s="4">
        <v>70</v>
      </c>
      <c r="K1018" s="4">
        <v>10</v>
      </c>
      <c r="L1018" s="4">
        <v>64</v>
      </c>
      <c r="M1018" s="4">
        <v>83</v>
      </c>
      <c r="N1018" s="4">
        <v>136</v>
      </c>
      <c r="O1018" s="4">
        <v>758</v>
      </c>
      <c r="P1018" s="4">
        <v>5</v>
      </c>
      <c r="Q1018" s="4">
        <v>17</v>
      </c>
      <c r="R1018" s="4">
        <v>28</v>
      </c>
      <c r="S1018" s="4">
        <v>7</v>
      </c>
      <c r="T1018" s="4">
        <v>24</v>
      </c>
      <c r="U1018" s="4">
        <v>11</v>
      </c>
      <c r="V1018" s="4">
        <v>19</v>
      </c>
      <c r="W1018" s="4">
        <v>126</v>
      </c>
      <c r="X1018" s="4">
        <v>52</v>
      </c>
      <c r="Y1018" s="4">
        <v>6</v>
      </c>
      <c r="Z1018" s="4">
        <v>1732</v>
      </c>
      <c r="AA1018" s="4">
        <v>258</v>
      </c>
      <c r="AB1018" s="4">
        <v>303</v>
      </c>
      <c r="AC1018" s="4">
        <v>2212</v>
      </c>
      <c r="AD1018" s="4">
        <v>5</v>
      </c>
      <c r="AE1018" s="4">
        <v>18</v>
      </c>
      <c r="AF1018" s="4">
        <v>7</v>
      </c>
      <c r="AG1018" s="4">
        <v>267</v>
      </c>
      <c r="AH1018" s="4">
        <v>306</v>
      </c>
      <c r="AI1018" s="4">
        <v>163</v>
      </c>
      <c r="AJ1018" s="4">
        <v>1226</v>
      </c>
      <c r="AK1018" s="4">
        <v>362</v>
      </c>
      <c r="AL1018" s="4">
        <v>29</v>
      </c>
      <c r="AM1018" s="4">
        <v>241</v>
      </c>
      <c r="AN1018" s="4">
        <v>289</v>
      </c>
      <c r="AO1018" s="4">
        <v>407</v>
      </c>
      <c r="AP1018" s="4">
        <v>6</v>
      </c>
      <c r="AQ1018" s="4">
        <v>112</v>
      </c>
      <c r="AR1018" s="4">
        <v>63</v>
      </c>
      <c r="AS1018" s="4">
        <v>229</v>
      </c>
      <c r="AT1018" s="4">
        <v>173</v>
      </c>
      <c r="AU1018" s="4">
        <v>268</v>
      </c>
      <c r="AV1018" s="4">
        <v>264</v>
      </c>
      <c r="AW1018" s="4">
        <v>305</v>
      </c>
      <c r="AX1018" s="4">
        <v>633</v>
      </c>
      <c r="AY1018" s="4">
        <v>8</v>
      </c>
      <c r="AZ1018" s="4">
        <v>78</v>
      </c>
      <c r="BA1018" s="4">
        <v>0</v>
      </c>
      <c r="BB1018" s="4">
        <v>1894</v>
      </c>
      <c r="BC1018" s="4">
        <v>188</v>
      </c>
      <c r="BD1018" s="4">
        <v>3</v>
      </c>
      <c r="BE1018" s="4">
        <v>114</v>
      </c>
      <c r="BF1018" s="4">
        <v>531</v>
      </c>
      <c r="BG1018" s="4">
        <v>20</v>
      </c>
      <c r="BH1018" s="4">
        <v>28</v>
      </c>
      <c r="BI1018" s="4">
        <v>7</v>
      </c>
      <c r="BJ1018" s="4">
        <v>418</v>
      </c>
      <c r="BK1018" s="4">
        <v>565</v>
      </c>
      <c r="BL1018" s="4">
        <v>0</v>
      </c>
      <c r="BM1018" s="4">
        <v>59</v>
      </c>
      <c r="BN1018" s="4">
        <v>193</v>
      </c>
      <c r="BO1018" s="4">
        <v>3</v>
      </c>
      <c r="BP1018" s="4">
        <v>77</v>
      </c>
      <c r="BQ1018" s="4">
        <v>394</v>
      </c>
      <c r="BR1018" s="4">
        <v>46</v>
      </c>
      <c r="BS1018" s="4">
        <v>540</v>
      </c>
      <c r="BT1018" s="4">
        <v>302</v>
      </c>
      <c r="BU1018" s="4">
        <v>16</v>
      </c>
      <c r="BV1018" s="4">
        <v>367</v>
      </c>
      <c r="BW1018" s="4">
        <v>357</v>
      </c>
      <c r="BX1018" s="4">
        <v>1475</v>
      </c>
      <c r="BY1018" s="4">
        <v>11</v>
      </c>
      <c r="BZ1018" s="4">
        <v>1</v>
      </c>
      <c r="CA1018" s="4">
        <v>1891</v>
      </c>
      <c r="CB1018" s="4">
        <v>304</v>
      </c>
      <c r="CC1018" s="4">
        <v>2</v>
      </c>
      <c r="CD1018" s="4">
        <v>61</v>
      </c>
      <c r="CE1018" s="4">
        <v>11</v>
      </c>
      <c r="CF1018" s="4">
        <v>104</v>
      </c>
      <c r="CG1018" s="4">
        <v>80</v>
      </c>
      <c r="CH1018" s="4">
        <v>77</v>
      </c>
      <c r="CI1018" s="4">
        <v>44</v>
      </c>
      <c r="CJ1018" s="4">
        <v>248</v>
      </c>
      <c r="CK1018" s="4">
        <v>49</v>
      </c>
      <c r="CL1018" s="4">
        <v>0</v>
      </c>
      <c r="CM1018" s="4">
        <v>159</v>
      </c>
      <c r="CN1018" s="4">
        <v>630</v>
      </c>
      <c r="CO1018" s="4">
        <v>51</v>
      </c>
      <c r="CP1018" s="4">
        <v>28</v>
      </c>
      <c r="CQ1018" s="4">
        <v>0</v>
      </c>
      <c r="CR1018" s="4">
        <v>402</v>
      </c>
      <c r="CS1018" s="4">
        <v>306</v>
      </c>
      <c r="CT1018" s="4">
        <v>202</v>
      </c>
      <c r="CU1018" s="4">
        <v>30</v>
      </c>
      <c r="CV1018" s="4">
        <v>483</v>
      </c>
      <c r="CW1018" s="4">
        <v>115</v>
      </c>
      <c r="CX1018" s="5">
        <v>118</v>
      </c>
    </row>
    <row r="1019" spans="1:102" ht="15.75" x14ac:dyDescent="0.25">
      <c r="A1019" s="4" t="s">
        <v>245</v>
      </c>
      <c r="B1019" s="4" t="s">
        <v>246</v>
      </c>
      <c r="C1019" s="4">
        <v>2022</v>
      </c>
      <c r="D1019" s="4">
        <v>65</v>
      </c>
      <c r="E1019" s="4">
        <v>0</v>
      </c>
      <c r="F1019" s="4">
        <v>9</v>
      </c>
      <c r="G1019" s="4">
        <v>1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4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1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2</v>
      </c>
      <c r="AP1019" s="4">
        <v>0</v>
      </c>
      <c r="AQ1019" s="4">
        <v>1</v>
      </c>
      <c r="AR1019" s="4">
        <v>0</v>
      </c>
      <c r="AS1019" s="4">
        <v>0</v>
      </c>
      <c r="AT1019" s="4">
        <v>0</v>
      </c>
      <c r="AU1019" s="4">
        <v>0</v>
      </c>
      <c r="AV1019" s="4">
        <v>12</v>
      </c>
      <c r="AW1019" s="4">
        <v>0</v>
      </c>
      <c r="AX1019" s="4">
        <v>9</v>
      </c>
      <c r="AY1019" s="4">
        <v>0</v>
      </c>
      <c r="AZ1019" s="4">
        <v>0</v>
      </c>
      <c r="BA1019" s="4">
        <v>0</v>
      </c>
      <c r="BB1019" s="4">
        <v>6</v>
      </c>
      <c r="BC1019" s="4">
        <v>0</v>
      </c>
      <c r="BD1019" s="4">
        <v>0</v>
      </c>
      <c r="BE1019" s="4">
        <v>3</v>
      </c>
      <c r="BF1019" s="4">
        <v>2</v>
      </c>
      <c r="BG1019" s="4">
        <v>0</v>
      </c>
      <c r="BH1019" s="4">
        <v>0</v>
      </c>
      <c r="BI1019" s="4">
        <v>0</v>
      </c>
      <c r="BJ1019" s="4">
        <v>2</v>
      </c>
      <c r="BK1019" s="4">
        <v>1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1</v>
      </c>
      <c r="BR1019" s="4">
        <v>0</v>
      </c>
      <c r="BS1019" s="4">
        <v>3</v>
      </c>
      <c r="BT1019" s="4">
        <v>0</v>
      </c>
      <c r="BU1019" s="4">
        <v>0</v>
      </c>
      <c r="BV1019" s="4">
        <v>0</v>
      </c>
      <c r="BW1019" s="4">
        <v>1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1</v>
      </c>
      <c r="CN1019" s="4">
        <v>1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1</v>
      </c>
      <c r="CU1019" s="4">
        <v>0</v>
      </c>
      <c r="CV1019" s="4">
        <v>0</v>
      </c>
      <c r="CW1019" s="4">
        <v>1</v>
      </c>
      <c r="CX1019" s="5">
        <v>1</v>
      </c>
    </row>
    <row r="1020" spans="1:102" ht="15.75" x14ac:dyDescent="0.25">
      <c r="A1020" s="4" t="s">
        <v>247</v>
      </c>
      <c r="B1020" s="4" t="s">
        <v>248</v>
      </c>
      <c r="C1020" s="4">
        <v>2022</v>
      </c>
      <c r="D1020" s="4">
        <v>12</v>
      </c>
      <c r="E1020" s="4">
        <v>0</v>
      </c>
      <c r="F1020" s="4">
        <v>0</v>
      </c>
      <c r="G1020" s="4">
        <v>1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1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1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1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2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5">
        <v>0</v>
      </c>
    </row>
    <row r="1021" spans="1:102" ht="15.75" x14ac:dyDescent="0.25">
      <c r="A1021" s="4" t="s">
        <v>249</v>
      </c>
      <c r="B1021" s="4" t="s">
        <v>250</v>
      </c>
      <c r="C1021" s="4">
        <v>2022</v>
      </c>
      <c r="D1021" s="4">
        <v>133</v>
      </c>
      <c r="E1021" s="4">
        <v>0</v>
      </c>
      <c r="F1021" s="4">
        <v>0</v>
      </c>
      <c r="G1021" s="4">
        <v>1</v>
      </c>
      <c r="H1021" s="4">
        <v>1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1</v>
      </c>
      <c r="O1021" s="4">
        <v>21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2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1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1</v>
      </c>
      <c r="AH1021" s="4">
        <v>0</v>
      </c>
      <c r="AI1021" s="4">
        <v>3</v>
      </c>
      <c r="AJ1021" s="4">
        <v>8</v>
      </c>
      <c r="AK1021" s="4">
        <v>3</v>
      </c>
      <c r="AL1021" s="4">
        <v>0</v>
      </c>
      <c r="AM1021" s="4">
        <v>0</v>
      </c>
      <c r="AN1021" s="4">
        <v>1</v>
      </c>
      <c r="AO1021" s="4">
        <v>2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1</v>
      </c>
      <c r="AV1021" s="4">
        <v>2</v>
      </c>
      <c r="AW1021" s="4">
        <v>2</v>
      </c>
      <c r="AX1021" s="4">
        <v>1</v>
      </c>
      <c r="AY1021" s="4">
        <v>0</v>
      </c>
      <c r="AZ1021" s="4">
        <v>0</v>
      </c>
      <c r="BA1021" s="4">
        <v>0</v>
      </c>
      <c r="BB1021" s="4">
        <v>6</v>
      </c>
      <c r="BC1021" s="4">
        <v>0</v>
      </c>
      <c r="BD1021" s="4">
        <v>0</v>
      </c>
      <c r="BE1021" s="4">
        <v>1</v>
      </c>
      <c r="BF1021" s="4">
        <v>14</v>
      </c>
      <c r="BG1021" s="4">
        <v>0</v>
      </c>
      <c r="BH1021" s="4">
        <v>0</v>
      </c>
      <c r="BI1021" s="4">
        <v>0</v>
      </c>
      <c r="BJ1021" s="4">
        <v>3</v>
      </c>
      <c r="BK1021" s="4">
        <v>2</v>
      </c>
      <c r="BL1021" s="4">
        <v>0</v>
      </c>
      <c r="BM1021" s="4">
        <v>0</v>
      </c>
      <c r="BN1021" s="4">
        <v>2</v>
      </c>
      <c r="BO1021" s="4">
        <v>0</v>
      </c>
      <c r="BP1021" s="4">
        <v>0</v>
      </c>
      <c r="BQ1021" s="4">
        <v>1</v>
      </c>
      <c r="BR1021" s="4">
        <v>0</v>
      </c>
      <c r="BS1021" s="4">
        <v>2</v>
      </c>
      <c r="BT1021" s="4">
        <v>1</v>
      </c>
      <c r="BU1021" s="4">
        <v>0</v>
      </c>
      <c r="BV1021" s="4">
        <v>2</v>
      </c>
      <c r="BW1021" s="4">
        <v>1</v>
      </c>
      <c r="BX1021" s="4">
        <v>31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2</v>
      </c>
      <c r="CK1021" s="4">
        <v>0</v>
      </c>
      <c r="CL1021" s="4">
        <v>0</v>
      </c>
      <c r="CM1021" s="4">
        <v>0</v>
      </c>
      <c r="CN1021" s="4">
        <v>2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1</v>
      </c>
      <c r="CU1021" s="4">
        <v>5</v>
      </c>
      <c r="CV1021" s="4">
        <v>2</v>
      </c>
      <c r="CW1021" s="4">
        <v>0</v>
      </c>
      <c r="CX1021" s="5">
        <v>0</v>
      </c>
    </row>
    <row r="1022" spans="1:102" ht="15.75" x14ac:dyDescent="0.25">
      <c r="A1022" s="4" t="s">
        <v>251</v>
      </c>
      <c r="B1022" s="4" t="s">
        <v>252</v>
      </c>
      <c r="C1022" s="4">
        <v>2022</v>
      </c>
      <c r="D1022" s="4">
        <v>386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18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48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2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24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3</v>
      </c>
      <c r="BO1022" s="4">
        <v>0</v>
      </c>
      <c r="BP1022" s="4">
        <v>0</v>
      </c>
      <c r="BQ1022" s="4">
        <v>4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3</v>
      </c>
      <c r="BY1022" s="4">
        <v>0</v>
      </c>
      <c r="BZ1022" s="4">
        <v>0</v>
      </c>
      <c r="CA1022" s="4">
        <v>137</v>
      </c>
      <c r="CB1022" s="4">
        <v>132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1</v>
      </c>
      <c r="CO1022" s="4">
        <v>1</v>
      </c>
      <c r="CP1022" s="4">
        <v>0</v>
      </c>
      <c r="CQ1022" s="4">
        <v>0</v>
      </c>
      <c r="CR1022" s="4">
        <v>2</v>
      </c>
      <c r="CS1022" s="4">
        <v>3</v>
      </c>
      <c r="CT1022" s="4">
        <v>1</v>
      </c>
      <c r="CU1022" s="4">
        <v>0</v>
      </c>
      <c r="CV1022" s="4">
        <v>1</v>
      </c>
      <c r="CW1022" s="4">
        <v>0</v>
      </c>
      <c r="CX1022" s="5">
        <v>0</v>
      </c>
    </row>
    <row r="1023" spans="1:102" ht="15.75" x14ac:dyDescent="0.25">
      <c r="A1023" s="4" t="s">
        <v>253</v>
      </c>
      <c r="B1023" s="4" t="s">
        <v>254</v>
      </c>
      <c r="C1023" s="4">
        <v>2022</v>
      </c>
      <c r="D1023" s="4">
        <v>499</v>
      </c>
      <c r="E1023" s="4">
        <v>0</v>
      </c>
      <c r="F1023" s="4">
        <v>22</v>
      </c>
      <c r="G1023" s="4">
        <v>4</v>
      </c>
      <c r="H1023" s="4">
        <v>1</v>
      </c>
      <c r="I1023" s="4">
        <v>5</v>
      </c>
      <c r="J1023" s="4">
        <v>2</v>
      </c>
      <c r="K1023" s="4">
        <v>1</v>
      </c>
      <c r="L1023" s="4">
        <v>1</v>
      </c>
      <c r="M1023" s="4">
        <v>1</v>
      </c>
      <c r="N1023" s="4">
        <v>15</v>
      </c>
      <c r="O1023" s="4">
        <v>7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55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68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1</v>
      </c>
      <c r="AH1023" s="4">
        <v>1</v>
      </c>
      <c r="AI1023" s="4">
        <v>8</v>
      </c>
      <c r="AJ1023" s="4">
        <v>45</v>
      </c>
      <c r="AK1023" s="4">
        <v>11</v>
      </c>
      <c r="AL1023" s="4">
        <v>4</v>
      </c>
      <c r="AM1023" s="4">
        <v>1</v>
      </c>
      <c r="AN1023" s="4">
        <v>2</v>
      </c>
      <c r="AO1023" s="4">
        <v>10</v>
      </c>
      <c r="AP1023" s="4">
        <v>0</v>
      </c>
      <c r="AQ1023" s="4">
        <v>4</v>
      </c>
      <c r="AR1023" s="4">
        <v>0</v>
      </c>
      <c r="AS1023" s="4">
        <v>0</v>
      </c>
      <c r="AT1023" s="4">
        <v>2</v>
      </c>
      <c r="AU1023" s="4">
        <v>2</v>
      </c>
      <c r="AV1023" s="4">
        <v>12</v>
      </c>
      <c r="AW1023" s="4">
        <v>1</v>
      </c>
      <c r="AX1023" s="4">
        <v>48</v>
      </c>
      <c r="AY1023" s="4">
        <v>0</v>
      </c>
      <c r="AZ1023" s="4">
        <v>3</v>
      </c>
      <c r="BA1023" s="4">
        <v>0</v>
      </c>
      <c r="BB1023" s="4">
        <v>2</v>
      </c>
      <c r="BC1023" s="4">
        <v>2</v>
      </c>
      <c r="BD1023" s="4">
        <v>0</v>
      </c>
      <c r="BE1023" s="4">
        <v>10</v>
      </c>
      <c r="BF1023" s="4">
        <v>14</v>
      </c>
      <c r="BG1023" s="4">
        <v>2</v>
      </c>
      <c r="BH1023" s="4">
        <v>1</v>
      </c>
      <c r="BI1023" s="4">
        <v>0</v>
      </c>
      <c r="BJ1023" s="4">
        <v>28</v>
      </c>
      <c r="BK1023" s="4">
        <v>13</v>
      </c>
      <c r="BL1023" s="4">
        <v>0</v>
      </c>
      <c r="BM1023" s="4">
        <v>0</v>
      </c>
      <c r="BN1023" s="4">
        <v>3</v>
      </c>
      <c r="BO1023" s="4">
        <v>0</v>
      </c>
      <c r="BP1023" s="4">
        <v>0</v>
      </c>
      <c r="BQ1023" s="4">
        <v>4</v>
      </c>
      <c r="BR1023" s="4">
        <v>1</v>
      </c>
      <c r="BS1023" s="4">
        <v>11</v>
      </c>
      <c r="BT1023" s="4">
        <v>3</v>
      </c>
      <c r="BU1023" s="4">
        <v>0</v>
      </c>
      <c r="BV1023" s="4">
        <v>6</v>
      </c>
      <c r="BW1023" s="4">
        <v>7</v>
      </c>
      <c r="BX1023" s="4">
        <v>4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1</v>
      </c>
      <c r="CE1023" s="4">
        <v>0</v>
      </c>
      <c r="CF1023" s="4">
        <v>7</v>
      </c>
      <c r="CG1023" s="4">
        <v>0</v>
      </c>
      <c r="CH1023" s="4">
        <v>2</v>
      </c>
      <c r="CI1023" s="4">
        <v>0</v>
      </c>
      <c r="CJ1023" s="4">
        <v>1</v>
      </c>
      <c r="CK1023" s="4">
        <v>1</v>
      </c>
      <c r="CL1023" s="4">
        <v>0</v>
      </c>
      <c r="CM1023" s="4">
        <v>1</v>
      </c>
      <c r="CN1023" s="4">
        <v>7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4</v>
      </c>
      <c r="CU1023" s="4">
        <v>0</v>
      </c>
      <c r="CV1023" s="4">
        <v>21</v>
      </c>
      <c r="CW1023" s="4">
        <v>7</v>
      </c>
      <c r="CX1023" s="5">
        <v>7</v>
      </c>
    </row>
    <row r="1024" spans="1:102" ht="15.75" x14ac:dyDescent="0.25">
      <c r="A1024" s="4" t="s">
        <v>255</v>
      </c>
      <c r="B1024" s="4" t="s">
        <v>256</v>
      </c>
      <c r="C1024" s="4">
        <v>2022</v>
      </c>
      <c r="D1024" s="4">
        <v>593</v>
      </c>
      <c r="E1024" s="4">
        <v>0</v>
      </c>
      <c r="F1024" s="4">
        <v>3</v>
      </c>
      <c r="G1024" s="4">
        <v>2</v>
      </c>
      <c r="H1024" s="4">
        <v>1</v>
      </c>
      <c r="I1024" s="4">
        <v>3</v>
      </c>
      <c r="J1024" s="4">
        <v>1</v>
      </c>
      <c r="K1024" s="4">
        <v>1</v>
      </c>
      <c r="L1024" s="4">
        <v>3</v>
      </c>
      <c r="M1024" s="4">
        <v>0</v>
      </c>
      <c r="N1024" s="4">
        <v>6</v>
      </c>
      <c r="O1024" s="4">
        <v>5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4</v>
      </c>
      <c r="AA1024" s="4">
        <v>235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1</v>
      </c>
      <c r="AJ1024" s="4">
        <v>20</v>
      </c>
      <c r="AK1024" s="4">
        <v>4</v>
      </c>
      <c r="AL1024" s="4">
        <v>0</v>
      </c>
      <c r="AM1024" s="4">
        <v>0</v>
      </c>
      <c r="AN1024" s="4">
        <v>1</v>
      </c>
      <c r="AO1024" s="4">
        <v>1</v>
      </c>
      <c r="AP1024" s="4">
        <v>0</v>
      </c>
      <c r="AQ1024" s="4">
        <v>2</v>
      </c>
      <c r="AR1024" s="4">
        <v>1</v>
      </c>
      <c r="AS1024" s="4">
        <v>1</v>
      </c>
      <c r="AT1024" s="4">
        <v>2</v>
      </c>
      <c r="AU1024" s="4">
        <v>1</v>
      </c>
      <c r="AV1024" s="4">
        <v>0</v>
      </c>
      <c r="AW1024" s="4">
        <v>0</v>
      </c>
      <c r="AX1024" s="4">
        <v>4</v>
      </c>
      <c r="AY1024" s="4">
        <v>0</v>
      </c>
      <c r="AZ1024" s="4">
        <v>1</v>
      </c>
      <c r="BA1024" s="4">
        <v>0</v>
      </c>
      <c r="BB1024" s="4">
        <v>3</v>
      </c>
      <c r="BC1024" s="4">
        <v>0</v>
      </c>
      <c r="BD1024" s="4">
        <v>0</v>
      </c>
      <c r="BE1024" s="4">
        <v>1</v>
      </c>
      <c r="BF1024" s="4">
        <v>1</v>
      </c>
      <c r="BG1024" s="4">
        <v>0</v>
      </c>
      <c r="BH1024" s="4">
        <v>0</v>
      </c>
      <c r="BI1024" s="4">
        <v>0</v>
      </c>
      <c r="BJ1024" s="4">
        <v>4</v>
      </c>
      <c r="BK1024" s="4">
        <v>4</v>
      </c>
      <c r="BL1024" s="4">
        <v>0</v>
      </c>
      <c r="BM1024" s="4">
        <v>0</v>
      </c>
      <c r="BN1024" s="4">
        <v>7</v>
      </c>
      <c r="BO1024" s="4">
        <v>0</v>
      </c>
      <c r="BP1024" s="4">
        <v>1</v>
      </c>
      <c r="BQ1024" s="4">
        <v>8</v>
      </c>
      <c r="BR1024" s="4">
        <v>1</v>
      </c>
      <c r="BS1024" s="4">
        <v>7</v>
      </c>
      <c r="BT1024" s="4">
        <v>4</v>
      </c>
      <c r="BU1024" s="4">
        <v>0</v>
      </c>
      <c r="BV1024" s="4">
        <v>3</v>
      </c>
      <c r="BW1024" s="4">
        <v>0</v>
      </c>
      <c r="BX1024" s="4">
        <v>48</v>
      </c>
      <c r="BY1024" s="4">
        <v>0</v>
      </c>
      <c r="BZ1024" s="4">
        <v>0</v>
      </c>
      <c r="CA1024" s="4">
        <v>0</v>
      </c>
      <c r="CB1024" s="4">
        <v>170</v>
      </c>
      <c r="CC1024" s="4">
        <v>0</v>
      </c>
      <c r="CD1024" s="4">
        <v>0</v>
      </c>
      <c r="CE1024" s="4">
        <v>0</v>
      </c>
      <c r="CF1024" s="4">
        <v>1</v>
      </c>
      <c r="CG1024" s="4">
        <v>0</v>
      </c>
      <c r="CH1024" s="4">
        <v>1</v>
      </c>
      <c r="CI1024" s="4">
        <v>0</v>
      </c>
      <c r="CJ1024" s="4">
        <v>4</v>
      </c>
      <c r="CK1024" s="4">
        <v>0</v>
      </c>
      <c r="CL1024" s="4">
        <v>0</v>
      </c>
      <c r="CM1024" s="4">
        <v>2</v>
      </c>
      <c r="CN1024" s="4">
        <v>7</v>
      </c>
      <c r="CO1024" s="4">
        <v>0</v>
      </c>
      <c r="CP1024" s="4">
        <v>0</v>
      </c>
      <c r="CQ1024" s="4">
        <v>0</v>
      </c>
      <c r="CR1024" s="4">
        <v>0</v>
      </c>
      <c r="CS1024" s="4">
        <v>2</v>
      </c>
      <c r="CT1024" s="4">
        <v>1</v>
      </c>
      <c r="CU1024" s="4">
        <v>0</v>
      </c>
      <c r="CV1024" s="4">
        <v>5</v>
      </c>
      <c r="CW1024" s="4">
        <v>2</v>
      </c>
      <c r="CX1024" s="5">
        <v>2</v>
      </c>
    </row>
    <row r="1025" spans="1:102" ht="15.75" x14ac:dyDescent="0.25">
      <c r="A1025" s="4" t="s">
        <v>257</v>
      </c>
      <c r="B1025" s="4" t="s">
        <v>258</v>
      </c>
      <c r="C1025" s="4">
        <v>2022</v>
      </c>
      <c r="D1025" s="4">
        <v>2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1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5">
        <v>0</v>
      </c>
    </row>
    <row r="1026" spans="1:102" ht="15.75" x14ac:dyDescent="0.25">
      <c r="A1026" s="4" t="s">
        <v>259</v>
      </c>
      <c r="B1026" s="4" t="s">
        <v>260</v>
      </c>
      <c r="C1026" s="4">
        <v>2022</v>
      </c>
      <c r="D1026" s="4">
        <v>31</v>
      </c>
      <c r="E1026" s="4">
        <v>0</v>
      </c>
      <c r="F1026" s="4">
        <v>0</v>
      </c>
      <c r="G1026" s="4">
        <v>0</v>
      </c>
      <c r="H1026" s="4">
        <v>0</v>
      </c>
      <c r="I1026" s="4">
        <v>1</v>
      </c>
      <c r="J1026" s="4">
        <v>1</v>
      </c>
      <c r="K1026" s="4">
        <v>0</v>
      </c>
      <c r="L1026" s="4">
        <v>0</v>
      </c>
      <c r="M1026" s="4">
        <v>0</v>
      </c>
      <c r="N1026" s="4">
        <v>2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2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1</v>
      </c>
      <c r="AK1026" s="4">
        <v>1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1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2</v>
      </c>
      <c r="BL1026" s="4">
        <v>0</v>
      </c>
      <c r="BM1026" s="4">
        <v>1</v>
      </c>
      <c r="BN1026" s="4">
        <v>1</v>
      </c>
      <c r="BO1026" s="4">
        <v>0</v>
      </c>
      <c r="BP1026" s="4">
        <v>0</v>
      </c>
      <c r="BQ1026" s="4">
        <v>0</v>
      </c>
      <c r="BR1026" s="4">
        <v>0</v>
      </c>
      <c r="BS1026" s="4">
        <v>2</v>
      </c>
      <c r="BT1026" s="4">
        <v>0</v>
      </c>
      <c r="BU1026" s="4">
        <v>0</v>
      </c>
      <c r="BV1026" s="4">
        <v>0</v>
      </c>
      <c r="BW1026" s="4">
        <v>0</v>
      </c>
      <c r="BX1026" s="4">
        <v>2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4</v>
      </c>
      <c r="CG1026" s="4">
        <v>0</v>
      </c>
      <c r="CH1026" s="4">
        <v>1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1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1</v>
      </c>
      <c r="CU1026" s="4">
        <v>0</v>
      </c>
      <c r="CV1026" s="4">
        <v>3</v>
      </c>
      <c r="CW1026" s="4">
        <v>0</v>
      </c>
      <c r="CX1026" s="5">
        <v>0</v>
      </c>
    </row>
    <row r="1027" spans="1:102" ht="15.75" x14ac:dyDescent="0.25">
      <c r="A1027" s="4" t="s">
        <v>261</v>
      </c>
      <c r="B1027" s="4" t="s">
        <v>262</v>
      </c>
      <c r="C1027" s="4">
        <v>2022</v>
      </c>
      <c r="D1027" s="4">
        <v>33</v>
      </c>
      <c r="E1027" s="4">
        <v>0</v>
      </c>
      <c r="F1027" s="4">
        <v>1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1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12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1</v>
      </c>
      <c r="AK1027" s="4">
        <v>0</v>
      </c>
      <c r="AL1027" s="4">
        <v>2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1</v>
      </c>
      <c r="BF1027" s="4">
        <v>1</v>
      </c>
      <c r="BG1027" s="4">
        <v>0</v>
      </c>
      <c r="BH1027" s="4">
        <v>0</v>
      </c>
      <c r="BI1027" s="4">
        <v>0</v>
      </c>
      <c r="BJ1027" s="4">
        <v>1</v>
      </c>
      <c r="BK1027" s="4">
        <v>1</v>
      </c>
      <c r="BL1027" s="4">
        <v>0</v>
      </c>
      <c r="BM1027" s="4">
        <v>0</v>
      </c>
      <c r="BN1027" s="4">
        <v>1</v>
      </c>
      <c r="BO1027" s="4">
        <v>0</v>
      </c>
      <c r="BP1027" s="4">
        <v>0</v>
      </c>
      <c r="BQ1027" s="4">
        <v>1</v>
      </c>
      <c r="BR1027" s="4">
        <v>0</v>
      </c>
      <c r="BS1027" s="4">
        <v>2</v>
      </c>
      <c r="BT1027" s="4">
        <v>0</v>
      </c>
      <c r="BU1027" s="4">
        <v>0</v>
      </c>
      <c r="BV1027" s="4">
        <v>0</v>
      </c>
      <c r="BW1027" s="4">
        <v>1</v>
      </c>
      <c r="BX1027" s="4">
        <v>1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1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0</v>
      </c>
      <c r="CR1027" s="4">
        <v>0</v>
      </c>
      <c r="CS1027" s="4">
        <v>0</v>
      </c>
      <c r="CT1027" s="4">
        <v>0</v>
      </c>
      <c r="CU1027" s="4">
        <v>0</v>
      </c>
      <c r="CV1027" s="4">
        <v>1</v>
      </c>
      <c r="CW1027" s="4">
        <v>0</v>
      </c>
      <c r="CX1027" s="5">
        <v>0</v>
      </c>
    </row>
    <row r="1028" spans="1:102" ht="15.75" x14ac:dyDescent="0.25">
      <c r="A1028" s="4" t="s">
        <v>263</v>
      </c>
      <c r="B1028" s="4" t="s">
        <v>264</v>
      </c>
      <c r="C1028" s="4">
        <v>2022</v>
      </c>
      <c r="D1028" s="4">
        <v>27</v>
      </c>
      <c r="E1028" s="4">
        <v>0</v>
      </c>
      <c r="F1028" s="4">
        <v>4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2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2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1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1</v>
      </c>
      <c r="AW1028" s="4">
        <v>0</v>
      </c>
      <c r="AX1028" s="4">
        <v>2</v>
      </c>
      <c r="AY1028" s="4">
        <v>0</v>
      </c>
      <c r="AZ1028" s="4">
        <v>0</v>
      </c>
      <c r="BA1028" s="4">
        <v>0</v>
      </c>
      <c r="BB1028" s="4">
        <v>1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3</v>
      </c>
      <c r="BK1028" s="4">
        <v>2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1</v>
      </c>
      <c r="BR1028" s="4">
        <v>0</v>
      </c>
      <c r="BS1028" s="4">
        <v>1</v>
      </c>
      <c r="BT1028" s="4">
        <v>0</v>
      </c>
      <c r="BU1028" s="4">
        <v>0</v>
      </c>
      <c r="BV1028" s="4">
        <v>0</v>
      </c>
      <c r="BW1028" s="4">
        <v>1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2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5">
        <v>0</v>
      </c>
    </row>
    <row r="1029" spans="1:102" ht="15.75" x14ac:dyDescent="0.25">
      <c r="A1029" s="4" t="s">
        <v>265</v>
      </c>
      <c r="B1029" s="4" t="s">
        <v>266</v>
      </c>
      <c r="C1029" s="4">
        <v>2022</v>
      </c>
      <c r="D1029" s="4">
        <v>1039</v>
      </c>
      <c r="E1029" s="4">
        <v>0</v>
      </c>
      <c r="F1029" s="4">
        <v>1</v>
      </c>
      <c r="G1029" s="4">
        <v>7</v>
      </c>
      <c r="H1029" s="4">
        <v>1</v>
      </c>
      <c r="I1029" s="4">
        <v>12</v>
      </c>
      <c r="J1029" s="4">
        <v>1</v>
      </c>
      <c r="K1029" s="4">
        <v>0</v>
      </c>
      <c r="L1029" s="4">
        <v>7</v>
      </c>
      <c r="M1029" s="4">
        <v>5</v>
      </c>
      <c r="N1029" s="4">
        <v>9</v>
      </c>
      <c r="O1029" s="4">
        <v>106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1</v>
      </c>
      <c r="W1029" s="4">
        <v>52</v>
      </c>
      <c r="X1029" s="4">
        <v>0</v>
      </c>
      <c r="Y1029" s="4">
        <v>0</v>
      </c>
      <c r="Z1029" s="4">
        <v>0</v>
      </c>
      <c r="AA1029" s="4">
        <v>16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7</v>
      </c>
      <c r="AH1029" s="4">
        <v>1</v>
      </c>
      <c r="AI1029" s="4">
        <v>32</v>
      </c>
      <c r="AJ1029" s="4">
        <v>22</v>
      </c>
      <c r="AK1029" s="4">
        <v>25</v>
      </c>
      <c r="AL1029" s="4">
        <v>3</v>
      </c>
      <c r="AM1029" s="4">
        <v>14</v>
      </c>
      <c r="AN1029" s="4">
        <v>6</v>
      </c>
      <c r="AO1029" s="4">
        <v>24</v>
      </c>
      <c r="AP1029" s="4">
        <v>0</v>
      </c>
      <c r="AQ1029" s="4">
        <v>4</v>
      </c>
      <c r="AR1029" s="4">
        <v>1</v>
      </c>
      <c r="AS1029" s="4">
        <v>4</v>
      </c>
      <c r="AT1029" s="4">
        <v>5</v>
      </c>
      <c r="AU1029" s="4">
        <v>5</v>
      </c>
      <c r="AV1029" s="4">
        <v>14</v>
      </c>
      <c r="AW1029" s="4">
        <v>55</v>
      </c>
      <c r="AX1029" s="4">
        <v>12</v>
      </c>
      <c r="AY1029" s="4">
        <v>0</v>
      </c>
      <c r="AZ1029" s="4">
        <v>1</v>
      </c>
      <c r="BA1029" s="4">
        <v>0</v>
      </c>
      <c r="BB1029" s="4">
        <v>85</v>
      </c>
      <c r="BC1029" s="4">
        <v>1</v>
      </c>
      <c r="BD1029" s="4">
        <v>0</v>
      </c>
      <c r="BE1029" s="4">
        <v>6</v>
      </c>
      <c r="BF1029" s="4">
        <v>22</v>
      </c>
      <c r="BG1029" s="4">
        <v>2</v>
      </c>
      <c r="BH1029" s="4">
        <v>1</v>
      </c>
      <c r="BI1029" s="4">
        <v>0</v>
      </c>
      <c r="BJ1029" s="4">
        <v>16</v>
      </c>
      <c r="BK1029" s="4">
        <v>23</v>
      </c>
      <c r="BL1029" s="4">
        <v>0</v>
      </c>
      <c r="BM1029" s="4">
        <v>2</v>
      </c>
      <c r="BN1029" s="4">
        <v>7</v>
      </c>
      <c r="BO1029" s="4">
        <v>0</v>
      </c>
      <c r="BP1029" s="4">
        <v>1</v>
      </c>
      <c r="BQ1029" s="4">
        <v>10</v>
      </c>
      <c r="BR1029" s="4">
        <v>1</v>
      </c>
      <c r="BS1029" s="4">
        <v>13</v>
      </c>
      <c r="BT1029" s="4">
        <v>9</v>
      </c>
      <c r="BU1029" s="4">
        <v>0</v>
      </c>
      <c r="BV1029" s="4">
        <v>7</v>
      </c>
      <c r="BW1029" s="4">
        <v>10</v>
      </c>
      <c r="BX1029" s="4">
        <v>85</v>
      </c>
      <c r="BY1029" s="4">
        <v>0</v>
      </c>
      <c r="BZ1029" s="4">
        <v>0</v>
      </c>
      <c r="CA1029" s="4">
        <v>23</v>
      </c>
      <c r="CB1029" s="4">
        <v>150</v>
      </c>
      <c r="CC1029" s="4">
        <v>0</v>
      </c>
      <c r="CD1029" s="4">
        <v>1</v>
      </c>
      <c r="CE1029" s="4">
        <v>0</v>
      </c>
      <c r="CF1029" s="4">
        <v>2</v>
      </c>
      <c r="CG1029" s="4">
        <v>0</v>
      </c>
      <c r="CH1029" s="4">
        <v>1</v>
      </c>
      <c r="CI1029" s="4">
        <v>1</v>
      </c>
      <c r="CJ1029" s="4">
        <v>7</v>
      </c>
      <c r="CK1029" s="4">
        <v>2</v>
      </c>
      <c r="CL1029" s="4">
        <v>0</v>
      </c>
      <c r="CM1029" s="4">
        <v>15</v>
      </c>
      <c r="CN1029" s="4">
        <v>16</v>
      </c>
      <c r="CO1029" s="4">
        <v>3</v>
      </c>
      <c r="CP1029" s="4">
        <v>1</v>
      </c>
      <c r="CQ1029" s="4">
        <v>0</v>
      </c>
      <c r="CR1029" s="4">
        <v>10</v>
      </c>
      <c r="CS1029" s="4">
        <v>1</v>
      </c>
      <c r="CT1029" s="4">
        <v>11</v>
      </c>
      <c r="CU1029" s="4">
        <v>6</v>
      </c>
      <c r="CV1029" s="4">
        <v>26</v>
      </c>
      <c r="CW1029" s="4">
        <v>4</v>
      </c>
      <c r="CX1029" s="5">
        <v>4</v>
      </c>
    </row>
    <row r="1030" spans="1:102" ht="15.75" x14ac:dyDescent="0.25">
      <c r="A1030" s="4" t="s">
        <v>267</v>
      </c>
      <c r="B1030" s="4" t="s">
        <v>268</v>
      </c>
      <c r="C1030" s="4">
        <v>2022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0</v>
      </c>
      <c r="CX1030" s="5">
        <v>0</v>
      </c>
    </row>
    <row r="1031" spans="1:102" ht="15.75" x14ac:dyDescent="0.25">
      <c r="A1031" s="4" t="s">
        <v>269</v>
      </c>
      <c r="B1031" s="4" t="s">
        <v>270</v>
      </c>
      <c r="C1031" s="4">
        <v>2022</v>
      </c>
      <c r="D1031" s="4">
        <v>69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1</v>
      </c>
      <c r="K1031" s="4">
        <v>0</v>
      </c>
      <c r="L1031" s="4">
        <v>1</v>
      </c>
      <c r="M1031" s="4">
        <v>0</v>
      </c>
      <c r="N1031" s="4">
        <v>1</v>
      </c>
      <c r="O1031" s="4">
        <v>3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27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1</v>
      </c>
      <c r="AH1031" s="4">
        <v>0</v>
      </c>
      <c r="AI1031" s="4">
        <v>0</v>
      </c>
      <c r="AJ1031" s="4">
        <v>1</v>
      </c>
      <c r="AK1031" s="4">
        <v>1</v>
      </c>
      <c r="AL1031" s="4">
        <v>1</v>
      </c>
      <c r="AM1031" s="4">
        <v>1</v>
      </c>
      <c r="AN1031" s="4">
        <v>0</v>
      </c>
      <c r="AO1031" s="4">
        <v>4</v>
      </c>
      <c r="AP1031" s="4">
        <v>0</v>
      </c>
      <c r="AQ1031" s="4">
        <v>1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1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2</v>
      </c>
      <c r="BG1031" s="4">
        <v>0</v>
      </c>
      <c r="BH1031" s="4">
        <v>0</v>
      </c>
      <c r="BI1031" s="4">
        <v>0</v>
      </c>
      <c r="BJ1031" s="4">
        <v>1</v>
      </c>
      <c r="BK1031" s="4">
        <v>2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5</v>
      </c>
      <c r="BT1031" s="4">
        <v>1</v>
      </c>
      <c r="BU1031" s="4">
        <v>0</v>
      </c>
      <c r="BV1031" s="4">
        <v>1</v>
      </c>
      <c r="BW1031" s="4">
        <v>0</v>
      </c>
      <c r="BX1031" s="4">
        <v>8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1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1</v>
      </c>
      <c r="CU1031" s="4">
        <v>0</v>
      </c>
      <c r="CV1031" s="4">
        <v>1</v>
      </c>
      <c r="CW1031" s="4">
        <v>0</v>
      </c>
      <c r="CX1031" s="5">
        <v>0</v>
      </c>
    </row>
    <row r="1032" spans="1:102" ht="15.75" x14ac:dyDescent="0.25">
      <c r="A1032" s="4" t="s">
        <v>271</v>
      </c>
      <c r="B1032" s="4" t="s">
        <v>272</v>
      </c>
      <c r="C1032" s="4">
        <v>2022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0</v>
      </c>
      <c r="CR1032" s="4">
        <v>0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5">
        <v>0</v>
      </c>
    </row>
    <row r="1033" spans="1:102" ht="15.75" x14ac:dyDescent="0.25">
      <c r="A1033" s="4" t="s">
        <v>273</v>
      </c>
      <c r="B1033" s="4" t="s">
        <v>274</v>
      </c>
      <c r="C1033" s="4">
        <v>2022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5">
        <v>0</v>
      </c>
    </row>
    <row r="1034" spans="1:102" ht="15.75" x14ac:dyDescent="0.25">
      <c r="A1034" s="4" t="s">
        <v>275</v>
      </c>
      <c r="B1034" s="4" t="s">
        <v>276</v>
      </c>
      <c r="C1034" s="4">
        <v>2022</v>
      </c>
      <c r="D1034" s="4">
        <v>114</v>
      </c>
      <c r="E1034" s="4">
        <v>0</v>
      </c>
      <c r="F1034" s="4">
        <v>0</v>
      </c>
      <c r="G1034" s="4">
        <v>1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 s="4">
        <v>0</v>
      </c>
      <c r="N1034" s="4">
        <v>1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</v>
      </c>
      <c r="AH1034" s="4">
        <v>0</v>
      </c>
      <c r="AI1034" s="4">
        <v>0</v>
      </c>
      <c r="AJ1034" s="4">
        <v>3</v>
      </c>
      <c r="AK1034" s="4">
        <v>2</v>
      </c>
      <c r="AL1034" s="4">
        <v>0</v>
      </c>
      <c r="AM1034" s="4">
        <v>0</v>
      </c>
      <c r="AN1034" s="4">
        <v>0</v>
      </c>
      <c r="AO1034" s="4">
        <v>1</v>
      </c>
      <c r="AP1034" s="4">
        <v>0</v>
      </c>
      <c r="AQ1034" s="4">
        <v>2</v>
      </c>
      <c r="AR1034" s="4">
        <v>0</v>
      </c>
      <c r="AS1034" s="4">
        <v>1</v>
      </c>
      <c r="AT1034" s="4">
        <v>1</v>
      </c>
      <c r="AU1034" s="4">
        <v>0</v>
      </c>
      <c r="AV1034" s="4">
        <v>1</v>
      </c>
      <c r="AW1034" s="4">
        <v>0</v>
      </c>
      <c r="AX1034" s="4">
        <v>6</v>
      </c>
      <c r="AY1034" s="4">
        <v>0</v>
      </c>
      <c r="AZ1034" s="4">
        <v>1</v>
      </c>
      <c r="BA1034" s="4">
        <v>0</v>
      </c>
      <c r="BB1034" s="4">
        <v>1</v>
      </c>
      <c r="BC1034" s="4">
        <v>1</v>
      </c>
      <c r="BD1034" s="4">
        <v>0</v>
      </c>
      <c r="BE1034" s="4">
        <v>2</v>
      </c>
      <c r="BF1034" s="4">
        <v>8</v>
      </c>
      <c r="BG1034" s="4">
        <v>0</v>
      </c>
      <c r="BH1034" s="4">
        <v>0</v>
      </c>
      <c r="BI1034" s="4">
        <v>0</v>
      </c>
      <c r="BJ1034" s="4">
        <v>16</v>
      </c>
      <c r="BK1034" s="4">
        <v>8</v>
      </c>
      <c r="BL1034" s="4">
        <v>0</v>
      </c>
      <c r="BM1034" s="4">
        <v>0</v>
      </c>
      <c r="BN1034" s="4">
        <v>1</v>
      </c>
      <c r="BO1034" s="4">
        <v>0</v>
      </c>
      <c r="BP1034" s="4">
        <v>0</v>
      </c>
      <c r="BQ1034" s="4">
        <v>1</v>
      </c>
      <c r="BR1034" s="4">
        <v>0</v>
      </c>
      <c r="BS1034" s="4">
        <v>3</v>
      </c>
      <c r="BT1034" s="4">
        <v>1</v>
      </c>
      <c r="BU1034" s="4">
        <v>0</v>
      </c>
      <c r="BV1034" s="4">
        <v>3</v>
      </c>
      <c r="BW1034" s="4">
        <v>20</v>
      </c>
      <c r="BX1034" s="4">
        <v>1</v>
      </c>
      <c r="BY1034" s="4">
        <v>0</v>
      </c>
      <c r="BZ1034" s="4">
        <v>0</v>
      </c>
      <c r="CA1034" s="4">
        <v>0</v>
      </c>
      <c r="CB1034" s="4">
        <v>12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1</v>
      </c>
      <c r="CK1034" s="4">
        <v>0</v>
      </c>
      <c r="CL1034" s="4">
        <v>0</v>
      </c>
      <c r="CM1034" s="4">
        <v>0</v>
      </c>
      <c r="CN1034" s="4">
        <v>4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1</v>
      </c>
      <c r="CU1034" s="4">
        <v>0</v>
      </c>
      <c r="CV1034" s="4">
        <v>1</v>
      </c>
      <c r="CW1034" s="4">
        <v>1</v>
      </c>
      <c r="CX1034" s="5">
        <v>1</v>
      </c>
    </row>
    <row r="1035" spans="1:102" ht="15.75" x14ac:dyDescent="0.25">
      <c r="A1035" s="4" t="s">
        <v>277</v>
      </c>
      <c r="B1035" s="4" t="s">
        <v>278</v>
      </c>
      <c r="C1035" s="4">
        <v>2022</v>
      </c>
      <c r="D1035" s="4">
        <v>12874</v>
      </c>
      <c r="E1035" s="4">
        <v>14</v>
      </c>
      <c r="F1035" s="4">
        <v>30</v>
      </c>
      <c r="G1035" s="4">
        <v>13</v>
      </c>
      <c r="H1035" s="4">
        <v>13</v>
      </c>
      <c r="I1035" s="4">
        <v>28</v>
      </c>
      <c r="J1035" s="4">
        <v>11</v>
      </c>
      <c r="K1035" s="4">
        <v>7</v>
      </c>
      <c r="L1035" s="4">
        <v>35</v>
      </c>
      <c r="M1035" s="4">
        <v>6</v>
      </c>
      <c r="N1035" s="4">
        <v>19</v>
      </c>
      <c r="O1035" s="4">
        <v>214</v>
      </c>
      <c r="P1035" s="4">
        <v>0</v>
      </c>
      <c r="Q1035" s="4">
        <v>0</v>
      </c>
      <c r="R1035" s="4">
        <v>0</v>
      </c>
      <c r="S1035" s="4">
        <v>3</v>
      </c>
      <c r="T1035" s="4">
        <v>1</v>
      </c>
      <c r="U1035" s="4">
        <v>1</v>
      </c>
      <c r="V1035" s="4">
        <v>1</v>
      </c>
      <c r="W1035" s="4">
        <v>241</v>
      </c>
      <c r="X1035" s="4">
        <v>1</v>
      </c>
      <c r="Y1035" s="4">
        <v>0</v>
      </c>
      <c r="Z1035" s="4">
        <v>0</v>
      </c>
      <c r="AA1035" s="4">
        <v>17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4</v>
      </c>
      <c r="AH1035" s="4">
        <v>2</v>
      </c>
      <c r="AI1035" s="4">
        <v>17</v>
      </c>
      <c r="AJ1035" s="4">
        <v>66</v>
      </c>
      <c r="AK1035" s="4">
        <v>67</v>
      </c>
      <c r="AL1035" s="4">
        <v>0</v>
      </c>
      <c r="AM1035" s="4">
        <v>7</v>
      </c>
      <c r="AN1035" s="4">
        <v>22</v>
      </c>
      <c r="AO1035" s="4">
        <v>16</v>
      </c>
      <c r="AP1035" s="4">
        <v>9</v>
      </c>
      <c r="AQ1035" s="4">
        <v>15</v>
      </c>
      <c r="AR1035" s="4">
        <v>1</v>
      </c>
      <c r="AS1035" s="4">
        <v>8</v>
      </c>
      <c r="AT1035" s="4">
        <v>28</v>
      </c>
      <c r="AU1035" s="4">
        <v>179</v>
      </c>
      <c r="AV1035" s="4">
        <v>9</v>
      </c>
      <c r="AW1035" s="4">
        <v>910</v>
      </c>
      <c r="AX1035" s="4">
        <v>124</v>
      </c>
      <c r="AY1035" s="4">
        <v>1</v>
      </c>
      <c r="AZ1035" s="4">
        <v>9</v>
      </c>
      <c r="BA1035" s="4">
        <v>0</v>
      </c>
      <c r="BB1035" s="4">
        <v>2224</v>
      </c>
      <c r="BC1035" s="4">
        <v>46</v>
      </c>
      <c r="BD1035" s="4">
        <v>0</v>
      </c>
      <c r="BE1035" s="4">
        <v>8</v>
      </c>
      <c r="BF1035" s="4">
        <v>36</v>
      </c>
      <c r="BG1035" s="4">
        <v>1</v>
      </c>
      <c r="BH1035" s="4">
        <v>2</v>
      </c>
      <c r="BI1035" s="4">
        <v>1</v>
      </c>
      <c r="BJ1035" s="4">
        <v>199</v>
      </c>
      <c r="BK1035" s="4">
        <v>38</v>
      </c>
      <c r="BL1035" s="4">
        <v>0</v>
      </c>
      <c r="BM1035" s="4">
        <v>16</v>
      </c>
      <c r="BN1035" s="4">
        <v>106</v>
      </c>
      <c r="BO1035" s="4">
        <v>2</v>
      </c>
      <c r="BP1035" s="4">
        <v>24</v>
      </c>
      <c r="BQ1035" s="4">
        <v>174</v>
      </c>
      <c r="BR1035" s="4">
        <v>6</v>
      </c>
      <c r="BS1035" s="4">
        <v>346</v>
      </c>
      <c r="BT1035" s="4">
        <v>95</v>
      </c>
      <c r="BU1035" s="4">
        <v>1</v>
      </c>
      <c r="BV1035" s="4">
        <v>37</v>
      </c>
      <c r="BW1035" s="4">
        <v>3</v>
      </c>
      <c r="BX1035" s="4">
        <v>75</v>
      </c>
      <c r="BY1035" s="4">
        <v>3</v>
      </c>
      <c r="BZ1035" s="4">
        <v>0</v>
      </c>
      <c r="CA1035" s="4">
        <v>11</v>
      </c>
      <c r="CB1035" s="4">
        <v>42</v>
      </c>
      <c r="CC1035" s="4">
        <v>0</v>
      </c>
      <c r="CD1035" s="4">
        <v>4</v>
      </c>
      <c r="CE1035" s="4">
        <v>0</v>
      </c>
      <c r="CF1035" s="4">
        <v>41</v>
      </c>
      <c r="CG1035" s="4">
        <v>36</v>
      </c>
      <c r="CH1035" s="4">
        <v>4</v>
      </c>
      <c r="CI1035" s="4">
        <v>149</v>
      </c>
      <c r="CJ1035" s="4">
        <v>109</v>
      </c>
      <c r="CK1035" s="4">
        <v>22</v>
      </c>
      <c r="CL1035" s="4">
        <v>0</v>
      </c>
      <c r="CM1035" s="4">
        <v>53</v>
      </c>
      <c r="CN1035" s="4">
        <v>235</v>
      </c>
      <c r="CO1035" s="4">
        <v>223</v>
      </c>
      <c r="CP1035" s="4">
        <v>45</v>
      </c>
      <c r="CQ1035" s="4">
        <v>0</v>
      </c>
      <c r="CR1035" s="4">
        <v>264</v>
      </c>
      <c r="CS1035" s="4">
        <v>294</v>
      </c>
      <c r="CT1035" s="4">
        <v>12</v>
      </c>
      <c r="CU1035" s="4">
        <v>16</v>
      </c>
      <c r="CV1035" s="4">
        <v>82</v>
      </c>
      <c r="CW1035" s="4">
        <v>5644</v>
      </c>
      <c r="CX1035" s="5">
        <v>5557</v>
      </c>
    </row>
    <row r="1036" spans="1:102" ht="15.75" x14ac:dyDescent="0.25">
      <c r="A1036" s="4" t="s">
        <v>279</v>
      </c>
      <c r="B1036" s="4" t="s">
        <v>280</v>
      </c>
      <c r="C1036" s="4">
        <v>2022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4">
        <v>0</v>
      </c>
      <c r="CV1036" s="4">
        <v>0</v>
      </c>
      <c r="CW1036" s="4">
        <v>0</v>
      </c>
      <c r="CX1036" s="5">
        <v>0</v>
      </c>
    </row>
    <row r="1037" spans="1:102" ht="15.75" x14ac:dyDescent="0.25">
      <c r="A1037" s="4" t="s">
        <v>281</v>
      </c>
      <c r="B1037" s="4" t="s">
        <v>282</v>
      </c>
      <c r="C1037" s="4">
        <v>2022</v>
      </c>
      <c r="D1037" s="4">
        <v>34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1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24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1</v>
      </c>
      <c r="AN1037" s="4">
        <v>0</v>
      </c>
      <c r="AO1037" s="4">
        <v>1</v>
      </c>
      <c r="AP1037" s="4">
        <v>0</v>
      </c>
      <c r="AQ1037" s="4">
        <v>0</v>
      </c>
      <c r="AR1037" s="4">
        <v>0</v>
      </c>
      <c r="AS1037" s="4">
        <v>0</v>
      </c>
      <c r="AT1037" s="4">
        <v>1</v>
      </c>
      <c r="AU1037" s="4">
        <v>0</v>
      </c>
      <c r="AV1037" s="4">
        <v>0</v>
      </c>
      <c r="AW1037" s="4">
        <v>0</v>
      </c>
      <c r="AX1037" s="4">
        <v>1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1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1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1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5">
        <v>0</v>
      </c>
    </row>
    <row r="1038" spans="1:102" ht="15.75" x14ac:dyDescent="0.25">
      <c r="A1038" s="4" t="s">
        <v>283</v>
      </c>
      <c r="B1038" s="4" t="s">
        <v>284</v>
      </c>
      <c r="C1038" s="4">
        <v>2022</v>
      </c>
      <c r="D1038" s="4">
        <v>180</v>
      </c>
      <c r="E1038" s="4">
        <v>0</v>
      </c>
      <c r="F1038" s="4">
        <v>0</v>
      </c>
      <c r="G1038" s="4">
        <v>1</v>
      </c>
      <c r="H1038" s="4">
        <v>2</v>
      </c>
      <c r="I1038" s="4">
        <v>1</v>
      </c>
      <c r="J1038" s="4">
        <v>0</v>
      </c>
      <c r="K1038" s="4">
        <v>0</v>
      </c>
      <c r="L1038" s="4">
        <v>1</v>
      </c>
      <c r="M1038" s="4">
        <v>0</v>
      </c>
      <c r="N1038" s="4">
        <v>2</v>
      </c>
      <c r="O1038" s="4">
        <v>19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1</v>
      </c>
      <c r="AH1038" s="4">
        <v>1</v>
      </c>
      <c r="AI1038" s="4">
        <v>4</v>
      </c>
      <c r="AJ1038" s="4">
        <v>8</v>
      </c>
      <c r="AK1038" s="4">
        <v>6</v>
      </c>
      <c r="AL1038" s="4">
        <v>0</v>
      </c>
      <c r="AM1038" s="4">
        <v>1</v>
      </c>
      <c r="AN1038" s="4">
        <v>4</v>
      </c>
      <c r="AO1038" s="4">
        <v>9</v>
      </c>
      <c r="AP1038" s="4">
        <v>0</v>
      </c>
      <c r="AQ1038" s="4">
        <v>1</v>
      </c>
      <c r="AR1038" s="4">
        <v>0</v>
      </c>
      <c r="AS1038" s="4">
        <v>2</v>
      </c>
      <c r="AT1038" s="4">
        <v>3</v>
      </c>
      <c r="AU1038" s="4">
        <v>1</v>
      </c>
      <c r="AV1038" s="4">
        <v>1</v>
      </c>
      <c r="AW1038" s="4">
        <v>3</v>
      </c>
      <c r="AX1038" s="4">
        <v>3</v>
      </c>
      <c r="AY1038" s="4">
        <v>0</v>
      </c>
      <c r="AZ1038" s="4">
        <v>2</v>
      </c>
      <c r="BA1038" s="4">
        <v>0</v>
      </c>
      <c r="BB1038" s="4">
        <v>3</v>
      </c>
      <c r="BC1038" s="4">
        <v>0</v>
      </c>
      <c r="BD1038" s="4">
        <v>0</v>
      </c>
      <c r="BE1038" s="4">
        <v>1</v>
      </c>
      <c r="BF1038" s="4">
        <v>11</v>
      </c>
      <c r="BG1038" s="4">
        <v>0</v>
      </c>
      <c r="BH1038" s="4">
        <v>3</v>
      </c>
      <c r="BI1038" s="4">
        <v>0</v>
      </c>
      <c r="BJ1038" s="4">
        <v>4</v>
      </c>
      <c r="BK1038" s="4">
        <v>6</v>
      </c>
      <c r="BL1038" s="4">
        <v>0</v>
      </c>
      <c r="BM1038" s="4">
        <v>0</v>
      </c>
      <c r="BN1038" s="4">
        <v>2</v>
      </c>
      <c r="BO1038" s="4">
        <v>0</v>
      </c>
      <c r="BP1038" s="4">
        <v>0</v>
      </c>
      <c r="BQ1038" s="4">
        <v>2</v>
      </c>
      <c r="BR1038" s="4">
        <v>1</v>
      </c>
      <c r="BS1038" s="4">
        <v>5</v>
      </c>
      <c r="BT1038" s="4">
        <v>4</v>
      </c>
      <c r="BU1038" s="4">
        <v>0</v>
      </c>
      <c r="BV1038" s="4">
        <v>2</v>
      </c>
      <c r="BW1038" s="4">
        <v>1</v>
      </c>
      <c r="BX1038" s="4">
        <v>19</v>
      </c>
      <c r="BY1038" s="4">
        <v>0</v>
      </c>
      <c r="BZ1038" s="4">
        <v>0</v>
      </c>
      <c r="CA1038" s="4">
        <v>4</v>
      </c>
      <c r="CB1038" s="4">
        <v>13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1</v>
      </c>
      <c r="CK1038" s="4">
        <v>0</v>
      </c>
      <c r="CL1038" s="4">
        <v>0</v>
      </c>
      <c r="CM1038" s="4">
        <v>0</v>
      </c>
      <c r="CN1038" s="4">
        <v>6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2</v>
      </c>
      <c r="CU1038" s="4">
        <v>1</v>
      </c>
      <c r="CV1038" s="4">
        <v>6</v>
      </c>
      <c r="CW1038" s="4">
        <v>1</v>
      </c>
      <c r="CX1038" s="5">
        <v>1</v>
      </c>
    </row>
    <row r="1039" spans="1:102" ht="15.75" x14ac:dyDescent="0.25">
      <c r="A1039" s="4" t="s">
        <v>285</v>
      </c>
      <c r="B1039" s="4" t="s">
        <v>286</v>
      </c>
      <c r="C1039" s="4">
        <v>2022</v>
      </c>
      <c r="D1039" s="4">
        <v>7</v>
      </c>
      <c r="E1039" s="4">
        <v>0</v>
      </c>
      <c r="F1039" s="4">
        <v>4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1</v>
      </c>
      <c r="CU1039" s="4">
        <v>0</v>
      </c>
      <c r="CV1039" s="4">
        <v>0</v>
      </c>
      <c r="CW1039" s="4">
        <v>0</v>
      </c>
      <c r="CX1039" s="5">
        <v>0</v>
      </c>
    </row>
    <row r="1040" spans="1:102" ht="15.75" x14ac:dyDescent="0.25">
      <c r="A1040" s="4" t="s">
        <v>287</v>
      </c>
      <c r="B1040" s="4" t="s">
        <v>288</v>
      </c>
      <c r="C1040" s="4">
        <v>2022</v>
      </c>
      <c r="D1040" s="4">
        <v>1384</v>
      </c>
      <c r="E1040" s="4">
        <v>14</v>
      </c>
      <c r="F1040" s="4">
        <v>1</v>
      </c>
      <c r="G1040" s="4">
        <v>2</v>
      </c>
      <c r="H1040" s="4">
        <v>0</v>
      </c>
      <c r="I1040" s="4">
        <v>2</v>
      </c>
      <c r="J1040" s="4">
        <v>1</v>
      </c>
      <c r="K1040" s="4">
        <v>1</v>
      </c>
      <c r="L1040" s="4">
        <v>3</v>
      </c>
      <c r="M1040" s="4">
        <v>4</v>
      </c>
      <c r="N1040" s="4">
        <v>8</v>
      </c>
      <c r="O1040" s="4">
        <v>107</v>
      </c>
      <c r="P1040" s="4">
        <v>0</v>
      </c>
      <c r="Q1040" s="4">
        <v>0</v>
      </c>
      <c r="R1040" s="4">
        <v>11</v>
      </c>
      <c r="S1040" s="4">
        <v>0</v>
      </c>
      <c r="T1040" s="4">
        <v>0</v>
      </c>
      <c r="U1040" s="4">
        <v>14</v>
      </c>
      <c r="V1040" s="4">
        <v>3</v>
      </c>
      <c r="W1040" s="4">
        <v>2</v>
      </c>
      <c r="X1040" s="4">
        <v>3</v>
      </c>
      <c r="Y1040" s="4">
        <v>0</v>
      </c>
      <c r="Z1040" s="4">
        <v>0</v>
      </c>
      <c r="AA1040" s="4">
        <v>9</v>
      </c>
      <c r="AB1040" s="4">
        <v>0</v>
      </c>
      <c r="AC1040" s="4">
        <v>0</v>
      </c>
      <c r="AD1040" s="4">
        <v>0</v>
      </c>
      <c r="AE1040" s="4">
        <v>1</v>
      </c>
      <c r="AF1040" s="4">
        <v>0</v>
      </c>
      <c r="AG1040" s="4">
        <v>64</v>
      </c>
      <c r="AH1040" s="4">
        <v>3</v>
      </c>
      <c r="AI1040" s="4">
        <v>11</v>
      </c>
      <c r="AJ1040" s="4">
        <v>29</v>
      </c>
      <c r="AK1040" s="4">
        <v>28</v>
      </c>
      <c r="AL1040" s="4">
        <v>2</v>
      </c>
      <c r="AM1040" s="4">
        <v>18</v>
      </c>
      <c r="AN1040" s="4">
        <v>37</v>
      </c>
      <c r="AO1040" s="4">
        <v>90</v>
      </c>
      <c r="AP1040" s="4">
        <v>1</v>
      </c>
      <c r="AQ1040" s="4">
        <v>7</v>
      </c>
      <c r="AR1040" s="4">
        <v>3</v>
      </c>
      <c r="AS1040" s="4">
        <v>5</v>
      </c>
      <c r="AT1040" s="4">
        <v>20</v>
      </c>
      <c r="AU1040" s="4">
        <v>6</v>
      </c>
      <c r="AV1040" s="4">
        <v>25</v>
      </c>
      <c r="AW1040" s="4">
        <v>11</v>
      </c>
      <c r="AX1040" s="4">
        <v>50</v>
      </c>
      <c r="AY1040" s="4">
        <v>0</v>
      </c>
      <c r="AZ1040" s="4">
        <v>3</v>
      </c>
      <c r="BA1040" s="4">
        <v>0</v>
      </c>
      <c r="BB1040" s="4">
        <v>145</v>
      </c>
      <c r="BC1040" s="4">
        <v>1</v>
      </c>
      <c r="BD1040" s="4">
        <v>0</v>
      </c>
      <c r="BE1040" s="4">
        <v>12</v>
      </c>
      <c r="BF1040" s="4">
        <v>61</v>
      </c>
      <c r="BG1040" s="4">
        <v>2</v>
      </c>
      <c r="BH1040" s="4">
        <v>5</v>
      </c>
      <c r="BI1040" s="4">
        <v>0</v>
      </c>
      <c r="BJ1040" s="4">
        <v>33</v>
      </c>
      <c r="BK1040" s="4">
        <v>29</v>
      </c>
      <c r="BL1040" s="4">
        <v>0</v>
      </c>
      <c r="BM1040" s="4">
        <v>3</v>
      </c>
      <c r="BN1040" s="4">
        <v>37</v>
      </c>
      <c r="BO1040" s="4">
        <v>0</v>
      </c>
      <c r="BP1040" s="4">
        <v>15</v>
      </c>
      <c r="BQ1040" s="4">
        <v>69</v>
      </c>
      <c r="BR1040" s="4">
        <v>2</v>
      </c>
      <c r="BS1040" s="4">
        <v>39</v>
      </c>
      <c r="BT1040" s="4">
        <v>15</v>
      </c>
      <c r="BU1040" s="4">
        <v>1</v>
      </c>
      <c r="BV1040" s="4">
        <v>31</v>
      </c>
      <c r="BW1040" s="4">
        <v>13</v>
      </c>
      <c r="BX1040" s="4">
        <v>133</v>
      </c>
      <c r="BY1040" s="4">
        <v>1</v>
      </c>
      <c r="BZ1040" s="4">
        <v>0</v>
      </c>
      <c r="CA1040" s="4">
        <v>8</v>
      </c>
      <c r="CB1040" s="4">
        <v>0</v>
      </c>
      <c r="CC1040" s="4">
        <v>0</v>
      </c>
      <c r="CD1040" s="4">
        <v>1</v>
      </c>
      <c r="CE1040" s="4">
        <v>0</v>
      </c>
      <c r="CF1040" s="4">
        <v>2</v>
      </c>
      <c r="CG1040" s="4">
        <v>0</v>
      </c>
      <c r="CH1040" s="4">
        <v>3</v>
      </c>
      <c r="CI1040" s="4">
        <v>1</v>
      </c>
      <c r="CJ1040" s="4">
        <v>4</v>
      </c>
      <c r="CK1040" s="4">
        <v>0</v>
      </c>
      <c r="CL1040" s="4">
        <v>0</v>
      </c>
      <c r="CM1040" s="4">
        <v>6</v>
      </c>
      <c r="CN1040" s="4">
        <v>29</v>
      </c>
      <c r="CO1040" s="4">
        <v>12</v>
      </c>
      <c r="CP1040" s="4">
        <v>8</v>
      </c>
      <c r="CQ1040" s="4">
        <v>0</v>
      </c>
      <c r="CR1040" s="4">
        <v>1</v>
      </c>
      <c r="CS1040" s="4">
        <v>0</v>
      </c>
      <c r="CT1040" s="4">
        <v>20</v>
      </c>
      <c r="CU1040" s="4">
        <v>3</v>
      </c>
      <c r="CV1040" s="4">
        <v>30</v>
      </c>
      <c r="CW1040" s="4">
        <v>8</v>
      </c>
      <c r="CX1040" s="5">
        <v>8</v>
      </c>
    </row>
    <row r="1041" spans="1:102" ht="15.75" x14ac:dyDescent="0.25">
      <c r="A1041" s="4" t="s">
        <v>289</v>
      </c>
      <c r="B1041" s="4" t="s">
        <v>290</v>
      </c>
      <c r="C1041" s="4">
        <v>2022</v>
      </c>
      <c r="D1041" s="4">
        <v>868</v>
      </c>
      <c r="E1041" s="4">
        <v>0</v>
      </c>
      <c r="F1041" s="4">
        <v>0</v>
      </c>
      <c r="G1041" s="4">
        <v>2</v>
      </c>
      <c r="H1041" s="4">
        <v>13</v>
      </c>
      <c r="I1041" s="4">
        <v>3</v>
      </c>
      <c r="J1041" s="4">
        <v>3</v>
      </c>
      <c r="K1041" s="4">
        <v>0</v>
      </c>
      <c r="L1041" s="4">
        <v>2</v>
      </c>
      <c r="M1041" s="4">
        <v>8</v>
      </c>
      <c r="N1041" s="4">
        <v>15</v>
      </c>
      <c r="O1041" s="4">
        <v>1</v>
      </c>
      <c r="P1041" s="4">
        <v>0</v>
      </c>
      <c r="Q1041" s="4">
        <v>0</v>
      </c>
      <c r="R1041" s="4">
        <v>0</v>
      </c>
      <c r="S1041" s="4">
        <v>2</v>
      </c>
      <c r="T1041" s="4">
        <v>60</v>
      </c>
      <c r="U1041" s="4">
        <v>1</v>
      </c>
      <c r="V1041" s="4">
        <v>8</v>
      </c>
      <c r="W1041" s="4">
        <v>64</v>
      </c>
      <c r="X1041" s="4">
        <v>2</v>
      </c>
      <c r="Y1041" s="4">
        <v>0</v>
      </c>
      <c r="Z1041" s="4">
        <v>0</v>
      </c>
      <c r="AA1041" s="4">
        <v>2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13</v>
      </c>
      <c r="AH1041" s="4">
        <v>2</v>
      </c>
      <c r="AI1041" s="4">
        <v>9</v>
      </c>
      <c r="AJ1041" s="4">
        <v>78</v>
      </c>
      <c r="AK1041" s="4">
        <v>25</v>
      </c>
      <c r="AL1041" s="4">
        <v>0</v>
      </c>
      <c r="AM1041" s="4">
        <v>6</v>
      </c>
      <c r="AN1041" s="4">
        <v>10</v>
      </c>
      <c r="AO1041" s="4">
        <v>20</v>
      </c>
      <c r="AP1041" s="4">
        <v>1</v>
      </c>
      <c r="AQ1041" s="4">
        <v>3</v>
      </c>
      <c r="AR1041" s="4">
        <v>0</v>
      </c>
      <c r="AS1041" s="4">
        <v>13</v>
      </c>
      <c r="AT1041" s="4">
        <v>6</v>
      </c>
      <c r="AU1041" s="4">
        <v>3</v>
      </c>
      <c r="AV1041" s="4">
        <v>6</v>
      </c>
      <c r="AW1041" s="4">
        <v>5</v>
      </c>
      <c r="AX1041" s="4">
        <v>13</v>
      </c>
      <c r="AY1041" s="4">
        <v>0</v>
      </c>
      <c r="AZ1041" s="4">
        <v>3</v>
      </c>
      <c r="BA1041" s="4">
        <v>0</v>
      </c>
      <c r="BB1041" s="4">
        <v>37</v>
      </c>
      <c r="BC1041" s="4">
        <v>4</v>
      </c>
      <c r="BD1041" s="4">
        <v>0</v>
      </c>
      <c r="BE1041" s="4">
        <v>12</v>
      </c>
      <c r="BF1041" s="4">
        <v>8</v>
      </c>
      <c r="BG1041" s="4">
        <v>1</v>
      </c>
      <c r="BH1041" s="4">
        <v>1</v>
      </c>
      <c r="BI1041" s="4">
        <v>0</v>
      </c>
      <c r="BJ1041" s="4">
        <v>31</v>
      </c>
      <c r="BK1041" s="4">
        <v>16</v>
      </c>
      <c r="BL1041" s="4">
        <v>0</v>
      </c>
      <c r="BM1041" s="4">
        <v>1</v>
      </c>
      <c r="BN1041" s="4">
        <v>5</v>
      </c>
      <c r="BO1041" s="4">
        <v>0</v>
      </c>
      <c r="BP1041" s="4">
        <v>1</v>
      </c>
      <c r="BQ1041" s="4">
        <v>6</v>
      </c>
      <c r="BR1041" s="4">
        <v>0</v>
      </c>
      <c r="BS1041" s="4">
        <v>14</v>
      </c>
      <c r="BT1041" s="4">
        <v>6</v>
      </c>
      <c r="BU1041" s="4">
        <v>1</v>
      </c>
      <c r="BV1041" s="4">
        <v>2</v>
      </c>
      <c r="BW1041" s="4">
        <v>38</v>
      </c>
      <c r="BX1041" s="4">
        <v>113</v>
      </c>
      <c r="BY1041" s="4">
        <v>0</v>
      </c>
      <c r="BZ1041" s="4">
        <v>0</v>
      </c>
      <c r="CA1041" s="4">
        <v>7</v>
      </c>
      <c r="CB1041" s="4">
        <v>101</v>
      </c>
      <c r="CC1041" s="4">
        <v>0</v>
      </c>
      <c r="CD1041" s="4">
        <v>0</v>
      </c>
      <c r="CE1041" s="4">
        <v>0</v>
      </c>
      <c r="CF1041" s="4">
        <v>3</v>
      </c>
      <c r="CG1041" s="4">
        <v>0</v>
      </c>
      <c r="CH1041" s="4">
        <v>0</v>
      </c>
      <c r="CI1041" s="4">
        <v>0</v>
      </c>
      <c r="CJ1041" s="4">
        <v>1</v>
      </c>
      <c r="CK1041" s="4">
        <v>0</v>
      </c>
      <c r="CL1041" s="4">
        <v>0</v>
      </c>
      <c r="CM1041" s="4">
        <v>3</v>
      </c>
      <c r="CN1041" s="4">
        <v>30</v>
      </c>
      <c r="CO1041" s="4">
        <v>0</v>
      </c>
      <c r="CP1041" s="4">
        <v>0</v>
      </c>
      <c r="CQ1041" s="4">
        <v>1</v>
      </c>
      <c r="CR1041" s="4">
        <v>1</v>
      </c>
      <c r="CS1041" s="4">
        <v>0</v>
      </c>
      <c r="CT1041" s="4">
        <v>4</v>
      </c>
      <c r="CU1041" s="4">
        <v>7</v>
      </c>
      <c r="CV1041" s="4">
        <v>8</v>
      </c>
      <c r="CW1041" s="4">
        <v>2</v>
      </c>
      <c r="CX1041" s="5">
        <v>2</v>
      </c>
    </row>
    <row r="1042" spans="1:102" ht="15.75" x14ac:dyDescent="0.25">
      <c r="A1042" s="4" t="s">
        <v>291</v>
      </c>
      <c r="B1042" s="4" t="s">
        <v>292</v>
      </c>
      <c r="C1042" s="4">
        <v>2022</v>
      </c>
      <c r="D1042" s="4">
        <v>30336</v>
      </c>
      <c r="E1042" s="4">
        <v>335</v>
      </c>
      <c r="F1042" s="4">
        <v>466</v>
      </c>
      <c r="G1042" s="4">
        <v>641</v>
      </c>
      <c r="H1042" s="4">
        <v>59</v>
      </c>
      <c r="I1042" s="4">
        <v>715</v>
      </c>
      <c r="J1042" s="4">
        <v>317</v>
      </c>
      <c r="K1042" s="4">
        <v>99</v>
      </c>
      <c r="L1042" s="4">
        <v>262</v>
      </c>
      <c r="M1042" s="4">
        <v>302</v>
      </c>
      <c r="N1042" s="4">
        <v>266</v>
      </c>
      <c r="O1042" s="4">
        <v>487</v>
      </c>
      <c r="P1042" s="4">
        <v>0</v>
      </c>
      <c r="Q1042" s="4">
        <v>5</v>
      </c>
      <c r="R1042" s="4">
        <v>2</v>
      </c>
      <c r="S1042" s="4">
        <v>126</v>
      </c>
      <c r="T1042" s="4">
        <v>0</v>
      </c>
      <c r="U1042" s="4">
        <v>3</v>
      </c>
      <c r="V1042" s="4">
        <v>71</v>
      </c>
      <c r="W1042" s="4">
        <v>27</v>
      </c>
      <c r="X1042" s="4">
        <v>44</v>
      </c>
      <c r="Y1042" s="4">
        <v>58</v>
      </c>
      <c r="Z1042" s="4">
        <v>204</v>
      </c>
      <c r="AA1042" s="4">
        <v>3675</v>
      </c>
      <c r="AB1042" s="4">
        <v>3283</v>
      </c>
      <c r="AC1042" s="4">
        <v>80</v>
      </c>
      <c r="AD1042" s="4">
        <v>34</v>
      </c>
      <c r="AE1042" s="4">
        <v>108</v>
      </c>
      <c r="AF1042" s="4">
        <v>8</v>
      </c>
      <c r="AG1042" s="4">
        <v>3224</v>
      </c>
      <c r="AH1042" s="4">
        <v>109</v>
      </c>
      <c r="AI1042" s="4">
        <v>129</v>
      </c>
      <c r="AJ1042" s="4">
        <v>1693</v>
      </c>
      <c r="AK1042" s="4">
        <v>654</v>
      </c>
      <c r="AL1042" s="4">
        <v>103</v>
      </c>
      <c r="AM1042" s="4">
        <v>256</v>
      </c>
      <c r="AN1042" s="4">
        <v>326</v>
      </c>
      <c r="AO1042" s="4">
        <v>244</v>
      </c>
      <c r="AP1042" s="4">
        <v>5</v>
      </c>
      <c r="AQ1042" s="4">
        <v>107</v>
      </c>
      <c r="AR1042" s="4">
        <v>147</v>
      </c>
      <c r="AS1042" s="4">
        <v>657</v>
      </c>
      <c r="AT1042" s="4">
        <v>168</v>
      </c>
      <c r="AU1042" s="4">
        <v>434</v>
      </c>
      <c r="AV1042" s="4">
        <v>593</v>
      </c>
      <c r="AW1042" s="4">
        <v>428</v>
      </c>
      <c r="AX1042" s="4">
        <v>744</v>
      </c>
      <c r="AY1042" s="4">
        <v>7</v>
      </c>
      <c r="AZ1042" s="4">
        <v>104</v>
      </c>
      <c r="BA1042" s="4">
        <v>0</v>
      </c>
      <c r="BB1042" s="4">
        <v>530</v>
      </c>
      <c r="BC1042" s="4">
        <v>38</v>
      </c>
      <c r="BD1042" s="4">
        <v>15</v>
      </c>
      <c r="BE1042" s="4">
        <v>87</v>
      </c>
      <c r="BF1042" s="4">
        <v>473</v>
      </c>
      <c r="BG1042" s="4">
        <v>10</v>
      </c>
      <c r="BH1042" s="4">
        <v>36</v>
      </c>
      <c r="BI1042" s="4">
        <v>12</v>
      </c>
      <c r="BJ1042" s="4">
        <v>209</v>
      </c>
      <c r="BK1042" s="4">
        <v>431</v>
      </c>
      <c r="BL1042" s="4">
        <v>0</v>
      </c>
      <c r="BM1042" s="4">
        <v>47</v>
      </c>
      <c r="BN1042" s="4">
        <v>809</v>
      </c>
      <c r="BO1042" s="4">
        <v>36</v>
      </c>
      <c r="BP1042" s="4">
        <v>17</v>
      </c>
      <c r="BQ1042" s="4">
        <v>743</v>
      </c>
      <c r="BR1042" s="4">
        <v>202</v>
      </c>
      <c r="BS1042" s="4">
        <v>481</v>
      </c>
      <c r="BT1042" s="4">
        <v>227</v>
      </c>
      <c r="BU1042" s="4">
        <v>36</v>
      </c>
      <c r="BV1042" s="4">
        <v>165</v>
      </c>
      <c r="BW1042" s="4">
        <v>295</v>
      </c>
      <c r="BX1042" s="4">
        <v>334</v>
      </c>
      <c r="BY1042" s="4">
        <v>7</v>
      </c>
      <c r="BZ1042" s="4">
        <v>0</v>
      </c>
      <c r="CA1042" s="4">
        <v>107</v>
      </c>
      <c r="CB1042" s="4">
        <v>8</v>
      </c>
      <c r="CC1042" s="4">
        <v>3</v>
      </c>
      <c r="CD1042" s="4">
        <v>164</v>
      </c>
      <c r="CE1042" s="4">
        <v>56</v>
      </c>
      <c r="CF1042" s="4">
        <v>182</v>
      </c>
      <c r="CG1042" s="4">
        <v>8</v>
      </c>
      <c r="CH1042" s="4">
        <v>66</v>
      </c>
      <c r="CI1042" s="4">
        <v>43</v>
      </c>
      <c r="CJ1042" s="4">
        <v>524</v>
      </c>
      <c r="CK1042" s="4">
        <v>101</v>
      </c>
      <c r="CL1042" s="4">
        <v>0</v>
      </c>
      <c r="CM1042" s="4">
        <v>69</v>
      </c>
      <c r="CN1042" s="4">
        <v>396</v>
      </c>
      <c r="CO1042" s="4">
        <v>55</v>
      </c>
      <c r="CP1042" s="4">
        <v>33</v>
      </c>
      <c r="CQ1042" s="4">
        <v>0</v>
      </c>
      <c r="CR1042" s="4">
        <v>25</v>
      </c>
      <c r="CS1042" s="4">
        <v>57</v>
      </c>
      <c r="CT1042" s="4">
        <v>347</v>
      </c>
      <c r="CU1042" s="4">
        <v>34</v>
      </c>
      <c r="CV1042" s="4">
        <v>856</v>
      </c>
      <c r="CW1042" s="4">
        <v>148</v>
      </c>
      <c r="CX1042" s="5">
        <v>151</v>
      </c>
    </row>
    <row r="1043" spans="1:102" ht="15.75" x14ac:dyDescent="0.25">
      <c r="A1043" s="4" t="s">
        <v>293</v>
      </c>
      <c r="B1043" s="4" t="s">
        <v>294</v>
      </c>
      <c r="C1043" s="4">
        <v>2022</v>
      </c>
      <c r="D1043" s="4">
        <v>1851</v>
      </c>
      <c r="E1043" s="4">
        <v>4</v>
      </c>
      <c r="F1043" s="4">
        <v>0</v>
      </c>
      <c r="G1043" s="4">
        <v>4</v>
      </c>
      <c r="H1043" s="4">
        <v>2</v>
      </c>
      <c r="I1043" s="4">
        <v>15</v>
      </c>
      <c r="J1043" s="4">
        <v>7</v>
      </c>
      <c r="K1043" s="4">
        <v>6</v>
      </c>
      <c r="L1043" s="4">
        <v>39</v>
      </c>
      <c r="M1043" s="4">
        <v>2</v>
      </c>
      <c r="N1043" s="4">
        <v>11</v>
      </c>
      <c r="O1043" s="4">
        <v>86</v>
      </c>
      <c r="P1043" s="4">
        <v>0</v>
      </c>
      <c r="Q1043" s="4">
        <v>0</v>
      </c>
      <c r="R1043" s="4">
        <v>1</v>
      </c>
      <c r="S1043" s="4">
        <v>0</v>
      </c>
      <c r="T1043" s="4">
        <v>0</v>
      </c>
      <c r="U1043" s="4">
        <v>1</v>
      </c>
      <c r="V1043" s="4">
        <v>2</v>
      </c>
      <c r="W1043" s="4">
        <v>1</v>
      </c>
      <c r="X1043" s="4">
        <v>1</v>
      </c>
      <c r="Y1043" s="4">
        <v>0</v>
      </c>
      <c r="Z1043" s="4">
        <v>0</v>
      </c>
      <c r="AA1043" s="4">
        <v>9</v>
      </c>
      <c r="AB1043" s="4">
        <v>0</v>
      </c>
      <c r="AC1043" s="4">
        <v>0</v>
      </c>
      <c r="AD1043" s="4">
        <v>0</v>
      </c>
      <c r="AE1043" s="4">
        <v>1</v>
      </c>
      <c r="AF1043" s="4">
        <v>0</v>
      </c>
      <c r="AG1043" s="4">
        <v>30</v>
      </c>
      <c r="AH1043" s="4">
        <v>5</v>
      </c>
      <c r="AI1043" s="4">
        <v>14</v>
      </c>
      <c r="AJ1043" s="4">
        <v>159</v>
      </c>
      <c r="AK1043" s="4">
        <v>32</v>
      </c>
      <c r="AL1043" s="4">
        <v>1</v>
      </c>
      <c r="AM1043" s="4">
        <v>13</v>
      </c>
      <c r="AN1043" s="4">
        <v>26</v>
      </c>
      <c r="AO1043" s="4">
        <v>26</v>
      </c>
      <c r="AP1043" s="4">
        <v>0</v>
      </c>
      <c r="AQ1043" s="4">
        <v>7</v>
      </c>
      <c r="AR1043" s="4">
        <v>0</v>
      </c>
      <c r="AS1043" s="4">
        <v>9</v>
      </c>
      <c r="AT1043" s="4">
        <v>20</v>
      </c>
      <c r="AU1043" s="4">
        <v>158</v>
      </c>
      <c r="AV1043" s="4">
        <v>14</v>
      </c>
      <c r="AW1043" s="4">
        <v>17</v>
      </c>
      <c r="AX1043" s="4">
        <v>39</v>
      </c>
      <c r="AY1043" s="4">
        <v>2</v>
      </c>
      <c r="AZ1043" s="4">
        <v>17</v>
      </c>
      <c r="BA1043" s="4">
        <v>0</v>
      </c>
      <c r="BB1043" s="4">
        <v>234</v>
      </c>
      <c r="BC1043" s="4">
        <v>3</v>
      </c>
      <c r="BD1043" s="4">
        <v>0</v>
      </c>
      <c r="BE1043" s="4">
        <v>24</v>
      </c>
      <c r="BF1043" s="4">
        <v>65</v>
      </c>
      <c r="BG1043" s="4">
        <v>2</v>
      </c>
      <c r="BH1043" s="4">
        <v>2</v>
      </c>
      <c r="BI1043" s="4">
        <v>0</v>
      </c>
      <c r="BJ1043" s="4">
        <v>42</v>
      </c>
      <c r="BK1043" s="4">
        <v>39</v>
      </c>
      <c r="BL1043" s="4">
        <v>0</v>
      </c>
      <c r="BM1043" s="4">
        <v>5</v>
      </c>
      <c r="BN1043" s="4">
        <v>73</v>
      </c>
      <c r="BO1043" s="4">
        <v>0</v>
      </c>
      <c r="BP1043" s="4">
        <v>4</v>
      </c>
      <c r="BQ1043" s="4">
        <v>53</v>
      </c>
      <c r="BR1043" s="4">
        <v>5</v>
      </c>
      <c r="BS1043" s="4">
        <v>66</v>
      </c>
      <c r="BT1043" s="4">
        <v>40</v>
      </c>
      <c r="BU1043" s="4">
        <v>2</v>
      </c>
      <c r="BV1043" s="4">
        <v>8</v>
      </c>
      <c r="BW1043" s="4">
        <v>81</v>
      </c>
      <c r="BX1043" s="4">
        <v>88</v>
      </c>
      <c r="BY1043" s="4">
        <v>0</v>
      </c>
      <c r="BZ1043" s="4">
        <v>0</v>
      </c>
      <c r="CA1043" s="4">
        <v>13</v>
      </c>
      <c r="CB1043" s="4">
        <v>0</v>
      </c>
      <c r="CC1043" s="4">
        <v>0</v>
      </c>
      <c r="CD1043" s="4">
        <v>3</v>
      </c>
      <c r="CE1043" s="4">
        <v>0</v>
      </c>
      <c r="CF1043" s="4">
        <v>10</v>
      </c>
      <c r="CG1043" s="4">
        <v>1</v>
      </c>
      <c r="CH1043" s="4">
        <v>2</v>
      </c>
      <c r="CI1043" s="4">
        <v>2</v>
      </c>
      <c r="CJ1043" s="4">
        <v>32</v>
      </c>
      <c r="CK1043" s="4">
        <v>8</v>
      </c>
      <c r="CL1043" s="4">
        <v>0</v>
      </c>
      <c r="CM1043" s="4">
        <v>14</v>
      </c>
      <c r="CN1043" s="4">
        <v>65</v>
      </c>
      <c r="CO1043" s="4">
        <v>10</v>
      </c>
      <c r="CP1043" s="4">
        <v>5</v>
      </c>
      <c r="CQ1043" s="4">
        <v>0</v>
      </c>
      <c r="CR1043" s="4">
        <v>5</v>
      </c>
      <c r="CS1043" s="4">
        <v>3</v>
      </c>
      <c r="CT1043" s="4">
        <v>6</v>
      </c>
      <c r="CU1043" s="4">
        <v>5</v>
      </c>
      <c r="CV1043" s="4">
        <v>44</v>
      </c>
      <c r="CW1043" s="4">
        <v>5</v>
      </c>
      <c r="CX1043" s="5">
        <v>5</v>
      </c>
    </row>
    <row r="1044" spans="1:102" ht="15.75" x14ac:dyDescent="0.25">
      <c r="A1044" s="4" t="s">
        <v>295</v>
      </c>
      <c r="B1044" s="4" t="s">
        <v>296</v>
      </c>
      <c r="C1044" s="4">
        <v>2022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5">
        <v>0</v>
      </c>
    </row>
    <row r="1045" spans="1:102" ht="15.75" x14ac:dyDescent="0.25">
      <c r="A1045" s="4" t="s">
        <v>297</v>
      </c>
      <c r="B1045" s="4" t="s">
        <v>298</v>
      </c>
      <c r="C1045" s="4">
        <v>2022</v>
      </c>
      <c r="D1045" s="4">
        <v>6249</v>
      </c>
      <c r="E1045" s="4">
        <v>1</v>
      </c>
      <c r="F1045" s="4">
        <v>0</v>
      </c>
      <c r="G1045" s="4">
        <v>2</v>
      </c>
      <c r="H1045" s="4">
        <v>0</v>
      </c>
      <c r="I1045" s="4">
        <v>5</v>
      </c>
      <c r="J1045" s="4">
        <v>2</v>
      </c>
      <c r="K1045" s="4">
        <v>1</v>
      </c>
      <c r="L1045" s="4">
        <v>9</v>
      </c>
      <c r="M1045" s="4">
        <v>5</v>
      </c>
      <c r="N1045" s="4">
        <v>6</v>
      </c>
      <c r="O1045" s="4">
        <v>308</v>
      </c>
      <c r="P1045" s="4">
        <v>1</v>
      </c>
      <c r="Q1045" s="4">
        <v>0</v>
      </c>
      <c r="R1045" s="4">
        <v>48</v>
      </c>
      <c r="S1045" s="4">
        <v>11</v>
      </c>
      <c r="T1045" s="4">
        <v>222</v>
      </c>
      <c r="U1045" s="4">
        <v>11</v>
      </c>
      <c r="V1045" s="4">
        <v>16</v>
      </c>
      <c r="W1045" s="4">
        <v>1111</v>
      </c>
      <c r="X1045" s="4">
        <v>2</v>
      </c>
      <c r="Y1045" s="4">
        <v>0</v>
      </c>
      <c r="Z1045" s="4">
        <v>0</v>
      </c>
      <c r="AA1045" s="4">
        <v>91</v>
      </c>
      <c r="AB1045" s="4">
        <v>0</v>
      </c>
      <c r="AC1045" s="4">
        <v>0</v>
      </c>
      <c r="AD1045" s="4">
        <v>1</v>
      </c>
      <c r="AE1045" s="4">
        <v>0</v>
      </c>
      <c r="AF1045" s="4">
        <v>0</v>
      </c>
      <c r="AG1045" s="4">
        <v>88</v>
      </c>
      <c r="AH1045" s="4">
        <v>26</v>
      </c>
      <c r="AI1045" s="4">
        <v>42</v>
      </c>
      <c r="AJ1045" s="4">
        <v>116</v>
      </c>
      <c r="AK1045" s="4">
        <v>41</v>
      </c>
      <c r="AL1045" s="4">
        <v>13</v>
      </c>
      <c r="AM1045" s="4">
        <v>48</v>
      </c>
      <c r="AN1045" s="4">
        <v>41</v>
      </c>
      <c r="AO1045" s="4">
        <v>119</v>
      </c>
      <c r="AP1045" s="4">
        <v>4</v>
      </c>
      <c r="AQ1045" s="4">
        <v>31</v>
      </c>
      <c r="AR1045" s="4">
        <v>4</v>
      </c>
      <c r="AS1045" s="4">
        <v>15</v>
      </c>
      <c r="AT1045" s="4">
        <v>29</v>
      </c>
      <c r="AU1045" s="4">
        <v>53</v>
      </c>
      <c r="AV1045" s="4">
        <v>44</v>
      </c>
      <c r="AW1045" s="4">
        <v>1129</v>
      </c>
      <c r="AX1045" s="4">
        <v>111</v>
      </c>
      <c r="AY1045" s="4">
        <v>8</v>
      </c>
      <c r="AZ1045" s="4">
        <v>30</v>
      </c>
      <c r="BA1045" s="4">
        <v>0</v>
      </c>
      <c r="BB1045" s="4">
        <v>702</v>
      </c>
      <c r="BC1045" s="4">
        <v>35</v>
      </c>
      <c r="BD1045" s="4">
        <v>0</v>
      </c>
      <c r="BE1045" s="4">
        <v>47</v>
      </c>
      <c r="BF1045" s="4">
        <v>71</v>
      </c>
      <c r="BG1045" s="4">
        <v>8</v>
      </c>
      <c r="BH1045" s="4">
        <v>24</v>
      </c>
      <c r="BI1045" s="4">
        <v>1</v>
      </c>
      <c r="BJ1045" s="4">
        <v>194</v>
      </c>
      <c r="BK1045" s="4">
        <v>230</v>
      </c>
      <c r="BL1045" s="4">
        <v>0</v>
      </c>
      <c r="BM1045" s="4">
        <v>19</v>
      </c>
      <c r="BN1045" s="4">
        <v>73</v>
      </c>
      <c r="BO1045" s="4">
        <v>0</v>
      </c>
      <c r="BP1045" s="4">
        <v>6</v>
      </c>
      <c r="BQ1045" s="4">
        <v>64</v>
      </c>
      <c r="BR1045" s="4">
        <v>2</v>
      </c>
      <c r="BS1045" s="4">
        <v>174</v>
      </c>
      <c r="BT1045" s="4">
        <v>78</v>
      </c>
      <c r="BU1045" s="4">
        <v>0</v>
      </c>
      <c r="BV1045" s="4">
        <v>48</v>
      </c>
      <c r="BW1045" s="4">
        <v>5</v>
      </c>
      <c r="BX1045" s="4">
        <v>59</v>
      </c>
      <c r="BY1045" s="4">
        <v>3</v>
      </c>
      <c r="BZ1045" s="4">
        <v>0</v>
      </c>
      <c r="CA1045" s="4">
        <v>115</v>
      </c>
      <c r="CB1045" s="4">
        <v>12</v>
      </c>
      <c r="CC1045" s="4">
        <v>0</v>
      </c>
      <c r="CD1045" s="4">
        <v>3</v>
      </c>
      <c r="CE1045" s="4">
        <v>0</v>
      </c>
      <c r="CF1045" s="4">
        <v>4</v>
      </c>
      <c r="CG1045" s="4">
        <v>5</v>
      </c>
      <c r="CH1045" s="4">
        <v>3</v>
      </c>
      <c r="CI1045" s="4">
        <v>1</v>
      </c>
      <c r="CJ1045" s="4">
        <v>7</v>
      </c>
      <c r="CK1045" s="4">
        <v>1</v>
      </c>
      <c r="CL1045" s="4">
        <v>0</v>
      </c>
      <c r="CM1045" s="4">
        <v>38</v>
      </c>
      <c r="CN1045" s="4">
        <v>224</v>
      </c>
      <c r="CO1045" s="4">
        <v>6</v>
      </c>
      <c r="CP1045" s="4">
        <v>10</v>
      </c>
      <c r="CQ1045" s="4">
        <v>0</v>
      </c>
      <c r="CR1045" s="4">
        <v>15</v>
      </c>
      <c r="CS1045" s="4">
        <v>14</v>
      </c>
      <c r="CT1045" s="4">
        <v>14</v>
      </c>
      <c r="CU1045" s="4">
        <v>1</v>
      </c>
      <c r="CV1045" s="4">
        <v>68</v>
      </c>
      <c r="CW1045" s="4">
        <v>15</v>
      </c>
      <c r="CX1045" s="5">
        <v>15</v>
      </c>
    </row>
    <row r="1046" spans="1:102" ht="15.75" x14ac:dyDescent="0.25">
      <c r="A1046" s="4" t="s">
        <v>299</v>
      </c>
      <c r="B1046" s="4" t="s">
        <v>300</v>
      </c>
      <c r="C1046" s="4">
        <v>2022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5">
        <v>0</v>
      </c>
    </row>
    <row r="1047" spans="1:102" ht="15.75" x14ac:dyDescent="0.25">
      <c r="A1047" s="4" t="s">
        <v>301</v>
      </c>
      <c r="B1047" s="4" t="s">
        <v>302</v>
      </c>
      <c r="C1047" s="4">
        <v>2022</v>
      </c>
      <c r="D1047" s="4">
        <v>465</v>
      </c>
      <c r="E1047" s="4">
        <v>0</v>
      </c>
      <c r="F1047" s="4">
        <v>0</v>
      </c>
      <c r="G1047" s="4">
        <v>1</v>
      </c>
      <c r="H1047" s="4">
        <v>0</v>
      </c>
      <c r="I1047" s="4">
        <v>3</v>
      </c>
      <c r="J1047" s="4">
        <v>0</v>
      </c>
      <c r="K1047" s="4">
        <v>1</v>
      </c>
      <c r="L1047" s="4">
        <v>6</v>
      </c>
      <c r="M1047" s="4">
        <v>1</v>
      </c>
      <c r="N1047" s="4">
        <v>10</v>
      </c>
      <c r="O1047" s="4">
        <v>39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2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20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1</v>
      </c>
      <c r="AH1047" s="4">
        <v>0</v>
      </c>
      <c r="AI1047" s="4">
        <v>5</v>
      </c>
      <c r="AJ1047" s="4">
        <v>116</v>
      </c>
      <c r="AK1047" s="4">
        <v>18</v>
      </c>
      <c r="AL1047" s="4">
        <v>0</v>
      </c>
      <c r="AM1047" s="4">
        <v>20</v>
      </c>
      <c r="AN1047" s="4">
        <v>0</v>
      </c>
      <c r="AO1047" s="4">
        <v>17</v>
      </c>
      <c r="AP1047" s="4">
        <v>0</v>
      </c>
      <c r="AQ1047" s="4">
        <v>1</v>
      </c>
      <c r="AR1047" s="4">
        <v>0</v>
      </c>
      <c r="AS1047" s="4">
        <v>1</v>
      </c>
      <c r="AT1047" s="4">
        <v>0</v>
      </c>
      <c r="AU1047" s="4">
        <v>1</v>
      </c>
      <c r="AV1047" s="4">
        <v>4</v>
      </c>
      <c r="AW1047" s="4">
        <v>2</v>
      </c>
      <c r="AX1047" s="4">
        <v>5</v>
      </c>
      <c r="AY1047" s="4">
        <v>1</v>
      </c>
      <c r="AZ1047" s="4">
        <v>15</v>
      </c>
      <c r="BA1047" s="4">
        <v>0</v>
      </c>
      <c r="BB1047" s="4">
        <v>10</v>
      </c>
      <c r="BC1047" s="4">
        <v>4</v>
      </c>
      <c r="BD1047" s="4">
        <v>0</v>
      </c>
      <c r="BE1047" s="4">
        <v>1</v>
      </c>
      <c r="BF1047" s="4">
        <v>12</v>
      </c>
      <c r="BG1047" s="4">
        <v>3</v>
      </c>
      <c r="BH1047" s="4">
        <v>0</v>
      </c>
      <c r="BI1047" s="4">
        <v>0</v>
      </c>
      <c r="BJ1047" s="4">
        <v>14</v>
      </c>
      <c r="BK1047" s="4">
        <v>18</v>
      </c>
      <c r="BL1047" s="4">
        <v>0</v>
      </c>
      <c r="BM1047" s="4">
        <v>0</v>
      </c>
      <c r="BN1047" s="4">
        <v>5</v>
      </c>
      <c r="BO1047" s="4">
        <v>0</v>
      </c>
      <c r="BP1047" s="4">
        <v>0</v>
      </c>
      <c r="BQ1047" s="4">
        <v>4</v>
      </c>
      <c r="BR1047" s="4">
        <v>0</v>
      </c>
      <c r="BS1047" s="4">
        <v>11</v>
      </c>
      <c r="BT1047" s="4">
        <v>10</v>
      </c>
      <c r="BU1047" s="4">
        <v>0</v>
      </c>
      <c r="BV1047" s="4">
        <v>1</v>
      </c>
      <c r="BW1047" s="4">
        <v>2</v>
      </c>
      <c r="BX1047" s="4">
        <v>44</v>
      </c>
      <c r="BY1047" s="4">
        <v>0</v>
      </c>
      <c r="BZ1047" s="4">
        <v>0</v>
      </c>
      <c r="CA1047" s="4">
        <v>1</v>
      </c>
      <c r="CB1047" s="4">
        <v>0</v>
      </c>
      <c r="CC1047" s="4">
        <v>0</v>
      </c>
      <c r="CD1047" s="4">
        <v>1</v>
      </c>
      <c r="CE1047" s="4">
        <v>0</v>
      </c>
      <c r="CF1047" s="4">
        <v>3</v>
      </c>
      <c r="CG1047" s="4">
        <v>0</v>
      </c>
      <c r="CH1047" s="4">
        <v>1</v>
      </c>
      <c r="CI1047" s="4">
        <v>0</v>
      </c>
      <c r="CJ1047" s="4">
        <v>2</v>
      </c>
      <c r="CK1047" s="4">
        <v>0</v>
      </c>
      <c r="CL1047" s="4">
        <v>0</v>
      </c>
      <c r="CM1047" s="4">
        <v>2</v>
      </c>
      <c r="CN1047" s="4">
        <v>17</v>
      </c>
      <c r="CO1047" s="4">
        <v>0</v>
      </c>
      <c r="CP1047" s="4">
        <v>0</v>
      </c>
      <c r="CQ1047" s="4">
        <v>0</v>
      </c>
      <c r="CR1047" s="4">
        <v>0</v>
      </c>
      <c r="CS1047" s="4">
        <v>0</v>
      </c>
      <c r="CT1047" s="4">
        <v>1</v>
      </c>
      <c r="CU1047" s="4">
        <v>1</v>
      </c>
      <c r="CV1047" s="4">
        <v>6</v>
      </c>
      <c r="CW1047" s="4">
        <v>1</v>
      </c>
      <c r="CX1047" s="5">
        <v>1</v>
      </c>
    </row>
    <row r="1048" spans="1:102" ht="15.75" x14ac:dyDescent="0.25">
      <c r="A1048" s="4" t="s">
        <v>303</v>
      </c>
      <c r="B1048" s="4" t="s">
        <v>304</v>
      </c>
      <c r="C1048" s="4">
        <v>2022</v>
      </c>
      <c r="D1048" s="4">
        <v>64</v>
      </c>
      <c r="E1048" s="4">
        <v>2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2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1</v>
      </c>
      <c r="AH1048" s="4">
        <v>0</v>
      </c>
      <c r="AI1048" s="4">
        <v>2</v>
      </c>
      <c r="AJ1048" s="4">
        <v>9</v>
      </c>
      <c r="AK1048" s="4">
        <v>1</v>
      </c>
      <c r="AL1048" s="4">
        <v>1</v>
      </c>
      <c r="AM1048" s="4">
        <v>0</v>
      </c>
      <c r="AN1048" s="4">
        <v>0</v>
      </c>
      <c r="AO1048" s="4">
        <v>8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1</v>
      </c>
      <c r="AY1048" s="4">
        <v>0</v>
      </c>
      <c r="AZ1048" s="4">
        <v>1</v>
      </c>
      <c r="BA1048" s="4">
        <v>0</v>
      </c>
      <c r="BB1048" s="4">
        <v>0</v>
      </c>
      <c r="BC1048" s="4">
        <v>4</v>
      </c>
      <c r="BD1048" s="4">
        <v>0</v>
      </c>
      <c r="BE1048" s="4">
        <v>0</v>
      </c>
      <c r="BF1048" s="4">
        <v>1</v>
      </c>
      <c r="BG1048" s="4">
        <v>1</v>
      </c>
      <c r="BH1048" s="4">
        <v>0</v>
      </c>
      <c r="BI1048" s="4">
        <v>0</v>
      </c>
      <c r="BJ1048" s="4">
        <v>5</v>
      </c>
      <c r="BK1048" s="4">
        <v>0</v>
      </c>
      <c r="BL1048" s="4">
        <v>0</v>
      </c>
      <c r="BM1048" s="4">
        <v>0</v>
      </c>
      <c r="BN1048" s="4">
        <v>1</v>
      </c>
      <c r="BO1048" s="4">
        <v>0</v>
      </c>
      <c r="BP1048" s="4">
        <v>0</v>
      </c>
      <c r="BQ1048" s="4">
        <v>1</v>
      </c>
      <c r="BR1048" s="4">
        <v>0</v>
      </c>
      <c r="BS1048" s="4">
        <v>0</v>
      </c>
      <c r="BT1048" s="4">
        <v>1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1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3</v>
      </c>
      <c r="CO1048" s="4">
        <v>0</v>
      </c>
      <c r="CP1048" s="4">
        <v>0</v>
      </c>
      <c r="CQ1048" s="4">
        <v>0</v>
      </c>
      <c r="CR1048" s="4">
        <v>0</v>
      </c>
      <c r="CS1048" s="4">
        <v>0</v>
      </c>
      <c r="CT1048" s="4">
        <v>1</v>
      </c>
      <c r="CU1048" s="4">
        <v>0</v>
      </c>
      <c r="CV1048" s="4">
        <v>13</v>
      </c>
      <c r="CW1048" s="4">
        <v>0</v>
      </c>
      <c r="CX1048" s="5">
        <v>0</v>
      </c>
    </row>
    <row r="1049" spans="1:102" ht="15.75" x14ac:dyDescent="0.25">
      <c r="A1049" s="4" t="s">
        <v>305</v>
      </c>
      <c r="B1049" s="4" t="s">
        <v>306</v>
      </c>
      <c r="C1049" s="4">
        <v>2022</v>
      </c>
      <c r="D1049" s="4">
        <v>423</v>
      </c>
      <c r="E1049" s="4">
        <v>0</v>
      </c>
      <c r="F1049" s="4">
        <v>1</v>
      </c>
      <c r="G1049" s="4">
        <v>1</v>
      </c>
      <c r="H1049" s="4">
        <v>3</v>
      </c>
      <c r="I1049" s="4">
        <v>18</v>
      </c>
      <c r="J1049" s="4">
        <v>7</v>
      </c>
      <c r="K1049" s="4">
        <v>2</v>
      </c>
      <c r="L1049" s="4">
        <v>8</v>
      </c>
      <c r="M1049" s="4">
        <v>6</v>
      </c>
      <c r="N1049" s="4">
        <v>9</v>
      </c>
      <c r="O1049" s="4">
        <v>10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1</v>
      </c>
      <c r="W1049" s="4">
        <v>0</v>
      </c>
      <c r="X1049" s="4">
        <v>0</v>
      </c>
      <c r="Y1049" s="4">
        <v>28</v>
      </c>
      <c r="Z1049" s="4">
        <v>0</v>
      </c>
      <c r="AA1049" s="4">
        <v>2</v>
      </c>
      <c r="AB1049" s="4">
        <v>0</v>
      </c>
      <c r="AC1049" s="4">
        <v>0</v>
      </c>
      <c r="AD1049" s="4">
        <v>0</v>
      </c>
      <c r="AE1049" s="4">
        <v>1</v>
      </c>
      <c r="AF1049" s="4">
        <v>0</v>
      </c>
      <c r="AG1049" s="4">
        <v>2</v>
      </c>
      <c r="AH1049" s="4">
        <v>0</v>
      </c>
      <c r="AI1049" s="4">
        <v>2</v>
      </c>
      <c r="AJ1049" s="4">
        <v>7</v>
      </c>
      <c r="AK1049" s="4">
        <v>11</v>
      </c>
      <c r="AL1049" s="4">
        <v>6</v>
      </c>
      <c r="AM1049" s="4">
        <v>1</v>
      </c>
      <c r="AN1049" s="4">
        <v>5</v>
      </c>
      <c r="AO1049" s="4">
        <v>4</v>
      </c>
      <c r="AP1049" s="4">
        <v>0</v>
      </c>
      <c r="AQ1049" s="4">
        <v>1</v>
      </c>
      <c r="AR1049" s="4">
        <v>1</v>
      </c>
      <c r="AS1049" s="4">
        <v>8</v>
      </c>
      <c r="AT1049" s="4">
        <v>4</v>
      </c>
      <c r="AU1049" s="4">
        <v>4</v>
      </c>
      <c r="AV1049" s="4">
        <v>0</v>
      </c>
      <c r="AW1049" s="4">
        <v>1</v>
      </c>
      <c r="AX1049" s="4">
        <v>17</v>
      </c>
      <c r="AY1049" s="4">
        <v>0</v>
      </c>
      <c r="AZ1049" s="4">
        <v>1</v>
      </c>
      <c r="BA1049" s="4">
        <v>0</v>
      </c>
      <c r="BB1049" s="4">
        <v>3</v>
      </c>
      <c r="BC1049" s="4">
        <v>0</v>
      </c>
      <c r="BD1049" s="4">
        <v>0</v>
      </c>
      <c r="BE1049" s="4">
        <v>4</v>
      </c>
      <c r="BF1049" s="4">
        <v>16</v>
      </c>
      <c r="BG1049" s="4">
        <v>0</v>
      </c>
      <c r="BH1049" s="4">
        <v>0</v>
      </c>
      <c r="BI1049" s="4">
        <v>0</v>
      </c>
      <c r="BJ1049" s="4">
        <v>3</v>
      </c>
      <c r="BK1049" s="4">
        <v>7</v>
      </c>
      <c r="BL1049" s="4">
        <v>0</v>
      </c>
      <c r="BM1049" s="4">
        <v>0</v>
      </c>
      <c r="BN1049" s="4">
        <v>12</v>
      </c>
      <c r="BO1049" s="4">
        <v>0</v>
      </c>
      <c r="BP1049" s="4">
        <v>0</v>
      </c>
      <c r="BQ1049" s="4">
        <v>10</v>
      </c>
      <c r="BR1049" s="4">
        <v>2</v>
      </c>
      <c r="BS1049" s="4">
        <v>9</v>
      </c>
      <c r="BT1049" s="4">
        <v>3</v>
      </c>
      <c r="BU1049" s="4">
        <v>1</v>
      </c>
      <c r="BV1049" s="4">
        <v>5</v>
      </c>
      <c r="BW1049" s="4">
        <v>3</v>
      </c>
      <c r="BX1049" s="4">
        <v>21</v>
      </c>
      <c r="BY1049" s="4">
        <v>0</v>
      </c>
      <c r="BZ1049" s="4">
        <v>0</v>
      </c>
      <c r="CA1049" s="4">
        <v>93</v>
      </c>
      <c r="CB1049" s="4">
        <v>0</v>
      </c>
      <c r="CC1049" s="4">
        <v>0</v>
      </c>
      <c r="CD1049" s="4">
        <v>2</v>
      </c>
      <c r="CE1049" s="4">
        <v>0</v>
      </c>
      <c r="CF1049" s="4">
        <v>2</v>
      </c>
      <c r="CG1049" s="4">
        <v>0</v>
      </c>
      <c r="CH1049" s="4">
        <v>2</v>
      </c>
      <c r="CI1049" s="4">
        <v>2</v>
      </c>
      <c r="CJ1049" s="4">
        <v>12</v>
      </c>
      <c r="CK1049" s="4">
        <v>2</v>
      </c>
      <c r="CL1049" s="4">
        <v>0</v>
      </c>
      <c r="CM1049" s="4">
        <v>0</v>
      </c>
      <c r="CN1049" s="4">
        <v>4</v>
      </c>
      <c r="CO1049" s="4">
        <v>0</v>
      </c>
      <c r="CP1049" s="4">
        <v>1</v>
      </c>
      <c r="CQ1049" s="4">
        <v>0</v>
      </c>
      <c r="CR1049" s="4">
        <v>1</v>
      </c>
      <c r="CS1049" s="4">
        <v>0</v>
      </c>
      <c r="CT1049" s="4">
        <v>7</v>
      </c>
      <c r="CU1049" s="4">
        <v>1</v>
      </c>
      <c r="CV1049" s="4">
        <v>14</v>
      </c>
      <c r="CW1049" s="4">
        <v>4</v>
      </c>
      <c r="CX1049" s="5">
        <v>4</v>
      </c>
    </row>
    <row r="1050" spans="1:102" ht="15.75" x14ac:dyDescent="0.25">
      <c r="A1050" s="4" t="s">
        <v>307</v>
      </c>
      <c r="B1050" s="4" t="s">
        <v>308</v>
      </c>
      <c r="C1050" s="4">
        <v>2022</v>
      </c>
      <c r="D1050" s="4">
        <v>9414</v>
      </c>
      <c r="E1050" s="4">
        <v>6</v>
      </c>
      <c r="F1050" s="4">
        <v>43</v>
      </c>
      <c r="G1050" s="4">
        <v>60</v>
      </c>
      <c r="H1050" s="4">
        <v>58</v>
      </c>
      <c r="I1050" s="4">
        <v>41</v>
      </c>
      <c r="J1050" s="4">
        <v>25</v>
      </c>
      <c r="K1050" s="4">
        <v>4</v>
      </c>
      <c r="L1050" s="4">
        <v>11</v>
      </c>
      <c r="M1050" s="4">
        <v>19</v>
      </c>
      <c r="N1050" s="4">
        <v>21</v>
      </c>
      <c r="O1050" s="4">
        <v>244</v>
      </c>
      <c r="P1050" s="4">
        <v>32</v>
      </c>
      <c r="Q1050" s="4">
        <v>0</v>
      </c>
      <c r="R1050" s="4">
        <v>21</v>
      </c>
      <c r="S1050" s="4">
        <v>3</v>
      </c>
      <c r="T1050" s="4">
        <v>1</v>
      </c>
      <c r="U1050" s="4">
        <v>39</v>
      </c>
      <c r="V1050" s="4">
        <v>27</v>
      </c>
      <c r="W1050" s="4">
        <v>396</v>
      </c>
      <c r="X1050" s="4">
        <v>8</v>
      </c>
      <c r="Y1050" s="4">
        <v>0</v>
      </c>
      <c r="Z1050" s="4">
        <v>472</v>
      </c>
      <c r="AA1050" s="4">
        <v>85</v>
      </c>
      <c r="AB1050" s="4">
        <v>14</v>
      </c>
      <c r="AC1050" s="4">
        <v>0</v>
      </c>
      <c r="AD1050" s="4">
        <v>2</v>
      </c>
      <c r="AE1050" s="4">
        <v>2</v>
      </c>
      <c r="AF1050" s="4">
        <v>2</v>
      </c>
      <c r="AG1050" s="4">
        <v>115</v>
      </c>
      <c r="AH1050" s="4">
        <v>66</v>
      </c>
      <c r="AI1050" s="4">
        <v>141</v>
      </c>
      <c r="AJ1050" s="4">
        <v>215</v>
      </c>
      <c r="AK1050" s="4">
        <v>109</v>
      </c>
      <c r="AL1050" s="4">
        <v>3</v>
      </c>
      <c r="AM1050" s="4">
        <v>176</v>
      </c>
      <c r="AN1050" s="4">
        <v>123</v>
      </c>
      <c r="AO1050" s="4">
        <v>199</v>
      </c>
      <c r="AP1050" s="4">
        <v>20</v>
      </c>
      <c r="AQ1050" s="4">
        <v>52</v>
      </c>
      <c r="AR1050" s="4">
        <v>15</v>
      </c>
      <c r="AS1050" s="4">
        <v>60</v>
      </c>
      <c r="AT1050" s="4">
        <v>130</v>
      </c>
      <c r="AU1050" s="4">
        <v>115</v>
      </c>
      <c r="AV1050" s="4">
        <v>226</v>
      </c>
      <c r="AW1050" s="4">
        <v>356</v>
      </c>
      <c r="AX1050" s="4">
        <v>243</v>
      </c>
      <c r="AY1050" s="4">
        <v>3</v>
      </c>
      <c r="AZ1050" s="4">
        <v>50</v>
      </c>
      <c r="BA1050" s="4">
        <v>0</v>
      </c>
      <c r="BB1050" s="4">
        <v>545</v>
      </c>
      <c r="BC1050" s="4">
        <v>108</v>
      </c>
      <c r="BD1050" s="4">
        <v>6</v>
      </c>
      <c r="BE1050" s="4">
        <v>43</v>
      </c>
      <c r="BF1050" s="4">
        <v>209</v>
      </c>
      <c r="BG1050" s="4">
        <v>12</v>
      </c>
      <c r="BH1050" s="4">
        <v>24</v>
      </c>
      <c r="BI1050" s="4">
        <v>0</v>
      </c>
      <c r="BJ1050" s="4">
        <v>302</v>
      </c>
      <c r="BK1050" s="4">
        <v>280</v>
      </c>
      <c r="BL1050" s="4">
        <v>0</v>
      </c>
      <c r="BM1050" s="4">
        <v>31</v>
      </c>
      <c r="BN1050" s="4">
        <v>113</v>
      </c>
      <c r="BO1050" s="4">
        <v>1</v>
      </c>
      <c r="BP1050" s="4">
        <v>24</v>
      </c>
      <c r="BQ1050" s="4">
        <v>121</v>
      </c>
      <c r="BR1050" s="4">
        <v>17</v>
      </c>
      <c r="BS1050" s="4">
        <v>323</v>
      </c>
      <c r="BT1050" s="4">
        <v>141</v>
      </c>
      <c r="BU1050" s="4">
        <v>3</v>
      </c>
      <c r="BV1050" s="4">
        <v>181</v>
      </c>
      <c r="BW1050" s="4">
        <v>70</v>
      </c>
      <c r="BX1050" s="4">
        <v>1105</v>
      </c>
      <c r="BY1050" s="4">
        <v>13</v>
      </c>
      <c r="BZ1050" s="4">
        <v>31</v>
      </c>
      <c r="CA1050" s="4">
        <v>300</v>
      </c>
      <c r="CB1050" s="4">
        <v>88</v>
      </c>
      <c r="CC1050" s="4">
        <v>1</v>
      </c>
      <c r="CD1050" s="4">
        <v>17</v>
      </c>
      <c r="CE1050" s="4">
        <v>1</v>
      </c>
      <c r="CF1050" s="4">
        <v>14</v>
      </c>
      <c r="CG1050" s="4">
        <v>13</v>
      </c>
      <c r="CH1050" s="4">
        <v>9</v>
      </c>
      <c r="CI1050" s="4">
        <v>34</v>
      </c>
      <c r="CJ1050" s="4">
        <v>267</v>
      </c>
      <c r="CK1050" s="4">
        <v>58</v>
      </c>
      <c r="CL1050" s="4">
        <v>0</v>
      </c>
      <c r="CM1050" s="4">
        <v>72</v>
      </c>
      <c r="CN1050" s="4">
        <v>267</v>
      </c>
      <c r="CO1050" s="4">
        <v>49</v>
      </c>
      <c r="CP1050" s="4">
        <v>27</v>
      </c>
      <c r="CQ1050" s="4">
        <v>1</v>
      </c>
      <c r="CR1050" s="4">
        <v>98</v>
      </c>
      <c r="CS1050" s="4">
        <v>41</v>
      </c>
      <c r="CT1050" s="4">
        <v>110</v>
      </c>
      <c r="CU1050" s="4">
        <v>7</v>
      </c>
      <c r="CV1050" s="4">
        <v>131</v>
      </c>
      <c r="CW1050" s="4">
        <v>55</v>
      </c>
      <c r="CX1050" s="5">
        <v>56</v>
      </c>
    </row>
    <row r="1051" spans="1:102" ht="15.75" x14ac:dyDescent="0.25">
      <c r="A1051" s="4" t="s">
        <v>309</v>
      </c>
      <c r="B1051" s="4" t="s">
        <v>310</v>
      </c>
      <c r="C1051" s="4">
        <v>2022</v>
      </c>
      <c r="D1051" s="4">
        <v>185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37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76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2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6</v>
      </c>
      <c r="BO1051" s="4">
        <v>0</v>
      </c>
      <c r="BP1051" s="4">
        <v>0</v>
      </c>
      <c r="BQ1051" s="4">
        <v>7</v>
      </c>
      <c r="BR1051" s="4">
        <v>0</v>
      </c>
      <c r="BS1051" s="4">
        <v>1</v>
      </c>
      <c r="BT1051" s="4">
        <v>1</v>
      </c>
      <c r="BU1051" s="4">
        <v>0</v>
      </c>
      <c r="BV1051" s="4">
        <v>0</v>
      </c>
      <c r="BW1051" s="4">
        <v>0</v>
      </c>
      <c r="BX1051" s="4">
        <v>2</v>
      </c>
      <c r="BY1051" s="4">
        <v>0</v>
      </c>
      <c r="BZ1051" s="4">
        <v>0</v>
      </c>
      <c r="CA1051" s="4">
        <v>5</v>
      </c>
      <c r="CB1051" s="4">
        <v>16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1</v>
      </c>
      <c r="CK1051" s="4">
        <v>0</v>
      </c>
      <c r="CL1051" s="4">
        <v>0</v>
      </c>
      <c r="CM1051" s="4">
        <v>0</v>
      </c>
      <c r="CN1051" s="4">
        <v>2</v>
      </c>
      <c r="CO1051" s="4">
        <v>6</v>
      </c>
      <c r="CP1051" s="4">
        <v>0</v>
      </c>
      <c r="CQ1051" s="4">
        <v>0</v>
      </c>
      <c r="CR1051" s="4">
        <v>6</v>
      </c>
      <c r="CS1051" s="4">
        <v>12</v>
      </c>
      <c r="CT1051" s="4">
        <v>0</v>
      </c>
      <c r="CU1051" s="4">
        <v>0</v>
      </c>
      <c r="CV1051" s="4">
        <v>1</v>
      </c>
      <c r="CW1051" s="4">
        <v>0</v>
      </c>
      <c r="CX1051" s="5">
        <v>0</v>
      </c>
    </row>
    <row r="1052" spans="1:102" ht="15.75" x14ac:dyDescent="0.25">
      <c r="A1052" s="4" t="s">
        <v>311</v>
      </c>
      <c r="B1052" s="4" t="s">
        <v>312</v>
      </c>
      <c r="C1052" s="4">
        <v>2022</v>
      </c>
      <c r="D1052" s="4">
        <v>53</v>
      </c>
      <c r="E1052" s="4">
        <v>0</v>
      </c>
      <c r="F1052" s="4">
        <v>0</v>
      </c>
      <c r="G1052" s="4">
        <v>1</v>
      </c>
      <c r="H1052" s="4">
        <v>0</v>
      </c>
      <c r="I1052" s="4">
        <v>1</v>
      </c>
      <c r="J1052" s="4">
        <v>0</v>
      </c>
      <c r="K1052" s="4">
        <v>1</v>
      </c>
      <c r="L1052" s="4">
        <v>1</v>
      </c>
      <c r="M1052" s="4">
        <v>2</v>
      </c>
      <c r="N1052" s="4">
        <v>1</v>
      </c>
      <c r="O1052" s="4">
        <v>1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4</v>
      </c>
      <c r="AK1052" s="4">
        <v>2</v>
      </c>
      <c r="AL1052" s="4">
        <v>0</v>
      </c>
      <c r="AM1052" s="4">
        <v>0</v>
      </c>
      <c r="AN1052" s="4">
        <v>0</v>
      </c>
      <c r="AO1052" s="4">
        <v>1</v>
      </c>
      <c r="AP1052" s="4">
        <v>0</v>
      </c>
      <c r="AQ1052" s="4">
        <v>0</v>
      </c>
      <c r="AR1052" s="4">
        <v>0</v>
      </c>
      <c r="AS1052" s="4">
        <v>0</v>
      </c>
      <c r="AT1052" s="4">
        <v>1</v>
      </c>
      <c r="AU1052" s="4">
        <v>0</v>
      </c>
      <c r="AV1052" s="4">
        <v>0</v>
      </c>
      <c r="AW1052" s="4">
        <v>0</v>
      </c>
      <c r="AX1052" s="4">
        <v>2</v>
      </c>
      <c r="AY1052" s="4">
        <v>0</v>
      </c>
      <c r="AZ1052" s="4">
        <v>0</v>
      </c>
      <c r="BA1052" s="4">
        <v>0</v>
      </c>
      <c r="BB1052" s="4">
        <v>1</v>
      </c>
      <c r="BC1052" s="4">
        <v>0</v>
      </c>
      <c r="BD1052" s="4">
        <v>0</v>
      </c>
      <c r="BE1052" s="4">
        <v>1</v>
      </c>
      <c r="BF1052" s="4">
        <v>4</v>
      </c>
      <c r="BG1052" s="4">
        <v>0</v>
      </c>
      <c r="BH1052" s="4">
        <v>0</v>
      </c>
      <c r="BI1052" s="4">
        <v>0</v>
      </c>
      <c r="BJ1052" s="4">
        <v>2</v>
      </c>
      <c r="BK1052" s="4">
        <v>1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1</v>
      </c>
      <c r="BT1052" s="4">
        <v>0</v>
      </c>
      <c r="BU1052" s="4">
        <v>0</v>
      </c>
      <c r="BV1052" s="4">
        <v>1</v>
      </c>
      <c r="BW1052" s="4">
        <v>2</v>
      </c>
      <c r="BX1052" s="4">
        <v>6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1</v>
      </c>
      <c r="CQ1052" s="4">
        <v>0</v>
      </c>
      <c r="CR1052" s="4">
        <v>0</v>
      </c>
      <c r="CS1052" s="4">
        <v>0</v>
      </c>
      <c r="CT1052" s="4">
        <v>6</v>
      </c>
      <c r="CU1052" s="4">
        <v>0</v>
      </c>
      <c r="CV1052" s="4">
        <v>3</v>
      </c>
      <c r="CW1052" s="4">
        <v>1</v>
      </c>
      <c r="CX1052" s="5">
        <v>1</v>
      </c>
    </row>
    <row r="1053" spans="1:102" ht="15.75" x14ac:dyDescent="0.25">
      <c r="A1053" s="4" t="s">
        <v>313</v>
      </c>
      <c r="B1053" s="4" t="s">
        <v>314</v>
      </c>
      <c r="C1053" s="4">
        <v>2022</v>
      </c>
      <c r="D1053" s="4">
        <v>331</v>
      </c>
      <c r="E1053" s="4">
        <v>4</v>
      </c>
      <c r="F1053" s="4">
        <v>0</v>
      </c>
      <c r="G1053" s="4">
        <v>5</v>
      </c>
      <c r="H1053" s="4">
        <v>0</v>
      </c>
      <c r="I1053" s="4">
        <v>4</v>
      </c>
      <c r="J1053" s="4">
        <v>0</v>
      </c>
      <c r="K1053" s="4">
        <v>0</v>
      </c>
      <c r="L1053" s="4">
        <v>12</v>
      </c>
      <c r="M1053" s="4">
        <v>1</v>
      </c>
      <c r="N1053" s="4">
        <v>9</v>
      </c>
      <c r="O1053" s="4">
        <v>7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2</v>
      </c>
      <c r="AH1053" s="4">
        <v>0</v>
      </c>
      <c r="AI1053" s="4">
        <v>4</v>
      </c>
      <c r="AJ1053" s="4">
        <v>22</v>
      </c>
      <c r="AK1053" s="4">
        <v>7</v>
      </c>
      <c r="AL1053" s="4">
        <v>0</v>
      </c>
      <c r="AM1053" s="4">
        <v>2</v>
      </c>
      <c r="AN1053" s="4">
        <v>2</v>
      </c>
      <c r="AO1053" s="4">
        <v>4</v>
      </c>
      <c r="AP1053" s="4">
        <v>0</v>
      </c>
      <c r="AQ1053" s="4">
        <v>1</v>
      </c>
      <c r="AR1053" s="4">
        <v>0</v>
      </c>
      <c r="AS1053" s="4">
        <v>1</v>
      </c>
      <c r="AT1053" s="4">
        <v>2</v>
      </c>
      <c r="AU1053" s="4">
        <v>1</v>
      </c>
      <c r="AV1053" s="4">
        <v>1</v>
      </c>
      <c r="AW1053" s="4">
        <v>2</v>
      </c>
      <c r="AX1053" s="4">
        <v>3</v>
      </c>
      <c r="AY1053" s="4">
        <v>0</v>
      </c>
      <c r="AZ1053" s="4">
        <v>2</v>
      </c>
      <c r="BA1053" s="4">
        <v>0</v>
      </c>
      <c r="BB1053" s="4">
        <v>49</v>
      </c>
      <c r="BC1053" s="4">
        <v>2</v>
      </c>
      <c r="BD1053" s="4">
        <v>0</v>
      </c>
      <c r="BE1053" s="4">
        <v>2</v>
      </c>
      <c r="BF1053" s="4">
        <v>5</v>
      </c>
      <c r="BG1053" s="4">
        <v>0</v>
      </c>
      <c r="BH1053" s="4">
        <v>0</v>
      </c>
      <c r="BI1053" s="4">
        <v>0</v>
      </c>
      <c r="BJ1053" s="4">
        <v>5</v>
      </c>
      <c r="BK1053" s="4">
        <v>32</v>
      </c>
      <c r="BL1053" s="4">
        <v>0</v>
      </c>
      <c r="BM1053" s="4">
        <v>1</v>
      </c>
      <c r="BN1053" s="4">
        <v>5</v>
      </c>
      <c r="BO1053" s="4">
        <v>0</v>
      </c>
      <c r="BP1053" s="4">
        <v>4</v>
      </c>
      <c r="BQ1053" s="4">
        <v>11</v>
      </c>
      <c r="BR1053" s="4">
        <v>0</v>
      </c>
      <c r="BS1053" s="4">
        <v>19</v>
      </c>
      <c r="BT1053" s="4">
        <v>5</v>
      </c>
      <c r="BU1053" s="4">
        <v>0</v>
      </c>
      <c r="BV1053" s="4">
        <v>2</v>
      </c>
      <c r="BW1053" s="4">
        <v>12</v>
      </c>
      <c r="BX1053" s="4">
        <v>15</v>
      </c>
      <c r="BY1053" s="4">
        <v>0</v>
      </c>
      <c r="BZ1053" s="4">
        <v>0</v>
      </c>
      <c r="CA1053" s="4">
        <v>13</v>
      </c>
      <c r="CB1053" s="4">
        <v>0</v>
      </c>
      <c r="CC1053" s="4">
        <v>0</v>
      </c>
      <c r="CD1053" s="4">
        <v>2</v>
      </c>
      <c r="CE1053" s="4">
        <v>0</v>
      </c>
      <c r="CF1053" s="4">
        <v>0</v>
      </c>
      <c r="CG1053" s="4">
        <v>1</v>
      </c>
      <c r="CH1053" s="4">
        <v>4</v>
      </c>
      <c r="CI1053" s="4">
        <v>0</v>
      </c>
      <c r="CJ1053" s="4">
        <v>2</v>
      </c>
      <c r="CK1053" s="4">
        <v>0</v>
      </c>
      <c r="CL1053" s="4">
        <v>0</v>
      </c>
      <c r="CM1053" s="4">
        <v>1</v>
      </c>
      <c r="CN1053" s="4">
        <v>9</v>
      </c>
      <c r="CO1053" s="4">
        <v>1</v>
      </c>
      <c r="CP1053" s="4">
        <v>0</v>
      </c>
      <c r="CQ1053" s="4">
        <v>0</v>
      </c>
      <c r="CR1053" s="4">
        <v>0</v>
      </c>
      <c r="CS1053" s="4">
        <v>0</v>
      </c>
      <c r="CT1053" s="4">
        <v>10</v>
      </c>
      <c r="CU1053" s="4">
        <v>0</v>
      </c>
      <c r="CV1053" s="4">
        <v>10</v>
      </c>
      <c r="CW1053" s="4">
        <v>1</v>
      </c>
      <c r="CX1053" s="5">
        <v>1</v>
      </c>
    </row>
    <row r="1054" spans="1:102" ht="15.75" x14ac:dyDescent="0.25">
      <c r="A1054" s="4" t="s">
        <v>315</v>
      </c>
      <c r="B1054" s="4" t="s">
        <v>316</v>
      </c>
      <c r="C1054" s="4">
        <v>2022</v>
      </c>
      <c r="D1054" s="4">
        <v>7034</v>
      </c>
      <c r="E1054" s="4">
        <v>25</v>
      </c>
      <c r="F1054" s="4">
        <v>24</v>
      </c>
      <c r="G1054" s="4">
        <v>3</v>
      </c>
      <c r="H1054" s="4">
        <v>11</v>
      </c>
      <c r="I1054" s="4">
        <v>69</v>
      </c>
      <c r="J1054" s="4">
        <v>5</v>
      </c>
      <c r="K1054" s="4">
        <v>1</v>
      </c>
      <c r="L1054" s="4">
        <v>27</v>
      </c>
      <c r="M1054" s="4">
        <v>16</v>
      </c>
      <c r="N1054" s="4">
        <v>12</v>
      </c>
      <c r="O1054" s="4">
        <v>247</v>
      </c>
      <c r="P1054" s="4">
        <v>0</v>
      </c>
      <c r="Q1054" s="4">
        <v>0</v>
      </c>
      <c r="R1054" s="4">
        <v>0</v>
      </c>
      <c r="S1054" s="4">
        <v>1</v>
      </c>
      <c r="T1054" s="4">
        <v>0</v>
      </c>
      <c r="U1054" s="4">
        <v>4</v>
      </c>
      <c r="V1054" s="4">
        <v>8</v>
      </c>
      <c r="W1054" s="4">
        <v>103</v>
      </c>
      <c r="X1054" s="4">
        <v>2</v>
      </c>
      <c r="Y1054" s="4">
        <v>0</v>
      </c>
      <c r="Z1054" s="4">
        <v>0</v>
      </c>
      <c r="AA1054" s="4">
        <v>6</v>
      </c>
      <c r="AB1054" s="4">
        <v>0</v>
      </c>
      <c r="AC1054" s="4">
        <v>0</v>
      </c>
      <c r="AD1054" s="4">
        <v>2</v>
      </c>
      <c r="AE1054" s="4">
        <v>1</v>
      </c>
      <c r="AF1054" s="4">
        <v>0</v>
      </c>
      <c r="AG1054" s="4">
        <v>58</v>
      </c>
      <c r="AH1054" s="4">
        <v>14</v>
      </c>
      <c r="AI1054" s="4">
        <v>20</v>
      </c>
      <c r="AJ1054" s="4">
        <v>792</v>
      </c>
      <c r="AK1054" s="4">
        <v>56</v>
      </c>
      <c r="AL1054" s="4">
        <v>0</v>
      </c>
      <c r="AM1054" s="4">
        <v>40</v>
      </c>
      <c r="AN1054" s="4">
        <v>26</v>
      </c>
      <c r="AO1054" s="4">
        <v>401</v>
      </c>
      <c r="AP1054" s="4">
        <v>2</v>
      </c>
      <c r="AQ1054" s="4">
        <v>11</v>
      </c>
      <c r="AR1054" s="4">
        <v>3</v>
      </c>
      <c r="AS1054" s="4">
        <v>17</v>
      </c>
      <c r="AT1054" s="4">
        <v>38</v>
      </c>
      <c r="AU1054" s="4">
        <v>42</v>
      </c>
      <c r="AV1054" s="4">
        <v>40</v>
      </c>
      <c r="AW1054" s="4">
        <v>980</v>
      </c>
      <c r="AX1054" s="4">
        <v>95</v>
      </c>
      <c r="AY1054" s="4">
        <v>1</v>
      </c>
      <c r="AZ1054" s="4">
        <v>15</v>
      </c>
      <c r="BA1054" s="4">
        <v>0</v>
      </c>
      <c r="BB1054" s="4">
        <v>704</v>
      </c>
      <c r="BC1054" s="4">
        <v>148</v>
      </c>
      <c r="BD1054" s="4">
        <v>3</v>
      </c>
      <c r="BE1054" s="4">
        <v>31</v>
      </c>
      <c r="BF1054" s="4">
        <v>111</v>
      </c>
      <c r="BG1054" s="4">
        <v>8</v>
      </c>
      <c r="BH1054" s="4">
        <v>3</v>
      </c>
      <c r="BI1054" s="4">
        <v>0</v>
      </c>
      <c r="BJ1054" s="4">
        <v>92</v>
      </c>
      <c r="BK1054" s="4">
        <v>129</v>
      </c>
      <c r="BL1054" s="4">
        <v>0</v>
      </c>
      <c r="BM1054" s="4">
        <v>6</v>
      </c>
      <c r="BN1054" s="4">
        <v>65</v>
      </c>
      <c r="BO1054" s="4">
        <v>2</v>
      </c>
      <c r="BP1054" s="4">
        <v>7</v>
      </c>
      <c r="BQ1054" s="4">
        <v>65</v>
      </c>
      <c r="BR1054" s="4">
        <v>3</v>
      </c>
      <c r="BS1054" s="4">
        <v>274</v>
      </c>
      <c r="BT1054" s="4">
        <v>251</v>
      </c>
      <c r="BU1054" s="4">
        <v>7</v>
      </c>
      <c r="BV1054" s="4">
        <v>49</v>
      </c>
      <c r="BW1054" s="4">
        <v>26</v>
      </c>
      <c r="BX1054" s="4">
        <v>692</v>
      </c>
      <c r="BY1054" s="4">
        <v>1</v>
      </c>
      <c r="BZ1054" s="4">
        <v>0</v>
      </c>
      <c r="CA1054" s="4">
        <v>64</v>
      </c>
      <c r="CB1054" s="4">
        <v>199</v>
      </c>
      <c r="CC1054" s="4">
        <v>0</v>
      </c>
      <c r="CD1054" s="4">
        <v>4</v>
      </c>
      <c r="CE1054" s="4">
        <v>0</v>
      </c>
      <c r="CF1054" s="4">
        <v>7</v>
      </c>
      <c r="CG1054" s="4">
        <v>5</v>
      </c>
      <c r="CH1054" s="4">
        <v>2</v>
      </c>
      <c r="CI1054" s="4">
        <v>21</v>
      </c>
      <c r="CJ1054" s="4">
        <v>81</v>
      </c>
      <c r="CK1054" s="4">
        <v>16</v>
      </c>
      <c r="CL1054" s="4">
        <v>0</v>
      </c>
      <c r="CM1054" s="4">
        <v>84</v>
      </c>
      <c r="CN1054" s="4">
        <v>307</v>
      </c>
      <c r="CO1054" s="4">
        <v>52</v>
      </c>
      <c r="CP1054" s="4">
        <v>11</v>
      </c>
      <c r="CQ1054" s="4">
        <v>0</v>
      </c>
      <c r="CR1054" s="4">
        <v>41</v>
      </c>
      <c r="CS1054" s="4">
        <v>20</v>
      </c>
      <c r="CT1054" s="4">
        <v>27</v>
      </c>
      <c r="CU1054" s="4">
        <v>12</v>
      </c>
      <c r="CV1054" s="4">
        <v>96</v>
      </c>
      <c r="CW1054" s="4">
        <v>90</v>
      </c>
      <c r="CX1054" s="5">
        <v>86</v>
      </c>
    </row>
    <row r="1055" spans="1:102" ht="15.75" x14ac:dyDescent="0.25">
      <c r="A1055" s="4" t="s">
        <v>317</v>
      </c>
      <c r="B1055" s="4" t="s">
        <v>318</v>
      </c>
      <c r="C1055" s="4">
        <v>2022</v>
      </c>
      <c r="D1055" s="4">
        <v>340</v>
      </c>
      <c r="E1055" s="4">
        <v>1</v>
      </c>
      <c r="F1055" s="4">
        <v>0</v>
      </c>
      <c r="G1055" s="4">
        <v>0</v>
      </c>
      <c r="H1055" s="4">
        <v>0</v>
      </c>
      <c r="I1055" s="4">
        <v>2</v>
      </c>
      <c r="J1055" s="4">
        <v>2</v>
      </c>
      <c r="K1055" s="4">
        <v>1</v>
      </c>
      <c r="L1055" s="4">
        <v>2</v>
      </c>
      <c r="M1055" s="4">
        <v>2</v>
      </c>
      <c r="N1055" s="4">
        <v>6</v>
      </c>
      <c r="O1055" s="4">
        <v>14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10</v>
      </c>
      <c r="V1055" s="4">
        <v>1</v>
      </c>
      <c r="W1055" s="4">
        <v>10</v>
      </c>
      <c r="X1055" s="4">
        <v>2</v>
      </c>
      <c r="Y1055" s="4">
        <v>0</v>
      </c>
      <c r="Z1055" s="4">
        <v>0</v>
      </c>
      <c r="AA1055" s="4">
        <v>27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1</v>
      </c>
      <c r="AH1055" s="4">
        <v>1</v>
      </c>
      <c r="AI1055" s="4">
        <v>3</v>
      </c>
      <c r="AJ1055" s="4">
        <v>25</v>
      </c>
      <c r="AK1055" s="4">
        <v>5</v>
      </c>
      <c r="AL1055" s="4">
        <v>4</v>
      </c>
      <c r="AM1055" s="4">
        <v>2</v>
      </c>
      <c r="AN1055" s="4">
        <v>3</v>
      </c>
      <c r="AO1055" s="4">
        <v>8</v>
      </c>
      <c r="AP1055" s="4">
        <v>0</v>
      </c>
      <c r="AQ1055" s="4">
        <v>2</v>
      </c>
      <c r="AR1055" s="4">
        <v>0</v>
      </c>
      <c r="AS1055" s="4">
        <v>8</v>
      </c>
      <c r="AT1055" s="4">
        <v>1</v>
      </c>
      <c r="AU1055" s="4">
        <v>1</v>
      </c>
      <c r="AV1055" s="4">
        <v>1</v>
      </c>
      <c r="AW1055" s="4">
        <v>1</v>
      </c>
      <c r="AX1055" s="4">
        <v>4</v>
      </c>
      <c r="AY1055" s="4">
        <v>0</v>
      </c>
      <c r="AZ1055" s="4">
        <v>1</v>
      </c>
      <c r="BA1055" s="4">
        <v>0</v>
      </c>
      <c r="BB1055" s="4">
        <v>37</v>
      </c>
      <c r="BC1055" s="4">
        <v>0</v>
      </c>
      <c r="BD1055" s="4">
        <v>0</v>
      </c>
      <c r="BE1055" s="4">
        <v>4</v>
      </c>
      <c r="BF1055" s="4">
        <v>5</v>
      </c>
      <c r="BG1055" s="4">
        <v>0</v>
      </c>
      <c r="BH1055" s="4">
        <v>1</v>
      </c>
      <c r="BI1055" s="4">
        <v>0</v>
      </c>
      <c r="BJ1055" s="4">
        <v>7</v>
      </c>
      <c r="BK1055" s="4">
        <v>6</v>
      </c>
      <c r="BL1055" s="4">
        <v>0</v>
      </c>
      <c r="BM1055" s="4">
        <v>2</v>
      </c>
      <c r="BN1055" s="4">
        <v>5</v>
      </c>
      <c r="BO1055" s="4">
        <v>0</v>
      </c>
      <c r="BP1055" s="4">
        <v>0</v>
      </c>
      <c r="BQ1055" s="4">
        <v>4</v>
      </c>
      <c r="BR1055" s="4">
        <v>1</v>
      </c>
      <c r="BS1055" s="4">
        <v>7</v>
      </c>
      <c r="BT1055" s="4">
        <v>3</v>
      </c>
      <c r="BU1055" s="4">
        <v>0</v>
      </c>
      <c r="BV1055" s="4">
        <v>5</v>
      </c>
      <c r="BW1055" s="4">
        <v>16</v>
      </c>
      <c r="BX1055" s="4">
        <v>38</v>
      </c>
      <c r="BY1055" s="4">
        <v>0</v>
      </c>
      <c r="BZ1055" s="4">
        <v>0</v>
      </c>
      <c r="CA1055" s="4">
        <v>2</v>
      </c>
      <c r="CB1055" s="4">
        <v>0</v>
      </c>
      <c r="CC1055" s="4">
        <v>0</v>
      </c>
      <c r="CD1055" s="4">
        <v>1</v>
      </c>
      <c r="CE1055" s="4">
        <v>0</v>
      </c>
      <c r="CF1055" s="4">
        <v>2</v>
      </c>
      <c r="CG1055" s="4">
        <v>0</v>
      </c>
      <c r="CH1055" s="4">
        <v>1</v>
      </c>
      <c r="CI1055" s="4">
        <v>0</v>
      </c>
      <c r="CJ1055" s="4">
        <v>1</v>
      </c>
      <c r="CK1055" s="4">
        <v>0</v>
      </c>
      <c r="CL1055" s="4">
        <v>0</v>
      </c>
      <c r="CM1055" s="4">
        <v>1</v>
      </c>
      <c r="CN1055" s="4">
        <v>5</v>
      </c>
      <c r="CO1055" s="4">
        <v>0</v>
      </c>
      <c r="CP1055" s="4">
        <v>1</v>
      </c>
      <c r="CQ1055" s="4">
        <v>0</v>
      </c>
      <c r="CR1055" s="4">
        <v>0</v>
      </c>
      <c r="CS1055" s="4">
        <v>0</v>
      </c>
      <c r="CT1055" s="4">
        <v>13</v>
      </c>
      <c r="CU1055" s="4">
        <v>1</v>
      </c>
      <c r="CV1055" s="4">
        <v>19</v>
      </c>
      <c r="CW1055" s="4">
        <v>1</v>
      </c>
      <c r="CX1055" s="5">
        <v>1</v>
      </c>
    </row>
    <row r="1056" spans="1:102" ht="15.75" x14ac:dyDescent="0.25">
      <c r="A1056" s="4" t="s">
        <v>319</v>
      </c>
      <c r="B1056" s="4" t="s">
        <v>320</v>
      </c>
      <c r="C1056" s="4">
        <v>2022</v>
      </c>
      <c r="D1056" s="4">
        <v>31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1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1</v>
      </c>
      <c r="AL1056" s="4">
        <v>0</v>
      </c>
      <c r="AM1056" s="4">
        <v>0</v>
      </c>
      <c r="AN1056" s="4">
        <v>0</v>
      </c>
      <c r="AO1056" s="4">
        <v>1</v>
      </c>
      <c r="AP1056" s="4">
        <v>0</v>
      </c>
      <c r="AQ1056" s="4">
        <v>1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1</v>
      </c>
      <c r="AY1056" s="4">
        <v>0</v>
      </c>
      <c r="AZ1056" s="4">
        <v>0</v>
      </c>
      <c r="BA1056" s="4">
        <v>0</v>
      </c>
      <c r="BB1056" s="4">
        <v>2</v>
      </c>
      <c r="BC1056" s="4">
        <v>1</v>
      </c>
      <c r="BD1056" s="4">
        <v>0</v>
      </c>
      <c r="BE1056" s="4">
        <v>1</v>
      </c>
      <c r="BF1056" s="4">
        <v>4</v>
      </c>
      <c r="BG1056" s="4">
        <v>0</v>
      </c>
      <c r="BH1056" s="4">
        <v>0</v>
      </c>
      <c r="BI1056" s="4">
        <v>0</v>
      </c>
      <c r="BJ1056" s="4">
        <v>3</v>
      </c>
      <c r="BK1056" s="4">
        <v>2</v>
      </c>
      <c r="BL1056" s="4">
        <v>0</v>
      </c>
      <c r="BM1056" s="4">
        <v>0</v>
      </c>
      <c r="BN1056" s="4">
        <v>5</v>
      </c>
      <c r="BO1056" s="4">
        <v>0</v>
      </c>
      <c r="BP1056" s="4">
        <v>0</v>
      </c>
      <c r="BQ1056" s="4">
        <v>0</v>
      </c>
      <c r="BR1056" s="4">
        <v>0</v>
      </c>
      <c r="BS1056" s="4">
        <v>1</v>
      </c>
      <c r="BT1056" s="4">
        <v>0</v>
      </c>
      <c r="BU1056" s="4">
        <v>0</v>
      </c>
      <c r="BV1056" s="4">
        <v>4</v>
      </c>
      <c r="BW1056" s="4">
        <v>0</v>
      </c>
      <c r="BX1056" s="4">
        <v>0</v>
      </c>
      <c r="BY1056" s="4">
        <v>0</v>
      </c>
      <c r="BZ1056" s="4">
        <v>0</v>
      </c>
      <c r="CA1056" s="4">
        <v>1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1</v>
      </c>
      <c r="CO1056" s="4">
        <v>0</v>
      </c>
      <c r="CP1056" s="4">
        <v>0</v>
      </c>
      <c r="CQ1056" s="4">
        <v>0</v>
      </c>
      <c r="CR1056" s="4">
        <v>0</v>
      </c>
      <c r="CS1056" s="4">
        <v>0</v>
      </c>
      <c r="CT1056" s="4">
        <v>0</v>
      </c>
      <c r="CU1056" s="4">
        <v>0</v>
      </c>
      <c r="CV1056" s="4">
        <v>1</v>
      </c>
      <c r="CW1056" s="4">
        <v>0</v>
      </c>
      <c r="CX1056" s="5">
        <v>0</v>
      </c>
    </row>
    <row r="1057" spans="1:102" ht="15.75" x14ac:dyDescent="0.25">
      <c r="A1057" s="4" t="s">
        <v>321</v>
      </c>
      <c r="B1057" s="4" t="s">
        <v>322</v>
      </c>
      <c r="C1057" s="4">
        <v>2022</v>
      </c>
      <c r="D1057" s="4">
        <v>74</v>
      </c>
      <c r="E1057" s="4">
        <v>0</v>
      </c>
      <c r="F1057" s="4">
        <v>0</v>
      </c>
      <c r="G1057" s="4">
        <v>0</v>
      </c>
      <c r="H1057" s="4">
        <v>0</v>
      </c>
      <c r="I1057" s="4">
        <v>1</v>
      </c>
      <c r="J1057" s="4">
        <v>0</v>
      </c>
      <c r="K1057" s="4">
        <v>0</v>
      </c>
      <c r="L1057" s="4">
        <v>0</v>
      </c>
      <c r="M1057" s="4">
        <v>11</v>
      </c>
      <c r="N1057" s="4">
        <v>1</v>
      </c>
      <c r="O1057" s="4">
        <v>3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2</v>
      </c>
      <c r="AJ1057" s="4">
        <v>2</v>
      </c>
      <c r="AK1057" s="4">
        <v>1</v>
      </c>
      <c r="AL1057" s="4">
        <v>0</v>
      </c>
      <c r="AM1057" s="4">
        <v>0</v>
      </c>
      <c r="AN1057" s="4">
        <v>1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2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4</v>
      </c>
      <c r="BF1057" s="4">
        <v>0</v>
      </c>
      <c r="BG1057" s="4">
        <v>2</v>
      </c>
      <c r="BH1057" s="4">
        <v>4</v>
      </c>
      <c r="BI1057" s="4">
        <v>0</v>
      </c>
      <c r="BJ1057" s="4">
        <v>4</v>
      </c>
      <c r="BK1057" s="4">
        <v>2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1</v>
      </c>
      <c r="BT1057" s="4">
        <v>0</v>
      </c>
      <c r="BU1057" s="4">
        <v>0</v>
      </c>
      <c r="BV1057" s="4">
        <v>2</v>
      </c>
      <c r="BW1057" s="4">
        <v>0</v>
      </c>
      <c r="BX1057" s="4">
        <v>18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1</v>
      </c>
      <c r="CG1057" s="4">
        <v>0</v>
      </c>
      <c r="CH1057" s="4">
        <v>0</v>
      </c>
      <c r="CI1057" s="4">
        <v>1</v>
      </c>
      <c r="CJ1057" s="4">
        <v>3</v>
      </c>
      <c r="CK1057" s="4">
        <v>0</v>
      </c>
      <c r="CL1057" s="4">
        <v>0</v>
      </c>
      <c r="CM1057" s="4">
        <v>0</v>
      </c>
      <c r="CN1057" s="4">
        <v>1</v>
      </c>
      <c r="CO1057" s="4">
        <v>0</v>
      </c>
      <c r="CP1057" s="4">
        <v>0</v>
      </c>
      <c r="CQ1057" s="4">
        <v>0</v>
      </c>
      <c r="CR1057" s="4">
        <v>0</v>
      </c>
      <c r="CS1057" s="4">
        <v>1</v>
      </c>
      <c r="CT1057" s="4">
        <v>1</v>
      </c>
      <c r="CU1057" s="4">
        <v>0</v>
      </c>
      <c r="CV1057" s="4">
        <v>0</v>
      </c>
      <c r="CW1057" s="4">
        <v>0</v>
      </c>
      <c r="CX1057" s="5">
        <v>0</v>
      </c>
    </row>
    <row r="1058" spans="1:102" ht="15.75" x14ac:dyDescent="0.25">
      <c r="A1058" s="4" t="s">
        <v>323</v>
      </c>
      <c r="B1058" s="4" t="s">
        <v>324</v>
      </c>
      <c r="C1058" s="4">
        <v>2022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4">
        <v>0</v>
      </c>
      <c r="CW1058" s="4">
        <v>0</v>
      </c>
      <c r="CX1058" s="5">
        <v>0</v>
      </c>
    </row>
    <row r="1059" spans="1:102" ht="15.75" x14ac:dyDescent="0.25">
      <c r="A1059" s="4" t="s">
        <v>325</v>
      </c>
      <c r="B1059" s="4" t="s">
        <v>326</v>
      </c>
      <c r="C1059" s="4">
        <v>2022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5">
        <v>0</v>
      </c>
    </row>
    <row r="1060" spans="1:102" ht="15.75" x14ac:dyDescent="0.25">
      <c r="A1060" s="4" t="s">
        <v>327</v>
      </c>
      <c r="B1060" s="4" t="s">
        <v>328</v>
      </c>
      <c r="C1060" s="4">
        <v>2022</v>
      </c>
      <c r="D1060" s="4">
        <v>8</v>
      </c>
      <c r="E1060" s="4">
        <v>0</v>
      </c>
      <c r="F1060" s="4">
        <v>0</v>
      </c>
      <c r="G1060" s="4">
        <v>1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1</v>
      </c>
      <c r="AK1060" s="4">
        <v>1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1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1</v>
      </c>
      <c r="CU1060" s="4">
        <v>0</v>
      </c>
      <c r="CV1060" s="4">
        <v>0</v>
      </c>
      <c r="CW1060" s="4">
        <v>0</v>
      </c>
      <c r="CX1060" s="5">
        <v>0</v>
      </c>
    </row>
    <row r="1061" spans="1:102" ht="15.75" x14ac:dyDescent="0.25">
      <c r="A1061" s="4" t="s">
        <v>329</v>
      </c>
      <c r="B1061" s="4" t="s">
        <v>330</v>
      </c>
      <c r="C1061" s="4">
        <v>2022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5">
        <v>0</v>
      </c>
    </row>
    <row r="1062" spans="1:102" ht="15.75" x14ac:dyDescent="0.25">
      <c r="A1062" s="4" t="s">
        <v>331</v>
      </c>
      <c r="B1062" s="4" t="s">
        <v>332</v>
      </c>
      <c r="C1062" s="4">
        <v>2022</v>
      </c>
      <c r="D1062" s="4">
        <v>7559</v>
      </c>
      <c r="E1062" s="4">
        <v>0</v>
      </c>
      <c r="F1062" s="4">
        <v>4</v>
      </c>
      <c r="G1062" s="4">
        <v>8</v>
      </c>
      <c r="H1062" s="4">
        <v>35</v>
      </c>
      <c r="I1062" s="4">
        <v>5</v>
      </c>
      <c r="J1062" s="4">
        <v>3</v>
      </c>
      <c r="K1062" s="4">
        <v>1</v>
      </c>
      <c r="L1062" s="4">
        <v>28</v>
      </c>
      <c r="M1062" s="4">
        <v>8</v>
      </c>
      <c r="N1062" s="4">
        <v>24</v>
      </c>
      <c r="O1062" s="4">
        <v>164</v>
      </c>
      <c r="P1062" s="4">
        <v>0</v>
      </c>
      <c r="Q1062" s="4">
        <v>0</v>
      </c>
      <c r="R1062" s="4">
        <v>1</v>
      </c>
      <c r="S1062" s="4">
        <v>0</v>
      </c>
      <c r="T1062" s="4">
        <v>0</v>
      </c>
      <c r="U1062" s="4">
        <v>3</v>
      </c>
      <c r="V1062" s="4">
        <v>4</v>
      </c>
      <c r="W1062" s="4">
        <v>54</v>
      </c>
      <c r="X1062" s="4">
        <v>3</v>
      </c>
      <c r="Y1062" s="4">
        <v>0</v>
      </c>
      <c r="Z1062" s="4">
        <v>2852</v>
      </c>
      <c r="AA1062" s="4">
        <v>4</v>
      </c>
      <c r="AB1062" s="4">
        <v>0</v>
      </c>
      <c r="AC1062" s="4">
        <v>0</v>
      </c>
      <c r="AD1062" s="4">
        <v>0</v>
      </c>
      <c r="AE1062" s="4">
        <v>2</v>
      </c>
      <c r="AF1062" s="4">
        <v>1</v>
      </c>
      <c r="AG1062" s="4">
        <v>83</v>
      </c>
      <c r="AH1062" s="4">
        <v>167</v>
      </c>
      <c r="AI1062" s="4">
        <v>53</v>
      </c>
      <c r="AJ1062" s="4">
        <v>200</v>
      </c>
      <c r="AK1062" s="4">
        <v>45</v>
      </c>
      <c r="AL1062" s="4">
        <v>1</v>
      </c>
      <c r="AM1062" s="4">
        <v>56</v>
      </c>
      <c r="AN1062" s="4">
        <v>19</v>
      </c>
      <c r="AO1062" s="4">
        <v>152</v>
      </c>
      <c r="AP1062" s="4">
        <v>5</v>
      </c>
      <c r="AQ1062" s="4">
        <v>10</v>
      </c>
      <c r="AR1062" s="4">
        <v>1</v>
      </c>
      <c r="AS1062" s="4">
        <v>13</v>
      </c>
      <c r="AT1062" s="4">
        <v>24</v>
      </c>
      <c r="AU1062" s="4">
        <v>54</v>
      </c>
      <c r="AV1062" s="4">
        <v>40</v>
      </c>
      <c r="AW1062" s="4">
        <v>351</v>
      </c>
      <c r="AX1062" s="4">
        <v>62</v>
      </c>
      <c r="AY1062" s="4">
        <v>1</v>
      </c>
      <c r="AZ1062" s="4">
        <v>18</v>
      </c>
      <c r="BA1062" s="4">
        <v>0</v>
      </c>
      <c r="BB1062" s="4">
        <v>347</v>
      </c>
      <c r="BC1062" s="4">
        <v>92</v>
      </c>
      <c r="BD1062" s="4">
        <v>1</v>
      </c>
      <c r="BE1062" s="4">
        <v>13</v>
      </c>
      <c r="BF1062" s="4">
        <v>84</v>
      </c>
      <c r="BG1062" s="4">
        <v>2</v>
      </c>
      <c r="BH1062" s="4">
        <v>4</v>
      </c>
      <c r="BI1062" s="4">
        <v>1</v>
      </c>
      <c r="BJ1062" s="4">
        <v>106</v>
      </c>
      <c r="BK1062" s="4">
        <v>79</v>
      </c>
      <c r="BL1062" s="4">
        <v>0</v>
      </c>
      <c r="BM1062" s="4">
        <v>10</v>
      </c>
      <c r="BN1062" s="4">
        <v>36</v>
      </c>
      <c r="BO1062" s="4">
        <v>0</v>
      </c>
      <c r="BP1062" s="4">
        <v>7</v>
      </c>
      <c r="BQ1062" s="4">
        <v>43</v>
      </c>
      <c r="BR1062" s="4">
        <v>3</v>
      </c>
      <c r="BS1062" s="4">
        <v>152</v>
      </c>
      <c r="BT1062" s="4">
        <v>57</v>
      </c>
      <c r="BU1062" s="4">
        <v>16</v>
      </c>
      <c r="BV1062" s="4">
        <v>33</v>
      </c>
      <c r="BW1062" s="4">
        <v>13</v>
      </c>
      <c r="BX1062" s="4">
        <v>645</v>
      </c>
      <c r="BY1062" s="4">
        <v>0</v>
      </c>
      <c r="BZ1062" s="4">
        <v>0</v>
      </c>
      <c r="CA1062" s="4">
        <v>57</v>
      </c>
      <c r="CB1062" s="4">
        <v>128</v>
      </c>
      <c r="CC1062" s="4">
        <v>0</v>
      </c>
      <c r="CD1062" s="4">
        <v>2</v>
      </c>
      <c r="CE1062" s="4">
        <v>0</v>
      </c>
      <c r="CF1062" s="4">
        <v>6</v>
      </c>
      <c r="CG1062" s="4">
        <v>2</v>
      </c>
      <c r="CH1062" s="4">
        <v>1</v>
      </c>
      <c r="CI1062" s="4">
        <v>53</v>
      </c>
      <c r="CJ1062" s="4">
        <v>377</v>
      </c>
      <c r="CK1062" s="4">
        <v>65</v>
      </c>
      <c r="CL1062" s="4">
        <v>0</v>
      </c>
      <c r="CM1062" s="4">
        <v>42</v>
      </c>
      <c r="CN1062" s="4">
        <v>246</v>
      </c>
      <c r="CO1062" s="4">
        <v>8</v>
      </c>
      <c r="CP1062" s="4">
        <v>6</v>
      </c>
      <c r="CQ1062" s="4">
        <v>1</v>
      </c>
      <c r="CR1062" s="4">
        <v>173</v>
      </c>
      <c r="CS1062" s="4">
        <v>7</v>
      </c>
      <c r="CT1062" s="4">
        <v>7</v>
      </c>
      <c r="CU1062" s="4">
        <v>26</v>
      </c>
      <c r="CV1062" s="4">
        <v>40</v>
      </c>
      <c r="CW1062" s="4">
        <v>10</v>
      </c>
      <c r="CX1062" s="5">
        <v>10</v>
      </c>
    </row>
    <row r="1063" spans="1:102" ht="15.75" x14ac:dyDescent="0.25">
      <c r="A1063" s="4" t="s">
        <v>333</v>
      </c>
      <c r="B1063" s="4" t="s">
        <v>334</v>
      </c>
      <c r="C1063" s="4">
        <v>2022</v>
      </c>
      <c r="D1063" s="4">
        <v>654</v>
      </c>
      <c r="E1063" s="4">
        <v>2</v>
      </c>
      <c r="F1063" s="4">
        <v>8</v>
      </c>
      <c r="G1063" s="4">
        <v>4</v>
      </c>
      <c r="H1063" s="4">
        <v>0</v>
      </c>
      <c r="I1063" s="4">
        <v>25</v>
      </c>
      <c r="J1063" s="4">
        <v>4</v>
      </c>
      <c r="K1063" s="4">
        <v>4</v>
      </c>
      <c r="L1063" s="4">
        <v>27</v>
      </c>
      <c r="M1063" s="4">
        <v>2</v>
      </c>
      <c r="N1063" s="4">
        <v>10</v>
      </c>
      <c r="O1063" s="4">
        <v>3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1</v>
      </c>
      <c r="W1063" s="4">
        <v>0</v>
      </c>
      <c r="X1063" s="4">
        <v>0</v>
      </c>
      <c r="Y1063" s="4">
        <v>0</v>
      </c>
      <c r="Z1063" s="4">
        <v>0</v>
      </c>
      <c r="AA1063" s="4">
        <v>1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5</v>
      </c>
      <c r="AH1063" s="4">
        <v>1</v>
      </c>
      <c r="AI1063" s="4">
        <v>3</v>
      </c>
      <c r="AJ1063" s="4">
        <v>38</v>
      </c>
      <c r="AK1063" s="4">
        <v>14</v>
      </c>
      <c r="AL1063" s="4">
        <v>0</v>
      </c>
      <c r="AM1063" s="4">
        <v>1</v>
      </c>
      <c r="AN1063" s="4">
        <v>10</v>
      </c>
      <c r="AO1063" s="4">
        <v>7</v>
      </c>
      <c r="AP1063" s="4">
        <v>0</v>
      </c>
      <c r="AQ1063" s="4">
        <v>2</v>
      </c>
      <c r="AR1063" s="4">
        <v>0</v>
      </c>
      <c r="AS1063" s="4">
        <v>3</v>
      </c>
      <c r="AT1063" s="4">
        <v>5</v>
      </c>
      <c r="AU1063" s="4">
        <v>2</v>
      </c>
      <c r="AV1063" s="4">
        <v>4</v>
      </c>
      <c r="AW1063" s="4">
        <v>5</v>
      </c>
      <c r="AX1063" s="4">
        <v>11</v>
      </c>
      <c r="AY1063" s="4">
        <v>0</v>
      </c>
      <c r="AZ1063" s="4">
        <v>1</v>
      </c>
      <c r="BA1063" s="4">
        <v>0</v>
      </c>
      <c r="BB1063" s="4">
        <v>41</v>
      </c>
      <c r="BC1063" s="4">
        <v>1</v>
      </c>
      <c r="BD1063" s="4">
        <v>0</v>
      </c>
      <c r="BE1063" s="4">
        <v>9</v>
      </c>
      <c r="BF1063" s="4">
        <v>6</v>
      </c>
      <c r="BG1063" s="4">
        <v>0</v>
      </c>
      <c r="BH1063" s="4">
        <v>0</v>
      </c>
      <c r="BI1063" s="4">
        <v>1</v>
      </c>
      <c r="BJ1063" s="4">
        <v>15</v>
      </c>
      <c r="BK1063" s="4">
        <v>12</v>
      </c>
      <c r="BL1063" s="4">
        <v>0</v>
      </c>
      <c r="BM1063" s="4">
        <v>0</v>
      </c>
      <c r="BN1063" s="4">
        <v>3</v>
      </c>
      <c r="BO1063" s="4">
        <v>0</v>
      </c>
      <c r="BP1063" s="4">
        <v>0</v>
      </c>
      <c r="BQ1063" s="4">
        <v>6</v>
      </c>
      <c r="BR1063" s="4">
        <v>1</v>
      </c>
      <c r="BS1063" s="4">
        <v>29</v>
      </c>
      <c r="BT1063" s="4">
        <v>36</v>
      </c>
      <c r="BU1063" s="4">
        <v>1</v>
      </c>
      <c r="BV1063" s="4">
        <v>3</v>
      </c>
      <c r="BW1063" s="4">
        <v>0</v>
      </c>
      <c r="BX1063" s="4">
        <v>175</v>
      </c>
      <c r="BY1063" s="4">
        <v>0</v>
      </c>
      <c r="BZ1063" s="4">
        <v>0</v>
      </c>
      <c r="CA1063" s="4">
        <v>9</v>
      </c>
      <c r="CB1063" s="4">
        <v>0</v>
      </c>
      <c r="CC1063" s="4">
        <v>0</v>
      </c>
      <c r="CD1063" s="4">
        <v>3</v>
      </c>
      <c r="CE1063" s="4">
        <v>0</v>
      </c>
      <c r="CF1063" s="4">
        <v>1</v>
      </c>
      <c r="CG1063" s="4">
        <v>0</v>
      </c>
      <c r="CH1063" s="4">
        <v>1</v>
      </c>
      <c r="CI1063" s="4">
        <v>10</v>
      </c>
      <c r="CJ1063" s="4">
        <v>24</v>
      </c>
      <c r="CK1063" s="4">
        <v>5</v>
      </c>
      <c r="CL1063" s="4">
        <v>0</v>
      </c>
      <c r="CM1063" s="4">
        <v>4</v>
      </c>
      <c r="CN1063" s="4">
        <v>22</v>
      </c>
      <c r="CO1063" s="4">
        <v>5</v>
      </c>
      <c r="CP1063" s="4">
        <v>0</v>
      </c>
      <c r="CQ1063" s="4">
        <v>0</v>
      </c>
      <c r="CR1063" s="4">
        <v>3</v>
      </c>
      <c r="CS1063" s="4">
        <v>7</v>
      </c>
      <c r="CT1063" s="4">
        <v>4</v>
      </c>
      <c r="CU1063" s="4">
        <v>0</v>
      </c>
      <c r="CV1063" s="4">
        <v>8</v>
      </c>
      <c r="CW1063" s="4">
        <v>2</v>
      </c>
      <c r="CX1063" s="5">
        <v>2</v>
      </c>
    </row>
    <row r="1064" spans="1:102" ht="15.75" x14ac:dyDescent="0.25">
      <c r="A1064" s="4" t="s">
        <v>335</v>
      </c>
      <c r="B1064" s="4" t="s">
        <v>336</v>
      </c>
      <c r="C1064" s="4">
        <v>2022</v>
      </c>
      <c r="D1064" s="4">
        <v>36</v>
      </c>
      <c r="E1064" s="4">
        <v>0</v>
      </c>
      <c r="F1064" s="4">
        <v>0</v>
      </c>
      <c r="G1064" s="4">
        <v>0</v>
      </c>
      <c r="H1064" s="4">
        <v>0</v>
      </c>
      <c r="I1064" s="4">
        <v>1</v>
      </c>
      <c r="J1064" s="4">
        <v>1</v>
      </c>
      <c r="K1064" s="4">
        <v>0</v>
      </c>
      <c r="L1064" s="4">
        <v>1</v>
      </c>
      <c r="M1064" s="4">
        <v>0</v>
      </c>
      <c r="N1064" s="4">
        <v>1</v>
      </c>
      <c r="O1064" s="4">
        <v>1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12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1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3</v>
      </c>
      <c r="BY1064" s="4">
        <v>0</v>
      </c>
      <c r="BZ1064" s="4">
        <v>0</v>
      </c>
      <c r="CA1064" s="4">
        <v>0</v>
      </c>
      <c r="CB1064" s="4">
        <v>2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5</v>
      </c>
      <c r="CS1064" s="4">
        <v>0</v>
      </c>
      <c r="CT1064" s="4">
        <v>1</v>
      </c>
      <c r="CU1064" s="4">
        <v>0</v>
      </c>
      <c r="CV1064" s="4">
        <v>1</v>
      </c>
      <c r="CW1064" s="4">
        <v>0</v>
      </c>
      <c r="CX1064" s="5">
        <v>0</v>
      </c>
    </row>
    <row r="1065" spans="1:102" ht="15.75" x14ac:dyDescent="0.25">
      <c r="A1065" s="4" t="s">
        <v>337</v>
      </c>
      <c r="B1065" s="4" t="s">
        <v>338</v>
      </c>
      <c r="C1065" s="4">
        <v>2022</v>
      </c>
      <c r="D1065" s="4">
        <v>326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1</v>
      </c>
      <c r="K1065" s="4">
        <v>0</v>
      </c>
      <c r="L1065" s="4">
        <v>0</v>
      </c>
      <c r="M1065" s="4">
        <v>0</v>
      </c>
      <c r="N1065" s="4">
        <v>0</v>
      </c>
      <c r="O1065" s="4">
        <v>52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2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7</v>
      </c>
      <c r="AH1065" s="4">
        <v>1</v>
      </c>
      <c r="AI1065" s="4">
        <v>4</v>
      </c>
      <c r="AJ1065" s="4">
        <v>11</v>
      </c>
      <c r="AK1065" s="4">
        <v>3</v>
      </c>
      <c r="AL1065" s="4">
        <v>0</v>
      </c>
      <c r="AM1065" s="4">
        <v>15</v>
      </c>
      <c r="AN1065" s="4">
        <v>2</v>
      </c>
      <c r="AO1065" s="4">
        <v>10</v>
      </c>
      <c r="AP1065" s="4">
        <v>0</v>
      </c>
      <c r="AQ1065" s="4">
        <v>2</v>
      </c>
      <c r="AR1065" s="4">
        <v>0</v>
      </c>
      <c r="AS1065" s="4">
        <v>9</v>
      </c>
      <c r="AT1065" s="4">
        <v>1</v>
      </c>
      <c r="AU1065" s="4">
        <v>2</v>
      </c>
      <c r="AV1065" s="4">
        <v>11</v>
      </c>
      <c r="AW1065" s="4">
        <v>1</v>
      </c>
      <c r="AX1065" s="4">
        <v>11</v>
      </c>
      <c r="AY1065" s="4">
        <v>1</v>
      </c>
      <c r="AZ1065" s="4">
        <v>2</v>
      </c>
      <c r="BA1065" s="4">
        <v>0</v>
      </c>
      <c r="BB1065" s="4">
        <v>13</v>
      </c>
      <c r="BC1065" s="4">
        <v>4</v>
      </c>
      <c r="BD1065" s="4">
        <v>0</v>
      </c>
      <c r="BE1065" s="4">
        <v>5</v>
      </c>
      <c r="BF1065" s="4">
        <v>23</v>
      </c>
      <c r="BG1065" s="4">
        <v>0</v>
      </c>
      <c r="BH1065" s="4">
        <v>1</v>
      </c>
      <c r="BI1065" s="4">
        <v>0</v>
      </c>
      <c r="BJ1065" s="4">
        <v>19</v>
      </c>
      <c r="BK1065" s="4">
        <v>15</v>
      </c>
      <c r="BL1065" s="4">
        <v>0</v>
      </c>
      <c r="BM1065" s="4">
        <v>0</v>
      </c>
      <c r="BN1065" s="4">
        <v>2</v>
      </c>
      <c r="BO1065" s="4">
        <v>0</v>
      </c>
      <c r="BP1065" s="4">
        <v>1</v>
      </c>
      <c r="BQ1065" s="4">
        <v>8</v>
      </c>
      <c r="BR1065" s="4">
        <v>1</v>
      </c>
      <c r="BS1065" s="4">
        <v>13</v>
      </c>
      <c r="BT1065" s="4">
        <v>6</v>
      </c>
      <c r="BU1065" s="4">
        <v>0</v>
      </c>
      <c r="BV1065" s="4">
        <v>4</v>
      </c>
      <c r="BW1065" s="4">
        <v>0</v>
      </c>
      <c r="BX1065" s="4">
        <v>1</v>
      </c>
      <c r="BY1065" s="4">
        <v>0</v>
      </c>
      <c r="BZ1065" s="4">
        <v>0</v>
      </c>
      <c r="CA1065" s="4">
        <v>11</v>
      </c>
      <c r="CB1065" s="4">
        <v>0</v>
      </c>
      <c r="CC1065" s="4">
        <v>0</v>
      </c>
      <c r="CD1065" s="4">
        <v>2</v>
      </c>
      <c r="CE1065" s="4">
        <v>0</v>
      </c>
      <c r="CF1065" s="4">
        <v>0</v>
      </c>
      <c r="CG1065" s="4">
        <v>1</v>
      </c>
      <c r="CH1065" s="4">
        <v>1</v>
      </c>
      <c r="CI1065" s="4">
        <v>0</v>
      </c>
      <c r="CJ1065" s="4">
        <v>2</v>
      </c>
      <c r="CK1065" s="4">
        <v>0</v>
      </c>
      <c r="CL1065" s="4">
        <v>0</v>
      </c>
      <c r="CM1065" s="4">
        <v>3</v>
      </c>
      <c r="CN1065" s="4">
        <v>21</v>
      </c>
      <c r="CO1065" s="4">
        <v>1</v>
      </c>
      <c r="CP1065" s="4">
        <v>0</v>
      </c>
      <c r="CQ1065" s="4">
        <v>0</v>
      </c>
      <c r="CR1065" s="4">
        <v>0</v>
      </c>
      <c r="CS1065" s="4">
        <v>1</v>
      </c>
      <c r="CT1065" s="4">
        <v>1</v>
      </c>
      <c r="CU1065" s="4">
        <v>0</v>
      </c>
      <c r="CV1065" s="4">
        <v>7</v>
      </c>
      <c r="CW1065" s="4">
        <v>1</v>
      </c>
      <c r="CX1065" s="5">
        <v>1</v>
      </c>
    </row>
    <row r="1066" spans="1:102" ht="15.75" x14ac:dyDescent="0.25">
      <c r="A1066" s="4" t="s">
        <v>339</v>
      </c>
      <c r="B1066" s="4" t="s">
        <v>340</v>
      </c>
      <c r="C1066" s="4">
        <v>2022</v>
      </c>
      <c r="D1066" s="4">
        <v>10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1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</v>
      </c>
      <c r="AH1066" s="4">
        <v>0</v>
      </c>
      <c r="AI1066" s="4">
        <v>2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2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2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5">
        <v>0</v>
      </c>
    </row>
    <row r="1067" spans="1:102" ht="15.75" x14ac:dyDescent="0.25">
      <c r="A1067" s="4" t="s">
        <v>341</v>
      </c>
      <c r="B1067" s="4" t="s">
        <v>342</v>
      </c>
      <c r="C1067" s="4">
        <v>2022</v>
      </c>
      <c r="D1067" s="4">
        <v>278</v>
      </c>
      <c r="E1067" s="4">
        <v>1</v>
      </c>
      <c r="F1067" s="4">
        <v>0</v>
      </c>
      <c r="G1067" s="4">
        <v>12</v>
      </c>
      <c r="H1067" s="4">
        <v>2</v>
      </c>
      <c r="I1067" s="4">
        <v>2</v>
      </c>
      <c r="J1067" s="4">
        <v>1</v>
      </c>
      <c r="K1067" s="4">
        <v>0</v>
      </c>
      <c r="L1067" s="4">
        <v>3</v>
      </c>
      <c r="M1067" s="4">
        <v>0</v>
      </c>
      <c r="N1067" s="4">
        <v>4</v>
      </c>
      <c r="O1067" s="4">
        <v>54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2</v>
      </c>
      <c r="V1067" s="4">
        <v>0</v>
      </c>
      <c r="W1067" s="4">
        <v>0</v>
      </c>
      <c r="X1067" s="4">
        <v>1</v>
      </c>
      <c r="Y1067" s="4">
        <v>0</v>
      </c>
      <c r="Z1067" s="4">
        <v>0</v>
      </c>
      <c r="AA1067" s="4">
        <v>1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</v>
      </c>
      <c r="AH1067" s="4">
        <v>0</v>
      </c>
      <c r="AI1067" s="4">
        <v>2</v>
      </c>
      <c r="AJ1067" s="4">
        <v>10</v>
      </c>
      <c r="AK1067" s="4">
        <v>3</v>
      </c>
      <c r="AL1067" s="4">
        <v>0</v>
      </c>
      <c r="AM1067" s="4">
        <v>0</v>
      </c>
      <c r="AN1067" s="4">
        <v>1</v>
      </c>
      <c r="AO1067" s="4">
        <v>2</v>
      </c>
      <c r="AP1067" s="4">
        <v>0</v>
      </c>
      <c r="AQ1067" s="4">
        <v>1</v>
      </c>
      <c r="AR1067" s="4">
        <v>0</v>
      </c>
      <c r="AS1067" s="4">
        <v>1</v>
      </c>
      <c r="AT1067" s="4">
        <v>6</v>
      </c>
      <c r="AU1067" s="4">
        <v>1</v>
      </c>
      <c r="AV1067" s="4">
        <v>0</v>
      </c>
      <c r="AW1067" s="4">
        <v>0</v>
      </c>
      <c r="AX1067" s="4">
        <v>1</v>
      </c>
      <c r="AY1067" s="4">
        <v>0</v>
      </c>
      <c r="AZ1067" s="4">
        <v>8</v>
      </c>
      <c r="BA1067" s="4">
        <v>0</v>
      </c>
      <c r="BB1067" s="4">
        <v>15</v>
      </c>
      <c r="BC1067" s="4">
        <v>52</v>
      </c>
      <c r="BD1067" s="4">
        <v>0</v>
      </c>
      <c r="BE1067" s="4">
        <v>1</v>
      </c>
      <c r="BF1067" s="4">
        <v>1</v>
      </c>
      <c r="BG1067" s="4">
        <v>0</v>
      </c>
      <c r="BH1067" s="4">
        <v>0</v>
      </c>
      <c r="BI1067" s="4">
        <v>0</v>
      </c>
      <c r="BJ1067" s="4">
        <v>3</v>
      </c>
      <c r="BK1067" s="4">
        <v>6</v>
      </c>
      <c r="BL1067" s="4">
        <v>0</v>
      </c>
      <c r="BM1067" s="4">
        <v>0</v>
      </c>
      <c r="BN1067" s="4">
        <v>3</v>
      </c>
      <c r="BO1067" s="4">
        <v>0</v>
      </c>
      <c r="BP1067" s="4">
        <v>0</v>
      </c>
      <c r="BQ1067" s="4">
        <v>1</v>
      </c>
      <c r="BR1067" s="4">
        <v>3</v>
      </c>
      <c r="BS1067" s="4">
        <v>10</v>
      </c>
      <c r="BT1067" s="4">
        <v>2</v>
      </c>
      <c r="BU1067" s="4">
        <v>0</v>
      </c>
      <c r="BV1067" s="4">
        <v>3</v>
      </c>
      <c r="BW1067" s="4">
        <v>0</v>
      </c>
      <c r="BX1067" s="4">
        <v>30</v>
      </c>
      <c r="BY1067" s="4">
        <v>0</v>
      </c>
      <c r="BZ1067" s="4">
        <v>0</v>
      </c>
      <c r="CA1067" s="4">
        <v>7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2</v>
      </c>
      <c r="CK1067" s="4">
        <v>0</v>
      </c>
      <c r="CL1067" s="4">
        <v>0</v>
      </c>
      <c r="CM1067" s="4">
        <v>0</v>
      </c>
      <c r="CN1067" s="4">
        <v>2</v>
      </c>
      <c r="CO1067" s="4">
        <v>0</v>
      </c>
      <c r="CP1067" s="4">
        <v>0</v>
      </c>
      <c r="CQ1067" s="4">
        <v>0</v>
      </c>
      <c r="CR1067" s="4">
        <v>3</v>
      </c>
      <c r="CS1067" s="4">
        <v>1</v>
      </c>
      <c r="CT1067" s="4">
        <v>2</v>
      </c>
      <c r="CU1067" s="4">
        <v>0</v>
      </c>
      <c r="CV1067" s="4">
        <v>4</v>
      </c>
      <c r="CW1067" s="4">
        <v>0</v>
      </c>
      <c r="CX1067" s="5">
        <v>0</v>
      </c>
    </row>
    <row r="1068" spans="1:102" ht="15.75" x14ac:dyDescent="0.25">
      <c r="A1068" s="4" t="s">
        <v>343</v>
      </c>
      <c r="B1068" s="4" t="s">
        <v>344</v>
      </c>
      <c r="C1068" s="4">
        <v>2022</v>
      </c>
      <c r="D1068" s="4">
        <v>21</v>
      </c>
      <c r="E1068" s="4">
        <v>0</v>
      </c>
      <c r="F1068" s="4">
        <v>2</v>
      </c>
      <c r="G1068" s="4">
        <v>2</v>
      </c>
      <c r="H1068" s="4">
        <v>0</v>
      </c>
      <c r="I1068" s="4">
        <v>1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1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1</v>
      </c>
      <c r="AW1068" s="4">
        <v>0</v>
      </c>
      <c r="AX1068" s="4">
        <v>1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1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3</v>
      </c>
      <c r="BT1068" s="4">
        <v>0</v>
      </c>
      <c r="BU1068" s="4">
        <v>0</v>
      </c>
      <c r="BV1068" s="4">
        <v>0</v>
      </c>
      <c r="BW1068" s="4">
        <v>1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0</v>
      </c>
      <c r="CV1068" s="4">
        <v>1</v>
      </c>
      <c r="CW1068" s="4">
        <v>0</v>
      </c>
      <c r="CX1068" s="5">
        <v>0</v>
      </c>
    </row>
    <row r="1069" spans="1:102" ht="15.75" x14ac:dyDescent="0.25">
      <c r="A1069" s="4" t="s">
        <v>345</v>
      </c>
      <c r="B1069" s="4" t="s">
        <v>346</v>
      </c>
      <c r="C1069" s="4">
        <v>2022</v>
      </c>
      <c r="D1069" s="4">
        <v>29</v>
      </c>
      <c r="E1069" s="4">
        <v>3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1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1</v>
      </c>
      <c r="BL1069" s="4">
        <v>0</v>
      </c>
      <c r="BM1069" s="4">
        <v>0</v>
      </c>
      <c r="BN1069" s="4">
        <v>1</v>
      </c>
      <c r="BO1069" s="4">
        <v>0</v>
      </c>
      <c r="BP1069" s="4">
        <v>0</v>
      </c>
      <c r="BQ1069" s="4">
        <v>0</v>
      </c>
      <c r="BR1069" s="4">
        <v>0</v>
      </c>
      <c r="BS1069" s="4">
        <v>8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1</v>
      </c>
      <c r="CO1069" s="4">
        <v>0</v>
      </c>
      <c r="CP1069" s="4">
        <v>0</v>
      </c>
      <c r="CQ1069" s="4">
        <v>0</v>
      </c>
      <c r="CR1069" s="4">
        <v>12</v>
      </c>
      <c r="CS1069" s="4">
        <v>0</v>
      </c>
      <c r="CT1069" s="4">
        <v>0</v>
      </c>
      <c r="CU1069" s="4">
        <v>0</v>
      </c>
      <c r="CV1069" s="4">
        <v>0</v>
      </c>
      <c r="CW1069" s="4">
        <v>0</v>
      </c>
      <c r="CX1069" s="5">
        <v>0</v>
      </c>
    </row>
    <row r="1070" spans="1:102" ht="15.75" x14ac:dyDescent="0.25">
      <c r="A1070" s="4" t="s">
        <v>347</v>
      </c>
      <c r="B1070" s="4" t="s">
        <v>348</v>
      </c>
      <c r="C1070" s="4">
        <v>2022</v>
      </c>
      <c r="D1070" s="4">
        <v>131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4</v>
      </c>
      <c r="N1070" s="4">
        <v>3</v>
      </c>
      <c r="O1070" s="4">
        <v>7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1</v>
      </c>
      <c r="V1070" s="4">
        <v>2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</v>
      </c>
      <c r="AH1070" s="4">
        <v>1</v>
      </c>
      <c r="AI1070" s="4">
        <v>4</v>
      </c>
      <c r="AJ1070" s="4">
        <v>9</v>
      </c>
      <c r="AK1070" s="4">
        <v>2</v>
      </c>
      <c r="AL1070" s="4">
        <v>0</v>
      </c>
      <c r="AM1070" s="4">
        <v>1</v>
      </c>
      <c r="AN1070" s="4">
        <v>8</v>
      </c>
      <c r="AO1070" s="4">
        <v>4</v>
      </c>
      <c r="AP1070" s="4">
        <v>1</v>
      </c>
      <c r="AQ1070" s="4">
        <v>1</v>
      </c>
      <c r="AR1070" s="4">
        <v>0</v>
      </c>
      <c r="AS1070" s="4">
        <v>13</v>
      </c>
      <c r="AT1070" s="4">
        <v>8</v>
      </c>
      <c r="AU1070" s="4">
        <v>2</v>
      </c>
      <c r="AV1070" s="4">
        <v>2</v>
      </c>
      <c r="AW1070" s="4">
        <v>0</v>
      </c>
      <c r="AX1070" s="4">
        <v>5</v>
      </c>
      <c r="AY1070" s="4">
        <v>0</v>
      </c>
      <c r="AZ1070" s="4">
        <v>6</v>
      </c>
      <c r="BA1070" s="4">
        <v>0</v>
      </c>
      <c r="BB1070" s="4">
        <v>0</v>
      </c>
      <c r="BC1070" s="4">
        <v>1</v>
      </c>
      <c r="BD1070" s="4">
        <v>0</v>
      </c>
      <c r="BE1070" s="4">
        <v>2</v>
      </c>
      <c r="BF1070" s="4">
        <v>4</v>
      </c>
      <c r="BG1070" s="4">
        <v>0</v>
      </c>
      <c r="BH1070" s="4">
        <v>0</v>
      </c>
      <c r="BI1070" s="4">
        <v>0</v>
      </c>
      <c r="BJ1070" s="4">
        <v>4</v>
      </c>
      <c r="BK1070" s="4">
        <v>4</v>
      </c>
      <c r="BL1070" s="4">
        <v>0</v>
      </c>
      <c r="BM1070" s="4">
        <v>2</v>
      </c>
      <c r="BN1070" s="4">
        <v>1</v>
      </c>
      <c r="BO1070" s="4">
        <v>0</v>
      </c>
      <c r="BP1070" s="4">
        <v>0</v>
      </c>
      <c r="BQ1070" s="4">
        <v>1</v>
      </c>
      <c r="BR1070" s="4">
        <v>0</v>
      </c>
      <c r="BS1070" s="4">
        <v>9</v>
      </c>
      <c r="BT1070" s="4">
        <v>1</v>
      </c>
      <c r="BU1070" s="4">
        <v>0</v>
      </c>
      <c r="BV1070" s="4">
        <v>1</v>
      </c>
      <c r="BW1070" s="4">
        <v>0</v>
      </c>
      <c r="BX1070" s="4">
        <v>1</v>
      </c>
      <c r="BY1070" s="4">
        <v>0</v>
      </c>
      <c r="BZ1070" s="4">
        <v>0</v>
      </c>
      <c r="CA1070" s="4">
        <v>1</v>
      </c>
      <c r="CB1070" s="4">
        <v>0</v>
      </c>
      <c r="CC1070" s="4">
        <v>0</v>
      </c>
      <c r="CD1070" s="4">
        <v>1</v>
      </c>
      <c r="CE1070" s="4">
        <v>0</v>
      </c>
      <c r="CF1070" s="4">
        <v>1</v>
      </c>
      <c r="CG1070" s="4">
        <v>0</v>
      </c>
      <c r="CH1070" s="4">
        <v>0</v>
      </c>
      <c r="CI1070" s="4">
        <v>0</v>
      </c>
      <c r="CJ1070" s="4">
        <v>1</v>
      </c>
      <c r="CK1070" s="4">
        <v>0</v>
      </c>
      <c r="CL1070" s="4">
        <v>0</v>
      </c>
      <c r="CM1070" s="4">
        <v>0</v>
      </c>
      <c r="CN1070" s="4">
        <v>3</v>
      </c>
      <c r="CO1070" s="4">
        <v>0</v>
      </c>
      <c r="CP1070" s="4">
        <v>0</v>
      </c>
      <c r="CQ1070" s="4">
        <v>0</v>
      </c>
      <c r="CR1070" s="4">
        <v>0</v>
      </c>
      <c r="CS1070" s="4">
        <v>0</v>
      </c>
      <c r="CT1070" s="4">
        <v>5</v>
      </c>
      <c r="CU1070" s="4">
        <v>0</v>
      </c>
      <c r="CV1070" s="4">
        <v>2</v>
      </c>
      <c r="CW1070" s="4">
        <v>1</v>
      </c>
      <c r="CX1070" s="5">
        <v>1</v>
      </c>
    </row>
    <row r="1071" spans="1:102" ht="15.75" x14ac:dyDescent="0.25">
      <c r="A1071" s="4" t="s">
        <v>349</v>
      </c>
      <c r="B1071" s="4" t="s">
        <v>350</v>
      </c>
      <c r="C1071" s="4">
        <v>2022</v>
      </c>
      <c r="D1071" s="4">
        <v>25</v>
      </c>
      <c r="E1071" s="4">
        <v>0</v>
      </c>
      <c r="F1071" s="4">
        <v>3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1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11</v>
      </c>
      <c r="AW1071" s="4">
        <v>1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1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1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5">
        <v>0</v>
      </c>
    </row>
    <row r="1072" spans="1:102" ht="15.75" x14ac:dyDescent="0.25">
      <c r="A1072" s="4" t="s">
        <v>351</v>
      </c>
      <c r="B1072" s="4" t="s">
        <v>352</v>
      </c>
      <c r="C1072" s="4">
        <v>2022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5">
        <v>0</v>
      </c>
    </row>
    <row r="1073" spans="1:102" ht="15.75" x14ac:dyDescent="0.25">
      <c r="A1073" s="4" t="s">
        <v>353</v>
      </c>
      <c r="B1073" s="4" t="s">
        <v>354</v>
      </c>
      <c r="C1073" s="4">
        <v>2022</v>
      </c>
      <c r="D1073" s="4">
        <v>1235</v>
      </c>
      <c r="E1073" s="4">
        <v>0</v>
      </c>
      <c r="F1073" s="4">
        <v>1</v>
      </c>
      <c r="G1073" s="4">
        <v>4</v>
      </c>
      <c r="H1073" s="4">
        <v>21</v>
      </c>
      <c r="I1073" s="4">
        <v>3</v>
      </c>
      <c r="J1073" s="4">
        <v>1</v>
      </c>
      <c r="K1073" s="4">
        <v>0</v>
      </c>
      <c r="L1073" s="4">
        <v>3</v>
      </c>
      <c r="M1073" s="4">
        <v>2</v>
      </c>
      <c r="N1073" s="4">
        <v>8</v>
      </c>
      <c r="O1073" s="4">
        <v>70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23</v>
      </c>
      <c r="V1073" s="4">
        <v>1</v>
      </c>
      <c r="W1073" s="4">
        <v>15</v>
      </c>
      <c r="X1073" s="4">
        <v>1</v>
      </c>
      <c r="Y1073" s="4">
        <v>0</v>
      </c>
      <c r="Z1073" s="4">
        <v>660</v>
      </c>
      <c r="AA1073" s="4">
        <v>13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4</v>
      </c>
      <c r="AH1073" s="4">
        <v>1</v>
      </c>
      <c r="AI1073" s="4">
        <v>5</v>
      </c>
      <c r="AJ1073" s="4">
        <v>16</v>
      </c>
      <c r="AK1073" s="4">
        <v>8</v>
      </c>
      <c r="AL1073" s="4">
        <v>10</v>
      </c>
      <c r="AM1073" s="4">
        <v>21</v>
      </c>
      <c r="AN1073" s="4">
        <v>8</v>
      </c>
      <c r="AO1073" s="4">
        <v>14</v>
      </c>
      <c r="AP1073" s="4">
        <v>0</v>
      </c>
      <c r="AQ1073" s="4">
        <v>3</v>
      </c>
      <c r="AR1073" s="4">
        <v>1</v>
      </c>
      <c r="AS1073" s="4">
        <v>3</v>
      </c>
      <c r="AT1073" s="4">
        <v>21</v>
      </c>
      <c r="AU1073" s="4">
        <v>4</v>
      </c>
      <c r="AV1073" s="4">
        <v>4</v>
      </c>
      <c r="AW1073" s="4">
        <v>1</v>
      </c>
      <c r="AX1073" s="4">
        <v>10</v>
      </c>
      <c r="AY1073" s="4">
        <v>0</v>
      </c>
      <c r="AZ1073" s="4">
        <v>1</v>
      </c>
      <c r="BA1073" s="4">
        <v>0</v>
      </c>
      <c r="BB1073" s="4">
        <v>30</v>
      </c>
      <c r="BC1073" s="4">
        <v>1</v>
      </c>
      <c r="BD1073" s="4">
        <v>0</v>
      </c>
      <c r="BE1073" s="4">
        <v>4</v>
      </c>
      <c r="BF1073" s="4">
        <v>36</v>
      </c>
      <c r="BG1073" s="4">
        <v>0</v>
      </c>
      <c r="BH1073" s="4">
        <v>1</v>
      </c>
      <c r="BI1073" s="4">
        <v>0</v>
      </c>
      <c r="BJ1073" s="4">
        <v>8</v>
      </c>
      <c r="BK1073" s="4">
        <v>16</v>
      </c>
      <c r="BL1073" s="4">
        <v>0</v>
      </c>
      <c r="BM1073" s="4">
        <v>2</v>
      </c>
      <c r="BN1073" s="4">
        <v>4</v>
      </c>
      <c r="BO1073" s="4">
        <v>0</v>
      </c>
      <c r="BP1073" s="4">
        <v>1</v>
      </c>
      <c r="BQ1073" s="4">
        <v>8</v>
      </c>
      <c r="BR1073" s="4">
        <v>1</v>
      </c>
      <c r="BS1073" s="4">
        <v>28</v>
      </c>
      <c r="BT1073" s="4">
        <v>6</v>
      </c>
      <c r="BU1073" s="4">
        <v>1</v>
      </c>
      <c r="BV1073" s="4">
        <v>8</v>
      </c>
      <c r="BW1073" s="4">
        <v>4</v>
      </c>
      <c r="BX1073" s="4">
        <v>38</v>
      </c>
      <c r="BY1073" s="4">
        <v>0</v>
      </c>
      <c r="BZ1073" s="4">
        <v>0</v>
      </c>
      <c r="CA1073" s="4">
        <v>15</v>
      </c>
      <c r="CB1073" s="4">
        <v>0</v>
      </c>
      <c r="CC1073" s="4">
        <v>0</v>
      </c>
      <c r="CD1073" s="4">
        <v>4</v>
      </c>
      <c r="CE1073" s="4">
        <v>0</v>
      </c>
      <c r="CF1073" s="4">
        <v>1</v>
      </c>
      <c r="CG1073" s="4">
        <v>1</v>
      </c>
      <c r="CH1073" s="4">
        <v>1</v>
      </c>
      <c r="CI1073" s="4">
        <v>1</v>
      </c>
      <c r="CJ1073" s="4">
        <v>4</v>
      </c>
      <c r="CK1073" s="4">
        <v>0</v>
      </c>
      <c r="CL1073" s="4">
        <v>0</v>
      </c>
      <c r="CM1073" s="4">
        <v>1</v>
      </c>
      <c r="CN1073" s="4">
        <v>27</v>
      </c>
      <c r="CO1073" s="4">
        <v>2</v>
      </c>
      <c r="CP1073" s="4">
        <v>0</v>
      </c>
      <c r="CQ1073" s="4">
        <v>0</v>
      </c>
      <c r="CR1073" s="4">
        <v>0</v>
      </c>
      <c r="CS1073" s="4">
        <v>0</v>
      </c>
      <c r="CT1073" s="4">
        <v>5</v>
      </c>
      <c r="CU1073" s="4">
        <v>1</v>
      </c>
      <c r="CV1073" s="4">
        <v>12</v>
      </c>
      <c r="CW1073" s="4">
        <v>2</v>
      </c>
      <c r="CX1073" s="5">
        <v>3</v>
      </c>
    </row>
    <row r="1074" spans="1:102" ht="15.75" x14ac:dyDescent="0.25">
      <c r="A1074" s="4" t="s">
        <v>355</v>
      </c>
      <c r="B1074" s="4" t="s">
        <v>356</v>
      </c>
      <c r="C1074" s="4">
        <v>2022</v>
      </c>
      <c r="D1074" s="4">
        <v>643</v>
      </c>
      <c r="E1074" s="4">
        <v>0</v>
      </c>
      <c r="F1074" s="4">
        <v>0</v>
      </c>
      <c r="G1074" s="4">
        <v>3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3</v>
      </c>
      <c r="O1074" s="4">
        <v>41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19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1</v>
      </c>
      <c r="AI1074" s="4">
        <v>18</v>
      </c>
      <c r="AJ1074" s="4">
        <v>1</v>
      </c>
      <c r="AK1074" s="4">
        <v>0</v>
      </c>
      <c r="AL1074" s="4">
        <v>0</v>
      </c>
      <c r="AM1074" s="4">
        <v>7</v>
      </c>
      <c r="AN1074" s="4">
        <v>52</v>
      </c>
      <c r="AO1074" s="4">
        <v>3</v>
      </c>
      <c r="AP1074" s="4">
        <v>0</v>
      </c>
      <c r="AQ1074" s="4">
        <v>1</v>
      </c>
      <c r="AR1074" s="4">
        <v>0</v>
      </c>
      <c r="AS1074" s="4">
        <v>9</v>
      </c>
      <c r="AT1074" s="4">
        <v>2</v>
      </c>
      <c r="AU1074" s="4">
        <v>8</v>
      </c>
      <c r="AV1074" s="4">
        <v>2</v>
      </c>
      <c r="AW1074" s="4">
        <v>3</v>
      </c>
      <c r="AX1074" s="4">
        <v>5</v>
      </c>
      <c r="AY1074" s="4">
        <v>0</v>
      </c>
      <c r="AZ1074" s="4">
        <v>0</v>
      </c>
      <c r="BA1074" s="4">
        <v>0</v>
      </c>
      <c r="BB1074" s="4">
        <v>306</v>
      </c>
      <c r="BC1074" s="4">
        <v>7</v>
      </c>
      <c r="BD1074" s="4">
        <v>0</v>
      </c>
      <c r="BE1074" s="4">
        <v>3</v>
      </c>
      <c r="BF1074" s="4">
        <v>5</v>
      </c>
      <c r="BG1074" s="4">
        <v>2</v>
      </c>
      <c r="BH1074" s="4">
        <v>0</v>
      </c>
      <c r="BI1074" s="4">
        <v>0</v>
      </c>
      <c r="BJ1074" s="4">
        <v>3</v>
      </c>
      <c r="BK1074" s="4">
        <v>3</v>
      </c>
      <c r="BL1074" s="4">
        <v>0</v>
      </c>
      <c r="BM1074" s="4">
        <v>0</v>
      </c>
      <c r="BN1074" s="4">
        <v>4</v>
      </c>
      <c r="BO1074" s="4">
        <v>0</v>
      </c>
      <c r="BP1074" s="4">
        <v>1</v>
      </c>
      <c r="BQ1074" s="4">
        <v>7</v>
      </c>
      <c r="BR1074" s="4">
        <v>0</v>
      </c>
      <c r="BS1074" s="4">
        <v>22</v>
      </c>
      <c r="BT1074" s="4">
        <v>3</v>
      </c>
      <c r="BU1074" s="4">
        <v>0</v>
      </c>
      <c r="BV1074" s="4">
        <v>2</v>
      </c>
      <c r="BW1074" s="4">
        <v>4</v>
      </c>
      <c r="BX1074" s="4">
        <v>18</v>
      </c>
      <c r="BY1074" s="4">
        <v>0</v>
      </c>
      <c r="BZ1074" s="4">
        <v>0</v>
      </c>
      <c r="CA1074" s="4">
        <v>15</v>
      </c>
      <c r="CB1074" s="4">
        <v>0</v>
      </c>
      <c r="CC1074" s="4">
        <v>0</v>
      </c>
      <c r="CD1074" s="4">
        <v>0</v>
      </c>
      <c r="CE1074" s="4">
        <v>0</v>
      </c>
      <c r="CF1074" s="4">
        <v>1</v>
      </c>
      <c r="CG1074" s="4">
        <v>1</v>
      </c>
      <c r="CH1074" s="4">
        <v>1</v>
      </c>
      <c r="CI1074" s="4">
        <v>1</v>
      </c>
      <c r="CJ1074" s="4">
        <v>2</v>
      </c>
      <c r="CK1074" s="4">
        <v>0</v>
      </c>
      <c r="CL1074" s="4">
        <v>0</v>
      </c>
      <c r="CM1074" s="4">
        <v>1</v>
      </c>
      <c r="CN1074" s="4">
        <v>9</v>
      </c>
      <c r="CO1074" s="4">
        <v>0</v>
      </c>
      <c r="CP1074" s="4">
        <v>0</v>
      </c>
      <c r="CQ1074" s="4">
        <v>0</v>
      </c>
      <c r="CR1074" s="4">
        <v>23</v>
      </c>
      <c r="CS1074" s="4">
        <v>0</v>
      </c>
      <c r="CT1074" s="4">
        <v>2</v>
      </c>
      <c r="CU1074" s="4">
        <v>2</v>
      </c>
      <c r="CV1074" s="4">
        <v>7</v>
      </c>
      <c r="CW1074" s="4">
        <v>5</v>
      </c>
      <c r="CX1074" s="5">
        <v>5</v>
      </c>
    </row>
    <row r="1075" spans="1:102" ht="15.75" x14ac:dyDescent="0.25">
      <c r="A1075" s="4" t="s">
        <v>357</v>
      </c>
      <c r="B1075" s="4" t="s">
        <v>358</v>
      </c>
      <c r="C1075" s="4">
        <v>2022</v>
      </c>
      <c r="D1075" s="4">
        <v>359</v>
      </c>
      <c r="E1075" s="4">
        <v>0</v>
      </c>
      <c r="F1075" s="4">
        <v>0</v>
      </c>
      <c r="G1075" s="4">
        <v>1</v>
      </c>
      <c r="H1075" s="4">
        <v>4</v>
      </c>
      <c r="I1075" s="4">
        <v>0</v>
      </c>
      <c r="J1075" s="4">
        <v>0</v>
      </c>
      <c r="K1075" s="4">
        <v>0</v>
      </c>
      <c r="L1075" s="4">
        <v>1</v>
      </c>
      <c r="M1075" s="4">
        <v>0</v>
      </c>
      <c r="N1075" s="4">
        <v>3</v>
      </c>
      <c r="O1075" s="4">
        <v>126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14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5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1</v>
      </c>
      <c r="AH1075" s="4">
        <v>1</v>
      </c>
      <c r="AI1075" s="4">
        <v>2</v>
      </c>
      <c r="AJ1075" s="4">
        <v>2</v>
      </c>
      <c r="AK1075" s="4">
        <v>6</v>
      </c>
      <c r="AL1075" s="4">
        <v>5</v>
      </c>
      <c r="AM1075" s="4">
        <v>1</v>
      </c>
      <c r="AN1075" s="4">
        <v>2</v>
      </c>
      <c r="AO1075" s="4">
        <v>7</v>
      </c>
      <c r="AP1075" s="4">
        <v>0</v>
      </c>
      <c r="AQ1075" s="4">
        <v>1</v>
      </c>
      <c r="AR1075" s="4">
        <v>0</v>
      </c>
      <c r="AS1075" s="4">
        <v>1</v>
      </c>
      <c r="AT1075" s="4">
        <v>4</v>
      </c>
      <c r="AU1075" s="4">
        <v>3</v>
      </c>
      <c r="AV1075" s="4">
        <v>3</v>
      </c>
      <c r="AW1075" s="4">
        <v>1</v>
      </c>
      <c r="AX1075" s="4">
        <v>7</v>
      </c>
      <c r="AY1075" s="4">
        <v>0</v>
      </c>
      <c r="AZ1075" s="4">
        <v>1</v>
      </c>
      <c r="BA1075" s="4">
        <v>0</v>
      </c>
      <c r="BB1075" s="4">
        <v>4</v>
      </c>
      <c r="BC1075" s="4">
        <v>1</v>
      </c>
      <c r="BD1075" s="4">
        <v>0</v>
      </c>
      <c r="BE1075" s="4">
        <v>2</v>
      </c>
      <c r="BF1075" s="4">
        <v>9</v>
      </c>
      <c r="BG1075" s="4">
        <v>0</v>
      </c>
      <c r="BH1075" s="4">
        <v>0</v>
      </c>
      <c r="BI1075" s="4">
        <v>0</v>
      </c>
      <c r="BJ1075" s="4">
        <v>4</v>
      </c>
      <c r="BK1075" s="4">
        <v>5</v>
      </c>
      <c r="BL1075" s="4">
        <v>0</v>
      </c>
      <c r="BM1075" s="4">
        <v>0</v>
      </c>
      <c r="BN1075" s="4">
        <v>5</v>
      </c>
      <c r="BO1075" s="4">
        <v>0</v>
      </c>
      <c r="BP1075" s="4">
        <v>1</v>
      </c>
      <c r="BQ1075" s="4">
        <v>3</v>
      </c>
      <c r="BR1075" s="4">
        <v>0</v>
      </c>
      <c r="BS1075" s="4">
        <v>8</v>
      </c>
      <c r="BT1075" s="4">
        <v>3</v>
      </c>
      <c r="BU1075" s="4">
        <v>0</v>
      </c>
      <c r="BV1075" s="4">
        <v>5</v>
      </c>
      <c r="BW1075" s="4">
        <v>1</v>
      </c>
      <c r="BX1075" s="4">
        <v>32</v>
      </c>
      <c r="BY1075" s="4">
        <v>0</v>
      </c>
      <c r="BZ1075" s="4">
        <v>0</v>
      </c>
      <c r="CA1075" s="4">
        <v>30</v>
      </c>
      <c r="CB1075" s="4">
        <v>10</v>
      </c>
      <c r="CC1075" s="4">
        <v>0</v>
      </c>
      <c r="CD1075" s="4">
        <v>3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2</v>
      </c>
      <c r="CK1075" s="4">
        <v>1</v>
      </c>
      <c r="CL1075" s="4">
        <v>0</v>
      </c>
      <c r="CM1075" s="4">
        <v>2</v>
      </c>
      <c r="CN1075" s="4">
        <v>5</v>
      </c>
      <c r="CO1075" s="4">
        <v>3</v>
      </c>
      <c r="CP1075" s="4">
        <v>1</v>
      </c>
      <c r="CQ1075" s="4">
        <v>0</v>
      </c>
      <c r="CR1075" s="4">
        <v>0</v>
      </c>
      <c r="CS1075" s="4">
        <v>0</v>
      </c>
      <c r="CT1075" s="4">
        <v>3</v>
      </c>
      <c r="CU1075" s="4">
        <v>1</v>
      </c>
      <c r="CV1075" s="4">
        <v>7</v>
      </c>
      <c r="CW1075" s="4">
        <v>2</v>
      </c>
      <c r="CX1075" s="5">
        <v>2</v>
      </c>
    </row>
    <row r="1076" spans="1:102" ht="15.75" x14ac:dyDescent="0.25">
      <c r="A1076" s="4" t="s">
        <v>359</v>
      </c>
      <c r="B1076" s="4" t="s">
        <v>360</v>
      </c>
      <c r="C1076" s="4">
        <v>2022</v>
      </c>
      <c r="D1076" s="4">
        <v>160</v>
      </c>
      <c r="E1076" s="4">
        <v>0</v>
      </c>
      <c r="F1076" s="4">
        <v>0</v>
      </c>
      <c r="G1076" s="4">
        <v>10</v>
      </c>
      <c r="H1076" s="4">
        <v>0</v>
      </c>
      <c r="I1076" s="4">
        <v>3</v>
      </c>
      <c r="J1076" s="4">
        <v>0</v>
      </c>
      <c r="K1076" s="4">
        <v>0</v>
      </c>
      <c r="L1076" s="4">
        <v>18</v>
      </c>
      <c r="M1076" s="4">
        <v>0</v>
      </c>
      <c r="N1076" s="4">
        <v>5</v>
      </c>
      <c r="O1076" s="4">
        <v>24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1</v>
      </c>
      <c r="AH1076" s="4">
        <v>0</v>
      </c>
      <c r="AI1076" s="4">
        <v>2</v>
      </c>
      <c r="AJ1076" s="4">
        <v>24</v>
      </c>
      <c r="AK1076" s="4">
        <v>6</v>
      </c>
      <c r="AL1076" s="4">
        <v>0</v>
      </c>
      <c r="AM1076" s="4">
        <v>1</v>
      </c>
      <c r="AN1076" s="4">
        <v>0</v>
      </c>
      <c r="AO1076" s="4">
        <v>4</v>
      </c>
      <c r="AP1076" s="4">
        <v>0</v>
      </c>
      <c r="AQ1076" s="4">
        <v>1</v>
      </c>
      <c r="AR1076" s="4">
        <v>0</v>
      </c>
      <c r="AS1076" s="4">
        <v>0</v>
      </c>
      <c r="AT1076" s="4">
        <v>1</v>
      </c>
      <c r="AU1076" s="4">
        <v>0</v>
      </c>
      <c r="AV1076" s="4">
        <v>5</v>
      </c>
      <c r="AW1076" s="4">
        <v>1</v>
      </c>
      <c r="AX1076" s="4">
        <v>3</v>
      </c>
      <c r="AY1076" s="4">
        <v>0</v>
      </c>
      <c r="AZ1076" s="4">
        <v>2</v>
      </c>
      <c r="BA1076" s="4">
        <v>0</v>
      </c>
      <c r="BB1076" s="4">
        <v>7</v>
      </c>
      <c r="BC1076" s="4">
        <v>0</v>
      </c>
      <c r="BD1076" s="4">
        <v>0</v>
      </c>
      <c r="BE1076" s="4">
        <v>1</v>
      </c>
      <c r="BF1076" s="4">
        <v>2</v>
      </c>
      <c r="BG1076" s="4">
        <v>0</v>
      </c>
      <c r="BH1076" s="4">
        <v>0</v>
      </c>
      <c r="BI1076" s="4">
        <v>0</v>
      </c>
      <c r="BJ1076" s="4">
        <v>6</v>
      </c>
      <c r="BK1076" s="4">
        <v>4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1</v>
      </c>
      <c r="BR1076" s="4">
        <v>1</v>
      </c>
      <c r="BS1076" s="4">
        <v>3</v>
      </c>
      <c r="BT1076" s="4">
        <v>2</v>
      </c>
      <c r="BU1076" s="4">
        <v>0</v>
      </c>
      <c r="BV1076" s="4">
        <v>1</v>
      </c>
      <c r="BW1076" s="4">
        <v>1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1</v>
      </c>
      <c r="CG1076" s="4">
        <v>0</v>
      </c>
      <c r="CH1076" s="4">
        <v>0</v>
      </c>
      <c r="CI1076" s="4">
        <v>0</v>
      </c>
      <c r="CJ1076" s="4">
        <v>2</v>
      </c>
      <c r="CK1076" s="4">
        <v>0</v>
      </c>
      <c r="CL1076" s="4">
        <v>0</v>
      </c>
      <c r="CM1076" s="4">
        <v>1</v>
      </c>
      <c r="CN1076" s="4">
        <v>7</v>
      </c>
      <c r="CO1076" s="4">
        <v>0</v>
      </c>
      <c r="CP1076" s="4">
        <v>0</v>
      </c>
      <c r="CQ1076" s="4">
        <v>0</v>
      </c>
      <c r="CR1076" s="4">
        <v>0</v>
      </c>
      <c r="CS1076" s="4">
        <v>0</v>
      </c>
      <c r="CT1076" s="4">
        <v>2</v>
      </c>
      <c r="CU1076" s="4">
        <v>0</v>
      </c>
      <c r="CV1076" s="4">
        <v>2</v>
      </c>
      <c r="CW1076" s="4">
        <v>0</v>
      </c>
      <c r="CX1076" s="5">
        <v>0</v>
      </c>
    </row>
    <row r="1077" spans="1:102" ht="15.75" x14ac:dyDescent="0.25">
      <c r="A1077" s="4" t="s">
        <v>361</v>
      </c>
      <c r="B1077" s="4" t="s">
        <v>362</v>
      </c>
      <c r="C1077" s="4">
        <v>2022</v>
      </c>
      <c r="D1077" s="4">
        <v>1161</v>
      </c>
      <c r="E1077" s="4">
        <v>0</v>
      </c>
      <c r="F1077" s="4">
        <v>0</v>
      </c>
      <c r="G1077" s="4">
        <v>14</v>
      </c>
      <c r="H1077" s="4">
        <v>0</v>
      </c>
      <c r="I1077" s="4">
        <v>1</v>
      </c>
      <c r="J1077" s="4">
        <v>10</v>
      </c>
      <c r="K1077" s="4">
        <v>0</v>
      </c>
      <c r="L1077" s="4">
        <v>2</v>
      </c>
      <c r="M1077" s="4">
        <v>1</v>
      </c>
      <c r="N1077" s="4">
        <v>3</v>
      </c>
      <c r="O1077" s="4">
        <v>24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4</v>
      </c>
      <c r="V1077" s="4">
        <v>5</v>
      </c>
      <c r="W1077" s="4">
        <v>92</v>
      </c>
      <c r="X1077" s="4">
        <v>2</v>
      </c>
      <c r="Y1077" s="4">
        <v>0</v>
      </c>
      <c r="Z1077" s="4">
        <v>146</v>
      </c>
      <c r="AA1077" s="4">
        <v>385</v>
      </c>
      <c r="AB1077" s="4">
        <v>63</v>
      </c>
      <c r="AC1077" s="4">
        <v>0</v>
      </c>
      <c r="AD1077" s="4">
        <v>1</v>
      </c>
      <c r="AE1077" s="4">
        <v>0</v>
      </c>
      <c r="AF1077" s="4">
        <v>0</v>
      </c>
      <c r="AG1077" s="4">
        <v>2</v>
      </c>
      <c r="AH1077" s="4">
        <v>0</v>
      </c>
      <c r="AI1077" s="4">
        <v>8</v>
      </c>
      <c r="AJ1077" s="4">
        <v>27</v>
      </c>
      <c r="AK1077" s="4">
        <v>4</v>
      </c>
      <c r="AL1077" s="4">
        <v>7</v>
      </c>
      <c r="AM1077" s="4">
        <v>5</v>
      </c>
      <c r="AN1077" s="4">
        <v>9</v>
      </c>
      <c r="AO1077" s="4">
        <v>13</v>
      </c>
      <c r="AP1077" s="4">
        <v>11</v>
      </c>
      <c r="AQ1077" s="4">
        <v>6</v>
      </c>
      <c r="AR1077" s="4">
        <v>0</v>
      </c>
      <c r="AS1077" s="4">
        <v>3</v>
      </c>
      <c r="AT1077" s="4">
        <v>9</v>
      </c>
      <c r="AU1077" s="4">
        <v>3</v>
      </c>
      <c r="AV1077" s="4">
        <v>3</v>
      </c>
      <c r="AW1077" s="4">
        <v>0</v>
      </c>
      <c r="AX1077" s="4">
        <v>11</v>
      </c>
      <c r="AY1077" s="4">
        <v>0</v>
      </c>
      <c r="AZ1077" s="4">
        <v>1</v>
      </c>
      <c r="BA1077" s="4">
        <v>0</v>
      </c>
      <c r="BB1077" s="4">
        <v>59</v>
      </c>
      <c r="BC1077" s="4">
        <v>1</v>
      </c>
      <c r="BD1077" s="4">
        <v>0</v>
      </c>
      <c r="BE1077" s="4">
        <v>2</v>
      </c>
      <c r="BF1077" s="4">
        <v>2</v>
      </c>
      <c r="BG1077" s="4">
        <v>3</v>
      </c>
      <c r="BH1077" s="4">
        <v>1</v>
      </c>
      <c r="BI1077" s="4">
        <v>0</v>
      </c>
      <c r="BJ1077" s="4">
        <v>6</v>
      </c>
      <c r="BK1077" s="4">
        <v>20</v>
      </c>
      <c r="BL1077" s="4">
        <v>0</v>
      </c>
      <c r="BM1077" s="4">
        <v>0</v>
      </c>
      <c r="BN1077" s="4">
        <v>5</v>
      </c>
      <c r="BO1077" s="4">
        <v>0</v>
      </c>
      <c r="BP1077" s="4">
        <v>0</v>
      </c>
      <c r="BQ1077" s="4">
        <v>12</v>
      </c>
      <c r="BR1077" s="4">
        <v>1</v>
      </c>
      <c r="BS1077" s="4">
        <v>17</v>
      </c>
      <c r="BT1077" s="4">
        <v>3</v>
      </c>
      <c r="BU1077" s="4">
        <v>0</v>
      </c>
      <c r="BV1077" s="4">
        <v>6</v>
      </c>
      <c r="BW1077" s="4">
        <v>1</v>
      </c>
      <c r="BX1077" s="4">
        <v>89</v>
      </c>
      <c r="BY1077" s="4">
        <v>0</v>
      </c>
      <c r="BZ1077" s="4">
        <v>0</v>
      </c>
      <c r="CA1077" s="4">
        <v>16</v>
      </c>
      <c r="CB1077" s="4">
        <v>0</v>
      </c>
      <c r="CC1077" s="4">
        <v>0</v>
      </c>
      <c r="CD1077" s="4">
        <v>0</v>
      </c>
      <c r="CE1077" s="4">
        <v>0</v>
      </c>
      <c r="CF1077" s="4">
        <v>1</v>
      </c>
      <c r="CG1077" s="4">
        <v>0</v>
      </c>
      <c r="CH1077" s="4">
        <v>4</v>
      </c>
      <c r="CI1077" s="4">
        <v>0</v>
      </c>
      <c r="CJ1077" s="4">
        <v>1</v>
      </c>
      <c r="CK1077" s="4">
        <v>0</v>
      </c>
      <c r="CL1077" s="4">
        <v>0</v>
      </c>
      <c r="CM1077" s="4">
        <v>11</v>
      </c>
      <c r="CN1077" s="4">
        <v>7</v>
      </c>
      <c r="CO1077" s="4">
        <v>0</v>
      </c>
      <c r="CP1077" s="4">
        <v>0</v>
      </c>
      <c r="CQ1077" s="4">
        <v>0</v>
      </c>
      <c r="CR1077" s="4">
        <v>0</v>
      </c>
      <c r="CS1077" s="4">
        <v>1</v>
      </c>
      <c r="CT1077" s="4">
        <v>6</v>
      </c>
      <c r="CU1077" s="4">
        <v>0</v>
      </c>
      <c r="CV1077" s="4">
        <v>8</v>
      </c>
      <c r="CW1077" s="4">
        <v>1</v>
      </c>
      <c r="CX1077" s="5">
        <v>1</v>
      </c>
    </row>
    <row r="1078" spans="1:102" ht="15.75" x14ac:dyDescent="0.25">
      <c r="A1078" s="4" t="s">
        <v>363</v>
      </c>
      <c r="B1078" s="4" t="s">
        <v>364</v>
      </c>
      <c r="C1078" s="4">
        <v>2022</v>
      </c>
      <c r="D1078" s="4">
        <v>32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1</v>
      </c>
      <c r="O1078" s="4">
        <v>3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1</v>
      </c>
      <c r="AK1078" s="4">
        <v>0</v>
      </c>
      <c r="AL1078" s="4">
        <v>0</v>
      </c>
      <c r="AM1078" s="4">
        <v>0</v>
      </c>
      <c r="AN1078" s="4">
        <v>0</v>
      </c>
      <c r="AO1078" s="4">
        <v>1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1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8</v>
      </c>
      <c r="BG1078" s="4">
        <v>0</v>
      </c>
      <c r="BH1078" s="4">
        <v>0</v>
      </c>
      <c r="BI1078" s="4">
        <v>0</v>
      </c>
      <c r="BJ1078" s="4">
        <v>0</v>
      </c>
      <c r="BK1078" s="4">
        <v>2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2</v>
      </c>
      <c r="BX1078" s="4">
        <v>7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4">
        <v>0</v>
      </c>
      <c r="CV1078" s="4">
        <v>1</v>
      </c>
      <c r="CW1078" s="4">
        <v>0</v>
      </c>
      <c r="CX1078" s="5">
        <v>0</v>
      </c>
    </row>
    <row r="1079" spans="1:102" ht="15.75" x14ac:dyDescent="0.25">
      <c r="A1079" s="4" t="s">
        <v>365</v>
      </c>
      <c r="B1079" s="4" t="s">
        <v>366</v>
      </c>
      <c r="C1079" s="4">
        <v>2022</v>
      </c>
      <c r="D1079" s="4">
        <v>9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3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0</v>
      </c>
      <c r="CX1079" s="5">
        <v>0</v>
      </c>
    </row>
    <row r="1080" spans="1:102" ht="15.75" x14ac:dyDescent="0.25">
      <c r="A1080" s="4" t="s">
        <v>367</v>
      </c>
      <c r="B1080" s="4" t="s">
        <v>368</v>
      </c>
      <c r="C1080" s="4">
        <v>2022</v>
      </c>
      <c r="D1080" s="4">
        <v>15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1</v>
      </c>
      <c r="AK1080" s="4">
        <v>0</v>
      </c>
      <c r="AL1080" s="4">
        <v>0</v>
      </c>
      <c r="AM1080" s="4">
        <v>0</v>
      </c>
      <c r="AN1080" s="4">
        <v>0</v>
      </c>
      <c r="AO1080" s="4">
        <v>1</v>
      </c>
      <c r="AP1080" s="4">
        <v>0</v>
      </c>
      <c r="AQ1080" s="4">
        <v>0</v>
      </c>
      <c r="AR1080" s="4">
        <v>0</v>
      </c>
      <c r="AS1080" s="4">
        <v>0</v>
      </c>
      <c r="AT1080" s="4">
        <v>1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1</v>
      </c>
      <c r="BF1080" s="4">
        <v>1</v>
      </c>
      <c r="BG1080" s="4">
        <v>0</v>
      </c>
      <c r="BH1080" s="4">
        <v>0</v>
      </c>
      <c r="BI1080" s="4">
        <v>0</v>
      </c>
      <c r="BJ1080" s="4">
        <v>3</v>
      </c>
      <c r="BK1080" s="4">
        <v>1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1</v>
      </c>
      <c r="BR1080" s="4">
        <v>0</v>
      </c>
      <c r="BS1080" s="4">
        <v>1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2</v>
      </c>
      <c r="CO1080" s="4">
        <v>0</v>
      </c>
      <c r="CP1080" s="4">
        <v>0</v>
      </c>
      <c r="CQ1080" s="4">
        <v>0</v>
      </c>
      <c r="CR1080" s="4">
        <v>0</v>
      </c>
      <c r="CS1080" s="4">
        <v>0</v>
      </c>
      <c r="CT1080" s="4">
        <v>0</v>
      </c>
      <c r="CU1080" s="4">
        <v>0</v>
      </c>
      <c r="CV1080" s="4">
        <v>0</v>
      </c>
      <c r="CW1080" s="4">
        <v>0</v>
      </c>
      <c r="CX1080" s="5">
        <v>0</v>
      </c>
    </row>
    <row r="1081" spans="1:102" ht="15.75" x14ac:dyDescent="0.25">
      <c r="A1081" s="4" t="s">
        <v>369</v>
      </c>
      <c r="B1081" s="4" t="s">
        <v>370</v>
      </c>
      <c r="C1081" s="4">
        <v>2022</v>
      </c>
      <c r="D1081" s="4">
        <v>33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32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0</v>
      </c>
      <c r="CV1081" s="4">
        <v>0</v>
      </c>
      <c r="CW1081" s="4">
        <v>0</v>
      </c>
      <c r="CX1081" s="5">
        <v>0</v>
      </c>
    </row>
    <row r="1082" spans="1:102" ht="15.75" x14ac:dyDescent="0.25">
      <c r="A1082" s="4" t="s">
        <v>371</v>
      </c>
      <c r="B1082" s="4" t="s">
        <v>372</v>
      </c>
      <c r="C1082" s="4">
        <v>2022</v>
      </c>
      <c r="D1082" s="4">
        <v>1738</v>
      </c>
      <c r="E1082" s="4">
        <v>0</v>
      </c>
      <c r="F1082" s="4">
        <v>2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2</v>
      </c>
      <c r="O1082" s="4">
        <v>2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1</v>
      </c>
      <c r="AH1082" s="4">
        <v>446</v>
      </c>
      <c r="AI1082" s="4">
        <v>1</v>
      </c>
      <c r="AJ1082" s="4">
        <v>3</v>
      </c>
      <c r="AK1082" s="4">
        <v>0</v>
      </c>
      <c r="AL1082" s="4">
        <v>0</v>
      </c>
      <c r="AM1082" s="4">
        <v>0</v>
      </c>
      <c r="AN1082" s="4">
        <v>1</v>
      </c>
      <c r="AO1082" s="4">
        <v>10</v>
      </c>
      <c r="AP1082" s="4">
        <v>0</v>
      </c>
      <c r="AQ1082" s="4">
        <v>0</v>
      </c>
      <c r="AR1082" s="4">
        <v>0</v>
      </c>
      <c r="AS1082" s="4">
        <v>0</v>
      </c>
      <c r="AT1082" s="4">
        <v>8</v>
      </c>
      <c r="AU1082" s="4">
        <v>0</v>
      </c>
      <c r="AV1082" s="4">
        <v>0</v>
      </c>
      <c r="AW1082" s="4">
        <v>1245</v>
      </c>
      <c r="AX1082" s="4">
        <v>1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1</v>
      </c>
      <c r="BG1082" s="4">
        <v>0</v>
      </c>
      <c r="BH1082" s="4">
        <v>0</v>
      </c>
      <c r="BI1082" s="4">
        <v>0</v>
      </c>
      <c r="BJ1082" s="4">
        <v>1</v>
      </c>
      <c r="BK1082" s="4">
        <v>2</v>
      </c>
      <c r="BL1082" s="4">
        <v>0</v>
      </c>
      <c r="BM1082" s="4">
        <v>0</v>
      </c>
      <c r="BN1082" s="4">
        <v>1</v>
      </c>
      <c r="BO1082" s="4">
        <v>0</v>
      </c>
      <c r="BP1082" s="4">
        <v>0</v>
      </c>
      <c r="BQ1082" s="4">
        <v>0</v>
      </c>
      <c r="BR1082" s="4">
        <v>0</v>
      </c>
      <c r="BS1082" s="4">
        <v>3</v>
      </c>
      <c r="BT1082" s="4">
        <v>1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1</v>
      </c>
      <c r="CO1082" s="4">
        <v>0</v>
      </c>
      <c r="CP1082" s="4">
        <v>0</v>
      </c>
      <c r="CQ1082" s="4">
        <v>0</v>
      </c>
      <c r="CR1082" s="4">
        <v>0</v>
      </c>
      <c r="CS1082" s="4">
        <v>0</v>
      </c>
      <c r="CT1082" s="4">
        <v>1</v>
      </c>
      <c r="CU1082" s="4">
        <v>0</v>
      </c>
      <c r="CV1082" s="4">
        <v>2</v>
      </c>
      <c r="CW1082" s="4">
        <v>0</v>
      </c>
      <c r="CX1082" s="5">
        <v>0</v>
      </c>
    </row>
    <row r="1083" spans="1:102" ht="15.75" x14ac:dyDescent="0.25">
      <c r="A1083" s="4" t="s">
        <v>373</v>
      </c>
      <c r="B1083" s="4" t="s">
        <v>374</v>
      </c>
      <c r="C1083" s="4">
        <v>2022</v>
      </c>
      <c r="D1083" s="4">
        <v>21</v>
      </c>
      <c r="E1083" s="4">
        <v>0</v>
      </c>
      <c r="F1083" s="4">
        <v>0</v>
      </c>
      <c r="G1083" s="4">
        <v>1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1</v>
      </c>
      <c r="O1083" s="4">
        <v>1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2</v>
      </c>
      <c r="AK1083" s="4">
        <v>0</v>
      </c>
      <c r="AL1083" s="4">
        <v>0</v>
      </c>
      <c r="AM1083" s="4">
        <v>3</v>
      </c>
      <c r="AN1083" s="4">
        <v>0</v>
      </c>
      <c r="AO1083" s="4">
        <v>1</v>
      </c>
      <c r="AP1083" s="4">
        <v>0</v>
      </c>
      <c r="AQ1083" s="4">
        <v>0</v>
      </c>
      <c r="AR1083" s="4">
        <v>0</v>
      </c>
      <c r="AS1083" s="4">
        <v>0</v>
      </c>
      <c r="AT1083" s="4">
        <v>2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1</v>
      </c>
      <c r="BC1083" s="4">
        <v>0</v>
      </c>
      <c r="BD1083" s="4">
        <v>0</v>
      </c>
      <c r="BE1083" s="4">
        <v>1</v>
      </c>
      <c r="BF1083" s="4">
        <v>0</v>
      </c>
      <c r="BG1083" s="4">
        <v>0</v>
      </c>
      <c r="BH1083" s="4">
        <v>0</v>
      </c>
      <c r="BI1083" s="4">
        <v>0</v>
      </c>
      <c r="BJ1083" s="4">
        <v>1</v>
      </c>
      <c r="BK1083" s="4">
        <v>1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1</v>
      </c>
      <c r="BR1083" s="4">
        <v>0</v>
      </c>
      <c r="BS1083" s="4">
        <v>1</v>
      </c>
      <c r="BT1083" s="4">
        <v>2</v>
      </c>
      <c r="BU1083" s="4">
        <v>0</v>
      </c>
      <c r="BV1083" s="4">
        <v>0</v>
      </c>
      <c r="BW1083" s="4">
        <v>1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1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5">
        <v>0</v>
      </c>
    </row>
    <row r="1084" spans="1:102" ht="15.75" x14ac:dyDescent="0.25">
      <c r="A1084" s="4" t="s">
        <v>375</v>
      </c>
      <c r="B1084" s="4" t="s">
        <v>376</v>
      </c>
      <c r="C1084" s="4">
        <v>2022</v>
      </c>
      <c r="D1084" s="4">
        <v>26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6</v>
      </c>
      <c r="N1084" s="4">
        <v>2</v>
      </c>
      <c r="O1084" s="4">
        <v>3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1</v>
      </c>
      <c r="AK1084" s="4">
        <v>3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2</v>
      </c>
      <c r="AW1084" s="4">
        <v>0</v>
      </c>
      <c r="AX1084" s="4">
        <v>0</v>
      </c>
      <c r="AY1084" s="4">
        <v>0</v>
      </c>
      <c r="AZ1084" s="4">
        <v>1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1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1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1</v>
      </c>
      <c r="CJ1084" s="4">
        <v>1</v>
      </c>
      <c r="CK1084" s="4">
        <v>0</v>
      </c>
      <c r="CL1084" s="4">
        <v>0</v>
      </c>
      <c r="CM1084" s="4">
        <v>0</v>
      </c>
      <c r="CN1084" s="4">
        <v>1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5">
        <v>0</v>
      </c>
    </row>
    <row r="1085" spans="1:102" ht="15.75" x14ac:dyDescent="0.25">
      <c r="A1085" s="4" t="s">
        <v>377</v>
      </c>
      <c r="B1085" s="4" t="s">
        <v>378</v>
      </c>
      <c r="C1085" s="4">
        <v>2022</v>
      </c>
      <c r="D1085" s="4">
        <v>25</v>
      </c>
      <c r="E1085" s="4">
        <v>0</v>
      </c>
      <c r="F1085" s="4">
        <v>0</v>
      </c>
      <c r="G1085" s="4">
        <v>0</v>
      </c>
      <c r="H1085" s="4">
        <v>0</v>
      </c>
      <c r="I1085" s="4">
        <v>1</v>
      </c>
      <c r="J1085" s="4">
        <v>0</v>
      </c>
      <c r="K1085" s="4">
        <v>0</v>
      </c>
      <c r="L1085" s="4">
        <v>0</v>
      </c>
      <c r="M1085" s="4">
        <v>0</v>
      </c>
      <c r="N1085" s="4">
        <v>1</v>
      </c>
      <c r="O1085" s="4">
        <v>1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4</v>
      </c>
      <c r="AW1085" s="4">
        <v>0</v>
      </c>
      <c r="AX1085" s="4">
        <v>1</v>
      </c>
      <c r="AY1085" s="4">
        <v>0</v>
      </c>
      <c r="AZ1085" s="4">
        <v>1</v>
      </c>
      <c r="BA1085" s="4">
        <v>0</v>
      </c>
      <c r="BB1085" s="4">
        <v>0</v>
      </c>
      <c r="BC1085" s="4">
        <v>1</v>
      </c>
      <c r="BD1085" s="4">
        <v>0</v>
      </c>
      <c r="BE1085" s="4">
        <v>1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1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4</v>
      </c>
      <c r="BY1085" s="4">
        <v>1</v>
      </c>
      <c r="BZ1085" s="4">
        <v>0</v>
      </c>
      <c r="CA1085" s="4">
        <v>1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1</v>
      </c>
      <c r="CK1085" s="4">
        <v>0</v>
      </c>
      <c r="CL1085" s="4">
        <v>0</v>
      </c>
      <c r="CM1085" s="4">
        <v>0</v>
      </c>
      <c r="CN1085" s="4">
        <v>1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4">
        <v>0</v>
      </c>
      <c r="CV1085" s="4">
        <v>1</v>
      </c>
      <c r="CW1085" s="4">
        <v>0</v>
      </c>
      <c r="CX1085" s="5">
        <v>0</v>
      </c>
    </row>
    <row r="1086" spans="1:102" ht="15.75" x14ac:dyDescent="0.25">
      <c r="A1086" s="4" t="s">
        <v>379</v>
      </c>
      <c r="B1086" s="4" t="s">
        <v>380</v>
      </c>
      <c r="C1086" s="4">
        <v>2022</v>
      </c>
      <c r="D1086" s="4">
        <v>264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16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2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5</v>
      </c>
      <c r="AL1086" s="4">
        <v>0</v>
      </c>
      <c r="AM1086" s="4">
        <v>0</v>
      </c>
      <c r="AN1086" s="4">
        <v>0</v>
      </c>
      <c r="AO1086" s="4">
        <v>0</v>
      </c>
      <c r="AP1086" s="4">
        <v>1</v>
      </c>
      <c r="AQ1086" s="4">
        <v>0</v>
      </c>
      <c r="AR1086" s="4">
        <v>0</v>
      </c>
      <c r="AS1086" s="4">
        <v>0</v>
      </c>
      <c r="AT1086" s="4">
        <v>2</v>
      </c>
      <c r="AU1086" s="4">
        <v>1</v>
      </c>
      <c r="AV1086" s="4">
        <v>0</v>
      </c>
      <c r="AW1086" s="4">
        <v>0</v>
      </c>
      <c r="AX1086" s="4">
        <v>2</v>
      </c>
      <c r="AY1086" s="4">
        <v>0</v>
      </c>
      <c r="AZ1086" s="4">
        <v>1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1</v>
      </c>
      <c r="BK1086" s="4">
        <v>1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2</v>
      </c>
      <c r="BR1086" s="4">
        <v>0</v>
      </c>
      <c r="BS1086" s="4">
        <v>0</v>
      </c>
      <c r="BT1086" s="4">
        <v>0</v>
      </c>
      <c r="BU1086" s="4">
        <v>0</v>
      </c>
      <c r="BV1086" s="4">
        <v>1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101</v>
      </c>
      <c r="CJ1086" s="4">
        <v>50</v>
      </c>
      <c r="CK1086" s="4">
        <v>9</v>
      </c>
      <c r="CL1086" s="4">
        <v>0</v>
      </c>
      <c r="CM1086" s="4">
        <v>0</v>
      </c>
      <c r="CN1086" s="4">
        <v>0</v>
      </c>
      <c r="CO1086" s="4">
        <v>20</v>
      </c>
      <c r="CP1086" s="4">
        <v>12</v>
      </c>
      <c r="CQ1086" s="4">
        <v>0</v>
      </c>
      <c r="CR1086" s="4">
        <v>3</v>
      </c>
      <c r="CS1086" s="4">
        <v>22</v>
      </c>
      <c r="CT1086" s="4">
        <v>0</v>
      </c>
      <c r="CU1086" s="4">
        <v>0</v>
      </c>
      <c r="CV1086" s="4">
        <v>5</v>
      </c>
      <c r="CW1086" s="4">
        <v>1</v>
      </c>
      <c r="CX1086" s="5">
        <v>0</v>
      </c>
    </row>
    <row r="1087" spans="1:102" ht="15.75" x14ac:dyDescent="0.25">
      <c r="A1087" s="4" t="s">
        <v>381</v>
      </c>
      <c r="B1087" s="4" t="s">
        <v>382</v>
      </c>
      <c r="C1087" s="4">
        <v>2022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5">
        <v>0</v>
      </c>
    </row>
    <row r="1088" spans="1:102" ht="15.75" x14ac:dyDescent="0.25">
      <c r="A1088" s="4" t="s">
        <v>383</v>
      </c>
      <c r="B1088" s="4" t="s">
        <v>384</v>
      </c>
      <c r="C1088" s="4">
        <v>2022</v>
      </c>
      <c r="D1088" s="4">
        <v>62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1</v>
      </c>
      <c r="AB1088" s="4">
        <v>12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1</v>
      </c>
      <c r="AK1088" s="4">
        <v>0</v>
      </c>
      <c r="AL1088" s="4">
        <v>1</v>
      </c>
      <c r="AM1088" s="4">
        <v>1</v>
      </c>
      <c r="AN1088" s="4">
        <v>0</v>
      </c>
      <c r="AO1088" s="4">
        <v>1</v>
      </c>
      <c r="AP1088" s="4">
        <v>0</v>
      </c>
      <c r="AQ1088" s="4">
        <v>1</v>
      </c>
      <c r="AR1088" s="4">
        <v>0</v>
      </c>
      <c r="AS1088" s="4">
        <v>0</v>
      </c>
      <c r="AT1088" s="4">
        <v>0</v>
      </c>
      <c r="AU1088" s="4">
        <v>0</v>
      </c>
      <c r="AV1088" s="4">
        <v>1</v>
      </c>
      <c r="AW1088" s="4">
        <v>0</v>
      </c>
      <c r="AX1088" s="4">
        <v>3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2</v>
      </c>
      <c r="BF1088" s="4">
        <v>3</v>
      </c>
      <c r="BG1088" s="4">
        <v>0</v>
      </c>
      <c r="BH1088" s="4">
        <v>0</v>
      </c>
      <c r="BI1088" s="4">
        <v>0</v>
      </c>
      <c r="BJ1088" s="4">
        <v>21</v>
      </c>
      <c r="BK1088" s="4">
        <v>2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1</v>
      </c>
      <c r="BR1088" s="4">
        <v>0</v>
      </c>
      <c r="BS1088" s="4">
        <v>2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1</v>
      </c>
      <c r="CN1088" s="4">
        <v>4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1</v>
      </c>
      <c r="CU1088" s="4">
        <v>0</v>
      </c>
      <c r="CV1088" s="4">
        <v>0</v>
      </c>
      <c r="CW1088" s="4">
        <v>0</v>
      </c>
      <c r="CX1088" s="5">
        <v>0</v>
      </c>
    </row>
    <row r="1089" spans="1:102" ht="15.75" x14ac:dyDescent="0.25">
      <c r="A1089" s="4" t="s">
        <v>385</v>
      </c>
      <c r="B1089" s="4" t="s">
        <v>386</v>
      </c>
      <c r="C1089" s="4">
        <v>2022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0</v>
      </c>
      <c r="CS1089" s="4">
        <v>0</v>
      </c>
      <c r="CT1089" s="4">
        <v>0</v>
      </c>
      <c r="CU1089" s="4">
        <v>0</v>
      </c>
      <c r="CV1089" s="4">
        <v>0</v>
      </c>
      <c r="CW1089" s="4">
        <v>0</v>
      </c>
      <c r="CX1089" s="5">
        <v>0</v>
      </c>
    </row>
    <row r="1090" spans="1:102" ht="15.75" x14ac:dyDescent="0.25">
      <c r="A1090" s="4" t="s">
        <v>387</v>
      </c>
      <c r="B1090" s="4" t="s">
        <v>388</v>
      </c>
      <c r="C1090" s="4">
        <v>2022</v>
      </c>
      <c r="D1090" s="4">
        <v>369</v>
      </c>
      <c r="E1090" s="4">
        <v>0</v>
      </c>
      <c r="F1090" s="4">
        <v>2</v>
      </c>
      <c r="G1090" s="4">
        <v>1</v>
      </c>
      <c r="H1090" s="4">
        <v>1</v>
      </c>
      <c r="I1090" s="4">
        <v>9</v>
      </c>
      <c r="J1090" s="4">
        <v>2</v>
      </c>
      <c r="K1090" s="4">
        <v>2</v>
      </c>
      <c r="L1090" s="4">
        <v>6</v>
      </c>
      <c r="M1090" s="4">
        <v>4</v>
      </c>
      <c r="N1090" s="4">
        <v>7</v>
      </c>
      <c r="O1090" s="4">
        <v>14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71</v>
      </c>
      <c r="AB1090" s="4">
        <v>0</v>
      </c>
      <c r="AC1090" s="4">
        <v>0</v>
      </c>
      <c r="AD1090" s="4">
        <v>0</v>
      </c>
      <c r="AE1090" s="4">
        <v>1</v>
      </c>
      <c r="AF1090" s="4">
        <v>0</v>
      </c>
      <c r="AG1090" s="4">
        <v>1</v>
      </c>
      <c r="AH1090" s="4">
        <v>1</v>
      </c>
      <c r="AI1090" s="4">
        <v>5</v>
      </c>
      <c r="AJ1090" s="4">
        <v>15</v>
      </c>
      <c r="AK1090" s="4">
        <v>9</v>
      </c>
      <c r="AL1090" s="4">
        <v>0</v>
      </c>
      <c r="AM1090" s="4">
        <v>2</v>
      </c>
      <c r="AN1090" s="4">
        <v>10</v>
      </c>
      <c r="AO1090" s="4">
        <v>4</v>
      </c>
      <c r="AP1090" s="4">
        <v>0</v>
      </c>
      <c r="AQ1090" s="4">
        <v>3</v>
      </c>
      <c r="AR1090" s="4">
        <v>0</v>
      </c>
      <c r="AS1090" s="4">
        <v>22</v>
      </c>
      <c r="AT1090" s="4">
        <v>3</v>
      </c>
      <c r="AU1090" s="4">
        <v>1</v>
      </c>
      <c r="AV1090" s="4">
        <v>1</v>
      </c>
      <c r="AW1090" s="4">
        <v>3</v>
      </c>
      <c r="AX1090" s="4">
        <v>13</v>
      </c>
      <c r="AY1090" s="4">
        <v>0</v>
      </c>
      <c r="AZ1090" s="4">
        <v>1</v>
      </c>
      <c r="BA1090" s="4">
        <v>0</v>
      </c>
      <c r="BB1090" s="4">
        <v>1</v>
      </c>
      <c r="BC1090" s="4">
        <v>1</v>
      </c>
      <c r="BD1090" s="4">
        <v>0</v>
      </c>
      <c r="BE1090" s="4">
        <v>1</v>
      </c>
      <c r="BF1090" s="4">
        <v>2</v>
      </c>
      <c r="BG1090" s="4">
        <v>0</v>
      </c>
      <c r="BH1090" s="4">
        <v>0</v>
      </c>
      <c r="BI1090" s="4">
        <v>0</v>
      </c>
      <c r="BJ1090" s="4">
        <v>4</v>
      </c>
      <c r="BK1090" s="4">
        <v>7</v>
      </c>
      <c r="BL1090" s="4">
        <v>0</v>
      </c>
      <c r="BM1090" s="4">
        <v>2</v>
      </c>
      <c r="BN1090" s="4">
        <v>8</v>
      </c>
      <c r="BO1090" s="4">
        <v>1</v>
      </c>
      <c r="BP1090" s="4">
        <v>1</v>
      </c>
      <c r="BQ1090" s="4">
        <v>5</v>
      </c>
      <c r="BR1090" s="4">
        <v>1</v>
      </c>
      <c r="BS1090" s="4">
        <v>11</v>
      </c>
      <c r="BT1090" s="4">
        <v>3</v>
      </c>
      <c r="BU1090" s="4">
        <v>0</v>
      </c>
      <c r="BV1090" s="4">
        <v>3</v>
      </c>
      <c r="BW1090" s="4">
        <v>6</v>
      </c>
      <c r="BX1090" s="4">
        <v>16</v>
      </c>
      <c r="BY1090" s="4">
        <v>0</v>
      </c>
      <c r="BZ1090" s="4">
        <v>0</v>
      </c>
      <c r="CA1090" s="4">
        <v>10</v>
      </c>
      <c r="CB1090" s="4">
        <v>32</v>
      </c>
      <c r="CC1090" s="4">
        <v>0</v>
      </c>
      <c r="CD1090" s="4">
        <v>1</v>
      </c>
      <c r="CE1090" s="4">
        <v>0</v>
      </c>
      <c r="CF1090" s="4">
        <v>1</v>
      </c>
      <c r="CG1090" s="4">
        <v>1</v>
      </c>
      <c r="CH1090" s="4">
        <v>1</v>
      </c>
      <c r="CI1090" s="4">
        <v>1</v>
      </c>
      <c r="CJ1090" s="4">
        <v>6</v>
      </c>
      <c r="CK1090" s="4">
        <v>0</v>
      </c>
      <c r="CL1090" s="4">
        <v>0</v>
      </c>
      <c r="CM1090" s="4">
        <v>3</v>
      </c>
      <c r="CN1090" s="4">
        <v>5</v>
      </c>
      <c r="CO1090" s="4">
        <v>0</v>
      </c>
      <c r="CP1090" s="4">
        <v>0</v>
      </c>
      <c r="CQ1090" s="4">
        <v>0</v>
      </c>
      <c r="CR1090" s="4">
        <v>2</v>
      </c>
      <c r="CS1090" s="4">
        <v>1</v>
      </c>
      <c r="CT1090" s="4">
        <v>4</v>
      </c>
      <c r="CU1090" s="4">
        <v>1</v>
      </c>
      <c r="CV1090" s="4">
        <v>13</v>
      </c>
      <c r="CW1090" s="4">
        <v>3</v>
      </c>
      <c r="CX1090" s="5">
        <v>3</v>
      </c>
    </row>
    <row r="1091" spans="1:102" ht="15.75" x14ac:dyDescent="0.25">
      <c r="A1091" s="4" t="s">
        <v>389</v>
      </c>
      <c r="B1091" s="4" t="s">
        <v>390</v>
      </c>
      <c r="C1091" s="4">
        <v>2022</v>
      </c>
      <c r="D1091" s="4">
        <v>74</v>
      </c>
      <c r="E1091" s="4">
        <v>0</v>
      </c>
      <c r="F1091" s="4">
        <v>0</v>
      </c>
      <c r="G1091" s="4">
        <v>0</v>
      </c>
      <c r="H1091" s="4">
        <v>0</v>
      </c>
      <c r="I1091" s="4">
        <v>5</v>
      </c>
      <c r="J1091" s="4">
        <v>0</v>
      </c>
      <c r="K1091" s="4">
        <v>0</v>
      </c>
      <c r="L1091" s="4">
        <v>0</v>
      </c>
      <c r="M1091" s="4">
        <v>0</v>
      </c>
      <c r="N1091" s="4">
        <v>3</v>
      </c>
      <c r="O1091" s="4">
        <v>6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1</v>
      </c>
      <c r="AJ1091" s="4">
        <v>9</v>
      </c>
      <c r="AK1091" s="4">
        <v>2</v>
      </c>
      <c r="AL1091" s="4">
        <v>0</v>
      </c>
      <c r="AM1091" s="4">
        <v>1</v>
      </c>
      <c r="AN1091" s="4">
        <v>0</v>
      </c>
      <c r="AO1091" s="4">
        <v>1</v>
      </c>
      <c r="AP1091" s="4">
        <v>0</v>
      </c>
      <c r="AQ1091" s="4">
        <v>0</v>
      </c>
      <c r="AR1091" s="4">
        <v>0</v>
      </c>
      <c r="AS1091" s="4">
        <v>0</v>
      </c>
      <c r="AT1091" s="4">
        <v>3</v>
      </c>
      <c r="AU1091" s="4">
        <v>1</v>
      </c>
      <c r="AV1091" s="4">
        <v>0</v>
      </c>
      <c r="AW1091" s="4">
        <v>0</v>
      </c>
      <c r="AX1091" s="4">
        <v>1</v>
      </c>
      <c r="AY1091" s="4">
        <v>0</v>
      </c>
      <c r="AZ1091" s="4">
        <v>0</v>
      </c>
      <c r="BA1091" s="4">
        <v>0</v>
      </c>
      <c r="BB1091" s="4">
        <v>1</v>
      </c>
      <c r="BC1091" s="4">
        <v>0</v>
      </c>
      <c r="BD1091" s="4">
        <v>0</v>
      </c>
      <c r="BE1091" s="4">
        <v>1</v>
      </c>
      <c r="BF1091" s="4">
        <v>3</v>
      </c>
      <c r="BG1091" s="4">
        <v>0</v>
      </c>
      <c r="BH1091" s="4">
        <v>0</v>
      </c>
      <c r="BI1091" s="4">
        <v>0</v>
      </c>
      <c r="BJ1091" s="4">
        <v>2</v>
      </c>
      <c r="BK1091" s="4">
        <v>2</v>
      </c>
      <c r="BL1091" s="4">
        <v>0</v>
      </c>
      <c r="BM1091" s="4">
        <v>0</v>
      </c>
      <c r="BN1091" s="4">
        <v>1</v>
      </c>
      <c r="BO1091" s="4">
        <v>0</v>
      </c>
      <c r="BP1091" s="4">
        <v>0</v>
      </c>
      <c r="BQ1091" s="4">
        <v>2</v>
      </c>
      <c r="BR1091" s="4">
        <v>0</v>
      </c>
      <c r="BS1091" s="4">
        <v>2</v>
      </c>
      <c r="BT1091" s="4">
        <v>1</v>
      </c>
      <c r="BU1091" s="4">
        <v>0</v>
      </c>
      <c r="BV1091" s="4">
        <v>2</v>
      </c>
      <c r="BW1091" s="4">
        <v>3</v>
      </c>
      <c r="BX1091" s="4">
        <v>8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1</v>
      </c>
      <c r="CK1091" s="4">
        <v>0</v>
      </c>
      <c r="CL1091" s="4">
        <v>0</v>
      </c>
      <c r="CM1091" s="4">
        <v>0</v>
      </c>
      <c r="CN1091" s="4">
        <v>1</v>
      </c>
      <c r="CO1091" s="4">
        <v>0</v>
      </c>
      <c r="CP1091" s="4">
        <v>0</v>
      </c>
      <c r="CQ1091" s="4">
        <v>0</v>
      </c>
      <c r="CR1091" s="4">
        <v>0</v>
      </c>
      <c r="CS1091" s="4">
        <v>0</v>
      </c>
      <c r="CT1091" s="4">
        <v>1</v>
      </c>
      <c r="CU1091" s="4">
        <v>0</v>
      </c>
      <c r="CV1091" s="4">
        <v>3</v>
      </c>
      <c r="CW1091" s="4">
        <v>0</v>
      </c>
      <c r="CX1091" s="5">
        <v>0</v>
      </c>
    </row>
    <row r="1092" spans="1:102" ht="15.75" x14ac:dyDescent="0.25">
      <c r="A1092" s="4" t="s">
        <v>391</v>
      </c>
      <c r="B1092" s="4" t="s">
        <v>392</v>
      </c>
      <c r="C1092" s="4">
        <v>2022</v>
      </c>
      <c r="D1092" s="4">
        <v>19</v>
      </c>
      <c r="E1092" s="4">
        <v>0</v>
      </c>
      <c r="F1092" s="4">
        <v>0</v>
      </c>
      <c r="G1092" s="4">
        <v>1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1</v>
      </c>
      <c r="O1092" s="4">
        <v>1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1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1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3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2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1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1</v>
      </c>
      <c r="CK1092" s="4">
        <v>0</v>
      </c>
      <c r="CL1092" s="4">
        <v>0</v>
      </c>
      <c r="CM1092" s="4">
        <v>0</v>
      </c>
      <c r="CN1092" s="4">
        <v>1</v>
      </c>
      <c r="CO1092" s="4">
        <v>0</v>
      </c>
      <c r="CP1092" s="4">
        <v>0</v>
      </c>
      <c r="CQ1092" s="4">
        <v>0</v>
      </c>
      <c r="CR1092" s="4">
        <v>0</v>
      </c>
      <c r="CS1092" s="4">
        <v>0</v>
      </c>
      <c r="CT1092" s="4">
        <v>0</v>
      </c>
      <c r="CU1092" s="4">
        <v>0</v>
      </c>
      <c r="CV1092" s="4">
        <v>1</v>
      </c>
      <c r="CW1092" s="4">
        <v>0</v>
      </c>
      <c r="CX1092" s="5">
        <v>0</v>
      </c>
    </row>
    <row r="1093" spans="1:102" ht="15.75" x14ac:dyDescent="0.25">
      <c r="A1093" s="4" t="s">
        <v>393</v>
      </c>
      <c r="B1093" s="4" t="s">
        <v>394</v>
      </c>
      <c r="C1093" s="4">
        <v>2022</v>
      </c>
      <c r="D1093" s="4">
        <v>16</v>
      </c>
      <c r="E1093" s="4">
        <v>0</v>
      </c>
      <c r="F1093" s="4">
        <v>0</v>
      </c>
      <c r="G1093" s="4">
        <v>1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1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1</v>
      </c>
      <c r="BO1093" s="4">
        <v>0</v>
      </c>
      <c r="BP1093" s="4">
        <v>0</v>
      </c>
      <c r="BQ1093" s="4">
        <v>1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1</v>
      </c>
      <c r="BX1093" s="4">
        <v>1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2</v>
      </c>
      <c r="CO1093" s="4">
        <v>4</v>
      </c>
      <c r="CP1093" s="4">
        <v>0</v>
      </c>
      <c r="CQ1093" s="4">
        <v>0</v>
      </c>
      <c r="CR1093" s="4">
        <v>0</v>
      </c>
      <c r="CS1093" s="4">
        <v>0</v>
      </c>
      <c r="CT1093" s="4">
        <v>0</v>
      </c>
      <c r="CU1093" s="4">
        <v>0</v>
      </c>
      <c r="CV1093" s="4">
        <v>0</v>
      </c>
      <c r="CW1093" s="4">
        <v>0</v>
      </c>
      <c r="CX1093" s="5">
        <v>0</v>
      </c>
    </row>
    <row r="1094" spans="1:102" ht="15.75" x14ac:dyDescent="0.25">
      <c r="A1094" s="4" t="s">
        <v>395</v>
      </c>
      <c r="B1094" s="4" t="s">
        <v>396</v>
      </c>
      <c r="C1094" s="4">
        <v>2022</v>
      </c>
      <c r="D1094" s="4">
        <v>1465</v>
      </c>
      <c r="E1094" s="4">
        <v>0</v>
      </c>
      <c r="F1094" s="4">
        <v>0</v>
      </c>
      <c r="G1094" s="4">
        <v>0</v>
      </c>
      <c r="H1094" s="4">
        <v>0</v>
      </c>
      <c r="I1094" s="4">
        <v>1</v>
      </c>
      <c r="J1094" s="4">
        <v>1</v>
      </c>
      <c r="K1094" s="4">
        <v>0</v>
      </c>
      <c r="L1094" s="4">
        <v>13</v>
      </c>
      <c r="M1094" s="4">
        <v>5</v>
      </c>
      <c r="N1094" s="4">
        <v>5</v>
      </c>
      <c r="O1094" s="4">
        <v>156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2</v>
      </c>
      <c r="W1094" s="4">
        <v>0</v>
      </c>
      <c r="X1094" s="4">
        <v>2</v>
      </c>
      <c r="Y1094" s="4">
        <v>0</v>
      </c>
      <c r="Z1094" s="4">
        <v>0</v>
      </c>
      <c r="AA1094" s="4">
        <v>1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78</v>
      </c>
      <c r="AH1094" s="4">
        <v>6</v>
      </c>
      <c r="AI1094" s="4">
        <v>8</v>
      </c>
      <c r="AJ1094" s="4">
        <v>186</v>
      </c>
      <c r="AK1094" s="4">
        <v>25</v>
      </c>
      <c r="AL1094" s="4">
        <v>8</v>
      </c>
      <c r="AM1094" s="4">
        <v>16</v>
      </c>
      <c r="AN1094" s="4">
        <v>16</v>
      </c>
      <c r="AO1094" s="4">
        <v>52</v>
      </c>
      <c r="AP1094" s="4">
        <v>4</v>
      </c>
      <c r="AQ1094" s="4">
        <v>10</v>
      </c>
      <c r="AR1094" s="4">
        <v>1</v>
      </c>
      <c r="AS1094" s="4">
        <v>7</v>
      </c>
      <c r="AT1094" s="4">
        <v>8</v>
      </c>
      <c r="AU1094" s="4">
        <v>11</v>
      </c>
      <c r="AV1094" s="4">
        <v>63</v>
      </c>
      <c r="AW1094" s="4">
        <v>16</v>
      </c>
      <c r="AX1094" s="4">
        <v>40</v>
      </c>
      <c r="AY1094" s="4">
        <v>0</v>
      </c>
      <c r="AZ1094" s="4">
        <v>25</v>
      </c>
      <c r="BA1094" s="4">
        <v>0</v>
      </c>
      <c r="BB1094" s="4">
        <v>48</v>
      </c>
      <c r="BC1094" s="4">
        <v>11</v>
      </c>
      <c r="BD1094" s="4">
        <v>0</v>
      </c>
      <c r="BE1094" s="4">
        <v>22</v>
      </c>
      <c r="BF1094" s="4">
        <v>46</v>
      </c>
      <c r="BG1094" s="4">
        <v>7</v>
      </c>
      <c r="BH1094" s="4">
        <v>11</v>
      </c>
      <c r="BI1094" s="4">
        <v>0</v>
      </c>
      <c r="BJ1094" s="4">
        <v>40</v>
      </c>
      <c r="BK1094" s="4">
        <v>46</v>
      </c>
      <c r="BL1094" s="4">
        <v>0</v>
      </c>
      <c r="BM1094" s="4">
        <v>5</v>
      </c>
      <c r="BN1094" s="4">
        <v>12</v>
      </c>
      <c r="BO1094" s="4">
        <v>0</v>
      </c>
      <c r="BP1094" s="4">
        <v>3</v>
      </c>
      <c r="BQ1094" s="4">
        <v>12</v>
      </c>
      <c r="BR1094" s="4">
        <v>3</v>
      </c>
      <c r="BS1094" s="4">
        <v>48</v>
      </c>
      <c r="BT1094" s="4">
        <v>19</v>
      </c>
      <c r="BU1094" s="4">
        <v>0</v>
      </c>
      <c r="BV1094" s="4">
        <v>26</v>
      </c>
      <c r="BW1094" s="4">
        <v>40</v>
      </c>
      <c r="BX1094" s="4">
        <v>126</v>
      </c>
      <c r="BY1094" s="4">
        <v>0</v>
      </c>
      <c r="BZ1094" s="4">
        <v>0</v>
      </c>
      <c r="CA1094" s="4">
        <v>32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1</v>
      </c>
      <c r="CH1094" s="4">
        <v>1</v>
      </c>
      <c r="CI1094" s="4">
        <v>1</v>
      </c>
      <c r="CJ1094" s="4">
        <v>7</v>
      </c>
      <c r="CK1094" s="4">
        <v>0</v>
      </c>
      <c r="CL1094" s="4">
        <v>0</v>
      </c>
      <c r="CM1094" s="4">
        <v>10</v>
      </c>
      <c r="CN1094" s="4">
        <v>35</v>
      </c>
      <c r="CO1094" s="4">
        <v>1</v>
      </c>
      <c r="CP1094" s="4">
        <v>1</v>
      </c>
      <c r="CQ1094" s="4">
        <v>0</v>
      </c>
      <c r="CR1094" s="4">
        <v>6</v>
      </c>
      <c r="CS1094" s="4">
        <v>2</v>
      </c>
      <c r="CT1094" s="4">
        <v>13</v>
      </c>
      <c r="CU1094" s="4">
        <v>0</v>
      </c>
      <c r="CV1094" s="4">
        <v>60</v>
      </c>
      <c r="CW1094" s="4">
        <v>5</v>
      </c>
      <c r="CX1094" s="5">
        <v>5</v>
      </c>
    </row>
    <row r="1095" spans="1:102" ht="15.75" x14ac:dyDescent="0.25">
      <c r="A1095" s="4" t="s">
        <v>397</v>
      </c>
      <c r="B1095" s="4" t="s">
        <v>398</v>
      </c>
      <c r="C1095" s="4">
        <v>2022</v>
      </c>
      <c r="D1095" s="4">
        <v>1843</v>
      </c>
      <c r="E1095" s="4">
        <v>0</v>
      </c>
      <c r="F1095" s="4">
        <v>1</v>
      </c>
      <c r="G1095" s="4">
        <v>8</v>
      </c>
      <c r="H1095" s="4">
        <v>3</v>
      </c>
      <c r="I1095" s="4">
        <v>9</v>
      </c>
      <c r="J1095" s="4">
        <v>3</v>
      </c>
      <c r="K1095" s="4">
        <v>2</v>
      </c>
      <c r="L1095" s="4">
        <v>10</v>
      </c>
      <c r="M1095" s="4">
        <v>19</v>
      </c>
      <c r="N1095" s="4">
        <v>11</v>
      </c>
      <c r="O1095" s="4">
        <v>39</v>
      </c>
      <c r="P1095" s="4">
        <v>0</v>
      </c>
      <c r="Q1095" s="4">
        <v>0</v>
      </c>
      <c r="R1095" s="4">
        <v>1</v>
      </c>
      <c r="S1095" s="4">
        <v>0</v>
      </c>
      <c r="T1095" s="4">
        <v>72</v>
      </c>
      <c r="U1095" s="4">
        <v>0</v>
      </c>
      <c r="V1095" s="4">
        <v>3</v>
      </c>
      <c r="W1095" s="4">
        <v>60</v>
      </c>
      <c r="X1095" s="4">
        <v>1</v>
      </c>
      <c r="Y1095" s="4">
        <v>0</v>
      </c>
      <c r="Z1095" s="4">
        <v>0</v>
      </c>
      <c r="AA1095" s="4">
        <v>2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7</v>
      </c>
      <c r="AH1095" s="4">
        <v>228</v>
      </c>
      <c r="AI1095" s="4">
        <v>12</v>
      </c>
      <c r="AJ1095" s="4">
        <v>37</v>
      </c>
      <c r="AK1095" s="4">
        <v>22</v>
      </c>
      <c r="AL1095" s="4">
        <v>1</v>
      </c>
      <c r="AM1095" s="4">
        <v>28</v>
      </c>
      <c r="AN1095" s="4">
        <v>21</v>
      </c>
      <c r="AO1095" s="4">
        <v>34</v>
      </c>
      <c r="AP1095" s="4">
        <v>2</v>
      </c>
      <c r="AQ1095" s="4">
        <v>8</v>
      </c>
      <c r="AR1095" s="4">
        <v>1</v>
      </c>
      <c r="AS1095" s="4">
        <v>8</v>
      </c>
      <c r="AT1095" s="4">
        <v>19</v>
      </c>
      <c r="AU1095" s="4">
        <v>23</v>
      </c>
      <c r="AV1095" s="4">
        <v>14</v>
      </c>
      <c r="AW1095" s="4">
        <v>21</v>
      </c>
      <c r="AX1095" s="4">
        <v>30</v>
      </c>
      <c r="AY1095" s="4">
        <v>1</v>
      </c>
      <c r="AZ1095" s="4">
        <v>5</v>
      </c>
      <c r="BA1095" s="4">
        <v>0</v>
      </c>
      <c r="BB1095" s="4">
        <v>177</v>
      </c>
      <c r="BC1095" s="4">
        <v>12</v>
      </c>
      <c r="BD1095" s="4">
        <v>0</v>
      </c>
      <c r="BE1095" s="4">
        <v>13</v>
      </c>
      <c r="BF1095" s="4">
        <v>30</v>
      </c>
      <c r="BG1095" s="4">
        <v>1</v>
      </c>
      <c r="BH1095" s="4">
        <v>2</v>
      </c>
      <c r="BI1095" s="4">
        <v>0</v>
      </c>
      <c r="BJ1095" s="4">
        <v>45</v>
      </c>
      <c r="BK1095" s="4">
        <v>52</v>
      </c>
      <c r="BL1095" s="4">
        <v>0</v>
      </c>
      <c r="BM1095" s="4">
        <v>4</v>
      </c>
      <c r="BN1095" s="4">
        <v>12</v>
      </c>
      <c r="BO1095" s="4">
        <v>0</v>
      </c>
      <c r="BP1095" s="4">
        <v>2</v>
      </c>
      <c r="BQ1095" s="4">
        <v>15</v>
      </c>
      <c r="BR1095" s="4">
        <v>2</v>
      </c>
      <c r="BS1095" s="4">
        <v>115</v>
      </c>
      <c r="BT1095" s="4">
        <v>44</v>
      </c>
      <c r="BU1095" s="4">
        <v>1</v>
      </c>
      <c r="BV1095" s="4">
        <v>24</v>
      </c>
      <c r="BW1095" s="4">
        <v>6</v>
      </c>
      <c r="BX1095" s="4">
        <v>337</v>
      </c>
      <c r="BY1095" s="4">
        <v>2</v>
      </c>
      <c r="BZ1095" s="4">
        <v>0</v>
      </c>
      <c r="CA1095" s="4">
        <v>25</v>
      </c>
      <c r="CB1095" s="4">
        <v>1</v>
      </c>
      <c r="CC1095" s="4">
        <v>0</v>
      </c>
      <c r="CD1095" s="4">
        <v>1</v>
      </c>
      <c r="CE1095" s="4">
        <v>0</v>
      </c>
      <c r="CF1095" s="4">
        <v>1</v>
      </c>
      <c r="CG1095" s="4">
        <v>1</v>
      </c>
      <c r="CH1095" s="4">
        <v>1</v>
      </c>
      <c r="CI1095" s="4">
        <v>6</v>
      </c>
      <c r="CJ1095" s="4">
        <v>6</v>
      </c>
      <c r="CK1095" s="4">
        <v>2</v>
      </c>
      <c r="CL1095" s="4">
        <v>0</v>
      </c>
      <c r="CM1095" s="4">
        <v>22</v>
      </c>
      <c r="CN1095" s="4">
        <v>56</v>
      </c>
      <c r="CO1095" s="4">
        <v>5</v>
      </c>
      <c r="CP1095" s="4">
        <v>4</v>
      </c>
      <c r="CQ1095" s="4">
        <v>0</v>
      </c>
      <c r="CR1095" s="4">
        <v>6</v>
      </c>
      <c r="CS1095" s="4">
        <v>8</v>
      </c>
      <c r="CT1095" s="4">
        <v>9</v>
      </c>
      <c r="CU1095" s="4">
        <v>1</v>
      </c>
      <c r="CV1095" s="4">
        <v>20</v>
      </c>
      <c r="CW1095" s="4">
        <v>4</v>
      </c>
      <c r="CX1095" s="5">
        <v>4</v>
      </c>
    </row>
    <row r="1096" spans="1:102" ht="15.75" x14ac:dyDescent="0.25">
      <c r="A1096" s="4" t="s">
        <v>399</v>
      </c>
      <c r="B1096" s="4" t="s">
        <v>400</v>
      </c>
      <c r="C1096" s="4">
        <v>2022</v>
      </c>
      <c r="D1096" s="4">
        <v>29</v>
      </c>
      <c r="E1096" s="4">
        <v>0</v>
      </c>
      <c r="F1096" s="4">
        <v>1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1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</v>
      </c>
      <c r="AH1096" s="4">
        <v>0</v>
      </c>
      <c r="AI1096" s="4">
        <v>0</v>
      </c>
      <c r="AJ1096" s="4">
        <v>1</v>
      </c>
      <c r="AK1096" s="4">
        <v>0</v>
      </c>
      <c r="AL1096" s="4">
        <v>1</v>
      </c>
      <c r="AM1096" s="4">
        <v>0</v>
      </c>
      <c r="AN1096" s="4">
        <v>0</v>
      </c>
      <c r="AO1096" s="4">
        <v>1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1</v>
      </c>
      <c r="AV1096" s="4">
        <v>0</v>
      </c>
      <c r="AW1096" s="4">
        <v>0</v>
      </c>
      <c r="AX1096" s="4">
        <v>1</v>
      </c>
      <c r="AY1096" s="4">
        <v>0</v>
      </c>
      <c r="AZ1096" s="4">
        <v>0</v>
      </c>
      <c r="BA1096" s="4">
        <v>0</v>
      </c>
      <c r="BB1096" s="4">
        <v>1</v>
      </c>
      <c r="BC1096" s="4">
        <v>0</v>
      </c>
      <c r="BD1096" s="4">
        <v>0</v>
      </c>
      <c r="BE1096" s="4">
        <v>1</v>
      </c>
      <c r="BF1096" s="4">
        <v>1</v>
      </c>
      <c r="BG1096" s="4">
        <v>0</v>
      </c>
      <c r="BH1096" s="4">
        <v>0</v>
      </c>
      <c r="BI1096" s="4">
        <v>0</v>
      </c>
      <c r="BJ1096" s="4">
        <v>2</v>
      </c>
      <c r="BK1096" s="4">
        <v>1</v>
      </c>
      <c r="BL1096" s="4">
        <v>0</v>
      </c>
      <c r="BM1096" s="4">
        <v>0</v>
      </c>
      <c r="BN1096" s="4">
        <v>1</v>
      </c>
      <c r="BO1096" s="4">
        <v>0</v>
      </c>
      <c r="BP1096" s="4">
        <v>0</v>
      </c>
      <c r="BQ1096" s="4">
        <v>3</v>
      </c>
      <c r="BR1096" s="4">
        <v>0</v>
      </c>
      <c r="BS1096" s="4">
        <v>1</v>
      </c>
      <c r="BT1096" s="4">
        <v>0</v>
      </c>
      <c r="BU1096" s="4">
        <v>0</v>
      </c>
      <c r="BV1096" s="4">
        <v>0</v>
      </c>
      <c r="BW1096" s="4">
        <v>4</v>
      </c>
      <c r="BX1096" s="4">
        <v>2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1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1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5">
        <v>0</v>
      </c>
    </row>
    <row r="1097" spans="1:102" ht="15.75" x14ac:dyDescent="0.25">
      <c r="A1097" s="4" t="s">
        <v>401</v>
      </c>
      <c r="B1097" s="4" t="s">
        <v>402</v>
      </c>
      <c r="C1097" s="4">
        <v>2022</v>
      </c>
      <c r="D1097" s="4">
        <v>79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1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1</v>
      </c>
      <c r="AK1097" s="4">
        <v>0</v>
      </c>
      <c r="AL1097" s="4">
        <v>4</v>
      </c>
      <c r="AM1097" s="4">
        <v>2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2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1</v>
      </c>
      <c r="BF1097" s="4">
        <v>3</v>
      </c>
      <c r="BG1097" s="4">
        <v>0</v>
      </c>
      <c r="BH1097" s="4">
        <v>0</v>
      </c>
      <c r="BI1097" s="4">
        <v>0</v>
      </c>
      <c r="BJ1097" s="4">
        <v>2</v>
      </c>
      <c r="BK1097" s="4">
        <v>2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1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42</v>
      </c>
      <c r="BX1097" s="4">
        <v>8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1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1</v>
      </c>
      <c r="CU1097" s="4">
        <v>0</v>
      </c>
      <c r="CV1097" s="4">
        <v>1</v>
      </c>
      <c r="CW1097" s="4">
        <v>0</v>
      </c>
      <c r="CX1097" s="5">
        <v>0</v>
      </c>
    </row>
    <row r="1098" spans="1:102" ht="15.75" x14ac:dyDescent="0.25">
      <c r="A1098" s="4" t="s">
        <v>403</v>
      </c>
      <c r="B1098" s="4" t="s">
        <v>404</v>
      </c>
      <c r="C1098" s="4">
        <v>2022</v>
      </c>
      <c r="D1098" s="4">
        <v>19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1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3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3</v>
      </c>
      <c r="BX1098" s="4">
        <v>9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5">
        <v>0</v>
      </c>
    </row>
    <row r="1099" spans="1:102" ht="15.75" x14ac:dyDescent="0.25">
      <c r="A1099" s="4" t="s">
        <v>405</v>
      </c>
      <c r="B1099" s="4" t="s">
        <v>406</v>
      </c>
      <c r="C1099" s="4">
        <v>2022</v>
      </c>
      <c r="D1099" s="4">
        <v>5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3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1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5">
        <v>0</v>
      </c>
    </row>
    <row r="1100" spans="1:102" ht="15.75" x14ac:dyDescent="0.25">
      <c r="A1100" s="4" t="s">
        <v>407</v>
      </c>
      <c r="B1100" s="4" t="s">
        <v>408</v>
      </c>
      <c r="C1100" s="4">
        <v>2022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5">
        <v>0</v>
      </c>
    </row>
    <row r="1101" spans="1:102" ht="15.75" x14ac:dyDescent="0.25">
      <c r="A1101" s="4" t="s">
        <v>409</v>
      </c>
      <c r="B1101" s="4" t="s">
        <v>410</v>
      </c>
      <c r="C1101" s="4">
        <v>2022</v>
      </c>
      <c r="D1101" s="4">
        <v>1629</v>
      </c>
      <c r="E1101" s="4">
        <v>0</v>
      </c>
      <c r="F1101" s="4">
        <v>1</v>
      </c>
      <c r="G1101" s="4">
        <v>4</v>
      </c>
      <c r="H1101" s="4">
        <v>8</v>
      </c>
      <c r="I1101" s="4">
        <v>12</v>
      </c>
      <c r="J1101" s="4">
        <v>31</v>
      </c>
      <c r="K1101" s="4">
        <v>0</v>
      </c>
      <c r="L1101" s="4">
        <v>2</v>
      </c>
      <c r="M1101" s="4">
        <v>5</v>
      </c>
      <c r="N1101" s="4">
        <v>21</v>
      </c>
      <c r="O1101" s="4">
        <v>27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12</v>
      </c>
      <c r="V1101" s="4">
        <v>1</v>
      </c>
      <c r="W1101" s="4">
        <v>0</v>
      </c>
      <c r="X1101" s="4">
        <v>3</v>
      </c>
      <c r="Y1101" s="4">
        <v>0</v>
      </c>
      <c r="Z1101" s="4">
        <v>0</v>
      </c>
      <c r="AA1101" s="4">
        <v>932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4</v>
      </c>
      <c r="AH1101" s="4">
        <v>3</v>
      </c>
      <c r="AI1101" s="4">
        <v>10</v>
      </c>
      <c r="AJ1101" s="4">
        <v>35</v>
      </c>
      <c r="AK1101" s="4">
        <v>51</v>
      </c>
      <c r="AL1101" s="4">
        <v>2</v>
      </c>
      <c r="AM1101" s="4">
        <v>4</v>
      </c>
      <c r="AN1101" s="4">
        <v>8</v>
      </c>
      <c r="AO1101" s="4">
        <v>14</v>
      </c>
      <c r="AP1101" s="4">
        <v>1</v>
      </c>
      <c r="AQ1101" s="4">
        <v>3</v>
      </c>
      <c r="AR1101" s="4">
        <v>0</v>
      </c>
      <c r="AS1101" s="4">
        <v>5</v>
      </c>
      <c r="AT1101" s="4">
        <v>55</v>
      </c>
      <c r="AU1101" s="4">
        <v>3</v>
      </c>
      <c r="AV1101" s="4">
        <v>5</v>
      </c>
      <c r="AW1101" s="4">
        <v>1</v>
      </c>
      <c r="AX1101" s="4">
        <v>15</v>
      </c>
      <c r="AY1101" s="4">
        <v>6</v>
      </c>
      <c r="AZ1101" s="4">
        <v>28</v>
      </c>
      <c r="BA1101" s="4">
        <v>0</v>
      </c>
      <c r="BB1101" s="4">
        <v>37</v>
      </c>
      <c r="BC1101" s="4">
        <v>13</v>
      </c>
      <c r="BD1101" s="4">
        <v>0</v>
      </c>
      <c r="BE1101" s="4">
        <v>13</v>
      </c>
      <c r="BF1101" s="4">
        <v>11</v>
      </c>
      <c r="BG1101" s="4">
        <v>2</v>
      </c>
      <c r="BH1101" s="4">
        <v>3</v>
      </c>
      <c r="BI1101" s="4">
        <v>0</v>
      </c>
      <c r="BJ1101" s="4">
        <v>30</v>
      </c>
      <c r="BK1101" s="4">
        <v>23</v>
      </c>
      <c r="BL1101" s="4">
        <v>0</v>
      </c>
      <c r="BM1101" s="4">
        <v>2</v>
      </c>
      <c r="BN1101" s="4">
        <v>12</v>
      </c>
      <c r="BO1101" s="4">
        <v>0</v>
      </c>
      <c r="BP1101" s="4">
        <v>2</v>
      </c>
      <c r="BQ1101" s="4">
        <v>17</v>
      </c>
      <c r="BR1101" s="4">
        <v>1</v>
      </c>
      <c r="BS1101" s="4">
        <v>16</v>
      </c>
      <c r="BT1101" s="4">
        <v>12</v>
      </c>
      <c r="BU1101" s="4">
        <v>1</v>
      </c>
      <c r="BV1101" s="4">
        <v>11</v>
      </c>
      <c r="BW1101" s="4">
        <v>7</v>
      </c>
      <c r="BX1101" s="4">
        <v>30</v>
      </c>
      <c r="BY1101" s="4">
        <v>0</v>
      </c>
      <c r="BZ1101" s="4">
        <v>0</v>
      </c>
      <c r="CA1101" s="4">
        <v>5</v>
      </c>
      <c r="CB1101" s="4">
        <v>2</v>
      </c>
      <c r="CC1101" s="4">
        <v>0</v>
      </c>
      <c r="CD1101" s="4">
        <v>4</v>
      </c>
      <c r="CE1101" s="4">
        <v>0</v>
      </c>
      <c r="CF1101" s="4">
        <v>6</v>
      </c>
      <c r="CG1101" s="4">
        <v>0</v>
      </c>
      <c r="CH1101" s="4">
        <v>1</v>
      </c>
      <c r="CI1101" s="4">
        <v>0</v>
      </c>
      <c r="CJ1101" s="4">
        <v>5</v>
      </c>
      <c r="CK1101" s="4">
        <v>1</v>
      </c>
      <c r="CL1101" s="4">
        <v>0</v>
      </c>
      <c r="CM1101" s="4">
        <v>5</v>
      </c>
      <c r="CN1101" s="4">
        <v>15</v>
      </c>
      <c r="CO1101" s="4">
        <v>1</v>
      </c>
      <c r="CP1101" s="4">
        <v>1</v>
      </c>
      <c r="CQ1101" s="4">
        <v>0</v>
      </c>
      <c r="CR1101" s="4">
        <v>2</v>
      </c>
      <c r="CS1101" s="4">
        <v>4</v>
      </c>
      <c r="CT1101" s="4">
        <v>4</v>
      </c>
      <c r="CU1101" s="4">
        <v>0</v>
      </c>
      <c r="CV1101" s="4">
        <v>15</v>
      </c>
      <c r="CW1101" s="4">
        <v>2</v>
      </c>
      <c r="CX1101" s="5">
        <v>2</v>
      </c>
    </row>
    <row r="1102" spans="1:102" ht="15.75" x14ac:dyDescent="0.25">
      <c r="A1102" s="4" t="s">
        <v>411</v>
      </c>
      <c r="B1102" s="4" t="s">
        <v>412</v>
      </c>
      <c r="C1102" s="4">
        <v>2022</v>
      </c>
      <c r="D1102" s="4">
        <v>3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1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1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1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4">
        <v>0</v>
      </c>
      <c r="CW1102" s="4">
        <v>0</v>
      </c>
      <c r="CX1102" s="5">
        <v>0</v>
      </c>
    </row>
    <row r="1103" spans="1:102" ht="15.75" x14ac:dyDescent="0.25">
      <c r="A1103" s="4" t="s">
        <v>413</v>
      </c>
      <c r="B1103" s="4" t="s">
        <v>414</v>
      </c>
      <c r="C1103" s="4">
        <v>2022</v>
      </c>
      <c r="D1103" s="4">
        <v>37733</v>
      </c>
      <c r="E1103" s="4">
        <v>21</v>
      </c>
      <c r="F1103" s="4">
        <v>178</v>
      </c>
      <c r="G1103" s="4">
        <v>308</v>
      </c>
      <c r="H1103" s="4">
        <v>76</v>
      </c>
      <c r="I1103" s="4">
        <v>253</v>
      </c>
      <c r="J1103" s="4">
        <v>123</v>
      </c>
      <c r="K1103" s="4">
        <v>36</v>
      </c>
      <c r="L1103" s="4">
        <v>227</v>
      </c>
      <c r="M1103" s="4">
        <v>72</v>
      </c>
      <c r="N1103" s="4">
        <v>208</v>
      </c>
      <c r="O1103" s="4">
        <v>371</v>
      </c>
      <c r="P1103" s="4">
        <v>1</v>
      </c>
      <c r="Q1103" s="4">
        <v>9</v>
      </c>
      <c r="R1103" s="4">
        <v>12</v>
      </c>
      <c r="S1103" s="4">
        <v>13</v>
      </c>
      <c r="T1103" s="4">
        <v>87</v>
      </c>
      <c r="U1103" s="4">
        <v>5</v>
      </c>
      <c r="V1103" s="4">
        <v>59</v>
      </c>
      <c r="W1103" s="4">
        <v>173</v>
      </c>
      <c r="X1103" s="4">
        <v>73</v>
      </c>
      <c r="Y1103" s="4">
        <v>3</v>
      </c>
      <c r="Z1103" s="4">
        <v>9471</v>
      </c>
      <c r="AA1103" s="4">
        <v>4116</v>
      </c>
      <c r="AB1103" s="4">
        <v>3405</v>
      </c>
      <c r="AC1103" s="4">
        <v>410</v>
      </c>
      <c r="AD1103" s="4">
        <v>35</v>
      </c>
      <c r="AE1103" s="4">
        <v>43</v>
      </c>
      <c r="AF1103" s="4">
        <v>203</v>
      </c>
      <c r="AG1103" s="4">
        <v>964</v>
      </c>
      <c r="AH1103" s="4">
        <v>370</v>
      </c>
      <c r="AI1103" s="4">
        <v>251</v>
      </c>
      <c r="AJ1103" s="4">
        <v>1495</v>
      </c>
      <c r="AK1103" s="4">
        <v>354</v>
      </c>
      <c r="AL1103" s="4">
        <v>43</v>
      </c>
      <c r="AM1103" s="4">
        <v>662</v>
      </c>
      <c r="AN1103" s="4">
        <v>245</v>
      </c>
      <c r="AO1103" s="4">
        <v>927</v>
      </c>
      <c r="AP1103" s="4">
        <v>13</v>
      </c>
      <c r="AQ1103" s="4">
        <v>97</v>
      </c>
      <c r="AR1103" s="4">
        <v>75</v>
      </c>
      <c r="AS1103" s="4">
        <v>263</v>
      </c>
      <c r="AT1103" s="4">
        <v>375</v>
      </c>
      <c r="AU1103" s="4">
        <v>145</v>
      </c>
      <c r="AV1103" s="4">
        <v>651</v>
      </c>
      <c r="AW1103" s="4">
        <v>251</v>
      </c>
      <c r="AX1103" s="4">
        <v>476</v>
      </c>
      <c r="AY1103" s="4">
        <v>5</v>
      </c>
      <c r="AZ1103" s="4">
        <v>66</v>
      </c>
      <c r="BA1103" s="4">
        <v>0</v>
      </c>
      <c r="BB1103" s="4">
        <v>1161</v>
      </c>
      <c r="BC1103" s="4">
        <v>107</v>
      </c>
      <c r="BD1103" s="4">
        <v>4</v>
      </c>
      <c r="BE1103" s="4">
        <v>125</v>
      </c>
      <c r="BF1103" s="4">
        <v>354</v>
      </c>
      <c r="BG1103" s="4">
        <v>11</v>
      </c>
      <c r="BH1103" s="4">
        <v>15</v>
      </c>
      <c r="BI1103" s="4">
        <v>3</v>
      </c>
      <c r="BJ1103" s="4">
        <v>371</v>
      </c>
      <c r="BK1103" s="4">
        <v>698</v>
      </c>
      <c r="BL1103" s="4">
        <v>0</v>
      </c>
      <c r="BM1103" s="4">
        <v>238</v>
      </c>
      <c r="BN1103" s="4">
        <v>658</v>
      </c>
      <c r="BO1103" s="4">
        <v>15</v>
      </c>
      <c r="BP1103" s="4">
        <v>94</v>
      </c>
      <c r="BQ1103" s="4">
        <v>741</v>
      </c>
      <c r="BR1103" s="4">
        <v>65</v>
      </c>
      <c r="BS1103" s="4">
        <v>513</v>
      </c>
      <c r="BT1103" s="4">
        <v>398</v>
      </c>
      <c r="BU1103" s="4">
        <v>78</v>
      </c>
      <c r="BV1103" s="4">
        <v>196</v>
      </c>
      <c r="BW1103" s="4">
        <v>328</v>
      </c>
      <c r="BX1103" s="4">
        <v>378</v>
      </c>
      <c r="BY1103" s="4">
        <v>1</v>
      </c>
      <c r="BZ1103" s="4">
        <v>3</v>
      </c>
      <c r="CA1103" s="4">
        <v>216</v>
      </c>
      <c r="CB1103" s="4">
        <v>31</v>
      </c>
      <c r="CC1103" s="4">
        <v>1</v>
      </c>
      <c r="CD1103" s="4">
        <v>53</v>
      </c>
      <c r="CE1103" s="4">
        <v>3</v>
      </c>
      <c r="CF1103" s="4">
        <v>35</v>
      </c>
      <c r="CG1103" s="4">
        <v>20</v>
      </c>
      <c r="CH1103" s="4">
        <v>46</v>
      </c>
      <c r="CI1103" s="4">
        <v>38</v>
      </c>
      <c r="CJ1103" s="4">
        <v>368</v>
      </c>
      <c r="CK1103" s="4">
        <v>119</v>
      </c>
      <c r="CL1103" s="4">
        <v>1</v>
      </c>
      <c r="CM1103" s="4">
        <v>78</v>
      </c>
      <c r="CN1103" s="4">
        <v>735</v>
      </c>
      <c r="CO1103" s="4">
        <v>25</v>
      </c>
      <c r="CP1103" s="4">
        <v>61</v>
      </c>
      <c r="CQ1103" s="4">
        <v>0</v>
      </c>
      <c r="CR1103" s="4">
        <v>287</v>
      </c>
      <c r="CS1103" s="4">
        <v>81</v>
      </c>
      <c r="CT1103" s="4">
        <v>376</v>
      </c>
      <c r="CU1103" s="4">
        <v>35</v>
      </c>
      <c r="CV1103" s="4">
        <v>781</v>
      </c>
      <c r="CW1103" s="4">
        <v>71</v>
      </c>
      <c r="CX1103" s="5">
        <v>73</v>
      </c>
    </row>
    <row r="1104" spans="1:102" ht="15.75" x14ac:dyDescent="0.25">
      <c r="A1104" s="4" t="s">
        <v>415</v>
      </c>
      <c r="B1104" s="4" t="s">
        <v>416</v>
      </c>
      <c r="C1104" s="4">
        <v>2022</v>
      </c>
      <c r="D1104" s="4">
        <v>4013</v>
      </c>
      <c r="E1104" s="4">
        <v>2</v>
      </c>
      <c r="F1104" s="4">
        <v>1</v>
      </c>
      <c r="G1104" s="4">
        <v>2</v>
      </c>
      <c r="H1104" s="4">
        <v>5</v>
      </c>
      <c r="I1104" s="4">
        <v>13</v>
      </c>
      <c r="J1104" s="4">
        <v>32</v>
      </c>
      <c r="K1104" s="4">
        <v>62</v>
      </c>
      <c r="L1104" s="4">
        <v>13</v>
      </c>
      <c r="M1104" s="4">
        <v>185</v>
      </c>
      <c r="N1104" s="4">
        <v>25</v>
      </c>
      <c r="O1104" s="4">
        <v>53</v>
      </c>
      <c r="P1104" s="4">
        <v>0</v>
      </c>
      <c r="Q1104" s="4">
        <v>0</v>
      </c>
      <c r="R1104" s="4">
        <v>0</v>
      </c>
      <c r="S1104" s="4">
        <v>2</v>
      </c>
      <c r="T1104" s="4">
        <v>0</v>
      </c>
      <c r="U1104" s="4">
        <v>1</v>
      </c>
      <c r="V1104" s="4">
        <v>7</v>
      </c>
      <c r="W1104" s="4">
        <v>35</v>
      </c>
      <c r="X1104" s="4">
        <v>3</v>
      </c>
      <c r="Y1104" s="4">
        <v>59</v>
      </c>
      <c r="Z1104" s="4">
        <v>166</v>
      </c>
      <c r="AA1104" s="4">
        <v>203</v>
      </c>
      <c r="AB1104" s="4">
        <v>32</v>
      </c>
      <c r="AC1104" s="4">
        <v>387</v>
      </c>
      <c r="AD1104" s="4">
        <v>2</v>
      </c>
      <c r="AE1104" s="4">
        <v>23</v>
      </c>
      <c r="AF1104" s="4">
        <v>3</v>
      </c>
      <c r="AG1104" s="4">
        <v>35</v>
      </c>
      <c r="AH1104" s="4">
        <v>16</v>
      </c>
      <c r="AI1104" s="4">
        <v>36</v>
      </c>
      <c r="AJ1104" s="4">
        <v>17</v>
      </c>
      <c r="AK1104" s="4">
        <v>43</v>
      </c>
      <c r="AL1104" s="4">
        <v>1</v>
      </c>
      <c r="AM1104" s="4">
        <v>26</v>
      </c>
      <c r="AN1104" s="4">
        <v>31</v>
      </c>
      <c r="AO1104" s="4">
        <v>99</v>
      </c>
      <c r="AP1104" s="4">
        <v>1</v>
      </c>
      <c r="AQ1104" s="4">
        <v>28</v>
      </c>
      <c r="AR1104" s="4">
        <v>11</v>
      </c>
      <c r="AS1104" s="4">
        <v>9</v>
      </c>
      <c r="AT1104" s="4">
        <v>22</v>
      </c>
      <c r="AU1104" s="4">
        <v>26</v>
      </c>
      <c r="AV1104" s="4">
        <v>147</v>
      </c>
      <c r="AW1104" s="4">
        <v>77</v>
      </c>
      <c r="AX1104" s="4">
        <v>190</v>
      </c>
      <c r="AY1104" s="4">
        <v>1</v>
      </c>
      <c r="AZ1104" s="4">
        <v>14</v>
      </c>
      <c r="BA1104" s="4">
        <v>0</v>
      </c>
      <c r="BB1104" s="4">
        <v>108</v>
      </c>
      <c r="BC1104" s="4">
        <v>22</v>
      </c>
      <c r="BD1104" s="4">
        <v>2</v>
      </c>
      <c r="BE1104" s="4">
        <v>69</v>
      </c>
      <c r="BF1104" s="4">
        <v>123</v>
      </c>
      <c r="BG1104" s="4">
        <v>2</v>
      </c>
      <c r="BH1104" s="4">
        <v>7</v>
      </c>
      <c r="BI1104" s="4">
        <v>0</v>
      </c>
      <c r="BJ1104" s="4">
        <v>242</v>
      </c>
      <c r="BK1104" s="4">
        <v>119</v>
      </c>
      <c r="BL1104" s="4">
        <v>0</v>
      </c>
      <c r="BM1104" s="4">
        <v>2</v>
      </c>
      <c r="BN1104" s="4">
        <v>37</v>
      </c>
      <c r="BO1104" s="4">
        <v>0</v>
      </c>
      <c r="BP1104" s="4">
        <v>8</v>
      </c>
      <c r="BQ1104" s="4">
        <v>47</v>
      </c>
      <c r="BR1104" s="4">
        <v>3</v>
      </c>
      <c r="BS1104" s="4">
        <v>149</v>
      </c>
      <c r="BT1104" s="4">
        <v>41</v>
      </c>
      <c r="BU1104" s="4">
        <v>3</v>
      </c>
      <c r="BV1104" s="4">
        <v>15</v>
      </c>
      <c r="BW1104" s="4">
        <v>33</v>
      </c>
      <c r="BX1104" s="4">
        <v>152</v>
      </c>
      <c r="BY1104" s="4">
        <v>3</v>
      </c>
      <c r="BZ1104" s="4">
        <v>0</v>
      </c>
      <c r="CA1104" s="4">
        <v>213</v>
      </c>
      <c r="CB1104" s="4">
        <v>88</v>
      </c>
      <c r="CC1104" s="4">
        <v>0</v>
      </c>
      <c r="CD1104" s="4">
        <v>10</v>
      </c>
      <c r="CE1104" s="4">
        <v>0</v>
      </c>
      <c r="CF1104" s="4">
        <v>6</v>
      </c>
      <c r="CG1104" s="4">
        <v>1</v>
      </c>
      <c r="CH1104" s="4">
        <v>4</v>
      </c>
      <c r="CI1104" s="4">
        <v>10</v>
      </c>
      <c r="CJ1104" s="4">
        <v>15</v>
      </c>
      <c r="CK1104" s="4">
        <v>2</v>
      </c>
      <c r="CL1104" s="4">
        <v>0</v>
      </c>
      <c r="CM1104" s="4">
        <v>37</v>
      </c>
      <c r="CN1104" s="4">
        <v>118</v>
      </c>
      <c r="CO1104" s="4">
        <v>8</v>
      </c>
      <c r="CP1104" s="4">
        <v>9</v>
      </c>
      <c r="CQ1104" s="4">
        <v>0</v>
      </c>
      <c r="CR1104" s="4">
        <v>15</v>
      </c>
      <c r="CS1104" s="4">
        <v>3</v>
      </c>
      <c r="CT1104" s="4">
        <v>24</v>
      </c>
      <c r="CU1104" s="4">
        <v>1</v>
      </c>
      <c r="CV1104" s="4">
        <v>80</v>
      </c>
      <c r="CW1104" s="4">
        <v>34</v>
      </c>
      <c r="CX1104" s="5">
        <v>34</v>
      </c>
    </row>
    <row r="1105" spans="1:102" ht="15.75" x14ac:dyDescent="0.25">
      <c r="A1105" s="4" t="s">
        <v>417</v>
      </c>
      <c r="B1105" s="4" t="s">
        <v>418</v>
      </c>
      <c r="C1105" s="4">
        <v>2022</v>
      </c>
      <c r="D1105" s="4">
        <v>15</v>
      </c>
      <c r="E1105" s="4">
        <v>1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1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2</v>
      </c>
      <c r="AK1105" s="4">
        <v>0</v>
      </c>
      <c r="AL1105" s="4">
        <v>0</v>
      </c>
      <c r="AM1105" s="4">
        <v>0</v>
      </c>
      <c r="AN1105" s="4">
        <v>0</v>
      </c>
      <c r="AO1105" s="4">
        <v>1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1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1</v>
      </c>
      <c r="BY1105" s="4">
        <v>0</v>
      </c>
      <c r="BZ1105" s="4">
        <v>0</v>
      </c>
      <c r="CA1105" s="4">
        <v>1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2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0</v>
      </c>
      <c r="CX1105" s="5">
        <v>0</v>
      </c>
    </row>
    <row r="1106" spans="1:102" ht="15.75" x14ac:dyDescent="0.25">
      <c r="A1106" s="4" t="s">
        <v>419</v>
      </c>
      <c r="B1106" s="4" t="s">
        <v>420</v>
      </c>
      <c r="C1106" s="4">
        <v>2022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5">
        <v>0</v>
      </c>
    </row>
    <row r="1107" spans="1:102" ht="15.75" x14ac:dyDescent="0.25">
      <c r="A1107" s="4" t="s">
        <v>421</v>
      </c>
      <c r="B1107" s="4" t="s">
        <v>422</v>
      </c>
      <c r="C1107" s="4">
        <v>2022</v>
      </c>
      <c r="D1107" s="4">
        <v>18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16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0</v>
      </c>
      <c r="CS1107" s="4">
        <v>0</v>
      </c>
      <c r="CT1107" s="4">
        <v>0</v>
      </c>
      <c r="CU1107" s="4">
        <v>0</v>
      </c>
      <c r="CV1107" s="4">
        <v>0</v>
      </c>
      <c r="CW1107" s="4">
        <v>2</v>
      </c>
      <c r="CX1107" s="5">
        <v>2</v>
      </c>
    </row>
    <row r="1108" spans="1:102" ht="15.75" x14ac:dyDescent="0.25">
      <c r="A1108" s="4" t="s">
        <v>423</v>
      </c>
      <c r="B1108" s="4" t="s">
        <v>424</v>
      </c>
      <c r="C1108" s="4">
        <v>2022</v>
      </c>
      <c r="D1108" s="4">
        <v>989</v>
      </c>
      <c r="E1108" s="4">
        <v>0</v>
      </c>
      <c r="F1108" s="4">
        <v>2</v>
      </c>
      <c r="G1108" s="4">
        <v>4</v>
      </c>
      <c r="H1108" s="4">
        <v>0</v>
      </c>
      <c r="I1108" s="4">
        <v>6</v>
      </c>
      <c r="J1108" s="4">
        <v>1</v>
      </c>
      <c r="K1108" s="4">
        <v>4</v>
      </c>
      <c r="L1108" s="4">
        <v>9</v>
      </c>
      <c r="M1108" s="4">
        <v>10</v>
      </c>
      <c r="N1108" s="4">
        <v>11</v>
      </c>
      <c r="O1108" s="4">
        <v>26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1</v>
      </c>
      <c r="W1108" s="4">
        <v>3</v>
      </c>
      <c r="X1108" s="4">
        <v>1</v>
      </c>
      <c r="Y1108" s="4">
        <v>0</v>
      </c>
      <c r="Z1108" s="4">
        <v>0</v>
      </c>
      <c r="AA1108" s="4">
        <v>3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1</v>
      </c>
      <c r="AH1108" s="4">
        <v>2</v>
      </c>
      <c r="AI1108" s="4">
        <v>6</v>
      </c>
      <c r="AJ1108" s="4">
        <v>48</v>
      </c>
      <c r="AK1108" s="4">
        <v>9</v>
      </c>
      <c r="AL1108" s="4">
        <v>2</v>
      </c>
      <c r="AM1108" s="4">
        <v>4</v>
      </c>
      <c r="AN1108" s="4">
        <v>14</v>
      </c>
      <c r="AO1108" s="4">
        <v>18</v>
      </c>
      <c r="AP1108" s="4">
        <v>1</v>
      </c>
      <c r="AQ1108" s="4">
        <v>5</v>
      </c>
      <c r="AR1108" s="4">
        <v>1</v>
      </c>
      <c r="AS1108" s="4">
        <v>6</v>
      </c>
      <c r="AT1108" s="4">
        <v>9</v>
      </c>
      <c r="AU1108" s="4">
        <v>7</v>
      </c>
      <c r="AV1108" s="4">
        <v>9</v>
      </c>
      <c r="AW1108" s="4">
        <v>2</v>
      </c>
      <c r="AX1108" s="4">
        <v>22</v>
      </c>
      <c r="AY1108" s="4">
        <v>0</v>
      </c>
      <c r="AZ1108" s="4">
        <v>2</v>
      </c>
      <c r="BA1108" s="4">
        <v>0</v>
      </c>
      <c r="BB1108" s="4">
        <v>81</v>
      </c>
      <c r="BC1108" s="4">
        <v>3</v>
      </c>
      <c r="BD1108" s="4">
        <v>2</v>
      </c>
      <c r="BE1108" s="4">
        <v>11</v>
      </c>
      <c r="BF1108" s="4">
        <v>78</v>
      </c>
      <c r="BG1108" s="4">
        <v>0</v>
      </c>
      <c r="BH1108" s="4">
        <v>1</v>
      </c>
      <c r="BI1108" s="4">
        <v>1</v>
      </c>
      <c r="BJ1108" s="4">
        <v>14</v>
      </c>
      <c r="BK1108" s="4">
        <v>37</v>
      </c>
      <c r="BL1108" s="4">
        <v>0</v>
      </c>
      <c r="BM1108" s="4">
        <v>1</v>
      </c>
      <c r="BN1108" s="4">
        <v>5</v>
      </c>
      <c r="BO1108" s="4">
        <v>1</v>
      </c>
      <c r="BP1108" s="4">
        <v>1</v>
      </c>
      <c r="BQ1108" s="4">
        <v>7</v>
      </c>
      <c r="BR1108" s="4">
        <v>2</v>
      </c>
      <c r="BS1108" s="4">
        <v>16</v>
      </c>
      <c r="BT1108" s="4">
        <v>9</v>
      </c>
      <c r="BU1108" s="4">
        <v>42</v>
      </c>
      <c r="BV1108" s="4">
        <v>21</v>
      </c>
      <c r="BW1108" s="4">
        <v>60</v>
      </c>
      <c r="BX1108" s="4">
        <v>218</v>
      </c>
      <c r="BY1108" s="4">
        <v>0</v>
      </c>
      <c r="BZ1108" s="4">
        <v>0</v>
      </c>
      <c r="CA1108" s="4">
        <v>4</v>
      </c>
      <c r="CB1108" s="4">
        <v>1</v>
      </c>
      <c r="CC1108" s="4">
        <v>0</v>
      </c>
      <c r="CD1108" s="4">
        <v>4</v>
      </c>
      <c r="CE1108" s="4">
        <v>0</v>
      </c>
      <c r="CF1108" s="4">
        <v>4</v>
      </c>
      <c r="CG1108" s="4">
        <v>1</v>
      </c>
      <c r="CH1108" s="4">
        <v>1</v>
      </c>
      <c r="CI1108" s="4">
        <v>1</v>
      </c>
      <c r="CJ1108" s="4">
        <v>14</v>
      </c>
      <c r="CK1108" s="4">
        <v>1</v>
      </c>
      <c r="CL1108" s="4">
        <v>0</v>
      </c>
      <c r="CM1108" s="4">
        <v>3</v>
      </c>
      <c r="CN1108" s="4">
        <v>19</v>
      </c>
      <c r="CO1108" s="4">
        <v>1</v>
      </c>
      <c r="CP1108" s="4">
        <v>1</v>
      </c>
      <c r="CQ1108" s="4">
        <v>0</v>
      </c>
      <c r="CR1108" s="4">
        <v>4</v>
      </c>
      <c r="CS1108" s="4">
        <v>3</v>
      </c>
      <c r="CT1108" s="4">
        <v>9</v>
      </c>
      <c r="CU1108" s="4">
        <v>1</v>
      </c>
      <c r="CV1108" s="4">
        <v>41</v>
      </c>
      <c r="CW1108" s="4">
        <v>10</v>
      </c>
      <c r="CX1108" s="5">
        <v>9</v>
      </c>
    </row>
    <row r="1109" spans="1:102" ht="15.75" x14ac:dyDescent="0.25">
      <c r="A1109" s="4" t="s">
        <v>425</v>
      </c>
      <c r="B1109" s="4" t="s">
        <v>426</v>
      </c>
      <c r="C1109" s="4">
        <v>2022</v>
      </c>
      <c r="D1109" s="4">
        <v>455</v>
      </c>
      <c r="E1109" s="4">
        <v>6</v>
      </c>
      <c r="F1109" s="4">
        <v>0</v>
      </c>
      <c r="G1109" s="4">
        <v>1</v>
      </c>
      <c r="H1109" s="4">
        <v>0</v>
      </c>
      <c r="I1109" s="4">
        <v>8</v>
      </c>
      <c r="J1109" s="4">
        <v>1</v>
      </c>
      <c r="K1109" s="4">
        <v>2</v>
      </c>
      <c r="L1109" s="4">
        <v>2</v>
      </c>
      <c r="M1109" s="4">
        <v>0</v>
      </c>
      <c r="N1109" s="4">
        <v>4</v>
      </c>
      <c r="O1109" s="4">
        <v>6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1</v>
      </c>
      <c r="W1109" s="4">
        <v>0</v>
      </c>
      <c r="X1109" s="4">
        <v>0</v>
      </c>
      <c r="Y1109" s="4">
        <v>0</v>
      </c>
      <c r="Z1109" s="4">
        <v>0</v>
      </c>
      <c r="AA1109" s="4">
        <v>1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2</v>
      </c>
      <c r="AH1109" s="4">
        <v>1</v>
      </c>
      <c r="AI1109" s="4">
        <v>3</v>
      </c>
      <c r="AJ1109" s="4">
        <v>31</v>
      </c>
      <c r="AK1109" s="4">
        <v>4</v>
      </c>
      <c r="AL1109" s="4">
        <v>0</v>
      </c>
      <c r="AM1109" s="4">
        <v>3</v>
      </c>
      <c r="AN1109" s="4">
        <v>1</v>
      </c>
      <c r="AO1109" s="4">
        <v>9</v>
      </c>
      <c r="AP1109" s="4">
        <v>0</v>
      </c>
      <c r="AQ1109" s="4">
        <v>2</v>
      </c>
      <c r="AR1109" s="4">
        <v>0</v>
      </c>
      <c r="AS1109" s="4">
        <v>1</v>
      </c>
      <c r="AT1109" s="4">
        <v>2</v>
      </c>
      <c r="AU1109" s="4">
        <v>2</v>
      </c>
      <c r="AV1109" s="4">
        <v>4</v>
      </c>
      <c r="AW1109" s="4">
        <v>4</v>
      </c>
      <c r="AX1109" s="4">
        <v>11</v>
      </c>
      <c r="AY1109" s="4">
        <v>0</v>
      </c>
      <c r="AZ1109" s="4">
        <v>2</v>
      </c>
      <c r="BA1109" s="4">
        <v>0</v>
      </c>
      <c r="BB1109" s="4">
        <v>87</v>
      </c>
      <c r="BC1109" s="4">
        <v>1</v>
      </c>
      <c r="BD1109" s="4">
        <v>0</v>
      </c>
      <c r="BE1109" s="4">
        <v>2</v>
      </c>
      <c r="BF1109" s="4">
        <v>13</v>
      </c>
      <c r="BG1109" s="4">
        <v>0</v>
      </c>
      <c r="BH1109" s="4">
        <v>1</v>
      </c>
      <c r="BI1109" s="4">
        <v>0</v>
      </c>
      <c r="BJ1109" s="4">
        <v>25</v>
      </c>
      <c r="BK1109" s="4">
        <v>40</v>
      </c>
      <c r="BL1109" s="4">
        <v>0</v>
      </c>
      <c r="BM1109" s="4">
        <v>2</v>
      </c>
      <c r="BN1109" s="4">
        <v>5</v>
      </c>
      <c r="BO1109" s="4">
        <v>0</v>
      </c>
      <c r="BP1109" s="4">
        <v>2</v>
      </c>
      <c r="BQ1109" s="4">
        <v>13</v>
      </c>
      <c r="BR1109" s="4">
        <v>0</v>
      </c>
      <c r="BS1109" s="4">
        <v>19</v>
      </c>
      <c r="BT1109" s="4">
        <v>14</v>
      </c>
      <c r="BU1109" s="4">
        <v>0</v>
      </c>
      <c r="BV1109" s="4">
        <v>1</v>
      </c>
      <c r="BW1109" s="4">
        <v>1</v>
      </c>
      <c r="BX1109" s="4">
        <v>48</v>
      </c>
      <c r="BY1109" s="4">
        <v>0</v>
      </c>
      <c r="BZ1109" s="4">
        <v>0</v>
      </c>
      <c r="CA1109" s="4">
        <v>14</v>
      </c>
      <c r="CB1109" s="4">
        <v>0</v>
      </c>
      <c r="CC1109" s="4">
        <v>0</v>
      </c>
      <c r="CD1109" s="4">
        <v>3</v>
      </c>
      <c r="CE1109" s="4">
        <v>0</v>
      </c>
      <c r="CF1109" s="4">
        <v>1</v>
      </c>
      <c r="CG1109" s="4">
        <v>1</v>
      </c>
      <c r="CH1109" s="4">
        <v>0</v>
      </c>
      <c r="CI1109" s="4">
        <v>1</v>
      </c>
      <c r="CJ1109" s="4">
        <v>2</v>
      </c>
      <c r="CK1109" s="4">
        <v>0</v>
      </c>
      <c r="CL1109" s="4">
        <v>0</v>
      </c>
      <c r="CM1109" s="4">
        <v>6</v>
      </c>
      <c r="CN1109" s="4">
        <v>24</v>
      </c>
      <c r="CO1109" s="4">
        <v>0</v>
      </c>
      <c r="CP1109" s="4">
        <v>0</v>
      </c>
      <c r="CQ1109" s="4">
        <v>0</v>
      </c>
      <c r="CR1109" s="4">
        <v>0</v>
      </c>
      <c r="CS1109" s="4">
        <v>0</v>
      </c>
      <c r="CT1109" s="4">
        <v>1</v>
      </c>
      <c r="CU1109" s="4">
        <v>0</v>
      </c>
      <c r="CV1109" s="4">
        <v>6</v>
      </c>
      <c r="CW1109" s="4">
        <v>2</v>
      </c>
      <c r="CX1109" s="5">
        <v>2</v>
      </c>
    </row>
    <row r="1110" spans="1:102" ht="15.75" x14ac:dyDescent="0.25">
      <c r="A1110" s="4" t="s">
        <v>427</v>
      </c>
      <c r="B1110" s="4" t="s">
        <v>428</v>
      </c>
      <c r="C1110" s="4">
        <v>2022</v>
      </c>
      <c r="D1110" s="4">
        <v>1029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1</v>
      </c>
      <c r="M1110" s="4">
        <v>0</v>
      </c>
      <c r="N1110" s="4">
        <v>1</v>
      </c>
      <c r="O1110" s="4">
        <v>223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628</v>
      </c>
      <c r="AA1110" s="4">
        <v>49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1</v>
      </c>
      <c r="AJ1110" s="4">
        <v>33</v>
      </c>
      <c r="AK1110" s="4">
        <v>4</v>
      </c>
      <c r="AL1110" s="4">
        <v>0</v>
      </c>
      <c r="AM1110" s="4">
        <v>2</v>
      </c>
      <c r="AN1110" s="4">
        <v>1</v>
      </c>
      <c r="AO1110" s="4">
        <v>2</v>
      </c>
      <c r="AP1110" s="4">
        <v>0</v>
      </c>
      <c r="AQ1110" s="4">
        <v>1</v>
      </c>
      <c r="AR1110" s="4">
        <v>0</v>
      </c>
      <c r="AS1110" s="4">
        <v>0</v>
      </c>
      <c r="AT1110" s="4">
        <v>0</v>
      </c>
      <c r="AU1110" s="4">
        <v>1</v>
      </c>
      <c r="AV1110" s="4">
        <v>0</v>
      </c>
      <c r="AW1110" s="4">
        <v>0</v>
      </c>
      <c r="AX1110" s="4">
        <v>2</v>
      </c>
      <c r="AY1110" s="4">
        <v>0</v>
      </c>
      <c r="AZ1110" s="4">
        <v>14</v>
      </c>
      <c r="BA1110" s="4">
        <v>0</v>
      </c>
      <c r="BB1110" s="4">
        <v>1</v>
      </c>
      <c r="BC1110" s="4">
        <v>0</v>
      </c>
      <c r="BD1110" s="4">
        <v>0</v>
      </c>
      <c r="BE1110" s="4">
        <v>0</v>
      </c>
      <c r="BF1110" s="4">
        <v>2</v>
      </c>
      <c r="BG1110" s="4">
        <v>0</v>
      </c>
      <c r="BH1110" s="4">
        <v>0</v>
      </c>
      <c r="BI1110" s="4">
        <v>0</v>
      </c>
      <c r="BJ1110" s="4">
        <v>4</v>
      </c>
      <c r="BK1110" s="4">
        <v>7</v>
      </c>
      <c r="BL1110" s="4">
        <v>0</v>
      </c>
      <c r="BM1110" s="4">
        <v>0</v>
      </c>
      <c r="BN1110" s="4">
        <v>1</v>
      </c>
      <c r="BO1110" s="4">
        <v>0</v>
      </c>
      <c r="BP1110" s="4">
        <v>0</v>
      </c>
      <c r="BQ1110" s="4">
        <v>1</v>
      </c>
      <c r="BR1110" s="4">
        <v>0</v>
      </c>
      <c r="BS1110" s="4">
        <v>3</v>
      </c>
      <c r="BT1110" s="4">
        <v>7</v>
      </c>
      <c r="BU1110" s="4">
        <v>0</v>
      </c>
      <c r="BV1110" s="4">
        <v>1</v>
      </c>
      <c r="BW1110" s="4">
        <v>3</v>
      </c>
      <c r="BX1110" s="4">
        <v>26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1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2</v>
      </c>
      <c r="CO1110" s="4">
        <v>0</v>
      </c>
      <c r="CP1110" s="4">
        <v>0</v>
      </c>
      <c r="CQ1110" s="4">
        <v>0</v>
      </c>
      <c r="CR1110" s="4">
        <v>1</v>
      </c>
      <c r="CS1110" s="4">
        <v>0</v>
      </c>
      <c r="CT1110" s="4">
        <v>1</v>
      </c>
      <c r="CU1110" s="4">
        <v>1</v>
      </c>
      <c r="CV1110" s="4">
        <v>1</v>
      </c>
      <c r="CW1110" s="4">
        <v>0</v>
      </c>
      <c r="CX1110" s="5">
        <v>0</v>
      </c>
    </row>
    <row r="1111" spans="1:102" ht="15.75" x14ac:dyDescent="0.25">
      <c r="A1111" s="4" t="s">
        <v>429</v>
      </c>
      <c r="B1111" s="4" t="s">
        <v>430</v>
      </c>
      <c r="C1111" s="4">
        <v>2022</v>
      </c>
      <c r="D1111" s="4">
        <v>273</v>
      </c>
      <c r="E1111" s="4">
        <v>0</v>
      </c>
      <c r="F1111" s="4">
        <v>0</v>
      </c>
      <c r="G1111" s="4">
        <v>11</v>
      </c>
      <c r="H1111" s="4">
        <v>0</v>
      </c>
      <c r="I1111" s="4">
        <v>0</v>
      </c>
      <c r="J1111" s="4">
        <v>0</v>
      </c>
      <c r="K1111" s="4">
        <v>0</v>
      </c>
      <c r="L1111" s="4">
        <v>3</v>
      </c>
      <c r="M1111" s="4">
        <v>0</v>
      </c>
      <c r="N1111" s="4">
        <v>4</v>
      </c>
      <c r="O1111" s="4">
        <v>31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1</v>
      </c>
      <c r="W1111" s="4">
        <v>0</v>
      </c>
      <c r="X1111" s="4">
        <v>0</v>
      </c>
      <c r="Y1111" s="4">
        <v>0</v>
      </c>
      <c r="Z1111" s="4">
        <v>0</v>
      </c>
      <c r="AA1111" s="4">
        <v>1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2</v>
      </c>
      <c r="AH1111" s="4">
        <v>1</v>
      </c>
      <c r="AI1111" s="4">
        <v>2</v>
      </c>
      <c r="AJ1111" s="4">
        <v>16</v>
      </c>
      <c r="AK1111" s="4">
        <v>5</v>
      </c>
      <c r="AL1111" s="4">
        <v>1</v>
      </c>
      <c r="AM1111" s="4">
        <v>10</v>
      </c>
      <c r="AN1111" s="4">
        <v>1</v>
      </c>
      <c r="AO1111" s="4">
        <v>8</v>
      </c>
      <c r="AP1111" s="4">
        <v>0</v>
      </c>
      <c r="AQ1111" s="4">
        <v>1</v>
      </c>
      <c r="AR1111" s="4">
        <v>0</v>
      </c>
      <c r="AS1111" s="4">
        <v>2</v>
      </c>
      <c r="AT1111" s="4">
        <v>1</v>
      </c>
      <c r="AU1111" s="4">
        <v>7</v>
      </c>
      <c r="AV1111" s="4">
        <v>1</v>
      </c>
      <c r="AW1111" s="4">
        <v>1</v>
      </c>
      <c r="AX1111" s="4">
        <v>4</v>
      </c>
      <c r="AY1111" s="4">
        <v>0</v>
      </c>
      <c r="AZ1111" s="4">
        <v>3</v>
      </c>
      <c r="BA1111" s="4">
        <v>0</v>
      </c>
      <c r="BB1111" s="4">
        <v>1</v>
      </c>
      <c r="BC1111" s="4">
        <v>6</v>
      </c>
      <c r="BD1111" s="4">
        <v>0</v>
      </c>
      <c r="BE1111" s="4">
        <v>6</v>
      </c>
      <c r="BF1111" s="4">
        <v>7</v>
      </c>
      <c r="BG1111" s="4">
        <v>0</v>
      </c>
      <c r="BH1111" s="4">
        <v>0</v>
      </c>
      <c r="BI1111" s="4">
        <v>0</v>
      </c>
      <c r="BJ1111" s="4">
        <v>5</v>
      </c>
      <c r="BK1111" s="4">
        <v>4</v>
      </c>
      <c r="BL1111" s="4">
        <v>0</v>
      </c>
      <c r="BM1111" s="4">
        <v>0</v>
      </c>
      <c r="BN1111" s="4">
        <v>2</v>
      </c>
      <c r="BO1111" s="4">
        <v>0</v>
      </c>
      <c r="BP1111" s="4">
        <v>0</v>
      </c>
      <c r="BQ1111" s="4">
        <v>2</v>
      </c>
      <c r="BR1111" s="4">
        <v>0</v>
      </c>
      <c r="BS1111" s="4">
        <v>3</v>
      </c>
      <c r="BT1111" s="4">
        <v>3</v>
      </c>
      <c r="BU1111" s="4">
        <v>0</v>
      </c>
      <c r="BV1111" s="4">
        <v>90</v>
      </c>
      <c r="BW1111" s="4">
        <v>0</v>
      </c>
      <c r="BX1111" s="4">
        <v>7</v>
      </c>
      <c r="BY1111" s="4">
        <v>0</v>
      </c>
      <c r="BZ1111" s="4">
        <v>0</v>
      </c>
      <c r="CA1111" s="4">
        <v>1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10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2</v>
      </c>
      <c r="CU1111" s="4">
        <v>0</v>
      </c>
      <c r="CV1111" s="4">
        <v>4</v>
      </c>
      <c r="CW1111" s="4">
        <v>1</v>
      </c>
      <c r="CX1111" s="5">
        <v>1</v>
      </c>
    </row>
    <row r="1112" spans="1:102" ht="15.75" x14ac:dyDescent="0.25">
      <c r="A1112" s="4" t="s">
        <v>431</v>
      </c>
      <c r="B1112" s="4" t="s">
        <v>432</v>
      </c>
      <c r="C1112" s="4">
        <v>2022</v>
      </c>
      <c r="D1112" s="4">
        <v>9</v>
      </c>
      <c r="E1112" s="4">
        <v>0</v>
      </c>
      <c r="F1112" s="4">
        <v>2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1</v>
      </c>
      <c r="BG1112" s="4">
        <v>0</v>
      </c>
      <c r="BH1112" s="4">
        <v>0</v>
      </c>
      <c r="BI1112" s="4">
        <v>0</v>
      </c>
      <c r="BJ1112" s="4">
        <v>0</v>
      </c>
      <c r="BK1112" s="4">
        <v>1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1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2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5">
        <v>0</v>
      </c>
    </row>
    <row r="1113" spans="1:102" ht="15.75" x14ac:dyDescent="0.25">
      <c r="A1113" s="4" t="s">
        <v>433</v>
      </c>
      <c r="B1113" s="4" t="s">
        <v>434</v>
      </c>
      <c r="C1113" s="4">
        <v>2022</v>
      </c>
      <c r="D1113" s="4">
        <v>9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1</v>
      </c>
      <c r="AY1113" s="4">
        <v>0</v>
      </c>
      <c r="AZ1113" s="4">
        <v>0</v>
      </c>
      <c r="BA1113" s="4">
        <v>0</v>
      </c>
      <c r="BB1113" s="4">
        <v>2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1</v>
      </c>
      <c r="BK1113" s="4">
        <v>1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5">
        <v>0</v>
      </c>
    </row>
    <row r="1114" spans="1:102" ht="15.75" x14ac:dyDescent="0.25">
      <c r="A1114" s="4" t="s">
        <v>435</v>
      </c>
      <c r="B1114" s="4" t="s">
        <v>436</v>
      </c>
      <c r="C1114" s="4">
        <v>2022</v>
      </c>
      <c r="D1114" s="4">
        <v>702</v>
      </c>
      <c r="E1114" s="4">
        <v>0</v>
      </c>
      <c r="F1114" s="4">
        <v>62</v>
      </c>
      <c r="G1114" s="4">
        <v>10</v>
      </c>
      <c r="H1114" s="4">
        <v>8</v>
      </c>
      <c r="I1114" s="4">
        <v>6</v>
      </c>
      <c r="J1114" s="4">
        <v>2</v>
      </c>
      <c r="K1114" s="4">
        <v>1</v>
      </c>
      <c r="L1114" s="4">
        <v>5</v>
      </c>
      <c r="M1114" s="4">
        <v>6</v>
      </c>
      <c r="N1114" s="4">
        <v>3</v>
      </c>
      <c r="O1114" s="4">
        <v>19</v>
      </c>
      <c r="P1114" s="4">
        <v>0</v>
      </c>
      <c r="Q1114" s="4">
        <v>0</v>
      </c>
      <c r="R1114" s="4">
        <v>0</v>
      </c>
      <c r="S1114" s="4">
        <v>0</v>
      </c>
      <c r="T1114" s="4">
        <v>1</v>
      </c>
      <c r="U1114" s="4">
        <v>2</v>
      </c>
      <c r="V1114" s="4">
        <v>1</v>
      </c>
      <c r="W1114" s="4">
        <v>1</v>
      </c>
      <c r="X1114" s="4">
        <v>1</v>
      </c>
      <c r="Y1114" s="4">
        <v>0</v>
      </c>
      <c r="Z1114" s="4">
        <v>0</v>
      </c>
      <c r="AA1114" s="4">
        <v>1</v>
      </c>
      <c r="AB1114" s="4">
        <v>0</v>
      </c>
      <c r="AC1114" s="4">
        <v>0</v>
      </c>
      <c r="AD1114" s="4">
        <v>3</v>
      </c>
      <c r="AE1114" s="4">
        <v>4</v>
      </c>
      <c r="AF1114" s="4">
        <v>0</v>
      </c>
      <c r="AG1114" s="4">
        <v>7</v>
      </c>
      <c r="AH1114" s="4">
        <v>0</v>
      </c>
      <c r="AI1114" s="4">
        <v>5</v>
      </c>
      <c r="AJ1114" s="4">
        <v>38</v>
      </c>
      <c r="AK1114" s="4">
        <v>24</v>
      </c>
      <c r="AL1114" s="4">
        <v>1</v>
      </c>
      <c r="AM1114" s="4">
        <v>4</v>
      </c>
      <c r="AN1114" s="4">
        <v>5</v>
      </c>
      <c r="AO1114" s="4">
        <v>12</v>
      </c>
      <c r="AP1114" s="4">
        <v>0</v>
      </c>
      <c r="AQ1114" s="4">
        <v>2</v>
      </c>
      <c r="AR1114" s="4">
        <v>0</v>
      </c>
      <c r="AS1114" s="4">
        <v>2</v>
      </c>
      <c r="AT1114" s="4">
        <v>6</v>
      </c>
      <c r="AU1114" s="4">
        <v>2</v>
      </c>
      <c r="AV1114" s="4">
        <v>1</v>
      </c>
      <c r="AW1114" s="4">
        <v>1</v>
      </c>
      <c r="AX1114" s="4">
        <v>8</v>
      </c>
      <c r="AY1114" s="4">
        <v>0</v>
      </c>
      <c r="AZ1114" s="4">
        <v>5</v>
      </c>
      <c r="BA1114" s="4">
        <v>0</v>
      </c>
      <c r="BB1114" s="4">
        <v>39</v>
      </c>
      <c r="BC1114" s="4">
        <v>2</v>
      </c>
      <c r="BD1114" s="4">
        <v>0</v>
      </c>
      <c r="BE1114" s="4">
        <v>3</v>
      </c>
      <c r="BF1114" s="4">
        <v>9</v>
      </c>
      <c r="BG1114" s="4">
        <v>1</v>
      </c>
      <c r="BH1114" s="4">
        <v>0</v>
      </c>
      <c r="BI1114" s="4">
        <v>0</v>
      </c>
      <c r="BJ1114" s="4">
        <v>14</v>
      </c>
      <c r="BK1114" s="4">
        <v>11</v>
      </c>
      <c r="BL1114" s="4">
        <v>0</v>
      </c>
      <c r="BM1114" s="4">
        <v>1</v>
      </c>
      <c r="BN1114" s="4">
        <v>3</v>
      </c>
      <c r="BO1114" s="4">
        <v>0</v>
      </c>
      <c r="BP1114" s="4">
        <v>1</v>
      </c>
      <c r="BQ1114" s="4">
        <v>6</v>
      </c>
      <c r="BR1114" s="4">
        <v>0</v>
      </c>
      <c r="BS1114" s="4">
        <v>216</v>
      </c>
      <c r="BT1114" s="4">
        <v>16</v>
      </c>
      <c r="BU1114" s="4">
        <v>0</v>
      </c>
      <c r="BV1114" s="4">
        <v>3</v>
      </c>
      <c r="BW1114" s="4">
        <v>13</v>
      </c>
      <c r="BX1114" s="4">
        <v>23</v>
      </c>
      <c r="BY1114" s="4">
        <v>0</v>
      </c>
      <c r="BZ1114" s="4">
        <v>0</v>
      </c>
      <c r="CA1114" s="4">
        <v>13</v>
      </c>
      <c r="CB1114" s="4">
        <v>30</v>
      </c>
      <c r="CC1114" s="4">
        <v>0</v>
      </c>
      <c r="CD1114" s="4">
        <v>0</v>
      </c>
      <c r="CE1114" s="4">
        <v>0</v>
      </c>
      <c r="CF1114" s="4">
        <v>2</v>
      </c>
      <c r="CG1114" s="4">
        <v>2</v>
      </c>
      <c r="CH1114" s="4">
        <v>1</v>
      </c>
      <c r="CI1114" s="4">
        <v>0</v>
      </c>
      <c r="CJ1114" s="4">
        <v>1</v>
      </c>
      <c r="CK1114" s="4">
        <v>0</v>
      </c>
      <c r="CL1114" s="4">
        <v>0</v>
      </c>
      <c r="CM1114" s="4">
        <v>1</v>
      </c>
      <c r="CN1114" s="4">
        <v>14</v>
      </c>
      <c r="CO1114" s="4">
        <v>0</v>
      </c>
      <c r="CP1114" s="4">
        <v>1</v>
      </c>
      <c r="CQ1114" s="4">
        <v>0</v>
      </c>
      <c r="CR1114" s="4">
        <v>0</v>
      </c>
      <c r="CS1114" s="4">
        <v>0</v>
      </c>
      <c r="CT1114" s="4">
        <v>3</v>
      </c>
      <c r="CU1114" s="4">
        <v>1</v>
      </c>
      <c r="CV1114" s="4">
        <v>9</v>
      </c>
      <c r="CW1114" s="4">
        <v>5</v>
      </c>
      <c r="CX1114" s="5">
        <v>5</v>
      </c>
    </row>
    <row r="1115" spans="1:102" ht="15.75" x14ac:dyDescent="0.25">
      <c r="A1115" s="4" t="s">
        <v>437</v>
      </c>
      <c r="B1115" s="4" t="s">
        <v>438</v>
      </c>
      <c r="C1115" s="4">
        <v>2022</v>
      </c>
      <c r="D1115" s="4">
        <v>667</v>
      </c>
      <c r="E1115" s="4">
        <v>0</v>
      </c>
      <c r="F1115" s="4">
        <v>0</v>
      </c>
      <c r="G1115" s="4">
        <v>13</v>
      </c>
      <c r="H1115" s="4">
        <v>0</v>
      </c>
      <c r="I1115" s="4">
        <v>2</v>
      </c>
      <c r="J1115" s="4">
        <v>1</v>
      </c>
      <c r="K1115" s="4">
        <v>1</v>
      </c>
      <c r="L1115" s="4">
        <v>1</v>
      </c>
      <c r="M1115" s="4">
        <v>1</v>
      </c>
      <c r="N1115" s="4">
        <v>3</v>
      </c>
      <c r="O1115" s="4">
        <v>0</v>
      </c>
      <c r="P1115" s="4">
        <v>0</v>
      </c>
      <c r="Q1115" s="4">
        <v>0</v>
      </c>
      <c r="R1115" s="4">
        <v>0</v>
      </c>
      <c r="S1115" s="4">
        <v>1</v>
      </c>
      <c r="T1115" s="4">
        <v>6</v>
      </c>
      <c r="U1115" s="4">
        <v>18</v>
      </c>
      <c r="V1115" s="4">
        <v>1</v>
      </c>
      <c r="W1115" s="4">
        <v>344</v>
      </c>
      <c r="X1115" s="4">
        <v>1</v>
      </c>
      <c r="Y1115" s="4">
        <v>0</v>
      </c>
      <c r="Z1115" s="4">
        <v>0</v>
      </c>
      <c r="AA1115" s="4">
        <v>1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8</v>
      </c>
      <c r="AH1115" s="4">
        <v>2</v>
      </c>
      <c r="AI1115" s="4">
        <v>10</v>
      </c>
      <c r="AJ1115" s="4">
        <v>13</v>
      </c>
      <c r="AK1115" s="4">
        <v>14</v>
      </c>
      <c r="AL1115" s="4">
        <v>0</v>
      </c>
      <c r="AM1115" s="4">
        <v>8</v>
      </c>
      <c r="AN1115" s="4">
        <v>4</v>
      </c>
      <c r="AO1115" s="4">
        <v>26</v>
      </c>
      <c r="AP1115" s="4">
        <v>0</v>
      </c>
      <c r="AQ1115" s="4">
        <v>2</v>
      </c>
      <c r="AR1115" s="4">
        <v>0</v>
      </c>
      <c r="AS1115" s="4">
        <v>2</v>
      </c>
      <c r="AT1115" s="4">
        <v>5</v>
      </c>
      <c r="AU1115" s="4">
        <v>1</v>
      </c>
      <c r="AV1115" s="4">
        <v>4</v>
      </c>
      <c r="AW1115" s="4">
        <v>3</v>
      </c>
      <c r="AX1115" s="4">
        <v>3</v>
      </c>
      <c r="AY1115" s="4">
        <v>1</v>
      </c>
      <c r="AZ1115" s="4">
        <v>7</v>
      </c>
      <c r="BA1115" s="4">
        <v>0</v>
      </c>
      <c r="BB1115" s="4">
        <v>16</v>
      </c>
      <c r="BC1115" s="4">
        <v>2</v>
      </c>
      <c r="BD1115" s="4">
        <v>0</v>
      </c>
      <c r="BE1115" s="4">
        <v>5</v>
      </c>
      <c r="BF1115" s="4">
        <v>7</v>
      </c>
      <c r="BG1115" s="4">
        <v>2</v>
      </c>
      <c r="BH1115" s="4">
        <v>1</v>
      </c>
      <c r="BI1115" s="4">
        <v>0</v>
      </c>
      <c r="BJ1115" s="4">
        <v>9</v>
      </c>
      <c r="BK1115" s="4">
        <v>9</v>
      </c>
      <c r="BL1115" s="4">
        <v>0</v>
      </c>
      <c r="BM1115" s="4">
        <v>0</v>
      </c>
      <c r="BN1115" s="4">
        <v>19</v>
      </c>
      <c r="BO1115" s="4">
        <v>0</v>
      </c>
      <c r="BP1115" s="4">
        <v>0</v>
      </c>
      <c r="BQ1115" s="4">
        <v>3</v>
      </c>
      <c r="BR1115" s="4">
        <v>0</v>
      </c>
      <c r="BS1115" s="4">
        <v>5</v>
      </c>
      <c r="BT1115" s="4">
        <v>4</v>
      </c>
      <c r="BU1115" s="4">
        <v>0</v>
      </c>
      <c r="BV1115" s="4">
        <v>1</v>
      </c>
      <c r="BW1115" s="4">
        <v>0</v>
      </c>
      <c r="BX1115" s="4">
        <v>12</v>
      </c>
      <c r="BY1115" s="4">
        <v>0</v>
      </c>
      <c r="BZ1115" s="4">
        <v>0</v>
      </c>
      <c r="CA1115" s="4">
        <v>20</v>
      </c>
      <c r="CB1115" s="4">
        <v>0</v>
      </c>
      <c r="CC1115" s="4">
        <v>0</v>
      </c>
      <c r="CD1115" s="4">
        <v>0</v>
      </c>
      <c r="CE1115" s="4">
        <v>0</v>
      </c>
      <c r="CF1115" s="4">
        <v>1</v>
      </c>
      <c r="CG1115" s="4">
        <v>0</v>
      </c>
      <c r="CH1115" s="4">
        <v>0</v>
      </c>
      <c r="CI1115" s="4">
        <v>0</v>
      </c>
      <c r="CJ1115" s="4">
        <v>2</v>
      </c>
      <c r="CK1115" s="4">
        <v>0</v>
      </c>
      <c r="CL1115" s="4">
        <v>0</v>
      </c>
      <c r="CM1115" s="4">
        <v>1</v>
      </c>
      <c r="CN1115" s="4">
        <v>13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12</v>
      </c>
      <c r="CU1115" s="4">
        <v>0</v>
      </c>
      <c r="CV1115" s="4">
        <v>10</v>
      </c>
      <c r="CW1115" s="4">
        <v>1</v>
      </c>
      <c r="CX1115" s="5">
        <v>1</v>
      </c>
    </row>
    <row r="1116" spans="1:102" ht="15.75" x14ac:dyDescent="0.25">
      <c r="A1116" s="4" t="s">
        <v>439</v>
      </c>
      <c r="B1116" s="4" t="s">
        <v>440</v>
      </c>
      <c r="C1116" s="4">
        <v>2022</v>
      </c>
      <c r="D1116" s="4">
        <v>6462</v>
      </c>
      <c r="E1116" s="4">
        <v>11</v>
      </c>
      <c r="F1116" s="4">
        <v>26</v>
      </c>
      <c r="G1116" s="4">
        <v>23</v>
      </c>
      <c r="H1116" s="4">
        <v>43</v>
      </c>
      <c r="I1116" s="4">
        <v>31</v>
      </c>
      <c r="J1116" s="4">
        <v>19</v>
      </c>
      <c r="K1116" s="4">
        <v>15</v>
      </c>
      <c r="L1116" s="4">
        <v>60</v>
      </c>
      <c r="M1116" s="4">
        <v>30</v>
      </c>
      <c r="N1116" s="4">
        <v>44</v>
      </c>
      <c r="O1116" s="4">
        <v>430</v>
      </c>
      <c r="P1116" s="4">
        <v>1</v>
      </c>
      <c r="Q1116" s="4">
        <v>0</v>
      </c>
      <c r="R1116" s="4">
        <v>8</v>
      </c>
      <c r="S1116" s="4">
        <v>0</v>
      </c>
      <c r="T1116" s="4">
        <v>2</v>
      </c>
      <c r="U1116" s="4">
        <v>55</v>
      </c>
      <c r="V1116" s="4">
        <v>10</v>
      </c>
      <c r="W1116" s="4">
        <v>48</v>
      </c>
      <c r="X1116" s="4">
        <v>13</v>
      </c>
      <c r="Y1116" s="4">
        <v>3</v>
      </c>
      <c r="Z1116" s="4">
        <v>1472</v>
      </c>
      <c r="AA1116" s="4">
        <v>41</v>
      </c>
      <c r="AB1116" s="4">
        <v>25</v>
      </c>
      <c r="AC1116" s="4">
        <v>0</v>
      </c>
      <c r="AD1116" s="4">
        <v>4</v>
      </c>
      <c r="AE1116" s="4">
        <v>3</v>
      </c>
      <c r="AF1116" s="4">
        <v>2</v>
      </c>
      <c r="AG1116" s="4">
        <v>54</v>
      </c>
      <c r="AH1116" s="4">
        <v>103</v>
      </c>
      <c r="AI1116" s="4">
        <v>98</v>
      </c>
      <c r="AJ1116" s="4">
        <v>72</v>
      </c>
      <c r="AK1116" s="4">
        <v>187</v>
      </c>
      <c r="AL1116" s="4">
        <v>24</v>
      </c>
      <c r="AM1116" s="4">
        <v>86</v>
      </c>
      <c r="AN1116" s="4">
        <v>128</v>
      </c>
      <c r="AO1116" s="4">
        <v>108</v>
      </c>
      <c r="AP1116" s="4">
        <v>5</v>
      </c>
      <c r="AQ1116" s="4">
        <v>52</v>
      </c>
      <c r="AR1116" s="4">
        <v>9</v>
      </c>
      <c r="AS1116" s="4">
        <v>41</v>
      </c>
      <c r="AT1116" s="4">
        <v>136</v>
      </c>
      <c r="AU1116" s="4">
        <v>48</v>
      </c>
      <c r="AV1116" s="4">
        <v>92</v>
      </c>
      <c r="AW1116" s="4">
        <v>261</v>
      </c>
      <c r="AX1116" s="4">
        <v>167</v>
      </c>
      <c r="AY1116" s="4">
        <v>2</v>
      </c>
      <c r="AZ1116" s="4">
        <v>17</v>
      </c>
      <c r="BA1116" s="4">
        <v>0</v>
      </c>
      <c r="BB1116" s="4">
        <v>191</v>
      </c>
      <c r="BC1116" s="4">
        <v>31</v>
      </c>
      <c r="BD1116" s="4">
        <v>1</v>
      </c>
      <c r="BE1116" s="4">
        <v>33</v>
      </c>
      <c r="BF1116" s="4">
        <v>254</v>
      </c>
      <c r="BG1116" s="4">
        <v>11</v>
      </c>
      <c r="BH1116" s="4">
        <v>11</v>
      </c>
      <c r="BI1116" s="4">
        <v>0</v>
      </c>
      <c r="BJ1116" s="4">
        <v>153</v>
      </c>
      <c r="BK1116" s="4">
        <v>171</v>
      </c>
      <c r="BL1116" s="4">
        <v>0</v>
      </c>
      <c r="BM1116" s="4">
        <v>8</v>
      </c>
      <c r="BN1116" s="4">
        <v>72</v>
      </c>
      <c r="BO1116" s="4">
        <v>73</v>
      </c>
      <c r="BP1116" s="4">
        <v>11</v>
      </c>
      <c r="BQ1116" s="4">
        <v>82</v>
      </c>
      <c r="BR1116" s="4">
        <v>18</v>
      </c>
      <c r="BS1116" s="4">
        <v>126</v>
      </c>
      <c r="BT1116" s="4">
        <v>72</v>
      </c>
      <c r="BU1116" s="4">
        <v>4</v>
      </c>
      <c r="BV1116" s="4">
        <v>176</v>
      </c>
      <c r="BW1116" s="4">
        <v>37</v>
      </c>
      <c r="BX1116" s="4">
        <v>257</v>
      </c>
      <c r="BY1116" s="4">
        <v>4</v>
      </c>
      <c r="BZ1116" s="4">
        <v>1</v>
      </c>
      <c r="CA1116" s="4">
        <v>96</v>
      </c>
      <c r="CB1116" s="4">
        <v>5</v>
      </c>
      <c r="CC1116" s="4">
        <v>0</v>
      </c>
      <c r="CD1116" s="4">
        <v>18</v>
      </c>
      <c r="CE1116" s="4">
        <v>3</v>
      </c>
      <c r="CF1116" s="4">
        <v>6</v>
      </c>
      <c r="CG1116" s="4">
        <v>4</v>
      </c>
      <c r="CH1116" s="4">
        <v>7</v>
      </c>
      <c r="CI1116" s="4">
        <v>5</v>
      </c>
      <c r="CJ1116" s="4">
        <v>42</v>
      </c>
      <c r="CK1116" s="4">
        <v>12</v>
      </c>
      <c r="CL1116" s="4">
        <v>0</v>
      </c>
      <c r="CM1116" s="4">
        <v>15</v>
      </c>
      <c r="CN1116" s="4">
        <v>78</v>
      </c>
      <c r="CO1116" s="4">
        <v>2</v>
      </c>
      <c r="CP1116" s="4">
        <v>13</v>
      </c>
      <c r="CQ1116" s="4">
        <v>0</v>
      </c>
      <c r="CR1116" s="4">
        <v>35</v>
      </c>
      <c r="CS1116" s="4">
        <v>1</v>
      </c>
      <c r="CT1116" s="4">
        <v>77</v>
      </c>
      <c r="CU1116" s="4">
        <v>27</v>
      </c>
      <c r="CV1116" s="4">
        <v>83</v>
      </c>
      <c r="CW1116" s="4">
        <v>27</v>
      </c>
      <c r="CX1116" s="5">
        <v>27</v>
      </c>
    </row>
    <row r="1117" spans="1:102" ht="15.75" x14ac:dyDescent="0.25">
      <c r="A1117" s="4" t="s">
        <v>441</v>
      </c>
      <c r="B1117" s="4" t="s">
        <v>442</v>
      </c>
      <c r="C1117" s="4">
        <v>2022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5">
        <v>0</v>
      </c>
    </row>
    <row r="1118" spans="1:102" ht="15.75" x14ac:dyDescent="0.25">
      <c r="A1118" s="4" t="s">
        <v>443</v>
      </c>
      <c r="B1118" s="4" t="s">
        <v>444</v>
      </c>
      <c r="C1118" s="4">
        <v>2022</v>
      </c>
      <c r="D1118" s="4">
        <v>10</v>
      </c>
      <c r="E1118" s="4">
        <v>0</v>
      </c>
      <c r="F1118" s="4">
        <v>0</v>
      </c>
      <c r="G1118" s="4">
        <v>1</v>
      </c>
      <c r="H1118" s="4">
        <v>0</v>
      </c>
      <c r="I1118" s="4">
        <v>0</v>
      </c>
      <c r="J1118" s="4">
        <v>0</v>
      </c>
      <c r="K1118" s="4">
        <v>0</v>
      </c>
      <c r="L1118" s="4">
        <v>1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6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5">
        <v>0</v>
      </c>
    </row>
    <row r="1119" spans="1:102" ht="15.75" x14ac:dyDescent="0.25">
      <c r="A1119" s="4" t="s">
        <v>445</v>
      </c>
      <c r="B1119" s="4" t="s">
        <v>446</v>
      </c>
      <c r="C1119" s="4">
        <v>2022</v>
      </c>
      <c r="D1119" s="4">
        <v>1427</v>
      </c>
      <c r="E1119" s="4">
        <v>0</v>
      </c>
      <c r="F1119" s="4">
        <v>7</v>
      </c>
      <c r="G1119" s="4">
        <v>1</v>
      </c>
      <c r="H1119" s="4">
        <v>12</v>
      </c>
      <c r="I1119" s="4">
        <v>48</v>
      </c>
      <c r="J1119" s="4">
        <v>5</v>
      </c>
      <c r="K1119" s="4">
        <v>1</v>
      </c>
      <c r="L1119" s="4">
        <v>3</v>
      </c>
      <c r="M1119" s="4">
        <v>3</v>
      </c>
      <c r="N1119" s="4">
        <v>11</v>
      </c>
      <c r="O1119" s="4">
        <v>96</v>
      </c>
      <c r="P1119" s="4">
        <v>0</v>
      </c>
      <c r="Q1119" s="4">
        <v>0</v>
      </c>
      <c r="R1119" s="4">
        <v>0</v>
      </c>
      <c r="S1119" s="4">
        <v>1</v>
      </c>
      <c r="T1119" s="4">
        <v>0</v>
      </c>
      <c r="U1119" s="4">
        <v>5</v>
      </c>
      <c r="V1119" s="4">
        <v>20</v>
      </c>
      <c r="W1119" s="4">
        <v>96</v>
      </c>
      <c r="X1119" s="4">
        <v>2</v>
      </c>
      <c r="Y1119" s="4">
        <v>0</v>
      </c>
      <c r="Z1119" s="4">
        <v>0</v>
      </c>
      <c r="AA1119" s="4">
        <v>47</v>
      </c>
      <c r="AB1119" s="4">
        <v>124</v>
      </c>
      <c r="AC1119" s="4">
        <v>0</v>
      </c>
      <c r="AD1119" s="4">
        <v>0</v>
      </c>
      <c r="AE1119" s="4">
        <v>0</v>
      </c>
      <c r="AF1119" s="4">
        <v>0</v>
      </c>
      <c r="AG1119" s="4">
        <v>30</v>
      </c>
      <c r="AH1119" s="4">
        <v>11</v>
      </c>
      <c r="AI1119" s="4">
        <v>12</v>
      </c>
      <c r="AJ1119" s="4">
        <v>10</v>
      </c>
      <c r="AK1119" s="4">
        <v>17</v>
      </c>
      <c r="AL1119" s="4">
        <v>0</v>
      </c>
      <c r="AM1119" s="4">
        <v>19</v>
      </c>
      <c r="AN1119" s="4">
        <v>15</v>
      </c>
      <c r="AO1119" s="4">
        <v>32</v>
      </c>
      <c r="AP1119" s="4">
        <v>6</v>
      </c>
      <c r="AQ1119" s="4">
        <v>5</v>
      </c>
      <c r="AR1119" s="4">
        <v>2</v>
      </c>
      <c r="AS1119" s="4">
        <v>14</v>
      </c>
      <c r="AT1119" s="4">
        <v>26</v>
      </c>
      <c r="AU1119" s="4">
        <v>22</v>
      </c>
      <c r="AV1119" s="4">
        <v>95</v>
      </c>
      <c r="AW1119" s="4">
        <v>29</v>
      </c>
      <c r="AX1119" s="4">
        <v>20</v>
      </c>
      <c r="AY1119" s="4">
        <v>0</v>
      </c>
      <c r="AZ1119" s="4">
        <v>2</v>
      </c>
      <c r="BA1119" s="4">
        <v>0</v>
      </c>
      <c r="BB1119" s="4">
        <v>99</v>
      </c>
      <c r="BC1119" s="4">
        <v>4</v>
      </c>
      <c r="BD1119" s="4">
        <v>0</v>
      </c>
      <c r="BE1119" s="4">
        <v>10</v>
      </c>
      <c r="BF1119" s="4">
        <v>29</v>
      </c>
      <c r="BG1119" s="4">
        <v>1</v>
      </c>
      <c r="BH1119" s="4">
        <v>3</v>
      </c>
      <c r="BI1119" s="4">
        <v>0</v>
      </c>
      <c r="BJ1119" s="4">
        <v>24</v>
      </c>
      <c r="BK1119" s="4">
        <v>24</v>
      </c>
      <c r="BL1119" s="4">
        <v>0</v>
      </c>
      <c r="BM1119" s="4">
        <v>2</v>
      </c>
      <c r="BN1119" s="4">
        <v>12</v>
      </c>
      <c r="BO1119" s="4">
        <v>0</v>
      </c>
      <c r="BP1119" s="4">
        <v>3</v>
      </c>
      <c r="BQ1119" s="4">
        <v>11</v>
      </c>
      <c r="BR1119" s="4">
        <v>3</v>
      </c>
      <c r="BS1119" s="4">
        <v>24</v>
      </c>
      <c r="BT1119" s="4">
        <v>13</v>
      </c>
      <c r="BU1119" s="4">
        <v>0</v>
      </c>
      <c r="BV1119" s="4">
        <v>13</v>
      </c>
      <c r="BW1119" s="4">
        <v>8</v>
      </c>
      <c r="BX1119" s="4">
        <v>144</v>
      </c>
      <c r="BY1119" s="4">
        <v>0</v>
      </c>
      <c r="BZ1119" s="4">
        <v>0</v>
      </c>
      <c r="CA1119" s="4">
        <v>41</v>
      </c>
      <c r="CB1119" s="4">
        <v>2</v>
      </c>
      <c r="CC1119" s="4">
        <v>0</v>
      </c>
      <c r="CD1119" s="4">
        <v>5</v>
      </c>
      <c r="CE1119" s="4">
        <v>0</v>
      </c>
      <c r="CF1119" s="4">
        <v>5</v>
      </c>
      <c r="CG1119" s="4">
        <v>0</v>
      </c>
      <c r="CH1119" s="4">
        <v>1</v>
      </c>
      <c r="CI1119" s="4">
        <v>1</v>
      </c>
      <c r="CJ1119" s="4">
        <v>7</v>
      </c>
      <c r="CK1119" s="4">
        <v>1</v>
      </c>
      <c r="CL1119" s="4">
        <v>0</v>
      </c>
      <c r="CM1119" s="4">
        <v>6</v>
      </c>
      <c r="CN1119" s="4">
        <v>14</v>
      </c>
      <c r="CO1119" s="4">
        <v>1</v>
      </c>
      <c r="CP1119" s="4">
        <v>2</v>
      </c>
      <c r="CQ1119" s="4">
        <v>0</v>
      </c>
      <c r="CR1119" s="4">
        <v>9</v>
      </c>
      <c r="CS1119" s="4">
        <v>1</v>
      </c>
      <c r="CT1119" s="4">
        <v>20</v>
      </c>
      <c r="CU1119" s="4">
        <v>5</v>
      </c>
      <c r="CV1119" s="4">
        <v>19</v>
      </c>
      <c r="CW1119" s="4">
        <v>6</v>
      </c>
      <c r="CX1119" s="5">
        <v>7</v>
      </c>
    </row>
    <row r="1120" spans="1:102" ht="15.75" x14ac:dyDescent="0.25">
      <c r="A1120" s="4" t="s">
        <v>447</v>
      </c>
      <c r="B1120" s="4" t="s">
        <v>448</v>
      </c>
      <c r="C1120" s="4">
        <v>2022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5">
        <v>0</v>
      </c>
    </row>
    <row r="1121" spans="1:102" ht="15.75" x14ac:dyDescent="0.25">
      <c r="A1121" s="4" t="s">
        <v>449</v>
      </c>
      <c r="B1121" s="4" t="s">
        <v>450</v>
      </c>
      <c r="C1121" s="4">
        <v>2022</v>
      </c>
      <c r="D1121" s="4">
        <v>34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21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2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1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2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1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0</v>
      </c>
      <c r="CX1121" s="5">
        <v>0</v>
      </c>
    </row>
    <row r="1122" spans="1:102" ht="15.75" x14ac:dyDescent="0.25">
      <c r="A1122" s="4" t="s">
        <v>451</v>
      </c>
      <c r="B1122" s="4" t="s">
        <v>452</v>
      </c>
      <c r="C1122" s="4">
        <v>2022</v>
      </c>
      <c r="D1122" s="4">
        <v>3567</v>
      </c>
      <c r="E1122" s="4">
        <v>8</v>
      </c>
      <c r="F1122" s="4">
        <v>1</v>
      </c>
      <c r="G1122" s="4">
        <v>10</v>
      </c>
      <c r="H1122" s="4">
        <v>1</v>
      </c>
      <c r="I1122" s="4">
        <v>24</v>
      </c>
      <c r="J1122" s="4">
        <v>5</v>
      </c>
      <c r="K1122" s="4">
        <v>2</v>
      </c>
      <c r="L1122" s="4">
        <v>23</v>
      </c>
      <c r="M1122" s="4">
        <v>2</v>
      </c>
      <c r="N1122" s="4">
        <v>8</v>
      </c>
      <c r="O1122" s="4">
        <v>25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1</v>
      </c>
      <c r="W1122" s="4">
        <v>0</v>
      </c>
      <c r="X1122" s="4">
        <v>0</v>
      </c>
      <c r="Y1122" s="4">
        <v>0</v>
      </c>
      <c r="Z1122" s="4">
        <v>0</v>
      </c>
      <c r="AA1122" s="4">
        <v>1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2</v>
      </c>
      <c r="AH1122" s="4">
        <v>0</v>
      </c>
      <c r="AI1122" s="4">
        <v>7</v>
      </c>
      <c r="AJ1122" s="4">
        <v>31</v>
      </c>
      <c r="AK1122" s="4">
        <v>13</v>
      </c>
      <c r="AL1122" s="4">
        <v>0</v>
      </c>
      <c r="AM1122" s="4">
        <v>5</v>
      </c>
      <c r="AN1122" s="4">
        <v>5</v>
      </c>
      <c r="AO1122" s="4">
        <v>18</v>
      </c>
      <c r="AP1122" s="4">
        <v>1</v>
      </c>
      <c r="AQ1122" s="4">
        <v>8</v>
      </c>
      <c r="AR1122" s="4">
        <v>2</v>
      </c>
      <c r="AS1122" s="4">
        <v>2</v>
      </c>
      <c r="AT1122" s="4">
        <v>8</v>
      </c>
      <c r="AU1122" s="4">
        <v>12</v>
      </c>
      <c r="AV1122" s="4">
        <v>40</v>
      </c>
      <c r="AW1122" s="4">
        <v>23</v>
      </c>
      <c r="AX1122" s="4">
        <v>45</v>
      </c>
      <c r="AY1122" s="4">
        <v>1</v>
      </c>
      <c r="AZ1122" s="4">
        <v>11</v>
      </c>
      <c r="BA1122" s="4">
        <v>0</v>
      </c>
      <c r="BB1122" s="4">
        <v>932</v>
      </c>
      <c r="BC1122" s="4">
        <v>5</v>
      </c>
      <c r="BD1122" s="4">
        <v>1</v>
      </c>
      <c r="BE1122" s="4">
        <v>9</v>
      </c>
      <c r="BF1122" s="4">
        <v>11</v>
      </c>
      <c r="BG1122" s="4">
        <v>2</v>
      </c>
      <c r="BH1122" s="4">
        <v>1</v>
      </c>
      <c r="BI1122" s="4">
        <v>1</v>
      </c>
      <c r="BJ1122" s="4">
        <v>60</v>
      </c>
      <c r="BK1122" s="4">
        <v>52</v>
      </c>
      <c r="BL1122" s="4">
        <v>0</v>
      </c>
      <c r="BM1122" s="4">
        <v>2</v>
      </c>
      <c r="BN1122" s="4">
        <v>34</v>
      </c>
      <c r="BO1122" s="4">
        <v>1</v>
      </c>
      <c r="BP1122" s="4">
        <v>6</v>
      </c>
      <c r="BQ1122" s="4">
        <v>47</v>
      </c>
      <c r="BR1122" s="4">
        <v>2</v>
      </c>
      <c r="BS1122" s="4">
        <v>65</v>
      </c>
      <c r="BT1122" s="4">
        <v>33</v>
      </c>
      <c r="BU1122" s="4">
        <v>0</v>
      </c>
      <c r="BV1122" s="4">
        <v>6</v>
      </c>
      <c r="BW1122" s="4">
        <v>27</v>
      </c>
      <c r="BX1122" s="4">
        <v>284</v>
      </c>
      <c r="BY1122" s="4">
        <v>0</v>
      </c>
      <c r="BZ1122" s="4">
        <v>0</v>
      </c>
      <c r="CA1122" s="4">
        <v>841</v>
      </c>
      <c r="CB1122" s="4">
        <v>1</v>
      </c>
      <c r="CC1122" s="4">
        <v>1</v>
      </c>
      <c r="CD1122" s="4">
        <v>11</v>
      </c>
      <c r="CE1122" s="4">
        <v>0</v>
      </c>
      <c r="CF1122" s="4">
        <v>9</v>
      </c>
      <c r="CG1122" s="4">
        <v>10</v>
      </c>
      <c r="CH1122" s="4">
        <v>4</v>
      </c>
      <c r="CI1122" s="4">
        <v>8</v>
      </c>
      <c r="CJ1122" s="4">
        <v>23</v>
      </c>
      <c r="CK1122" s="4">
        <v>4</v>
      </c>
      <c r="CL1122" s="4">
        <v>0</v>
      </c>
      <c r="CM1122" s="4">
        <v>15</v>
      </c>
      <c r="CN1122" s="4">
        <v>131</v>
      </c>
      <c r="CO1122" s="4">
        <v>19</v>
      </c>
      <c r="CP1122" s="4">
        <v>3</v>
      </c>
      <c r="CQ1122" s="4">
        <v>1</v>
      </c>
      <c r="CR1122" s="4">
        <v>29</v>
      </c>
      <c r="CS1122" s="4">
        <v>473</v>
      </c>
      <c r="CT1122" s="4">
        <v>18</v>
      </c>
      <c r="CU1122" s="4">
        <v>3</v>
      </c>
      <c r="CV1122" s="4">
        <v>23</v>
      </c>
      <c r="CW1122" s="4">
        <v>11</v>
      </c>
      <c r="CX1122" s="5">
        <v>11</v>
      </c>
    </row>
    <row r="1123" spans="1:102" ht="15.75" x14ac:dyDescent="0.25">
      <c r="A1123" s="4" t="s">
        <v>453</v>
      </c>
      <c r="B1123" s="4" t="s">
        <v>454</v>
      </c>
      <c r="C1123" s="4">
        <v>2022</v>
      </c>
      <c r="D1123" s="4">
        <v>1173</v>
      </c>
      <c r="E1123" s="4">
        <v>0</v>
      </c>
      <c r="F1123" s="4">
        <v>8</v>
      </c>
      <c r="G1123" s="4">
        <v>4</v>
      </c>
      <c r="H1123" s="4">
        <v>1</v>
      </c>
      <c r="I1123" s="4">
        <v>3</v>
      </c>
      <c r="J1123" s="4">
        <v>1</v>
      </c>
      <c r="K1123" s="4">
        <v>2</v>
      </c>
      <c r="L1123" s="4">
        <v>4</v>
      </c>
      <c r="M1123" s="4">
        <v>1</v>
      </c>
      <c r="N1123" s="4">
        <v>14</v>
      </c>
      <c r="O1123" s="4">
        <v>197</v>
      </c>
      <c r="P1123" s="4">
        <v>0</v>
      </c>
      <c r="Q1123" s="4">
        <v>0</v>
      </c>
      <c r="R1123" s="4">
        <v>1</v>
      </c>
      <c r="S1123" s="4">
        <v>0</v>
      </c>
      <c r="T1123" s="4">
        <v>0</v>
      </c>
      <c r="U1123" s="4">
        <v>3</v>
      </c>
      <c r="V1123" s="4">
        <v>2</v>
      </c>
      <c r="W1123" s="4">
        <v>0</v>
      </c>
      <c r="X1123" s="4">
        <v>1</v>
      </c>
      <c r="Y1123" s="4">
        <v>0</v>
      </c>
      <c r="Z1123" s="4">
        <v>0</v>
      </c>
      <c r="AA1123" s="4">
        <v>4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6</v>
      </c>
      <c r="AH1123" s="4">
        <v>1</v>
      </c>
      <c r="AI1123" s="4">
        <v>10</v>
      </c>
      <c r="AJ1123" s="4">
        <v>19</v>
      </c>
      <c r="AK1123" s="4">
        <v>18</v>
      </c>
      <c r="AL1123" s="4">
        <v>2</v>
      </c>
      <c r="AM1123" s="4">
        <v>12</v>
      </c>
      <c r="AN1123" s="4">
        <v>21</v>
      </c>
      <c r="AO1123" s="4">
        <v>41</v>
      </c>
      <c r="AP1123" s="4">
        <v>14</v>
      </c>
      <c r="AQ1123" s="4">
        <v>16</v>
      </c>
      <c r="AR1123" s="4">
        <v>1</v>
      </c>
      <c r="AS1123" s="4">
        <v>4</v>
      </c>
      <c r="AT1123" s="4">
        <v>55</v>
      </c>
      <c r="AU1123" s="4">
        <v>7</v>
      </c>
      <c r="AV1123" s="4">
        <v>22</v>
      </c>
      <c r="AW1123" s="4">
        <v>22</v>
      </c>
      <c r="AX1123" s="4">
        <v>32</v>
      </c>
      <c r="AY1123" s="4">
        <v>9</v>
      </c>
      <c r="AZ1123" s="4">
        <v>8</v>
      </c>
      <c r="BA1123" s="4">
        <v>0</v>
      </c>
      <c r="BB1123" s="4">
        <v>45</v>
      </c>
      <c r="BC1123" s="4">
        <v>5</v>
      </c>
      <c r="BD1123" s="4">
        <v>0</v>
      </c>
      <c r="BE1123" s="4">
        <v>11</v>
      </c>
      <c r="BF1123" s="4">
        <v>53</v>
      </c>
      <c r="BG1123" s="4">
        <v>4</v>
      </c>
      <c r="BH1123" s="4">
        <v>7</v>
      </c>
      <c r="BI1123" s="4">
        <v>0</v>
      </c>
      <c r="BJ1123" s="4">
        <v>37</v>
      </c>
      <c r="BK1123" s="4">
        <v>26</v>
      </c>
      <c r="BL1123" s="4">
        <v>0</v>
      </c>
      <c r="BM1123" s="4">
        <v>1</v>
      </c>
      <c r="BN1123" s="4">
        <v>28</v>
      </c>
      <c r="BO1123" s="4">
        <v>0</v>
      </c>
      <c r="BP1123" s="4">
        <v>4</v>
      </c>
      <c r="BQ1123" s="4">
        <v>10</v>
      </c>
      <c r="BR1123" s="4">
        <v>2</v>
      </c>
      <c r="BS1123" s="4">
        <v>57</v>
      </c>
      <c r="BT1123" s="4">
        <v>24</v>
      </c>
      <c r="BU1123" s="4">
        <v>1</v>
      </c>
      <c r="BV1123" s="4">
        <v>93</v>
      </c>
      <c r="BW1123" s="4">
        <v>5</v>
      </c>
      <c r="BX1123" s="4">
        <v>68</v>
      </c>
      <c r="BY1123" s="4">
        <v>0</v>
      </c>
      <c r="BZ1123" s="4">
        <v>0</v>
      </c>
      <c r="CA1123" s="4">
        <v>6</v>
      </c>
      <c r="CB1123" s="4">
        <v>1</v>
      </c>
      <c r="CC1123" s="4">
        <v>0</v>
      </c>
      <c r="CD1123" s="4">
        <v>1</v>
      </c>
      <c r="CE1123" s="4">
        <v>0</v>
      </c>
      <c r="CF1123" s="4">
        <v>4</v>
      </c>
      <c r="CG1123" s="4">
        <v>1</v>
      </c>
      <c r="CH1123" s="4">
        <v>4</v>
      </c>
      <c r="CI1123" s="4">
        <v>1</v>
      </c>
      <c r="CJ1123" s="4">
        <v>4</v>
      </c>
      <c r="CK1123" s="4">
        <v>0</v>
      </c>
      <c r="CL1123" s="4">
        <v>0</v>
      </c>
      <c r="CM1123" s="4">
        <v>13</v>
      </c>
      <c r="CN1123" s="4">
        <v>30</v>
      </c>
      <c r="CO1123" s="4">
        <v>1</v>
      </c>
      <c r="CP1123" s="4">
        <v>1</v>
      </c>
      <c r="CQ1123" s="4">
        <v>0</v>
      </c>
      <c r="CR1123" s="4">
        <v>0</v>
      </c>
      <c r="CS1123" s="4">
        <v>1</v>
      </c>
      <c r="CT1123" s="4">
        <v>15</v>
      </c>
      <c r="CU1123" s="4">
        <v>2</v>
      </c>
      <c r="CV1123" s="4">
        <v>40</v>
      </c>
      <c r="CW1123" s="4">
        <v>5</v>
      </c>
      <c r="CX1123" s="5">
        <v>5</v>
      </c>
    </row>
    <row r="1124" spans="1:102" ht="15.75" x14ac:dyDescent="0.25">
      <c r="A1124" s="4" t="s">
        <v>455</v>
      </c>
      <c r="B1124" s="4" t="s">
        <v>456</v>
      </c>
      <c r="C1124" s="4">
        <v>2022</v>
      </c>
      <c r="D1124" s="4">
        <v>309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1</v>
      </c>
      <c r="K1124" s="4">
        <v>0</v>
      </c>
      <c r="L1124" s="4">
        <v>1</v>
      </c>
      <c r="M1124" s="4">
        <v>0</v>
      </c>
      <c r="N1124" s="4">
        <v>6</v>
      </c>
      <c r="O1124" s="4">
        <v>70</v>
      </c>
      <c r="P1124" s="4">
        <v>0</v>
      </c>
      <c r="Q1124" s="4">
        <v>0</v>
      </c>
      <c r="R1124" s="4">
        <v>1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1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2</v>
      </c>
      <c r="AH1124" s="4">
        <v>0</v>
      </c>
      <c r="AI1124" s="4">
        <v>9</v>
      </c>
      <c r="AJ1124" s="4">
        <v>9</v>
      </c>
      <c r="AK1124" s="4">
        <v>4</v>
      </c>
      <c r="AL1124" s="4">
        <v>0</v>
      </c>
      <c r="AM1124" s="4">
        <v>2</v>
      </c>
      <c r="AN1124" s="4">
        <v>4</v>
      </c>
      <c r="AO1124" s="4">
        <v>11</v>
      </c>
      <c r="AP1124" s="4">
        <v>0</v>
      </c>
      <c r="AQ1124" s="4">
        <v>3</v>
      </c>
      <c r="AR1124" s="4">
        <v>0</v>
      </c>
      <c r="AS1124" s="4">
        <v>2</v>
      </c>
      <c r="AT1124" s="4">
        <v>3</v>
      </c>
      <c r="AU1124" s="4">
        <v>2</v>
      </c>
      <c r="AV1124" s="4">
        <v>1</v>
      </c>
      <c r="AW1124" s="4">
        <v>6</v>
      </c>
      <c r="AX1124" s="4">
        <v>7</v>
      </c>
      <c r="AY1124" s="4">
        <v>0</v>
      </c>
      <c r="AZ1124" s="4">
        <v>4</v>
      </c>
      <c r="BA1124" s="4">
        <v>0</v>
      </c>
      <c r="BB1124" s="4">
        <v>38</v>
      </c>
      <c r="BC1124" s="4">
        <v>4</v>
      </c>
      <c r="BD1124" s="4">
        <v>0</v>
      </c>
      <c r="BE1124" s="4">
        <v>2</v>
      </c>
      <c r="BF1124" s="4">
        <v>19</v>
      </c>
      <c r="BG1124" s="4">
        <v>2</v>
      </c>
      <c r="BH1124" s="4">
        <v>1</v>
      </c>
      <c r="BI1124" s="4">
        <v>0</v>
      </c>
      <c r="BJ1124" s="4">
        <v>9</v>
      </c>
      <c r="BK1124" s="4">
        <v>11</v>
      </c>
      <c r="BL1124" s="4">
        <v>0</v>
      </c>
      <c r="BM1124" s="4">
        <v>1</v>
      </c>
      <c r="BN1124" s="4">
        <v>5</v>
      </c>
      <c r="BO1124" s="4">
        <v>0</v>
      </c>
      <c r="BP1124" s="4">
        <v>1</v>
      </c>
      <c r="BQ1124" s="4">
        <v>3</v>
      </c>
      <c r="BR1124" s="4">
        <v>0</v>
      </c>
      <c r="BS1124" s="4">
        <v>12</v>
      </c>
      <c r="BT1124" s="4">
        <v>5</v>
      </c>
      <c r="BU1124" s="4">
        <v>0</v>
      </c>
      <c r="BV1124" s="4">
        <v>2</v>
      </c>
      <c r="BW1124" s="4">
        <v>1</v>
      </c>
      <c r="BX1124" s="4">
        <v>2</v>
      </c>
      <c r="BY1124" s="4">
        <v>0</v>
      </c>
      <c r="BZ1124" s="4">
        <v>0</v>
      </c>
      <c r="CA1124" s="4">
        <v>6</v>
      </c>
      <c r="CB1124" s="4">
        <v>0</v>
      </c>
      <c r="CC1124" s="4">
        <v>0</v>
      </c>
      <c r="CD1124" s="4">
        <v>1</v>
      </c>
      <c r="CE1124" s="4">
        <v>0</v>
      </c>
      <c r="CF1124" s="4">
        <v>1</v>
      </c>
      <c r="CG1124" s="4">
        <v>0</v>
      </c>
      <c r="CH1124" s="4">
        <v>2</v>
      </c>
      <c r="CI1124" s="4">
        <v>0</v>
      </c>
      <c r="CJ1124" s="4">
        <v>7</v>
      </c>
      <c r="CK1124" s="4">
        <v>1</v>
      </c>
      <c r="CL1124" s="4">
        <v>0</v>
      </c>
      <c r="CM1124" s="4">
        <v>1</v>
      </c>
      <c r="CN1124" s="4">
        <v>5</v>
      </c>
      <c r="CO1124" s="4">
        <v>1</v>
      </c>
      <c r="CP1124" s="4">
        <v>1</v>
      </c>
      <c r="CQ1124" s="4">
        <v>0</v>
      </c>
      <c r="CR1124" s="4">
        <v>0</v>
      </c>
      <c r="CS1124" s="4">
        <v>0</v>
      </c>
      <c r="CT1124" s="4">
        <v>3</v>
      </c>
      <c r="CU1124" s="4">
        <v>0</v>
      </c>
      <c r="CV1124" s="4">
        <v>8</v>
      </c>
      <c r="CW1124" s="4">
        <v>1</v>
      </c>
      <c r="CX1124" s="5">
        <v>1</v>
      </c>
    </row>
    <row r="1125" spans="1:102" ht="15.75" x14ac:dyDescent="0.25">
      <c r="A1125" s="4" t="s">
        <v>457</v>
      </c>
      <c r="B1125" s="4" t="s">
        <v>458</v>
      </c>
      <c r="C1125" s="4">
        <v>2022</v>
      </c>
      <c r="D1125" s="4">
        <v>1288</v>
      </c>
      <c r="E1125" s="4">
        <v>3</v>
      </c>
      <c r="F1125" s="4">
        <v>0</v>
      </c>
      <c r="G1125" s="4">
        <v>11</v>
      </c>
      <c r="H1125" s="4">
        <v>0</v>
      </c>
      <c r="I1125" s="4">
        <v>3</v>
      </c>
      <c r="J1125" s="4">
        <v>2</v>
      </c>
      <c r="K1125" s="4">
        <v>1</v>
      </c>
      <c r="L1125" s="4">
        <v>10</v>
      </c>
      <c r="M1125" s="4">
        <v>12</v>
      </c>
      <c r="N1125" s="4">
        <v>34</v>
      </c>
      <c r="O1125" s="4">
        <v>137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1</v>
      </c>
      <c r="W1125" s="4">
        <v>7</v>
      </c>
      <c r="X1125" s="4">
        <v>4</v>
      </c>
      <c r="Y1125" s="4">
        <v>0</v>
      </c>
      <c r="Z1125" s="4">
        <v>0</v>
      </c>
      <c r="AA1125" s="4">
        <v>2</v>
      </c>
      <c r="AB1125" s="4">
        <v>0</v>
      </c>
      <c r="AC1125" s="4">
        <v>0</v>
      </c>
      <c r="AD1125" s="4">
        <v>0</v>
      </c>
      <c r="AE1125" s="4">
        <v>0</v>
      </c>
      <c r="AF1125" s="4">
        <v>1</v>
      </c>
      <c r="AG1125" s="4">
        <v>50</v>
      </c>
      <c r="AH1125" s="4">
        <v>8</v>
      </c>
      <c r="AI1125" s="4">
        <v>29</v>
      </c>
      <c r="AJ1125" s="4">
        <v>358</v>
      </c>
      <c r="AK1125" s="4">
        <v>67</v>
      </c>
      <c r="AL1125" s="4">
        <v>0</v>
      </c>
      <c r="AM1125" s="4">
        <v>19</v>
      </c>
      <c r="AN1125" s="4">
        <v>11</v>
      </c>
      <c r="AO1125" s="4">
        <v>37</v>
      </c>
      <c r="AP1125" s="4">
        <v>0</v>
      </c>
      <c r="AQ1125" s="4">
        <v>4</v>
      </c>
      <c r="AR1125" s="4">
        <v>0</v>
      </c>
      <c r="AS1125" s="4">
        <v>4</v>
      </c>
      <c r="AT1125" s="4">
        <v>8</v>
      </c>
      <c r="AU1125" s="4">
        <v>4</v>
      </c>
      <c r="AV1125" s="4">
        <v>3</v>
      </c>
      <c r="AW1125" s="4">
        <v>5</v>
      </c>
      <c r="AX1125" s="4">
        <v>8</v>
      </c>
      <c r="AY1125" s="4">
        <v>0</v>
      </c>
      <c r="AZ1125" s="4">
        <v>11</v>
      </c>
      <c r="BA1125" s="4">
        <v>0</v>
      </c>
      <c r="BB1125" s="4">
        <v>8</v>
      </c>
      <c r="BC1125" s="4">
        <v>24</v>
      </c>
      <c r="BD1125" s="4">
        <v>0</v>
      </c>
      <c r="BE1125" s="4">
        <v>12</v>
      </c>
      <c r="BF1125" s="4">
        <v>58</v>
      </c>
      <c r="BG1125" s="4">
        <v>1</v>
      </c>
      <c r="BH1125" s="4">
        <v>1</v>
      </c>
      <c r="BI1125" s="4">
        <v>0</v>
      </c>
      <c r="BJ1125" s="4">
        <v>16</v>
      </c>
      <c r="BK1125" s="4">
        <v>33</v>
      </c>
      <c r="BL1125" s="4">
        <v>0</v>
      </c>
      <c r="BM1125" s="4">
        <v>1</v>
      </c>
      <c r="BN1125" s="4">
        <v>2</v>
      </c>
      <c r="BO1125" s="4">
        <v>0</v>
      </c>
      <c r="BP1125" s="4">
        <v>0</v>
      </c>
      <c r="BQ1125" s="4">
        <v>5</v>
      </c>
      <c r="BR1125" s="4">
        <v>1</v>
      </c>
      <c r="BS1125" s="4">
        <v>23</v>
      </c>
      <c r="BT1125" s="4">
        <v>17</v>
      </c>
      <c r="BU1125" s="4">
        <v>1</v>
      </c>
      <c r="BV1125" s="4">
        <v>14</v>
      </c>
      <c r="BW1125" s="4">
        <v>4</v>
      </c>
      <c r="BX1125" s="4">
        <v>93</v>
      </c>
      <c r="BY1125" s="4">
        <v>0</v>
      </c>
      <c r="BZ1125" s="4">
        <v>0</v>
      </c>
      <c r="CA1125" s="4">
        <v>13</v>
      </c>
      <c r="CB1125" s="4">
        <v>0</v>
      </c>
      <c r="CC1125" s="4">
        <v>0</v>
      </c>
      <c r="CD1125" s="4">
        <v>1</v>
      </c>
      <c r="CE1125" s="4">
        <v>0</v>
      </c>
      <c r="CF1125" s="4">
        <v>3</v>
      </c>
      <c r="CG1125" s="4">
        <v>3</v>
      </c>
      <c r="CH1125" s="4">
        <v>2</v>
      </c>
      <c r="CI1125" s="4">
        <v>1</v>
      </c>
      <c r="CJ1125" s="4">
        <v>11</v>
      </c>
      <c r="CK1125" s="4">
        <v>1</v>
      </c>
      <c r="CL1125" s="4">
        <v>0</v>
      </c>
      <c r="CM1125" s="4">
        <v>5</v>
      </c>
      <c r="CN1125" s="4">
        <v>25</v>
      </c>
      <c r="CO1125" s="4">
        <v>13</v>
      </c>
      <c r="CP1125" s="4">
        <v>1</v>
      </c>
      <c r="CQ1125" s="4">
        <v>0</v>
      </c>
      <c r="CR1125" s="4">
        <v>5</v>
      </c>
      <c r="CS1125" s="4">
        <v>0</v>
      </c>
      <c r="CT1125" s="4">
        <v>8</v>
      </c>
      <c r="CU1125" s="4">
        <v>0</v>
      </c>
      <c r="CV1125" s="4">
        <v>29</v>
      </c>
      <c r="CW1125" s="4">
        <v>3</v>
      </c>
      <c r="CX1125" s="5">
        <v>3</v>
      </c>
    </row>
    <row r="1126" spans="1:102" ht="15.75" x14ac:dyDescent="0.25">
      <c r="A1126" s="4" t="s">
        <v>459</v>
      </c>
      <c r="B1126" s="4" t="s">
        <v>460</v>
      </c>
      <c r="C1126" s="4">
        <v>2022</v>
      </c>
      <c r="D1126" s="4">
        <v>13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1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1</v>
      </c>
      <c r="AJ1126" s="4">
        <v>1</v>
      </c>
      <c r="AK1126" s="4">
        <v>1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1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2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1</v>
      </c>
      <c r="CK1126" s="4">
        <v>0</v>
      </c>
      <c r="CL1126" s="4">
        <v>0</v>
      </c>
      <c r="CM1126" s="4">
        <v>0</v>
      </c>
      <c r="CN1126" s="4">
        <v>1</v>
      </c>
      <c r="CO1126" s="4">
        <v>0</v>
      </c>
      <c r="CP1126" s="4">
        <v>0</v>
      </c>
      <c r="CQ1126" s="4">
        <v>0</v>
      </c>
      <c r="CR1126" s="4">
        <v>1</v>
      </c>
      <c r="CS1126" s="4">
        <v>0</v>
      </c>
      <c r="CT1126" s="4">
        <v>0</v>
      </c>
      <c r="CU1126" s="4">
        <v>0</v>
      </c>
      <c r="CV1126" s="4">
        <v>1</v>
      </c>
      <c r="CW1126" s="4">
        <v>0</v>
      </c>
      <c r="CX1126" s="5">
        <v>0</v>
      </c>
    </row>
    <row r="1127" spans="1:102" ht="15.75" x14ac:dyDescent="0.25">
      <c r="A1127" s="4" t="s">
        <v>461</v>
      </c>
      <c r="B1127" s="4" t="s">
        <v>462</v>
      </c>
      <c r="C1127" s="4">
        <v>2022</v>
      </c>
      <c r="D1127" s="4">
        <v>3982</v>
      </c>
      <c r="E1127" s="4">
        <v>26</v>
      </c>
      <c r="F1127" s="4">
        <v>1</v>
      </c>
      <c r="G1127" s="4">
        <v>28</v>
      </c>
      <c r="H1127" s="4">
        <v>1</v>
      </c>
      <c r="I1127" s="4">
        <v>83</v>
      </c>
      <c r="J1127" s="4">
        <v>8</v>
      </c>
      <c r="K1127" s="4">
        <v>4</v>
      </c>
      <c r="L1127" s="4">
        <v>144</v>
      </c>
      <c r="M1127" s="4">
        <v>13</v>
      </c>
      <c r="N1127" s="4">
        <v>43</v>
      </c>
      <c r="O1127" s="4">
        <v>4</v>
      </c>
      <c r="P1127" s="4">
        <v>0</v>
      </c>
      <c r="Q1127" s="4">
        <v>0</v>
      </c>
      <c r="R1127" s="4">
        <v>0</v>
      </c>
      <c r="S1127" s="4">
        <v>1</v>
      </c>
      <c r="T1127" s="4">
        <v>0</v>
      </c>
      <c r="U1127" s="4">
        <v>0</v>
      </c>
      <c r="V1127" s="4">
        <v>10</v>
      </c>
      <c r="W1127" s="4">
        <v>66</v>
      </c>
      <c r="X1127" s="4">
        <v>0</v>
      </c>
      <c r="Y1127" s="4">
        <v>10</v>
      </c>
      <c r="Z1127" s="4">
        <v>0</v>
      </c>
      <c r="AA1127" s="4">
        <v>15</v>
      </c>
      <c r="AB1127" s="4">
        <v>1</v>
      </c>
      <c r="AC1127" s="4">
        <v>0</v>
      </c>
      <c r="AD1127" s="4">
        <v>0</v>
      </c>
      <c r="AE1127" s="4">
        <v>0</v>
      </c>
      <c r="AF1127" s="4">
        <v>0</v>
      </c>
      <c r="AG1127" s="4">
        <v>35</v>
      </c>
      <c r="AH1127" s="4">
        <v>6</v>
      </c>
      <c r="AI1127" s="4">
        <v>57</v>
      </c>
      <c r="AJ1127" s="4">
        <v>351</v>
      </c>
      <c r="AK1127" s="4">
        <v>130</v>
      </c>
      <c r="AL1127" s="4">
        <v>1</v>
      </c>
      <c r="AM1127" s="4">
        <v>24</v>
      </c>
      <c r="AN1127" s="4">
        <v>10</v>
      </c>
      <c r="AO1127" s="4">
        <v>92</v>
      </c>
      <c r="AP1127" s="4">
        <v>0</v>
      </c>
      <c r="AQ1127" s="4">
        <v>26</v>
      </c>
      <c r="AR1127" s="4">
        <v>3</v>
      </c>
      <c r="AS1127" s="4">
        <v>11</v>
      </c>
      <c r="AT1127" s="4">
        <v>16</v>
      </c>
      <c r="AU1127" s="4">
        <v>12</v>
      </c>
      <c r="AV1127" s="4">
        <v>25</v>
      </c>
      <c r="AW1127" s="4">
        <v>14</v>
      </c>
      <c r="AX1127" s="4">
        <v>139</v>
      </c>
      <c r="AY1127" s="4">
        <v>2</v>
      </c>
      <c r="AZ1127" s="4">
        <v>52</v>
      </c>
      <c r="BA1127" s="4">
        <v>0</v>
      </c>
      <c r="BB1127" s="4">
        <v>751</v>
      </c>
      <c r="BC1127" s="4">
        <v>10</v>
      </c>
      <c r="BD1127" s="4">
        <v>0</v>
      </c>
      <c r="BE1127" s="4">
        <v>20</v>
      </c>
      <c r="BF1127" s="4">
        <v>52</v>
      </c>
      <c r="BG1127" s="4">
        <v>9</v>
      </c>
      <c r="BH1127" s="4">
        <v>5</v>
      </c>
      <c r="BI1127" s="4">
        <v>0</v>
      </c>
      <c r="BJ1127" s="4">
        <v>142</v>
      </c>
      <c r="BK1127" s="4">
        <v>87</v>
      </c>
      <c r="BL1127" s="4">
        <v>0</v>
      </c>
      <c r="BM1127" s="4">
        <v>6</v>
      </c>
      <c r="BN1127" s="4">
        <v>58</v>
      </c>
      <c r="BO1127" s="4">
        <v>1</v>
      </c>
      <c r="BP1127" s="4">
        <v>9</v>
      </c>
      <c r="BQ1127" s="4">
        <v>53</v>
      </c>
      <c r="BR1127" s="4">
        <v>9</v>
      </c>
      <c r="BS1127" s="4">
        <v>123</v>
      </c>
      <c r="BT1127" s="4">
        <v>84</v>
      </c>
      <c r="BU1127" s="4">
        <v>1</v>
      </c>
      <c r="BV1127" s="4">
        <v>8</v>
      </c>
      <c r="BW1127" s="4">
        <v>23</v>
      </c>
      <c r="BX1127" s="4">
        <v>316</v>
      </c>
      <c r="BY1127" s="4">
        <v>1</v>
      </c>
      <c r="BZ1127" s="4">
        <v>0</v>
      </c>
      <c r="CA1127" s="4">
        <v>108</v>
      </c>
      <c r="CB1127" s="4">
        <v>1</v>
      </c>
      <c r="CC1127" s="4">
        <v>0</v>
      </c>
      <c r="CD1127" s="4">
        <v>9</v>
      </c>
      <c r="CE1127" s="4">
        <v>0</v>
      </c>
      <c r="CF1127" s="4">
        <v>12</v>
      </c>
      <c r="CG1127" s="4">
        <v>3</v>
      </c>
      <c r="CH1127" s="4">
        <v>8</v>
      </c>
      <c r="CI1127" s="4">
        <v>6</v>
      </c>
      <c r="CJ1127" s="4">
        <v>58</v>
      </c>
      <c r="CK1127" s="4">
        <v>4</v>
      </c>
      <c r="CL1127" s="4">
        <v>0</v>
      </c>
      <c r="CM1127" s="4">
        <v>58</v>
      </c>
      <c r="CN1127" s="4">
        <v>135</v>
      </c>
      <c r="CO1127" s="4">
        <v>4</v>
      </c>
      <c r="CP1127" s="4">
        <v>4</v>
      </c>
      <c r="CQ1127" s="4">
        <v>0</v>
      </c>
      <c r="CR1127" s="4">
        <v>32</v>
      </c>
      <c r="CS1127" s="4">
        <v>201</v>
      </c>
      <c r="CT1127" s="4">
        <v>15</v>
      </c>
      <c r="CU1127" s="4">
        <v>10</v>
      </c>
      <c r="CV1127" s="4">
        <v>58</v>
      </c>
      <c r="CW1127" s="4">
        <v>21</v>
      </c>
      <c r="CX1127" s="5">
        <v>21</v>
      </c>
    </row>
    <row r="1128" spans="1:102" ht="15.75" x14ac:dyDescent="0.25">
      <c r="A1128" s="4" t="s">
        <v>463</v>
      </c>
      <c r="B1128" s="4" t="s">
        <v>464</v>
      </c>
      <c r="C1128" s="4">
        <v>2022</v>
      </c>
      <c r="D1128" s="4">
        <v>1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2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5">
        <v>0</v>
      </c>
    </row>
    <row r="1129" spans="1:102" ht="15.75" x14ac:dyDescent="0.25">
      <c r="A1129" s="4" t="s">
        <v>465</v>
      </c>
      <c r="B1129" s="4" t="s">
        <v>466</v>
      </c>
      <c r="C1129" s="4">
        <v>2022</v>
      </c>
      <c r="D1129" s="4">
        <v>24</v>
      </c>
      <c r="E1129" s="4">
        <v>0</v>
      </c>
      <c r="F1129" s="4">
        <v>0</v>
      </c>
      <c r="G1129" s="4">
        <v>0</v>
      </c>
      <c r="H1129" s="4">
        <v>0</v>
      </c>
      <c r="I1129" s="4">
        <v>1</v>
      </c>
      <c r="J1129" s="4">
        <v>0</v>
      </c>
      <c r="K1129" s="4">
        <v>0</v>
      </c>
      <c r="L1129" s="4">
        <v>0</v>
      </c>
      <c r="M1129" s="4">
        <v>0</v>
      </c>
      <c r="N1129" s="4">
        <v>1</v>
      </c>
      <c r="O1129" s="4">
        <v>1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1</v>
      </c>
      <c r="AK1129" s="4">
        <v>1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1</v>
      </c>
      <c r="AY1129" s="4">
        <v>0</v>
      </c>
      <c r="AZ1129" s="4">
        <v>0</v>
      </c>
      <c r="BA1129" s="4">
        <v>0</v>
      </c>
      <c r="BB1129" s="4">
        <v>3</v>
      </c>
      <c r="BC1129" s="4">
        <v>0</v>
      </c>
      <c r="BD1129" s="4">
        <v>0</v>
      </c>
      <c r="BE1129" s="4">
        <v>1</v>
      </c>
      <c r="BF1129" s="4">
        <v>0</v>
      </c>
      <c r="BG1129" s="4">
        <v>0</v>
      </c>
      <c r="BH1129" s="4">
        <v>0</v>
      </c>
      <c r="BI1129" s="4">
        <v>0</v>
      </c>
      <c r="BJ1129" s="4">
        <v>1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1</v>
      </c>
      <c r="BR1129" s="4">
        <v>0</v>
      </c>
      <c r="BS1129" s="4">
        <v>1</v>
      </c>
      <c r="BT1129" s="4">
        <v>0</v>
      </c>
      <c r="BU1129" s="4">
        <v>0</v>
      </c>
      <c r="BV1129" s="4">
        <v>0</v>
      </c>
      <c r="BW1129" s="4">
        <v>0</v>
      </c>
      <c r="BX1129" s="4">
        <v>1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1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2</v>
      </c>
      <c r="CU1129" s="4">
        <v>0</v>
      </c>
      <c r="CV1129" s="4">
        <v>1</v>
      </c>
      <c r="CW1129" s="4">
        <v>0</v>
      </c>
      <c r="CX1129" s="5">
        <v>0</v>
      </c>
    </row>
    <row r="1130" spans="1:102" ht="15.75" x14ac:dyDescent="0.25">
      <c r="A1130" s="4" t="s">
        <v>467</v>
      </c>
      <c r="B1130" s="4" t="s">
        <v>468</v>
      </c>
      <c r="C1130" s="4">
        <v>2022</v>
      </c>
      <c r="D1130" s="4">
        <v>54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3</v>
      </c>
      <c r="K1130" s="4">
        <v>0</v>
      </c>
      <c r="L1130" s="4">
        <v>0</v>
      </c>
      <c r="M1130" s="4">
        <v>0</v>
      </c>
      <c r="N1130" s="4">
        <v>2</v>
      </c>
      <c r="O1130" s="4">
        <v>6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5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2</v>
      </c>
      <c r="AK1130" s="4">
        <v>1</v>
      </c>
      <c r="AL1130" s="4">
        <v>0</v>
      </c>
      <c r="AM1130" s="4">
        <v>0</v>
      </c>
      <c r="AN1130" s="4">
        <v>1</v>
      </c>
      <c r="AO1130" s="4">
        <v>5</v>
      </c>
      <c r="AP1130" s="4">
        <v>0</v>
      </c>
      <c r="AQ1130" s="4">
        <v>3</v>
      </c>
      <c r="AR1130" s="4">
        <v>0</v>
      </c>
      <c r="AS1130" s="4">
        <v>0</v>
      </c>
      <c r="AT1130" s="4">
        <v>1</v>
      </c>
      <c r="AU1130" s="4">
        <v>0</v>
      </c>
      <c r="AV1130" s="4">
        <v>0</v>
      </c>
      <c r="AW1130" s="4">
        <v>0</v>
      </c>
      <c r="AX1130" s="4">
        <v>1</v>
      </c>
      <c r="AY1130" s="4">
        <v>0</v>
      </c>
      <c r="AZ1130" s="4">
        <v>2</v>
      </c>
      <c r="BA1130" s="4">
        <v>0</v>
      </c>
      <c r="BB1130" s="4">
        <v>5</v>
      </c>
      <c r="BC1130" s="4">
        <v>0</v>
      </c>
      <c r="BD1130" s="4">
        <v>0</v>
      </c>
      <c r="BE1130" s="4">
        <v>1</v>
      </c>
      <c r="BF1130" s="4">
        <v>3</v>
      </c>
      <c r="BG1130" s="4">
        <v>0</v>
      </c>
      <c r="BH1130" s="4">
        <v>0</v>
      </c>
      <c r="BI1130" s="4">
        <v>0</v>
      </c>
      <c r="BJ1130" s="4">
        <v>1</v>
      </c>
      <c r="BK1130" s="4">
        <v>2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1</v>
      </c>
      <c r="BT1130" s="4">
        <v>0</v>
      </c>
      <c r="BU1130" s="4">
        <v>0</v>
      </c>
      <c r="BV1130" s="4">
        <v>1</v>
      </c>
      <c r="BW1130" s="4">
        <v>1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1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1</v>
      </c>
      <c r="CO1130" s="4">
        <v>0</v>
      </c>
      <c r="CP1130" s="4">
        <v>0</v>
      </c>
      <c r="CQ1130" s="4">
        <v>0</v>
      </c>
      <c r="CR1130" s="4">
        <v>0</v>
      </c>
      <c r="CS1130" s="4">
        <v>0</v>
      </c>
      <c r="CT1130" s="4">
        <v>1</v>
      </c>
      <c r="CU1130" s="4">
        <v>0</v>
      </c>
      <c r="CV1130" s="4">
        <v>2</v>
      </c>
      <c r="CW1130" s="4">
        <v>0</v>
      </c>
      <c r="CX1130" s="5">
        <v>0</v>
      </c>
    </row>
    <row r="1131" spans="1:102" ht="15.75" x14ac:dyDescent="0.25">
      <c r="A1131" s="4" t="s">
        <v>469</v>
      </c>
      <c r="B1131" s="4" t="s">
        <v>470</v>
      </c>
      <c r="C1131" s="4">
        <v>2022</v>
      </c>
      <c r="D1131" s="4">
        <v>5979</v>
      </c>
      <c r="E1131" s="4">
        <v>8</v>
      </c>
      <c r="F1131" s="4">
        <v>5</v>
      </c>
      <c r="G1131" s="4">
        <v>13</v>
      </c>
      <c r="H1131" s="4">
        <v>9</v>
      </c>
      <c r="I1131" s="4">
        <v>38</v>
      </c>
      <c r="J1131" s="4">
        <v>7</v>
      </c>
      <c r="K1131" s="4">
        <v>9</v>
      </c>
      <c r="L1131" s="4">
        <v>17</v>
      </c>
      <c r="M1131" s="4">
        <v>26</v>
      </c>
      <c r="N1131" s="4">
        <v>36</v>
      </c>
      <c r="O1131" s="4">
        <v>96</v>
      </c>
      <c r="P1131" s="4">
        <v>0</v>
      </c>
      <c r="Q1131" s="4">
        <v>9</v>
      </c>
      <c r="R1131" s="4">
        <v>2</v>
      </c>
      <c r="S1131" s="4">
        <v>1</v>
      </c>
      <c r="T1131" s="4">
        <v>2</v>
      </c>
      <c r="U1131" s="4">
        <v>2</v>
      </c>
      <c r="V1131" s="4">
        <v>22</v>
      </c>
      <c r="W1131" s="4">
        <v>33</v>
      </c>
      <c r="X1131" s="4">
        <v>5</v>
      </c>
      <c r="Y1131" s="4">
        <v>3</v>
      </c>
      <c r="Z1131" s="4">
        <v>1469</v>
      </c>
      <c r="AA1131" s="4">
        <v>119</v>
      </c>
      <c r="AB1131" s="4">
        <v>26</v>
      </c>
      <c r="AC1131" s="4">
        <v>0</v>
      </c>
      <c r="AD1131" s="4">
        <v>0</v>
      </c>
      <c r="AE1131" s="4">
        <v>19</v>
      </c>
      <c r="AF1131" s="4">
        <v>5</v>
      </c>
      <c r="AG1131" s="4">
        <v>88</v>
      </c>
      <c r="AH1131" s="4">
        <v>166</v>
      </c>
      <c r="AI1131" s="4">
        <v>37</v>
      </c>
      <c r="AJ1131" s="4">
        <v>103</v>
      </c>
      <c r="AK1131" s="4">
        <v>81</v>
      </c>
      <c r="AL1131" s="4">
        <v>3</v>
      </c>
      <c r="AM1131" s="4">
        <v>66</v>
      </c>
      <c r="AN1131" s="4">
        <v>86</v>
      </c>
      <c r="AO1131" s="4">
        <v>65</v>
      </c>
      <c r="AP1131" s="4">
        <v>2</v>
      </c>
      <c r="AQ1131" s="4">
        <v>20</v>
      </c>
      <c r="AR1131" s="4">
        <v>12</v>
      </c>
      <c r="AS1131" s="4">
        <v>38</v>
      </c>
      <c r="AT1131" s="4">
        <v>41</v>
      </c>
      <c r="AU1131" s="4">
        <v>57</v>
      </c>
      <c r="AV1131" s="4">
        <v>634</v>
      </c>
      <c r="AW1131" s="4">
        <v>125</v>
      </c>
      <c r="AX1131" s="4">
        <v>104</v>
      </c>
      <c r="AY1131" s="4">
        <v>7</v>
      </c>
      <c r="AZ1131" s="4">
        <v>12</v>
      </c>
      <c r="BA1131" s="4">
        <v>0</v>
      </c>
      <c r="BB1131" s="4">
        <v>200</v>
      </c>
      <c r="BC1131" s="4">
        <v>21</v>
      </c>
      <c r="BD1131" s="4">
        <v>35</v>
      </c>
      <c r="BE1131" s="4">
        <v>42</v>
      </c>
      <c r="BF1131" s="4">
        <v>98</v>
      </c>
      <c r="BG1131" s="4">
        <v>7</v>
      </c>
      <c r="BH1131" s="4">
        <v>10</v>
      </c>
      <c r="BI1131" s="4">
        <v>1</v>
      </c>
      <c r="BJ1131" s="4">
        <v>101</v>
      </c>
      <c r="BK1131" s="4">
        <v>189</v>
      </c>
      <c r="BL1131" s="4">
        <v>0</v>
      </c>
      <c r="BM1131" s="4">
        <v>6</v>
      </c>
      <c r="BN1131" s="4">
        <v>44</v>
      </c>
      <c r="BO1131" s="4">
        <v>1</v>
      </c>
      <c r="BP1131" s="4">
        <v>22</v>
      </c>
      <c r="BQ1131" s="4">
        <v>62</v>
      </c>
      <c r="BR1131" s="4">
        <v>30</v>
      </c>
      <c r="BS1131" s="4">
        <v>133</v>
      </c>
      <c r="BT1131" s="4">
        <v>60</v>
      </c>
      <c r="BU1131" s="4">
        <v>3</v>
      </c>
      <c r="BV1131" s="4">
        <v>234</v>
      </c>
      <c r="BW1131" s="4">
        <v>37</v>
      </c>
      <c r="BX1131" s="4">
        <v>361</v>
      </c>
      <c r="BY1131" s="4">
        <v>4</v>
      </c>
      <c r="BZ1131" s="4">
        <v>1</v>
      </c>
      <c r="CA1131" s="4">
        <v>86</v>
      </c>
      <c r="CB1131" s="4">
        <v>8</v>
      </c>
      <c r="CC1131" s="4">
        <v>2</v>
      </c>
      <c r="CD1131" s="4">
        <v>9</v>
      </c>
      <c r="CE1131" s="4">
        <v>0</v>
      </c>
      <c r="CF1131" s="4">
        <v>9</v>
      </c>
      <c r="CG1131" s="4">
        <v>4</v>
      </c>
      <c r="CH1131" s="4">
        <v>14</v>
      </c>
      <c r="CI1131" s="4">
        <v>4</v>
      </c>
      <c r="CJ1131" s="4">
        <v>35</v>
      </c>
      <c r="CK1131" s="4">
        <v>12</v>
      </c>
      <c r="CL1131" s="4">
        <v>0</v>
      </c>
      <c r="CM1131" s="4">
        <v>23</v>
      </c>
      <c r="CN1131" s="4">
        <v>106</v>
      </c>
      <c r="CO1131" s="4">
        <v>5</v>
      </c>
      <c r="CP1131" s="4">
        <v>5</v>
      </c>
      <c r="CQ1131" s="4">
        <v>0</v>
      </c>
      <c r="CR1131" s="4">
        <v>15</v>
      </c>
      <c r="CS1131" s="4">
        <v>8</v>
      </c>
      <c r="CT1131" s="4">
        <v>60</v>
      </c>
      <c r="CU1131" s="4">
        <v>5</v>
      </c>
      <c r="CV1131" s="4">
        <v>123</v>
      </c>
      <c r="CW1131" s="4">
        <v>20</v>
      </c>
      <c r="CX1131" s="5">
        <v>21</v>
      </c>
    </row>
    <row r="1132" spans="1:102" ht="15.75" x14ac:dyDescent="0.25">
      <c r="A1132" s="4" t="s">
        <v>471</v>
      </c>
      <c r="B1132" s="4" t="s">
        <v>472</v>
      </c>
      <c r="C1132" s="4">
        <v>2022</v>
      </c>
      <c r="D1132" s="4">
        <v>6088</v>
      </c>
      <c r="E1132" s="4">
        <v>1</v>
      </c>
      <c r="F1132" s="4">
        <v>2</v>
      </c>
      <c r="G1132" s="4">
        <v>12</v>
      </c>
      <c r="H1132" s="4">
        <v>8</v>
      </c>
      <c r="I1132" s="4">
        <v>18</v>
      </c>
      <c r="J1132" s="4">
        <v>5</v>
      </c>
      <c r="K1132" s="4">
        <v>4</v>
      </c>
      <c r="L1132" s="4">
        <v>24</v>
      </c>
      <c r="M1132" s="4">
        <v>4</v>
      </c>
      <c r="N1132" s="4">
        <v>25</v>
      </c>
      <c r="O1132" s="4">
        <v>424</v>
      </c>
      <c r="P1132" s="4">
        <v>0</v>
      </c>
      <c r="Q1132" s="4">
        <v>0</v>
      </c>
      <c r="R1132" s="4">
        <v>7</v>
      </c>
      <c r="S1132" s="4">
        <v>0</v>
      </c>
      <c r="T1132" s="4">
        <v>1</v>
      </c>
      <c r="U1132" s="4">
        <v>0</v>
      </c>
      <c r="V1132" s="4">
        <v>3</v>
      </c>
      <c r="W1132" s="4">
        <v>5</v>
      </c>
      <c r="X1132" s="4">
        <v>2</v>
      </c>
      <c r="Y1132" s="4">
        <v>0</v>
      </c>
      <c r="Z1132" s="4">
        <v>0</v>
      </c>
      <c r="AA1132" s="4">
        <v>40</v>
      </c>
      <c r="AB1132" s="4">
        <v>0</v>
      </c>
      <c r="AC1132" s="4">
        <v>0</v>
      </c>
      <c r="AD1132" s="4">
        <v>0</v>
      </c>
      <c r="AE1132" s="4">
        <v>1</v>
      </c>
      <c r="AF1132" s="4">
        <v>0</v>
      </c>
      <c r="AG1132" s="4">
        <v>46</v>
      </c>
      <c r="AH1132" s="4">
        <v>6</v>
      </c>
      <c r="AI1132" s="4">
        <v>11</v>
      </c>
      <c r="AJ1132" s="4">
        <v>223</v>
      </c>
      <c r="AK1132" s="4">
        <v>47</v>
      </c>
      <c r="AL1132" s="4">
        <v>0</v>
      </c>
      <c r="AM1132" s="4">
        <v>20</v>
      </c>
      <c r="AN1132" s="4">
        <v>28</v>
      </c>
      <c r="AO1132" s="4">
        <v>59</v>
      </c>
      <c r="AP1132" s="4">
        <v>0</v>
      </c>
      <c r="AQ1132" s="4">
        <v>19</v>
      </c>
      <c r="AR1132" s="4">
        <v>0</v>
      </c>
      <c r="AS1132" s="4">
        <v>6</v>
      </c>
      <c r="AT1132" s="4">
        <v>9</v>
      </c>
      <c r="AU1132" s="4">
        <v>40</v>
      </c>
      <c r="AV1132" s="4">
        <v>32</v>
      </c>
      <c r="AW1132" s="4">
        <v>31</v>
      </c>
      <c r="AX1132" s="4">
        <v>122</v>
      </c>
      <c r="AY1132" s="4">
        <v>6</v>
      </c>
      <c r="AZ1132" s="4">
        <v>24</v>
      </c>
      <c r="BA1132" s="4">
        <v>0</v>
      </c>
      <c r="BB1132" s="4">
        <v>2434</v>
      </c>
      <c r="BC1132" s="4">
        <v>15</v>
      </c>
      <c r="BD1132" s="4">
        <v>0</v>
      </c>
      <c r="BE1132" s="4">
        <v>18</v>
      </c>
      <c r="BF1132" s="4">
        <v>24</v>
      </c>
      <c r="BG1132" s="4">
        <v>2</v>
      </c>
      <c r="BH1132" s="4">
        <v>3</v>
      </c>
      <c r="BI1132" s="4">
        <v>0</v>
      </c>
      <c r="BJ1132" s="4">
        <v>336</v>
      </c>
      <c r="BK1132" s="4">
        <v>121</v>
      </c>
      <c r="BL1132" s="4">
        <v>0</v>
      </c>
      <c r="BM1132" s="4">
        <v>3</v>
      </c>
      <c r="BN1132" s="4">
        <v>58</v>
      </c>
      <c r="BO1132" s="4">
        <v>1</v>
      </c>
      <c r="BP1132" s="4">
        <v>6</v>
      </c>
      <c r="BQ1132" s="4">
        <v>59</v>
      </c>
      <c r="BR1132" s="4">
        <v>3</v>
      </c>
      <c r="BS1132" s="4">
        <v>175</v>
      </c>
      <c r="BT1132" s="4">
        <v>82</v>
      </c>
      <c r="BU1132" s="4">
        <v>9</v>
      </c>
      <c r="BV1132" s="4">
        <v>15</v>
      </c>
      <c r="BW1132" s="4">
        <v>19</v>
      </c>
      <c r="BX1132" s="4">
        <v>207</v>
      </c>
      <c r="BY1132" s="4">
        <v>2</v>
      </c>
      <c r="BZ1132" s="4">
        <v>0</v>
      </c>
      <c r="CA1132" s="4">
        <v>40</v>
      </c>
      <c r="CB1132" s="4">
        <v>240</v>
      </c>
      <c r="CC1132" s="4">
        <v>0</v>
      </c>
      <c r="CD1132" s="4">
        <v>7</v>
      </c>
      <c r="CE1132" s="4">
        <v>0</v>
      </c>
      <c r="CF1132" s="4">
        <v>4</v>
      </c>
      <c r="CG1132" s="4">
        <v>12</v>
      </c>
      <c r="CH1132" s="4">
        <v>3</v>
      </c>
      <c r="CI1132" s="4">
        <v>8</v>
      </c>
      <c r="CJ1132" s="4">
        <v>13</v>
      </c>
      <c r="CK1132" s="4">
        <v>2</v>
      </c>
      <c r="CL1132" s="4">
        <v>0</v>
      </c>
      <c r="CM1132" s="4">
        <v>18</v>
      </c>
      <c r="CN1132" s="4">
        <v>165</v>
      </c>
      <c r="CO1132" s="4">
        <v>19</v>
      </c>
      <c r="CP1132" s="4">
        <v>7</v>
      </c>
      <c r="CQ1132" s="4">
        <v>0</v>
      </c>
      <c r="CR1132" s="4">
        <v>31</v>
      </c>
      <c r="CS1132" s="4">
        <v>47</v>
      </c>
      <c r="CT1132" s="4">
        <v>12</v>
      </c>
      <c r="CU1132" s="4">
        <v>3</v>
      </c>
      <c r="CV1132" s="4">
        <v>73</v>
      </c>
      <c r="CW1132" s="4">
        <v>476</v>
      </c>
      <c r="CX1132" s="5">
        <v>469</v>
      </c>
    </row>
    <row r="1133" spans="1:102" ht="15.75" x14ac:dyDescent="0.25">
      <c r="A1133" s="4" t="s">
        <v>473</v>
      </c>
      <c r="B1133" s="4" t="s">
        <v>474</v>
      </c>
      <c r="C1133" s="4">
        <v>2022</v>
      </c>
      <c r="D1133" s="4">
        <v>16</v>
      </c>
      <c r="E1133" s="4">
        <v>0</v>
      </c>
      <c r="F1133" s="4">
        <v>0</v>
      </c>
      <c r="G1133" s="4">
        <v>0</v>
      </c>
      <c r="H1133" s="4">
        <v>0</v>
      </c>
      <c r="I1133" s="4">
        <v>2</v>
      </c>
      <c r="J1133" s="4">
        <v>1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1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2</v>
      </c>
      <c r="AW1133" s="4">
        <v>0</v>
      </c>
      <c r="AX1133" s="4">
        <v>1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1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1</v>
      </c>
      <c r="BW1133" s="4">
        <v>0</v>
      </c>
      <c r="BX1133" s="4">
        <v>1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1</v>
      </c>
      <c r="CW1133" s="4">
        <v>0</v>
      </c>
      <c r="CX1133" s="5">
        <v>0</v>
      </c>
    </row>
    <row r="1134" spans="1:102" ht="15.75" x14ac:dyDescent="0.25">
      <c r="A1134" s="4" t="s">
        <v>475</v>
      </c>
      <c r="B1134" s="4" t="s">
        <v>476</v>
      </c>
      <c r="C1134" s="4">
        <v>2022</v>
      </c>
      <c r="D1134" s="4">
        <v>264</v>
      </c>
      <c r="E1134" s="4">
        <v>0</v>
      </c>
      <c r="F1134" s="4">
        <v>0</v>
      </c>
      <c r="G1134" s="4">
        <v>0</v>
      </c>
      <c r="H1134" s="4">
        <v>1</v>
      </c>
      <c r="I1134" s="4">
        <v>1</v>
      </c>
      <c r="J1134" s="4">
        <v>0</v>
      </c>
      <c r="K1134" s="4">
        <v>1</v>
      </c>
      <c r="L1134" s="4">
        <v>0</v>
      </c>
      <c r="M1134" s="4">
        <v>0</v>
      </c>
      <c r="N1134" s="4">
        <v>6</v>
      </c>
      <c r="O1134" s="4">
        <v>13</v>
      </c>
      <c r="P1134" s="4">
        <v>1</v>
      </c>
      <c r="Q1134" s="4">
        <v>0</v>
      </c>
      <c r="R1134" s="4">
        <v>1</v>
      </c>
      <c r="S1134" s="4">
        <v>0</v>
      </c>
      <c r="T1134" s="4">
        <v>1</v>
      </c>
      <c r="U1134" s="4">
        <v>0</v>
      </c>
      <c r="V1134" s="4">
        <v>1</v>
      </c>
      <c r="W1134" s="4">
        <v>1</v>
      </c>
      <c r="X1134" s="4">
        <v>0</v>
      </c>
      <c r="Y1134" s="4">
        <v>0</v>
      </c>
      <c r="Z1134" s="4">
        <v>0</v>
      </c>
      <c r="AA1134" s="4">
        <v>1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4</v>
      </c>
      <c r="AH1134" s="4">
        <v>1</v>
      </c>
      <c r="AI1134" s="4">
        <v>4</v>
      </c>
      <c r="AJ1134" s="4">
        <v>14</v>
      </c>
      <c r="AK1134" s="4">
        <v>9</v>
      </c>
      <c r="AL1134" s="4">
        <v>0</v>
      </c>
      <c r="AM1134" s="4">
        <v>4</v>
      </c>
      <c r="AN1134" s="4">
        <v>11</v>
      </c>
      <c r="AO1134" s="4">
        <v>12</v>
      </c>
      <c r="AP1134" s="4">
        <v>0</v>
      </c>
      <c r="AQ1134" s="4">
        <v>1</v>
      </c>
      <c r="AR1134" s="4">
        <v>0</v>
      </c>
      <c r="AS1134" s="4">
        <v>3</v>
      </c>
      <c r="AT1134" s="4">
        <v>4</v>
      </c>
      <c r="AU1134" s="4">
        <v>5</v>
      </c>
      <c r="AV1134" s="4">
        <v>8</v>
      </c>
      <c r="AW1134" s="4">
        <v>3</v>
      </c>
      <c r="AX1134" s="4">
        <v>8</v>
      </c>
      <c r="AY1134" s="4">
        <v>0</v>
      </c>
      <c r="AZ1134" s="4">
        <v>1</v>
      </c>
      <c r="BA1134" s="4">
        <v>0</v>
      </c>
      <c r="BB1134" s="4">
        <v>22</v>
      </c>
      <c r="BC1134" s="4">
        <v>1</v>
      </c>
      <c r="BD1134" s="4">
        <v>0</v>
      </c>
      <c r="BE1134" s="4">
        <v>4</v>
      </c>
      <c r="BF1134" s="4">
        <v>20</v>
      </c>
      <c r="BG1134" s="4">
        <v>0</v>
      </c>
      <c r="BH1134" s="4">
        <v>2</v>
      </c>
      <c r="BI1134" s="4">
        <v>0</v>
      </c>
      <c r="BJ1134" s="4">
        <v>4</v>
      </c>
      <c r="BK1134" s="4">
        <v>10</v>
      </c>
      <c r="BL1134" s="4">
        <v>0</v>
      </c>
      <c r="BM1134" s="4">
        <v>1</v>
      </c>
      <c r="BN1134" s="4">
        <v>5</v>
      </c>
      <c r="BO1134" s="4">
        <v>0</v>
      </c>
      <c r="BP1134" s="4">
        <v>0</v>
      </c>
      <c r="BQ1134" s="4">
        <v>3</v>
      </c>
      <c r="BR1134" s="4">
        <v>0</v>
      </c>
      <c r="BS1134" s="4">
        <v>8</v>
      </c>
      <c r="BT1134" s="4">
        <v>7</v>
      </c>
      <c r="BU1134" s="4">
        <v>0</v>
      </c>
      <c r="BV1134" s="4">
        <v>2</v>
      </c>
      <c r="BW1134" s="4">
        <v>1</v>
      </c>
      <c r="BX1134" s="4">
        <v>25</v>
      </c>
      <c r="BY1134" s="4">
        <v>0</v>
      </c>
      <c r="BZ1134" s="4">
        <v>0</v>
      </c>
      <c r="CA1134" s="4">
        <v>3</v>
      </c>
      <c r="CB1134" s="4">
        <v>1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1</v>
      </c>
      <c r="CK1134" s="4">
        <v>0</v>
      </c>
      <c r="CL1134" s="4">
        <v>0</v>
      </c>
      <c r="CM1134" s="4">
        <v>1</v>
      </c>
      <c r="CN1134" s="4">
        <v>5</v>
      </c>
      <c r="CO1134" s="4">
        <v>0</v>
      </c>
      <c r="CP1134" s="4">
        <v>1</v>
      </c>
      <c r="CQ1134" s="4">
        <v>0</v>
      </c>
      <c r="CR1134" s="4">
        <v>0</v>
      </c>
      <c r="CS1134" s="4">
        <v>0</v>
      </c>
      <c r="CT1134" s="4">
        <v>2</v>
      </c>
      <c r="CU1134" s="4">
        <v>3</v>
      </c>
      <c r="CV1134" s="4">
        <v>8</v>
      </c>
      <c r="CW1134" s="4">
        <v>2</v>
      </c>
      <c r="CX1134" s="5">
        <v>2</v>
      </c>
    </row>
    <row r="1135" spans="1:102" ht="15.75" x14ac:dyDescent="0.25">
      <c r="A1135" s="4" t="s">
        <v>477</v>
      </c>
      <c r="B1135" s="4" t="s">
        <v>478</v>
      </c>
      <c r="C1135" s="4">
        <v>2022</v>
      </c>
      <c r="D1135" s="4">
        <v>774</v>
      </c>
      <c r="E1135" s="4">
        <v>2</v>
      </c>
      <c r="F1135" s="4">
        <v>0</v>
      </c>
      <c r="G1135" s="4">
        <v>1</v>
      </c>
      <c r="H1135" s="4">
        <v>0</v>
      </c>
      <c r="I1135" s="4">
        <v>1</v>
      </c>
      <c r="J1135" s="4">
        <v>0</v>
      </c>
      <c r="K1135" s="4">
        <v>0</v>
      </c>
      <c r="L1135" s="4">
        <v>4</v>
      </c>
      <c r="M1135" s="4">
        <v>1</v>
      </c>
      <c r="N1135" s="4">
        <v>4</v>
      </c>
      <c r="O1135" s="4">
        <v>17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2</v>
      </c>
      <c r="X1135" s="4">
        <v>0</v>
      </c>
      <c r="Y1135" s="4">
        <v>0</v>
      </c>
      <c r="Z1135" s="4">
        <v>0</v>
      </c>
      <c r="AA1135" s="4">
        <v>1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4</v>
      </c>
      <c r="AH1135" s="4">
        <v>2</v>
      </c>
      <c r="AI1135" s="4">
        <v>9</v>
      </c>
      <c r="AJ1135" s="4">
        <v>3</v>
      </c>
      <c r="AK1135" s="4">
        <v>10</v>
      </c>
      <c r="AL1135" s="4">
        <v>0</v>
      </c>
      <c r="AM1135" s="4">
        <v>12</v>
      </c>
      <c r="AN1135" s="4">
        <v>14</v>
      </c>
      <c r="AO1135" s="4">
        <v>12</v>
      </c>
      <c r="AP1135" s="4">
        <v>3</v>
      </c>
      <c r="AQ1135" s="4">
        <v>33</v>
      </c>
      <c r="AR1135" s="4">
        <v>1</v>
      </c>
      <c r="AS1135" s="4">
        <v>4</v>
      </c>
      <c r="AT1135" s="4">
        <v>7</v>
      </c>
      <c r="AU1135" s="4">
        <v>5</v>
      </c>
      <c r="AV1135" s="4">
        <v>26</v>
      </c>
      <c r="AW1135" s="4">
        <v>8</v>
      </c>
      <c r="AX1135" s="4">
        <v>29</v>
      </c>
      <c r="AY1135" s="4">
        <v>0</v>
      </c>
      <c r="AZ1135" s="4">
        <v>0</v>
      </c>
      <c r="BA1135" s="4">
        <v>0</v>
      </c>
      <c r="BB1135" s="4">
        <v>17</v>
      </c>
      <c r="BC1135" s="4">
        <v>1</v>
      </c>
      <c r="BD1135" s="4">
        <v>0</v>
      </c>
      <c r="BE1135" s="4">
        <v>4</v>
      </c>
      <c r="BF1135" s="4">
        <v>17</v>
      </c>
      <c r="BG1135" s="4">
        <v>1</v>
      </c>
      <c r="BH1135" s="4">
        <v>1</v>
      </c>
      <c r="BI1135" s="4">
        <v>0</v>
      </c>
      <c r="BJ1135" s="4">
        <v>13</v>
      </c>
      <c r="BK1135" s="4">
        <v>23</v>
      </c>
      <c r="BL1135" s="4">
        <v>0</v>
      </c>
      <c r="BM1135" s="4">
        <v>1</v>
      </c>
      <c r="BN1135" s="4">
        <v>5</v>
      </c>
      <c r="BO1135" s="4">
        <v>0</v>
      </c>
      <c r="BP1135" s="4">
        <v>43</v>
      </c>
      <c r="BQ1135" s="4">
        <v>38</v>
      </c>
      <c r="BR1135" s="4">
        <v>1</v>
      </c>
      <c r="BS1135" s="4">
        <v>50</v>
      </c>
      <c r="BT1135" s="4">
        <v>13</v>
      </c>
      <c r="BU1135" s="4">
        <v>0</v>
      </c>
      <c r="BV1135" s="4">
        <v>209</v>
      </c>
      <c r="BW1135" s="4">
        <v>2</v>
      </c>
      <c r="BX1135" s="4">
        <v>20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1</v>
      </c>
      <c r="CE1135" s="4">
        <v>0</v>
      </c>
      <c r="CF1135" s="4">
        <v>1</v>
      </c>
      <c r="CG1135" s="4">
        <v>5</v>
      </c>
      <c r="CH1135" s="4">
        <v>1</v>
      </c>
      <c r="CI1135" s="4">
        <v>0</v>
      </c>
      <c r="CJ1135" s="4">
        <v>4</v>
      </c>
      <c r="CK1135" s="4">
        <v>0</v>
      </c>
      <c r="CL1135" s="4">
        <v>0</v>
      </c>
      <c r="CM1135" s="4">
        <v>26</v>
      </c>
      <c r="CN1135" s="4">
        <v>10</v>
      </c>
      <c r="CO1135" s="4">
        <v>0</v>
      </c>
      <c r="CP1135" s="4">
        <v>1</v>
      </c>
      <c r="CQ1135" s="4">
        <v>0</v>
      </c>
      <c r="CR1135" s="4">
        <v>1</v>
      </c>
      <c r="CS1135" s="4">
        <v>0</v>
      </c>
      <c r="CT1135" s="4">
        <v>16</v>
      </c>
      <c r="CU1135" s="4">
        <v>0</v>
      </c>
      <c r="CV1135" s="4">
        <v>26</v>
      </c>
      <c r="CW1135" s="4">
        <v>6</v>
      </c>
      <c r="CX1135" s="5">
        <v>6</v>
      </c>
    </row>
    <row r="1136" spans="1:102" ht="15.75" x14ac:dyDescent="0.25">
      <c r="A1136" s="4" t="s">
        <v>479</v>
      </c>
      <c r="B1136" s="4" t="s">
        <v>480</v>
      </c>
      <c r="C1136" s="4">
        <v>2022</v>
      </c>
      <c r="D1136" s="4">
        <v>38</v>
      </c>
      <c r="E1136" s="4">
        <v>0</v>
      </c>
      <c r="F1136" s="4">
        <v>2</v>
      </c>
      <c r="G1136" s="4">
        <v>0</v>
      </c>
      <c r="H1136" s="4">
        <v>0</v>
      </c>
      <c r="I1136" s="4">
        <v>1</v>
      </c>
      <c r="J1136" s="4">
        <v>1</v>
      </c>
      <c r="K1136" s="4">
        <v>0</v>
      </c>
      <c r="L1136" s="4">
        <v>0</v>
      </c>
      <c r="M1136" s="4">
        <v>0</v>
      </c>
      <c r="N1136" s="4">
        <v>1</v>
      </c>
      <c r="O1136" s="4">
        <v>1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1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2</v>
      </c>
      <c r="AK1136" s="4">
        <v>2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1</v>
      </c>
      <c r="AR1136" s="4">
        <v>0</v>
      </c>
      <c r="AS1136" s="4">
        <v>0</v>
      </c>
      <c r="AT1136" s="4">
        <v>0</v>
      </c>
      <c r="AU1136" s="4">
        <v>0</v>
      </c>
      <c r="AV1136" s="4">
        <v>1</v>
      </c>
      <c r="AW1136" s="4">
        <v>0</v>
      </c>
      <c r="AX1136" s="4">
        <v>1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3</v>
      </c>
      <c r="BF1136" s="4">
        <v>1</v>
      </c>
      <c r="BG1136" s="4">
        <v>0</v>
      </c>
      <c r="BH1136" s="4">
        <v>0</v>
      </c>
      <c r="BI1136" s="4">
        <v>0</v>
      </c>
      <c r="BJ1136" s="4">
        <v>1</v>
      </c>
      <c r="BK1136" s="4">
        <v>2</v>
      </c>
      <c r="BL1136" s="4">
        <v>0</v>
      </c>
      <c r="BM1136" s="4">
        <v>1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3</v>
      </c>
      <c r="BT1136" s="4">
        <v>0</v>
      </c>
      <c r="BU1136" s="4">
        <v>0</v>
      </c>
      <c r="BV1136" s="4">
        <v>1</v>
      </c>
      <c r="BW1136" s="4">
        <v>1</v>
      </c>
      <c r="BX1136" s="4">
        <v>3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1</v>
      </c>
      <c r="CG1136" s="4">
        <v>0</v>
      </c>
      <c r="CH1136" s="4">
        <v>1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1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1</v>
      </c>
      <c r="CU1136" s="4">
        <v>0</v>
      </c>
      <c r="CV1136" s="4">
        <v>2</v>
      </c>
      <c r="CW1136" s="4">
        <v>0</v>
      </c>
      <c r="CX1136" s="5">
        <v>0</v>
      </c>
    </row>
    <row r="1137" spans="1:102" ht="15.75" x14ac:dyDescent="0.25">
      <c r="A1137" s="4" t="s">
        <v>481</v>
      </c>
      <c r="B1137" s="4" t="s">
        <v>482</v>
      </c>
      <c r="C1137" s="4">
        <v>2022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4">
        <v>1</v>
      </c>
      <c r="CW1137" s="4">
        <v>0</v>
      </c>
      <c r="CX1137" s="5">
        <v>0</v>
      </c>
    </row>
    <row r="1138" spans="1:102" ht="15.75" x14ac:dyDescent="0.25">
      <c r="A1138" s="4" t="s">
        <v>483</v>
      </c>
      <c r="B1138" s="4" t="s">
        <v>484</v>
      </c>
      <c r="C1138" s="4">
        <v>2022</v>
      </c>
      <c r="D1138" s="4">
        <v>250</v>
      </c>
      <c r="E1138" s="4">
        <v>0</v>
      </c>
      <c r="F1138" s="4">
        <v>2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1</v>
      </c>
      <c r="O1138" s="4">
        <v>1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1</v>
      </c>
      <c r="V1138" s="4">
        <v>0</v>
      </c>
      <c r="W1138" s="4">
        <v>10</v>
      </c>
      <c r="X1138" s="4">
        <v>0</v>
      </c>
      <c r="Y1138" s="4">
        <v>0</v>
      </c>
      <c r="Z1138" s="4">
        <v>0</v>
      </c>
      <c r="AA1138" s="4">
        <v>108</v>
      </c>
      <c r="AB1138" s="4">
        <v>40</v>
      </c>
      <c r="AC1138" s="4">
        <v>0</v>
      </c>
      <c r="AD1138" s="4">
        <v>0</v>
      </c>
      <c r="AE1138" s="4">
        <v>0</v>
      </c>
      <c r="AF1138" s="4">
        <v>0</v>
      </c>
      <c r="AG1138" s="4">
        <v>3</v>
      </c>
      <c r="AH1138" s="4">
        <v>1</v>
      </c>
      <c r="AI1138" s="4">
        <v>1</v>
      </c>
      <c r="AJ1138" s="4">
        <v>1</v>
      </c>
      <c r="AK1138" s="4">
        <v>1</v>
      </c>
      <c r="AL1138" s="4">
        <v>2</v>
      </c>
      <c r="AM1138" s="4">
        <v>2</v>
      </c>
      <c r="AN1138" s="4">
        <v>0</v>
      </c>
      <c r="AO1138" s="4">
        <v>2</v>
      </c>
      <c r="AP1138" s="4">
        <v>0</v>
      </c>
      <c r="AQ1138" s="4">
        <v>1</v>
      </c>
      <c r="AR1138" s="4">
        <v>0</v>
      </c>
      <c r="AS1138" s="4">
        <v>0</v>
      </c>
      <c r="AT1138" s="4">
        <v>3</v>
      </c>
      <c r="AU1138" s="4">
        <v>0</v>
      </c>
      <c r="AV1138" s="4">
        <v>8</v>
      </c>
      <c r="AW1138" s="4">
        <v>0</v>
      </c>
      <c r="AX1138" s="4">
        <v>4</v>
      </c>
      <c r="AY1138" s="4">
        <v>0</v>
      </c>
      <c r="AZ1138" s="4">
        <v>0</v>
      </c>
      <c r="BA1138" s="4">
        <v>0</v>
      </c>
      <c r="BB1138" s="4">
        <v>4</v>
      </c>
      <c r="BC1138" s="4">
        <v>0</v>
      </c>
      <c r="BD1138" s="4">
        <v>0</v>
      </c>
      <c r="BE1138" s="4">
        <v>4</v>
      </c>
      <c r="BF1138" s="4">
        <v>5</v>
      </c>
      <c r="BG1138" s="4">
        <v>0</v>
      </c>
      <c r="BH1138" s="4">
        <v>0</v>
      </c>
      <c r="BI1138" s="4">
        <v>0</v>
      </c>
      <c r="BJ1138" s="4">
        <v>5</v>
      </c>
      <c r="BK1138" s="4">
        <v>4</v>
      </c>
      <c r="BL1138" s="4">
        <v>0</v>
      </c>
      <c r="BM1138" s="4">
        <v>0</v>
      </c>
      <c r="BN1138" s="4">
        <v>1</v>
      </c>
      <c r="BO1138" s="4">
        <v>0</v>
      </c>
      <c r="BP1138" s="4">
        <v>1</v>
      </c>
      <c r="BQ1138" s="4">
        <v>3</v>
      </c>
      <c r="BR1138" s="4">
        <v>0</v>
      </c>
      <c r="BS1138" s="4">
        <v>2</v>
      </c>
      <c r="BT1138" s="4">
        <v>2</v>
      </c>
      <c r="BU1138" s="4">
        <v>0</v>
      </c>
      <c r="BV1138" s="4">
        <v>1</v>
      </c>
      <c r="BW1138" s="4">
        <v>5</v>
      </c>
      <c r="BX1138" s="4">
        <v>2</v>
      </c>
      <c r="BY1138" s="4">
        <v>0</v>
      </c>
      <c r="BZ1138" s="4">
        <v>0</v>
      </c>
      <c r="CA1138" s="4">
        <v>0</v>
      </c>
      <c r="CB1138" s="4">
        <v>5</v>
      </c>
      <c r="CC1138" s="4">
        <v>0</v>
      </c>
      <c r="CD1138" s="4">
        <v>0</v>
      </c>
      <c r="CE1138" s="4">
        <v>0</v>
      </c>
      <c r="CF1138" s="4">
        <v>2</v>
      </c>
      <c r="CG1138" s="4">
        <v>0</v>
      </c>
      <c r="CH1138" s="4">
        <v>1</v>
      </c>
      <c r="CI1138" s="4">
        <v>0</v>
      </c>
      <c r="CJ1138" s="4">
        <v>0</v>
      </c>
      <c r="CK1138" s="4">
        <v>0</v>
      </c>
      <c r="CL1138" s="4">
        <v>0</v>
      </c>
      <c r="CM1138" s="4">
        <v>1</v>
      </c>
      <c r="CN1138" s="4">
        <v>3</v>
      </c>
      <c r="CO1138" s="4">
        <v>0</v>
      </c>
      <c r="CP1138" s="4">
        <v>0</v>
      </c>
      <c r="CQ1138" s="4">
        <v>0</v>
      </c>
      <c r="CR1138" s="4">
        <v>0</v>
      </c>
      <c r="CS1138" s="4">
        <v>0</v>
      </c>
      <c r="CT1138" s="4">
        <v>0</v>
      </c>
      <c r="CU1138" s="4">
        <v>0</v>
      </c>
      <c r="CV1138" s="4">
        <v>1</v>
      </c>
      <c r="CW1138" s="4">
        <v>0</v>
      </c>
      <c r="CX1138" s="5">
        <v>0</v>
      </c>
    </row>
    <row r="1139" spans="1:102" ht="15.75" x14ac:dyDescent="0.25">
      <c r="A1139" s="4" t="s">
        <v>485</v>
      </c>
      <c r="B1139" s="4" t="s">
        <v>486</v>
      </c>
      <c r="C1139" s="4">
        <v>2022</v>
      </c>
      <c r="D1139" s="4">
        <v>16</v>
      </c>
      <c r="E1139" s="4">
        <v>0</v>
      </c>
      <c r="F1139" s="4">
        <v>0</v>
      </c>
      <c r="G1139" s="4">
        <v>0</v>
      </c>
      <c r="H1139" s="4">
        <v>0</v>
      </c>
      <c r="I1139" s="4">
        <v>1</v>
      </c>
      <c r="J1139" s="4">
        <v>0</v>
      </c>
      <c r="K1139" s="4">
        <v>0</v>
      </c>
      <c r="L1139" s="4">
        <v>0</v>
      </c>
      <c r="M1139" s="4">
        <v>0</v>
      </c>
      <c r="N1139" s="4">
        <v>3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2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2</v>
      </c>
      <c r="BR1139" s="4">
        <v>0</v>
      </c>
      <c r="BS1139" s="4">
        <v>0</v>
      </c>
      <c r="BT1139" s="4">
        <v>1</v>
      </c>
      <c r="BU1139" s="4">
        <v>0</v>
      </c>
      <c r="BV1139" s="4">
        <v>0</v>
      </c>
      <c r="BW1139" s="4">
        <v>0</v>
      </c>
      <c r="BX1139" s="4">
        <v>1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0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5">
        <v>0</v>
      </c>
    </row>
    <row r="1140" spans="1:102" ht="15.75" x14ac:dyDescent="0.25">
      <c r="A1140" s="4" t="s">
        <v>487</v>
      </c>
      <c r="B1140" s="4" t="s">
        <v>488</v>
      </c>
      <c r="C1140" s="4">
        <v>2022</v>
      </c>
      <c r="D1140" s="4">
        <v>10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1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1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1</v>
      </c>
      <c r="BF1140" s="4">
        <v>0</v>
      </c>
      <c r="BG1140" s="4">
        <v>0</v>
      </c>
      <c r="BH1140" s="4">
        <v>0</v>
      </c>
      <c r="BI1140" s="4">
        <v>0</v>
      </c>
      <c r="BJ1140" s="4">
        <v>1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1</v>
      </c>
      <c r="BX1140" s="4">
        <v>1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5">
        <v>0</v>
      </c>
    </row>
    <row r="1141" spans="1:102" ht="15.75" x14ac:dyDescent="0.25">
      <c r="A1141" s="4" t="s">
        <v>489</v>
      </c>
      <c r="B1141" s="4" t="s">
        <v>490</v>
      </c>
      <c r="C1141" s="4">
        <v>2022</v>
      </c>
      <c r="D1141" s="4">
        <v>4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1</v>
      </c>
      <c r="BG1141" s="4">
        <v>0</v>
      </c>
      <c r="BH1141" s="4">
        <v>0</v>
      </c>
      <c r="BI1141" s="4">
        <v>0</v>
      </c>
      <c r="BJ1141" s="4">
        <v>1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1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5">
        <v>0</v>
      </c>
    </row>
    <row r="1142" spans="1:102" ht="15.75" x14ac:dyDescent="0.25">
      <c r="A1142" s="4" t="s">
        <v>491</v>
      </c>
      <c r="B1142" s="4" t="s">
        <v>492</v>
      </c>
      <c r="C1142" s="4">
        <v>2022</v>
      </c>
      <c r="D1142" s="4">
        <v>0</v>
      </c>
      <c r="E1142" s="4">
        <v>0</v>
      </c>
      <c r="F1142" s="4">
        <v>1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5">
        <v>0</v>
      </c>
    </row>
    <row r="1143" spans="1:102" ht="15.75" x14ac:dyDescent="0.25">
      <c r="A1143" s="4" t="s">
        <v>493</v>
      </c>
      <c r="B1143" s="4" t="s">
        <v>494</v>
      </c>
      <c r="C1143" s="4">
        <v>2022</v>
      </c>
      <c r="D1143" s="4">
        <v>19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1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1</v>
      </c>
      <c r="AL1143" s="4">
        <v>0</v>
      </c>
      <c r="AM1143" s="4">
        <v>2</v>
      </c>
      <c r="AN1143" s="4">
        <v>0</v>
      </c>
      <c r="AO1143" s="4">
        <v>1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2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6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1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5">
        <v>0</v>
      </c>
    </row>
    <row r="1144" spans="1:102" ht="15.75" x14ac:dyDescent="0.25">
      <c r="A1144" s="4" t="s">
        <v>495</v>
      </c>
      <c r="B1144" s="4" t="s">
        <v>496</v>
      </c>
      <c r="C1144" s="4">
        <v>2022</v>
      </c>
      <c r="D1144" s="4">
        <v>10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5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  <c r="CS1144" s="4">
        <v>0</v>
      </c>
      <c r="CT1144" s="4">
        <v>0</v>
      </c>
      <c r="CU1144" s="4">
        <v>0</v>
      </c>
      <c r="CV1144" s="4">
        <v>0</v>
      </c>
      <c r="CW1144" s="4">
        <v>0</v>
      </c>
      <c r="CX1144" s="5">
        <v>0</v>
      </c>
    </row>
    <row r="1145" spans="1:102" ht="15.75" x14ac:dyDescent="0.25">
      <c r="A1145" s="4" t="s">
        <v>497</v>
      </c>
      <c r="B1145" s="4" t="s">
        <v>498</v>
      </c>
      <c r="C1145" s="4">
        <v>2022</v>
      </c>
      <c r="D1145" s="4">
        <v>3</v>
      </c>
      <c r="E1145" s="4">
        <v>0</v>
      </c>
      <c r="F1145" s="4">
        <v>0</v>
      </c>
      <c r="G1145" s="4">
        <v>1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5">
        <v>0</v>
      </c>
    </row>
    <row r="1146" spans="1:102" ht="15.75" x14ac:dyDescent="0.25">
      <c r="A1146" s="4" t="s">
        <v>499</v>
      </c>
      <c r="B1146" s="4" t="s">
        <v>500</v>
      </c>
      <c r="C1146" s="4">
        <v>2022</v>
      </c>
      <c r="D1146" s="4">
        <v>3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1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1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5">
        <v>0</v>
      </c>
    </row>
    <row r="1147" spans="1:102" ht="15.75" x14ac:dyDescent="0.25">
      <c r="A1147" s="4" t="s">
        <v>501</v>
      </c>
      <c r="B1147" s="4" t="s">
        <v>502</v>
      </c>
      <c r="C1147" s="4">
        <v>2022</v>
      </c>
      <c r="D1147" s="4">
        <v>3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2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5">
        <v>0</v>
      </c>
    </row>
    <row r="1148" spans="1:102" ht="15.75" x14ac:dyDescent="0.25">
      <c r="A1148" s="4" t="s">
        <v>503</v>
      </c>
      <c r="B1148" s="4" t="s">
        <v>504</v>
      </c>
      <c r="C1148" s="4">
        <v>2022</v>
      </c>
      <c r="D1148" s="4">
        <v>18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15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1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5">
        <v>0</v>
      </c>
    </row>
    <row r="1149" spans="1:102" ht="15.75" x14ac:dyDescent="0.25">
      <c r="A1149" s="4" t="s">
        <v>505</v>
      </c>
      <c r="B1149" s="4" t="s">
        <v>506</v>
      </c>
      <c r="C1149" s="4">
        <v>2022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5">
        <v>0</v>
      </c>
    </row>
    <row r="1150" spans="1:102" ht="15.75" x14ac:dyDescent="0.25">
      <c r="A1150" s="4" t="s">
        <v>507</v>
      </c>
      <c r="B1150" s="4" t="s">
        <v>508</v>
      </c>
      <c r="C1150" s="4">
        <v>2022</v>
      </c>
      <c r="D1150" s="4">
        <v>153</v>
      </c>
      <c r="E1150" s="4">
        <v>0</v>
      </c>
      <c r="F1150" s="4">
        <v>3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7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5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128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1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1</v>
      </c>
      <c r="BO1150" s="4">
        <v>0</v>
      </c>
      <c r="BP1150" s="4">
        <v>0</v>
      </c>
      <c r="BQ1150" s="4">
        <v>0</v>
      </c>
      <c r="BR1150" s="4">
        <v>0</v>
      </c>
      <c r="BS1150" s="4">
        <v>1</v>
      </c>
      <c r="BT1150" s="4">
        <v>0</v>
      </c>
      <c r="BU1150" s="4">
        <v>0</v>
      </c>
      <c r="BV1150" s="4">
        <v>0</v>
      </c>
      <c r="BW1150" s="4">
        <v>1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5">
        <v>0</v>
      </c>
    </row>
    <row r="1151" spans="1:102" ht="15.75" x14ac:dyDescent="0.25">
      <c r="A1151" s="4" t="s">
        <v>509</v>
      </c>
      <c r="B1151" s="4" t="s">
        <v>510</v>
      </c>
      <c r="C1151" s="4">
        <v>2022</v>
      </c>
      <c r="D1151" s="4">
        <v>1742</v>
      </c>
      <c r="E1151" s="4">
        <v>0</v>
      </c>
      <c r="F1151" s="4">
        <v>1</v>
      </c>
      <c r="G1151" s="4">
        <v>4</v>
      </c>
      <c r="H1151" s="4">
        <v>5</v>
      </c>
      <c r="I1151" s="4">
        <v>14</v>
      </c>
      <c r="J1151" s="4">
        <v>6</v>
      </c>
      <c r="K1151" s="4">
        <v>2</v>
      </c>
      <c r="L1151" s="4">
        <v>7</v>
      </c>
      <c r="M1151" s="4">
        <v>28</v>
      </c>
      <c r="N1151" s="4">
        <v>30</v>
      </c>
      <c r="O1151" s="4">
        <v>34</v>
      </c>
      <c r="P1151" s="4">
        <v>1</v>
      </c>
      <c r="Q1151" s="4">
        <v>0</v>
      </c>
      <c r="R1151" s="4">
        <v>3</v>
      </c>
      <c r="S1151" s="4">
        <v>0</v>
      </c>
      <c r="T1151" s="4">
        <v>43</v>
      </c>
      <c r="U1151" s="4">
        <v>2</v>
      </c>
      <c r="V1151" s="4">
        <v>8</v>
      </c>
      <c r="W1151" s="4">
        <v>92</v>
      </c>
      <c r="X1151" s="4">
        <v>13</v>
      </c>
      <c r="Y1151" s="4">
        <v>1</v>
      </c>
      <c r="Z1151" s="4">
        <v>0</v>
      </c>
      <c r="AA1151" s="4">
        <v>2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12</v>
      </c>
      <c r="AH1151" s="4">
        <v>9</v>
      </c>
      <c r="AI1151" s="4">
        <v>15</v>
      </c>
      <c r="AJ1151" s="4">
        <v>61</v>
      </c>
      <c r="AK1151" s="4">
        <v>32</v>
      </c>
      <c r="AL1151" s="4">
        <v>1</v>
      </c>
      <c r="AM1151" s="4">
        <v>12</v>
      </c>
      <c r="AN1151" s="4">
        <v>18</v>
      </c>
      <c r="AO1151" s="4">
        <v>31</v>
      </c>
      <c r="AP1151" s="4">
        <v>3</v>
      </c>
      <c r="AQ1151" s="4">
        <v>6</v>
      </c>
      <c r="AR1151" s="4">
        <v>0</v>
      </c>
      <c r="AS1151" s="4">
        <v>10</v>
      </c>
      <c r="AT1151" s="4">
        <v>15</v>
      </c>
      <c r="AU1151" s="4">
        <v>26</v>
      </c>
      <c r="AV1151" s="4">
        <v>7</v>
      </c>
      <c r="AW1151" s="4">
        <v>9</v>
      </c>
      <c r="AX1151" s="4">
        <v>42</v>
      </c>
      <c r="AY1151" s="4">
        <v>2</v>
      </c>
      <c r="AZ1151" s="4">
        <v>2</v>
      </c>
      <c r="BA1151" s="4">
        <v>0</v>
      </c>
      <c r="BB1151" s="4">
        <v>175</v>
      </c>
      <c r="BC1151" s="4">
        <v>3</v>
      </c>
      <c r="BD1151" s="4">
        <v>0</v>
      </c>
      <c r="BE1151" s="4">
        <v>8</v>
      </c>
      <c r="BF1151" s="4">
        <v>27</v>
      </c>
      <c r="BG1151" s="4">
        <v>3</v>
      </c>
      <c r="BH1151" s="4">
        <v>3</v>
      </c>
      <c r="BI1151" s="4">
        <v>0</v>
      </c>
      <c r="BJ1151" s="4">
        <v>32</v>
      </c>
      <c r="BK1151" s="4">
        <v>25</v>
      </c>
      <c r="BL1151" s="4">
        <v>0</v>
      </c>
      <c r="BM1151" s="4">
        <v>4</v>
      </c>
      <c r="BN1151" s="4">
        <v>9</v>
      </c>
      <c r="BO1151" s="4">
        <v>0</v>
      </c>
      <c r="BP1151" s="4">
        <v>7</v>
      </c>
      <c r="BQ1151" s="4">
        <v>14</v>
      </c>
      <c r="BR1151" s="4">
        <v>1</v>
      </c>
      <c r="BS1151" s="4">
        <v>45</v>
      </c>
      <c r="BT1151" s="4">
        <v>239</v>
      </c>
      <c r="BU1151" s="4">
        <v>2</v>
      </c>
      <c r="BV1151" s="4">
        <v>13</v>
      </c>
      <c r="BW1151" s="4">
        <v>0</v>
      </c>
      <c r="BX1151" s="4">
        <v>194</v>
      </c>
      <c r="BY1151" s="4">
        <v>0</v>
      </c>
      <c r="BZ1151" s="4">
        <v>0</v>
      </c>
      <c r="CA1151" s="4">
        <v>16</v>
      </c>
      <c r="CB1151" s="4">
        <v>57</v>
      </c>
      <c r="CC1151" s="4">
        <v>0</v>
      </c>
      <c r="CD1151" s="4">
        <v>1</v>
      </c>
      <c r="CE1151" s="4">
        <v>0</v>
      </c>
      <c r="CF1151" s="4">
        <v>1</v>
      </c>
      <c r="CG1151" s="4">
        <v>1</v>
      </c>
      <c r="CH1151" s="4">
        <v>0</v>
      </c>
      <c r="CI1151" s="4">
        <v>2</v>
      </c>
      <c r="CJ1151" s="4">
        <v>2</v>
      </c>
      <c r="CK1151" s="4">
        <v>0</v>
      </c>
      <c r="CL1151" s="4">
        <v>0</v>
      </c>
      <c r="CM1151" s="4">
        <v>6</v>
      </c>
      <c r="CN1151" s="4">
        <v>36</v>
      </c>
      <c r="CO1151" s="4">
        <v>1</v>
      </c>
      <c r="CP1151" s="4">
        <v>1</v>
      </c>
      <c r="CQ1151" s="4">
        <v>0</v>
      </c>
      <c r="CR1151" s="4">
        <v>6</v>
      </c>
      <c r="CS1151" s="4">
        <v>11</v>
      </c>
      <c r="CT1151" s="4">
        <v>5</v>
      </c>
      <c r="CU1151" s="4">
        <v>2</v>
      </c>
      <c r="CV1151" s="4">
        <v>16</v>
      </c>
      <c r="CW1151" s="4">
        <v>163</v>
      </c>
      <c r="CX1151" s="5">
        <v>160</v>
      </c>
    </row>
    <row r="1152" spans="1:102" ht="15.75" x14ac:dyDescent="0.25">
      <c r="A1152" s="4" t="s">
        <v>511</v>
      </c>
      <c r="B1152" s="4" t="s">
        <v>512</v>
      </c>
      <c r="C1152" s="4">
        <v>2022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0</v>
      </c>
      <c r="CX1152" s="5">
        <v>0</v>
      </c>
    </row>
    <row r="1153" spans="1:102" ht="15.75" x14ac:dyDescent="0.25">
      <c r="A1153" s="4" t="s">
        <v>513</v>
      </c>
      <c r="B1153" s="4" t="s">
        <v>514</v>
      </c>
      <c r="C1153" s="4">
        <v>2022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5">
        <v>0</v>
      </c>
    </row>
    <row r="1154" spans="1:102" ht="15.75" x14ac:dyDescent="0.25">
      <c r="A1154" s="4" t="s">
        <v>515</v>
      </c>
      <c r="B1154" s="4" t="s">
        <v>516</v>
      </c>
      <c r="C1154" s="4">
        <v>2022</v>
      </c>
      <c r="D1154" s="4">
        <v>2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2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5">
        <v>0</v>
      </c>
    </row>
    <row r="1155" spans="1:102" ht="15.75" x14ac:dyDescent="0.25">
      <c r="A1155" s="4" t="s">
        <v>517</v>
      </c>
      <c r="B1155" s="4" t="s">
        <v>518</v>
      </c>
      <c r="C1155" s="4">
        <v>2022</v>
      </c>
      <c r="D1155" s="4">
        <v>16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1</v>
      </c>
      <c r="AK1155" s="4">
        <v>0</v>
      </c>
      <c r="AL1155" s="4">
        <v>0</v>
      </c>
      <c r="AM1155" s="4">
        <v>0</v>
      </c>
      <c r="AN1155" s="4">
        <v>0</v>
      </c>
      <c r="AO1155" s="4">
        <v>4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1</v>
      </c>
      <c r="BG1155" s="4">
        <v>0</v>
      </c>
      <c r="BH1155" s="4">
        <v>0</v>
      </c>
      <c r="BI1155" s="4">
        <v>0</v>
      </c>
      <c r="BJ1155" s="4">
        <v>2</v>
      </c>
      <c r="BK1155" s="4">
        <v>2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1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1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5">
        <v>0</v>
      </c>
    </row>
    <row r="1156" spans="1:102" ht="15.75" x14ac:dyDescent="0.25">
      <c r="A1156" s="4" t="s">
        <v>519</v>
      </c>
      <c r="B1156" s="4" t="s">
        <v>520</v>
      </c>
      <c r="C1156" s="4">
        <v>2022</v>
      </c>
      <c r="D1156" s="4">
        <v>181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7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1</v>
      </c>
      <c r="V1156" s="4">
        <v>2</v>
      </c>
      <c r="W1156" s="4">
        <v>0</v>
      </c>
      <c r="X1156" s="4">
        <v>0</v>
      </c>
      <c r="Y1156" s="4">
        <v>0</v>
      </c>
      <c r="Z1156" s="4">
        <v>0</v>
      </c>
      <c r="AA1156" s="4">
        <v>23</v>
      </c>
      <c r="AB1156" s="4">
        <v>3</v>
      </c>
      <c r="AC1156" s="4">
        <v>0</v>
      </c>
      <c r="AD1156" s="4">
        <v>0</v>
      </c>
      <c r="AE1156" s="4">
        <v>0</v>
      </c>
      <c r="AF1156" s="4">
        <v>0</v>
      </c>
      <c r="AG1156" s="4">
        <v>1</v>
      </c>
      <c r="AH1156" s="4">
        <v>1</v>
      </c>
      <c r="AI1156" s="4">
        <v>5</v>
      </c>
      <c r="AJ1156" s="4">
        <v>17</v>
      </c>
      <c r="AK1156" s="4">
        <v>4</v>
      </c>
      <c r="AL1156" s="4">
        <v>0</v>
      </c>
      <c r="AM1156" s="4">
        <v>1</v>
      </c>
      <c r="AN1156" s="4">
        <v>4</v>
      </c>
      <c r="AO1156" s="4">
        <v>3</v>
      </c>
      <c r="AP1156" s="4">
        <v>0</v>
      </c>
      <c r="AQ1156" s="4">
        <v>1</v>
      </c>
      <c r="AR1156" s="4">
        <v>0</v>
      </c>
      <c r="AS1156" s="4">
        <v>1</v>
      </c>
      <c r="AT1156" s="4">
        <v>19</v>
      </c>
      <c r="AU1156" s="4">
        <v>0</v>
      </c>
      <c r="AV1156" s="4">
        <v>1</v>
      </c>
      <c r="AW1156" s="4">
        <v>4</v>
      </c>
      <c r="AX1156" s="4">
        <v>4</v>
      </c>
      <c r="AY1156" s="4">
        <v>0</v>
      </c>
      <c r="AZ1156" s="4">
        <v>0</v>
      </c>
      <c r="BA1156" s="4">
        <v>0</v>
      </c>
      <c r="BB1156" s="4">
        <v>7</v>
      </c>
      <c r="BC1156" s="4">
        <v>0</v>
      </c>
      <c r="BD1156" s="4">
        <v>0</v>
      </c>
      <c r="BE1156" s="4">
        <v>2</v>
      </c>
      <c r="BF1156" s="4">
        <v>3</v>
      </c>
      <c r="BG1156" s="4">
        <v>0</v>
      </c>
      <c r="BH1156" s="4">
        <v>0</v>
      </c>
      <c r="BI1156" s="4">
        <v>0</v>
      </c>
      <c r="BJ1156" s="4">
        <v>2</v>
      </c>
      <c r="BK1156" s="4">
        <v>8</v>
      </c>
      <c r="BL1156" s="4">
        <v>0</v>
      </c>
      <c r="BM1156" s="4">
        <v>1</v>
      </c>
      <c r="BN1156" s="4">
        <v>1</v>
      </c>
      <c r="BO1156" s="4">
        <v>0</v>
      </c>
      <c r="BP1156" s="4">
        <v>0</v>
      </c>
      <c r="BQ1156" s="4">
        <v>2</v>
      </c>
      <c r="BR1156" s="4">
        <v>0</v>
      </c>
      <c r="BS1156" s="4">
        <v>15</v>
      </c>
      <c r="BT1156" s="4">
        <v>1</v>
      </c>
      <c r="BU1156" s="4">
        <v>0</v>
      </c>
      <c r="BV1156" s="4">
        <v>5</v>
      </c>
      <c r="BW1156" s="4">
        <v>0</v>
      </c>
      <c r="BX1156" s="4">
        <v>14</v>
      </c>
      <c r="BY1156" s="4">
        <v>0</v>
      </c>
      <c r="BZ1156" s="4">
        <v>0</v>
      </c>
      <c r="CA1156" s="4">
        <v>1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2</v>
      </c>
      <c r="CK1156" s="4">
        <v>0</v>
      </c>
      <c r="CL1156" s="4">
        <v>0</v>
      </c>
      <c r="CM1156" s="4">
        <v>4</v>
      </c>
      <c r="CN1156" s="4">
        <v>3</v>
      </c>
      <c r="CO1156" s="4">
        <v>0</v>
      </c>
      <c r="CP1156" s="4">
        <v>0</v>
      </c>
      <c r="CQ1156" s="4">
        <v>0</v>
      </c>
      <c r="CR1156" s="4">
        <v>0</v>
      </c>
      <c r="CS1156" s="4">
        <v>0</v>
      </c>
      <c r="CT1156" s="4">
        <v>1</v>
      </c>
      <c r="CU1156" s="4">
        <v>0</v>
      </c>
      <c r="CV1156" s="4">
        <v>3</v>
      </c>
      <c r="CW1156" s="4">
        <v>1</v>
      </c>
      <c r="CX1156" s="5">
        <v>1</v>
      </c>
    </row>
    <row r="1157" spans="1:102" ht="15.75" x14ac:dyDescent="0.25">
      <c r="A1157" s="4" t="s">
        <v>521</v>
      </c>
      <c r="B1157" s="4" t="s">
        <v>522</v>
      </c>
      <c r="C1157" s="4">
        <v>2022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5">
        <v>0</v>
      </c>
    </row>
    <row r="1158" spans="1:102" ht="15.75" x14ac:dyDescent="0.25">
      <c r="A1158" s="4" t="s">
        <v>523</v>
      </c>
      <c r="B1158" s="4" t="s">
        <v>524</v>
      </c>
      <c r="C1158" s="4">
        <v>2022</v>
      </c>
      <c r="D1158" s="4">
        <v>6578</v>
      </c>
      <c r="E1158" s="4">
        <v>2</v>
      </c>
      <c r="F1158" s="4">
        <v>1</v>
      </c>
      <c r="G1158" s="4">
        <v>16</v>
      </c>
      <c r="H1158" s="4">
        <v>1</v>
      </c>
      <c r="I1158" s="4">
        <v>5</v>
      </c>
      <c r="J1158" s="4">
        <v>10</v>
      </c>
      <c r="K1158" s="4">
        <v>4</v>
      </c>
      <c r="L1158" s="4">
        <v>16</v>
      </c>
      <c r="M1158" s="4">
        <v>8</v>
      </c>
      <c r="N1158" s="4">
        <v>34</v>
      </c>
      <c r="O1158" s="4">
        <v>300</v>
      </c>
      <c r="P1158" s="4">
        <v>8</v>
      </c>
      <c r="Q1158" s="4">
        <v>0</v>
      </c>
      <c r="R1158" s="4">
        <v>7</v>
      </c>
      <c r="S1158" s="4">
        <v>0</v>
      </c>
      <c r="T1158" s="4">
        <v>67</v>
      </c>
      <c r="U1158" s="4">
        <v>10</v>
      </c>
      <c r="V1158" s="4">
        <v>32</v>
      </c>
      <c r="W1158" s="4">
        <v>761</v>
      </c>
      <c r="X1158" s="4">
        <v>3</v>
      </c>
      <c r="Y1158" s="4">
        <v>0</v>
      </c>
      <c r="Z1158" s="4">
        <v>0</v>
      </c>
      <c r="AA1158" s="4">
        <v>7</v>
      </c>
      <c r="AB1158" s="4">
        <v>0</v>
      </c>
      <c r="AC1158" s="4">
        <v>0</v>
      </c>
      <c r="AD1158" s="4">
        <v>1</v>
      </c>
      <c r="AE1158" s="4">
        <v>1</v>
      </c>
      <c r="AF1158" s="4">
        <v>0</v>
      </c>
      <c r="AG1158" s="4">
        <v>44</v>
      </c>
      <c r="AH1158" s="4">
        <v>7</v>
      </c>
      <c r="AI1158" s="4">
        <v>112</v>
      </c>
      <c r="AJ1158" s="4">
        <v>255</v>
      </c>
      <c r="AK1158" s="4">
        <v>80</v>
      </c>
      <c r="AL1158" s="4">
        <v>2</v>
      </c>
      <c r="AM1158" s="4">
        <v>92</v>
      </c>
      <c r="AN1158" s="4">
        <v>43</v>
      </c>
      <c r="AO1158" s="4">
        <v>97</v>
      </c>
      <c r="AP1158" s="4">
        <v>2</v>
      </c>
      <c r="AQ1158" s="4">
        <v>24</v>
      </c>
      <c r="AR1158" s="4">
        <v>1</v>
      </c>
      <c r="AS1158" s="4">
        <v>50</v>
      </c>
      <c r="AT1158" s="4">
        <v>36</v>
      </c>
      <c r="AU1158" s="4">
        <v>31</v>
      </c>
      <c r="AV1158" s="4">
        <v>275</v>
      </c>
      <c r="AW1158" s="4">
        <v>461</v>
      </c>
      <c r="AX1158" s="4">
        <v>107</v>
      </c>
      <c r="AY1158" s="4">
        <v>2</v>
      </c>
      <c r="AZ1158" s="4">
        <v>39</v>
      </c>
      <c r="BA1158" s="4">
        <v>0</v>
      </c>
      <c r="BB1158" s="4">
        <v>1405</v>
      </c>
      <c r="BC1158" s="4">
        <v>102</v>
      </c>
      <c r="BD1158" s="4">
        <v>0</v>
      </c>
      <c r="BE1158" s="4">
        <v>29</v>
      </c>
      <c r="BF1158" s="4">
        <v>180</v>
      </c>
      <c r="BG1158" s="4">
        <v>8</v>
      </c>
      <c r="BH1158" s="4">
        <v>20</v>
      </c>
      <c r="BI1158" s="4">
        <v>0</v>
      </c>
      <c r="BJ1158" s="4">
        <v>105</v>
      </c>
      <c r="BK1158" s="4">
        <v>142</v>
      </c>
      <c r="BL1158" s="4">
        <v>0</v>
      </c>
      <c r="BM1158" s="4">
        <v>3</v>
      </c>
      <c r="BN1158" s="4">
        <v>24</v>
      </c>
      <c r="BO1158" s="4">
        <v>0</v>
      </c>
      <c r="BP1158" s="4">
        <v>6</v>
      </c>
      <c r="BQ1158" s="4">
        <v>46</v>
      </c>
      <c r="BR1158" s="4">
        <v>3</v>
      </c>
      <c r="BS1158" s="4">
        <v>97</v>
      </c>
      <c r="BT1158" s="4">
        <v>92</v>
      </c>
      <c r="BU1158" s="4">
        <v>2</v>
      </c>
      <c r="BV1158" s="4">
        <v>110</v>
      </c>
      <c r="BW1158" s="4">
        <v>45</v>
      </c>
      <c r="BX1158" s="4">
        <v>275</v>
      </c>
      <c r="BY1158" s="4">
        <v>0</v>
      </c>
      <c r="BZ1158" s="4">
        <v>0</v>
      </c>
      <c r="CA1158" s="4">
        <v>60</v>
      </c>
      <c r="CB1158" s="4">
        <v>95</v>
      </c>
      <c r="CC1158" s="4">
        <v>0</v>
      </c>
      <c r="CD1158" s="4">
        <v>4</v>
      </c>
      <c r="CE1158" s="4">
        <v>1</v>
      </c>
      <c r="CF1158" s="4">
        <v>3</v>
      </c>
      <c r="CG1158" s="4">
        <v>10</v>
      </c>
      <c r="CH1158" s="4">
        <v>5</v>
      </c>
      <c r="CI1158" s="4">
        <v>1</v>
      </c>
      <c r="CJ1158" s="4">
        <v>11</v>
      </c>
      <c r="CK1158" s="4">
        <v>1</v>
      </c>
      <c r="CL1158" s="4">
        <v>0</v>
      </c>
      <c r="CM1158" s="4">
        <v>20</v>
      </c>
      <c r="CN1158" s="4">
        <v>113</v>
      </c>
      <c r="CO1158" s="4">
        <v>3</v>
      </c>
      <c r="CP1158" s="4">
        <v>4</v>
      </c>
      <c r="CQ1158" s="4">
        <v>0</v>
      </c>
      <c r="CR1158" s="4">
        <v>3</v>
      </c>
      <c r="CS1158" s="4">
        <v>4</v>
      </c>
      <c r="CT1158" s="4">
        <v>46</v>
      </c>
      <c r="CU1158" s="4">
        <v>16</v>
      </c>
      <c r="CV1158" s="4">
        <v>41</v>
      </c>
      <c r="CW1158" s="4">
        <v>391</v>
      </c>
      <c r="CX1158" s="5">
        <v>383</v>
      </c>
    </row>
    <row r="1159" spans="1:102" ht="15.75" x14ac:dyDescent="0.25">
      <c r="A1159" s="4" t="s">
        <v>525</v>
      </c>
      <c r="B1159" s="4" t="s">
        <v>526</v>
      </c>
      <c r="C1159" s="4">
        <v>2022</v>
      </c>
      <c r="D1159" s="4">
        <v>157</v>
      </c>
      <c r="E1159" s="4">
        <v>0</v>
      </c>
      <c r="F1159" s="4">
        <v>3</v>
      </c>
      <c r="G1159" s="4">
        <v>1</v>
      </c>
      <c r="H1159" s="4">
        <v>0</v>
      </c>
      <c r="I1159" s="4">
        <v>6</v>
      </c>
      <c r="J1159" s="4">
        <v>1</v>
      </c>
      <c r="K1159" s="4">
        <v>1</v>
      </c>
      <c r="L1159" s="4">
        <v>4</v>
      </c>
      <c r="M1159" s="4">
        <v>0</v>
      </c>
      <c r="N1159" s="4">
        <v>1</v>
      </c>
      <c r="O1159" s="4">
        <v>5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50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4</v>
      </c>
      <c r="AJ1159" s="4">
        <v>6</v>
      </c>
      <c r="AK1159" s="4">
        <v>5</v>
      </c>
      <c r="AL1159" s="4">
        <v>0</v>
      </c>
      <c r="AM1159" s="4">
        <v>0</v>
      </c>
      <c r="AN1159" s="4">
        <v>0</v>
      </c>
      <c r="AO1159" s="4">
        <v>9</v>
      </c>
      <c r="AP1159" s="4">
        <v>0</v>
      </c>
      <c r="AQ1159" s="4">
        <v>1</v>
      </c>
      <c r="AR1159" s="4">
        <v>0</v>
      </c>
      <c r="AS1159" s="4">
        <v>1</v>
      </c>
      <c r="AT1159" s="4">
        <v>1</v>
      </c>
      <c r="AU1159" s="4">
        <v>3</v>
      </c>
      <c r="AV1159" s="4">
        <v>2</v>
      </c>
      <c r="AW1159" s="4">
        <v>1</v>
      </c>
      <c r="AX1159" s="4">
        <v>7</v>
      </c>
      <c r="AY1159" s="4">
        <v>0</v>
      </c>
      <c r="AZ1159" s="4">
        <v>0</v>
      </c>
      <c r="BA1159" s="4">
        <v>0</v>
      </c>
      <c r="BB1159" s="4">
        <v>1</v>
      </c>
      <c r="BC1159" s="4">
        <v>0</v>
      </c>
      <c r="BD1159" s="4">
        <v>0</v>
      </c>
      <c r="BE1159" s="4">
        <v>3</v>
      </c>
      <c r="BF1159" s="4">
        <v>3</v>
      </c>
      <c r="BG1159" s="4">
        <v>0</v>
      </c>
      <c r="BH1159" s="4">
        <v>0</v>
      </c>
      <c r="BI1159" s="4">
        <v>0</v>
      </c>
      <c r="BJ1159" s="4">
        <v>6</v>
      </c>
      <c r="BK1159" s="4">
        <v>2</v>
      </c>
      <c r="BL1159" s="4">
        <v>0</v>
      </c>
      <c r="BM1159" s="4">
        <v>0</v>
      </c>
      <c r="BN1159" s="4">
        <v>1</v>
      </c>
      <c r="BO1159" s="4">
        <v>0</v>
      </c>
      <c r="BP1159" s="4">
        <v>0</v>
      </c>
      <c r="BQ1159" s="4">
        <v>0</v>
      </c>
      <c r="BR1159" s="4">
        <v>0</v>
      </c>
      <c r="BS1159" s="4">
        <v>2</v>
      </c>
      <c r="BT1159" s="4">
        <v>1</v>
      </c>
      <c r="BU1159" s="4">
        <v>0</v>
      </c>
      <c r="BV1159" s="4">
        <v>2</v>
      </c>
      <c r="BW1159" s="4">
        <v>1</v>
      </c>
      <c r="BX1159" s="4">
        <v>7</v>
      </c>
      <c r="BY1159" s="4">
        <v>0</v>
      </c>
      <c r="BZ1159" s="4">
        <v>0</v>
      </c>
      <c r="CA1159" s="4">
        <v>0</v>
      </c>
      <c r="CB1159" s="4">
        <v>1</v>
      </c>
      <c r="CC1159" s="4">
        <v>0</v>
      </c>
      <c r="CD1159" s="4">
        <v>1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1</v>
      </c>
      <c r="CK1159" s="4">
        <v>0</v>
      </c>
      <c r="CL1159" s="4">
        <v>0</v>
      </c>
      <c r="CM1159" s="4">
        <v>1</v>
      </c>
      <c r="CN1159" s="4">
        <v>3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1</v>
      </c>
      <c r="CU1159" s="4">
        <v>0</v>
      </c>
      <c r="CV1159" s="4">
        <v>4</v>
      </c>
      <c r="CW1159" s="4">
        <v>1</v>
      </c>
      <c r="CX1159" s="5">
        <v>1</v>
      </c>
    </row>
    <row r="1160" spans="1:102" ht="15.75" x14ac:dyDescent="0.25">
      <c r="A1160" s="4" t="s">
        <v>527</v>
      </c>
      <c r="B1160" s="4" t="s">
        <v>528</v>
      </c>
      <c r="C1160" s="4">
        <v>2022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5">
        <v>0</v>
      </c>
    </row>
    <row r="1161" spans="1:102" ht="15.75" x14ac:dyDescent="0.25">
      <c r="A1161" s="4" t="s">
        <v>529</v>
      </c>
      <c r="B1161" s="4" t="s">
        <v>530</v>
      </c>
      <c r="C1161" s="4">
        <v>2022</v>
      </c>
      <c r="D1161" s="4">
        <v>1803</v>
      </c>
      <c r="E1161" s="4">
        <v>0</v>
      </c>
      <c r="F1161" s="4">
        <v>3</v>
      </c>
      <c r="G1161" s="4">
        <v>3</v>
      </c>
      <c r="H1161" s="4">
        <v>15</v>
      </c>
      <c r="I1161" s="4">
        <v>3</v>
      </c>
      <c r="J1161" s="4">
        <v>1</v>
      </c>
      <c r="K1161" s="4">
        <v>2</v>
      </c>
      <c r="L1161" s="4">
        <v>7</v>
      </c>
      <c r="M1161" s="4">
        <v>4</v>
      </c>
      <c r="N1161" s="4">
        <v>5</v>
      </c>
      <c r="O1161" s="4">
        <v>362</v>
      </c>
      <c r="P1161" s="4">
        <v>0</v>
      </c>
      <c r="Q1161" s="4">
        <v>0</v>
      </c>
      <c r="R1161" s="4">
        <v>1</v>
      </c>
      <c r="S1161" s="4">
        <v>0</v>
      </c>
      <c r="T1161" s="4">
        <v>4</v>
      </c>
      <c r="U1161" s="4">
        <v>3</v>
      </c>
      <c r="V1161" s="4">
        <v>1</v>
      </c>
      <c r="W1161" s="4">
        <v>38</v>
      </c>
      <c r="X1161" s="4">
        <v>3</v>
      </c>
      <c r="Y1161" s="4">
        <v>0</v>
      </c>
      <c r="Z1161" s="4">
        <v>0</v>
      </c>
      <c r="AA1161" s="4">
        <v>4</v>
      </c>
      <c r="AB1161" s="4">
        <v>0</v>
      </c>
      <c r="AC1161" s="4">
        <v>0</v>
      </c>
      <c r="AD1161" s="4">
        <v>0</v>
      </c>
      <c r="AE1161" s="4">
        <v>1</v>
      </c>
      <c r="AF1161" s="4">
        <v>0</v>
      </c>
      <c r="AG1161" s="4">
        <v>8</v>
      </c>
      <c r="AH1161" s="4">
        <v>11</v>
      </c>
      <c r="AI1161" s="4">
        <v>14</v>
      </c>
      <c r="AJ1161" s="4">
        <v>132</v>
      </c>
      <c r="AK1161" s="4">
        <v>25</v>
      </c>
      <c r="AL1161" s="4">
        <v>0</v>
      </c>
      <c r="AM1161" s="4">
        <v>27</v>
      </c>
      <c r="AN1161" s="4">
        <v>11</v>
      </c>
      <c r="AO1161" s="4">
        <v>53</v>
      </c>
      <c r="AP1161" s="4">
        <v>0</v>
      </c>
      <c r="AQ1161" s="4">
        <v>4</v>
      </c>
      <c r="AR1161" s="4">
        <v>0</v>
      </c>
      <c r="AS1161" s="4">
        <v>10</v>
      </c>
      <c r="AT1161" s="4">
        <v>5</v>
      </c>
      <c r="AU1161" s="4">
        <v>14</v>
      </c>
      <c r="AV1161" s="4">
        <v>18</v>
      </c>
      <c r="AW1161" s="4">
        <v>37</v>
      </c>
      <c r="AX1161" s="4">
        <v>35</v>
      </c>
      <c r="AY1161" s="4">
        <v>0</v>
      </c>
      <c r="AZ1161" s="4">
        <v>33</v>
      </c>
      <c r="BA1161" s="4">
        <v>0</v>
      </c>
      <c r="BB1161" s="4">
        <v>45</v>
      </c>
      <c r="BC1161" s="4">
        <v>6</v>
      </c>
      <c r="BD1161" s="4">
        <v>0</v>
      </c>
      <c r="BE1161" s="4">
        <v>12</v>
      </c>
      <c r="BF1161" s="4">
        <v>53</v>
      </c>
      <c r="BG1161" s="4">
        <v>2</v>
      </c>
      <c r="BH1161" s="4">
        <v>5</v>
      </c>
      <c r="BI1161" s="4">
        <v>0</v>
      </c>
      <c r="BJ1161" s="4">
        <v>58</v>
      </c>
      <c r="BK1161" s="4">
        <v>61</v>
      </c>
      <c r="BL1161" s="4">
        <v>0</v>
      </c>
      <c r="BM1161" s="4">
        <v>2</v>
      </c>
      <c r="BN1161" s="4">
        <v>22</v>
      </c>
      <c r="BO1161" s="4">
        <v>0</v>
      </c>
      <c r="BP1161" s="4">
        <v>3</v>
      </c>
      <c r="BQ1161" s="4">
        <v>68</v>
      </c>
      <c r="BR1161" s="4">
        <v>1</v>
      </c>
      <c r="BS1161" s="4">
        <v>70</v>
      </c>
      <c r="BT1161" s="4">
        <v>40</v>
      </c>
      <c r="BU1161" s="4">
        <v>1</v>
      </c>
      <c r="BV1161" s="4">
        <v>9</v>
      </c>
      <c r="BW1161" s="4">
        <v>10</v>
      </c>
      <c r="BX1161" s="4">
        <v>159</v>
      </c>
      <c r="BY1161" s="4">
        <v>0</v>
      </c>
      <c r="BZ1161" s="4">
        <v>0</v>
      </c>
      <c r="CA1161" s="4">
        <v>38</v>
      </c>
      <c r="CB1161" s="4">
        <v>32</v>
      </c>
      <c r="CC1161" s="4">
        <v>0</v>
      </c>
      <c r="CD1161" s="4">
        <v>1</v>
      </c>
      <c r="CE1161" s="4">
        <v>0</v>
      </c>
      <c r="CF1161" s="4">
        <v>3</v>
      </c>
      <c r="CG1161" s="4">
        <v>1</v>
      </c>
      <c r="CH1161" s="4">
        <v>3</v>
      </c>
      <c r="CI1161" s="4">
        <v>7</v>
      </c>
      <c r="CJ1161" s="4">
        <v>21</v>
      </c>
      <c r="CK1161" s="4">
        <v>3</v>
      </c>
      <c r="CL1161" s="4">
        <v>0</v>
      </c>
      <c r="CM1161" s="4">
        <v>9</v>
      </c>
      <c r="CN1161" s="4">
        <v>79</v>
      </c>
      <c r="CO1161" s="4">
        <v>10</v>
      </c>
      <c r="CP1161" s="4">
        <v>7</v>
      </c>
      <c r="CQ1161" s="4">
        <v>0</v>
      </c>
      <c r="CR1161" s="4">
        <v>11</v>
      </c>
      <c r="CS1161" s="4">
        <v>9</v>
      </c>
      <c r="CT1161" s="4">
        <v>5</v>
      </c>
      <c r="CU1161" s="4">
        <v>13</v>
      </c>
      <c r="CV1161" s="4">
        <v>19</v>
      </c>
      <c r="CW1161" s="4">
        <v>6</v>
      </c>
      <c r="CX1161" s="5">
        <v>5</v>
      </c>
    </row>
    <row r="1162" spans="1:102" ht="15.75" x14ac:dyDescent="0.25">
      <c r="A1162" s="4" t="s">
        <v>531</v>
      </c>
      <c r="B1162" s="4" t="s">
        <v>532</v>
      </c>
      <c r="C1162" s="4">
        <v>2022</v>
      </c>
      <c r="D1162" s="4">
        <v>122</v>
      </c>
      <c r="E1162" s="4">
        <v>1</v>
      </c>
      <c r="F1162" s="4">
        <v>0</v>
      </c>
      <c r="G1162" s="4">
        <v>1</v>
      </c>
      <c r="H1162" s="4">
        <v>0</v>
      </c>
      <c r="I1162" s="4">
        <v>1</v>
      </c>
      <c r="J1162" s="4">
        <v>1</v>
      </c>
      <c r="K1162" s="4">
        <v>0</v>
      </c>
      <c r="L1162" s="4">
        <v>0</v>
      </c>
      <c r="M1162" s="4">
        <v>0</v>
      </c>
      <c r="N1162" s="4">
        <v>2</v>
      </c>
      <c r="O1162" s="4">
        <v>2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1</v>
      </c>
      <c r="AJ1162" s="4">
        <v>2</v>
      </c>
      <c r="AK1162" s="4">
        <v>2</v>
      </c>
      <c r="AL1162" s="4">
        <v>0</v>
      </c>
      <c r="AM1162" s="4">
        <v>0</v>
      </c>
      <c r="AN1162" s="4">
        <v>0</v>
      </c>
      <c r="AO1162" s="4">
        <v>2</v>
      </c>
      <c r="AP1162" s="4">
        <v>0</v>
      </c>
      <c r="AQ1162" s="4">
        <v>1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1</v>
      </c>
      <c r="AY1162" s="4">
        <v>0</v>
      </c>
      <c r="AZ1162" s="4">
        <v>0</v>
      </c>
      <c r="BA1162" s="4">
        <v>0</v>
      </c>
      <c r="BB1162" s="4">
        <v>1</v>
      </c>
      <c r="BC1162" s="4">
        <v>0</v>
      </c>
      <c r="BD1162" s="4">
        <v>0</v>
      </c>
      <c r="BE1162" s="4">
        <v>1</v>
      </c>
      <c r="BF1162" s="4">
        <v>4</v>
      </c>
      <c r="BG1162" s="4">
        <v>0</v>
      </c>
      <c r="BH1162" s="4">
        <v>0</v>
      </c>
      <c r="BI1162" s="4">
        <v>0</v>
      </c>
      <c r="BJ1162" s="4">
        <v>3</v>
      </c>
      <c r="BK1162" s="4">
        <v>12</v>
      </c>
      <c r="BL1162" s="4">
        <v>0</v>
      </c>
      <c r="BM1162" s="4">
        <v>0</v>
      </c>
      <c r="BN1162" s="4">
        <v>2</v>
      </c>
      <c r="BO1162" s="4">
        <v>0</v>
      </c>
      <c r="BP1162" s="4">
        <v>0</v>
      </c>
      <c r="BQ1162" s="4">
        <v>2</v>
      </c>
      <c r="BR1162" s="4">
        <v>6</v>
      </c>
      <c r="BS1162" s="4">
        <v>2</v>
      </c>
      <c r="BT1162" s="4">
        <v>1</v>
      </c>
      <c r="BU1162" s="4">
        <v>0</v>
      </c>
      <c r="BV1162" s="4">
        <v>2</v>
      </c>
      <c r="BW1162" s="4">
        <v>42</v>
      </c>
      <c r="BX1162" s="4">
        <v>12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1</v>
      </c>
      <c r="CG1162" s="4">
        <v>0</v>
      </c>
      <c r="CH1162" s="4">
        <v>1</v>
      </c>
      <c r="CI1162" s="4">
        <v>0</v>
      </c>
      <c r="CJ1162" s="4">
        <v>3</v>
      </c>
      <c r="CK1162" s="4">
        <v>0</v>
      </c>
      <c r="CL1162" s="4">
        <v>0</v>
      </c>
      <c r="CM1162" s="4">
        <v>1</v>
      </c>
      <c r="CN1162" s="4">
        <v>2</v>
      </c>
      <c r="CO1162" s="4">
        <v>0</v>
      </c>
      <c r="CP1162" s="4">
        <v>0</v>
      </c>
      <c r="CQ1162" s="4">
        <v>0</v>
      </c>
      <c r="CR1162" s="4">
        <v>0</v>
      </c>
      <c r="CS1162" s="4">
        <v>0</v>
      </c>
      <c r="CT1162" s="4">
        <v>0</v>
      </c>
      <c r="CU1162" s="4">
        <v>0</v>
      </c>
      <c r="CV1162" s="4">
        <v>2</v>
      </c>
      <c r="CW1162" s="4">
        <v>0</v>
      </c>
      <c r="CX1162" s="5">
        <v>0</v>
      </c>
    </row>
    <row r="1163" spans="1:102" ht="15.75" x14ac:dyDescent="0.25">
      <c r="A1163" s="4" t="s">
        <v>533</v>
      </c>
      <c r="B1163" s="4" t="s">
        <v>534</v>
      </c>
      <c r="C1163" s="4">
        <v>2022</v>
      </c>
      <c r="D1163" s="4">
        <v>593</v>
      </c>
      <c r="E1163" s="4">
        <v>0</v>
      </c>
      <c r="F1163" s="4">
        <v>0</v>
      </c>
      <c r="G1163" s="4">
        <v>2</v>
      </c>
      <c r="H1163" s="4">
        <v>12</v>
      </c>
      <c r="I1163" s="4">
        <v>2</v>
      </c>
      <c r="J1163" s="4">
        <v>0</v>
      </c>
      <c r="K1163" s="4">
        <v>0</v>
      </c>
      <c r="L1163" s="4">
        <v>9</v>
      </c>
      <c r="M1163" s="4">
        <v>3</v>
      </c>
      <c r="N1163" s="4">
        <v>4</v>
      </c>
      <c r="O1163" s="4">
        <v>135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38</v>
      </c>
      <c r="V1163" s="4">
        <v>1</v>
      </c>
      <c r="W1163" s="4">
        <v>0</v>
      </c>
      <c r="X1163" s="4">
        <v>0</v>
      </c>
      <c r="Y1163" s="4">
        <v>5</v>
      </c>
      <c r="Z1163" s="4">
        <v>0</v>
      </c>
      <c r="AA1163" s="4">
        <v>1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3</v>
      </c>
      <c r="AH1163" s="4">
        <v>0</v>
      </c>
      <c r="AI1163" s="4">
        <v>6</v>
      </c>
      <c r="AJ1163" s="4">
        <v>46</v>
      </c>
      <c r="AK1163" s="4">
        <v>8</v>
      </c>
      <c r="AL1163" s="4">
        <v>1</v>
      </c>
      <c r="AM1163" s="4">
        <v>1</v>
      </c>
      <c r="AN1163" s="4">
        <v>6</v>
      </c>
      <c r="AO1163" s="4">
        <v>42</v>
      </c>
      <c r="AP1163" s="4">
        <v>0</v>
      </c>
      <c r="AQ1163" s="4">
        <v>3</v>
      </c>
      <c r="AR1163" s="4">
        <v>0</v>
      </c>
      <c r="AS1163" s="4">
        <v>1</v>
      </c>
      <c r="AT1163" s="4">
        <v>1</v>
      </c>
      <c r="AU1163" s="4">
        <v>2</v>
      </c>
      <c r="AV1163" s="4">
        <v>1</v>
      </c>
      <c r="AW1163" s="4">
        <v>1</v>
      </c>
      <c r="AX1163" s="4">
        <v>7</v>
      </c>
      <c r="AY1163" s="4">
        <v>0</v>
      </c>
      <c r="AZ1163" s="4">
        <v>11</v>
      </c>
      <c r="BA1163" s="4">
        <v>0</v>
      </c>
      <c r="BB1163" s="4">
        <v>2</v>
      </c>
      <c r="BC1163" s="4">
        <v>3</v>
      </c>
      <c r="BD1163" s="4">
        <v>0</v>
      </c>
      <c r="BE1163" s="4">
        <v>3</v>
      </c>
      <c r="BF1163" s="4">
        <v>44</v>
      </c>
      <c r="BG1163" s="4">
        <v>0</v>
      </c>
      <c r="BH1163" s="4">
        <v>0</v>
      </c>
      <c r="BI1163" s="4">
        <v>0</v>
      </c>
      <c r="BJ1163" s="4">
        <v>4</v>
      </c>
      <c r="BK1163" s="4">
        <v>21</v>
      </c>
      <c r="BL1163" s="4">
        <v>0</v>
      </c>
      <c r="BM1163" s="4">
        <v>0</v>
      </c>
      <c r="BN1163" s="4">
        <v>4</v>
      </c>
      <c r="BO1163" s="4">
        <v>0</v>
      </c>
      <c r="BP1163" s="4">
        <v>1</v>
      </c>
      <c r="BQ1163" s="4">
        <v>5</v>
      </c>
      <c r="BR1163" s="4">
        <v>0</v>
      </c>
      <c r="BS1163" s="4">
        <v>8</v>
      </c>
      <c r="BT1163" s="4">
        <v>13</v>
      </c>
      <c r="BU1163" s="4">
        <v>0</v>
      </c>
      <c r="BV1163" s="4">
        <v>4</v>
      </c>
      <c r="BW1163" s="4">
        <v>14</v>
      </c>
      <c r="BX1163" s="4">
        <v>65</v>
      </c>
      <c r="BY1163" s="4">
        <v>0</v>
      </c>
      <c r="BZ1163" s="4">
        <v>0</v>
      </c>
      <c r="CA1163" s="4">
        <v>1</v>
      </c>
      <c r="CB1163" s="4">
        <v>0</v>
      </c>
      <c r="CC1163" s="4">
        <v>0</v>
      </c>
      <c r="CD1163" s="4">
        <v>1</v>
      </c>
      <c r="CE1163" s="4">
        <v>0</v>
      </c>
      <c r="CF1163" s="4">
        <v>0</v>
      </c>
      <c r="CG1163" s="4">
        <v>0</v>
      </c>
      <c r="CH1163" s="4">
        <v>0</v>
      </c>
      <c r="CI1163" s="4">
        <v>1</v>
      </c>
      <c r="CJ1163" s="4">
        <v>15</v>
      </c>
      <c r="CK1163" s="4">
        <v>2</v>
      </c>
      <c r="CL1163" s="4">
        <v>0</v>
      </c>
      <c r="CM1163" s="4">
        <v>1</v>
      </c>
      <c r="CN1163" s="4">
        <v>8</v>
      </c>
      <c r="CO1163" s="4">
        <v>4</v>
      </c>
      <c r="CP1163" s="4">
        <v>6</v>
      </c>
      <c r="CQ1163" s="4">
        <v>0</v>
      </c>
      <c r="CR1163" s="4">
        <v>0</v>
      </c>
      <c r="CS1163" s="4">
        <v>0</v>
      </c>
      <c r="CT1163" s="4">
        <v>3</v>
      </c>
      <c r="CU1163" s="4">
        <v>0</v>
      </c>
      <c r="CV1163" s="4">
        <v>5</v>
      </c>
      <c r="CW1163" s="4">
        <v>2</v>
      </c>
      <c r="CX1163" s="5">
        <v>2</v>
      </c>
    </row>
    <row r="1164" spans="1:102" ht="15.75" x14ac:dyDescent="0.25">
      <c r="A1164" s="4" t="s">
        <v>535</v>
      </c>
      <c r="B1164" s="4" t="s">
        <v>536</v>
      </c>
      <c r="C1164" s="4">
        <v>2022</v>
      </c>
      <c r="D1164" s="4">
        <v>55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1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1</v>
      </c>
      <c r="X1164" s="4">
        <v>1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1</v>
      </c>
      <c r="AJ1164" s="4">
        <v>12</v>
      </c>
      <c r="AK1164" s="4">
        <v>1</v>
      </c>
      <c r="AL1164" s="4">
        <v>0</v>
      </c>
      <c r="AM1164" s="4">
        <v>3</v>
      </c>
      <c r="AN1164" s="4">
        <v>0</v>
      </c>
      <c r="AO1164" s="4">
        <v>2</v>
      </c>
      <c r="AP1164" s="4">
        <v>0</v>
      </c>
      <c r="AQ1164" s="4">
        <v>1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1</v>
      </c>
      <c r="AY1164" s="4">
        <v>0</v>
      </c>
      <c r="AZ1164" s="4">
        <v>0</v>
      </c>
      <c r="BA1164" s="4">
        <v>0</v>
      </c>
      <c r="BB1164" s="4">
        <v>1</v>
      </c>
      <c r="BC1164" s="4">
        <v>0</v>
      </c>
      <c r="BD1164" s="4">
        <v>0</v>
      </c>
      <c r="BE1164" s="4">
        <v>1</v>
      </c>
      <c r="BF1164" s="4">
        <v>3</v>
      </c>
      <c r="BG1164" s="4">
        <v>0</v>
      </c>
      <c r="BH1164" s="4">
        <v>0</v>
      </c>
      <c r="BI1164" s="4">
        <v>0</v>
      </c>
      <c r="BJ1164" s="4">
        <v>1</v>
      </c>
      <c r="BK1164" s="4">
        <v>3</v>
      </c>
      <c r="BL1164" s="4">
        <v>0</v>
      </c>
      <c r="BM1164" s="4">
        <v>1</v>
      </c>
      <c r="BN1164" s="4">
        <v>2</v>
      </c>
      <c r="BO1164" s="4">
        <v>0</v>
      </c>
      <c r="BP1164" s="4">
        <v>0</v>
      </c>
      <c r="BQ1164" s="4">
        <v>1</v>
      </c>
      <c r="BR1164" s="4">
        <v>0</v>
      </c>
      <c r="BS1164" s="4">
        <v>1</v>
      </c>
      <c r="BT1164" s="4">
        <v>1</v>
      </c>
      <c r="BU1164" s="4">
        <v>0</v>
      </c>
      <c r="BV1164" s="4">
        <v>0</v>
      </c>
      <c r="BW1164" s="4">
        <v>1</v>
      </c>
      <c r="BX1164" s="4">
        <v>4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3</v>
      </c>
      <c r="CO1164" s="4">
        <v>0</v>
      </c>
      <c r="CP1164" s="4">
        <v>0</v>
      </c>
      <c r="CQ1164" s="4">
        <v>0</v>
      </c>
      <c r="CR1164" s="4">
        <v>0</v>
      </c>
      <c r="CS1164" s="4">
        <v>0</v>
      </c>
      <c r="CT1164" s="4">
        <v>1</v>
      </c>
      <c r="CU1164" s="4">
        <v>0</v>
      </c>
      <c r="CV1164" s="4">
        <v>2</v>
      </c>
      <c r="CW1164" s="4">
        <v>0</v>
      </c>
      <c r="CX1164" s="5">
        <v>0</v>
      </c>
    </row>
    <row r="1165" spans="1:102" ht="15.75" x14ac:dyDescent="0.25">
      <c r="A1165" s="4" t="s">
        <v>537</v>
      </c>
      <c r="B1165" s="4" t="s">
        <v>538</v>
      </c>
      <c r="C1165" s="4">
        <v>2022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5">
        <v>0</v>
      </c>
    </row>
    <row r="1166" spans="1:102" ht="15.75" x14ac:dyDescent="0.25">
      <c r="A1166" s="4" t="s">
        <v>539</v>
      </c>
      <c r="B1166" s="4" t="s">
        <v>540</v>
      </c>
      <c r="C1166" s="4">
        <v>2022</v>
      </c>
      <c r="D1166" s="4">
        <v>59940</v>
      </c>
      <c r="E1166" s="4">
        <v>69</v>
      </c>
      <c r="F1166" s="4">
        <v>41</v>
      </c>
      <c r="G1166" s="4">
        <v>127</v>
      </c>
      <c r="H1166" s="4">
        <v>257</v>
      </c>
      <c r="I1166" s="4">
        <v>166</v>
      </c>
      <c r="J1166" s="4">
        <v>27</v>
      </c>
      <c r="K1166" s="4">
        <v>22</v>
      </c>
      <c r="L1166" s="4">
        <v>133</v>
      </c>
      <c r="M1166" s="4">
        <v>39</v>
      </c>
      <c r="N1166" s="4">
        <v>124</v>
      </c>
      <c r="O1166" s="4">
        <v>2077</v>
      </c>
      <c r="P1166" s="4">
        <v>0</v>
      </c>
      <c r="Q1166" s="4">
        <v>0</v>
      </c>
      <c r="R1166" s="4">
        <v>24</v>
      </c>
      <c r="S1166" s="4">
        <v>2</v>
      </c>
      <c r="T1166" s="4">
        <v>0</v>
      </c>
      <c r="U1166" s="4">
        <v>12</v>
      </c>
      <c r="V1166" s="4">
        <v>23</v>
      </c>
      <c r="W1166" s="4">
        <v>630</v>
      </c>
      <c r="X1166" s="4">
        <v>28</v>
      </c>
      <c r="Y1166" s="4">
        <v>0</v>
      </c>
      <c r="Z1166" s="4">
        <v>2904</v>
      </c>
      <c r="AA1166" s="4">
        <v>2922</v>
      </c>
      <c r="AB1166" s="4">
        <v>0</v>
      </c>
      <c r="AC1166" s="4">
        <v>0</v>
      </c>
      <c r="AD1166" s="4">
        <v>8</v>
      </c>
      <c r="AE1166" s="4">
        <v>7</v>
      </c>
      <c r="AF1166" s="4">
        <v>1</v>
      </c>
      <c r="AG1166" s="4">
        <v>2076</v>
      </c>
      <c r="AH1166" s="4">
        <v>323</v>
      </c>
      <c r="AI1166" s="4">
        <v>187</v>
      </c>
      <c r="AJ1166" s="4">
        <v>7594</v>
      </c>
      <c r="AK1166" s="4">
        <v>500</v>
      </c>
      <c r="AL1166" s="4">
        <v>30</v>
      </c>
      <c r="AM1166" s="4">
        <v>358</v>
      </c>
      <c r="AN1166" s="4">
        <v>436</v>
      </c>
      <c r="AO1166" s="4">
        <v>722</v>
      </c>
      <c r="AP1166" s="4">
        <v>50</v>
      </c>
      <c r="AQ1166" s="4">
        <v>196</v>
      </c>
      <c r="AR1166" s="4">
        <v>31</v>
      </c>
      <c r="AS1166" s="4">
        <v>290</v>
      </c>
      <c r="AT1166" s="4">
        <v>317</v>
      </c>
      <c r="AU1166" s="4">
        <v>579</v>
      </c>
      <c r="AV1166" s="4">
        <v>608</v>
      </c>
      <c r="AW1166" s="4">
        <v>1424</v>
      </c>
      <c r="AX1166" s="4">
        <v>882</v>
      </c>
      <c r="AY1166" s="4">
        <v>42</v>
      </c>
      <c r="AZ1166" s="4">
        <v>202</v>
      </c>
      <c r="BA1166" s="4">
        <v>0</v>
      </c>
      <c r="BB1166" s="4">
        <v>3810</v>
      </c>
      <c r="BC1166" s="4">
        <v>665</v>
      </c>
      <c r="BD1166" s="4">
        <v>23</v>
      </c>
      <c r="BE1166" s="4">
        <v>463</v>
      </c>
      <c r="BF1166" s="4">
        <v>1518</v>
      </c>
      <c r="BG1166" s="4">
        <v>96</v>
      </c>
      <c r="BH1166" s="4">
        <v>144</v>
      </c>
      <c r="BI1166" s="4">
        <v>3</v>
      </c>
      <c r="BJ1166" s="4">
        <v>1256</v>
      </c>
      <c r="BK1166" s="4">
        <v>2121</v>
      </c>
      <c r="BL1166" s="4">
        <v>0</v>
      </c>
      <c r="BM1166" s="4">
        <v>97</v>
      </c>
      <c r="BN1166" s="4">
        <v>510</v>
      </c>
      <c r="BO1166" s="4">
        <v>6</v>
      </c>
      <c r="BP1166" s="4">
        <v>139</v>
      </c>
      <c r="BQ1166" s="4">
        <v>807</v>
      </c>
      <c r="BR1166" s="4">
        <v>38</v>
      </c>
      <c r="BS1166" s="4">
        <v>1591</v>
      </c>
      <c r="BT1166" s="4">
        <v>787</v>
      </c>
      <c r="BU1166" s="4">
        <v>26</v>
      </c>
      <c r="BV1166" s="4">
        <v>661</v>
      </c>
      <c r="BW1166" s="4">
        <v>581</v>
      </c>
      <c r="BX1166" s="4">
        <v>7238</v>
      </c>
      <c r="BY1166" s="4">
        <v>6</v>
      </c>
      <c r="BZ1166" s="4">
        <v>8</v>
      </c>
      <c r="CA1166" s="4">
        <v>1925</v>
      </c>
      <c r="CB1166" s="4">
        <v>242</v>
      </c>
      <c r="CC1166" s="4">
        <v>4</v>
      </c>
      <c r="CD1166" s="4">
        <v>80</v>
      </c>
      <c r="CE1166" s="4">
        <v>26</v>
      </c>
      <c r="CF1166" s="4">
        <v>129</v>
      </c>
      <c r="CG1166" s="4">
        <v>215</v>
      </c>
      <c r="CH1166" s="4">
        <v>120</v>
      </c>
      <c r="CI1166" s="4">
        <v>68</v>
      </c>
      <c r="CJ1166" s="4">
        <v>501</v>
      </c>
      <c r="CK1166" s="4">
        <v>55</v>
      </c>
      <c r="CL1166" s="4">
        <v>0</v>
      </c>
      <c r="CM1166" s="4">
        <v>295</v>
      </c>
      <c r="CN1166" s="4">
        <v>2310</v>
      </c>
      <c r="CO1166" s="4">
        <v>195</v>
      </c>
      <c r="CP1166" s="4">
        <v>127</v>
      </c>
      <c r="CQ1166" s="4">
        <v>2</v>
      </c>
      <c r="CR1166" s="4">
        <v>1925</v>
      </c>
      <c r="CS1166" s="4">
        <v>326</v>
      </c>
      <c r="CT1166" s="4">
        <v>207</v>
      </c>
      <c r="CU1166" s="4">
        <v>61</v>
      </c>
      <c r="CV1166" s="4">
        <v>1753</v>
      </c>
      <c r="CW1166" s="4">
        <v>295</v>
      </c>
      <c r="CX1166" s="5">
        <v>292</v>
      </c>
    </row>
    <row r="1167" spans="1:102" ht="15.75" x14ac:dyDescent="0.25">
      <c r="A1167" s="4" t="s">
        <v>541</v>
      </c>
      <c r="B1167" s="4" t="s">
        <v>542</v>
      </c>
      <c r="C1167" s="4">
        <v>2022</v>
      </c>
      <c r="D1167" s="4">
        <v>130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2</v>
      </c>
      <c r="M1167" s="4">
        <v>0</v>
      </c>
      <c r="N1167" s="4">
        <v>1</v>
      </c>
      <c r="O1167" s="4">
        <v>40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3</v>
      </c>
      <c r="AJ1167" s="4">
        <v>30</v>
      </c>
      <c r="AK1167" s="4">
        <v>5</v>
      </c>
      <c r="AL1167" s="4">
        <v>0</v>
      </c>
      <c r="AM1167" s="4">
        <v>1</v>
      </c>
      <c r="AN1167" s="4">
        <v>1</v>
      </c>
      <c r="AO1167" s="4">
        <v>2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1</v>
      </c>
      <c r="AW1167" s="4">
        <v>0</v>
      </c>
      <c r="AX1167" s="4">
        <v>2</v>
      </c>
      <c r="AY1167" s="4">
        <v>0</v>
      </c>
      <c r="AZ1167" s="4">
        <v>0</v>
      </c>
      <c r="BA1167" s="4">
        <v>0</v>
      </c>
      <c r="BB1167" s="4">
        <v>7</v>
      </c>
      <c r="BC1167" s="4">
        <v>0</v>
      </c>
      <c r="BD1167" s="4">
        <v>0</v>
      </c>
      <c r="BE1167" s="4">
        <v>1</v>
      </c>
      <c r="BF1167" s="4">
        <v>13</v>
      </c>
      <c r="BG1167" s="4">
        <v>0</v>
      </c>
      <c r="BH1167" s="4">
        <v>0</v>
      </c>
      <c r="BI1167" s="4">
        <v>0</v>
      </c>
      <c r="BJ1167" s="4">
        <v>1</v>
      </c>
      <c r="BK1167" s="4">
        <v>4</v>
      </c>
      <c r="BL1167" s="4">
        <v>0</v>
      </c>
      <c r="BM1167" s="4">
        <v>0</v>
      </c>
      <c r="BN1167" s="4">
        <v>1</v>
      </c>
      <c r="BO1167" s="4">
        <v>0</v>
      </c>
      <c r="BP1167" s="4">
        <v>0</v>
      </c>
      <c r="BQ1167" s="4">
        <v>0</v>
      </c>
      <c r="BR1167" s="4">
        <v>0</v>
      </c>
      <c r="BS1167" s="4">
        <v>3</v>
      </c>
      <c r="BT1167" s="4">
        <v>1</v>
      </c>
      <c r="BU1167" s="4">
        <v>0</v>
      </c>
      <c r="BV1167" s="4">
        <v>2</v>
      </c>
      <c r="BW1167" s="4">
        <v>0</v>
      </c>
      <c r="BX1167" s="4">
        <v>4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2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4">
        <v>1</v>
      </c>
      <c r="CW1167" s="4">
        <v>0</v>
      </c>
      <c r="CX1167" s="5">
        <v>0</v>
      </c>
    </row>
    <row r="1168" spans="1:102" ht="15.75" x14ac:dyDescent="0.25">
      <c r="A1168" s="4" t="s">
        <v>543</v>
      </c>
      <c r="B1168" s="4" t="s">
        <v>544</v>
      </c>
      <c r="C1168" s="4">
        <v>2022</v>
      </c>
      <c r="D1168" s="4">
        <v>89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8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2</v>
      </c>
      <c r="AJ1168" s="4">
        <v>0</v>
      </c>
      <c r="AK1168" s="4">
        <v>3</v>
      </c>
      <c r="AL1168" s="4">
        <v>0</v>
      </c>
      <c r="AM1168" s="4">
        <v>0</v>
      </c>
      <c r="AN1168" s="4">
        <v>1</v>
      </c>
      <c r="AO1168" s="4">
        <v>1</v>
      </c>
      <c r="AP1168" s="4">
        <v>0</v>
      </c>
      <c r="AQ1168" s="4">
        <v>1</v>
      </c>
      <c r="AR1168" s="4">
        <v>0</v>
      </c>
      <c r="AS1168" s="4">
        <v>0</v>
      </c>
      <c r="AT1168" s="4">
        <v>0</v>
      </c>
      <c r="AU1168" s="4">
        <v>0</v>
      </c>
      <c r="AV1168" s="4">
        <v>1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43</v>
      </c>
      <c r="BC1168" s="4">
        <v>2</v>
      </c>
      <c r="BD1168" s="4">
        <v>0</v>
      </c>
      <c r="BE1168" s="4">
        <v>0</v>
      </c>
      <c r="BF1168" s="4">
        <v>11</v>
      </c>
      <c r="BG1168" s="4">
        <v>0</v>
      </c>
      <c r="BH1168" s="4">
        <v>0</v>
      </c>
      <c r="BI1168" s="4">
        <v>0</v>
      </c>
      <c r="BJ1168" s="4">
        <v>1</v>
      </c>
      <c r="BK1168" s="4">
        <v>1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1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1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1</v>
      </c>
      <c r="CK1168" s="4">
        <v>0</v>
      </c>
      <c r="CL1168" s="4">
        <v>0</v>
      </c>
      <c r="CM1168" s="4">
        <v>0</v>
      </c>
      <c r="CN1168" s="4">
        <v>2</v>
      </c>
      <c r="CO1168" s="4">
        <v>0</v>
      </c>
      <c r="CP1168" s="4">
        <v>0</v>
      </c>
      <c r="CQ1168" s="4">
        <v>0</v>
      </c>
      <c r="CR1168" s="4">
        <v>1</v>
      </c>
      <c r="CS1168" s="4">
        <v>0</v>
      </c>
      <c r="CT1168" s="4">
        <v>0</v>
      </c>
      <c r="CU1168" s="4">
        <v>0</v>
      </c>
      <c r="CV1168" s="4">
        <v>2</v>
      </c>
      <c r="CW1168" s="4">
        <v>0</v>
      </c>
      <c r="CX1168" s="5">
        <v>0</v>
      </c>
    </row>
    <row r="1169" spans="1:102" ht="15.75" x14ac:dyDescent="0.25">
      <c r="A1169" s="4" t="s">
        <v>545</v>
      </c>
      <c r="B1169" s="4" t="s">
        <v>546</v>
      </c>
      <c r="C1169" s="4">
        <v>2022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5">
        <v>0</v>
      </c>
    </row>
    <row r="1170" spans="1:102" ht="15.75" x14ac:dyDescent="0.25">
      <c r="A1170" s="4" t="s">
        <v>547</v>
      </c>
      <c r="B1170" s="4" t="s">
        <v>548</v>
      </c>
      <c r="C1170" s="4">
        <v>2022</v>
      </c>
      <c r="D1170" s="4">
        <v>18</v>
      </c>
      <c r="E1170" s="4">
        <v>0</v>
      </c>
      <c r="F1170" s="4">
        <v>3</v>
      </c>
      <c r="G1170" s="4">
        <v>2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1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1</v>
      </c>
      <c r="AV1170" s="4">
        <v>0</v>
      </c>
      <c r="AW1170" s="4">
        <v>0</v>
      </c>
      <c r="AX1170" s="4">
        <v>1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1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1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4">
        <v>1</v>
      </c>
      <c r="CW1170" s="4">
        <v>0</v>
      </c>
      <c r="CX1170" s="5">
        <v>0</v>
      </c>
    </row>
    <row r="1171" spans="1:102" ht="15.75" x14ac:dyDescent="0.25">
      <c r="A1171" s="4" t="s">
        <v>549</v>
      </c>
      <c r="B1171" s="4" t="s">
        <v>550</v>
      </c>
      <c r="C1171" s="4">
        <v>2022</v>
      </c>
      <c r="D1171" s="4">
        <v>26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17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1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1</v>
      </c>
      <c r="AY1171" s="4">
        <v>0</v>
      </c>
      <c r="AZ1171" s="4">
        <v>0</v>
      </c>
      <c r="BA1171" s="4">
        <v>0</v>
      </c>
      <c r="BB1171" s="4">
        <v>1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3</v>
      </c>
      <c r="CS1171" s="4">
        <v>0</v>
      </c>
      <c r="CT1171" s="4">
        <v>0</v>
      </c>
      <c r="CU1171" s="4">
        <v>0</v>
      </c>
      <c r="CV1171" s="4">
        <v>1</v>
      </c>
      <c r="CW1171" s="4">
        <v>0</v>
      </c>
      <c r="CX1171" s="5">
        <v>0</v>
      </c>
    </row>
    <row r="1172" spans="1:102" ht="15.75" x14ac:dyDescent="0.25">
      <c r="A1172" s="4" t="s">
        <v>551</v>
      </c>
      <c r="B1172" s="4" t="s">
        <v>552</v>
      </c>
      <c r="C1172" s="4">
        <v>2022</v>
      </c>
      <c r="D1172" s="4">
        <v>6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1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1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2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  <c r="CS1172" s="4">
        <v>0</v>
      </c>
      <c r="CT1172" s="4">
        <v>0</v>
      </c>
      <c r="CU1172" s="4">
        <v>0</v>
      </c>
      <c r="CV1172" s="4">
        <v>0</v>
      </c>
      <c r="CW1172" s="4">
        <v>0</v>
      </c>
      <c r="CX1172" s="5">
        <v>0</v>
      </c>
    </row>
    <row r="1173" spans="1:102" ht="15.75" x14ac:dyDescent="0.25">
      <c r="A1173" s="4" t="s">
        <v>553</v>
      </c>
      <c r="B1173" s="4" t="s">
        <v>554</v>
      </c>
      <c r="C1173" s="4">
        <v>2022</v>
      </c>
      <c r="D1173" s="4">
        <v>50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2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42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1</v>
      </c>
      <c r="AO1173" s="4">
        <v>0</v>
      </c>
      <c r="AP1173" s="4">
        <v>0</v>
      </c>
      <c r="AQ1173" s="4">
        <v>2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2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1</v>
      </c>
      <c r="CT1173" s="4">
        <v>0</v>
      </c>
      <c r="CU1173" s="4">
        <v>0</v>
      </c>
      <c r="CV1173" s="4">
        <v>0</v>
      </c>
      <c r="CW1173" s="4">
        <v>0</v>
      </c>
      <c r="CX1173" s="5">
        <v>0</v>
      </c>
    </row>
    <row r="1174" spans="1:102" ht="15.75" x14ac:dyDescent="0.25">
      <c r="A1174" s="4" t="s">
        <v>555</v>
      </c>
      <c r="B1174" s="4" t="s">
        <v>556</v>
      </c>
      <c r="C1174" s="4">
        <v>2022</v>
      </c>
      <c r="D1174" s="4">
        <v>788</v>
      </c>
      <c r="E1174" s="4">
        <v>6</v>
      </c>
      <c r="F1174" s="4">
        <v>0</v>
      </c>
      <c r="G1174" s="4">
        <v>1</v>
      </c>
      <c r="H1174" s="4">
        <v>13</v>
      </c>
      <c r="I1174" s="4">
        <v>2</v>
      </c>
      <c r="J1174" s="4">
        <v>2</v>
      </c>
      <c r="K1174" s="4">
        <v>0</v>
      </c>
      <c r="L1174" s="4">
        <v>2</v>
      </c>
      <c r="M1174" s="4">
        <v>26</v>
      </c>
      <c r="N1174" s="4">
        <v>16</v>
      </c>
      <c r="O1174" s="4">
        <v>82</v>
      </c>
      <c r="P1174" s="4">
        <v>0</v>
      </c>
      <c r="Q1174" s="4">
        <v>0</v>
      </c>
      <c r="R1174" s="4">
        <v>1</v>
      </c>
      <c r="S1174" s="4">
        <v>1</v>
      </c>
      <c r="T1174" s="4">
        <v>84</v>
      </c>
      <c r="U1174" s="4">
        <v>1</v>
      </c>
      <c r="V1174" s="4">
        <v>3</v>
      </c>
      <c r="W1174" s="4">
        <v>19</v>
      </c>
      <c r="X1174" s="4">
        <v>3</v>
      </c>
      <c r="Y1174" s="4">
        <v>0</v>
      </c>
      <c r="Z1174" s="4">
        <v>0</v>
      </c>
      <c r="AA1174" s="4">
        <v>2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4</v>
      </c>
      <c r="AH1174" s="4">
        <v>1</v>
      </c>
      <c r="AI1174" s="4">
        <v>13</v>
      </c>
      <c r="AJ1174" s="4">
        <v>101</v>
      </c>
      <c r="AK1174" s="4">
        <v>15</v>
      </c>
      <c r="AL1174" s="4">
        <v>2</v>
      </c>
      <c r="AM1174" s="4">
        <v>14</v>
      </c>
      <c r="AN1174" s="4">
        <v>34</v>
      </c>
      <c r="AO1174" s="4">
        <v>20</v>
      </c>
      <c r="AP1174" s="4">
        <v>10</v>
      </c>
      <c r="AQ1174" s="4">
        <v>1</v>
      </c>
      <c r="AR1174" s="4">
        <v>0</v>
      </c>
      <c r="AS1174" s="4">
        <v>2</v>
      </c>
      <c r="AT1174" s="4">
        <v>14</v>
      </c>
      <c r="AU1174" s="4">
        <v>6</v>
      </c>
      <c r="AV1174" s="4">
        <v>4</v>
      </c>
      <c r="AW1174" s="4">
        <v>2</v>
      </c>
      <c r="AX1174" s="4">
        <v>6</v>
      </c>
      <c r="AY1174" s="4">
        <v>0</v>
      </c>
      <c r="AZ1174" s="4">
        <v>9</v>
      </c>
      <c r="BA1174" s="4">
        <v>0</v>
      </c>
      <c r="BB1174" s="4">
        <v>26</v>
      </c>
      <c r="BC1174" s="4">
        <v>3</v>
      </c>
      <c r="BD1174" s="4">
        <v>0</v>
      </c>
      <c r="BE1174" s="4">
        <v>6</v>
      </c>
      <c r="BF1174" s="4">
        <v>16</v>
      </c>
      <c r="BG1174" s="4">
        <v>3</v>
      </c>
      <c r="BH1174" s="4">
        <v>1</v>
      </c>
      <c r="BI1174" s="4">
        <v>0</v>
      </c>
      <c r="BJ1174" s="4">
        <v>11</v>
      </c>
      <c r="BK1174" s="4">
        <v>14</v>
      </c>
      <c r="BL1174" s="4">
        <v>0</v>
      </c>
      <c r="BM1174" s="4">
        <v>2</v>
      </c>
      <c r="BN1174" s="4">
        <v>4</v>
      </c>
      <c r="BO1174" s="4">
        <v>0</v>
      </c>
      <c r="BP1174" s="4">
        <v>1</v>
      </c>
      <c r="BQ1174" s="4">
        <v>10</v>
      </c>
      <c r="BR1174" s="4">
        <v>0</v>
      </c>
      <c r="BS1174" s="4">
        <v>12</v>
      </c>
      <c r="BT1174" s="4">
        <v>12</v>
      </c>
      <c r="BU1174" s="4">
        <v>0</v>
      </c>
      <c r="BV1174" s="4">
        <v>1</v>
      </c>
      <c r="BW1174" s="4">
        <v>2</v>
      </c>
      <c r="BX1174" s="4">
        <v>27</v>
      </c>
      <c r="BY1174" s="4">
        <v>0</v>
      </c>
      <c r="BZ1174" s="4">
        <v>0</v>
      </c>
      <c r="CA1174" s="4">
        <v>3</v>
      </c>
      <c r="CB1174" s="4">
        <v>16</v>
      </c>
      <c r="CC1174" s="4">
        <v>0</v>
      </c>
      <c r="CD1174" s="4">
        <v>1</v>
      </c>
      <c r="CE1174" s="4">
        <v>0</v>
      </c>
      <c r="CF1174" s="4">
        <v>0</v>
      </c>
      <c r="CG1174" s="4">
        <v>0</v>
      </c>
      <c r="CH1174" s="4">
        <v>0</v>
      </c>
      <c r="CI1174" s="4">
        <v>4</v>
      </c>
      <c r="CJ1174" s="4">
        <v>18</v>
      </c>
      <c r="CK1174" s="4">
        <v>3</v>
      </c>
      <c r="CL1174" s="4">
        <v>0</v>
      </c>
      <c r="CM1174" s="4">
        <v>8</v>
      </c>
      <c r="CN1174" s="4">
        <v>34</v>
      </c>
      <c r="CO1174" s="4">
        <v>0</v>
      </c>
      <c r="CP1174" s="4">
        <v>1</v>
      </c>
      <c r="CQ1174" s="4">
        <v>0</v>
      </c>
      <c r="CR1174" s="4">
        <v>0</v>
      </c>
      <c r="CS1174" s="4">
        <v>0</v>
      </c>
      <c r="CT1174" s="4">
        <v>3</v>
      </c>
      <c r="CU1174" s="4">
        <v>1</v>
      </c>
      <c r="CV1174" s="4">
        <v>19</v>
      </c>
      <c r="CW1174" s="4">
        <v>1</v>
      </c>
      <c r="CX1174" s="5">
        <v>1</v>
      </c>
    </row>
    <row r="1175" spans="1:102" ht="15.75" x14ac:dyDescent="0.25">
      <c r="A1175" s="4" t="s">
        <v>557</v>
      </c>
      <c r="B1175" s="4" t="s">
        <v>558</v>
      </c>
      <c r="C1175" s="4">
        <v>2022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5">
        <v>0</v>
      </c>
    </row>
    <row r="1176" spans="1:102" ht="15.75" x14ac:dyDescent="0.25">
      <c r="A1176" s="4" t="s">
        <v>559</v>
      </c>
      <c r="B1176" s="4" t="s">
        <v>560</v>
      </c>
      <c r="C1176" s="4">
        <v>2022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0</v>
      </c>
      <c r="CS1176" s="4">
        <v>0</v>
      </c>
      <c r="CT1176" s="4">
        <v>0</v>
      </c>
      <c r="CU1176" s="4">
        <v>0</v>
      </c>
      <c r="CV1176" s="4">
        <v>0</v>
      </c>
      <c r="CW1176" s="4">
        <v>0</v>
      </c>
      <c r="CX1176" s="5">
        <v>0</v>
      </c>
    </row>
    <row r="1177" spans="1:102" ht="15.75" x14ac:dyDescent="0.25">
      <c r="A1177" s="4" t="s">
        <v>561</v>
      </c>
      <c r="B1177" s="4" t="s">
        <v>562</v>
      </c>
      <c r="C1177" s="4">
        <v>2022</v>
      </c>
      <c r="D1177" s="4">
        <v>11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11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5">
        <v>0</v>
      </c>
    </row>
    <row r="1178" spans="1:102" ht="15.75" x14ac:dyDescent="0.25">
      <c r="A1178" s="4" t="s">
        <v>563</v>
      </c>
      <c r="B1178" s="4" t="s">
        <v>564</v>
      </c>
      <c r="C1178" s="4">
        <v>2022</v>
      </c>
      <c r="D1178" s="4">
        <v>11</v>
      </c>
      <c r="E1178" s="4">
        <v>0</v>
      </c>
      <c r="F1178" s="4">
        <v>3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1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1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1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0</v>
      </c>
      <c r="CS1178" s="4">
        <v>0</v>
      </c>
      <c r="CT1178" s="4">
        <v>0</v>
      </c>
      <c r="CU1178" s="4">
        <v>0</v>
      </c>
      <c r="CV1178" s="4">
        <v>1</v>
      </c>
      <c r="CW1178" s="4">
        <v>0</v>
      </c>
      <c r="CX1178" s="5">
        <v>0</v>
      </c>
    </row>
    <row r="1179" spans="1:102" ht="15.75" x14ac:dyDescent="0.25">
      <c r="A1179" s="4" t="s">
        <v>565</v>
      </c>
      <c r="B1179" s="4" t="s">
        <v>566</v>
      </c>
      <c r="C1179" s="4">
        <v>2022</v>
      </c>
      <c r="D1179" s="4">
        <v>37</v>
      </c>
      <c r="E1179" s="4">
        <v>0</v>
      </c>
      <c r="F1179" s="4">
        <v>0</v>
      </c>
      <c r="G1179" s="4">
        <v>3</v>
      </c>
      <c r="H1179" s="4">
        <v>0</v>
      </c>
      <c r="I1179" s="4">
        <v>1</v>
      </c>
      <c r="J1179" s="4">
        <v>1</v>
      </c>
      <c r="K1179" s="4">
        <v>0</v>
      </c>
      <c r="L1179" s="4">
        <v>0</v>
      </c>
      <c r="M1179" s="4">
        <v>0</v>
      </c>
      <c r="N1179" s="4">
        <v>5</v>
      </c>
      <c r="O1179" s="4">
        <v>5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1</v>
      </c>
      <c r="AK1179" s="4">
        <v>1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2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1</v>
      </c>
      <c r="BK1179" s="4">
        <v>4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1</v>
      </c>
      <c r="BT1179" s="4">
        <v>0</v>
      </c>
      <c r="BU1179" s="4">
        <v>0</v>
      </c>
      <c r="BV1179" s="4">
        <v>0</v>
      </c>
      <c r="BW1179" s="4">
        <v>0</v>
      </c>
      <c r="BX1179" s="4">
        <v>8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1</v>
      </c>
      <c r="CO1179" s="4">
        <v>0</v>
      </c>
      <c r="CP1179" s="4">
        <v>0</v>
      </c>
      <c r="CQ1179" s="4">
        <v>0</v>
      </c>
      <c r="CR1179" s="4">
        <v>0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5">
        <v>0</v>
      </c>
    </row>
    <row r="1180" spans="1:102" ht="15.75" x14ac:dyDescent="0.25">
      <c r="A1180" s="4" t="s">
        <v>567</v>
      </c>
      <c r="B1180" s="4" t="s">
        <v>568</v>
      </c>
      <c r="C1180" s="4">
        <v>2022</v>
      </c>
      <c r="D1180" s="4">
        <v>1985</v>
      </c>
      <c r="E1180" s="4">
        <v>10</v>
      </c>
      <c r="F1180" s="4">
        <v>15</v>
      </c>
      <c r="G1180" s="4">
        <v>4</v>
      </c>
      <c r="H1180" s="4">
        <v>1</v>
      </c>
      <c r="I1180" s="4">
        <v>20</v>
      </c>
      <c r="J1180" s="4">
        <v>3</v>
      </c>
      <c r="K1180" s="4">
        <v>6</v>
      </c>
      <c r="L1180" s="4">
        <v>22</v>
      </c>
      <c r="M1180" s="4">
        <v>17</v>
      </c>
      <c r="N1180" s="4">
        <v>17</v>
      </c>
      <c r="O1180" s="4">
        <v>197</v>
      </c>
      <c r="P1180" s="4">
        <v>0</v>
      </c>
      <c r="Q1180" s="4">
        <v>0</v>
      </c>
      <c r="R1180" s="4">
        <v>5</v>
      </c>
      <c r="S1180" s="4">
        <v>0</v>
      </c>
      <c r="T1180" s="4">
        <v>0</v>
      </c>
      <c r="U1180" s="4">
        <v>1</v>
      </c>
      <c r="V1180" s="4">
        <v>4</v>
      </c>
      <c r="W1180" s="4">
        <v>1</v>
      </c>
      <c r="X1180" s="4">
        <v>1</v>
      </c>
      <c r="Y1180" s="4">
        <v>0</v>
      </c>
      <c r="Z1180" s="4">
        <v>0</v>
      </c>
      <c r="AA1180" s="4">
        <v>93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17</v>
      </c>
      <c r="AH1180" s="4">
        <v>13</v>
      </c>
      <c r="AI1180" s="4">
        <v>21</v>
      </c>
      <c r="AJ1180" s="4">
        <v>104</v>
      </c>
      <c r="AK1180" s="4">
        <v>61</v>
      </c>
      <c r="AL1180" s="4">
        <v>4</v>
      </c>
      <c r="AM1180" s="4">
        <v>15</v>
      </c>
      <c r="AN1180" s="4">
        <v>36</v>
      </c>
      <c r="AO1180" s="4">
        <v>57</v>
      </c>
      <c r="AP1180" s="4">
        <v>0</v>
      </c>
      <c r="AQ1180" s="4">
        <v>10</v>
      </c>
      <c r="AR1180" s="4">
        <v>1</v>
      </c>
      <c r="AS1180" s="4">
        <v>14</v>
      </c>
      <c r="AT1180" s="4">
        <v>10</v>
      </c>
      <c r="AU1180" s="4">
        <v>43</v>
      </c>
      <c r="AV1180" s="4">
        <v>15</v>
      </c>
      <c r="AW1180" s="4">
        <v>11</v>
      </c>
      <c r="AX1180" s="4">
        <v>30</v>
      </c>
      <c r="AY1180" s="4">
        <v>5</v>
      </c>
      <c r="AZ1180" s="4">
        <v>22</v>
      </c>
      <c r="BA1180" s="4">
        <v>0</v>
      </c>
      <c r="BB1180" s="4">
        <v>113</v>
      </c>
      <c r="BC1180" s="4">
        <v>25</v>
      </c>
      <c r="BD1180" s="4">
        <v>0</v>
      </c>
      <c r="BE1180" s="4">
        <v>27</v>
      </c>
      <c r="BF1180" s="4">
        <v>109</v>
      </c>
      <c r="BG1180" s="4">
        <v>6</v>
      </c>
      <c r="BH1180" s="4">
        <v>4</v>
      </c>
      <c r="BI1180" s="4">
        <v>1</v>
      </c>
      <c r="BJ1180" s="4">
        <v>67</v>
      </c>
      <c r="BK1180" s="4">
        <v>53</v>
      </c>
      <c r="BL1180" s="4">
        <v>0</v>
      </c>
      <c r="BM1180" s="4">
        <v>4</v>
      </c>
      <c r="BN1180" s="4">
        <v>45</v>
      </c>
      <c r="BO1180" s="4">
        <v>0</v>
      </c>
      <c r="BP1180" s="4">
        <v>4</v>
      </c>
      <c r="BQ1180" s="4">
        <v>55</v>
      </c>
      <c r="BR1180" s="4">
        <v>2</v>
      </c>
      <c r="BS1180" s="4">
        <v>80</v>
      </c>
      <c r="BT1180" s="4">
        <v>37</v>
      </c>
      <c r="BU1180" s="4">
        <v>1</v>
      </c>
      <c r="BV1180" s="4">
        <v>31</v>
      </c>
      <c r="BW1180" s="4">
        <v>26</v>
      </c>
      <c r="BX1180" s="4">
        <v>173</v>
      </c>
      <c r="BY1180" s="4">
        <v>0</v>
      </c>
      <c r="BZ1180" s="4">
        <v>0</v>
      </c>
      <c r="CA1180" s="4">
        <v>8</v>
      </c>
      <c r="CB1180" s="4">
        <v>1</v>
      </c>
      <c r="CC1180" s="4">
        <v>0</v>
      </c>
      <c r="CD1180" s="4">
        <v>4</v>
      </c>
      <c r="CE1180" s="4">
        <v>0</v>
      </c>
      <c r="CF1180" s="4">
        <v>2</v>
      </c>
      <c r="CG1180" s="4">
        <v>1</v>
      </c>
      <c r="CH1180" s="4">
        <v>2</v>
      </c>
      <c r="CI1180" s="4">
        <v>1</v>
      </c>
      <c r="CJ1180" s="4">
        <v>6</v>
      </c>
      <c r="CK1180" s="4">
        <v>2</v>
      </c>
      <c r="CL1180" s="4">
        <v>0</v>
      </c>
      <c r="CM1180" s="4">
        <v>7</v>
      </c>
      <c r="CN1180" s="4">
        <v>56</v>
      </c>
      <c r="CO1180" s="4">
        <v>7</v>
      </c>
      <c r="CP1180" s="4">
        <v>2</v>
      </c>
      <c r="CQ1180" s="4">
        <v>0</v>
      </c>
      <c r="CR1180" s="4">
        <v>10</v>
      </c>
      <c r="CS1180" s="4">
        <v>1</v>
      </c>
      <c r="CT1180" s="4">
        <v>20</v>
      </c>
      <c r="CU1180" s="4">
        <v>6</v>
      </c>
      <c r="CV1180" s="4">
        <v>70</v>
      </c>
      <c r="CW1180" s="4">
        <v>7</v>
      </c>
      <c r="CX1180" s="5">
        <v>7</v>
      </c>
    </row>
    <row r="1181" spans="1:102" ht="15.75" x14ac:dyDescent="0.25">
      <c r="A1181" s="4" t="s">
        <v>569</v>
      </c>
      <c r="B1181" s="4" t="s">
        <v>570</v>
      </c>
      <c r="C1181" s="4">
        <v>2022</v>
      </c>
      <c r="D1181" s="4">
        <v>87</v>
      </c>
      <c r="E1181" s="4">
        <v>4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1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3</v>
      </c>
      <c r="AK1181" s="4">
        <v>1</v>
      </c>
      <c r="AL1181" s="4">
        <v>0</v>
      </c>
      <c r="AM1181" s="4">
        <v>14</v>
      </c>
      <c r="AN1181" s="4">
        <v>0</v>
      </c>
      <c r="AO1181" s="4">
        <v>1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1</v>
      </c>
      <c r="AY1181" s="4">
        <v>2</v>
      </c>
      <c r="AZ1181" s="4">
        <v>0</v>
      </c>
      <c r="BA1181" s="4">
        <v>0</v>
      </c>
      <c r="BB1181" s="4">
        <v>3</v>
      </c>
      <c r="BC1181" s="4">
        <v>0</v>
      </c>
      <c r="BD1181" s="4">
        <v>0</v>
      </c>
      <c r="BE1181" s="4">
        <v>2</v>
      </c>
      <c r="BF1181" s="4">
        <v>1</v>
      </c>
      <c r="BG1181" s="4">
        <v>0</v>
      </c>
      <c r="BH1181" s="4">
        <v>0</v>
      </c>
      <c r="BI1181" s="4">
        <v>0</v>
      </c>
      <c r="BJ1181" s="4">
        <v>2</v>
      </c>
      <c r="BK1181" s="4">
        <v>2</v>
      </c>
      <c r="BL1181" s="4">
        <v>0</v>
      </c>
      <c r="BM1181" s="4">
        <v>0</v>
      </c>
      <c r="BN1181" s="4">
        <v>2</v>
      </c>
      <c r="BO1181" s="4">
        <v>0</v>
      </c>
      <c r="BP1181" s="4">
        <v>0</v>
      </c>
      <c r="BQ1181" s="4">
        <v>2</v>
      </c>
      <c r="BR1181" s="4">
        <v>0</v>
      </c>
      <c r="BS1181" s="4">
        <v>2</v>
      </c>
      <c r="BT1181" s="4">
        <v>0</v>
      </c>
      <c r="BU1181" s="4">
        <v>0</v>
      </c>
      <c r="BV1181" s="4">
        <v>4</v>
      </c>
      <c r="BW1181" s="4">
        <v>13</v>
      </c>
      <c r="BX1181" s="4">
        <v>2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1</v>
      </c>
      <c r="CK1181" s="4">
        <v>0</v>
      </c>
      <c r="CL1181" s="4">
        <v>0</v>
      </c>
      <c r="CM1181" s="4">
        <v>1</v>
      </c>
      <c r="CN1181" s="4">
        <v>14</v>
      </c>
      <c r="CO1181" s="4">
        <v>1</v>
      </c>
      <c r="CP1181" s="4">
        <v>0</v>
      </c>
      <c r="CQ1181" s="4">
        <v>0</v>
      </c>
      <c r="CR1181" s="4">
        <v>0</v>
      </c>
      <c r="CS1181" s="4">
        <v>0</v>
      </c>
      <c r="CT1181" s="4">
        <v>3</v>
      </c>
      <c r="CU1181" s="4">
        <v>0</v>
      </c>
      <c r="CV1181" s="4">
        <v>2</v>
      </c>
      <c r="CW1181" s="4">
        <v>0</v>
      </c>
      <c r="CX1181" s="5">
        <v>0</v>
      </c>
    </row>
    <row r="1182" spans="1:102" ht="15.75" x14ac:dyDescent="0.25">
      <c r="A1182" s="4" t="s">
        <v>571</v>
      </c>
      <c r="B1182" s="4" t="s">
        <v>572</v>
      </c>
      <c r="C1182" s="4">
        <v>2022</v>
      </c>
      <c r="D1182" s="4">
        <v>47</v>
      </c>
      <c r="E1182" s="4">
        <v>1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2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3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1</v>
      </c>
      <c r="BA1182" s="4">
        <v>0</v>
      </c>
      <c r="BB1182" s="4">
        <v>0</v>
      </c>
      <c r="BC1182" s="4">
        <v>0</v>
      </c>
      <c r="BD1182" s="4">
        <v>0</v>
      </c>
      <c r="BE1182" s="4">
        <v>1</v>
      </c>
      <c r="BF1182" s="4">
        <v>2</v>
      </c>
      <c r="BG1182" s="4">
        <v>0</v>
      </c>
      <c r="BH1182" s="4">
        <v>0</v>
      </c>
      <c r="BI1182" s="4">
        <v>0</v>
      </c>
      <c r="BJ1182" s="4">
        <v>0</v>
      </c>
      <c r="BK1182" s="4">
        <v>1</v>
      </c>
      <c r="BL1182" s="4">
        <v>0</v>
      </c>
      <c r="BM1182" s="4">
        <v>0</v>
      </c>
      <c r="BN1182" s="4">
        <v>2</v>
      </c>
      <c r="BO1182" s="4">
        <v>0</v>
      </c>
      <c r="BP1182" s="4">
        <v>0</v>
      </c>
      <c r="BQ1182" s="4">
        <v>2</v>
      </c>
      <c r="BR1182" s="4">
        <v>0</v>
      </c>
      <c r="BS1182" s="4">
        <v>1</v>
      </c>
      <c r="BT1182" s="4">
        <v>0</v>
      </c>
      <c r="BU1182" s="4">
        <v>0</v>
      </c>
      <c r="BV1182" s="4">
        <v>2</v>
      </c>
      <c r="BW1182" s="4">
        <v>12</v>
      </c>
      <c r="BX1182" s="4">
        <v>12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1</v>
      </c>
      <c r="CO1182" s="4">
        <v>0</v>
      </c>
      <c r="CP1182" s="4">
        <v>0</v>
      </c>
      <c r="CQ1182" s="4">
        <v>0</v>
      </c>
      <c r="CR1182" s="4">
        <v>0</v>
      </c>
      <c r="CS1182" s="4">
        <v>0</v>
      </c>
      <c r="CT1182" s="4">
        <v>0</v>
      </c>
      <c r="CU1182" s="4">
        <v>0</v>
      </c>
      <c r="CV1182" s="4">
        <v>1</v>
      </c>
      <c r="CW1182" s="4">
        <v>0</v>
      </c>
      <c r="CX1182" s="5">
        <v>0</v>
      </c>
    </row>
    <row r="1183" spans="1:102" ht="15.75" x14ac:dyDescent="0.25">
      <c r="A1183" s="4" t="s">
        <v>101</v>
      </c>
      <c r="B1183" s="4" t="s">
        <v>102</v>
      </c>
      <c r="C1183" s="4">
        <v>2023</v>
      </c>
      <c r="D1183" s="4">
        <v>10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4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1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3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0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5">
        <v>0</v>
      </c>
    </row>
    <row r="1184" spans="1:102" ht="15.75" x14ac:dyDescent="0.25">
      <c r="A1184" s="4" t="s">
        <v>103</v>
      </c>
      <c r="B1184" s="4" t="s">
        <v>104</v>
      </c>
      <c r="C1184" s="4">
        <v>2023</v>
      </c>
      <c r="D1184" s="4">
        <v>7377</v>
      </c>
      <c r="E1184" s="4">
        <v>8</v>
      </c>
      <c r="F1184" s="4">
        <v>2</v>
      </c>
      <c r="G1184" s="4">
        <v>39</v>
      </c>
      <c r="H1184" s="4">
        <v>7</v>
      </c>
      <c r="I1184" s="4">
        <v>89</v>
      </c>
      <c r="J1184" s="4">
        <v>31</v>
      </c>
      <c r="K1184" s="4">
        <v>11</v>
      </c>
      <c r="L1184" s="4">
        <v>110</v>
      </c>
      <c r="M1184" s="4">
        <v>10</v>
      </c>
      <c r="N1184" s="4">
        <v>58</v>
      </c>
      <c r="O1184" s="4">
        <v>248</v>
      </c>
      <c r="P1184" s="4">
        <v>0</v>
      </c>
      <c r="Q1184" s="4">
        <v>0</v>
      </c>
      <c r="R1184" s="4">
        <v>0</v>
      </c>
      <c r="S1184" s="4">
        <v>2</v>
      </c>
      <c r="T1184" s="4">
        <v>0</v>
      </c>
      <c r="U1184" s="4">
        <v>53</v>
      </c>
      <c r="V1184" s="4">
        <v>7</v>
      </c>
      <c r="W1184" s="4">
        <v>4</v>
      </c>
      <c r="X1184" s="4">
        <v>3</v>
      </c>
      <c r="Y1184" s="4">
        <v>0</v>
      </c>
      <c r="Z1184" s="4">
        <v>13</v>
      </c>
      <c r="AA1184" s="4">
        <v>5</v>
      </c>
      <c r="AB1184" s="4">
        <v>0</v>
      </c>
      <c r="AC1184" s="4">
        <v>0</v>
      </c>
      <c r="AD1184" s="4">
        <v>0</v>
      </c>
      <c r="AE1184" s="4">
        <v>1</v>
      </c>
      <c r="AF1184" s="4">
        <v>0</v>
      </c>
      <c r="AG1184" s="4">
        <v>14</v>
      </c>
      <c r="AH1184" s="4">
        <v>7</v>
      </c>
      <c r="AI1184" s="4">
        <v>48</v>
      </c>
      <c r="AJ1184" s="4">
        <v>272</v>
      </c>
      <c r="AK1184" s="4">
        <v>134</v>
      </c>
      <c r="AL1184" s="4">
        <v>1</v>
      </c>
      <c r="AM1184" s="4">
        <v>21</v>
      </c>
      <c r="AN1184" s="4">
        <v>32</v>
      </c>
      <c r="AO1184" s="4">
        <v>40</v>
      </c>
      <c r="AP1184" s="4">
        <v>6</v>
      </c>
      <c r="AQ1184" s="4">
        <v>41</v>
      </c>
      <c r="AR1184" s="4">
        <v>2</v>
      </c>
      <c r="AS1184" s="4">
        <v>18</v>
      </c>
      <c r="AT1184" s="4">
        <v>32</v>
      </c>
      <c r="AU1184" s="4">
        <v>41</v>
      </c>
      <c r="AV1184" s="4">
        <v>42</v>
      </c>
      <c r="AW1184" s="4">
        <v>58</v>
      </c>
      <c r="AX1184" s="4">
        <v>123</v>
      </c>
      <c r="AY1184" s="4">
        <v>4</v>
      </c>
      <c r="AZ1184" s="4">
        <v>67</v>
      </c>
      <c r="BA1184" s="4">
        <v>0</v>
      </c>
      <c r="BB1184" s="4">
        <v>1363</v>
      </c>
      <c r="BC1184" s="4">
        <v>91</v>
      </c>
      <c r="BD1184" s="4">
        <v>0</v>
      </c>
      <c r="BE1184" s="4">
        <v>46</v>
      </c>
      <c r="BF1184" s="4">
        <v>79</v>
      </c>
      <c r="BG1184" s="4">
        <v>7</v>
      </c>
      <c r="BH1184" s="4">
        <v>4</v>
      </c>
      <c r="BI1184" s="4">
        <v>1</v>
      </c>
      <c r="BJ1184" s="4">
        <v>199</v>
      </c>
      <c r="BK1184" s="4">
        <v>276</v>
      </c>
      <c r="BL1184" s="4">
        <v>0</v>
      </c>
      <c r="BM1184" s="4">
        <v>4</v>
      </c>
      <c r="BN1184" s="4">
        <v>133</v>
      </c>
      <c r="BO1184" s="4">
        <v>2</v>
      </c>
      <c r="BP1184" s="4">
        <v>14</v>
      </c>
      <c r="BQ1184" s="4">
        <v>418</v>
      </c>
      <c r="BR1184" s="4">
        <v>32</v>
      </c>
      <c r="BS1184" s="4">
        <v>210</v>
      </c>
      <c r="BT1184" s="4">
        <v>77</v>
      </c>
      <c r="BU1184" s="4">
        <v>2</v>
      </c>
      <c r="BV1184" s="4">
        <v>50</v>
      </c>
      <c r="BW1184" s="4">
        <v>20</v>
      </c>
      <c r="BX1184" s="4">
        <v>1019</v>
      </c>
      <c r="BY1184" s="4">
        <v>1</v>
      </c>
      <c r="BZ1184" s="4">
        <v>0</v>
      </c>
      <c r="CA1184" s="4">
        <v>83</v>
      </c>
      <c r="CB1184" s="4">
        <v>81</v>
      </c>
      <c r="CC1184" s="4">
        <v>1</v>
      </c>
      <c r="CD1184" s="4">
        <v>22</v>
      </c>
      <c r="CE1184" s="4">
        <v>0</v>
      </c>
      <c r="CF1184" s="4">
        <v>32</v>
      </c>
      <c r="CG1184" s="4">
        <v>46</v>
      </c>
      <c r="CH1184" s="4">
        <v>11</v>
      </c>
      <c r="CI1184" s="4">
        <v>17</v>
      </c>
      <c r="CJ1184" s="4">
        <v>103</v>
      </c>
      <c r="CK1184" s="4">
        <v>19</v>
      </c>
      <c r="CL1184" s="4">
        <v>0</v>
      </c>
      <c r="CM1184" s="4">
        <v>40</v>
      </c>
      <c r="CN1184" s="4">
        <v>204</v>
      </c>
      <c r="CO1184" s="4">
        <v>36</v>
      </c>
      <c r="CP1184" s="4">
        <v>6</v>
      </c>
      <c r="CQ1184" s="4">
        <v>0</v>
      </c>
      <c r="CR1184" s="4">
        <v>59</v>
      </c>
      <c r="CS1184" s="4">
        <v>193</v>
      </c>
      <c r="CT1184" s="4">
        <v>21</v>
      </c>
      <c r="CU1184" s="4">
        <v>9</v>
      </c>
      <c r="CV1184" s="4">
        <v>208</v>
      </c>
      <c r="CW1184" s="4">
        <v>427</v>
      </c>
      <c r="CX1184" s="5">
        <v>418</v>
      </c>
    </row>
    <row r="1185" spans="1:102" ht="15.75" x14ac:dyDescent="0.25">
      <c r="A1185" s="4" t="s">
        <v>105</v>
      </c>
      <c r="B1185" s="4" t="s">
        <v>106</v>
      </c>
      <c r="C1185" s="4">
        <v>2023</v>
      </c>
      <c r="D1185" s="4">
        <v>1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1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5">
        <v>0</v>
      </c>
    </row>
    <row r="1186" spans="1:102" ht="15.75" x14ac:dyDescent="0.25">
      <c r="A1186" s="4" t="s">
        <v>107</v>
      </c>
      <c r="B1186" s="4" t="s">
        <v>108</v>
      </c>
      <c r="C1186" s="4">
        <v>2023</v>
      </c>
      <c r="D1186" s="4">
        <v>25</v>
      </c>
      <c r="E1186" s="4">
        <v>0</v>
      </c>
      <c r="F1186" s="4">
        <v>0</v>
      </c>
      <c r="G1186" s="4">
        <v>1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1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2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1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1</v>
      </c>
      <c r="AU1186" s="4">
        <v>0</v>
      </c>
      <c r="AV1186" s="4">
        <v>0</v>
      </c>
      <c r="AW1186" s="4">
        <v>0</v>
      </c>
      <c r="AX1186" s="4">
        <v>5</v>
      </c>
      <c r="AY1186" s="4">
        <v>0</v>
      </c>
      <c r="AZ1186" s="4">
        <v>0</v>
      </c>
      <c r="BA1186" s="4">
        <v>0</v>
      </c>
      <c r="BB1186" s="4">
        <v>1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1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5</v>
      </c>
      <c r="CC1186" s="4">
        <v>0</v>
      </c>
      <c r="CD1186" s="4">
        <v>0</v>
      </c>
      <c r="CE1186" s="4">
        <v>0</v>
      </c>
      <c r="CF1186" s="4">
        <v>1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4">
        <v>0</v>
      </c>
      <c r="CV1186" s="4">
        <v>1</v>
      </c>
      <c r="CW1186" s="4">
        <v>1</v>
      </c>
      <c r="CX1186" s="5">
        <v>1</v>
      </c>
    </row>
    <row r="1187" spans="1:102" ht="15.75" x14ac:dyDescent="0.25">
      <c r="A1187" s="4" t="s">
        <v>109</v>
      </c>
      <c r="B1187" s="4" t="s">
        <v>110</v>
      </c>
      <c r="C1187" s="4">
        <v>2023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5">
        <v>0</v>
      </c>
    </row>
    <row r="1188" spans="1:102" ht="15.75" x14ac:dyDescent="0.25">
      <c r="A1188" s="4" t="s">
        <v>111</v>
      </c>
      <c r="B1188" s="4" t="s">
        <v>112</v>
      </c>
      <c r="C1188" s="4">
        <v>2023</v>
      </c>
      <c r="D1188" s="4">
        <v>45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1</v>
      </c>
      <c r="O1188" s="4">
        <v>3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1</v>
      </c>
      <c r="AJ1188" s="4">
        <v>1</v>
      </c>
      <c r="AK1188" s="4">
        <v>1</v>
      </c>
      <c r="AL1188" s="4">
        <v>0</v>
      </c>
      <c r="AM1188" s="4">
        <v>0</v>
      </c>
      <c r="AN1188" s="4">
        <v>0</v>
      </c>
      <c r="AO1188" s="4">
        <v>1</v>
      </c>
      <c r="AP1188" s="4">
        <v>1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1</v>
      </c>
      <c r="AY1188" s="4">
        <v>0</v>
      </c>
      <c r="AZ1188" s="4">
        <v>1</v>
      </c>
      <c r="BA1188" s="4">
        <v>0</v>
      </c>
      <c r="BB1188" s="4">
        <v>1</v>
      </c>
      <c r="BC1188" s="4">
        <v>0</v>
      </c>
      <c r="BD1188" s="4">
        <v>0</v>
      </c>
      <c r="BE1188" s="4">
        <v>5</v>
      </c>
      <c r="BF1188" s="4">
        <v>2</v>
      </c>
      <c r="BG1188" s="4">
        <v>0</v>
      </c>
      <c r="BH1188" s="4">
        <v>0</v>
      </c>
      <c r="BI1188" s="4">
        <v>0</v>
      </c>
      <c r="BJ1188" s="4">
        <v>1</v>
      </c>
      <c r="BK1188" s="4">
        <v>2</v>
      </c>
      <c r="BL1188" s="4">
        <v>0</v>
      </c>
      <c r="BM1188" s="4">
        <v>0</v>
      </c>
      <c r="BN1188" s="4">
        <v>3</v>
      </c>
      <c r="BO1188" s="4">
        <v>0</v>
      </c>
      <c r="BP1188" s="4">
        <v>0</v>
      </c>
      <c r="BQ1188" s="4">
        <v>2</v>
      </c>
      <c r="BR1188" s="4">
        <v>0</v>
      </c>
      <c r="BS1188" s="4">
        <v>2</v>
      </c>
      <c r="BT1188" s="4">
        <v>1</v>
      </c>
      <c r="BU1188" s="4">
        <v>0</v>
      </c>
      <c r="BV1188" s="4">
        <v>1</v>
      </c>
      <c r="BW1188" s="4">
        <v>1</v>
      </c>
      <c r="BX1188" s="4">
        <v>1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1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2</v>
      </c>
      <c r="CN1188" s="4">
        <v>6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4">
        <v>1</v>
      </c>
      <c r="CW1188" s="4">
        <v>0</v>
      </c>
      <c r="CX1188" s="5">
        <v>0</v>
      </c>
    </row>
    <row r="1189" spans="1:102" ht="15.75" x14ac:dyDescent="0.25">
      <c r="A1189" s="4" t="s">
        <v>113</v>
      </c>
      <c r="B1189" s="4" t="s">
        <v>114</v>
      </c>
      <c r="C1189" s="4">
        <v>2023</v>
      </c>
      <c r="D1189" s="4">
        <v>52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8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1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1</v>
      </c>
      <c r="AK1189" s="4">
        <v>2</v>
      </c>
      <c r="AL1189" s="4">
        <v>0</v>
      </c>
      <c r="AM1189" s="4">
        <v>0</v>
      </c>
      <c r="AN1189" s="4">
        <v>0</v>
      </c>
      <c r="AO1189" s="4">
        <v>2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1</v>
      </c>
      <c r="BC1189" s="4">
        <v>0</v>
      </c>
      <c r="BD1189" s="4">
        <v>0</v>
      </c>
      <c r="BE1189" s="4">
        <v>0</v>
      </c>
      <c r="BF1189" s="4">
        <v>6</v>
      </c>
      <c r="BG1189" s="4">
        <v>0</v>
      </c>
      <c r="BH1189" s="4">
        <v>0</v>
      </c>
      <c r="BI1189" s="4">
        <v>0</v>
      </c>
      <c r="BJ1189" s="4">
        <v>1</v>
      </c>
      <c r="BK1189" s="4">
        <v>0</v>
      </c>
      <c r="BL1189" s="4">
        <v>0</v>
      </c>
      <c r="BM1189" s="4">
        <v>0</v>
      </c>
      <c r="BN1189" s="4">
        <v>1</v>
      </c>
      <c r="BO1189" s="4">
        <v>0</v>
      </c>
      <c r="BP1189" s="4">
        <v>1</v>
      </c>
      <c r="BQ1189" s="4">
        <v>3</v>
      </c>
      <c r="BR1189" s="4">
        <v>0</v>
      </c>
      <c r="BS1189" s="4">
        <v>1</v>
      </c>
      <c r="BT1189" s="4">
        <v>2</v>
      </c>
      <c r="BU1189" s="4">
        <v>0</v>
      </c>
      <c r="BV1189" s="4">
        <v>3</v>
      </c>
      <c r="BW1189" s="4">
        <v>0</v>
      </c>
      <c r="BX1189" s="4">
        <v>8</v>
      </c>
      <c r="BY1189" s="4">
        <v>0</v>
      </c>
      <c r="BZ1189" s="4">
        <v>0</v>
      </c>
      <c r="CA1189" s="4">
        <v>1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1</v>
      </c>
      <c r="CK1189" s="4">
        <v>0</v>
      </c>
      <c r="CL1189" s="4">
        <v>0</v>
      </c>
      <c r="CM1189" s="4">
        <v>0</v>
      </c>
      <c r="CN1189" s="4">
        <v>2</v>
      </c>
      <c r="CO1189" s="4">
        <v>0</v>
      </c>
      <c r="CP1189" s="4">
        <v>0</v>
      </c>
      <c r="CQ1189" s="4">
        <v>0</v>
      </c>
      <c r="CR1189" s="4">
        <v>1</v>
      </c>
      <c r="CS1189" s="4">
        <v>0</v>
      </c>
      <c r="CT1189" s="4">
        <v>0</v>
      </c>
      <c r="CU1189" s="4">
        <v>0</v>
      </c>
      <c r="CV1189" s="4">
        <v>2</v>
      </c>
      <c r="CW1189" s="4">
        <v>0</v>
      </c>
      <c r="CX1189" s="5">
        <v>0</v>
      </c>
    </row>
    <row r="1190" spans="1:102" ht="15.75" x14ac:dyDescent="0.25">
      <c r="A1190" s="4" t="s">
        <v>115</v>
      </c>
      <c r="B1190" s="4" t="s">
        <v>116</v>
      </c>
      <c r="C1190" s="4">
        <v>2023</v>
      </c>
      <c r="D1190" s="4">
        <v>319</v>
      </c>
      <c r="E1190" s="4">
        <v>0</v>
      </c>
      <c r="F1190" s="4">
        <v>2</v>
      </c>
      <c r="G1190" s="4">
        <v>2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6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2</v>
      </c>
      <c r="AH1190" s="4">
        <v>2</v>
      </c>
      <c r="AI1190" s="4">
        <v>4</v>
      </c>
      <c r="AJ1190" s="4">
        <v>0</v>
      </c>
      <c r="AK1190" s="4">
        <v>1</v>
      </c>
      <c r="AL1190" s="4">
        <v>0</v>
      </c>
      <c r="AM1190" s="4">
        <v>2</v>
      </c>
      <c r="AN1190" s="4">
        <v>3</v>
      </c>
      <c r="AO1190" s="4">
        <v>10</v>
      </c>
      <c r="AP1190" s="4">
        <v>0</v>
      </c>
      <c r="AQ1190" s="4">
        <v>7</v>
      </c>
      <c r="AR1190" s="4">
        <v>0</v>
      </c>
      <c r="AS1190" s="4">
        <v>0</v>
      </c>
      <c r="AT1190" s="4">
        <v>1</v>
      </c>
      <c r="AU1190" s="4">
        <v>1</v>
      </c>
      <c r="AV1190" s="4">
        <v>17</v>
      </c>
      <c r="AW1190" s="4">
        <v>1</v>
      </c>
      <c r="AX1190" s="4">
        <v>22</v>
      </c>
      <c r="AY1190" s="4">
        <v>0</v>
      </c>
      <c r="AZ1190" s="4">
        <v>1</v>
      </c>
      <c r="BA1190" s="4">
        <v>0</v>
      </c>
      <c r="BB1190" s="4">
        <v>17</v>
      </c>
      <c r="BC1190" s="4">
        <v>6</v>
      </c>
      <c r="BD1190" s="4">
        <v>0</v>
      </c>
      <c r="BE1190" s="4">
        <v>7</v>
      </c>
      <c r="BF1190" s="4">
        <v>15</v>
      </c>
      <c r="BG1190" s="4">
        <v>2</v>
      </c>
      <c r="BH1190" s="4">
        <v>1</v>
      </c>
      <c r="BI1190" s="4">
        <v>0</v>
      </c>
      <c r="BJ1190" s="4">
        <v>85</v>
      </c>
      <c r="BK1190" s="4">
        <v>20</v>
      </c>
      <c r="BL1190" s="4">
        <v>0</v>
      </c>
      <c r="BM1190" s="4">
        <v>0</v>
      </c>
      <c r="BN1190" s="4">
        <v>3</v>
      </c>
      <c r="BO1190" s="4">
        <v>0</v>
      </c>
      <c r="BP1190" s="4">
        <v>1</v>
      </c>
      <c r="BQ1190" s="4">
        <v>11</v>
      </c>
      <c r="BR1190" s="4">
        <v>0</v>
      </c>
      <c r="BS1190" s="4">
        <v>11</v>
      </c>
      <c r="BT1190" s="4">
        <v>3</v>
      </c>
      <c r="BU1190" s="4">
        <v>0</v>
      </c>
      <c r="BV1190" s="4">
        <v>1</v>
      </c>
      <c r="BW1190" s="4">
        <v>5</v>
      </c>
      <c r="BX1190" s="4">
        <v>1</v>
      </c>
      <c r="BY1190" s="4">
        <v>0</v>
      </c>
      <c r="BZ1190" s="4">
        <v>0</v>
      </c>
      <c r="CA1190" s="4">
        <v>1</v>
      </c>
      <c r="CB1190" s="4">
        <v>0</v>
      </c>
      <c r="CC1190" s="4">
        <v>0</v>
      </c>
      <c r="CD1190" s="4">
        <v>3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2</v>
      </c>
      <c r="CK1190" s="4">
        <v>0</v>
      </c>
      <c r="CL1190" s="4">
        <v>0</v>
      </c>
      <c r="CM1190" s="4">
        <v>4</v>
      </c>
      <c r="CN1190" s="4">
        <v>20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1</v>
      </c>
      <c r="CU1190" s="4">
        <v>0</v>
      </c>
      <c r="CV1190" s="4">
        <v>4</v>
      </c>
      <c r="CW1190" s="4">
        <v>4</v>
      </c>
      <c r="CX1190" s="5">
        <v>4</v>
      </c>
    </row>
    <row r="1191" spans="1:102" ht="15.75" x14ac:dyDescent="0.25">
      <c r="A1191" s="4" t="s">
        <v>117</v>
      </c>
      <c r="B1191" s="4" t="s">
        <v>118</v>
      </c>
      <c r="C1191" s="4">
        <v>2023</v>
      </c>
      <c r="D1191" s="4">
        <v>11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1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9</v>
      </c>
      <c r="CO1191" s="4">
        <v>0</v>
      </c>
      <c r="CP1191" s="4">
        <v>0</v>
      </c>
      <c r="CQ1191" s="4">
        <v>0</v>
      </c>
      <c r="CR1191" s="4">
        <v>0</v>
      </c>
      <c r="CS1191" s="4">
        <v>0</v>
      </c>
      <c r="CT1191" s="4">
        <v>0</v>
      </c>
      <c r="CU1191" s="4">
        <v>0</v>
      </c>
      <c r="CV1191" s="4">
        <v>1</v>
      </c>
      <c r="CW1191" s="4">
        <v>0</v>
      </c>
      <c r="CX1191" s="5">
        <v>0</v>
      </c>
    </row>
    <row r="1192" spans="1:102" ht="15.75" x14ac:dyDescent="0.25">
      <c r="A1192" s="4" t="s">
        <v>119</v>
      </c>
      <c r="B1192" s="4" t="s">
        <v>120</v>
      </c>
      <c r="C1192" s="4">
        <v>2023</v>
      </c>
      <c r="D1192" s="4">
        <v>404</v>
      </c>
      <c r="E1192" s="4">
        <v>0</v>
      </c>
      <c r="F1192" s="4">
        <v>0</v>
      </c>
      <c r="G1192" s="4">
        <v>0</v>
      </c>
      <c r="H1192" s="4">
        <v>0</v>
      </c>
      <c r="I1192" s="4">
        <v>1</v>
      </c>
      <c r="J1192" s="4">
        <v>0</v>
      </c>
      <c r="K1192" s="4">
        <v>0</v>
      </c>
      <c r="L1192" s="4">
        <v>4</v>
      </c>
      <c r="M1192" s="4">
        <v>2</v>
      </c>
      <c r="N1192" s="4">
        <v>2</v>
      </c>
      <c r="O1192" s="4">
        <v>17</v>
      </c>
      <c r="P1192" s="4">
        <v>0</v>
      </c>
      <c r="Q1192" s="4">
        <v>0</v>
      </c>
      <c r="R1192" s="4">
        <v>1</v>
      </c>
      <c r="S1192" s="4">
        <v>0</v>
      </c>
      <c r="T1192" s="4">
        <v>0</v>
      </c>
      <c r="U1192" s="4">
        <v>0</v>
      </c>
      <c r="V1192" s="4">
        <v>3</v>
      </c>
      <c r="W1192" s="4">
        <v>0</v>
      </c>
      <c r="X1192" s="4">
        <v>0</v>
      </c>
      <c r="Y1192" s="4">
        <v>0</v>
      </c>
      <c r="Z1192" s="4">
        <v>0</v>
      </c>
      <c r="AA1192" s="4">
        <v>16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16</v>
      </c>
      <c r="AH1192" s="4">
        <v>2</v>
      </c>
      <c r="AI1192" s="4">
        <v>3</v>
      </c>
      <c r="AJ1192" s="4">
        <v>47</v>
      </c>
      <c r="AK1192" s="4">
        <v>14</v>
      </c>
      <c r="AL1192" s="4">
        <v>1</v>
      </c>
      <c r="AM1192" s="4">
        <v>6</v>
      </c>
      <c r="AN1192" s="4">
        <v>3</v>
      </c>
      <c r="AO1192" s="4">
        <v>17</v>
      </c>
      <c r="AP1192" s="4">
        <v>0</v>
      </c>
      <c r="AQ1192" s="4">
        <v>2</v>
      </c>
      <c r="AR1192" s="4">
        <v>0</v>
      </c>
      <c r="AS1192" s="4">
        <v>1</v>
      </c>
      <c r="AT1192" s="4">
        <v>1</v>
      </c>
      <c r="AU1192" s="4">
        <v>2</v>
      </c>
      <c r="AV1192" s="4">
        <v>1</v>
      </c>
      <c r="AW1192" s="4">
        <v>36</v>
      </c>
      <c r="AX1192" s="4">
        <v>5</v>
      </c>
      <c r="AY1192" s="4">
        <v>0</v>
      </c>
      <c r="AZ1192" s="4">
        <v>4</v>
      </c>
      <c r="BA1192" s="4">
        <v>0</v>
      </c>
      <c r="BB1192" s="4">
        <v>100</v>
      </c>
      <c r="BC1192" s="4">
        <v>3</v>
      </c>
      <c r="BD1192" s="4">
        <v>1</v>
      </c>
      <c r="BE1192" s="4">
        <v>6</v>
      </c>
      <c r="BF1192" s="4">
        <v>7</v>
      </c>
      <c r="BG1192" s="4">
        <v>0</v>
      </c>
      <c r="BH1192" s="4">
        <v>0</v>
      </c>
      <c r="BI1192" s="4">
        <v>0</v>
      </c>
      <c r="BJ1192" s="4">
        <v>8</v>
      </c>
      <c r="BK1192" s="4">
        <v>17</v>
      </c>
      <c r="BL1192" s="4">
        <v>0</v>
      </c>
      <c r="BM1192" s="4">
        <v>0</v>
      </c>
      <c r="BN1192" s="4">
        <v>1</v>
      </c>
      <c r="BO1192" s="4">
        <v>0</v>
      </c>
      <c r="BP1192" s="4">
        <v>0</v>
      </c>
      <c r="BQ1192" s="4">
        <v>2</v>
      </c>
      <c r="BR1192" s="4">
        <v>1</v>
      </c>
      <c r="BS1192" s="4">
        <v>8</v>
      </c>
      <c r="BT1192" s="4">
        <v>4</v>
      </c>
      <c r="BU1192" s="4">
        <v>0</v>
      </c>
      <c r="BV1192" s="4">
        <v>6</v>
      </c>
      <c r="BW1192" s="4">
        <v>1</v>
      </c>
      <c r="BX1192" s="4">
        <v>1</v>
      </c>
      <c r="BY1192" s="4">
        <v>0</v>
      </c>
      <c r="BZ1192" s="4">
        <v>0</v>
      </c>
      <c r="CA1192" s="4">
        <v>2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1</v>
      </c>
      <c r="CN1192" s="4">
        <v>15</v>
      </c>
      <c r="CO1192" s="4">
        <v>0</v>
      </c>
      <c r="CP1192" s="4">
        <v>0</v>
      </c>
      <c r="CQ1192" s="4">
        <v>0</v>
      </c>
      <c r="CR1192" s="4">
        <v>1</v>
      </c>
      <c r="CS1192" s="4">
        <v>0</v>
      </c>
      <c r="CT1192" s="4">
        <v>3</v>
      </c>
      <c r="CU1192" s="4">
        <v>0</v>
      </c>
      <c r="CV1192" s="4">
        <v>7</v>
      </c>
      <c r="CW1192" s="4">
        <v>1</v>
      </c>
      <c r="CX1192" s="5">
        <v>1</v>
      </c>
    </row>
    <row r="1193" spans="1:102" ht="15.75" x14ac:dyDescent="0.25">
      <c r="A1193" s="4" t="s">
        <v>121</v>
      </c>
      <c r="B1193" s="4" t="s">
        <v>122</v>
      </c>
      <c r="C1193" s="4">
        <v>2023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4">
        <v>0</v>
      </c>
      <c r="CV1193" s="4">
        <v>0</v>
      </c>
      <c r="CW1193" s="4">
        <v>0</v>
      </c>
      <c r="CX1193" s="5">
        <v>0</v>
      </c>
    </row>
    <row r="1194" spans="1:102" ht="15.75" x14ac:dyDescent="0.25">
      <c r="A1194" s="4" t="s">
        <v>123</v>
      </c>
      <c r="B1194" s="4" t="s">
        <v>124</v>
      </c>
      <c r="C1194" s="4">
        <v>2023</v>
      </c>
      <c r="D1194" s="4">
        <v>1722</v>
      </c>
      <c r="E1194" s="4">
        <v>0</v>
      </c>
      <c r="F1194" s="4">
        <v>4</v>
      </c>
      <c r="G1194" s="4">
        <v>5</v>
      </c>
      <c r="H1194" s="4">
        <v>1</v>
      </c>
      <c r="I1194" s="4">
        <v>4</v>
      </c>
      <c r="J1194" s="4">
        <v>1</v>
      </c>
      <c r="K1194" s="4">
        <v>2</v>
      </c>
      <c r="L1194" s="4">
        <v>5</v>
      </c>
      <c r="M1194" s="4">
        <v>1</v>
      </c>
      <c r="N1194" s="4">
        <v>7</v>
      </c>
      <c r="O1194" s="4">
        <v>36</v>
      </c>
      <c r="P1194" s="4">
        <v>0</v>
      </c>
      <c r="Q1194" s="4">
        <v>0</v>
      </c>
      <c r="R1194" s="4">
        <v>0</v>
      </c>
      <c r="S1194" s="4">
        <v>0</v>
      </c>
      <c r="T1194" s="4">
        <v>2</v>
      </c>
      <c r="U1194" s="4">
        <v>0</v>
      </c>
      <c r="V1194" s="4">
        <v>1</v>
      </c>
      <c r="W1194" s="4">
        <v>12</v>
      </c>
      <c r="X1194" s="4">
        <v>1</v>
      </c>
      <c r="Y1194" s="4">
        <v>0</v>
      </c>
      <c r="Z1194" s="4">
        <v>0</v>
      </c>
      <c r="AA1194" s="4">
        <v>2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10</v>
      </c>
      <c r="AH1194" s="4">
        <v>5</v>
      </c>
      <c r="AI1194" s="4">
        <v>15</v>
      </c>
      <c r="AJ1194" s="4">
        <v>89</v>
      </c>
      <c r="AK1194" s="4">
        <v>8</v>
      </c>
      <c r="AL1194" s="4">
        <v>1</v>
      </c>
      <c r="AM1194" s="4">
        <v>31</v>
      </c>
      <c r="AN1194" s="4">
        <v>22</v>
      </c>
      <c r="AO1194" s="4">
        <v>18</v>
      </c>
      <c r="AP1194" s="4">
        <v>0</v>
      </c>
      <c r="AQ1194" s="4">
        <v>8</v>
      </c>
      <c r="AR1194" s="4">
        <v>2</v>
      </c>
      <c r="AS1194" s="4">
        <v>5</v>
      </c>
      <c r="AT1194" s="4">
        <v>14</v>
      </c>
      <c r="AU1194" s="4">
        <v>28</v>
      </c>
      <c r="AV1194" s="4">
        <v>19</v>
      </c>
      <c r="AW1194" s="4">
        <v>67</v>
      </c>
      <c r="AX1194" s="4">
        <v>68</v>
      </c>
      <c r="AY1194" s="4">
        <v>0</v>
      </c>
      <c r="AZ1194" s="4">
        <v>7</v>
      </c>
      <c r="BA1194" s="4">
        <v>0</v>
      </c>
      <c r="BB1194" s="4">
        <v>105</v>
      </c>
      <c r="BC1194" s="4">
        <v>26</v>
      </c>
      <c r="BD1194" s="4">
        <v>0</v>
      </c>
      <c r="BE1194" s="4">
        <v>21</v>
      </c>
      <c r="BF1194" s="4">
        <v>125</v>
      </c>
      <c r="BG1194" s="4">
        <v>3</v>
      </c>
      <c r="BH1194" s="4">
        <v>2</v>
      </c>
      <c r="BI1194" s="4">
        <v>0</v>
      </c>
      <c r="BJ1194" s="4">
        <v>43</v>
      </c>
      <c r="BK1194" s="4">
        <v>48</v>
      </c>
      <c r="BL1194" s="4">
        <v>0</v>
      </c>
      <c r="BM1194" s="4">
        <v>4</v>
      </c>
      <c r="BN1194" s="4">
        <v>15</v>
      </c>
      <c r="BO1194" s="4">
        <v>0</v>
      </c>
      <c r="BP1194" s="4">
        <v>13</v>
      </c>
      <c r="BQ1194" s="4">
        <v>25</v>
      </c>
      <c r="BR1194" s="4">
        <v>2</v>
      </c>
      <c r="BS1194" s="4">
        <v>51</v>
      </c>
      <c r="BT1194" s="4">
        <v>39</v>
      </c>
      <c r="BU1194" s="4">
        <v>1</v>
      </c>
      <c r="BV1194" s="4">
        <v>59</v>
      </c>
      <c r="BW1194" s="4">
        <v>23</v>
      </c>
      <c r="BX1194" s="4">
        <v>296</v>
      </c>
      <c r="BY1194" s="4">
        <v>3</v>
      </c>
      <c r="BZ1194" s="4">
        <v>2</v>
      </c>
      <c r="CA1194" s="4">
        <v>46</v>
      </c>
      <c r="CB1194" s="4">
        <v>1</v>
      </c>
      <c r="CC1194" s="4">
        <v>0</v>
      </c>
      <c r="CD1194" s="4">
        <v>59</v>
      </c>
      <c r="CE1194" s="4">
        <v>0</v>
      </c>
      <c r="CF1194" s="4">
        <v>2</v>
      </c>
      <c r="CG1194" s="4">
        <v>3</v>
      </c>
      <c r="CH1194" s="4">
        <v>1</v>
      </c>
      <c r="CI1194" s="4">
        <v>2</v>
      </c>
      <c r="CJ1194" s="4">
        <v>11</v>
      </c>
      <c r="CK1194" s="4">
        <v>6</v>
      </c>
      <c r="CL1194" s="4">
        <v>2</v>
      </c>
      <c r="CM1194" s="4">
        <v>7</v>
      </c>
      <c r="CN1194" s="4">
        <v>79</v>
      </c>
      <c r="CO1194" s="4">
        <v>1</v>
      </c>
      <c r="CP1194" s="4">
        <v>2</v>
      </c>
      <c r="CQ1194" s="4">
        <v>0</v>
      </c>
      <c r="CR1194" s="4">
        <v>40</v>
      </c>
      <c r="CS1194" s="4">
        <v>2</v>
      </c>
      <c r="CT1194" s="4">
        <v>9</v>
      </c>
      <c r="CU1194" s="4">
        <v>5</v>
      </c>
      <c r="CV1194" s="4">
        <v>20</v>
      </c>
      <c r="CW1194" s="4">
        <v>14</v>
      </c>
      <c r="CX1194" s="5">
        <v>14</v>
      </c>
    </row>
    <row r="1195" spans="1:102" ht="15.75" x14ac:dyDescent="0.25">
      <c r="A1195" s="4" t="s">
        <v>125</v>
      </c>
      <c r="B1195" s="4" t="s">
        <v>126</v>
      </c>
      <c r="C1195" s="4">
        <v>2023</v>
      </c>
      <c r="D1195" s="4">
        <v>5150</v>
      </c>
      <c r="E1195" s="4">
        <v>43</v>
      </c>
      <c r="F1195" s="4">
        <v>3</v>
      </c>
      <c r="G1195" s="4">
        <v>27</v>
      </c>
      <c r="H1195" s="4">
        <v>7</v>
      </c>
      <c r="I1195" s="4">
        <v>100</v>
      </c>
      <c r="J1195" s="4">
        <v>19</v>
      </c>
      <c r="K1195" s="4">
        <v>18</v>
      </c>
      <c r="L1195" s="4">
        <v>62</v>
      </c>
      <c r="M1195" s="4">
        <v>9</v>
      </c>
      <c r="N1195" s="4">
        <v>64</v>
      </c>
      <c r="O1195" s="4">
        <v>183</v>
      </c>
      <c r="P1195" s="4">
        <v>0</v>
      </c>
      <c r="Q1195" s="4">
        <v>0</v>
      </c>
      <c r="R1195" s="4">
        <v>3</v>
      </c>
      <c r="S1195" s="4">
        <v>1</v>
      </c>
      <c r="T1195" s="4">
        <v>0</v>
      </c>
      <c r="U1195" s="4">
        <v>1</v>
      </c>
      <c r="V1195" s="4">
        <v>4</v>
      </c>
      <c r="W1195" s="4">
        <v>9</v>
      </c>
      <c r="X1195" s="4">
        <v>6</v>
      </c>
      <c r="Y1195" s="4">
        <v>0</v>
      </c>
      <c r="Z1195" s="4">
        <v>0</v>
      </c>
      <c r="AA1195" s="4">
        <v>4</v>
      </c>
      <c r="AB1195" s="4">
        <v>0</v>
      </c>
      <c r="AC1195" s="4">
        <v>0</v>
      </c>
      <c r="AD1195" s="4">
        <v>0</v>
      </c>
      <c r="AE1195" s="4">
        <v>4</v>
      </c>
      <c r="AF1195" s="4">
        <v>0</v>
      </c>
      <c r="AG1195" s="4">
        <v>18</v>
      </c>
      <c r="AH1195" s="4">
        <v>5</v>
      </c>
      <c r="AI1195" s="4">
        <v>28</v>
      </c>
      <c r="AJ1195" s="4">
        <v>401</v>
      </c>
      <c r="AK1195" s="4">
        <v>107</v>
      </c>
      <c r="AL1195" s="4">
        <v>2</v>
      </c>
      <c r="AM1195" s="4">
        <v>16</v>
      </c>
      <c r="AN1195" s="4">
        <v>42</v>
      </c>
      <c r="AO1195" s="4">
        <v>63</v>
      </c>
      <c r="AP1195" s="4">
        <v>3</v>
      </c>
      <c r="AQ1195" s="4">
        <v>19</v>
      </c>
      <c r="AR1195" s="4">
        <v>11</v>
      </c>
      <c r="AS1195" s="4">
        <v>22</v>
      </c>
      <c r="AT1195" s="4">
        <v>29</v>
      </c>
      <c r="AU1195" s="4">
        <v>30</v>
      </c>
      <c r="AV1195" s="4">
        <v>24</v>
      </c>
      <c r="AW1195" s="4">
        <v>43</v>
      </c>
      <c r="AX1195" s="4">
        <v>117</v>
      </c>
      <c r="AY1195" s="4">
        <v>2</v>
      </c>
      <c r="AZ1195" s="4">
        <v>36</v>
      </c>
      <c r="BA1195" s="4">
        <v>0</v>
      </c>
      <c r="BB1195" s="4">
        <v>116</v>
      </c>
      <c r="BC1195" s="4">
        <v>21</v>
      </c>
      <c r="BD1195" s="4">
        <v>4</v>
      </c>
      <c r="BE1195" s="4">
        <v>50</v>
      </c>
      <c r="BF1195" s="4">
        <v>335</v>
      </c>
      <c r="BG1195" s="4">
        <v>4</v>
      </c>
      <c r="BH1195" s="4">
        <v>10</v>
      </c>
      <c r="BI1195" s="4">
        <v>0</v>
      </c>
      <c r="BJ1195" s="4">
        <v>136</v>
      </c>
      <c r="BK1195" s="4">
        <v>296</v>
      </c>
      <c r="BL1195" s="4">
        <v>0</v>
      </c>
      <c r="BM1195" s="4">
        <v>4</v>
      </c>
      <c r="BN1195" s="4">
        <v>32</v>
      </c>
      <c r="BO1195" s="4">
        <v>1</v>
      </c>
      <c r="BP1195" s="4">
        <v>14</v>
      </c>
      <c r="BQ1195" s="4">
        <v>74</v>
      </c>
      <c r="BR1195" s="4">
        <v>10</v>
      </c>
      <c r="BS1195" s="4">
        <v>116</v>
      </c>
      <c r="BT1195" s="4">
        <v>79</v>
      </c>
      <c r="BU1195" s="4">
        <v>5</v>
      </c>
      <c r="BV1195" s="4">
        <v>127</v>
      </c>
      <c r="BW1195" s="4">
        <v>234</v>
      </c>
      <c r="BX1195" s="4">
        <v>926</v>
      </c>
      <c r="BY1195" s="4">
        <v>7</v>
      </c>
      <c r="BZ1195" s="4">
        <v>2</v>
      </c>
      <c r="CA1195" s="4">
        <v>49</v>
      </c>
      <c r="CB1195" s="4">
        <v>27</v>
      </c>
      <c r="CC1195" s="4">
        <v>0</v>
      </c>
      <c r="CD1195" s="4">
        <v>17</v>
      </c>
      <c r="CE1195" s="4">
        <v>2</v>
      </c>
      <c r="CF1195" s="4">
        <v>12</v>
      </c>
      <c r="CG1195" s="4">
        <v>15</v>
      </c>
      <c r="CH1195" s="4">
        <v>6</v>
      </c>
      <c r="CI1195" s="4">
        <v>8</v>
      </c>
      <c r="CJ1195" s="4">
        <v>92</v>
      </c>
      <c r="CK1195" s="4">
        <v>9</v>
      </c>
      <c r="CL1195" s="4">
        <v>0</v>
      </c>
      <c r="CM1195" s="4">
        <v>22</v>
      </c>
      <c r="CN1195" s="4">
        <v>194</v>
      </c>
      <c r="CO1195" s="4">
        <v>17</v>
      </c>
      <c r="CP1195" s="4">
        <v>6</v>
      </c>
      <c r="CQ1195" s="4">
        <v>0</v>
      </c>
      <c r="CR1195" s="4">
        <v>36</v>
      </c>
      <c r="CS1195" s="4">
        <v>9</v>
      </c>
      <c r="CT1195" s="4">
        <v>35</v>
      </c>
      <c r="CU1195" s="4">
        <v>32</v>
      </c>
      <c r="CV1195" s="4">
        <v>323</v>
      </c>
      <c r="CW1195" s="4">
        <v>47</v>
      </c>
      <c r="CX1195" s="5">
        <v>47</v>
      </c>
    </row>
    <row r="1196" spans="1:102" ht="15.75" x14ac:dyDescent="0.25">
      <c r="A1196" s="4" t="s">
        <v>127</v>
      </c>
      <c r="B1196" s="4" t="s">
        <v>128</v>
      </c>
      <c r="C1196" s="4">
        <v>2023</v>
      </c>
      <c r="D1196" s="4">
        <v>8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4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1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1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4">
        <v>0</v>
      </c>
      <c r="CW1196" s="4">
        <v>0</v>
      </c>
      <c r="CX1196" s="5">
        <v>0</v>
      </c>
    </row>
    <row r="1197" spans="1:102" ht="15.75" x14ac:dyDescent="0.25">
      <c r="A1197" s="4" t="s">
        <v>129</v>
      </c>
      <c r="B1197" s="4" t="s">
        <v>130</v>
      </c>
      <c r="C1197" s="4">
        <v>2023</v>
      </c>
      <c r="D1197" s="4">
        <v>510</v>
      </c>
      <c r="E1197" s="4">
        <v>0</v>
      </c>
      <c r="F1197" s="4">
        <v>0</v>
      </c>
      <c r="G1197" s="4">
        <v>1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26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1</v>
      </c>
      <c r="AH1197" s="4">
        <v>1</v>
      </c>
      <c r="AI1197" s="4">
        <v>1</v>
      </c>
      <c r="AJ1197" s="4">
        <v>0</v>
      </c>
      <c r="AK1197" s="4">
        <v>1</v>
      </c>
      <c r="AL1197" s="4">
        <v>0</v>
      </c>
      <c r="AM1197" s="4">
        <v>1</v>
      </c>
      <c r="AN1197" s="4">
        <v>1</v>
      </c>
      <c r="AO1197" s="4">
        <v>5</v>
      </c>
      <c r="AP1197" s="4">
        <v>0</v>
      </c>
      <c r="AQ1197" s="4">
        <v>5</v>
      </c>
      <c r="AR1197" s="4">
        <v>0</v>
      </c>
      <c r="AS1197" s="4">
        <v>0</v>
      </c>
      <c r="AT1197" s="4">
        <v>1</v>
      </c>
      <c r="AU1197" s="4">
        <v>1</v>
      </c>
      <c r="AV1197" s="4">
        <v>13</v>
      </c>
      <c r="AW1197" s="4">
        <v>1</v>
      </c>
      <c r="AX1197" s="4">
        <v>12</v>
      </c>
      <c r="AY1197" s="4">
        <v>0</v>
      </c>
      <c r="AZ1197" s="4">
        <v>0</v>
      </c>
      <c r="BA1197" s="4">
        <v>0</v>
      </c>
      <c r="BB1197" s="4">
        <v>58</v>
      </c>
      <c r="BC1197" s="4">
        <v>1</v>
      </c>
      <c r="BD1197" s="4">
        <v>0</v>
      </c>
      <c r="BE1197" s="4">
        <v>4</v>
      </c>
      <c r="BF1197" s="4">
        <v>3</v>
      </c>
      <c r="BG1197" s="4">
        <v>0</v>
      </c>
      <c r="BH1197" s="4">
        <v>0</v>
      </c>
      <c r="BI1197" s="4">
        <v>0</v>
      </c>
      <c r="BJ1197" s="4">
        <v>25</v>
      </c>
      <c r="BK1197" s="4">
        <v>12</v>
      </c>
      <c r="BL1197" s="4">
        <v>0</v>
      </c>
      <c r="BM1197" s="4">
        <v>0</v>
      </c>
      <c r="BN1197" s="4">
        <v>2</v>
      </c>
      <c r="BO1197" s="4">
        <v>0</v>
      </c>
      <c r="BP1197" s="4">
        <v>0</v>
      </c>
      <c r="BQ1197" s="4">
        <v>2</v>
      </c>
      <c r="BR1197" s="4">
        <v>0</v>
      </c>
      <c r="BS1197" s="4">
        <v>9</v>
      </c>
      <c r="BT1197" s="4">
        <v>2</v>
      </c>
      <c r="BU1197" s="4">
        <v>0</v>
      </c>
      <c r="BV1197" s="4">
        <v>0</v>
      </c>
      <c r="BW1197" s="4">
        <v>0</v>
      </c>
      <c r="BX1197" s="4">
        <v>285</v>
      </c>
      <c r="BY1197" s="4">
        <v>0</v>
      </c>
      <c r="BZ1197" s="4">
        <v>0</v>
      </c>
      <c r="CA1197" s="4">
        <v>3</v>
      </c>
      <c r="CB1197" s="4">
        <v>1</v>
      </c>
      <c r="CC1197" s="4">
        <v>0</v>
      </c>
      <c r="CD1197" s="4">
        <v>1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1</v>
      </c>
      <c r="CK1197" s="4">
        <v>0</v>
      </c>
      <c r="CL1197" s="4">
        <v>0</v>
      </c>
      <c r="CM1197" s="4">
        <v>3</v>
      </c>
      <c r="CN1197" s="4">
        <v>13</v>
      </c>
      <c r="CO1197" s="4">
        <v>0</v>
      </c>
      <c r="CP1197" s="4">
        <v>0</v>
      </c>
      <c r="CQ1197" s="4">
        <v>0</v>
      </c>
      <c r="CR1197" s="4">
        <v>1</v>
      </c>
      <c r="CS1197" s="4">
        <v>1</v>
      </c>
      <c r="CT1197" s="4">
        <v>4</v>
      </c>
      <c r="CU1197" s="4">
        <v>0</v>
      </c>
      <c r="CV1197" s="4">
        <v>2</v>
      </c>
      <c r="CW1197" s="4">
        <v>2</v>
      </c>
      <c r="CX1197" s="5">
        <v>2</v>
      </c>
    </row>
    <row r="1198" spans="1:102" ht="15.75" x14ac:dyDescent="0.25">
      <c r="A1198" s="4" t="s">
        <v>131</v>
      </c>
      <c r="B1198" s="4" t="s">
        <v>132</v>
      </c>
      <c r="C1198" s="4">
        <v>2023</v>
      </c>
      <c r="D1198" s="4">
        <v>31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2</v>
      </c>
      <c r="O1198" s="4">
        <v>1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1</v>
      </c>
      <c r="AK1198" s="4">
        <v>0</v>
      </c>
      <c r="AL1198" s="4">
        <v>0</v>
      </c>
      <c r="AM1198" s="4">
        <v>1</v>
      </c>
      <c r="AN1198" s="4">
        <v>0</v>
      </c>
      <c r="AO1198" s="4">
        <v>1</v>
      </c>
      <c r="AP1198" s="4">
        <v>3</v>
      </c>
      <c r="AQ1198" s="4">
        <v>0</v>
      </c>
      <c r="AR1198" s="4">
        <v>0</v>
      </c>
      <c r="AS1198" s="4">
        <v>0</v>
      </c>
      <c r="AT1198" s="4">
        <v>1</v>
      </c>
      <c r="AU1198" s="4">
        <v>0</v>
      </c>
      <c r="AV1198" s="4">
        <v>0</v>
      </c>
      <c r="AW1198" s="4">
        <v>0</v>
      </c>
      <c r="AX1198" s="4">
        <v>2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2</v>
      </c>
      <c r="BG1198" s="4">
        <v>0</v>
      </c>
      <c r="BH1198" s="4">
        <v>0</v>
      </c>
      <c r="BI1198" s="4">
        <v>0</v>
      </c>
      <c r="BJ1198" s="4">
        <v>2</v>
      </c>
      <c r="BK1198" s="4">
        <v>2</v>
      </c>
      <c r="BL1198" s="4">
        <v>0</v>
      </c>
      <c r="BM1198" s="4">
        <v>0</v>
      </c>
      <c r="BN1198" s="4">
        <v>1</v>
      </c>
      <c r="BO1198" s="4">
        <v>0</v>
      </c>
      <c r="BP1198" s="4">
        <v>0</v>
      </c>
      <c r="BQ1198" s="4">
        <v>0</v>
      </c>
      <c r="BR1198" s="4">
        <v>0</v>
      </c>
      <c r="BS1198" s="4">
        <v>1</v>
      </c>
      <c r="BT1198" s="4">
        <v>0</v>
      </c>
      <c r="BU1198" s="4">
        <v>0</v>
      </c>
      <c r="BV1198" s="4">
        <v>1</v>
      </c>
      <c r="BW1198" s="4">
        <v>1</v>
      </c>
      <c r="BX1198" s="4">
        <v>2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1</v>
      </c>
      <c r="CO1198" s="4">
        <v>0</v>
      </c>
      <c r="CP1198" s="4">
        <v>0</v>
      </c>
      <c r="CQ1198" s="4">
        <v>0</v>
      </c>
      <c r="CR1198" s="4">
        <v>0</v>
      </c>
      <c r="CS1198" s="4">
        <v>0</v>
      </c>
      <c r="CT1198" s="4">
        <v>0</v>
      </c>
      <c r="CU1198" s="4">
        <v>0</v>
      </c>
      <c r="CV1198" s="4">
        <v>1</v>
      </c>
      <c r="CW1198" s="4">
        <v>0</v>
      </c>
      <c r="CX1198" s="5">
        <v>0</v>
      </c>
    </row>
    <row r="1199" spans="1:102" ht="15.75" x14ac:dyDescent="0.25">
      <c r="A1199" s="4" t="s">
        <v>133</v>
      </c>
      <c r="B1199" s="4" t="s">
        <v>134</v>
      </c>
      <c r="C1199" s="4">
        <v>2023</v>
      </c>
      <c r="D1199" s="4">
        <v>103</v>
      </c>
      <c r="E1199" s="4">
        <v>0</v>
      </c>
      <c r="F1199" s="4">
        <v>1</v>
      </c>
      <c r="G1199" s="4">
        <v>3</v>
      </c>
      <c r="H1199" s="4">
        <v>1</v>
      </c>
      <c r="I1199" s="4">
        <v>1</v>
      </c>
      <c r="J1199" s="4">
        <v>2</v>
      </c>
      <c r="K1199" s="4">
        <v>2</v>
      </c>
      <c r="L1199" s="4">
        <v>0</v>
      </c>
      <c r="M1199" s="4">
        <v>0</v>
      </c>
      <c r="N1199" s="4">
        <v>3</v>
      </c>
      <c r="O1199" s="4">
        <v>2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3</v>
      </c>
      <c r="AK1199" s="4">
        <v>2</v>
      </c>
      <c r="AL1199" s="4">
        <v>0</v>
      </c>
      <c r="AM1199" s="4">
        <v>0</v>
      </c>
      <c r="AN1199" s="4">
        <v>0</v>
      </c>
      <c r="AO1199" s="4">
        <v>1</v>
      </c>
      <c r="AP1199" s="4">
        <v>0</v>
      </c>
      <c r="AQ1199" s="4">
        <v>0</v>
      </c>
      <c r="AR1199" s="4">
        <v>0</v>
      </c>
      <c r="AS1199" s="4">
        <v>1</v>
      </c>
      <c r="AT1199" s="4">
        <v>1</v>
      </c>
      <c r="AU1199" s="4">
        <v>1</v>
      </c>
      <c r="AV1199" s="4">
        <v>1</v>
      </c>
      <c r="AW1199" s="4">
        <v>0</v>
      </c>
      <c r="AX1199" s="4">
        <v>2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1</v>
      </c>
      <c r="BF1199" s="4">
        <v>2</v>
      </c>
      <c r="BG1199" s="4">
        <v>0</v>
      </c>
      <c r="BH1199" s="4">
        <v>0</v>
      </c>
      <c r="BI1199" s="4">
        <v>0</v>
      </c>
      <c r="BJ1199" s="4">
        <v>1</v>
      </c>
      <c r="BK1199" s="4">
        <v>2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1</v>
      </c>
      <c r="BR1199" s="4">
        <v>0</v>
      </c>
      <c r="BS1199" s="4">
        <v>3</v>
      </c>
      <c r="BT1199" s="4">
        <v>0</v>
      </c>
      <c r="BU1199" s="4">
        <v>0</v>
      </c>
      <c r="BV1199" s="4">
        <v>1</v>
      </c>
      <c r="BW1199" s="4">
        <v>1</v>
      </c>
      <c r="BX1199" s="4">
        <v>18</v>
      </c>
      <c r="BY1199" s="4">
        <v>0</v>
      </c>
      <c r="BZ1199" s="4">
        <v>0</v>
      </c>
      <c r="CA1199" s="4">
        <v>30</v>
      </c>
      <c r="CB1199" s="4">
        <v>1</v>
      </c>
      <c r="CC1199" s="4">
        <v>0</v>
      </c>
      <c r="CD1199" s="4">
        <v>1</v>
      </c>
      <c r="CE1199" s="4">
        <v>0</v>
      </c>
      <c r="CF1199" s="4">
        <v>2</v>
      </c>
      <c r="CG1199" s="4">
        <v>0</v>
      </c>
      <c r="CH1199" s="4">
        <v>0</v>
      </c>
      <c r="CI1199" s="4">
        <v>0</v>
      </c>
      <c r="CJ1199" s="4">
        <v>1</v>
      </c>
      <c r="CK1199" s="4">
        <v>0</v>
      </c>
      <c r="CL1199" s="4">
        <v>0</v>
      </c>
      <c r="CM1199" s="4">
        <v>0</v>
      </c>
      <c r="CN1199" s="4">
        <v>1</v>
      </c>
      <c r="CO1199" s="4">
        <v>1</v>
      </c>
      <c r="CP1199" s="4">
        <v>0</v>
      </c>
      <c r="CQ1199" s="4">
        <v>0</v>
      </c>
      <c r="CR1199" s="4">
        <v>0</v>
      </c>
      <c r="CS1199" s="4">
        <v>0</v>
      </c>
      <c r="CT1199" s="4">
        <v>3</v>
      </c>
      <c r="CU1199" s="4">
        <v>0</v>
      </c>
      <c r="CV1199" s="4">
        <v>3</v>
      </c>
      <c r="CW1199" s="4">
        <v>1</v>
      </c>
      <c r="CX1199" s="5">
        <v>1</v>
      </c>
    </row>
    <row r="1200" spans="1:102" ht="15.75" x14ac:dyDescent="0.25">
      <c r="A1200" s="4" t="s">
        <v>135</v>
      </c>
      <c r="B1200" s="4" t="s">
        <v>136</v>
      </c>
      <c r="C1200" s="4">
        <v>2023</v>
      </c>
      <c r="D1200" s="4">
        <v>471</v>
      </c>
      <c r="E1200" s="4">
        <v>3</v>
      </c>
      <c r="F1200" s="4">
        <v>0</v>
      </c>
      <c r="G1200" s="4">
        <v>14</v>
      </c>
      <c r="H1200" s="4">
        <v>0</v>
      </c>
      <c r="I1200" s="4">
        <v>1</v>
      </c>
      <c r="J1200" s="4">
        <v>1</v>
      </c>
      <c r="K1200" s="4">
        <v>0</v>
      </c>
      <c r="L1200" s="4">
        <v>2</v>
      </c>
      <c r="M1200" s="4">
        <v>1</v>
      </c>
      <c r="N1200" s="4">
        <v>1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2</v>
      </c>
      <c r="V1200" s="4">
        <v>3</v>
      </c>
      <c r="W1200" s="4">
        <v>172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2</v>
      </c>
      <c r="AH1200" s="4">
        <v>0</v>
      </c>
      <c r="AI1200" s="4">
        <v>1</v>
      </c>
      <c r="AJ1200" s="4">
        <v>1</v>
      </c>
      <c r="AK1200" s="4">
        <v>2</v>
      </c>
      <c r="AL1200" s="4">
        <v>0</v>
      </c>
      <c r="AM1200" s="4">
        <v>2</v>
      </c>
      <c r="AN1200" s="4">
        <v>1</v>
      </c>
      <c r="AO1200" s="4">
        <v>3</v>
      </c>
      <c r="AP1200" s="4">
        <v>1</v>
      </c>
      <c r="AQ1200" s="4">
        <v>1</v>
      </c>
      <c r="AR1200" s="4">
        <v>0</v>
      </c>
      <c r="AS1200" s="4">
        <v>0</v>
      </c>
      <c r="AT1200" s="4">
        <v>4</v>
      </c>
      <c r="AU1200" s="4">
        <v>0</v>
      </c>
      <c r="AV1200" s="4">
        <v>2</v>
      </c>
      <c r="AW1200" s="4">
        <v>1</v>
      </c>
      <c r="AX1200" s="4">
        <v>5</v>
      </c>
      <c r="AY1200" s="4">
        <v>0</v>
      </c>
      <c r="AZ1200" s="4">
        <v>30</v>
      </c>
      <c r="BA1200" s="4">
        <v>0</v>
      </c>
      <c r="BB1200" s="4">
        <v>105</v>
      </c>
      <c r="BC1200" s="4">
        <v>5</v>
      </c>
      <c r="BD1200" s="4">
        <v>0</v>
      </c>
      <c r="BE1200" s="4">
        <v>1</v>
      </c>
      <c r="BF1200" s="4">
        <v>5</v>
      </c>
      <c r="BG1200" s="4">
        <v>0</v>
      </c>
      <c r="BH1200" s="4">
        <v>0</v>
      </c>
      <c r="BI1200" s="4">
        <v>0</v>
      </c>
      <c r="BJ1200" s="4">
        <v>5</v>
      </c>
      <c r="BK1200" s="4">
        <v>24</v>
      </c>
      <c r="BL1200" s="4">
        <v>0</v>
      </c>
      <c r="BM1200" s="4">
        <v>0</v>
      </c>
      <c r="BN1200" s="4">
        <v>1</v>
      </c>
      <c r="BO1200" s="4">
        <v>0</v>
      </c>
      <c r="BP1200" s="4">
        <v>5</v>
      </c>
      <c r="BQ1200" s="4">
        <v>3</v>
      </c>
      <c r="BR1200" s="4">
        <v>0</v>
      </c>
      <c r="BS1200" s="4">
        <v>10</v>
      </c>
      <c r="BT1200" s="4">
        <v>6</v>
      </c>
      <c r="BU1200" s="4">
        <v>0</v>
      </c>
      <c r="BV1200" s="4">
        <v>0</v>
      </c>
      <c r="BW1200" s="4">
        <v>0</v>
      </c>
      <c r="BX1200" s="4">
        <v>14</v>
      </c>
      <c r="BY1200" s="4">
        <v>0</v>
      </c>
      <c r="BZ1200" s="4">
        <v>0</v>
      </c>
      <c r="CA1200" s="4">
        <v>3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2</v>
      </c>
      <c r="CN1200" s="4">
        <v>13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3</v>
      </c>
      <c r="CU1200" s="4">
        <v>0</v>
      </c>
      <c r="CV1200" s="4">
        <v>3</v>
      </c>
      <c r="CW1200" s="4">
        <v>2</v>
      </c>
      <c r="CX1200" s="5">
        <v>2</v>
      </c>
    </row>
    <row r="1201" spans="1:102" ht="15.75" x14ac:dyDescent="0.25">
      <c r="A1201" s="4" t="s">
        <v>137</v>
      </c>
      <c r="B1201" s="4" t="s">
        <v>138</v>
      </c>
      <c r="C1201" s="4">
        <v>2023</v>
      </c>
      <c r="D1201" s="4">
        <v>17637</v>
      </c>
      <c r="E1201" s="4">
        <v>3</v>
      </c>
      <c r="F1201" s="4">
        <v>81</v>
      </c>
      <c r="G1201" s="4">
        <v>163</v>
      </c>
      <c r="H1201" s="4">
        <v>8</v>
      </c>
      <c r="I1201" s="4">
        <v>121</v>
      </c>
      <c r="J1201" s="4">
        <v>28</v>
      </c>
      <c r="K1201" s="4">
        <v>15</v>
      </c>
      <c r="L1201" s="4">
        <v>57</v>
      </c>
      <c r="M1201" s="4">
        <v>45</v>
      </c>
      <c r="N1201" s="4">
        <v>60</v>
      </c>
      <c r="O1201" s="4">
        <v>360</v>
      </c>
      <c r="P1201" s="4">
        <v>1</v>
      </c>
      <c r="Q1201" s="4">
        <v>5</v>
      </c>
      <c r="R1201" s="4">
        <v>73</v>
      </c>
      <c r="S1201" s="4">
        <v>2</v>
      </c>
      <c r="T1201" s="4">
        <v>6</v>
      </c>
      <c r="U1201" s="4">
        <v>5</v>
      </c>
      <c r="V1201" s="4">
        <v>29</v>
      </c>
      <c r="W1201" s="4">
        <v>372</v>
      </c>
      <c r="X1201" s="4">
        <v>11</v>
      </c>
      <c r="Y1201" s="4">
        <v>4</v>
      </c>
      <c r="Z1201" s="4">
        <v>153</v>
      </c>
      <c r="AA1201" s="4">
        <v>2684</v>
      </c>
      <c r="AB1201" s="4">
        <v>871</v>
      </c>
      <c r="AC1201" s="4">
        <v>89</v>
      </c>
      <c r="AD1201" s="4">
        <v>9</v>
      </c>
      <c r="AE1201" s="4">
        <v>22</v>
      </c>
      <c r="AF1201" s="4">
        <v>32</v>
      </c>
      <c r="AG1201" s="4">
        <v>702</v>
      </c>
      <c r="AH1201" s="4">
        <v>50</v>
      </c>
      <c r="AI1201" s="4">
        <v>158</v>
      </c>
      <c r="AJ1201" s="4">
        <v>2442</v>
      </c>
      <c r="AK1201" s="4">
        <v>480</v>
      </c>
      <c r="AL1201" s="4">
        <v>8</v>
      </c>
      <c r="AM1201" s="4">
        <v>450</v>
      </c>
      <c r="AN1201" s="4">
        <v>178</v>
      </c>
      <c r="AO1201" s="4">
        <v>228</v>
      </c>
      <c r="AP1201" s="4">
        <v>6</v>
      </c>
      <c r="AQ1201" s="4">
        <v>182</v>
      </c>
      <c r="AR1201" s="4">
        <v>27</v>
      </c>
      <c r="AS1201" s="4">
        <v>78</v>
      </c>
      <c r="AT1201" s="4">
        <v>114</v>
      </c>
      <c r="AU1201" s="4">
        <v>334</v>
      </c>
      <c r="AV1201" s="4">
        <v>377</v>
      </c>
      <c r="AW1201" s="4">
        <v>326</v>
      </c>
      <c r="AX1201" s="4">
        <v>193</v>
      </c>
      <c r="AY1201" s="4">
        <v>4</v>
      </c>
      <c r="AZ1201" s="4">
        <v>25</v>
      </c>
      <c r="BA1201" s="4">
        <v>1</v>
      </c>
      <c r="BB1201" s="4">
        <v>235</v>
      </c>
      <c r="BC1201" s="4">
        <v>35</v>
      </c>
      <c r="BD1201" s="4">
        <v>1</v>
      </c>
      <c r="BE1201" s="4">
        <v>62</v>
      </c>
      <c r="BF1201" s="4">
        <v>443</v>
      </c>
      <c r="BG1201" s="4">
        <v>27</v>
      </c>
      <c r="BH1201" s="4">
        <v>102</v>
      </c>
      <c r="BI1201" s="4">
        <v>1</v>
      </c>
      <c r="BJ1201" s="4">
        <v>244</v>
      </c>
      <c r="BK1201" s="4">
        <v>473</v>
      </c>
      <c r="BL1201" s="4">
        <v>0</v>
      </c>
      <c r="BM1201" s="4">
        <v>11</v>
      </c>
      <c r="BN1201" s="4">
        <v>45</v>
      </c>
      <c r="BO1201" s="4">
        <v>2</v>
      </c>
      <c r="BP1201" s="4">
        <v>9</v>
      </c>
      <c r="BQ1201" s="4">
        <v>74</v>
      </c>
      <c r="BR1201" s="4">
        <v>12</v>
      </c>
      <c r="BS1201" s="4">
        <v>167</v>
      </c>
      <c r="BT1201" s="4">
        <v>68</v>
      </c>
      <c r="BU1201" s="4">
        <v>20</v>
      </c>
      <c r="BV1201" s="4">
        <v>134</v>
      </c>
      <c r="BW1201" s="4">
        <v>120</v>
      </c>
      <c r="BX1201" s="4">
        <v>2286</v>
      </c>
      <c r="BY1201" s="4">
        <v>9</v>
      </c>
      <c r="BZ1201" s="4">
        <v>0</v>
      </c>
      <c r="CA1201" s="4">
        <v>117</v>
      </c>
      <c r="CB1201" s="4">
        <v>2</v>
      </c>
      <c r="CC1201" s="4">
        <v>0</v>
      </c>
      <c r="CD1201" s="4">
        <v>16</v>
      </c>
      <c r="CE1201" s="4">
        <v>2</v>
      </c>
      <c r="CF1201" s="4">
        <v>8</v>
      </c>
      <c r="CG1201" s="4">
        <v>28</v>
      </c>
      <c r="CH1201" s="4">
        <v>12</v>
      </c>
      <c r="CI1201" s="4">
        <v>9</v>
      </c>
      <c r="CJ1201" s="4">
        <v>116</v>
      </c>
      <c r="CK1201" s="4">
        <v>53</v>
      </c>
      <c r="CL1201" s="4">
        <v>0</v>
      </c>
      <c r="CM1201" s="4">
        <v>14</v>
      </c>
      <c r="CN1201" s="4">
        <v>462</v>
      </c>
      <c r="CO1201" s="4">
        <v>55</v>
      </c>
      <c r="CP1201" s="4">
        <v>15</v>
      </c>
      <c r="CQ1201" s="4">
        <v>0</v>
      </c>
      <c r="CR1201" s="4">
        <v>52</v>
      </c>
      <c r="CS1201" s="4">
        <v>6</v>
      </c>
      <c r="CT1201" s="4">
        <v>84</v>
      </c>
      <c r="CU1201" s="4">
        <v>7</v>
      </c>
      <c r="CV1201" s="4">
        <v>292</v>
      </c>
      <c r="CW1201" s="4">
        <v>41</v>
      </c>
      <c r="CX1201" s="5">
        <v>41</v>
      </c>
    </row>
    <row r="1202" spans="1:102" ht="15.75" x14ac:dyDescent="0.25">
      <c r="A1202" s="4" t="s">
        <v>139</v>
      </c>
      <c r="B1202" s="4" t="s">
        <v>140</v>
      </c>
      <c r="C1202" s="4">
        <v>2023</v>
      </c>
      <c r="D1202" s="4">
        <v>12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1</v>
      </c>
      <c r="BC1202" s="4">
        <v>0</v>
      </c>
      <c r="BD1202" s="4">
        <v>0</v>
      </c>
      <c r="BE1202" s="4">
        <v>2</v>
      </c>
      <c r="BF1202" s="4">
        <v>0</v>
      </c>
      <c r="BG1202" s="4">
        <v>0</v>
      </c>
      <c r="BH1202" s="4">
        <v>0</v>
      </c>
      <c r="BI1202" s="4">
        <v>0</v>
      </c>
      <c r="BJ1202" s="4">
        <v>1</v>
      </c>
      <c r="BK1202" s="4">
        <v>1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1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1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1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1</v>
      </c>
      <c r="CU1202" s="4">
        <v>0</v>
      </c>
      <c r="CV1202" s="4">
        <v>0</v>
      </c>
      <c r="CW1202" s="4">
        <v>0</v>
      </c>
      <c r="CX1202" s="5">
        <v>0</v>
      </c>
    </row>
    <row r="1203" spans="1:102" ht="15.75" x14ac:dyDescent="0.25">
      <c r="A1203" s="4" t="s">
        <v>141</v>
      </c>
      <c r="B1203" s="4" t="s">
        <v>142</v>
      </c>
      <c r="C1203" s="4">
        <v>2023</v>
      </c>
      <c r="D1203" s="4">
        <v>396</v>
      </c>
      <c r="E1203" s="4">
        <v>0</v>
      </c>
      <c r="F1203" s="4">
        <v>0</v>
      </c>
      <c r="G1203" s="4">
        <v>2</v>
      </c>
      <c r="H1203" s="4">
        <v>0</v>
      </c>
      <c r="I1203" s="4">
        <v>3</v>
      </c>
      <c r="J1203" s="4">
        <v>1</v>
      </c>
      <c r="K1203" s="4">
        <v>0</v>
      </c>
      <c r="L1203" s="4">
        <v>5</v>
      </c>
      <c r="M1203" s="4">
        <v>2</v>
      </c>
      <c r="N1203" s="4">
        <v>4</v>
      </c>
      <c r="O1203" s="4">
        <v>45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3</v>
      </c>
      <c r="V1203" s="4">
        <v>3</v>
      </c>
      <c r="W1203" s="4">
        <v>9</v>
      </c>
      <c r="X1203" s="4">
        <v>1</v>
      </c>
      <c r="Y1203" s="4">
        <v>0</v>
      </c>
      <c r="Z1203" s="4">
        <v>0</v>
      </c>
      <c r="AA1203" s="4">
        <v>1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4</v>
      </c>
      <c r="AH1203" s="4">
        <v>3</v>
      </c>
      <c r="AI1203" s="4">
        <v>4</v>
      </c>
      <c r="AJ1203" s="4">
        <v>12</v>
      </c>
      <c r="AK1203" s="4">
        <v>11</v>
      </c>
      <c r="AL1203" s="4">
        <v>1</v>
      </c>
      <c r="AM1203" s="4">
        <v>3</v>
      </c>
      <c r="AN1203" s="4">
        <v>5</v>
      </c>
      <c r="AO1203" s="4">
        <v>7</v>
      </c>
      <c r="AP1203" s="4">
        <v>1</v>
      </c>
      <c r="AQ1203" s="4">
        <v>2</v>
      </c>
      <c r="AR1203" s="4">
        <v>0</v>
      </c>
      <c r="AS1203" s="4">
        <v>2</v>
      </c>
      <c r="AT1203" s="4">
        <v>8</v>
      </c>
      <c r="AU1203" s="4">
        <v>2</v>
      </c>
      <c r="AV1203" s="4">
        <v>1</v>
      </c>
      <c r="AW1203" s="4">
        <v>3</v>
      </c>
      <c r="AX1203" s="4">
        <v>6</v>
      </c>
      <c r="AY1203" s="4">
        <v>0</v>
      </c>
      <c r="AZ1203" s="4">
        <v>0</v>
      </c>
      <c r="BA1203" s="4">
        <v>0</v>
      </c>
      <c r="BB1203" s="4">
        <v>22</v>
      </c>
      <c r="BC1203" s="4">
        <v>1</v>
      </c>
      <c r="BD1203" s="4">
        <v>0</v>
      </c>
      <c r="BE1203" s="4">
        <v>4</v>
      </c>
      <c r="BF1203" s="4">
        <v>45</v>
      </c>
      <c r="BG1203" s="4">
        <v>2</v>
      </c>
      <c r="BH1203" s="4">
        <v>2</v>
      </c>
      <c r="BI1203" s="4">
        <v>0</v>
      </c>
      <c r="BJ1203" s="4">
        <v>7</v>
      </c>
      <c r="BK1203" s="4">
        <v>31</v>
      </c>
      <c r="BL1203" s="4">
        <v>0</v>
      </c>
      <c r="BM1203" s="4">
        <v>0</v>
      </c>
      <c r="BN1203" s="4">
        <v>9</v>
      </c>
      <c r="BO1203" s="4">
        <v>0</v>
      </c>
      <c r="BP1203" s="4">
        <v>3</v>
      </c>
      <c r="BQ1203" s="4">
        <v>4</v>
      </c>
      <c r="BR1203" s="4">
        <v>0</v>
      </c>
      <c r="BS1203" s="4">
        <v>9</v>
      </c>
      <c r="BT1203" s="4">
        <v>8</v>
      </c>
      <c r="BU1203" s="4">
        <v>0</v>
      </c>
      <c r="BV1203" s="4">
        <v>3</v>
      </c>
      <c r="BW1203" s="4">
        <v>3</v>
      </c>
      <c r="BX1203" s="4">
        <v>40</v>
      </c>
      <c r="BY1203" s="4">
        <v>0</v>
      </c>
      <c r="BZ1203" s="4">
        <v>1</v>
      </c>
      <c r="CA1203" s="4">
        <v>8</v>
      </c>
      <c r="CB1203" s="4">
        <v>0</v>
      </c>
      <c r="CC1203" s="4">
        <v>0</v>
      </c>
      <c r="CD1203" s="4">
        <v>1</v>
      </c>
      <c r="CE1203" s="4">
        <v>0</v>
      </c>
      <c r="CF1203" s="4">
        <v>2</v>
      </c>
      <c r="CG1203" s="4">
        <v>1</v>
      </c>
      <c r="CH1203" s="4">
        <v>1</v>
      </c>
      <c r="CI1203" s="4">
        <v>0</v>
      </c>
      <c r="CJ1203" s="4">
        <v>2</v>
      </c>
      <c r="CK1203" s="4">
        <v>0</v>
      </c>
      <c r="CL1203" s="4">
        <v>0</v>
      </c>
      <c r="CM1203" s="4">
        <v>2</v>
      </c>
      <c r="CN1203" s="4">
        <v>9</v>
      </c>
      <c r="CO1203" s="4">
        <v>1</v>
      </c>
      <c r="CP1203" s="4">
        <v>1</v>
      </c>
      <c r="CQ1203" s="4">
        <v>0</v>
      </c>
      <c r="CR1203" s="4">
        <v>0</v>
      </c>
      <c r="CS1203" s="4">
        <v>0</v>
      </c>
      <c r="CT1203" s="4">
        <v>2</v>
      </c>
      <c r="CU1203" s="4">
        <v>2</v>
      </c>
      <c r="CV1203" s="4">
        <v>8</v>
      </c>
      <c r="CW1203" s="4">
        <v>2</v>
      </c>
      <c r="CX1203" s="5">
        <v>2</v>
      </c>
    </row>
    <row r="1204" spans="1:102" ht="15.75" x14ac:dyDescent="0.25">
      <c r="A1204" s="4" t="s">
        <v>143</v>
      </c>
      <c r="B1204" s="4" t="s">
        <v>144</v>
      </c>
      <c r="C1204" s="4">
        <v>2023</v>
      </c>
      <c r="D1204" s="4">
        <v>334</v>
      </c>
      <c r="E1204" s="4">
        <v>3</v>
      </c>
      <c r="F1204" s="4">
        <v>0</v>
      </c>
      <c r="G1204" s="4">
        <v>7</v>
      </c>
      <c r="H1204" s="4">
        <v>1</v>
      </c>
      <c r="I1204" s="4">
        <v>8</v>
      </c>
      <c r="J1204" s="4">
        <v>3</v>
      </c>
      <c r="K1204" s="4">
        <v>1</v>
      </c>
      <c r="L1204" s="4">
        <v>4</v>
      </c>
      <c r="M1204" s="4">
        <v>2</v>
      </c>
      <c r="N1204" s="4">
        <v>4</v>
      </c>
      <c r="O1204" s="4">
        <v>8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1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1</v>
      </c>
      <c r="AJ1204" s="4">
        <v>7</v>
      </c>
      <c r="AK1204" s="4">
        <v>2</v>
      </c>
      <c r="AL1204" s="4">
        <v>0</v>
      </c>
      <c r="AM1204" s="4">
        <v>0</v>
      </c>
      <c r="AN1204" s="4">
        <v>2</v>
      </c>
      <c r="AO1204" s="4">
        <v>4</v>
      </c>
      <c r="AP1204" s="4">
        <v>0</v>
      </c>
      <c r="AQ1204" s="4">
        <v>1</v>
      </c>
      <c r="AR1204" s="4">
        <v>0</v>
      </c>
      <c r="AS1204" s="4">
        <v>1</v>
      </c>
      <c r="AT1204" s="4">
        <v>2</v>
      </c>
      <c r="AU1204" s="4">
        <v>3</v>
      </c>
      <c r="AV1204" s="4">
        <v>1</v>
      </c>
      <c r="AW1204" s="4">
        <v>1</v>
      </c>
      <c r="AX1204" s="4">
        <v>6</v>
      </c>
      <c r="AY1204" s="4">
        <v>0</v>
      </c>
      <c r="AZ1204" s="4">
        <v>2</v>
      </c>
      <c r="BA1204" s="4">
        <v>0</v>
      </c>
      <c r="BB1204" s="4">
        <v>36</v>
      </c>
      <c r="BC1204" s="4">
        <v>0</v>
      </c>
      <c r="BD1204" s="4">
        <v>0</v>
      </c>
      <c r="BE1204" s="4">
        <v>1</v>
      </c>
      <c r="BF1204" s="4">
        <v>2</v>
      </c>
      <c r="BG1204" s="4">
        <v>0</v>
      </c>
      <c r="BH1204" s="4">
        <v>0</v>
      </c>
      <c r="BI1204" s="4">
        <v>0</v>
      </c>
      <c r="BJ1204" s="4">
        <v>11</v>
      </c>
      <c r="BK1204" s="4">
        <v>6</v>
      </c>
      <c r="BL1204" s="4">
        <v>0</v>
      </c>
      <c r="BM1204" s="4">
        <v>1</v>
      </c>
      <c r="BN1204" s="4">
        <v>10</v>
      </c>
      <c r="BO1204" s="4">
        <v>0</v>
      </c>
      <c r="BP1204" s="4">
        <v>0</v>
      </c>
      <c r="BQ1204" s="4">
        <v>5</v>
      </c>
      <c r="BR1204" s="4">
        <v>0</v>
      </c>
      <c r="BS1204" s="4">
        <v>11</v>
      </c>
      <c r="BT1204" s="4">
        <v>3</v>
      </c>
      <c r="BU1204" s="4">
        <v>0</v>
      </c>
      <c r="BV1204" s="4">
        <v>2</v>
      </c>
      <c r="BW1204" s="4">
        <v>1</v>
      </c>
      <c r="BX1204" s="4">
        <v>54</v>
      </c>
      <c r="BY1204" s="4">
        <v>0</v>
      </c>
      <c r="BZ1204" s="4">
        <v>0</v>
      </c>
      <c r="CA1204" s="4">
        <v>2</v>
      </c>
      <c r="CB1204" s="4">
        <v>0</v>
      </c>
      <c r="CC1204" s="4">
        <v>0</v>
      </c>
      <c r="CD1204" s="4">
        <v>3</v>
      </c>
      <c r="CE1204" s="4">
        <v>0</v>
      </c>
      <c r="CF1204" s="4">
        <v>4</v>
      </c>
      <c r="CG1204" s="4">
        <v>0</v>
      </c>
      <c r="CH1204" s="4">
        <v>3</v>
      </c>
      <c r="CI1204" s="4">
        <v>1</v>
      </c>
      <c r="CJ1204" s="4">
        <v>3</v>
      </c>
      <c r="CK1204" s="4">
        <v>0</v>
      </c>
      <c r="CL1204" s="4">
        <v>0</v>
      </c>
      <c r="CM1204" s="4">
        <v>1</v>
      </c>
      <c r="CN1204" s="4">
        <v>6</v>
      </c>
      <c r="CO1204" s="4">
        <v>1</v>
      </c>
      <c r="CP1204" s="4">
        <v>0</v>
      </c>
      <c r="CQ1204" s="4">
        <v>0</v>
      </c>
      <c r="CR1204" s="4">
        <v>1</v>
      </c>
      <c r="CS1204" s="4">
        <v>78</v>
      </c>
      <c r="CT1204" s="4">
        <v>1</v>
      </c>
      <c r="CU1204" s="4">
        <v>0</v>
      </c>
      <c r="CV1204" s="4">
        <v>6</v>
      </c>
      <c r="CW1204" s="4">
        <v>1</v>
      </c>
      <c r="CX1204" s="5">
        <v>1</v>
      </c>
    </row>
    <row r="1205" spans="1:102" ht="15.75" x14ac:dyDescent="0.25">
      <c r="A1205" s="4" t="s">
        <v>145</v>
      </c>
      <c r="B1205" s="4" t="s">
        <v>146</v>
      </c>
      <c r="C1205" s="4">
        <v>2023</v>
      </c>
      <c r="D1205" s="4">
        <v>2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2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5">
        <v>0</v>
      </c>
    </row>
    <row r="1206" spans="1:102" ht="15.75" x14ac:dyDescent="0.25">
      <c r="A1206" s="4" t="s">
        <v>147</v>
      </c>
      <c r="B1206" s="4" t="s">
        <v>148</v>
      </c>
      <c r="C1206" s="4">
        <v>2023</v>
      </c>
      <c r="D1206" s="4">
        <v>47</v>
      </c>
      <c r="E1206" s="4">
        <v>0</v>
      </c>
      <c r="F1206" s="4">
        <v>12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23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1</v>
      </c>
      <c r="BG1206" s="4">
        <v>0</v>
      </c>
      <c r="BH1206" s="4">
        <v>0</v>
      </c>
      <c r="BI1206" s="4">
        <v>0</v>
      </c>
      <c r="BJ1206" s="4">
        <v>0</v>
      </c>
      <c r="BK1206" s="4">
        <v>1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2</v>
      </c>
      <c r="BR1206" s="4">
        <v>0</v>
      </c>
      <c r="BS1206" s="4">
        <v>1</v>
      </c>
      <c r="BT1206" s="4">
        <v>2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  <c r="CS1206" s="4">
        <v>0</v>
      </c>
      <c r="CT1206" s="4">
        <v>0</v>
      </c>
      <c r="CU1206" s="4">
        <v>0</v>
      </c>
      <c r="CV1206" s="4">
        <v>0</v>
      </c>
      <c r="CW1206" s="4">
        <v>0</v>
      </c>
      <c r="CX1206" s="5">
        <v>0</v>
      </c>
    </row>
    <row r="1207" spans="1:102" ht="15.75" x14ac:dyDescent="0.25">
      <c r="A1207" s="4" t="s">
        <v>149</v>
      </c>
      <c r="B1207" s="4" t="s">
        <v>150</v>
      </c>
      <c r="C1207" s="4">
        <v>2023</v>
      </c>
      <c r="D1207" s="4">
        <v>66</v>
      </c>
      <c r="E1207" s="4">
        <v>0</v>
      </c>
      <c r="F1207" s="4">
        <v>1</v>
      </c>
      <c r="G1207" s="4">
        <v>0</v>
      </c>
      <c r="H1207" s="4">
        <v>0</v>
      </c>
      <c r="I1207" s="4">
        <v>1</v>
      </c>
      <c r="J1207" s="4">
        <v>0</v>
      </c>
      <c r="K1207" s="4">
        <v>0</v>
      </c>
      <c r="L1207" s="4">
        <v>0</v>
      </c>
      <c r="M1207" s="4">
        <v>0</v>
      </c>
      <c r="N1207" s="4">
        <v>3</v>
      </c>
      <c r="O1207" s="4">
        <v>2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16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1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1</v>
      </c>
      <c r="BT1207" s="4">
        <v>0</v>
      </c>
      <c r="BU1207" s="4">
        <v>0</v>
      </c>
      <c r="BV1207" s="4">
        <v>1</v>
      </c>
      <c r="BW1207" s="4">
        <v>0</v>
      </c>
      <c r="BX1207" s="4">
        <v>6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1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25</v>
      </c>
      <c r="CS1207" s="4">
        <v>0</v>
      </c>
      <c r="CT1207" s="4">
        <v>0</v>
      </c>
      <c r="CU1207" s="4">
        <v>0</v>
      </c>
      <c r="CV1207" s="4">
        <v>1</v>
      </c>
      <c r="CW1207" s="4">
        <v>0</v>
      </c>
      <c r="CX1207" s="5">
        <v>0</v>
      </c>
    </row>
    <row r="1208" spans="1:102" ht="15.75" x14ac:dyDescent="0.25">
      <c r="A1208" s="4" t="s">
        <v>151</v>
      </c>
      <c r="B1208" s="4" t="s">
        <v>152</v>
      </c>
      <c r="C1208" s="4">
        <v>2023</v>
      </c>
      <c r="D1208" s="4">
        <v>32</v>
      </c>
      <c r="E1208" s="4">
        <v>0</v>
      </c>
      <c r="F1208" s="4">
        <v>0</v>
      </c>
      <c r="G1208" s="4">
        <v>0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 s="4">
        <v>0</v>
      </c>
      <c r="N1208" s="4">
        <v>0</v>
      </c>
      <c r="O1208" s="4">
        <v>1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2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1</v>
      </c>
      <c r="AV1208" s="4">
        <v>1</v>
      </c>
      <c r="AW1208" s="4">
        <v>0</v>
      </c>
      <c r="AX1208" s="4">
        <v>2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4</v>
      </c>
      <c r="BK1208" s="4">
        <v>1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2</v>
      </c>
      <c r="BT1208" s="4">
        <v>0</v>
      </c>
      <c r="BU1208" s="4">
        <v>0</v>
      </c>
      <c r="BV1208" s="4">
        <v>0</v>
      </c>
      <c r="BW1208" s="4">
        <v>0</v>
      </c>
      <c r="BX1208" s="4">
        <v>3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1</v>
      </c>
      <c r="CJ1208" s="4">
        <v>1</v>
      </c>
      <c r="CK1208" s="4">
        <v>0</v>
      </c>
      <c r="CL1208" s="4">
        <v>0</v>
      </c>
      <c r="CM1208" s="4">
        <v>0</v>
      </c>
      <c r="CN1208" s="4">
        <v>2</v>
      </c>
      <c r="CO1208" s="4">
        <v>0</v>
      </c>
      <c r="CP1208" s="4">
        <v>0</v>
      </c>
      <c r="CQ1208" s="4">
        <v>0</v>
      </c>
      <c r="CR1208" s="4">
        <v>0</v>
      </c>
      <c r="CS1208" s="4">
        <v>1</v>
      </c>
      <c r="CT1208" s="4">
        <v>0</v>
      </c>
      <c r="CU1208" s="4">
        <v>0</v>
      </c>
      <c r="CV1208" s="4">
        <v>1</v>
      </c>
      <c r="CW1208" s="4">
        <v>0</v>
      </c>
      <c r="CX1208" s="5">
        <v>0</v>
      </c>
    </row>
    <row r="1209" spans="1:102" ht="15.75" x14ac:dyDescent="0.25">
      <c r="A1209" s="4" t="s">
        <v>153</v>
      </c>
      <c r="B1209" s="4" t="s">
        <v>154</v>
      </c>
      <c r="C1209" s="4">
        <v>2023</v>
      </c>
      <c r="D1209" s="4">
        <v>19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4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1</v>
      </c>
      <c r="AO1209" s="4">
        <v>1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2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1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1</v>
      </c>
      <c r="BW1209" s="4">
        <v>0</v>
      </c>
      <c r="BX1209" s="4">
        <v>2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2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5">
        <v>0</v>
      </c>
    </row>
    <row r="1210" spans="1:102" ht="15.75" x14ac:dyDescent="0.25">
      <c r="A1210" s="4" t="s">
        <v>155</v>
      </c>
      <c r="B1210" s="4" t="s">
        <v>156</v>
      </c>
      <c r="C1210" s="4">
        <v>2023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  <c r="CS1210" s="4">
        <v>0</v>
      </c>
      <c r="CT1210" s="4">
        <v>0</v>
      </c>
      <c r="CU1210" s="4">
        <v>0</v>
      </c>
      <c r="CV1210" s="4">
        <v>0</v>
      </c>
      <c r="CW1210" s="4">
        <v>0</v>
      </c>
      <c r="CX1210" s="5">
        <v>0</v>
      </c>
    </row>
    <row r="1211" spans="1:102" ht="15.75" x14ac:dyDescent="0.25">
      <c r="A1211" s="4" t="s">
        <v>157</v>
      </c>
      <c r="B1211" s="4" t="s">
        <v>158</v>
      </c>
      <c r="C1211" s="4">
        <v>2023</v>
      </c>
      <c r="D1211" s="4">
        <v>2706</v>
      </c>
      <c r="E1211" s="4">
        <v>0</v>
      </c>
      <c r="F1211" s="4">
        <v>0</v>
      </c>
      <c r="G1211" s="4">
        <v>3</v>
      </c>
      <c r="H1211" s="4">
        <v>0</v>
      </c>
      <c r="I1211" s="4">
        <v>3</v>
      </c>
      <c r="J1211" s="4">
        <v>4</v>
      </c>
      <c r="K1211" s="4">
        <v>0</v>
      </c>
      <c r="L1211" s="4">
        <v>6</v>
      </c>
      <c r="M1211" s="4">
        <v>7</v>
      </c>
      <c r="N1211" s="4">
        <v>18</v>
      </c>
      <c r="O1211" s="4">
        <v>109</v>
      </c>
      <c r="P1211" s="4">
        <v>0</v>
      </c>
      <c r="Q1211" s="4">
        <v>0</v>
      </c>
      <c r="R1211" s="4">
        <v>4</v>
      </c>
      <c r="S1211" s="4">
        <v>0</v>
      </c>
      <c r="T1211" s="4">
        <v>0</v>
      </c>
      <c r="U1211" s="4">
        <v>1</v>
      </c>
      <c r="V1211" s="4">
        <v>4</v>
      </c>
      <c r="W1211" s="4">
        <v>0</v>
      </c>
      <c r="X1211" s="4">
        <v>5</v>
      </c>
      <c r="Y1211" s="4">
        <v>0</v>
      </c>
      <c r="Z1211" s="4">
        <v>0</v>
      </c>
      <c r="AA1211" s="4">
        <v>17</v>
      </c>
      <c r="AB1211" s="4">
        <v>0</v>
      </c>
      <c r="AC1211" s="4">
        <v>0</v>
      </c>
      <c r="AD1211" s="4">
        <v>1</v>
      </c>
      <c r="AE1211" s="4">
        <v>0</v>
      </c>
      <c r="AF1211" s="4">
        <v>0</v>
      </c>
      <c r="AG1211" s="4">
        <v>125</v>
      </c>
      <c r="AH1211" s="4">
        <v>5</v>
      </c>
      <c r="AI1211" s="4">
        <v>13</v>
      </c>
      <c r="AJ1211" s="4">
        <v>327</v>
      </c>
      <c r="AK1211" s="4">
        <v>8</v>
      </c>
      <c r="AL1211" s="4">
        <v>37</v>
      </c>
      <c r="AM1211" s="4">
        <v>30</v>
      </c>
      <c r="AN1211" s="4">
        <v>23</v>
      </c>
      <c r="AO1211" s="4">
        <v>100</v>
      </c>
      <c r="AP1211" s="4">
        <v>0</v>
      </c>
      <c r="AQ1211" s="4">
        <v>14</v>
      </c>
      <c r="AR1211" s="4">
        <v>0</v>
      </c>
      <c r="AS1211" s="4">
        <v>4</v>
      </c>
      <c r="AT1211" s="4">
        <v>8</v>
      </c>
      <c r="AU1211" s="4">
        <v>12</v>
      </c>
      <c r="AV1211" s="4">
        <v>82</v>
      </c>
      <c r="AW1211" s="4">
        <v>17</v>
      </c>
      <c r="AX1211" s="4">
        <v>129</v>
      </c>
      <c r="AY1211" s="4">
        <v>6</v>
      </c>
      <c r="AZ1211" s="4">
        <v>5</v>
      </c>
      <c r="BA1211" s="4">
        <v>0</v>
      </c>
      <c r="BB1211" s="4">
        <v>401</v>
      </c>
      <c r="BC1211" s="4">
        <v>46</v>
      </c>
      <c r="BD1211" s="4">
        <v>0</v>
      </c>
      <c r="BE1211" s="4">
        <v>52</v>
      </c>
      <c r="BF1211" s="4">
        <v>61</v>
      </c>
      <c r="BG1211" s="4">
        <v>4</v>
      </c>
      <c r="BH1211" s="4">
        <v>5</v>
      </c>
      <c r="BI1211" s="4">
        <v>0</v>
      </c>
      <c r="BJ1211" s="4">
        <v>158</v>
      </c>
      <c r="BK1211" s="4">
        <v>107</v>
      </c>
      <c r="BL1211" s="4">
        <v>0</v>
      </c>
      <c r="BM1211" s="4">
        <v>3</v>
      </c>
      <c r="BN1211" s="4">
        <v>8</v>
      </c>
      <c r="BO1211" s="4">
        <v>0</v>
      </c>
      <c r="BP1211" s="4">
        <v>3</v>
      </c>
      <c r="BQ1211" s="4">
        <v>20</v>
      </c>
      <c r="BR1211" s="4">
        <v>1</v>
      </c>
      <c r="BS1211" s="4">
        <v>90</v>
      </c>
      <c r="BT1211" s="4">
        <v>24</v>
      </c>
      <c r="BU1211" s="4">
        <v>0</v>
      </c>
      <c r="BV1211" s="4">
        <v>49</v>
      </c>
      <c r="BW1211" s="4">
        <v>3</v>
      </c>
      <c r="BX1211" s="4">
        <v>175</v>
      </c>
      <c r="BY1211" s="4">
        <v>0</v>
      </c>
      <c r="BZ1211" s="4">
        <v>0</v>
      </c>
      <c r="CA1211" s="4">
        <v>100</v>
      </c>
      <c r="CB1211" s="4">
        <v>59</v>
      </c>
      <c r="CC1211" s="4">
        <v>0</v>
      </c>
      <c r="CD1211" s="4">
        <v>3</v>
      </c>
      <c r="CE1211" s="4">
        <v>0</v>
      </c>
      <c r="CF1211" s="4">
        <v>0</v>
      </c>
      <c r="CG1211" s="4">
        <v>6</v>
      </c>
      <c r="CH1211" s="4">
        <v>1</v>
      </c>
      <c r="CI1211" s="4">
        <v>0</v>
      </c>
      <c r="CJ1211" s="4">
        <v>2</v>
      </c>
      <c r="CK1211" s="4">
        <v>0</v>
      </c>
      <c r="CL1211" s="4">
        <v>0</v>
      </c>
      <c r="CM1211" s="4">
        <v>35</v>
      </c>
      <c r="CN1211" s="4">
        <v>87</v>
      </c>
      <c r="CO1211" s="4">
        <v>1</v>
      </c>
      <c r="CP1211" s="4">
        <v>1</v>
      </c>
      <c r="CQ1211" s="4">
        <v>0</v>
      </c>
      <c r="CR1211" s="4">
        <v>8</v>
      </c>
      <c r="CS1211" s="4">
        <v>0</v>
      </c>
      <c r="CT1211" s="4">
        <v>12</v>
      </c>
      <c r="CU1211" s="4">
        <v>3</v>
      </c>
      <c r="CV1211" s="4">
        <v>28</v>
      </c>
      <c r="CW1211" s="4">
        <v>20</v>
      </c>
      <c r="CX1211" s="5">
        <v>20</v>
      </c>
    </row>
    <row r="1212" spans="1:102" ht="15.75" x14ac:dyDescent="0.25">
      <c r="A1212" s="4" t="s">
        <v>159</v>
      </c>
      <c r="B1212" s="4" t="s">
        <v>160</v>
      </c>
      <c r="C1212" s="4">
        <v>2023</v>
      </c>
      <c r="D1212" s="4">
        <v>23</v>
      </c>
      <c r="E1212" s="4">
        <v>0</v>
      </c>
      <c r="F1212" s="4">
        <v>0</v>
      </c>
      <c r="G1212" s="4">
        <v>0</v>
      </c>
      <c r="H1212" s="4">
        <v>0</v>
      </c>
      <c r="I1212" s="4">
        <v>3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4</v>
      </c>
      <c r="AK1212" s="4">
        <v>1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1</v>
      </c>
      <c r="AU1212" s="4">
        <v>0</v>
      </c>
      <c r="AV1212" s="4">
        <v>0</v>
      </c>
      <c r="AW1212" s="4">
        <v>0</v>
      </c>
      <c r="AX1212" s="4">
        <v>1</v>
      </c>
      <c r="AY1212" s="4">
        <v>0</v>
      </c>
      <c r="AZ1212" s="4">
        <v>1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2</v>
      </c>
      <c r="BT1212" s="4">
        <v>0</v>
      </c>
      <c r="BU1212" s="4">
        <v>0</v>
      </c>
      <c r="BV1212" s="4">
        <v>0</v>
      </c>
      <c r="BW1212" s="4">
        <v>0</v>
      </c>
      <c r="BX1212" s="4">
        <v>1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2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0</v>
      </c>
      <c r="CR1212" s="4">
        <v>0</v>
      </c>
      <c r="CS1212" s="4">
        <v>0</v>
      </c>
      <c r="CT1212" s="4">
        <v>0</v>
      </c>
      <c r="CU1212" s="4">
        <v>0</v>
      </c>
      <c r="CV1212" s="4">
        <v>1</v>
      </c>
      <c r="CW1212" s="4">
        <v>0</v>
      </c>
      <c r="CX1212" s="5">
        <v>0</v>
      </c>
    </row>
    <row r="1213" spans="1:102" ht="15.75" x14ac:dyDescent="0.25">
      <c r="A1213" s="4" t="s">
        <v>161</v>
      </c>
      <c r="B1213" s="4" t="s">
        <v>162</v>
      </c>
      <c r="C1213" s="4">
        <v>2023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2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5">
        <v>0</v>
      </c>
    </row>
    <row r="1214" spans="1:102" ht="15.75" x14ac:dyDescent="0.25">
      <c r="A1214" s="4" t="s">
        <v>163</v>
      </c>
      <c r="B1214" s="4" t="s">
        <v>164</v>
      </c>
      <c r="C1214" s="4">
        <v>2023</v>
      </c>
      <c r="D1214" s="4">
        <v>4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3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5">
        <v>0</v>
      </c>
    </row>
    <row r="1215" spans="1:102" ht="15.75" x14ac:dyDescent="0.25">
      <c r="A1215" s="4" t="s">
        <v>165</v>
      </c>
      <c r="B1215" s="4" t="s">
        <v>166</v>
      </c>
      <c r="C1215" s="4">
        <v>2023</v>
      </c>
      <c r="D1215" s="4">
        <v>10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1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1</v>
      </c>
      <c r="BO1215" s="4">
        <v>0</v>
      </c>
      <c r="BP1215" s="4">
        <v>0</v>
      </c>
      <c r="BQ1215" s="4">
        <v>2</v>
      </c>
      <c r="BR1215" s="4">
        <v>0</v>
      </c>
      <c r="BS1215" s="4">
        <v>0</v>
      </c>
      <c r="BT1215" s="4">
        <v>1</v>
      </c>
      <c r="BU1215" s="4">
        <v>0</v>
      </c>
      <c r="BV1215" s="4">
        <v>0</v>
      </c>
      <c r="BW1215" s="4">
        <v>1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4">
        <v>0</v>
      </c>
      <c r="CV1215" s="4">
        <v>1</v>
      </c>
      <c r="CW1215" s="4">
        <v>0</v>
      </c>
      <c r="CX1215" s="5">
        <v>0</v>
      </c>
    </row>
    <row r="1216" spans="1:102" ht="15.75" x14ac:dyDescent="0.25">
      <c r="A1216" s="4" t="s">
        <v>167</v>
      </c>
      <c r="B1216" s="4" t="s">
        <v>168</v>
      </c>
      <c r="C1216" s="4">
        <v>2023</v>
      </c>
      <c r="D1216" s="4">
        <v>15</v>
      </c>
      <c r="E1216" s="4">
        <v>2</v>
      </c>
      <c r="F1216" s="4">
        <v>0</v>
      </c>
      <c r="G1216" s="4">
        <v>0</v>
      </c>
      <c r="H1216" s="4">
        <v>0</v>
      </c>
      <c r="I1216" s="4">
        <v>0</v>
      </c>
      <c r="J1216" s="4">
        <v>1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3</v>
      </c>
      <c r="AJ1216" s="4">
        <v>0</v>
      </c>
      <c r="AK1216" s="4">
        <v>1</v>
      </c>
      <c r="AL1216" s="4">
        <v>0</v>
      </c>
      <c r="AM1216" s="4">
        <v>1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1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1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1</v>
      </c>
      <c r="CK1216" s="4">
        <v>0</v>
      </c>
      <c r="CL1216" s="4">
        <v>0</v>
      </c>
      <c r="CM1216" s="4">
        <v>0</v>
      </c>
      <c r="CN1216" s="4">
        <v>0</v>
      </c>
      <c r="CO1216" s="4">
        <v>1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0</v>
      </c>
      <c r="CV1216" s="4">
        <v>2</v>
      </c>
      <c r="CW1216" s="4">
        <v>0</v>
      </c>
      <c r="CX1216" s="5">
        <v>0</v>
      </c>
    </row>
    <row r="1217" spans="1:102" ht="15.75" x14ac:dyDescent="0.25">
      <c r="A1217" s="4" t="s">
        <v>169</v>
      </c>
      <c r="B1217" s="4" t="s">
        <v>170</v>
      </c>
      <c r="C1217" s="4">
        <v>2023</v>
      </c>
      <c r="D1217" s="4">
        <v>9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1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1</v>
      </c>
      <c r="BG1217" s="4">
        <v>0</v>
      </c>
      <c r="BH1217" s="4">
        <v>0</v>
      </c>
      <c r="BI1217" s="4">
        <v>0</v>
      </c>
      <c r="BJ1217" s="4">
        <v>0</v>
      </c>
      <c r="BK1217" s="4">
        <v>1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2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1</v>
      </c>
      <c r="CU1217" s="4">
        <v>0</v>
      </c>
      <c r="CV1217" s="4">
        <v>0</v>
      </c>
      <c r="CW1217" s="4">
        <v>0</v>
      </c>
      <c r="CX1217" s="5">
        <v>0</v>
      </c>
    </row>
    <row r="1218" spans="1:102" ht="15.75" x14ac:dyDescent="0.25">
      <c r="A1218" s="4" t="s">
        <v>171</v>
      </c>
      <c r="B1218" s="4" t="s">
        <v>172</v>
      </c>
      <c r="C1218" s="4">
        <v>2023</v>
      </c>
      <c r="D1218" s="4">
        <v>7109</v>
      </c>
      <c r="E1218" s="4">
        <v>3</v>
      </c>
      <c r="F1218" s="4">
        <v>16</v>
      </c>
      <c r="G1218" s="4">
        <v>24</v>
      </c>
      <c r="H1218" s="4">
        <v>16</v>
      </c>
      <c r="I1218" s="4">
        <v>51</v>
      </c>
      <c r="J1218" s="4">
        <v>11</v>
      </c>
      <c r="K1218" s="4">
        <v>24</v>
      </c>
      <c r="L1218" s="4">
        <v>106</v>
      </c>
      <c r="M1218" s="4">
        <v>37</v>
      </c>
      <c r="N1218" s="4">
        <v>22</v>
      </c>
      <c r="O1218" s="4">
        <v>190</v>
      </c>
      <c r="P1218" s="4">
        <v>0</v>
      </c>
      <c r="Q1218" s="4">
        <v>0</v>
      </c>
      <c r="R1218" s="4">
        <v>2</v>
      </c>
      <c r="S1218" s="4">
        <v>0</v>
      </c>
      <c r="T1218" s="4">
        <v>0</v>
      </c>
      <c r="U1218" s="4">
        <v>2</v>
      </c>
      <c r="V1218" s="4">
        <v>2</v>
      </c>
      <c r="W1218" s="4">
        <v>58</v>
      </c>
      <c r="X1218" s="4">
        <v>4</v>
      </c>
      <c r="Y1218" s="4">
        <v>0</v>
      </c>
      <c r="Z1218" s="4">
        <v>1006</v>
      </c>
      <c r="AA1218" s="4">
        <v>350</v>
      </c>
      <c r="AB1218" s="4">
        <v>0</v>
      </c>
      <c r="AC1218" s="4">
        <v>0</v>
      </c>
      <c r="AD1218" s="4">
        <v>0</v>
      </c>
      <c r="AE1218" s="4">
        <v>3</v>
      </c>
      <c r="AF1218" s="4">
        <v>0</v>
      </c>
      <c r="AG1218" s="4">
        <v>50</v>
      </c>
      <c r="AH1218" s="4">
        <v>172</v>
      </c>
      <c r="AI1218" s="4">
        <v>14</v>
      </c>
      <c r="AJ1218" s="4">
        <v>354</v>
      </c>
      <c r="AK1218" s="4">
        <v>42</v>
      </c>
      <c r="AL1218" s="4">
        <v>7</v>
      </c>
      <c r="AM1218" s="4">
        <v>50</v>
      </c>
      <c r="AN1218" s="4">
        <v>25</v>
      </c>
      <c r="AO1218" s="4">
        <v>81</v>
      </c>
      <c r="AP1218" s="4">
        <v>2</v>
      </c>
      <c r="AQ1218" s="4">
        <v>38</v>
      </c>
      <c r="AR1218" s="4">
        <v>2</v>
      </c>
      <c r="AS1218" s="4">
        <v>23</v>
      </c>
      <c r="AT1218" s="4">
        <v>23</v>
      </c>
      <c r="AU1218" s="4">
        <v>25</v>
      </c>
      <c r="AV1218" s="4">
        <v>69</v>
      </c>
      <c r="AW1218" s="4">
        <v>532</v>
      </c>
      <c r="AX1218" s="4">
        <v>133</v>
      </c>
      <c r="AY1218" s="4">
        <v>3</v>
      </c>
      <c r="AZ1218" s="4">
        <v>15</v>
      </c>
      <c r="BA1218" s="4">
        <v>0</v>
      </c>
      <c r="BB1218" s="4">
        <v>464</v>
      </c>
      <c r="BC1218" s="4">
        <v>61</v>
      </c>
      <c r="BD1218" s="4">
        <v>4</v>
      </c>
      <c r="BE1218" s="4">
        <v>44</v>
      </c>
      <c r="BF1218" s="4">
        <v>151</v>
      </c>
      <c r="BG1218" s="4">
        <v>11</v>
      </c>
      <c r="BH1218" s="4">
        <v>13</v>
      </c>
      <c r="BI1218" s="4">
        <v>0</v>
      </c>
      <c r="BJ1218" s="4">
        <v>175</v>
      </c>
      <c r="BK1218" s="4">
        <v>147</v>
      </c>
      <c r="BL1218" s="4">
        <v>0</v>
      </c>
      <c r="BM1218" s="4">
        <v>5</v>
      </c>
      <c r="BN1218" s="4">
        <v>41</v>
      </c>
      <c r="BO1218" s="4">
        <v>1</v>
      </c>
      <c r="BP1218" s="4">
        <v>15</v>
      </c>
      <c r="BQ1218" s="4">
        <v>69</v>
      </c>
      <c r="BR1218" s="4">
        <v>7</v>
      </c>
      <c r="BS1218" s="4">
        <v>123</v>
      </c>
      <c r="BT1218" s="4">
        <v>64</v>
      </c>
      <c r="BU1218" s="4">
        <v>3</v>
      </c>
      <c r="BV1218" s="4">
        <v>61</v>
      </c>
      <c r="BW1218" s="4">
        <v>28</v>
      </c>
      <c r="BX1218" s="4">
        <v>627</v>
      </c>
      <c r="BY1218" s="4">
        <v>3</v>
      </c>
      <c r="BZ1218" s="4">
        <v>10</v>
      </c>
      <c r="CA1218" s="4">
        <v>630</v>
      </c>
      <c r="CB1218" s="4">
        <v>4</v>
      </c>
      <c r="CC1218" s="4">
        <v>0</v>
      </c>
      <c r="CD1218" s="4">
        <v>4</v>
      </c>
      <c r="CE1218" s="4">
        <v>1</v>
      </c>
      <c r="CF1218" s="4">
        <v>7</v>
      </c>
      <c r="CG1218" s="4">
        <v>21</v>
      </c>
      <c r="CH1218" s="4">
        <v>3</v>
      </c>
      <c r="CI1218" s="4">
        <v>6</v>
      </c>
      <c r="CJ1218" s="4">
        <v>39</v>
      </c>
      <c r="CK1218" s="4">
        <v>4</v>
      </c>
      <c r="CL1218" s="4">
        <v>0</v>
      </c>
      <c r="CM1218" s="4">
        <v>26</v>
      </c>
      <c r="CN1218" s="4">
        <v>154</v>
      </c>
      <c r="CO1218" s="4">
        <v>12</v>
      </c>
      <c r="CP1218" s="4">
        <v>18</v>
      </c>
      <c r="CQ1218" s="4">
        <v>0</v>
      </c>
      <c r="CR1218" s="4">
        <v>28</v>
      </c>
      <c r="CS1218" s="4">
        <v>8</v>
      </c>
      <c r="CT1218" s="4">
        <v>19</v>
      </c>
      <c r="CU1218" s="4">
        <v>5</v>
      </c>
      <c r="CV1218" s="4">
        <v>63</v>
      </c>
      <c r="CW1218" s="4">
        <v>346</v>
      </c>
      <c r="CX1218" s="5">
        <v>347</v>
      </c>
    </row>
    <row r="1219" spans="1:102" ht="15.75" x14ac:dyDescent="0.25">
      <c r="A1219" s="4" t="s">
        <v>173</v>
      </c>
      <c r="B1219" s="4" t="s">
        <v>174</v>
      </c>
      <c r="C1219" s="4">
        <v>2023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5">
        <v>0</v>
      </c>
    </row>
    <row r="1220" spans="1:102" ht="15.75" x14ac:dyDescent="0.25">
      <c r="A1220" s="4" t="s">
        <v>175</v>
      </c>
      <c r="B1220" s="4" t="s">
        <v>176</v>
      </c>
      <c r="C1220" s="4">
        <v>2023</v>
      </c>
      <c r="D1220" s="4">
        <v>38</v>
      </c>
      <c r="E1220" s="4">
        <v>0</v>
      </c>
      <c r="F1220" s="4">
        <v>1</v>
      </c>
      <c r="G1220" s="4">
        <v>1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7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2</v>
      </c>
      <c r="AK1220" s="4">
        <v>3</v>
      </c>
      <c r="AL1220" s="4">
        <v>0</v>
      </c>
      <c r="AM1220" s="4">
        <v>1</v>
      </c>
      <c r="AN1220" s="4">
        <v>0</v>
      </c>
      <c r="AO1220" s="4">
        <v>1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1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1</v>
      </c>
      <c r="BC1220" s="4">
        <v>0</v>
      </c>
      <c r="BD1220" s="4">
        <v>0</v>
      </c>
      <c r="BE1220" s="4">
        <v>1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1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3</v>
      </c>
      <c r="BR1220" s="4">
        <v>0</v>
      </c>
      <c r="BS1220" s="4">
        <v>0</v>
      </c>
      <c r="BT1220" s="4">
        <v>1</v>
      </c>
      <c r="BU1220" s="4">
        <v>0</v>
      </c>
      <c r="BV1220" s="4">
        <v>1</v>
      </c>
      <c r="BW1220" s="4">
        <v>2</v>
      </c>
      <c r="BX1220" s="4">
        <v>5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2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  <c r="CS1220" s="4">
        <v>0</v>
      </c>
      <c r="CT1220" s="4">
        <v>0</v>
      </c>
      <c r="CU1220" s="4">
        <v>0</v>
      </c>
      <c r="CV1220" s="4">
        <v>0</v>
      </c>
      <c r="CW1220" s="4">
        <v>0</v>
      </c>
      <c r="CX1220" s="5">
        <v>0</v>
      </c>
    </row>
    <row r="1221" spans="1:102" ht="15.75" x14ac:dyDescent="0.25">
      <c r="A1221" s="4" t="s">
        <v>177</v>
      </c>
      <c r="B1221" s="4" t="s">
        <v>178</v>
      </c>
      <c r="C1221" s="4">
        <v>2023</v>
      </c>
      <c r="D1221" s="4">
        <v>1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4">
        <v>0</v>
      </c>
      <c r="CV1221" s="4">
        <v>1</v>
      </c>
      <c r="CW1221" s="4">
        <v>0</v>
      </c>
      <c r="CX1221" s="5">
        <v>0</v>
      </c>
    </row>
    <row r="1222" spans="1:102" ht="15.75" x14ac:dyDescent="0.25">
      <c r="A1222" s="4" t="s">
        <v>179</v>
      </c>
      <c r="B1222" s="4" t="s">
        <v>180</v>
      </c>
      <c r="C1222" s="4">
        <v>2023</v>
      </c>
      <c r="D1222" s="4">
        <v>49</v>
      </c>
      <c r="E1222" s="4">
        <v>0</v>
      </c>
      <c r="F1222" s="4">
        <v>2</v>
      </c>
      <c r="G1222" s="4">
        <v>4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1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2</v>
      </c>
      <c r="AP1222" s="4">
        <v>0</v>
      </c>
      <c r="AQ1222" s="4">
        <v>2</v>
      </c>
      <c r="AR1222" s="4">
        <v>0</v>
      </c>
      <c r="AS1222" s="4">
        <v>0</v>
      </c>
      <c r="AT1222" s="4">
        <v>0</v>
      </c>
      <c r="AU1222" s="4">
        <v>0</v>
      </c>
      <c r="AV1222" s="4">
        <v>10</v>
      </c>
      <c r="AW1222" s="4">
        <v>0</v>
      </c>
      <c r="AX1222" s="4">
        <v>3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2</v>
      </c>
      <c r="BF1222" s="4">
        <v>3</v>
      </c>
      <c r="BG1222" s="4">
        <v>0</v>
      </c>
      <c r="BH1222" s="4">
        <v>0</v>
      </c>
      <c r="BI1222" s="4">
        <v>0</v>
      </c>
      <c r="BJ1222" s="4">
        <v>4</v>
      </c>
      <c r="BK1222" s="4">
        <v>2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2</v>
      </c>
      <c r="BR1222" s="4">
        <v>0</v>
      </c>
      <c r="BS1222" s="4">
        <v>1</v>
      </c>
      <c r="BT1222" s="4">
        <v>1</v>
      </c>
      <c r="BU1222" s="4">
        <v>0</v>
      </c>
      <c r="BV1222" s="4">
        <v>0</v>
      </c>
      <c r="BW1222" s="4">
        <v>0</v>
      </c>
      <c r="BX1222" s="4">
        <v>2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1</v>
      </c>
      <c r="CN1222" s="4">
        <v>2</v>
      </c>
      <c r="CO1222" s="4">
        <v>0</v>
      </c>
      <c r="CP1222" s="4">
        <v>0</v>
      </c>
      <c r="CQ1222" s="4">
        <v>0</v>
      </c>
      <c r="CR1222" s="4">
        <v>0</v>
      </c>
      <c r="CS1222" s="4">
        <v>0</v>
      </c>
      <c r="CT1222" s="4">
        <v>0</v>
      </c>
      <c r="CU1222" s="4">
        <v>0</v>
      </c>
      <c r="CV1222" s="4">
        <v>0</v>
      </c>
      <c r="CW1222" s="4">
        <v>1</v>
      </c>
      <c r="CX1222" s="5">
        <v>1</v>
      </c>
    </row>
    <row r="1223" spans="1:102" ht="15.75" x14ac:dyDescent="0.25">
      <c r="A1223" s="4" t="s">
        <v>181</v>
      </c>
      <c r="B1223" s="4" t="s">
        <v>182</v>
      </c>
      <c r="C1223" s="4">
        <v>2023</v>
      </c>
      <c r="D1223" s="4">
        <v>12831</v>
      </c>
      <c r="E1223" s="4">
        <v>1</v>
      </c>
      <c r="F1223" s="4">
        <v>6</v>
      </c>
      <c r="G1223" s="4">
        <v>11</v>
      </c>
      <c r="H1223" s="4">
        <v>5</v>
      </c>
      <c r="I1223" s="4">
        <v>26</v>
      </c>
      <c r="J1223" s="4">
        <v>5</v>
      </c>
      <c r="K1223" s="4">
        <v>9</v>
      </c>
      <c r="L1223" s="4">
        <v>14</v>
      </c>
      <c r="M1223" s="4">
        <v>5</v>
      </c>
      <c r="N1223" s="4">
        <v>25</v>
      </c>
      <c r="O1223" s="4">
        <v>137</v>
      </c>
      <c r="P1223" s="4">
        <v>0</v>
      </c>
      <c r="Q1223" s="4">
        <v>0</v>
      </c>
      <c r="R1223" s="4">
        <v>1</v>
      </c>
      <c r="S1223" s="4">
        <v>0</v>
      </c>
      <c r="T1223" s="4">
        <v>0</v>
      </c>
      <c r="U1223" s="4">
        <v>1</v>
      </c>
      <c r="V1223" s="4">
        <v>3</v>
      </c>
      <c r="W1223" s="4">
        <v>45</v>
      </c>
      <c r="X1223" s="4">
        <v>3</v>
      </c>
      <c r="Y1223" s="4">
        <v>0</v>
      </c>
      <c r="Z1223" s="4">
        <v>0</v>
      </c>
      <c r="AA1223" s="4">
        <v>2</v>
      </c>
      <c r="AB1223" s="4">
        <v>0</v>
      </c>
      <c r="AC1223" s="4">
        <v>0</v>
      </c>
      <c r="AD1223" s="4">
        <v>0</v>
      </c>
      <c r="AE1223" s="4">
        <v>5</v>
      </c>
      <c r="AF1223" s="4">
        <v>1</v>
      </c>
      <c r="AG1223" s="4">
        <v>179</v>
      </c>
      <c r="AH1223" s="4">
        <v>19</v>
      </c>
      <c r="AI1223" s="4">
        <v>20</v>
      </c>
      <c r="AJ1223" s="4">
        <v>790</v>
      </c>
      <c r="AK1223" s="4">
        <v>67</v>
      </c>
      <c r="AL1223" s="4">
        <v>1</v>
      </c>
      <c r="AM1223" s="4">
        <v>23</v>
      </c>
      <c r="AN1223" s="4">
        <v>50</v>
      </c>
      <c r="AO1223" s="4">
        <v>61</v>
      </c>
      <c r="AP1223" s="4">
        <v>1</v>
      </c>
      <c r="AQ1223" s="4">
        <v>13</v>
      </c>
      <c r="AR1223" s="4">
        <v>3</v>
      </c>
      <c r="AS1223" s="4">
        <v>18</v>
      </c>
      <c r="AT1223" s="4">
        <v>23</v>
      </c>
      <c r="AU1223" s="4">
        <v>48</v>
      </c>
      <c r="AV1223" s="4">
        <v>21</v>
      </c>
      <c r="AW1223" s="4">
        <v>449</v>
      </c>
      <c r="AX1223" s="4">
        <v>57</v>
      </c>
      <c r="AY1223" s="4">
        <v>9</v>
      </c>
      <c r="AZ1223" s="4">
        <v>6</v>
      </c>
      <c r="BA1223" s="4">
        <v>0</v>
      </c>
      <c r="BB1223" s="4">
        <v>219</v>
      </c>
      <c r="BC1223" s="4">
        <v>5</v>
      </c>
      <c r="BD1223" s="4">
        <v>0</v>
      </c>
      <c r="BE1223" s="4">
        <v>14</v>
      </c>
      <c r="BF1223" s="4">
        <v>56</v>
      </c>
      <c r="BG1223" s="4">
        <v>6</v>
      </c>
      <c r="BH1223" s="4">
        <v>5</v>
      </c>
      <c r="BI1223" s="4">
        <v>1</v>
      </c>
      <c r="BJ1223" s="4">
        <v>59</v>
      </c>
      <c r="BK1223" s="4">
        <v>116</v>
      </c>
      <c r="BL1223" s="4">
        <v>0</v>
      </c>
      <c r="BM1223" s="4">
        <v>15</v>
      </c>
      <c r="BN1223" s="4">
        <v>67</v>
      </c>
      <c r="BO1223" s="4">
        <v>1</v>
      </c>
      <c r="BP1223" s="4">
        <v>4</v>
      </c>
      <c r="BQ1223" s="4">
        <v>76</v>
      </c>
      <c r="BR1223" s="4">
        <v>4</v>
      </c>
      <c r="BS1223" s="4">
        <v>104</v>
      </c>
      <c r="BT1223" s="4">
        <v>46</v>
      </c>
      <c r="BU1223" s="4">
        <v>3</v>
      </c>
      <c r="BV1223" s="4">
        <v>43</v>
      </c>
      <c r="BW1223" s="4">
        <v>12</v>
      </c>
      <c r="BX1223" s="4">
        <v>447</v>
      </c>
      <c r="BY1223" s="4">
        <v>5</v>
      </c>
      <c r="BZ1223" s="4">
        <v>0</v>
      </c>
      <c r="CA1223" s="4">
        <v>100</v>
      </c>
      <c r="CB1223" s="4">
        <v>21</v>
      </c>
      <c r="CC1223" s="4">
        <v>1</v>
      </c>
      <c r="CD1223" s="4">
        <v>7</v>
      </c>
      <c r="CE1223" s="4">
        <v>0</v>
      </c>
      <c r="CF1223" s="4">
        <v>15</v>
      </c>
      <c r="CG1223" s="4">
        <v>9</v>
      </c>
      <c r="CH1223" s="4">
        <v>7</v>
      </c>
      <c r="CI1223" s="4">
        <v>18</v>
      </c>
      <c r="CJ1223" s="4">
        <v>62</v>
      </c>
      <c r="CK1223" s="4">
        <v>20</v>
      </c>
      <c r="CL1223" s="4">
        <v>0</v>
      </c>
      <c r="CM1223" s="4">
        <v>16</v>
      </c>
      <c r="CN1223" s="4">
        <v>118</v>
      </c>
      <c r="CO1223" s="4">
        <v>148</v>
      </c>
      <c r="CP1223" s="4">
        <v>15</v>
      </c>
      <c r="CQ1223" s="4">
        <v>0</v>
      </c>
      <c r="CR1223" s="4">
        <v>634</v>
      </c>
      <c r="CS1223" s="4">
        <v>325</v>
      </c>
      <c r="CT1223" s="4">
        <v>34</v>
      </c>
      <c r="CU1223" s="4">
        <v>5</v>
      </c>
      <c r="CV1223" s="4">
        <v>100</v>
      </c>
      <c r="CW1223" s="4">
        <v>7705</v>
      </c>
      <c r="CX1223" s="5">
        <v>7703</v>
      </c>
    </row>
    <row r="1224" spans="1:102" ht="15.75" x14ac:dyDescent="0.25">
      <c r="A1224" s="4" t="s">
        <v>183</v>
      </c>
      <c r="B1224" s="4" t="s">
        <v>184</v>
      </c>
      <c r="C1224" s="4">
        <v>2023</v>
      </c>
      <c r="D1224" s="4">
        <v>194</v>
      </c>
      <c r="E1224" s="4">
        <v>0</v>
      </c>
      <c r="F1224" s="4">
        <v>4</v>
      </c>
      <c r="G1224" s="4">
        <v>6</v>
      </c>
      <c r="H1224" s="4">
        <v>0</v>
      </c>
      <c r="I1224" s="4">
        <v>1</v>
      </c>
      <c r="J1224" s="4">
        <v>0</v>
      </c>
      <c r="K1224" s="4">
        <v>0</v>
      </c>
      <c r="L1224" s="4">
        <v>0</v>
      </c>
      <c r="M1224" s="4">
        <v>0</v>
      </c>
      <c r="N1224" s="4">
        <v>1</v>
      </c>
      <c r="O1224" s="4">
        <v>2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7</v>
      </c>
      <c r="V1224" s="4">
        <v>0</v>
      </c>
      <c r="W1224" s="4">
        <v>0</v>
      </c>
      <c r="X1224" s="4">
        <v>1</v>
      </c>
      <c r="Y1224" s="4">
        <v>0</v>
      </c>
      <c r="Z1224" s="4">
        <v>0</v>
      </c>
      <c r="AA1224" s="4">
        <v>5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1</v>
      </c>
      <c r="AJ1224" s="4">
        <v>0</v>
      </c>
      <c r="AK1224" s="4">
        <v>1</v>
      </c>
      <c r="AL1224" s="4">
        <v>0</v>
      </c>
      <c r="AM1224" s="4">
        <v>2</v>
      </c>
      <c r="AN1224" s="4">
        <v>3</v>
      </c>
      <c r="AO1224" s="4">
        <v>3</v>
      </c>
      <c r="AP1224" s="4">
        <v>0</v>
      </c>
      <c r="AQ1224" s="4">
        <v>1</v>
      </c>
      <c r="AR1224" s="4">
        <v>0</v>
      </c>
      <c r="AS1224" s="4">
        <v>0</v>
      </c>
      <c r="AT1224" s="4">
        <v>0</v>
      </c>
      <c r="AU1224" s="4">
        <v>0</v>
      </c>
      <c r="AV1224" s="4">
        <v>8</v>
      </c>
      <c r="AW1224" s="4">
        <v>0</v>
      </c>
      <c r="AX1224" s="4">
        <v>66</v>
      </c>
      <c r="AY1224" s="4">
        <v>0</v>
      </c>
      <c r="AZ1224" s="4">
        <v>1</v>
      </c>
      <c r="BA1224" s="4">
        <v>0</v>
      </c>
      <c r="BB1224" s="4">
        <v>1</v>
      </c>
      <c r="BC1224" s="4">
        <v>0</v>
      </c>
      <c r="BD1224" s="4">
        <v>0</v>
      </c>
      <c r="BE1224" s="4">
        <v>6</v>
      </c>
      <c r="BF1224" s="4">
        <v>4</v>
      </c>
      <c r="BG1224" s="4">
        <v>0</v>
      </c>
      <c r="BH1224" s="4">
        <v>0</v>
      </c>
      <c r="BI1224" s="4">
        <v>1</v>
      </c>
      <c r="BJ1224" s="4">
        <v>7</v>
      </c>
      <c r="BK1224" s="4">
        <v>7</v>
      </c>
      <c r="BL1224" s="4">
        <v>0</v>
      </c>
      <c r="BM1224" s="4">
        <v>0</v>
      </c>
      <c r="BN1224" s="4">
        <v>1</v>
      </c>
      <c r="BO1224" s="4">
        <v>0</v>
      </c>
      <c r="BP1224" s="4">
        <v>0</v>
      </c>
      <c r="BQ1224" s="4">
        <v>6</v>
      </c>
      <c r="BR1224" s="4">
        <v>0</v>
      </c>
      <c r="BS1224" s="4">
        <v>4</v>
      </c>
      <c r="BT1224" s="4">
        <v>1</v>
      </c>
      <c r="BU1224" s="4">
        <v>0</v>
      </c>
      <c r="BV1224" s="4">
        <v>2</v>
      </c>
      <c r="BW1224" s="4">
        <v>1</v>
      </c>
      <c r="BX1224" s="4">
        <v>6</v>
      </c>
      <c r="BY1224" s="4">
        <v>0</v>
      </c>
      <c r="BZ1224" s="4">
        <v>0</v>
      </c>
      <c r="CA1224" s="4">
        <v>0</v>
      </c>
      <c r="CB1224" s="4">
        <v>2</v>
      </c>
      <c r="CC1224" s="4">
        <v>0</v>
      </c>
      <c r="CD1224" s="4">
        <v>0</v>
      </c>
      <c r="CE1224" s="4">
        <v>0</v>
      </c>
      <c r="CF1224" s="4">
        <v>1</v>
      </c>
      <c r="CG1224" s="4">
        <v>0</v>
      </c>
      <c r="CH1224" s="4">
        <v>1</v>
      </c>
      <c r="CI1224" s="4">
        <v>0</v>
      </c>
      <c r="CJ1224" s="4">
        <v>0</v>
      </c>
      <c r="CK1224" s="4">
        <v>1</v>
      </c>
      <c r="CL1224" s="4">
        <v>0</v>
      </c>
      <c r="CM1224" s="4">
        <v>1</v>
      </c>
      <c r="CN1224" s="4">
        <v>12</v>
      </c>
      <c r="CO1224" s="4">
        <v>0</v>
      </c>
      <c r="CP1224" s="4">
        <v>0</v>
      </c>
      <c r="CQ1224" s="4">
        <v>0</v>
      </c>
      <c r="CR1224" s="4">
        <v>0</v>
      </c>
      <c r="CS1224" s="4">
        <v>0</v>
      </c>
      <c r="CT1224" s="4">
        <v>2</v>
      </c>
      <c r="CU1224" s="4">
        <v>0</v>
      </c>
      <c r="CV1224" s="4">
        <v>3</v>
      </c>
      <c r="CW1224" s="4">
        <v>9</v>
      </c>
      <c r="CX1224" s="5">
        <v>9</v>
      </c>
    </row>
    <row r="1225" spans="1:102" ht="15.75" x14ac:dyDescent="0.25">
      <c r="A1225" s="4" t="s">
        <v>185</v>
      </c>
      <c r="B1225" s="4" t="s">
        <v>186</v>
      </c>
      <c r="C1225" s="4">
        <v>2023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1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0</v>
      </c>
      <c r="CP1225" s="4">
        <v>0</v>
      </c>
      <c r="CQ1225" s="4">
        <v>0</v>
      </c>
      <c r="CR1225" s="4">
        <v>0</v>
      </c>
      <c r="CS1225" s="4">
        <v>0</v>
      </c>
      <c r="CT1225" s="4">
        <v>0</v>
      </c>
      <c r="CU1225" s="4">
        <v>0</v>
      </c>
      <c r="CV1225" s="4">
        <v>0</v>
      </c>
      <c r="CW1225" s="4">
        <v>0</v>
      </c>
      <c r="CX1225" s="5">
        <v>0</v>
      </c>
    </row>
    <row r="1226" spans="1:102" ht="15.75" x14ac:dyDescent="0.25">
      <c r="A1226" s="4" t="s">
        <v>187</v>
      </c>
      <c r="B1226" s="4" t="s">
        <v>188</v>
      </c>
      <c r="C1226" s="4">
        <v>2023</v>
      </c>
      <c r="D1226" s="4">
        <v>492</v>
      </c>
      <c r="E1226" s="4">
        <v>0</v>
      </c>
      <c r="F1226" s="4">
        <v>0</v>
      </c>
      <c r="G1226" s="4">
        <v>0</v>
      </c>
      <c r="H1226" s="4">
        <v>0</v>
      </c>
      <c r="I1226" s="4">
        <v>1</v>
      </c>
      <c r="J1226" s="4">
        <v>1</v>
      </c>
      <c r="K1226" s="4">
        <v>0</v>
      </c>
      <c r="L1226" s="4">
        <v>16</v>
      </c>
      <c r="M1226" s="4">
        <v>24</v>
      </c>
      <c r="N1226" s="4">
        <v>3</v>
      </c>
      <c r="O1226" s="4">
        <v>42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1</v>
      </c>
      <c r="W1226" s="4">
        <v>0</v>
      </c>
      <c r="X1226" s="4">
        <v>0</v>
      </c>
      <c r="Y1226" s="4">
        <v>0</v>
      </c>
      <c r="Z1226" s="4">
        <v>0</v>
      </c>
      <c r="AA1226" s="4">
        <v>1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2</v>
      </c>
      <c r="AH1226" s="4">
        <v>0</v>
      </c>
      <c r="AI1226" s="4">
        <v>5</v>
      </c>
      <c r="AJ1226" s="4">
        <v>42</v>
      </c>
      <c r="AK1226" s="4">
        <v>12</v>
      </c>
      <c r="AL1226" s="4">
        <v>0</v>
      </c>
      <c r="AM1226" s="4">
        <v>7</v>
      </c>
      <c r="AN1226" s="4">
        <v>3</v>
      </c>
      <c r="AO1226" s="4">
        <v>20</v>
      </c>
      <c r="AP1226" s="4">
        <v>0</v>
      </c>
      <c r="AQ1226" s="4">
        <v>2</v>
      </c>
      <c r="AR1226" s="4">
        <v>0</v>
      </c>
      <c r="AS1226" s="4">
        <v>5</v>
      </c>
      <c r="AT1226" s="4">
        <v>2</v>
      </c>
      <c r="AU1226" s="4">
        <v>2</v>
      </c>
      <c r="AV1226" s="4">
        <v>2</v>
      </c>
      <c r="AW1226" s="4">
        <v>3</v>
      </c>
      <c r="AX1226" s="4">
        <v>7</v>
      </c>
      <c r="AY1226" s="4">
        <v>0</v>
      </c>
      <c r="AZ1226" s="4">
        <v>5</v>
      </c>
      <c r="BA1226" s="4">
        <v>0</v>
      </c>
      <c r="BB1226" s="4">
        <v>57</v>
      </c>
      <c r="BC1226" s="4">
        <v>15</v>
      </c>
      <c r="BD1226" s="4">
        <v>0</v>
      </c>
      <c r="BE1226" s="4">
        <v>9</v>
      </c>
      <c r="BF1226" s="4">
        <v>22</v>
      </c>
      <c r="BG1226" s="4">
        <v>0</v>
      </c>
      <c r="BH1226" s="4">
        <v>0</v>
      </c>
      <c r="BI1226" s="4">
        <v>1</v>
      </c>
      <c r="BJ1226" s="4">
        <v>14</v>
      </c>
      <c r="BK1226" s="4">
        <v>14</v>
      </c>
      <c r="BL1226" s="4">
        <v>0</v>
      </c>
      <c r="BM1226" s="4">
        <v>0</v>
      </c>
      <c r="BN1226" s="4">
        <v>2</v>
      </c>
      <c r="BO1226" s="4">
        <v>0</v>
      </c>
      <c r="BP1226" s="4">
        <v>2</v>
      </c>
      <c r="BQ1226" s="4">
        <v>5</v>
      </c>
      <c r="BR1226" s="4">
        <v>1</v>
      </c>
      <c r="BS1226" s="4">
        <v>12</v>
      </c>
      <c r="BT1226" s="4">
        <v>4</v>
      </c>
      <c r="BU1226" s="4">
        <v>1</v>
      </c>
      <c r="BV1226" s="4">
        <v>7</v>
      </c>
      <c r="BW1226" s="4">
        <v>4</v>
      </c>
      <c r="BX1226" s="4">
        <v>63</v>
      </c>
      <c r="BY1226" s="4">
        <v>1</v>
      </c>
      <c r="BZ1226" s="4">
        <v>0</v>
      </c>
      <c r="CA1226" s="4">
        <v>2</v>
      </c>
      <c r="CB1226" s="4">
        <v>1</v>
      </c>
      <c r="CC1226" s="4">
        <v>0</v>
      </c>
      <c r="CD1226" s="4">
        <v>0</v>
      </c>
      <c r="CE1226" s="4">
        <v>0</v>
      </c>
      <c r="CF1226" s="4">
        <v>4</v>
      </c>
      <c r="CG1226" s="4">
        <v>1</v>
      </c>
      <c r="CH1226" s="4">
        <v>0</v>
      </c>
      <c r="CI1226" s="4">
        <v>0</v>
      </c>
      <c r="CJ1226" s="4">
        <v>5</v>
      </c>
      <c r="CK1226" s="4">
        <v>0</v>
      </c>
      <c r="CL1226" s="4">
        <v>0</v>
      </c>
      <c r="CM1226" s="4">
        <v>2</v>
      </c>
      <c r="CN1226" s="4">
        <v>18</v>
      </c>
      <c r="CO1226" s="4">
        <v>0</v>
      </c>
      <c r="CP1226" s="4">
        <v>0</v>
      </c>
      <c r="CQ1226" s="4">
        <v>0</v>
      </c>
      <c r="CR1226" s="4">
        <v>1</v>
      </c>
      <c r="CS1226" s="4">
        <v>0</v>
      </c>
      <c r="CT1226" s="4">
        <v>3</v>
      </c>
      <c r="CU1226" s="4">
        <v>3</v>
      </c>
      <c r="CV1226" s="4">
        <v>9</v>
      </c>
      <c r="CW1226" s="4">
        <v>2</v>
      </c>
      <c r="CX1226" s="5">
        <v>2</v>
      </c>
    </row>
    <row r="1227" spans="1:102" ht="15.75" x14ac:dyDescent="0.25">
      <c r="A1227" s="4" t="s">
        <v>189</v>
      </c>
      <c r="B1227" s="4" t="s">
        <v>190</v>
      </c>
      <c r="C1227" s="4">
        <v>2023</v>
      </c>
      <c r="D1227" s="4">
        <v>50</v>
      </c>
      <c r="E1227" s="4">
        <v>0</v>
      </c>
      <c r="F1227" s="4">
        <v>0</v>
      </c>
      <c r="G1227" s="4">
        <v>3</v>
      </c>
      <c r="H1227" s="4">
        <v>0</v>
      </c>
      <c r="I1227" s="4">
        <v>1</v>
      </c>
      <c r="J1227" s="4">
        <v>0</v>
      </c>
      <c r="K1227" s="4">
        <v>0</v>
      </c>
      <c r="L1227" s="4">
        <v>0</v>
      </c>
      <c r="M1227" s="4">
        <v>0</v>
      </c>
      <c r="N1227" s="4">
        <v>1</v>
      </c>
      <c r="O1227" s="4">
        <v>9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2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1</v>
      </c>
      <c r="AJ1227" s="4">
        <v>4</v>
      </c>
      <c r="AK1227" s="4">
        <v>0</v>
      </c>
      <c r="AL1227" s="4">
        <v>0</v>
      </c>
      <c r="AM1227" s="4">
        <v>0</v>
      </c>
      <c r="AN1227" s="4">
        <v>0</v>
      </c>
      <c r="AO1227" s="4">
        <v>1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1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1</v>
      </c>
      <c r="BF1227" s="4">
        <v>3</v>
      </c>
      <c r="BG1227" s="4">
        <v>0</v>
      </c>
      <c r="BH1227" s="4">
        <v>0</v>
      </c>
      <c r="BI1227" s="4">
        <v>0</v>
      </c>
      <c r="BJ1227" s="4">
        <v>2</v>
      </c>
      <c r="BK1227" s="4">
        <v>1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3</v>
      </c>
      <c r="BR1227" s="4">
        <v>0</v>
      </c>
      <c r="BS1227" s="4">
        <v>1</v>
      </c>
      <c r="BT1227" s="4">
        <v>1</v>
      </c>
      <c r="BU1227" s="4">
        <v>0</v>
      </c>
      <c r="BV1227" s="4">
        <v>1</v>
      </c>
      <c r="BW1227" s="4">
        <v>0</v>
      </c>
      <c r="BX1227" s="4">
        <v>4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2</v>
      </c>
      <c r="CG1227" s="4">
        <v>0</v>
      </c>
      <c r="CH1227" s="4">
        <v>1</v>
      </c>
      <c r="CI1227" s="4">
        <v>0</v>
      </c>
      <c r="CJ1227" s="4">
        <v>0</v>
      </c>
      <c r="CK1227" s="4">
        <v>0</v>
      </c>
      <c r="CL1227" s="4">
        <v>0</v>
      </c>
      <c r="CM1227" s="4">
        <v>1</v>
      </c>
      <c r="CN1227" s="4">
        <v>1</v>
      </c>
      <c r="CO1227" s="4">
        <v>0</v>
      </c>
      <c r="CP1227" s="4">
        <v>0</v>
      </c>
      <c r="CQ1227" s="4">
        <v>0</v>
      </c>
      <c r="CR1227" s="4">
        <v>0</v>
      </c>
      <c r="CS1227" s="4">
        <v>0</v>
      </c>
      <c r="CT1227" s="4">
        <v>2</v>
      </c>
      <c r="CU1227" s="4">
        <v>0</v>
      </c>
      <c r="CV1227" s="4">
        <v>1</v>
      </c>
      <c r="CW1227" s="4">
        <v>0</v>
      </c>
      <c r="CX1227" s="5">
        <v>0</v>
      </c>
    </row>
    <row r="1228" spans="1:102" ht="15.75" x14ac:dyDescent="0.25">
      <c r="A1228" s="4" t="s">
        <v>191</v>
      </c>
      <c r="B1228" s="4" t="s">
        <v>192</v>
      </c>
      <c r="C1228" s="4">
        <v>2023</v>
      </c>
      <c r="D1228" s="4">
        <v>21881</v>
      </c>
      <c r="E1228" s="4">
        <v>0</v>
      </c>
      <c r="F1228" s="4">
        <v>186</v>
      </c>
      <c r="G1228" s="4">
        <v>35</v>
      </c>
      <c r="H1228" s="4">
        <v>91</v>
      </c>
      <c r="I1228" s="4">
        <v>12</v>
      </c>
      <c r="J1228" s="4">
        <v>6</v>
      </c>
      <c r="K1228" s="4">
        <v>2</v>
      </c>
      <c r="L1228" s="4">
        <v>26</v>
      </c>
      <c r="M1228" s="4">
        <v>2</v>
      </c>
      <c r="N1228" s="4">
        <v>175</v>
      </c>
      <c r="O1228" s="4">
        <v>285</v>
      </c>
      <c r="P1228" s="4">
        <v>27</v>
      </c>
      <c r="Q1228" s="4">
        <v>0</v>
      </c>
      <c r="R1228" s="4">
        <v>7</v>
      </c>
      <c r="S1228" s="4">
        <v>1</v>
      </c>
      <c r="T1228" s="4">
        <v>2</v>
      </c>
      <c r="U1228" s="4">
        <v>97</v>
      </c>
      <c r="V1228" s="4">
        <v>15</v>
      </c>
      <c r="W1228" s="4">
        <v>598</v>
      </c>
      <c r="X1228" s="4">
        <v>8</v>
      </c>
      <c r="Y1228" s="4">
        <v>0</v>
      </c>
      <c r="Z1228" s="4">
        <v>1919</v>
      </c>
      <c r="AA1228" s="4">
        <v>76</v>
      </c>
      <c r="AB1228" s="4">
        <v>0</v>
      </c>
      <c r="AC1228" s="4">
        <v>0</v>
      </c>
      <c r="AD1228" s="4">
        <v>1</v>
      </c>
      <c r="AE1228" s="4">
        <v>2</v>
      </c>
      <c r="AF1228" s="4">
        <v>1</v>
      </c>
      <c r="AG1228" s="4">
        <v>60</v>
      </c>
      <c r="AH1228" s="4">
        <v>43</v>
      </c>
      <c r="AI1228" s="4">
        <v>61</v>
      </c>
      <c r="AJ1228" s="4">
        <v>1065</v>
      </c>
      <c r="AK1228" s="4">
        <v>115</v>
      </c>
      <c r="AL1228" s="4">
        <v>15</v>
      </c>
      <c r="AM1228" s="4">
        <v>110</v>
      </c>
      <c r="AN1228" s="4">
        <v>157</v>
      </c>
      <c r="AO1228" s="4">
        <v>240</v>
      </c>
      <c r="AP1228" s="4">
        <v>5</v>
      </c>
      <c r="AQ1228" s="4">
        <v>53</v>
      </c>
      <c r="AR1228" s="4">
        <v>2</v>
      </c>
      <c r="AS1228" s="4">
        <v>32</v>
      </c>
      <c r="AT1228" s="4">
        <v>82</v>
      </c>
      <c r="AU1228" s="4">
        <v>90</v>
      </c>
      <c r="AV1228" s="4">
        <v>81</v>
      </c>
      <c r="AW1228" s="4">
        <v>348</v>
      </c>
      <c r="AX1228" s="4">
        <v>220</v>
      </c>
      <c r="AY1228" s="4">
        <v>6</v>
      </c>
      <c r="AZ1228" s="4">
        <v>21</v>
      </c>
      <c r="BA1228" s="4">
        <v>0</v>
      </c>
      <c r="BB1228" s="4">
        <v>848</v>
      </c>
      <c r="BC1228" s="4">
        <v>225</v>
      </c>
      <c r="BD1228" s="4">
        <v>2</v>
      </c>
      <c r="BE1228" s="4">
        <v>84</v>
      </c>
      <c r="BF1228" s="4">
        <v>302</v>
      </c>
      <c r="BG1228" s="4">
        <v>27</v>
      </c>
      <c r="BH1228" s="4">
        <v>37</v>
      </c>
      <c r="BI1228" s="4">
        <v>0</v>
      </c>
      <c r="BJ1228" s="4">
        <v>353</v>
      </c>
      <c r="BK1228" s="4">
        <v>330</v>
      </c>
      <c r="BL1228" s="4">
        <v>0</v>
      </c>
      <c r="BM1228" s="4">
        <v>30</v>
      </c>
      <c r="BN1228" s="4">
        <v>83</v>
      </c>
      <c r="BO1228" s="4">
        <v>0</v>
      </c>
      <c r="BP1228" s="4">
        <v>12</v>
      </c>
      <c r="BQ1228" s="4">
        <v>159</v>
      </c>
      <c r="BR1228" s="4">
        <v>7</v>
      </c>
      <c r="BS1228" s="4">
        <v>428</v>
      </c>
      <c r="BT1228" s="4">
        <v>136</v>
      </c>
      <c r="BU1228" s="4">
        <v>35</v>
      </c>
      <c r="BV1228" s="4">
        <v>257</v>
      </c>
      <c r="BW1228" s="4">
        <v>3</v>
      </c>
      <c r="BX1228" s="4">
        <v>4780</v>
      </c>
      <c r="BY1228" s="4">
        <v>10</v>
      </c>
      <c r="BZ1228" s="4">
        <v>2</v>
      </c>
      <c r="CA1228" s="4">
        <v>168</v>
      </c>
      <c r="CB1228" s="4">
        <v>569</v>
      </c>
      <c r="CC1228" s="4">
        <v>0</v>
      </c>
      <c r="CD1228" s="4">
        <v>9</v>
      </c>
      <c r="CE1228" s="4">
        <v>0</v>
      </c>
      <c r="CF1228" s="4">
        <v>15</v>
      </c>
      <c r="CG1228" s="4">
        <v>34</v>
      </c>
      <c r="CH1228" s="4">
        <v>4</v>
      </c>
      <c r="CI1228" s="4">
        <v>9</v>
      </c>
      <c r="CJ1228" s="4">
        <v>45</v>
      </c>
      <c r="CK1228" s="4">
        <v>16</v>
      </c>
      <c r="CL1228" s="4">
        <v>0</v>
      </c>
      <c r="CM1228" s="4">
        <v>63</v>
      </c>
      <c r="CN1228" s="4">
        <v>765</v>
      </c>
      <c r="CO1228" s="4">
        <v>7</v>
      </c>
      <c r="CP1228" s="4">
        <v>12</v>
      </c>
      <c r="CQ1228" s="4">
        <v>1</v>
      </c>
      <c r="CR1228" s="4">
        <v>57</v>
      </c>
      <c r="CS1228" s="4">
        <v>20</v>
      </c>
      <c r="CT1228" s="4">
        <v>30</v>
      </c>
      <c r="CU1228" s="4">
        <v>4</v>
      </c>
      <c r="CV1228" s="4">
        <v>150</v>
      </c>
      <c r="CW1228" s="4">
        <v>5366</v>
      </c>
      <c r="CX1228" s="5">
        <v>5336</v>
      </c>
    </row>
    <row r="1229" spans="1:102" ht="15.75" x14ac:dyDescent="0.25">
      <c r="A1229" s="4" t="s">
        <v>193</v>
      </c>
      <c r="B1229" s="4" t="s">
        <v>194</v>
      </c>
      <c r="C1229" s="4">
        <v>2023</v>
      </c>
      <c r="D1229" s="4">
        <v>554</v>
      </c>
      <c r="E1229" s="4">
        <v>0</v>
      </c>
      <c r="F1229" s="4">
        <v>0</v>
      </c>
      <c r="G1229" s="4">
        <v>0</v>
      </c>
      <c r="H1229" s="4">
        <v>0</v>
      </c>
      <c r="I1229" s="4">
        <v>3</v>
      </c>
      <c r="J1229" s="4">
        <v>0</v>
      </c>
      <c r="K1229" s="4">
        <v>0</v>
      </c>
      <c r="L1229" s="4">
        <v>0</v>
      </c>
      <c r="M1229" s="4">
        <v>6</v>
      </c>
      <c r="N1229" s="4">
        <v>2</v>
      </c>
      <c r="O1229" s="4">
        <v>50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1</v>
      </c>
      <c r="W1229" s="4">
        <v>0</v>
      </c>
      <c r="X1229" s="4">
        <v>0</v>
      </c>
      <c r="Y1229" s="4">
        <v>0</v>
      </c>
      <c r="Z1229" s="4">
        <v>0</v>
      </c>
      <c r="AA1229" s="4">
        <v>161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13</v>
      </c>
      <c r="AH1229" s="4">
        <v>0</v>
      </c>
      <c r="AI1229" s="4">
        <v>3</v>
      </c>
      <c r="AJ1229" s="4">
        <v>61</v>
      </c>
      <c r="AK1229" s="4">
        <v>8</v>
      </c>
      <c r="AL1229" s="4">
        <v>3</v>
      </c>
      <c r="AM1229" s="4">
        <v>4</v>
      </c>
      <c r="AN1229" s="4">
        <v>2</v>
      </c>
      <c r="AO1229" s="4">
        <v>37</v>
      </c>
      <c r="AP1229" s="4">
        <v>0</v>
      </c>
      <c r="AQ1229" s="4">
        <v>2</v>
      </c>
      <c r="AR1229" s="4">
        <v>0</v>
      </c>
      <c r="AS1229" s="4">
        <v>2</v>
      </c>
      <c r="AT1229" s="4">
        <v>1</v>
      </c>
      <c r="AU1229" s="4">
        <v>1</v>
      </c>
      <c r="AV1229" s="4">
        <v>1</v>
      </c>
      <c r="AW1229" s="4">
        <v>1</v>
      </c>
      <c r="AX1229" s="4">
        <v>5</v>
      </c>
      <c r="AY1229" s="4">
        <v>0</v>
      </c>
      <c r="AZ1229" s="4">
        <v>3</v>
      </c>
      <c r="BA1229" s="4">
        <v>0</v>
      </c>
      <c r="BB1229" s="4">
        <v>44</v>
      </c>
      <c r="BC1229" s="4">
        <v>1</v>
      </c>
      <c r="BD1229" s="4">
        <v>0</v>
      </c>
      <c r="BE1229" s="4">
        <v>4</v>
      </c>
      <c r="BF1229" s="4">
        <v>14</v>
      </c>
      <c r="BG1229" s="4">
        <v>0</v>
      </c>
      <c r="BH1229" s="4">
        <v>0</v>
      </c>
      <c r="BI1229" s="4">
        <v>0</v>
      </c>
      <c r="BJ1229" s="4">
        <v>7</v>
      </c>
      <c r="BK1229" s="4">
        <v>7</v>
      </c>
      <c r="BL1229" s="4">
        <v>0</v>
      </c>
      <c r="BM1229" s="4">
        <v>1</v>
      </c>
      <c r="BN1229" s="4">
        <v>3</v>
      </c>
      <c r="BO1229" s="4">
        <v>0</v>
      </c>
      <c r="BP1229" s="4">
        <v>0</v>
      </c>
      <c r="BQ1229" s="4">
        <v>2</v>
      </c>
      <c r="BR1229" s="4">
        <v>0</v>
      </c>
      <c r="BS1229" s="4">
        <v>7</v>
      </c>
      <c r="BT1229" s="4">
        <v>6</v>
      </c>
      <c r="BU1229" s="4">
        <v>0</v>
      </c>
      <c r="BV1229" s="4">
        <v>2</v>
      </c>
      <c r="BW1229" s="4">
        <v>3</v>
      </c>
      <c r="BX1229" s="4">
        <v>38</v>
      </c>
      <c r="BY1229" s="4">
        <v>0</v>
      </c>
      <c r="BZ1229" s="4">
        <v>0</v>
      </c>
      <c r="CA1229" s="4">
        <v>2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7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2</v>
      </c>
      <c r="CN1229" s="4">
        <v>15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8</v>
      </c>
      <c r="CU1229" s="4">
        <v>0</v>
      </c>
      <c r="CV1229" s="4">
        <v>11</v>
      </c>
      <c r="CW1229" s="4">
        <v>1</v>
      </c>
      <c r="CX1229" s="5">
        <v>1</v>
      </c>
    </row>
    <row r="1230" spans="1:102" ht="15.75" x14ac:dyDescent="0.25">
      <c r="A1230" s="4" t="s">
        <v>195</v>
      </c>
      <c r="B1230" s="4" t="s">
        <v>196</v>
      </c>
      <c r="C1230" s="4">
        <v>2023</v>
      </c>
      <c r="D1230" s="4">
        <v>125</v>
      </c>
      <c r="E1230" s="4">
        <v>0</v>
      </c>
      <c r="F1230" s="4">
        <v>0</v>
      </c>
      <c r="G1230" s="4">
        <v>0</v>
      </c>
      <c r="H1230" s="4">
        <v>0</v>
      </c>
      <c r="I1230" s="4">
        <v>1</v>
      </c>
      <c r="J1230" s="4">
        <v>0</v>
      </c>
      <c r="K1230" s="4">
        <v>0</v>
      </c>
      <c r="L1230" s="4">
        <v>2</v>
      </c>
      <c r="M1230" s="4">
        <v>0</v>
      </c>
      <c r="N1230" s="4">
        <v>1</v>
      </c>
      <c r="O1230" s="4">
        <v>3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2</v>
      </c>
      <c r="AH1230" s="4">
        <v>0</v>
      </c>
      <c r="AI1230" s="4">
        <v>1</v>
      </c>
      <c r="AJ1230" s="4">
        <v>5</v>
      </c>
      <c r="AK1230" s="4">
        <v>1</v>
      </c>
      <c r="AL1230" s="4">
        <v>2</v>
      </c>
      <c r="AM1230" s="4">
        <v>1</v>
      </c>
      <c r="AN1230" s="4">
        <v>4</v>
      </c>
      <c r="AO1230" s="4">
        <v>4</v>
      </c>
      <c r="AP1230" s="4">
        <v>0</v>
      </c>
      <c r="AQ1230" s="4">
        <v>0</v>
      </c>
      <c r="AR1230" s="4">
        <v>0</v>
      </c>
      <c r="AS1230" s="4">
        <v>0</v>
      </c>
      <c r="AT1230" s="4">
        <v>2</v>
      </c>
      <c r="AU1230" s="4">
        <v>2</v>
      </c>
      <c r="AV1230" s="4">
        <v>1</v>
      </c>
      <c r="AW1230" s="4">
        <v>1</v>
      </c>
      <c r="AX1230" s="4">
        <v>2</v>
      </c>
      <c r="AY1230" s="4">
        <v>0</v>
      </c>
      <c r="AZ1230" s="4">
        <v>0</v>
      </c>
      <c r="BA1230" s="4">
        <v>0</v>
      </c>
      <c r="BB1230" s="4">
        <v>1</v>
      </c>
      <c r="BC1230" s="4">
        <v>0</v>
      </c>
      <c r="BD1230" s="4">
        <v>0</v>
      </c>
      <c r="BE1230" s="4">
        <v>1</v>
      </c>
      <c r="BF1230" s="4">
        <v>10</v>
      </c>
      <c r="BG1230" s="4">
        <v>0</v>
      </c>
      <c r="BH1230" s="4">
        <v>1</v>
      </c>
      <c r="BI1230" s="4">
        <v>0</v>
      </c>
      <c r="BJ1230" s="4">
        <v>1</v>
      </c>
      <c r="BK1230" s="4">
        <v>3</v>
      </c>
      <c r="BL1230" s="4">
        <v>0</v>
      </c>
      <c r="BM1230" s="4">
        <v>1</v>
      </c>
      <c r="BN1230" s="4">
        <v>0</v>
      </c>
      <c r="BO1230" s="4">
        <v>0</v>
      </c>
      <c r="BP1230" s="4">
        <v>0</v>
      </c>
      <c r="BQ1230" s="4">
        <v>1</v>
      </c>
      <c r="BR1230" s="4">
        <v>0</v>
      </c>
      <c r="BS1230" s="4">
        <v>1</v>
      </c>
      <c r="BT1230" s="4">
        <v>1</v>
      </c>
      <c r="BU1230" s="4">
        <v>0</v>
      </c>
      <c r="BV1230" s="4">
        <v>1</v>
      </c>
      <c r="BW1230" s="4">
        <v>1</v>
      </c>
      <c r="BX1230" s="4">
        <v>46</v>
      </c>
      <c r="BY1230" s="4">
        <v>0</v>
      </c>
      <c r="BZ1230" s="4">
        <v>0</v>
      </c>
      <c r="CA1230" s="4">
        <v>0</v>
      </c>
      <c r="CB1230" s="4">
        <v>1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12</v>
      </c>
      <c r="CO1230" s="4">
        <v>0</v>
      </c>
      <c r="CP1230" s="4">
        <v>1</v>
      </c>
      <c r="CQ1230" s="4">
        <v>0</v>
      </c>
      <c r="CR1230" s="4">
        <v>0</v>
      </c>
      <c r="CS1230" s="4">
        <v>0</v>
      </c>
      <c r="CT1230" s="4">
        <v>5</v>
      </c>
      <c r="CU1230" s="4">
        <v>0</v>
      </c>
      <c r="CV1230" s="4">
        <v>2</v>
      </c>
      <c r="CW1230" s="4">
        <v>1</v>
      </c>
      <c r="CX1230" s="5">
        <v>1</v>
      </c>
    </row>
    <row r="1231" spans="1:102" ht="15.75" x14ac:dyDescent="0.25">
      <c r="A1231" s="4" t="s">
        <v>197</v>
      </c>
      <c r="B1231" s="4" t="s">
        <v>198</v>
      </c>
      <c r="C1231" s="4">
        <v>2023</v>
      </c>
      <c r="D1231" s="4">
        <v>7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2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1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5">
        <v>0</v>
      </c>
    </row>
    <row r="1232" spans="1:102" ht="15.75" x14ac:dyDescent="0.25">
      <c r="A1232" s="4" t="s">
        <v>199</v>
      </c>
      <c r="B1232" s="4" t="s">
        <v>200</v>
      </c>
      <c r="C1232" s="4">
        <v>2023</v>
      </c>
      <c r="D1232" s="4">
        <v>1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1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0</v>
      </c>
      <c r="CQ1232" s="4">
        <v>0</v>
      </c>
      <c r="CR1232" s="4">
        <v>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5">
        <v>0</v>
      </c>
    </row>
    <row r="1233" spans="1:102" ht="15.75" x14ac:dyDescent="0.25">
      <c r="A1233" s="4" t="s">
        <v>201</v>
      </c>
      <c r="B1233" s="4" t="s">
        <v>202</v>
      </c>
      <c r="C1233" s="4">
        <v>2023</v>
      </c>
      <c r="D1233" s="4">
        <v>8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2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1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1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5">
        <v>0</v>
      </c>
    </row>
    <row r="1234" spans="1:102" ht="15.75" x14ac:dyDescent="0.25">
      <c r="A1234" s="4" t="s">
        <v>203</v>
      </c>
      <c r="B1234" s="4" t="s">
        <v>204</v>
      </c>
      <c r="C1234" s="4">
        <v>2023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5">
        <v>0</v>
      </c>
    </row>
    <row r="1235" spans="1:102" ht="15.75" x14ac:dyDescent="0.25">
      <c r="A1235" s="4" t="s">
        <v>205</v>
      </c>
      <c r="B1235" s="4" t="s">
        <v>206</v>
      </c>
      <c r="C1235" s="4">
        <v>2023</v>
      </c>
      <c r="D1235" s="4">
        <v>446</v>
      </c>
      <c r="E1235" s="4">
        <v>0</v>
      </c>
      <c r="F1235" s="4">
        <v>1</v>
      </c>
      <c r="G1235" s="4">
        <v>3</v>
      </c>
      <c r="H1235" s="4">
        <v>2</v>
      </c>
      <c r="I1235" s="4">
        <v>11</v>
      </c>
      <c r="J1235" s="4">
        <v>3</v>
      </c>
      <c r="K1235" s="4">
        <v>1</v>
      </c>
      <c r="L1235" s="4">
        <v>7</v>
      </c>
      <c r="M1235" s="4">
        <v>1</v>
      </c>
      <c r="N1235" s="4">
        <v>13</v>
      </c>
      <c r="O1235" s="4">
        <v>23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1</v>
      </c>
      <c r="W1235" s="4">
        <v>0</v>
      </c>
      <c r="X1235" s="4">
        <v>0</v>
      </c>
      <c r="Y1235" s="4">
        <v>0</v>
      </c>
      <c r="Z1235" s="4">
        <v>0</v>
      </c>
      <c r="AA1235" s="4">
        <v>1</v>
      </c>
      <c r="AB1235" s="4">
        <v>0</v>
      </c>
      <c r="AC1235" s="4">
        <v>0</v>
      </c>
      <c r="AD1235" s="4">
        <v>0</v>
      </c>
      <c r="AE1235" s="4">
        <v>1</v>
      </c>
      <c r="AF1235" s="4">
        <v>0</v>
      </c>
      <c r="AG1235" s="4">
        <v>1</v>
      </c>
      <c r="AH1235" s="4">
        <v>1</v>
      </c>
      <c r="AI1235" s="4">
        <v>2</v>
      </c>
      <c r="AJ1235" s="4">
        <v>7</v>
      </c>
      <c r="AK1235" s="4">
        <v>11</v>
      </c>
      <c r="AL1235" s="4">
        <v>0</v>
      </c>
      <c r="AM1235" s="4">
        <v>1</v>
      </c>
      <c r="AN1235" s="4">
        <v>2</v>
      </c>
      <c r="AO1235" s="4">
        <v>4</v>
      </c>
      <c r="AP1235" s="4">
        <v>0</v>
      </c>
      <c r="AQ1235" s="4">
        <v>1</v>
      </c>
      <c r="AR1235" s="4">
        <v>0</v>
      </c>
      <c r="AS1235" s="4">
        <v>2</v>
      </c>
      <c r="AT1235" s="4">
        <v>2</v>
      </c>
      <c r="AU1235" s="4">
        <v>2</v>
      </c>
      <c r="AV1235" s="4">
        <v>1</v>
      </c>
      <c r="AW1235" s="4">
        <v>1</v>
      </c>
      <c r="AX1235" s="4">
        <v>10</v>
      </c>
      <c r="AY1235" s="4">
        <v>0</v>
      </c>
      <c r="AZ1235" s="4">
        <v>2</v>
      </c>
      <c r="BA1235" s="4">
        <v>0</v>
      </c>
      <c r="BB1235" s="4">
        <v>18</v>
      </c>
      <c r="BC1235" s="4">
        <v>1</v>
      </c>
      <c r="BD1235" s="4">
        <v>0</v>
      </c>
      <c r="BE1235" s="4">
        <v>8</v>
      </c>
      <c r="BF1235" s="4">
        <v>12</v>
      </c>
      <c r="BG1235" s="4">
        <v>0</v>
      </c>
      <c r="BH1235" s="4">
        <v>0</v>
      </c>
      <c r="BI1235" s="4">
        <v>0</v>
      </c>
      <c r="BJ1235" s="4">
        <v>7</v>
      </c>
      <c r="BK1235" s="4">
        <v>11</v>
      </c>
      <c r="BL1235" s="4">
        <v>0</v>
      </c>
      <c r="BM1235" s="4">
        <v>0</v>
      </c>
      <c r="BN1235" s="4">
        <v>3</v>
      </c>
      <c r="BO1235" s="4">
        <v>0</v>
      </c>
      <c r="BP1235" s="4">
        <v>1</v>
      </c>
      <c r="BQ1235" s="4">
        <v>8</v>
      </c>
      <c r="BR1235" s="4">
        <v>2</v>
      </c>
      <c r="BS1235" s="4">
        <v>11</v>
      </c>
      <c r="BT1235" s="4">
        <v>5</v>
      </c>
      <c r="BU1235" s="4">
        <v>1</v>
      </c>
      <c r="BV1235" s="4">
        <v>5</v>
      </c>
      <c r="BW1235" s="4">
        <v>14</v>
      </c>
      <c r="BX1235" s="4">
        <v>156</v>
      </c>
      <c r="BY1235" s="4">
        <v>0</v>
      </c>
      <c r="BZ1235" s="4">
        <v>4</v>
      </c>
      <c r="CA1235" s="4">
        <v>7</v>
      </c>
      <c r="CB1235" s="4">
        <v>3</v>
      </c>
      <c r="CC1235" s="4">
        <v>0</v>
      </c>
      <c r="CD1235" s="4">
        <v>2</v>
      </c>
      <c r="CE1235" s="4">
        <v>0</v>
      </c>
      <c r="CF1235" s="4">
        <v>1</v>
      </c>
      <c r="CG1235" s="4">
        <v>0</v>
      </c>
      <c r="CH1235" s="4">
        <v>1</v>
      </c>
      <c r="CI1235" s="4">
        <v>1</v>
      </c>
      <c r="CJ1235" s="4">
        <v>3</v>
      </c>
      <c r="CK1235" s="4">
        <v>1</v>
      </c>
      <c r="CL1235" s="4">
        <v>0</v>
      </c>
      <c r="CM1235" s="4">
        <v>8</v>
      </c>
      <c r="CN1235" s="4">
        <v>10</v>
      </c>
      <c r="CO1235" s="4">
        <v>1</v>
      </c>
      <c r="CP1235" s="4">
        <v>0</v>
      </c>
      <c r="CQ1235" s="4">
        <v>0</v>
      </c>
      <c r="CR1235" s="4">
        <v>2</v>
      </c>
      <c r="CS1235" s="4">
        <v>1</v>
      </c>
      <c r="CT1235" s="4">
        <v>3</v>
      </c>
      <c r="CU1235" s="4">
        <v>1</v>
      </c>
      <c r="CV1235" s="4">
        <v>10</v>
      </c>
      <c r="CW1235" s="4">
        <v>3</v>
      </c>
      <c r="CX1235" s="5">
        <v>3</v>
      </c>
    </row>
    <row r="1236" spans="1:102" ht="15.75" x14ac:dyDescent="0.25">
      <c r="A1236" s="4" t="s">
        <v>207</v>
      </c>
      <c r="B1236" s="4" t="s">
        <v>208</v>
      </c>
      <c r="C1236" s="4">
        <v>2023</v>
      </c>
      <c r="D1236" s="4">
        <v>2350</v>
      </c>
      <c r="E1236" s="4">
        <v>1</v>
      </c>
      <c r="F1236" s="4">
        <v>2</v>
      </c>
      <c r="G1236" s="4">
        <v>12</v>
      </c>
      <c r="H1236" s="4">
        <v>0</v>
      </c>
      <c r="I1236" s="4">
        <v>7</v>
      </c>
      <c r="J1236" s="4">
        <v>2</v>
      </c>
      <c r="K1236" s="4">
        <v>4</v>
      </c>
      <c r="L1236" s="4">
        <v>33</v>
      </c>
      <c r="M1236" s="4">
        <v>9</v>
      </c>
      <c r="N1236" s="4">
        <v>12</v>
      </c>
      <c r="O1236" s="4">
        <v>124</v>
      </c>
      <c r="P1236" s="4">
        <v>1</v>
      </c>
      <c r="Q1236" s="4">
        <v>0</v>
      </c>
      <c r="R1236" s="4">
        <v>1</v>
      </c>
      <c r="S1236" s="4">
        <v>0</v>
      </c>
      <c r="T1236" s="4">
        <v>0</v>
      </c>
      <c r="U1236" s="4">
        <v>5</v>
      </c>
      <c r="V1236" s="4">
        <v>2</v>
      </c>
      <c r="W1236" s="4">
        <v>4</v>
      </c>
      <c r="X1236" s="4">
        <v>3</v>
      </c>
      <c r="Y1236" s="4">
        <v>0</v>
      </c>
      <c r="Z1236" s="4">
        <v>0</v>
      </c>
      <c r="AA1236" s="4">
        <v>4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8</v>
      </c>
      <c r="AH1236" s="4">
        <v>21</v>
      </c>
      <c r="AI1236" s="4">
        <v>24</v>
      </c>
      <c r="AJ1236" s="4">
        <v>18</v>
      </c>
      <c r="AK1236" s="4">
        <v>180</v>
      </c>
      <c r="AL1236" s="4">
        <v>1</v>
      </c>
      <c r="AM1236" s="4">
        <v>43</v>
      </c>
      <c r="AN1236" s="4">
        <v>37</v>
      </c>
      <c r="AO1236" s="4">
        <v>89</v>
      </c>
      <c r="AP1236" s="4">
        <v>5</v>
      </c>
      <c r="AQ1236" s="4">
        <v>17</v>
      </c>
      <c r="AR1236" s="4">
        <v>6</v>
      </c>
      <c r="AS1236" s="4">
        <v>20</v>
      </c>
      <c r="AT1236" s="4">
        <v>31</v>
      </c>
      <c r="AU1236" s="4">
        <v>25</v>
      </c>
      <c r="AV1236" s="4">
        <v>46</v>
      </c>
      <c r="AW1236" s="4">
        <v>31</v>
      </c>
      <c r="AX1236" s="4">
        <v>172</v>
      </c>
      <c r="AY1236" s="4">
        <v>1</v>
      </c>
      <c r="AZ1236" s="4">
        <v>9</v>
      </c>
      <c r="BA1236" s="4">
        <v>0</v>
      </c>
      <c r="BB1236" s="4">
        <v>133</v>
      </c>
      <c r="BC1236" s="4">
        <v>19</v>
      </c>
      <c r="BD1236" s="4">
        <v>7</v>
      </c>
      <c r="BE1236" s="4">
        <v>26</v>
      </c>
      <c r="BF1236" s="4">
        <v>74</v>
      </c>
      <c r="BG1236" s="4">
        <v>6</v>
      </c>
      <c r="BH1236" s="4">
        <v>8</v>
      </c>
      <c r="BI1236" s="4">
        <v>0</v>
      </c>
      <c r="BJ1236" s="4">
        <v>69</v>
      </c>
      <c r="BK1236" s="4">
        <v>146</v>
      </c>
      <c r="BL1236" s="4">
        <v>0</v>
      </c>
      <c r="BM1236" s="4">
        <v>11</v>
      </c>
      <c r="BN1236" s="4">
        <v>70</v>
      </c>
      <c r="BO1236" s="4">
        <v>0</v>
      </c>
      <c r="BP1236" s="4">
        <v>6</v>
      </c>
      <c r="BQ1236" s="4">
        <v>90</v>
      </c>
      <c r="BR1236" s="4">
        <v>4</v>
      </c>
      <c r="BS1236" s="4">
        <v>130</v>
      </c>
      <c r="BT1236" s="4">
        <v>51</v>
      </c>
      <c r="BU1236" s="4">
        <v>8</v>
      </c>
      <c r="BV1236" s="4">
        <v>97</v>
      </c>
      <c r="BW1236" s="4">
        <v>14</v>
      </c>
      <c r="BX1236" s="4">
        <v>57</v>
      </c>
      <c r="BY1236" s="4">
        <v>4</v>
      </c>
      <c r="BZ1236" s="4">
        <v>0</v>
      </c>
      <c r="CA1236" s="4">
        <v>28</v>
      </c>
      <c r="CB1236" s="4">
        <v>1</v>
      </c>
      <c r="CC1236" s="4">
        <v>0</v>
      </c>
      <c r="CD1236" s="4">
        <v>3</v>
      </c>
      <c r="CE1236" s="4">
        <v>0</v>
      </c>
      <c r="CF1236" s="4">
        <v>4</v>
      </c>
      <c r="CG1236" s="4">
        <v>3</v>
      </c>
      <c r="CH1236" s="4">
        <v>28</v>
      </c>
      <c r="CI1236" s="4">
        <v>3</v>
      </c>
      <c r="CJ1236" s="4">
        <v>12</v>
      </c>
      <c r="CK1236" s="4">
        <v>3</v>
      </c>
      <c r="CL1236" s="4">
        <v>0</v>
      </c>
      <c r="CM1236" s="4">
        <v>14</v>
      </c>
      <c r="CN1236" s="4">
        <v>60</v>
      </c>
      <c r="CO1236" s="4">
        <v>1</v>
      </c>
      <c r="CP1236" s="4">
        <v>5</v>
      </c>
      <c r="CQ1236" s="4">
        <v>0</v>
      </c>
      <c r="CR1236" s="4">
        <v>8</v>
      </c>
      <c r="CS1236" s="4">
        <v>2</v>
      </c>
      <c r="CT1236" s="4">
        <v>31</v>
      </c>
      <c r="CU1236" s="4">
        <v>3</v>
      </c>
      <c r="CV1236" s="4">
        <v>78</v>
      </c>
      <c r="CW1236" s="4">
        <v>22</v>
      </c>
      <c r="CX1236" s="5">
        <v>22</v>
      </c>
    </row>
    <row r="1237" spans="1:102" ht="15.75" x14ac:dyDescent="0.25">
      <c r="A1237" s="4" t="s">
        <v>209</v>
      </c>
      <c r="B1237" s="4" t="s">
        <v>210</v>
      </c>
      <c r="C1237" s="4">
        <v>2023</v>
      </c>
      <c r="D1237" s="4">
        <v>33775</v>
      </c>
      <c r="E1237" s="4">
        <v>21</v>
      </c>
      <c r="F1237" s="4">
        <v>168</v>
      </c>
      <c r="G1237" s="4">
        <v>58</v>
      </c>
      <c r="H1237" s="4">
        <v>16</v>
      </c>
      <c r="I1237" s="4">
        <v>105</v>
      </c>
      <c r="J1237" s="4">
        <v>30</v>
      </c>
      <c r="K1237" s="4">
        <v>31</v>
      </c>
      <c r="L1237" s="4">
        <v>81</v>
      </c>
      <c r="M1237" s="4">
        <v>42</v>
      </c>
      <c r="N1237" s="4">
        <v>139</v>
      </c>
      <c r="O1237" s="4">
        <v>605</v>
      </c>
      <c r="P1237" s="4">
        <v>2</v>
      </c>
      <c r="Q1237" s="4">
        <v>8</v>
      </c>
      <c r="R1237" s="4">
        <v>20</v>
      </c>
      <c r="S1237" s="4">
        <v>4</v>
      </c>
      <c r="T1237" s="4">
        <v>26</v>
      </c>
      <c r="U1237" s="4">
        <v>13</v>
      </c>
      <c r="V1237" s="4">
        <v>32</v>
      </c>
      <c r="W1237" s="4">
        <v>432</v>
      </c>
      <c r="X1237" s="4">
        <v>37</v>
      </c>
      <c r="Y1237" s="4">
        <v>3</v>
      </c>
      <c r="Z1237" s="4">
        <v>2089</v>
      </c>
      <c r="AA1237" s="4">
        <v>67</v>
      </c>
      <c r="AB1237" s="4">
        <v>32</v>
      </c>
      <c r="AC1237" s="4">
        <v>0</v>
      </c>
      <c r="AD1237" s="4">
        <v>6</v>
      </c>
      <c r="AE1237" s="4">
        <v>15</v>
      </c>
      <c r="AF1237" s="4">
        <v>7</v>
      </c>
      <c r="AG1237" s="4">
        <v>287</v>
      </c>
      <c r="AH1237" s="4">
        <v>160</v>
      </c>
      <c r="AI1237" s="4">
        <v>229</v>
      </c>
      <c r="AJ1237" s="4">
        <v>1795</v>
      </c>
      <c r="AK1237" s="4">
        <v>361</v>
      </c>
      <c r="AL1237" s="4">
        <v>14</v>
      </c>
      <c r="AM1237" s="4">
        <v>476</v>
      </c>
      <c r="AN1237" s="4">
        <v>347</v>
      </c>
      <c r="AO1237" s="4">
        <v>449</v>
      </c>
      <c r="AP1237" s="4">
        <v>11</v>
      </c>
      <c r="AQ1237" s="4">
        <v>194</v>
      </c>
      <c r="AR1237" s="4">
        <v>33</v>
      </c>
      <c r="AS1237" s="4">
        <v>250</v>
      </c>
      <c r="AT1237" s="4">
        <v>288</v>
      </c>
      <c r="AU1237" s="4">
        <v>283</v>
      </c>
      <c r="AV1237" s="4">
        <v>412</v>
      </c>
      <c r="AW1237" s="4">
        <v>1602</v>
      </c>
      <c r="AX1237" s="4">
        <v>893</v>
      </c>
      <c r="AY1237" s="4">
        <v>18</v>
      </c>
      <c r="AZ1237" s="4">
        <v>143</v>
      </c>
      <c r="BA1237" s="4">
        <v>0</v>
      </c>
      <c r="BB1237" s="4">
        <v>3207</v>
      </c>
      <c r="BC1237" s="4">
        <v>268</v>
      </c>
      <c r="BD1237" s="4">
        <v>62</v>
      </c>
      <c r="BE1237" s="4">
        <v>203</v>
      </c>
      <c r="BF1237" s="4">
        <v>674</v>
      </c>
      <c r="BG1237" s="4">
        <v>51</v>
      </c>
      <c r="BH1237" s="4">
        <v>74</v>
      </c>
      <c r="BI1237" s="4">
        <v>4</v>
      </c>
      <c r="BJ1237" s="4">
        <v>747</v>
      </c>
      <c r="BK1237" s="4">
        <v>1029</v>
      </c>
      <c r="BL1237" s="4">
        <v>0</v>
      </c>
      <c r="BM1237" s="4">
        <v>102</v>
      </c>
      <c r="BN1237" s="4">
        <v>772</v>
      </c>
      <c r="BO1237" s="4">
        <v>6</v>
      </c>
      <c r="BP1237" s="4">
        <v>63</v>
      </c>
      <c r="BQ1237" s="4">
        <v>740</v>
      </c>
      <c r="BR1237" s="4">
        <v>93</v>
      </c>
      <c r="BS1237" s="4">
        <v>1261</v>
      </c>
      <c r="BT1237" s="4">
        <v>1026</v>
      </c>
      <c r="BU1237" s="4">
        <v>17</v>
      </c>
      <c r="BV1237" s="4">
        <v>695</v>
      </c>
      <c r="BW1237" s="4">
        <v>261</v>
      </c>
      <c r="BX1237" s="4">
        <v>2759</v>
      </c>
      <c r="BY1237" s="4">
        <v>26</v>
      </c>
      <c r="BZ1237" s="4">
        <v>4</v>
      </c>
      <c r="CA1237" s="4">
        <v>3080</v>
      </c>
      <c r="CB1237" s="4">
        <v>65</v>
      </c>
      <c r="CC1237" s="4">
        <v>2</v>
      </c>
      <c r="CD1237" s="4">
        <v>68</v>
      </c>
      <c r="CE1237" s="4">
        <v>3</v>
      </c>
      <c r="CF1237" s="4">
        <v>56</v>
      </c>
      <c r="CG1237" s="4">
        <v>65</v>
      </c>
      <c r="CH1237" s="4">
        <v>57</v>
      </c>
      <c r="CI1237" s="4">
        <v>29</v>
      </c>
      <c r="CJ1237" s="4">
        <v>243</v>
      </c>
      <c r="CK1237" s="4">
        <v>57</v>
      </c>
      <c r="CL1237" s="4">
        <v>0</v>
      </c>
      <c r="CM1237" s="4">
        <v>292</v>
      </c>
      <c r="CN1237" s="4">
        <v>1436</v>
      </c>
      <c r="CO1237" s="4">
        <v>30</v>
      </c>
      <c r="CP1237" s="4">
        <v>74</v>
      </c>
      <c r="CQ1237" s="4">
        <v>1</v>
      </c>
      <c r="CR1237" s="4">
        <v>200</v>
      </c>
      <c r="CS1237" s="4">
        <v>31</v>
      </c>
      <c r="CT1237" s="4">
        <v>312</v>
      </c>
      <c r="CU1237" s="4">
        <v>38</v>
      </c>
      <c r="CV1237" s="4">
        <v>875</v>
      </c>
      <c r="CW1237" s="4">
        <v>282</v>
      </c>
      <c r="CX1237" s="5">
        <v>280</v>
      </c>
    </row>
    <row r="1238" spans="1:102" ht="15.75" x14ac:dyDescent="0.25">
      <c r="A1238" s="4" t="s">
        <v>211</v>
      </c>
      <c r="B1238" s="4" t="s">
        <v>212</v>
      </c>
      <c r="C1238" s="4">
        <v>2023</v>
      </c>
      <c r="D1238" s="4">
        <v>29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14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1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1</v>
      </c>
      <c r="AK1238" s="4">
        <v>1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1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2</v>
      </c>
      <c r="BG1238" s="4">
        <v>0</v>
      </c>
      <c r="BH1238" s="4">
        <v>0</v>
      </c>
      <c r="BI1238" s="4">
        <v>0</v>
      </c>
      <c r="BJ1238" s="4">
        <v>0</v>
      </c>
      <c r="BK1238" s="4">
        <v>1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1</v>
      </c>
      <c r="BR1238" s="4">
        <v>0</v>
      </c>
      <c r="BS1238" s="4">
        <v>1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1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4">
        <v>0</v>
      </c>
      <c r="CQ1238" s="4">
        <v>0</v>
      </c>
      <c r="CR1238" s="4">
        <v>0</v>
      </c>
      <c r="CS1238" s="4">
        <v>0</v>
      </c>
      <c r="CT1238" s="4">
        <v>0</v>
      </c>
      <c r="CU1238" s="4">
        <v>0</v>
      </c>
      <c r="CV1238" s="4">
        <v>1</v>
      </c>
      <c r="CW1238" s="4">
        <v>0</v>
      </c>
      <c r="CX1238" s="5">
        <v>0</v>
      </c>
    </row>
    <row r="1239" spans="1:102" ht="15.75" x14ac:dyDescent="0.25">
      <c r="A1239" s="4" t="s">
        <v>213</v>
      </c>
      <c r="B1239" s="4" t="s">
        <v>214</v>
      </c>
      <c r="C1239" s="4">
        <v>2023</v>
      </c>
      <c r="D1239" s="4">
        <v>2752</v>
      </c>
      <c r="E1239" s="4">
        <v>3</v>
      </c>
      <c r="F1239" s="4">
        <v>16</v>
      </c>
      <c r="G1239" s="4">
        <v>65</v>
      </c>
      <c r="H1239" s="4">
        <v>13</v>
      </c>
      <c r="I1239" s="4">
        <v>11</v>
      </c>
      <c r="J1239" s="4">
        <v>16</v>
      </c>
      <c r="K1239" s="4">
        <v>8</v>
      </c>
      <c r="L1239" s="4">
        <v>11</v>
      </c>
      <c r="M1239" s="4">
        <v>20</v>
      </c>
      <c r="N1239" s="4">
        <v>27</v>
      </c>
      <c r="O1239" s="4">
        <v>69</v>
      </c>
      <c r="P1239" s="4">
        <v>0</v>
      </c>
      <c r="Q1239" s="4">
        <v>0</v>
      </c>
      <c r="R1239" s="4">
        <v>0</v>
      </c>
      <c r="S1239" s="4">
        <v>5</v>
      </c>
      <c r="T1239" s="4">
        <v>0</v>
      </c>
      <c r="U1239" s="4">
        <v>1</v>
      </c>
      <c r="V1239" s="4">
        <v>6</v>
      </c>
      <c r="W1239" s="4">
        <v>8</v>
      </c>
      <c r="X1239" s="4">
        <v>9</v>
      </c>
      <c r="Y1239" s="4">
        <v>0</v>
      </c>
      <c r="Z1239" s="4">
        <v>267</v>
      </c>
      <c r="AA1239" s="4">
        <v>103</v>
      </c>
      <c r="AB1239" s="4">
        <v>4</v>
      </c>
      <c r="AC1239" s="4">
        <v>0</v>
      </c>
      <c r="AD1239" s="4">
        <v>1</v>
      </c>
      <c r="AE1239" s="4">
        <v>1</v>
      </c>
      <c r="AF1239" s="4">
        <v>5</v>
      </c>
      <c r="AG1239" s="4">
        <v>48</v>
      </c>
      <c r="AH1239" s="4">
        <v>29</v>
      </c>
      <c r="AI1239" s="4">
        <v>20</v>
      </c>
      <c r="AJ1239" s="4">
        <v>81</v>
      </c>
      <c r="AK1239" s="4">
        <v>78</v>
      </c>
      <c r="AL1239" s="4">
        <v>1</v>
      </c>
      <c r="AM1239" s="4">
        <v>29</v>
      </c>
      <c r="AN1239" s="4">
        <v>52</v>
      </c>
      <c r="AO1239" s="4">
        <v>65</v>
      </c>
      <c r="AP1239" s="4">
        <v>2</v>
      </c>
      <c r="AQ1239" s="4">
        <v>16</v>
      </c>
      <c r="AR1239" s="4">
        <v>7</v>
      </c>
      <c r="AS1239" s="4">
        <v>11</v>
      </c>
      <c r="AT1239" s="4">
        <v>51</v>
      </c>
      <c r="AU1239" s="4">
        <v>56</v>
      </c>
      <c r="AV1239" s="4">
        <v>68</v>
      </c>
      <c r="AW1239" s="4">
        <v>17</v>
      </c>
      <c r="AX1239" s="4">
        <v>137</v>
      </c>
      <c r="AY1239" s="4">
        <v>4</v>
      </c>
      <c r="AZ1239" s="4">
        <v>12</v>
      </c>
      <c r="BA1239" s="4">
        <v>0</v>
      </c>
      <c r="BB1239" s="4">
        <v>81</v>
      </c>
      <c r="BC1239" s="4">
        <v>9</v>
      </c>
      <c r="BD1239" s="4">
        <v>1</v>
      </c>
      <c r="BE1239" s="4">
        <v>41</v>
      </c>
      <c r="BF1239" s="4">
        <v>91</v>
      </c>
      <c r="BG1239" s="4">
        <v>2</v>
      </c>
      <c r="BH1239" s="4">
        <v>4</v>
      </c>
      <c r="BI1239" s="4">
        <v>0</v>
      </c>
      <c r="BJ1239" s="4">
        <v>94</v>
      </c>
      <c r="BK1239" s="4">
        <v>96</v>
      </c>
      <c r="BL1239" s="4">
        <v>0</v>
      </c>
      <c r="BM1239" s="4">
        <v>8</v>
      </c>
      <c r="BN1239" s="4">
        <v>56</v>
      </c>
      <c r="BO1239" s="4">
        <v>1</v>
      </c>
      <c r="BP1239" s="4">
        <v>7</v>
      </c>
      <c r="BQ1239" s="4">
        <v>74</v>
      </c>
      <c r="BR1239" s="4">
        <v>4</v>
      </c>
      <c r="BS1239" s="4">
        <v>88</v>
      </c>
      <c r="BT1239" s="4">
        <v>50</v>
      </c>
      <c r="BU1239" s="4">
        <v>1</v>
      </c>
      <c r="BV1239" s="4">
        <v>16</v>
      </c>
      <c r="BW1239" s="4">
        <v>47</v>
      </c>
      <c r="BX1239" s="4">
        <v>116</v>
      </c>
      <c r="BY1239" s="4">
        <v>3</v>
      </c>
      <c r="BZ1239" s="4">
        <v>0</v>
      </c>
      <c r="CA1239" s="4">
        <v>49</v>
      </c>
      <c r="CB1239" s="4">
        <v>5</v>
      </c>
      <c r="CC1239" s="4">
        <v>0</v>
      </c>
      <c r="CD1239" s="4">
        <v>10</v>
      </c>
      <c r="CE1239" s="4">
        <v>1</v>
      </c>
      <c r="CF1239" s="4">
        <v>7</v>
      </c>
      <c r="CG1239" s="4">
        <v>2</v>
      </c>
      <c r="CH1239" s="4">
        <v>4</v>
      </c>
      <c r="CI1239" s="4">
        <v>6</v>
      </c>
      <c r="CJ1239" s="4">
        <v>16</v>
      </c>
      <c r="CK1239" s="4">
        <v>4</v>
      </c>
      <c r="CL1239" s="4">
        <v>0</v>
      </c>
      <c r="CM1239" s="4">
        <v>16</v>
      </c>
      <c r="CN1239" s="4">
        <v>95</v>
      </c>
      <c r="CO1239" s="4">
        <v>21</v>
      </c>
      <c r="CP1239" s="4">
        <v>4</v>
      </c>
      <c r="CQ1239" s="4">
        <v>0</v>
      </c>
      <c r="CR1239" s="4">
        <v>19</v>
      </c>
      <c r="CS1239" s="4">
        <v>2</v>
      </c>
      <c r="CT1239" s="4">
        <v>33</v>
      </c>
      <c r="CU1239" s="4">
        <v>3</v>
      </c>
      <c r="CV1239" s="4">
        <v>74</v>
      </c>
      <c r="CW1239" s="4">
        <v>36</v>
      </c>
      <c r="CX1239" s="5">
        <v>36</v>
      </c>
    </row>
    <row r="1240" spans="1:102" ht="15.75" x14ac:dyDescent="0.25">
      <c r="A1240" s="4" t="s">
        <v>215</v>
      </c>
      <c r="B1240" s="4" t="s">
        <v>216</v>
      </c>
      <c r="C1240" s="4">
        <v>2023</v>
      </c>
      <c r="D1240" s="4">
        <v>7</v>
      </c>
      <c r="E1240" s="4">
        <v>0</v>
      </c>
      <c r="F1240" s="4">
        <v>0</v>
      </c>
      <c r="G1240" s="4">
        <v>1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1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1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5">
        <v>0</v>
      </c>
    </row>
    <row r="1241" spans="1:102" ht="15.75" x14ac:dyDescent="0.25">
      <c r="A1241" s="4" t="s">
        <v>217</v>
      </c>
      <c r="B1241" s="4" t="s">
        <v>218</v>
      </c>
      <c r="C1241" s="4">
        <v>2023</v>
      </c>
      <c r="D1241" s="4">
        <v>161</v>
      </c>
      <c r="E1241" s="4">
        <v>0</v>
      </c>
      <c r="F1241" s="4">
        <v>5</v>
      </c>
      <c r="G1241" s="4">
        <v>4</v>
      </c>
      <c r="H1241" s="4">
        <v>0</v>
      </c>
      <c r="I1241" s="4">
        <v>0</v>
      </c>
      <c r="J1241" s="4">
        <v>0</v>
      </c>
      <c r="K1241" s="4">
        <v>0</v>
      </c>
      <c r="L1241" s="4">
        <v>1</v>
      </c>
      <c r="M1241" s="4">
        <v>0</v>
      </c>
      <c r="N1241" s="4">
        <v>1</v>
      </c>
      <c r="O1241" s="4">
        <v>59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1</v>
      </c>
      <c r="AH1241" s="4">
        <v>1</v>
      </c>
      <c r="AI1241" s="4">
        <v>2</v>
      </c>
      <c r="AJ1241" s="4">
        <v>6</v>
      </c>
      <c r="AK1241" s="4">
        <v>1</v>
      </c>
      <c r="AL1241" s="4">
        <v>0</v>
      </c>
      <c r="AM1241" s="4">
        <v>0</v>
      </c>
      <c r="AN1241" s="4">
        <v>12</v>
      </c>
      <c r="AO1241" s="4">
        <v>1</v>
      </c>
      <c r="AP1241" s="4">
        <v>0</v>
      </c>
      <c r="AQ1241" s="4">
        <v>1</v>
      </c>
      <c r="AR1241" s="4">
        <v>0</v>
      </c>
      <c r="AS1241" s="4">
        <v>2</v>
      </c>
      <c r="AT1241" s="4">
        <v>3</v>
      </c>
      <c r="AU1241" s="4">
        <v>7</v>
      </c>
      <c r="AV1241" s="4">
        <v>0</v>
      </c>
      <c r="AW1241" s="4">
        <v>0</v>
      </c>
      <c r="AX1241" s="4">
        <v>2</v>
      </c>
      <c r="AY1241" s="4">
        <v>0</v>
      </c>
      <c r="AZ1241" s="4">
        <v>3</v>
      </c>
      <c r="BA1241" s="4">
        <v>0</v>
      </c>
      <c r="BB1241" s="4">
        <v>1</v>
      </c>
      <c r="BC1241" s="4">
        <v>0</v>
      </c>
      <c r="BD1241" s="4">
        <v>0</v>
      </c>
      <c r="BE1241" s="4">
        <v>1</v>
      </c>
      <c r="BF1241" s="4">
        <v>2</v>
      </c>
      <c r="BG1241" s="4">
        <v>0</v>
      </c>
      <c r="BH1241" s="4">
        <v>0</v>
      </c>
      <c r="BI1241" s="4">
        <v>0</v>
      </c>
      <c r="BJ1241" s="4">
        <v>1</v>
      </c>
      <c r="BK1241" s="4">
        <v>4</v>
      </c>
      <c r="BL1241" s="4">
        <v>0</v>
      </c>
      <c r="BM1241" s="4">
        <v>0</v>
      </c>
      <c r="BN1241" s="4">
        <v>0</v>
      </c>
      <c r="BO1241" s="4">
        <v>0</v>
      </c>
      <c r="BP1241" s="4">
        <v>1</v>
      </c>
      <c r="BQ1241" s="4">
        <v>1</v>
      </c>
      <c r="BR1241" s="4">
        <v>0</v>
      </c>
      <c r="BS1241" s="4">
        <v>2</v>
      </c>
      <c r="BT1241" s="4">
        <v>3</v>
      </c>
      <c r="BU1241" s="4">
        <v>0</v>
      </c>
      <c r="BV1241" s="4">
        <v>1</v>
      </c>
      <c r="BW1241" s="4">
        <v>1</v>
      </c>
      <c r="BX1241" s="4">
        <v>21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1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4</v>
      </c>
      <c r="CU1241" s="4">
        <v>0</v>
      </c>
      <c r="CV1241" s="4">
        <v>4</v>
      </c>
      <c r="CW1241" s="4">
        <v>0</v>
      </c>
      <c r="CX1241" s="5">
        <v>0</v>
      </c>
    </row>
    <row r="1242" spans="1:102" ht="15.75" x14ac:dyDescent="0.25">
      <c r="A1242" s="4" t="s">
        <v>219</v>
      </c>
      <c r="B1242" s="4" t="s">
        <v>220</v>
      </c>
      <c r="C1242" s="4">
        <v>2023</v>
      </c>
      <c r="D1242" s="4">
        <v>337</v>
      </c>
      <c r="E1242" s="4">
        <v>1</v>
      </c>
      <c r="F1242" s="4">
        <v>0</v>
      </c>
      <c r="G1242" s="4">
        <v>12</v>
      </c>
      <c r="H1242" s="4">
        <v>0</v>
      </c>
      <c r="I1242" s="4">
        <v>8</v>
      </c>
      <c r="J1242" s="4">
        <v>0</v>
      </c>
      <c r="K1242" s="4">
        <v>0</v>
      </c>
      <c r="L1242" s="4">
        <v>0</v>
      </c>
      <c r="M1242" s="4">
        <v>0</v>
      </c>
      <c r="N1242" s="4">
        <v>1</v>
      </c>
      <c r="O1242" s="4">
        <v>101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2</v>
      </c>
      <c r="W1242" s="4">
        <v>0</v>
      </c>
      <c r="X1242" s="4">
        <v>0</v>
      </c>
      <c r="Y1242" s="4">
        <v>0</v>
      </c>
      <c r="Z1242" s="4">
        <v>0</v>
      </c>
      <c r="AA1242" s="4">
        <v>1</v>
      </c>
      <c r="AB1242" s="4">
        <v>0</v>
      </c>
      <c r="AC1242" s="4">
        <v>0</v>
      </c>
      <c r="AD1242" s="4">
        <v>0</v>
      </c>
      <c r="AE1242" s="4">
        <v>10</v>
      </c>
      <c r="AF1242" s="4">
        <v>0</v>
      </c>
      <c r="AG1242" s="4">
        <v>4</v>
      </c>
      <c r="AH1242" s="4">
        <v>1</v>
      </c>
      <c r="AI1242" s="4">
        <v>7</v>
      </c>
      <c r="AJ1242" s="4">
        <v>41</v>
      </c>
      <c r="AK1242" s="4">
        <v>1</v>
      </c>
      <c r="AL1242" s="4">
        <v>1</v>
      </c>
      <c r="AM1242" s="4">
        <v>1</v>
      </c>
      <c r="AN1242" s="4">
        <v>1</v>
      </c>
      <c r="AO1242" s="4">
        <v>10</v>
      </c>
      <c r="AP1242" s="4">
        <v>0</v>
      </c>
      <c r="AQ1242" s="4">
        <v>1</v>
      </c>
      <c r="AR1242" s="4">
        <v>0</v>
      </c>
      <c r="AS1242" s="4">
        <v>0</v>
      </c>
      <c r="AT1242" s="4">
        <v>0</v>
      </c>
      <c r="AU1242" s="4">
        <v>0</v>
      </c>
      <c r="AV1242" s="4">
        <v>4</v>
      </c>
      <c r="AW1242" s="4">
        <v>5</v>
      </c>
      <c r="AX1242" s="4">
        <v>3</v>
      </c>
      <c r="AY1242" s="4">
        <v>0</v>
      </c>
      <c r="AZ1242" s="4">
        <v>1</v>
      </c>
      <c r="BA1242" s="4">
        <v>0</v>
      </c>
      <c r="BB1242" s="4">
        <v>30</v>
      </c>
      <c r="BC1242" s="4">
        <v>0</v>
      </c>
      <c r="BD1242" s="4">
        <v>0</v>
      </c>
      <c r="BE1242" s="4">
        <v>2</v>
      </c>
      <c r="BF1242" s="4">
        <v>4</v>
      </c>
      <c r="BG1242" s="4">
        <v>0</v>
      </c>
      <c r="BH1242" s="4">
        <v>1</v>
      </c>
      <c r="BI1242" s="4">
        <v>0</v>
      </c>
      <c r="BJ1242" s="4">
        <v>14</v>
      </c>
      <c r="BK1242" s="4">
        <v>8</v>
      </c>
      <c r="BL1242" s="4">
        <v>0</v>
      </c>
      <c r="BM1242" s="4">
        <v>1</v>
      </c>
      <c r="BN1242" s="4">
        <v>3</v>
      </c>
      <c r="BO1242" s="4">
        <v>0</v>
      </c>
      <c r="BP1242" s="4">
        <v>0</v>
      </c>
      <c r="BQ1242" s="4">
        <v>7</v>
      </c>
      <c r="BR1242" s="4">
        <v>0</v>
      </c>
      <c r="BS1242" s="4">
        <v>6</v>
      </c>
      <c r="BT1242" s="4">
        <v>4</v>
      </c>
      <c r="BU1242" s="4">
        <v>0</v>
      </c>
      <c r="BV1242" s="4">
        <v>1</v>
      </c>
      <c r="BW1242" s="4">
        <v>0</v>
      </c>
      <c r="BX1242" s="4">
        <v>0</v>
      </c>
      <c r="BY1242" s="4">
        <v>0</v>
      </c>
      <c r="BZ1242" s="4">
        <v>0</v>
      </c>
      <c r="CA1242" s="4">
        <v>7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5</v>
      </c>
      <c r="CK1242" s="4">
        <v>1</v>
      </c>
      <c r="CL1242" s="4">
        <v>0</v>
      </c>
      <c r="CM1242" s="4">
        <v>2</v>
      </c>
      <c r="CN1242" s="4">
        <v>12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2</v>
      </c>
      <c r="CU1242" s="4">
        <v>5</v>
      </c>
      <c r="CV1242" s="4">
        <v>2</v>
      </c>
      <c r="CW1242" s="4">
        <v>1</v>
      </c>
      <c r="CX1242" s="5">
        <v>1</v>
      </c>
    </row>
    <row r="1243" spans="1:102" ht="15.75" x14ac:dyDescent="0.25">
      <c r="A1243" s="4" t="s">
        <v>221</v>
      </c>
      <c r="B1243" s="4" t="s">
        <v>222</v>
      </c>
      <c r="C1243" s="4">
        <v>2023</v>
      </c>
      <c r="D1243" s="4">
        <v>100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2</v>
      </c>
      <c r="M1243" s="4">
        <v>0</v>
      </c>
      <c r="N1243" s="4">
        <v>2</v>
      </c>
      <c r="O1243" s="4">
        <v>20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1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</v>
      </c>
      <c r="AH1243" s="4">
        <v>0</v>
      </c>
      <c r="AI1243" s="4">
        <v>1</v>
      </c>
      <c r="AJ1243" s="4">
        <v>6</v>
      </c>
      <c r="AK1243" s="4">
        <v>1</v>
      </c>
      <c r="AL1243" s="4">
        <v>1</v>
      </c>
      <c r="AM1243" s="4">
        <v>1</v>
      </c>
      <c r="AN1243" s="4">
        <v>2</v>
      </c>
      <c r="AO1243" s="4">
        <v>3</v>
      </c>
      <c r="AP1243" s="4">
        <v>0</v>
      </c>
      <c r="AQ1243" s="4">
        <v>1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1</v>
      </c>
      <c r="AY1243" s="4">
        <v>0</v>
      </c>
      <c r="AZ1243" s="4">
        <v>2</v>
      </c>
      <c r="BA1243" s="4">
        <v>0</v>
      </c>
      <c r="BB1243" s="4">
        <v>1</v>
      </c>
      <c r="BC1243" s="4">
        <v>0</v>
      </c>
      <c r="BD1243" s="4">
        <v>0</v>
      </c>
      <c r="BE1243" s="4">
        <v>1</v>
      </c>
      <c r="BF1243" s="4">
        <v>1</v>
      </c>
      <c r="BG1243" s="4">
        <v>0</v>
      </c>
      <c r="BH1243" s="4">
        <v>0</v>
      </c>
      <c r="BI1243" s="4">
        <v>0</v>
      </c>
      <c r="BJ1243" s="4">
        <v>2</v>
      </c>
      <c r="BK1243" s="4">
        <v>3</v>
      </c>
      <c r="BL1243" s="4">
        <v>0</v>
      </c>
      <c r="BM1243" s="4">
        <v>0</v>
      </c>
      <c r="BN1243" s="4">
        <v>1</v>
      </c>
      <c r="BO1243" s="4">
        <v>0</v>
      </c>
      <c r="BP1243" s="4">
        <v>0</v>
      </c>
      <c r="BQ1243" s="4">
        <v>2</v>
      </c>
      <c r="BR1243" s="4">
        <v>0</v>
      </c>
      <c r="BS1243" s="4">
        <v>1</v>
      </c>
      <c r="BT1243" s="4">
        <v>4</v>
      </c>
      <c r="BU1243" s="4">
        <v>0</v>
      </c>
      <c r="BV1243" s="4">
        <v>1</v>
      </c>
      <c r="BW1243" s="4">
        <v>0</v>
      </c>
      <c r="BX1243" s="4">
        <v>23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1</v>
      </c>
      <c r="CK1243" s="4">
        <v>0</v>
      </c>
      <c r="CL1243" s="4">
        <v>0</v>
      </c>
      <c r="CM1243" s="4">
        <v>0</v>
      </c>
      <c r="CN1243" s="4">
        <v>4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1</v>
      </c>
      <c r="CU1243" s="4">
        <v>0</v>
      </c>
      <c r="CV1243" s="4">
        <v>8</v>
      </c>
      <c r="CW1243" s="4">
        <v>0</v>
      </c>
      <c r="CX1243" s="5">
        <v>0</v>
      </c>
    </row>
    <row r="1244" spans="1:102" ht="15.75" x14ac:dyDescent="0.25">
      <c r="A1244" s="4" t="s">
        <v>223</v>
      </c>
      <c r="B1244" s="4" t="s">
        <v>224</v>
      </c>
      <c r="C1244" s="4">
        <v>2023</v>
      </c>
      <c r="D1244" s="4">
        <v>333</v>
      </c>
      <c r="E1244" s="4">
        <v>0</v>
      </c>
      <c r="F1244" s="4">
        <v>0</v>
      </c>
      <c r="G1244" s="4">
        <v>0</v>
      </c>
      <c r="H1244" s="4">
        <v>0</v>
      </c>
      <c r="I1244" s="4">
        <v>2</v>
      </c>
      <c r="J1244" s="4">
        <v>0</v>
      </c>
      <c r="K1244" s="4">
        <v>0</v>
      </c>
      <c r="L1244" s="4">
        <v>0</v>
      </c>
      <c r="M1244" s="4">
        <v>1</v>
      </c>
      <c r="N1244" s="4">
        <v>3</v>
      </c>
      <c r="O1244" s="4">
        <v>19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2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8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</v>
      </c>
      <c r="AH1244" s="4">
        <v>2</v>
      </c>
      <c r="AI1244" s="4">
        <v>3</v>
      </c>
      <c r="AJ1244" s="4">
        <v>1</v>
      </c>
      <c r="AK1244" s="4">
        <v>4</v>
      </c>
      <c r="AL1244" s="4">
        <v>1</v>
      </c>
      <c r="AM1244" s="4">
        <v>3</v>
      </c>
      <c r="AN1244" s="4">
        <v>3</v>
      </c>
      <c r="AO1244" s="4">
        <v>8</v>
      </c>
      <c r="AP1244" s="4">
        <v>0</v>
      </c>
      <c r="AQ1244" s="4">
        <v>2</v>
      </c>
      <c r="AR1244" s="4">
        <v>0</v>
      </c>
      <c r="AS1244" s="4">
        <v>2</v>
      </c>
      <c r="AT1244" s="4">
        <v>5</v>
      </c>
      <c r="AU1244" s="4">
        <v>2</v>
      </c>
      <c r="AV1244" s="4">
        <v>11</v>
      </c>
      <c r="AW1244" s="4">
        <v>2</v>
      </c>
      <c r="AX1244" s="4">
        <v>4</v>
      </c>
      <c r="AY1244" s="4">
        <v>0</v>
      </c>
      <c r="AZ1244" s="4">
        <v>0</v>
      </c>
      <c r="BA1244" s="4">
        <v>0</v>
      </c>
      <c r="BB1244" s="4">
        <v>16</v>
      </c>
      <c r="BC1244" s="4">
        <v>0</v>
      </c>
      <c r="BD1244" s="4">
        <v>1</v>
      </c>
      <c r="BE1244" s="4">
        <v>2</v>
      </c>
      <c r="BF1244" s="4">
        <v>20</v>
      </c>
      <c r="BG1244" s="4">
        <v>0</v>
      </c>
      <c r="BH1244" s="4">
        <v>1</v>
      </c>
      <c r="BI1244" s="4">
        <v>0</v>
      </c>
      <c r="BJ1244" s="4">
        <v>4</v>
      </c>
      <c r="BK1244" s="4">
        <v>9</v>
      </c>
      <c r="BL1244" s="4">
        <v>0</v>
      </c>
      <c r="BM1244" s="4">
        <v>1</v>
      </c>
      <c r="BN1244" s="4">
        <v>7</v>
      </c>
      <c r="BO1244" s="4">
        <v>0</v>
      </c>
      <c r="BP1244" s="4">
        <v>2</v>
      </c>
      <c r="BQ1244" s="4">
        <v>40</v>
      </c>
      <c r="BR1244" s="4">
        <v>1</v>
      </c>
      <c r="BS1244" s="4">
        <v>16</v>
      </c>
      <c r="BT1244" s="4">
        <v>9</v>
      </c>
      <c r="BU1244" s="4">
        <v>0</v>
      </c>
      <c r="BV1244" s="4">
        <v>2</v>
      </c>
      <c r="BW1244" s="4">
        <v>2</v>
      </c>
      <c r="BX1244" s="4">
        <v>53</v>
      </c>
      <c r="BY1244" s="4">
        <v>2</v>
      </c>
      <c r="BZ1244" s="4">
        <v>0</v>
      </c>
      <c r="CA1244" s="4">
        <v>5</v>
      </c>
      <c r="CB1244" s="4">
        <v>14</v>
      </c>
      <c r="CC1244" s="4">
        <v>0</v>
      </c>
      <c r="CD1244" s="4">
        <v>0</v>
      </c>
      <c r="CE1244" s="4">
        <v>0</v>
      </c>
      <c r="CF1244" s="4">
        <v>0</v>
      </c>
      <c r="CG1244" s="4">
        <v>1</v>
      </c>
      <c r="CH1244" s="4">
        <v>0</v>
      </c>
      <c r="CI1244" s="4">
        <v>2</v>
      </c>
      <c r="CJ1244" s="4">
        <v>2</v>
      </c>
      <c r="CK1244" s="4">
        <v>0</v>
      </c>
      <c r="CL1244" s="4">
        <v>0</v>
      </c>
      <c r="CM1244" s="4">
        <v>0</v>
      </c>
      <c r="CN1244" s="4">
        <v>11</v>
      </c>
      <c r="CO1244" s="4">
        <v>0</v>
      </c>
      <c r="CP1244" s="4">
        <v>0</v>
      </c>
      <c r="CQ1244" s="4">
        <v>0</v>
      </c>
      <c r="CR1244" s="4">
        <v>1</v>
      </c>
      <c r="CS1244" s="4">
        <v>0</v>
      </c>
      <c r="CT1244" s="4">
        <v>2</v>
      </c>
      <c r="CU1244" s="4">
        <v>1</v>
      </c>
      <c r="CV1244" s="4">
        <v>11</v>
      </c>
      <c r="CW1244" s="4">
        <v>1</v>
      </c>
      <c r="CX1244" s="5">
        <v>1</v>
      </c>
    </row>
    <row r="1245" spans="1:102" ht="15.75" x14ac:dyDescent="0.25">
      <c r="A1245" s="4" t="s">
        <v>225</v>
      </c>
      <c r="B1245" s="4" t="s">
        <v>226</v>
      </c>
      <c r="C1245" s="4">
        <v>2023</v>
      </c>
      <c r="D1245" s="4">
        <v>1715</v>
      </c>
      <c r="E1245" s="4">
        <v>7</v>
      </c>
      <c r="F1245" s="4">
        <v>0</v>
      </c>
      <c r="G1245" s="4">
        <v>34</v>
      </c>
      <c r="H1245" s="4">
        <v>2</v>
      </c>
      <c r="I1245" s="4">
        <v>2</v>
      </c>
      <c r="J1245" s="4">
        <v>57</v>
      </c>
      <c r="K1245" s="4">
        <v>1</v>
      </c>
      <c r="L1245" s="4">
        <v>13</v>
      </c>
      <c r="M1245" s="4">
        <v>2</v>
      </c>
      <c r="N1245" s="4">
        <v>7</v>
      </c>
      <c r="O1245" s="4">
        <v>46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2</v>
      </c>
      <c r="V1245" s="4">
        <v>15</v>
      </c>
      <c r="W1245" s="4">
        <v>454</v>
      </c>
      <c r="X1245" s="4">
        <v>2</v>
      </c>
      <c r="Y1245" s="4">
        <v>0</v>
      </c>
      <c r="Z1245" s="4">
        <v>0</v>
      </c>
      <c r="AA1245" s="4">
        <v>16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8</v>
      </c>
      <c r="AH1245" s="4">
        <v>2</v>
      </c>
      <c r="AI1245" s="4">
        <v>18</v>
      </c>
      <c r="AJ1245" s="4">
        <v>132</v>
      </c>
      <c r="AK1245" s="4">
        <v>12</v>
      </c>
      <c r="AL1245" s="4">
        <v>4</v>
      </c>
      <c r="AM1245" s="4">
        <v>16</v>
      </c>
      <c r="AN1245" s="4">
        <v>14</v>
      </c>
      <c r="AO1245" s="4">
        <v>22</v>
      </c>
      <c r="AP1245" s="4">
        <v>0</v>
      </c>
      <c r="AQ1245" s="4">
        <v>6</v>
      </c>
      <c r="AR1245" s="4">
        <v>0</v>
      </c>
      <c r="AS1245" s="4">
        <v>4</v>
      </c>
      <c r="AT1245" s="4">
        <v>4</v>
      </c>
      <c r="AU1245" s="4">
        <v>2</v>
      </c>
      <c r="AV1245" s="4">
        <v>22</v>
      </c>
      <c r="AW1245" s="4">
        <v>15</v>
      </c>
      <c r="AX1245" s="4">
        <v>18</v>
      </c>
      <c r="AY1245" s="4">
        <v>1</v>
      </c>
      <c r="AZ1245" s="4">
        <v>14</v>
      </c>
      <c r="BA1245" s="4">
        <v>0</v>
      </c>
      <c r="BB1245" s="4">
        <v>50</v>
      </c>
      <c r="BC1245" s="4">
        <v>9</v>
      </c>
      <c r="BD1245" s="4">
        <v>0</v>
      </c>
      <c r="BE1245" s="4">
        <v>11</v>
      </c>
      <c r="BF1245" s="4">
        <v>20</v>
      </c>
      <c r="BG1245" s="4">
        <v>5</v>
      </c>
      <c r="BH1245" s="4">
        <v>1</v>
      </c>
      <c r="BI1245" s="4">
        <v>0</v>
      </c>
      <c r="BJ1245" s="4">
        <v>55</v>
      </c>
      <c r="BK1245" s="4">
        <v>23</v>
      </c>
      <c r="BL1245" s="4">
        <v>0</v>
      </c>
      <c r="BM1245" s="4">
        <v>0</v>
      </c>
      <c r="BN1245" s="4">
        <v>11</v>
      </c>
      <c r="BO1245" s="4">
        <v>0</v>
      </c>
      <c r="BP1245" s="4">
        <v>0</v>
      </c>
      <c r="BQ1245" s="4">
        <v>10</v>
      </c>
      <c r="BR1245" s="4">
        <v>1</v>
      </c>
      <c r="BS1245" s="4">
        <v>38</v>
      </c>
      <c r="BT1245" s="4">
        <v>38</v>
      </c>
      <c r="BU1245" s="4">
        <v>0</v>
      </c>
      <c r="BV1245" s="4">
        <v>6</v>
      </c>
      <c r="BW1245" s="4">
        <v>2</v>
      </c>
      <c r="BX1245" s="4">
        <v>92</v>
      </c>
      <c r="BY1245" s="4">
        <v>2</v>
      </c>
      <c r="BZ1245" s="4">
        <v>245</v>
      </c>
      <c r="CA1245" s="4">
        <v>11</v>
      </c>
      <c r="CB1245" s="4">
        <v>0</v>
      </c>
      <c r="CC1245" s="4">
        <v>0</v>
      </c>
      <c r="CD1245" s="4">
        <v>3</v>
      </c>
      <c r="CE1245" s="4">
        <v>0</v>
      </c>
      <c r="CF1245" s="4">
        <v>1</v>
      </c>
      <c r="CG1245" s="4">
        <v>1</v>
      </c>
      <c r="CH1245" s="4">
        <v>1</v>
      </c>
      <c r="CI1245" s="4">
        <v>0</v>
      </c>
      <c r="CJ1245" s="4">
        <v>2</v>
      </c>
      <c r="CK1245" s="4">
        <v>0</v>
      </c>
      <c r="CL1245" s="4">
        <v>0</v>
      </c>
      <c r="CM1245" s="4">
        <v>5</v>
      </c>
      <c r="CN1245" s="4">
        <v>31</v>
      </c>
      <c r="CO1245" s="4">
        <v>0</v>
      </c>
      <c r="CP1245" s="4">
        <v>1</v>
      </c>
      <c r="CQ1245" s="4">
        <v>0</v>
      </c>
      <c r="CR1245" s="4">
        <v>1</v>
      </c>
      <c r="CS1245" s="4">
        <v>0</v>
      </c>
      <c r="CT1245" s="4">
        <v>11</v>
      </c>
      <c r="CU1245" s="4">
        <v>20</v>
      </c>
      <c r="CV1245" s="4">
        <v>23</v>
      </c>
      <c r="CW1245" s="4">
        <v>8</v>
      </c>
      <c r="CX1245" s="5">
        <v>8</v>
      </c>
    </row>
    <row r="1246" spans="1:102" ht="15.75" x14ac:dyDescent="0.25">
      <c r="A1246" s="4" t="s">
        <v>227</v>
      </c>
      <c r="B1246" s="4" t="s">
        <v>228</v>
      </c>
      <c r="C1246" s="4">
        <v>2023</v>
      </c>
      <c r="D1246" s="4">
        <v>3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2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  <c r="CS1246" s="4">
        <v>0</v>
      </c>
      <c r="CT1246" s="4">
        <v>0</v>
      </c>
      <c r="CU1246" s="4">
        <v>0</v>
      </c>
      <c r="CV1246" s="4">
        <v>0</v>
      </c>
      <c r="CW1246" s="4">
        <v>0</v>
      </c>
      <c r="CX1246" s="5">
        <v>0</v>
      </c>
    </row>
    <row r="1247" spans="1:102" ht="15.75" x14ac:dyDescent="0.25">
      <c r="A1247" s="4" t="s">
        <v>229</v>
      </c>
      <c r="B1247" s="4" t="s">
        <v>230</v>
      </c>
      <c r="C1247" s="4">
        <v>2023</v>
      </c>
      <c r="D1247" s="4">
        <v>10110</v>
      </c>
      <c r="E1247" s="4">
        <v>14</v>
      </c>
      <c r="F1247" s="4">
        <v>22</v>
      </c>
      <c r="G1247" s="4">
        <v>50</v>
      </c>
      <c r="H1247" s="4">
        <v>111</v>
      </c>
      <c r="I1247" s="4">
        <v>294</v>
      </c>
      <c r="J1247" s="4">
        <v>36</v>
      </c>
      <c r="K1247" s="4">
        <v>7</v>
      </c>
      <c r="L1247" s="4">
        <v>19</v>
      </c>
      <c r="M1247" s="4">
        <v>18</v>
      </c>
      <c r="N1247" s="4">
        <v>51</v>
      </c>
      <c r="O1247" s="4">
        <v>403</v>
      </c>
      <c r="P1247" s="4">
        <v>2</v>
      </c>
      <c r="Q1247" s="4">
        <v>1</v>
      </c>
      <c r="R1247" s="4">
        <v>5</v>
      </c>
      <c r="S1247" s="4">
        <v>1</v>
      </c>
      <c r="T1247" s="4">
        <v>1</v>
      </c>
      <c r="U1247" s="4">
        <v>10</v>
      </c>
      <c r="V1247" s="4">
        <v>19</v>
      </c>
      <c r="W1247" s="4">
        <v>308</v>
      </c>
      <c r="X1247" s="4">
        <v>15</v>
      </c>
      <c r="Y1247" s="4">
        <v>16</v>
      </c>
      <c r="Z1247" s="4">
        <v>208</v>
      </c>
      <c r="AA1247" s="4">
        <v>233</v>
      </c>
      <c r="AB1247" s="4">
        <v>6</v>
      </c>
      <c r="AC1247" s="4">
        <v>0</v>
      </c>
      <c r="AD1247" s="4">
        <v>2</v>
      </c>
      <c r="AE1247" s="4">
        <v>2</v>
      </c>
      <c r="AF1247" s="4">
        <v>2</v>
      </c>
      <c r="AG1247" s="4">
        <v>109</v>
      </c>
      <c r="AH1247" s="4">
        <v>425</v>
      </c>
      <c r="AI1247" s="4">
        <v>90</v>
      </c>
      <c r="AJ1247" s="4">
        <v>244</v>
      </c>
      <c r="AK1247" s="4">
        <v>247</v>
      </c>
      <c r="AL1247" s="4">
        <v>12</v>
      </c>
      <c r="AM1247" s="4">
        <v>158</v>
      </c>
      <c r="AN1247" s="4">
        <v>101</v>
      </c>
      <c r="AO1247" s="4">
        <v>157</v>
      </c>
      <c r="AP1247" s="4">
        <v>2</v>
      </c>
      <c r="AQ1247" s="4">
        <v>43</v>
      </c>
      <c r="AR1247" s="4">
        <v>29</v>
      </c>
      <c r="AS1247" s="4">
        <v>39</v>
      </c>
      <c r="AT1247" s="4">
        <v>38</v>
      </c>
      <c r="AU1247" s="4">
        <v>59</v>
      </c>
      <c r="AV1247" s="4">
        <v>350</v>
      </c>
      <c r="AW1247" s="4">
        <v>249</v>
      </c>
      <c r="AX1247" s="4">
        <v>198</v>
      </c>
      <c r="AY1247" s="4">
        <v>2</v>
      </c>
      <c r="AZ1247" s="4">
        <v>49</v>
      </c>
      <c r="BA1247" s="4">
        <v>0</v>
      </c>
      <c r="BB1247" s="4">
        <v>835</v>
      </c>
      <c r="BC1247" s="4">
        <v>33</v>
      </c>
      <c r="BD1247" s="4">
        <v>5</v>
      </c>
      <c r="BE1247" s="4">
        <v>34</v>
      </c>
      <c r="BF1247" s="4">
        <v>166</v>
      </c>
      <c r="BG1247" s="4">
        <v>13</v>
      </c>
      <c r="BH1247" s="4">
        <v>26</v>
      </c>
      <c r="BI1247" s="4">
        <v>1</v>
      </c>
      <c r="BJ1247" s="4">
        <v>184</v>
      </c>
      <c r="BK1247" s="4">
        <v>220</v>
      </c>
      <c r="BL1247" s="4">
        <v>0</v>
      </c>
      <c r="BM1247" s="4">
        <v>11</v>
      </c>
      <c r="BN1247" s="4">
        <v>70</v>
      </c>
      <c r="BO1247" s="4">
        <v>1</v>
      </c>
      <c r="BP1247" s="4">
        <v>22</v>
      </c>
      <c r="BQ1247" s="4">
        <v>147</v>
      </c>
      <c r="BR1247" s="4">
        <v>14</v>
      </c>
      <c r="BS1247" s="4">
        <v>234</v>
      </c>
      <c r="BT1247" s="4">
        <v>120</v>
      </c>
      <c r="BU1247" s="4">
        <v>5</v>
      </c>
      <c r="BV1247" s="4">
        <v>152</v>
      </c>
      <c r="BW1247" s="4">
        <v>136</v>
      </c>
      <c r="BX1247" s="4">
        <v>875</v>
      </c>
      <c r="BY1247" s="4">
        <v>6</v>
      </c>
      <c r="BZ1247" s="4">
        <v>0</v>
      </c>
      <c r="CA1247" s="4">
        <v>352</v>
      </c>
      <c r="CB1247" s="4">
        <v>247</v>
      </c>
      <c r="CC1247" s="4">
        <v>1</v>
      </c>
      <c r="CD1247" s="4">
        <v>22</v>
      </c>
      <c r="CE1247" s="4">
        <v>1</v>
      </c>
      <c r="CF1247" s="4">
        <v>16</v>
      </c>
      <c r="CG1247" s="4">
        <v>4</v>
      </c>
      <c r="CH1247" s="4">
        <v>9</v>
      </c>
      <c r="CI1247" s="4">
        <v>10</v>
      </c>
      <c r="CJ1247" s="4">
        <v>98</v>
      </c>
      <c r="CK1247" s="4">
        <v>32</v>
      </c>
      <c r="CL1247" s="4">
        <v>0</v>
      </c>
      <c r="CM1247" s="4">
        <v>90</v>
      </c>
      <c r="CN1247" s="4">
        <v>169</v>
      </c>
      <c r="CO1247" s="4">
        <v>58</v>
      </c>
      <c r="CP1247" s="4">
        <v>6</v>
      </c>
      <c r="CQ1247" s="4">
        <v>0</v>
      </c>
      <c r="CR1247" s="4">
        <v>27</v>
      </c>
      <c r="CS1247" s="4">
        <v>2</v>
      </c>
      <c r="CT1247" s="4">
        <v>72</v>
      </c>
      <c r="CU1247" s="4">
        <v>22</v>
      </c>
      <c r="CV1247" s="4">
        <v>119</v>
      </c>
      <c r="CW1247" s="4">
        <v>988</v>
      </c>
      <c r="CX1247" s="5">
        <v>961</v>
      </c>
    </row>
    <row r="1248" spans="1:102" ht="15.75" x14ac:dyDescent="0.25">
      <c r="A1248" s="4" t="s">
        <v>231</v>
      </c>
      <c r="B1248" s="4" t="s">
        <v>232</v>
      </c>
      <c r="C1248" s="4">
        <v>2023</v>
      </c>
      <c r="D1248" s="4">
        <v>164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1</v>
      </c>
      <c r="M1248" s="4">
        <v>0</v>
      </c>
      <c r="N1248" s="4">
        <v>0</v>
      </c>
      <c r="O1248" s="4">
        <v>8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2</v>
      </c>
      <c r="AK1248" s="4">
        <v>2</v>
      </c>
      <c r="AL1248" s="4">
        <v>0</v>
      </c>
      <c r="AM1248" s="4">
        <v>0</v>
      </c>
      <c r="AN1248" s="4">
        <v>0</v>
      </c>
      <c r="AO1248" s="4">
        <v>1</v>
      </c>
      <c r="AP1248" s="4">
        <v>0</v>
      </c>
      <c r="AQ1248" s="4">
        <v>2</v>
      </c>
      <c r="AR1248" s="4">
        <v>0</v>
      </c>
      <c r="AS1248" s="4">
        <v>0</v>
      </c>
      <c r="AT1248" s="4">
        <v>1</v>
      </c>
      <c r="AU1248" s="4">
        <v>0</v>
      </c>
      <c r="AV1248" s="4">
        <v>0</v>
      </c>
      <c r="AW1248" s="4">
        <v>0</v>
      </c>
      <c r="AX1248" s="4">
        <v>2</v>
      </c>
      <c r="AY1248" s="4">
        <v>0</v>
      </c>
      <c r="AZ1248" s="4">
        <v>0</v>
      </c>
      <c r="BA1248" s="4">
        <v>0</v>
      </c>
      <c r="BB1248" s="4">
        <v>83</v>
      </c>
      <c r="BC1248" s="4">
        <v>1</v>
      </c>
      <c r="BD1248" s="4">
        <v>0</v>
      </c>
      <c r="BE1248" s="4">
        <v>1</v>
      </c>
      <c r="BF1248" s="4">
        <v>8</v>
      </c>
      <c r="BG1248" s="4">
        <v>0</v>
      </c>
      <c r="BH1248" s="4">
        <v>0</v>
      </c>
      <c r="BI1248" s="4">
        <v>0</v>
      </c>
      <c r="BJ1248" s="4">
        <v>5</v>
      </c>
      <c r="BK1248" s="4">
        <v>3</v>
      </c>
      <c r="BL1248" s="4">
        <v>0</v>
      </c>
      <c r="BM1248" s="4">
        <v>0</v>
      </c>
      <c r="BN1248" s="4">
        <v>2</v>
      </c>
      <c r="BO1248" s="4">
        <v>0</v>
      </c>
      <c r="BP1248" s="4">
        <v>0</v>
      </c>
      <c r="BQ1248" s="4">
        <v>5</v>
      </c>
      <c r="BR1248" s="4">
        <v>0</v>
      </c>
      <c r="BS1248" s="4">
        <v>3</v>
      </c>
      <c r="BT1248" s="4">
        <v>1</v>
      </c>
      <c r="BU1248" s="4">
        <v>0</v>
      </c>
      <c r="BV1248" s="4">
        <v>0</v>
      </c>
      <c r="BW1248" s="4">
        <v>1</v>
      </c>
      <c r="BX1248" s="4">
        <v>0</v>
      </c>
      <c r="BY1248" s="4">
        <v>0</v>
      </c>
      <c r="BZ1248" s="4">
        <v>0</v>
      </c>
      <c r="CA1248" s="4">
        <v>15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3</v>
      </c>
      <c r="CH1248" s="4">
        <v>0</v>
      </c>
      <c r="CI1248" s="4">
        <v>0</v>
      </c>
      <c r="CJ1248" s="4">
        <v>1</v>
      </c>
      <c r="CK1248" s="4">
        <v>0</v>
      </c>
      <c r="CL1248" s="4">
        <v>0</v>
      </c>
      <c r="CM1248" s="4">
        <v>0</v>
      </c>
      <c r="CN1248" s="4">
        <v>6</v>
      </c>
      <c r="CO1248" s="4">
        <v>0</v>
      </c>
      <c r="CP1248" s="4">
        <v>1</v>
      </c>
      <c r="CQ1248" s="4">
        <v>0</v>
      </c>
      <c r="CR1248" s="4">
        <v>0</v>
      </c>
      <c r="CS1248" s="4">
        <v>0</v>
      </c>
      <c r="CT1248" s="4">
        <v>0</v>
      </c>
      <c r="CU1248" s="4">
        <v>0</v>
      </c>
      <c r="CV1248" s="4">
        <v>1</v>
      </c>
      <c r="CW1248" s="4">
        <v>1</v>
      </c>
      <c r="CX1248" s="5">
        <v>1</v>
      </c>
    </row>
    <row r="1249" spans="1:102" ht="15.75" x14ac:dyDescent="0.25">
      <c r="A1249" s="4" t="s">
        <v>233</v>
      </c>
      <c r="B1249" s="4" t="s">
        <v>234</v>
      </c>
      <c r="C1249" s="4">
        <v>2023</v>
      </c>
      <c r="D1249" s="4">
        <v>1435</v>
      </c>
      <c r="E1249" s="4">
        <v>0</v>
      </c>
      <c r="F1249" s="4">
        <v>0</v>
      </c>
      <c r="G1249" s="4">
        <v>1</v>
      </c>
      <c r="H1249" s="4">
        <v>0</v>
      </c>
      <c r="I1249" s="4">
        <v>11</v>
      </c>
      <c r="J1249" s="4">
        <v>2</v>
      </c>
      <c r="K1249" s="4">
        <v>1</v>
      </c>
      <c r="L1249" s="4">
        <v>2</v>
      </c>
      <c r="M1249" s="4">
        <v>13</v>
      </c>
      <c r="N1249" s="4">
        <v>9</v>
      </c>
      <c r="O1249" s="4">
        <v>22</v>
      </c>
      <c r="P1249" s="4">
        <v>0</v>
      </c>
      <c r="Q1249" s="4">
        <v>0</v>
      </c>
      <c r="R1249" s="4">
        <v>0</v>
      </c>
      <c r="S1249" s="4">
        <v>2</v>
      </c>
      <c r="T1249" s="4">
        <v>0</v>
      </c>
      <c r="U1249" s="4">
        <v>1</v>
      </c>
      <c r="V1249" s="4">
        <v>16</v>
      </c>
      <c r="W1249" s="4">
        <v>2</v>
      </c>
      <c r="X1249" s="4">
        <v>0</v>
      </c>
      <c r="Y1249" s="4">
        <v>5</v>
      </c>
      <c r="Z1249" s="4">
        <v>420</v>
      </c>
      <c r="AA1249" s="4">
        <v>5</v>
      </c>
      <c r="AB1249" s="4">
        <v>11</v>
      </c>
      <c r="AC1249" s="4">
        <v>0</v>
      </c>
      <c r="AD1249" s="4">
        <v>0</v>
      </c>
      <c r="AE1249" s="4">
        <v>0</v>
      </c>
      <c r="AF1249" s="4">
        <v>0</v>
      </c>
      <c r="AG1249" s="4">
        <v>17</v>
      </c>
      <c r="AH1249" s="4">
        <v>15</v>
      </c>
      <c r="AI1249" s="4">
        <v>12</v>
      </c>
      <c r="AJ1249" s="4">
        <v>25</v>
      </c>
      <c r="AK1249" s="4">
        <v>9</v>
      </c>
      <c r="AL1249" s="4">
        <v>2</v>
      </c>
      <c r="AM1249" s="4">
        <v>20</v>
      </c>
      <c r="AN1249" s="4">
        <v>17</v>
      </c>
      <c r="AO1249" s="4">
        <v>23</v>
      </c>
      <c r="AP1249" s="4">
        <v>1</v>
      </c>
      <c r="AQ1249" s="4">
        <v>7</v>
      </c>
      <c r="AR1249" s="4">
        <v>0</v>
      </c>
      <c r="AS1249" s="4">
        <v>21</v>
      </c>
      <c r="AT1249" s="4">
        <v>26</v>
      </c>
      <c r="AU1249" s="4">
        <v>11</v>
      </c>
      <c r="AV1249" s="4">
        <v>27</v>
      </c>
      <c r="AW1249" s="4">
        <v>24</v>
      </c>
      <c r="AX1249" s="4">
        <v>30</v>
      </c>
      <c r="AY1249" s="4">
        <v>4</v>
      </c>
      <c r="AZ1249" s="4">
        <v>4</v>
      </c>
      <c r="BA1249" s="4">
        <v>0</v>
      </c>
      <c r="BB1249" s="4">
        <v>60</v>
      </c>
      <c r="BC1249" s="4">
        <v>16</v>
      </c>
      <c r="BD1249" s="4">
        <v>1</v>
      </c>
      <c r="BE1249" s="4">
        <v>19</v>
      </c>
      <c r="BF1249" s="4">
        <v>54</v>
      </c>
      <c r="BG1249" s="4">
        <v>3</v>
      </c>
      <c r="BH1249" s="4">
        <v>5</v>
      </c>
      <c r="BI1249" s="4">
        <v>0</v>
      </c>
      <c r="BJ1249" s="4">
        <v>42</v>
      </c>
      <c r="BK1249" s="4">
        <v>42</v>
      </c>
      <c r="BL1249" s="4">
        <v>0</v>
      </c>
      <c r="BM1249" s="4">
        <v>2</v>
      </c>
      <c r="BN1249" s="4">
        <v>9</v>
      </c>
      <c r="BO1249" s="4">
        <v>0</v>
      </c>
      <c r="BP1249" s="4">
        <v>2</v>
      </c>
      <c r="BQ1249" s="4">
        <v>16</v>
      </c>
      <c r="BR1249" s="4">
        <v>2</v>
      </c>
      <c r="BS1249" s="4">
        <v>36</v>
      </c>
      <c r="BT1249" s="4">
        <v>20</v>
      </c>
      <c r="BU1249" s="4">
        <v>1</v>
      </c>
      <c r="BV1249" s="4">
        <v>25</v>
      </c>
      <c r="BW1249" s="4">
        <v>8</v>
      </c>
      <c r="BX1249" s="4">
        <v>93</v>
      </c>
      <c r="BY1249" s="4">
        <v>1</v>
      </c>
      <c r="BZ1249" s="4">
        <v>0</v>
      </c>
      <c r="CA1249" s="4">
        <v>19</v>
      </c>
      <c r="CB1249" s="4">
        <v>2</v>
      </c>
      <c r="CC1249" s="4">
        <v>0</v>
      </c>
      <c r="CD1249" s="4">
        <v>2</v>
      </c>
      <c r="CE1249" s="4">
        <v>0</v>
      </c>
      <c r="CF1249" s="4">
        <v>1</v>
      </c>
      <c r="CG1249" s="4">
        <v>2</v>
      </c>
      <c r="CH1249" s="4">
        <v>2</v>
      </c>
      <c r="CI1249" s="4">
        <v>1</v>
      </c>
      <c r="CJ1249" s="4">
        <v>5</v>
      </c>
      <c r="CK1249" s="4">
        <v>1</v>
      </c>
      <c r="CL1249" s="4">
        <v>0</v>
      </c>
      <c r="CM1249" s="4">
        <v>3</v>
      </c>
      <c r="CN1249" s="4">
        <v>65</v>
      </c>
      <c r="CO1249" s="4">
        <v>0</v>
      </c>
      <c r="CP1249" s="4">
        <v>2</v>
      </c>
      <c r="CQ1249" s="4">
        <v>0</v>
      </c>
      <c r="CR1249" s="4">
        <v>3</v>
      </c>
      <c r="CS1249" s="4">
        <v>1</v>
      </c>
      <c r="CT1249" s="4">
        <v>14</v>
      </c>
      <c r="CU1249" s="4">
        <v>3</v>
      </c>
      <c r="CV1249" s="4">
        <v>24</v>
      </c>
      <c r="CW1249" s="4">
        <v>9</v>
      </c>
      <c r="CX1249" s="5">
        <v>9</v>
      </c>
    </row>
    <row r="1250" spans="1:102" ht="15.75" x14ac:dyDescent="0.25">
      <c r="A1250" s="4" t="s">
        <v>235</v>
      </c>
      <c r="B1250" s="4" t="s">
        <v>236</v>
      </c>
      <c r="C1250" s="4">
        <v>2023</v>
      </c>
      <c r="D1250" s="4">
        <v>4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1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1</v>
      </c>
      <c r="CO1250" s="4">
        <v>0</v>
      </c>
      <c r="CP1250" s="4">
        <v>0</v>
      </c>
      <c r="CQ1250" s="4">
        <v>0</v>
      </c>
      <c r="CR1250" s="4">
        <v>0</v>
      </c>
      <c r="CS1250" s="4">
        <v>0</v>
      </c>
      <c r="CT1250" s="4">
        <v>0</v>
      </c>
      <c r="CU1250" s="4">
        <v>0</v>
      </c>
      <c r="CV1250" s="4">
        <v>0</v>
      </c>
      <c r="CW1250" s="4">
        <v>0</v>
      </c>
      <c r="CX1250" s="5">
        <v>0</v>
      </c>
    </row>
    <row r="1251" spans="1:102" ht="15.75" x14ac:dyDescent="0.25">
      <c r="A1251" s="4" t="s">
        <v>237</v>
      </c>
      <c r="B1251" s="4" t="s">
        <v>238</v>
      </c>
      <c r="C1251" s="4">
        <v>2023</v>
      </c>
      <c r="D1251" s="4">
        <v>105</v>
      </c>
      <c r="E1251" s="4">
        <v>0</v>
      </c>
      <c r="F1251" s="4">
        <v>1</v>
      </c>
      <c r="G1251" s="4">
        <v>0</v>
      </c>
      <c r="H1251" s="4">
        <v>0</v>
      </c>
      <c r="I1251" s="4">
        <v>1</v>
      </c>
      <c r="J1251" s="4">
        <v>1</v>
      </c>
      <c r="K1251" s="4">
        <v>0</v>
      </c>
      <c r="L1251" s="4">
        <v>1</v>
      </c>
      <c r="M1251" s="4">
        <v>0</v>
      </c>
      <c r="N1251" s="4">
        <v>4</v>
      </c>
      <c r="O1251" s="4">
        <v>3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2</v>
      </c>
      <c r="W1251" s="4">
        <v>0</v>
      </c>
      <c r="X1251" s="4">
        <v>0</v>
      </c>
      <c r="Y1251" s="4">
        <v>0</v>
      </c>
      <c r="Z1251" s="4">
        <v>0</v>
      </c>
      <c r="AA1251" s="4">
        <v>1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1</v>
      </c>
      <c r="AJ1251" s="4">
        <v>2</v>
      </c>
      <c r="AK1251" s="4">
        <v>1</v>
      </c>
      <c r="AL1251" s="4">
        <v>0</v>
      </c>
      <c r="AM1251" s="4">
        <v>0</v>
      </c>
      <c r="AN1251" s="4">
        <v>1</v>
      </c>
      <c r="AO1251" s="4">
        <v>0</v>
      </c>
      <c r="AP1251" s="4">
        <v>0</v>
      </c>
      <c r="AQ1251" s="4">
        <v>0</v>
      </c>
      <c r="AR1251" s="4">
        <v>1</v>
      </c>
      <c r="AS1251" s="4">
        <v>0</v>
      </c>
      <c r="AT1251" s="4">
        <v>1</v>
      </c>
      <c r="AU1251" s="4">
        <v>1</v>
      </c>
      <c r="AV1251" s="4">
        <v>1</v>
      </c>
      <c r="AW1251" s="4">
        <v>0</v>
      </c>
      <c r="AX1251" s="4">
        <v>8</v>
      </c>
      <c r="AY1251" s="4">
        <v>1</v>
      </c>
      <c r="AZ1251" s="4">
        <v>2</v>
      </c>
      <c r="BA1251" s="4">
        <v>0</v>
      </c>
      <c r="BB1251" s="4">
        <v>1</v>
      </c>
      <c r="BC1251" s="4">
        <v>1</v>
      </c>
      <c r="BD1251" s="4">
        <v>0</v>
      </c>
      <c r="BE1251" s="4">
        <v>1</v>
      </c>
      <c r="BF1251" s="4">
        <v>7</v>
      </c>
      <c r="BG1251" s="4">
        <v>0</v>
      </c>
      <c r="BH1251" s="4">
        <v>0</v>
      </c>
      <c r="BI1251" s="4">
        <v>0</v>
      </c>
      <c r="BJ1251" s="4">
        <v>2</v>
      </c>
      <c r="BK1251" s="4">
        <v>4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2</v>
      </c>
      <c r="BR1251" s="4">
        <v>1</v>
      </c>
      <c r="BS1251" s="4">
        <v>5</v>
      </c>
      <c r="BT1251" s="4">
        <v>2</v>
      </c>
      <c r="BU1251" s="4">
        <v>0</v>
      </c>
      <c r="BV1251" s="4">
        <v>2</v>
      </c>
      <c r="BW1251" s="4">
        <v>7</v>
      </c>
      <c r="BX1251" s="4">
        <v>3</v>
      </c>
      <c r="BY1251" s="4">
        <v>0</v>
      </c>
      <c r="BZ1251" s="4">
        <v>0</v>
      </c>
      <c r="CA1251" s="4">
        <v>9</v>
      </c>
      <c r="CB1251" s="4">
        <v>0</v>
      </c>
      <c r="CC1251" s="4">
        <v>0</v>
      </c>
      <c r="CD1251" s="4">
        <v>6</v>
      </c>
      <c r="CE1251" s="4">
        <v>0</v>
      </c>
      <c r="CF1251" s="4">
        <v>1</v>
      </c>
      <c r="CG1251" s="4">
        <v>0</v>
      </c>
      <c r="CH1251" s="4">
        <v>1</v>
      </c>
      <c r="CI1251" s="4">
        <v>0</v>
      </c>
      <c r="CJ1251" s="4">
        <v>1</v>
      </c>
      <c r="CK1251" s="4">
        <v>0</v>
      </c>
      <c r="CL1251" s="4">
        <v>0</v>
      </c>
      <c r="CM1251" s="4">
        <v>0</v>
      </c>
      <c r="CN1251" s="4">
        <v>5</v>
      </c>
      <c r="CO1251" s="4">
        <v>0</v>
      </c>
      <c r="CP1251" s="4">
        <v>0</v>
      </c>
      <c r="CQ1251" s="4">
        <v>0</v>
      </c>
      <c r="CR1251" s="4">
        <v>0</v>
      </c>
      <c r="CS1251" s="4">
        <v>0</v>
      </c>
      <c r="CT1251" s="4">
        <v>0</v>
      </c>
      <c r="CU1251" s="4">
        <v>0</v>
      </c>
      <c r="CV1251" s="4">
        <v>4</v>
      </c>
      <c r="CW1251" s="4">
        <v>2</v>
      </c>
      <c r="CX1251" s="5">
        <v>2</v>
      </c>
    </row>
    <row r="1252" spans="1:102" ht="15.75" x14ac:dyDescent="0.25">
      <c r="A1252" s="4" t="s">
        <v>239</v>
      </c>
      <c r="B1252" s="4" t="s">
        <v>240</v>
      </c>
      <c r="C1252" s="4">
        <v>2023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0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5">
        <v>0</v>
      </c>
    </row>
    <row r="1253" spans="1:102" ht="15.75" x14ac:dyDescent="0.25">
      <c r="A1253" s="4" t="s">
        <v>241</v>
      </c>
      <c r="B1253" s="4" t="s">
        <v>242</v>
      </c>
      <c r="C1253" s="4">
        <v>2023</v>
      </c>
      <c r="D1253" s="4">
        <v>25</v>
      </c>
      <c r="E1253" s="4">
        <v>0</v>
      </c>
      <c r="F1253" s="4">
        <v>0</v>
      </c>
      <c r="G1253" s="4">
        <v>0</v>
      </c>
      <c r="H1253" s="4">
        <v>0</v>
      </c>
      <c r="I1253" s="4">
        <v>1</v>
      </c>
      <c r="J1253" s="4">
        <v>0</v>
      </c>
      <c r="K1253" s="4">
        <v>0</v>
      </c>
      <c r="L1253" s="4">
        <v>2</v>
      </c>
      <c r="M1253" s="4">
        <v>2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9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3</v>
      </c>
      <c r="AY1253" s="4">
        <v>0</v>
      </c>
      <c r="AZ1253" s="4">
        <v>0</v>
      </c>
      <c r="BA1253" s="4">
        <v>0</v>
      </c>
      <c r="BB1253" s="4">
        <v>0</v>
      </c>
      <c r="BC1253" s="4">
        <v>1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2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  <c r="CS1253" s="4">
        <v>0</v>
      </c>
      <c r="CT1253" s="4">
        <v>0</v>
      </c>
      <c r="CU1253" s="4">
        <v>0</v>
      </c>
      <c r="CV1253" s="4">
        <v>0</v>
      </c>
      <c r="CW1253" s="4">
        <v>1</v>
      </c>
      <c r="CX1253" s="5">
        <v>1</v>
      </c>
    </row>
    <row r="1254" spans="1:102" ht="15.75" x14ac:dyDescent="0.25">
      <c r="A1254" s="4" t="s">
        <v>243</v>
      </c>
      <c r="B1254" s="4" t="s">
        <v>244</v>
      </c>
      <c r="C1254" s="4">
        <v>2023</v>
      </c>
      <c r="D1254" s="4">
        <v>24802</v>
      </c>
      <c r="E1254" s="4">
        <v>49</v>
      </c>
      <c r="F1254" s="4">
        <v>582</v>
      </c>
      <c r="G1254" s="4">
        <v>165</v>
      </c>
      <c r="H1254" s="4">
        <v>779</v>
      </c>
      <c r="I1254" s="4">
        <v>181</v>
      </c>
      <c r="J1254" s="4">
        <v>57</v>
      </c>
      <c r="K1254" s="4">
        <v>10</v>
      </c>
      <c r="L1254" s="4">
        <v>92</v>
      </c>
      <c r="M1254" s="4">
        <v>92</v>
      </c>
      <c r="N1254" s="4">
        <v>182</v>
      </c>
      <c r="O1254" s="4">
        <v>747</v>
      </c>
      <c r="P1254" s="4">
        <v>3</v>
      </c>
      <c r="Q1254" s="4">
        <v>13</v>
      </c>
      <c r="R1254" s="4">
        <v>14</v>
      </c>
      <c r="S1254" s="4">
        <v>5</v>
      </c>
      <c r="T1254" s="4">
        <v>13</v>
      </c>
      <c r="U1254" s="4">
        <v>11</v>
      </c>
      <c r="V1254" s="4">
        <v>16</v>
      </c>
      <c r="W1254" s="4">
        <v>70</v>
      </c>
      <c r="X1254" s="4">
        <v>38</v>
      </c>
      <c r="Y1254" s="4">
        <v>4</v>
      </c>
      <c r="Z1254" s="4">
        <v>1245</v>
      </c>
      <c r="AA1254" s="4">
        <v>220</v>
      </c>
      <c r="AB1254" s="4">
        <v>187</v>
      </c>
      <c r="AC1254" s="4">
        <v>282</v>
      </c>
      <c r="AD1254" s="4">
        <v>3</v>
      </c>
      <c r="AE1254" s="4">
        <v>9</v>
      </c>
      <c r="AF1254" s="4">
        <v>4</v>
      </c>
      <c r="AG1254" s="4">
        <v>295</v>
      </c>
      <c r="AH1254" s="4">
        <v>188</v>
      </c>
      <c r="AI1254" s="4">
        <v>157</v>
      </c>
      <c r="AJ1254" s="4">
        <v>1505</v>
      </c>
      <c r="AK1254" s="4">
        <v>480</v>
      </c>
      <c r="AL1254" s="4">
        <v>16</v>
      </c>
      <c r="AM1254" s="4">
        <v>213</v>
      </c>
      <c r="AN1254" s="4">
        <v>252</v>
      </c>
      <c r="AO1254" s="4">
        <v>462</v>
      </c>
      <c r="AP1254" s="4">
        <v>7</v>
      </c>
      <c r="AQ1254" s="4">
        <v>126</v>
      </c>
      <c r="AR1254" s="4">
        <v>48</v>
      </c>
      <c r="AS1254" s="4">
        <v>182</v>
      </c>
      <c r="AT1254" s="4">
        <v>185</v>
      </c>
      <c r="AU1254" s="4">
        <v>148</v>
      </c>
      <c r="AV1254" s="4">
        <v>238</v>
      </c>
      <c r="AW1254" s="4">
        <v>341</v>
      </c>
      <c r="AX1254" s="4">
        <v>671</v>
      </c>
      <c r="AY1254" s="4">
        <v>8</v>
      </c>
      <c r="AZ1254" s="4">
        <v>82</v>
      </c>
      <c r="BA1254" s="4">
        <v>0</v>
      </c>
      <c r="BB1254" s="4">
        <v>2129</v>
      </c>
      <c r="BC1254" s="4">
        <v>204</v>
      </c>
      <c r="BD1254" s="4">
        <v>4</v>
      </c>
      <c r="BE1254" s="4">
        <v>143</v>
      </c>
      <c r="BF1254" s="4">
        <v>462</v>
      </c>
      <c r="BG1254" s="4">
        <v>16</v>
      </c>
      <c r="BH1254" s="4">
        <v>19</v>
      </c>
      <c r="BI1254" s="4">
        <v>6</v>
      </c>
      <c r="BJ1254" s="4">
        <v>457</v>
      </c>
      <c r="BK1254" s="4">
        <v>700</v>
      </c>
      <c r="BL1254" s="4">
        <v>0</v>
      </c>
      <c r="BM1254" s="4">
        <v>59</v>
      </c>
      <c r="BN1254" s="4">
        <v>178</v>
      </c>
      <c r="BO1254" s="4">
        <v>2</v>
      </c>
      <c r="BP1254" s="4">
        <v>81</v>
      </c>
      <c r="BQ1254" s="4">
        <v>417</v>
      </c>
      <c r="BR1254" s="4">
        <v>50</v>
      </c>
      <c r="BS1254" s="4">
        <v>602</v>
      </c>
      <c r="BT1254" s="4">
        <v>275</v>
      </c>
      <c r="BU1254" s="4">
        <v>10</v>
      </c>
      <c r="BV1254" s="4">
        <v>375</v>
      </c>
      <c r="BW1254" s="4">
        <v>379</v>
      </c>
      <c r="BX1254" s="4">
        <v>2104</v>
      </c>
      <c r="BY1254" s="4">
        <v>13</v>
      </c>
      <c r="BZ1254" s="4">
        <v>1</v>
      </c>
      <c r="CA1254" s="4">
        <v>1829</v>
      </c>
      <c r="CB1254" s="4">
        <v>178</v>
      </c>
      <c r="CC1254" s="4">
        <v>4</v>
      </c>
      <c r="CD1254" s="4">
        <v>60</v>
      </c>
      <c r="CE1254" s="4">
        <v>11</v>
      </c>
      <c r="CF1254" s="4">
        <v>77</v>
      </c>
      <c r="CG1254" s="4">
        <v>152</v>
      </c>
      <c r="CH1254" s="4">
        <v>91</v>
      </c>
      <c r="CI1254" s="4">
        <v>48</v>
      </c>
      <c r="CJ1254" s="4">
        <v>315</v>
      </c>
      <c r="CK1254" s="4">
        <v>54</v>
      </c>
      <c r="CL1254" s="4">
        <v>0</v>
      </c>
      <c r="CM1254" s="4">
        <v>148</v>
      </c>
      <c r="CN1254" s="4">
        <v>630</v>
      </c>
      <c r="CO1254" s="4">
        <v>39</v>
      </c>
      <c r="CP1254" s="4">
        <v>27</v>
      </c>
      <c r="CQ1254" s="4">
        <v>1</v>
      </c>
      <c r="CR1254" s="4">
        <v>370</v>
      </c>
      <c r="CS1254" s="4">
        <v>277</v>
      </c>
      <c r="CT1254" s="4">
        <v>209</v>
      </c>
      <c r="CU1254" s="4">
        <v>30</v>
      </c>
      <c r="CV1254" s="4">
        <v>552</v>
      </c>
      <c r="CW1254" s="4">
        <v>338</v>
      </c>
      <c r="CX1254" s="5">
        <v>336</v>
      </c>
    </row>
    <row r="1255" spans="1:102" ht="15.75" x14ac:dyDescent="0.25">
      <c r="A1255" s="4" t="s">
        <v>245</v>
      </c>
      <c r="B1255" s="4" t="s">
        <v>246</v>
      </c>
      <c r="C1255" s="4">
        <v>2023</v>
      </c>
      <c r="D1255" s="4">
        <v>43</v>
      </c>
      <c r="E1255" s="4">
        <v>0</v>
      </c>
      <c r="F1255" s="4">
        <v>7</v>
      </c>
      <c r="G1255" s="4">
        <v>3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2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1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1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2</v>
      </c>
      <c r="AW1255" s="4">
        <v>0</v>
      </c>
      <c r="AX1255" s="4">
        <v>1</v>
      </c>
      <c r="AY1255" s="4">
        <v>0</v>
      </c>
      <c r="AZ1255" s="4">
        <v>0</v>
      </c>
      <c r="BA1255" s="4">
        <v>0</v>
      </c>
      <c r="BB1255" s="4">
        <v>2</v>
      </c>
      <c r="BC1255" s="4">
        <v>0</v>
      </c>
      <c r="BD1255" s="4">
        <v>0</v>
      </c>
      <c r="BE1255" s="4">
        <v>2</v>
      </c>
      <c r="BF1255" s="4">
        <v>3</v>
      </c>
      <c r="BG1255" s="4">
        <v>0</v>
      </c>
      <c r="BH1255" s="4">
        <v>0</v>
      </c>
      <c r="BI1255" s="4">
        <v>0</v>
      </c>
      <c r="BJ1255" s="4">
        <v>2</v>
      </c>
      <c r="BK1255" s="4">
        <v>2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2</v>
      </c>
      <c r="BR1255" s="4">
        <v>0</v>
      </c>
      <c r="BS1255" s="4">
        <v>2</v>
      </c>
      <c r="BT1255" s="4">
        <v>1</v>
      </c>
      <c r="BU1255" s="4">
        <v>0</v>
      </c>
      <c r="BV1255" s="4">
        <v>0</v>
      </c>
      <c r="BW1255" s="4">
        <v>2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1</v>
      </c>
      <c r="CN1255" s="4">
        <v>2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5">
        <v>0</v>
      </c>
    </row>
    <row r="1256" spans="1:102" ht="15.75" x14ac:dyDescent="0.25">
      <c r="A1256" s="4" t="s">
        <v>247</v>
      </c>
      <c r="B1256" s="4" t="s">
        <v>248</v>
      </c>
      <c r="C1256" s="4">
        <v>2023</v>
      </c>
      <c r="D1256" s="4">
        <v>11</v>
      </c>
      <c r="E1256" s="4">
        <v>0</v>
      </c>
      <c r="F1256" s="4">
        <v>0</v>
      </c>
      <c r="G1256" s="4">
        <v>1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1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1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2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1</v>
      </c>
      <c r="CW1256" s="4">
        <v>0</v>
      </c>
      <c r="CX1256" s="5">
        <v>0</v>
      </c>
    </row>
    <row r="1257" spans="1:102" ht="15.75" x14ac:dyDescent="0.25">
      <c r="A1257" s="4" t="s">
        <v>249</v>
      </c>
      <c r="B1257" s="4" t="s">
        <v>250</v>
      </c>
      <c r="C1257" s="4">
        <v>2023</v>
      </c>
      <c r="D1257" s="4">
        <v>162</v>
      </c>
      <c r="E1257" s="4">
        <v>0</v>
      </c>
      <c r="F1257" s="4">
        <v>0</v>
      </c>
      <c r="G1257" s="4">
        <v>3</v>
      </c>
      <c r="H1257" s="4">
        <v>0</v>
      </c>
      <c r="I1257" s="4">
        <v>0</v>
      </c>
      <c r="J1257" s="4">
        <v>0</v>
      </c>
      <c r="K1257" s="4">
        <v>0</v>
      </c>
      <c r="L1257" s="4">
        <v>1</v>
      </c>
      <c r="M1257" s="4">
        <v>0</v>
      </c>
      <c r="N1257" s="4">
        <v>1</v>
      </c>
      <c r="O1257" s="4">
        <v>22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1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2</v>
      </c>
      <c r="AJ1257" s="4">
        <v>12</v>
      </c>
      <c r="AK1257" s="4">
        <v>11</v>
      </c>
      <c r="AL1257" s="4">
        <v>0</v>
      </c>
      <c r="AM1257" s="4">
        <v>0</v>
      </c>
      <c r="AN1257" s="4">
        <v>0</v>
      </c>
      <c r="AO1257" s="4">
        <v>2</v>
      </c>
      <c r="AP1257" s="4">
        <v>0</v>
      </c>
      <c r="AQ1257" s="4">
        <v>3</v>
      </c>
      <c r="AR1257" s="4">
        <v>0</v>
      </c>
      <c r="AS1257" s="4">
        <v>0</v>
      </c>
      <c r="AT1257" s="4">
        <v>0</v>
      </c>
      <c r="AU1257" s="4">
        <v>0</v>
      </c>
      <c r="AV1257" s="4">
        <v>6</v>
      </c>
      <c r="AW1257" s="4">
        <v>1</v>
      </c>
      <c r="AX1257" s="4">
        <v>1</v>
      </c>
      <c r="AY1257" s="4">
        <v>0</v>
      </c>
      <c r="AZ1257" s="4">
        <v>0</v>
      </c>
      <c r="BA1257" s="4">
        <v>0</v>
      </c>
      <c r="BB1257" s="4">
        <v>2</v>
      </c>
      <c r="BC1257" s="4">
        <v>0</v>
      </c>
      <c r="BD1257" s="4">
        <v>0</v>
      </c>
      <c r="BE1257" s="4">
        <v>2</v>
      </c>
      <c r="BF1257" s="4">
        <v>24</v>
      </c>
      <c r="BG1257" s="4">
        <v>0</v>
      </c>
      <c r="BH1257" s="4">
        <v>0</v>
      </c>
      <c r="BI1257" s="4">
        <v>0</v>
      </c>
      <c r="BJ1257" s="4">
        <v>3</v>
      </c>
      <c r="BK1257" s="4">
        <v>5</v>
      </c>
      <c r="BL1257" s="4">
        <v>0</v>
      </c>
      <c r="BM1257" s="4">
        <v>0</v>
      </c>
      <c r="BN1257" s="4">
        <v>1</v>
      </c>
      <c r="BO1257" s="4">
        <v>0</v>
      </c>
      <c r="BP1257" s="4">
        <v>0</v>
      </c>
      <c r="BQ1257" s="4">
        <v>1</v>
      </c>
      <c r="BR1257" s="4">
        <v>0</v>
      </c>
      <c r="BS1257" s="4">
        <v>2</v>
      </c>
      <c r="BT1257" s="4">
        <v>1</v>
      </c>
      <c r="BU1257" s="4">
        <v>0</v>
      </c>
      <c r="BV1257" s="4">
        <v>2</v>
      </c>
      <c r="BW1257" s="4">
        <v>1</v>
      </c>
      <c r="BX1257" s="4">
        <v>31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3</v>
      </c>
      <c r="CK1257" s="4">
        <v>0</v>
      </c>
      <c r="CL1257" s="4">
        <v>0</v>
      </c>
      <c r="CM1257" s="4">
        <v>0</v>
      </c>
      <c r="CN1257" s="4">
        <v>2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1</v>
      </c>
      <c r="CU1257" s="4">
        <v>3</v>
      </c>
      <c r="CV1257" s="4">
        <v>3</v>
      </c>
      <c r="CW1257" s="4">
        <v>0</v>
      </c>
      <c r="CX1257" s="5">
        <v>0</v>
      </c>
    </row>
    <row r="1258" spans="1:102" ht="15.75" x14ac:dyDescent="0.25">
      <c r="A1258" s="4" t="s">
        <v>251</v>
      </c>
      <c r="B1258" s="4" t="s">
        <v>252</v>
      </c>
      <c r="C1258" s="4">
        <v>2023</v>
      </c>
      <c r="D1258" s="4">
        <v>190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14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43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1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1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3</v>
      </c>
      <c r="BO1258" s="4">
        <v>0</v>
      </c>
      <c r="BP1258" s="4">
        <v>0</v>
      </c>
      <c r="BQ1258" s="4">
        <v>4</v>
      </c>
      <c r="BR1258" s="4">
        <v>0</v>
      </c>
      <c r="BS1258" s="4">
        <v>1</v>
      </c>
      <c r="BT1258" s="4">
        <v>0</v>
      </c>
      <c r="BU1258" s="4">
        <v>0</v>
      </c>
      <c r="BV1258" s="4">
        <v>0</v>
      </c>
      <c r="BW1258" s="4">
        <v>1</v>
      </c>
      <c r="BX1258" s="4">
        <v>11</v>
      </c>
      <c r="BY1258" s="4">
        <v>0</v>
      </c>
      <c r="BZ1258" s="4">
        <v>0</v>
      </c>
      <c r="CA1258" s="4">
        <v>50</v>
      </c>
      <c r="CB1258" s="4">
        <v>49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2</v>
      </c>
      <c r="CO1258" s="4">
        <v>0</v>
      </c>
      <c r="CP1258" s="4">
        <v>0</v>
      </c>
      <c r="CQ1258" s="4">
        <v>0</v>
      </c>
      <c r="CR1258" s="4">
        <v>1</v>
      </c>
      <c r="CS1258" s="4">
        <v>1</v>
      </c>
      <c r="CT1258" s="4">
        <v>5</v>
      </c>
      <c r="CU1258" s="4">
        <v>0</v>
      </c>
      <c r="CV1258" s="4">
        <v>1</v>
      </c>
      <c r="CW1258" s="4">
        <v>0</v>
      </c>
      <c r="CX1258" s="5">
        <v>0</v>
      </c>
    </row>
    <row r="1259" spans="1:102" ht="15.75" x14ac:dyDescent="0.25">
      <c r="A1259" s="4" t="s">
        <v>253</v>
      </c>
      <c r="B1259" s="4" t="s">
        <v>254</v>
      </c>
      <c r="C1259" s="4">
        <v>2023</v>
      </c>
      <c r="D1259" s="4">
        <v>390</v>
      </c>
      <c r="E1259" s="4">
        <v>0</v>
      </c>
      <c r="F1259" s="4">
        <v>25</v>
      </c>
      <c r="G1259" s="4">
        <v>2</v>
      </c>
      <c r="H1259" s="4">
        <v>3</v>
      </c>
      <c r="I1259" s="4">
        <v>3</v>
      </c>
      <c r="J1259" s="4">
        <v>3</v>
      </c>
      <c r="K1259" s="4">
        <v>0</v>
      </c>
      <c r="L1259" s="4">
        <v>1</v>
      </c>
      <c r="M1259" s="4">
        <v>1</v>
      </c>
      <c r="N1259" s="4">
        <v>12</v>
      </c>
      <c r="O1259" s="4">
        <v>8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64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28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</v>
      </c>
      <c r="AH1259" s="4">
        <v>1</v>
      </c>
      <c r="AI1259" s="4">
        <v>6</v>
      </c>
      <c r="AJ1259" s="4">
        <v>17</v>
      </c>
      <c r="AK1259" s="4">
        <v>9</v>
      </c>
      <c r="AL1259" s="4">
        <v>0</v>
      </c>
      <c r="AM1259" s="4">
        <v>1</v>
      </c>
      <c r="AN1259" s="4">
        <v>2</v>
      </c>
      <c r="AO1259" s="4">
        <v>6</v>
      </c>
      <c r="AP1259" s="4">
        <v>0</v>
      </c>
      <c r="AQ1259" s="4">
        <v>3</v>
      </c>
      <c r="AR1259" s="4">
        <v>0</v>
      </c>
      <c r="AS1259" s="4">
        <v>0</v>
      </c>
      <c r="AT1259" s="4">
        <v>1</v>
      </c>
      <c r="AU1259" s="4">
        <v>1</v>
      </c>
      <c r="AV1259" s="4">
        <v>12</v>
      </c>
      <c r="AW1259" s="4">
        <v>1</v>
      </c>
      <c r="AX1259" s="4">
        <v>9</v>
      </c>
      <c r="AY1259" s="4">
        <v>0</v>
      </c>
      <c r="AZ1259" s="4">
        <v>3</v>
      </c>
      <c r="BA1259" s="4">
        <v>0</v>
      </c>
      <c r="BB1259" s="4">
        <v>1</v>
      </c>
      <c r="BC1259" s="4">
        <v>2</v>
      </c>
      <c r="BD1259" s="4">
        <v>0</v>
      </c>
      <c r="BE1259" s="4">
        <v>7</v>
      </c>
      <c r="BF1259" s="4">
        <v>7</v>
      </c>
      <c r="BG1259" s="4">
        <v>2</v>
      </c>
      <c r="BH1259" s="4">
        <v>0</v>
      </c>
      <c r="BI1259" s="4">
        <v>0</v>
      </c>
      <c r="BJ1259" s="4">
        <v>27</v>
      </c>
      <c r="BK1259" s="4">
        <v>11</v>
      </c>
      <c r="BL1259" s="4">
        <v>0</v>
      </c>
      <c r="BM1259" s="4">
        <v>0</v>
      </c>
      <c r="BN1259" s="4">
        <v>5</v>
      </c>
      <c r="BO1259" s="4">
        <v>0</v>
      </c>
      <c r="BP1259" s="4">
        <v>0</v>
      </c>
      <c r="BQ1259" s="4">
        <v>8</v>
      </c>
      <c r="BR1259" s="4">
        <v>1</v>
      </c>
      <c r="BS1259" s="4">
        <v>20</v>
      </c>
      <c r="BT1259" s="4">
        <v>3</v>
      </c>
      <c r="BU1259" s="4">
        <v>0</v>
      </c>
      <c r="BV1259" s="4">
        <v>5</v>
      </c>
      <c r="BW1259" s="4">
        <v>6</v>
      </c>
      <c r="BX1259" s="4">
        <v>5</v>
      </c>
      <c r="BY1259" s="4">
        <v>0</v>
      </c>
      <c r="BZ1259" s="4">
        <v>0</v>
      </c>
      <c r="CA1259" s="4">
        <v>0</v>
      </c>
      <c r="CB1259" s="4">
        <v>1</v>
      </c>
      <c r="CC1259" s="4">
        <v>0</v>
      </c>
      <c r="CD1259" s="4">
        <v>1</v>
      </c>
      <c r="CE1259" s="4">
        <v>0</v>
      </c>
      <c r="CF1259" s="4">
        <v>9</v>
      </c>
      <c r="CG1259" s="4">
        <v>0</v>
      </c>
      <c r="CH1259" s="4">
        <v>1</v>
      </c>
      <c r="CI1259" s="4">
        <v>0</v>
      </c>
      <c r="CJ1259" s="4">
        <v>1</v>
      </c>
      <c r="CK1259" s="4">
        <v>2</v>
      </c>
      <c r="CL1259" s="4">
        <v>0</v>
      </c>
      <c r="CM1259" s="4">
        <v>1</v>
      </c>
      <c r="CN1259" s="4">
        <v>5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9</v>
      </c>
      <c r="CU1259" s="4">
        <v>0</v>
      </c>
      <c r="CV1259" s="4">
        <v>21</v>
      </c>
      <c r="CW1259" s="4">
        <v>2</v>
      </c>
      <c r="CX1259" s="5">
        <v>2</v>
      </c>
    </row>
    <row r="1260" spans="1:102" ht="15.75" x14ac:dyDescent="0.25">
      <c r="A1260" s="4" t="s">
        <v>255</v>
      </c>
      <c r="B1260" s="4" t="s">
        <v>256</v>
      </c>
      <c r="C1260" s="4">
        <v>2023</v>
      </c>
      <c r="D1260" s="4">
        <v>307</v>
      </c>
      <c r="E1260" s="4">
        <v>0</v>
      </c>
      <c r="F1260" s="4">
        <v>3</v>
      </c>
      <c r="G1260" s="4">
        <v>2</v>
      </c>
      <c r="H1260" s="4">
        <v>1</v>
      </c>
      <c r="I1260" s="4">
        <v>4</v>
      </c>
      <c r="J1260" s="4">
        <v>1</v>
      </c>
      <c r="K1260" s="4">
        <v>1</v>
      </c>
      <c r="L1260" s="4">
        <v>3</v>
      </c>
      <c r="M1260" s="4">
        <v>0</v>
      </c>
      <c r="N1260" s="4">
        <v>6</v>
      </c>
      <c r="O1260" s="4">
        <v>5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89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1</v>
      </c>
      <c r="AJ1260" s="4">
        <v>19</v>
      </c>
      <c r="AK1260" s="4">
        <v>4</v>
      </c>
      <c r="AL1260" s="4">
        <v>0</v>
      </c>
      <c r="AM1260" s="4">
        <v>0</v>
      </c>
      <c r="AN1260" s="4">
        <v>1</v>
      </c>
      <c r="AO1260" s="4">
        <v>1</v>
      </c>
      <c r="AP1260" s="4">
        <v>0</v>
      </c>
      <c r="AQ1260" s="4">
        <v>2</v>
      </c>
      <c r="AR1260" s="4">
        <v>1</v>
      </c>
      <c r="AS1260" s="4">
        <v>1</v>
      </c>
      <c r="AT1260" s="4">
        <v>1</v>
      </c>
      <c r="AU1260" s="4">
        <v>1</v>
      </c>
      <c r="AV1260" s="4">
        <v>0</v>
      </c>
      <c r="AW1260" s="4">
        <v>0</v>
      </c>
      <c r="AX1260" s="4">
        <v>4</v>
      </c>
      <c r="AY1260" s="4">
        <v>0</v>
      </c>
      <c r="AZ1260" s="4">
        <v>0</v>
      </c>
      <c r="BA1260" s="4">
        <v>1</v>
      </c>
      <c r="BB1260" s="4">
        <v>3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3</v>
      </c>
      <c r="BK1260" s="4">
        <v>4</v>
      </c>
      <c r="BL1260" s="4">
        <v>0</v>
      </c>
      <c r="BM1260" s="4">
        <v>0</v>
      </c>
      <c r="BN1260" s="4">
        <v>6</v>
      </c>
      <c r="BO1260" s="4">
        <v>0</v>
      </c>
      <c r="BP1260" s="4">
        <v>1</v>
      </c>
      <c r="BQ1260" s="4">
        <v>8</v>
      </c>
      <c r="BR1260" s="4">
        <v>1</v>
      </c>
      <c r="BS1260" s="4">
        <v>6</v>
      </c>
      <c r="BT1260" s="4">
        <v>5</v>
      </c>
      <c r="BU1260" s="4">
        <v>0</v>
      </c>
      <c r="BV1260" s="4">
        <v>3</v>
      </c>
      <c r="BW1260" s="4">
        <v>0</v>
      </c>
      <c r="BX1260" s="4">
        <v>64</v>
      </c>
      <c r="BY1260" s="4">
        <v>0</v>
      </c>
      <c r="BZ1260" s="4">
        <v>0</v>
      </c>
      <c r="CA1260" s="4">
        <v>0</v>
      </c>
      <c r="CB1260" s="4">
        <v>24</v>
      </c>
      <c r="CC1260" s="4">
        <v>0</v>
      </c>
      <c r="CD1260" s="4">
        <v>1</v>
      </c>
      <c r="CE1260" s="4">
        <v>0</v>
      </c>
      <c r="CF1260" s="4">
        <v>2</v>
      </c>
      <c r="CG1260" s="4">
        <v>0</v>
      </c>
      <c r="CH1260" s="4">
        <v>2</v>
      </c>
      <c r="CI1260" s="4">
        <v>0</v>
      </c>
      <c r="CJ1260" s="4">
        <v>3</v>
      </c>
      <c r="CK1260" s="4">
        <v>0</v>
      </c>
      <c r="CL1260" s="4">
        <v>0</v>
      </c>
      <c r="CM1260" s="4">
        <v>0</v>
      </c>
      <c r="CN1260" s="4">
        <v>6</v>
      </c>
      <c r="CO1260" s="4">
        <v>0</v>
      </c>
      <c r="CP1260" s="4">
        <v>0</v>
      </c>
      <c r="CQ1260" s="4">
        <v>0</v>
      </c>
      <c r="CR1260" s="4">
        <v>0</v>
      </c>
      <c r="CS1260" s="4">
        <v>2</v>
      </c>
      <c r="CT1260" s="4">
        <v>1</v>
      </c>
      <c r="CU1260" s="4">
        <v>0</v>
      </c>
      <c r="CV1260" s="4">
        <v>6</v>
      </c>
      <c r="CW1260" s="4">
        <v>1</v>
      </c>
      <c r="CX1260" s="5">
        <v>1</v>
      </c>
    </row>
    <row r="1261" spans="1:102" ht="15.75" x14ac:dyDescent="0.25">
      <c r="A1261" s="4" t="s">
        <v>257</v>
      </c>
      <c r="B1261" s="4" t="s">
        <v>258</v>
      </c>
      <c r="C1261" s="4">
        <v>2023</v>
      </c>
      <c r="D1261" s="4">
        <v>3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3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1</v>
      </c>
      <c r="CX1261" s="5">
        <v>1</v>
      </c>
    </row>
    <row r="1262" spans="1:102" ht="15.75" x14ac:dyDescent="0.25">
      <c r="A1262" s="4" t="s">
        <v>259</v>
      </c>
      <c r="B1262" s="4" t="s">
        <v>260</v>
      </c>
      <c r="C1262" s="4">
        <v>2023</v>
      </c>
      <c r="D1262" s="4">
        <v>32</v>
      </c>
      <c r="E1262" s="4">
        <v>0</v>
      </c>
      <c r="F1262" s="4">
        <v>1</v>
      </c>
      <c r="G1262" s="4">
        <v>0</v>
      </c>
      <c r="H1262" s="4">
        <v>0</v>
      </c>
      <c r="I1262" s="4">
        <v>1</v>
      </c>
      <c r="J1262" s="4">
        <v>1</v>
      </c>
      <c r="K1262" s="4">
        <v>0</v>
      </c>
      <c r="L1262" s="4">
        <v>0</v>
      </c>
      <c r="M1262" s="4">
        <v>0</v>
      </c>
      <c r="N1262" s="4">
        <v>2</v>
      </c>
      <c r="O1262" s="4">
        <v>1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1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1</v>
      </c>
      <c r="AK1262" s="4">
        <v>1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1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1</v>
      </c>
      <c r="BL1262" s="4">
        <v>0</v>
      </c>
      <c r="BM1262" s="4">
        <v>1</v>
      </c>
      <c r="BN1262" s="4">
        <v>1</v>
      </c>
      <c r="BO1262" s="4">
        <v>0</v>
      </c>
      <c r="BP1262" s="4">
        <v>0</v>
      </c>
      <c r="BQ1262" s="4">
        <v>1</v>
      </c>
      <c r="BR1262" s="4">
        <v>0</v>
      </c>
      <c r="BS1262" s="4">
        <v>2</v>
      </c>
      <c r="BT1262" s="4">
        <v>1</v>
      </c>
      <c r="BU1262" s="4">
        <v>0</v>
      </c>
      <c r="BV1262" s="4">
        <v>0</v>
      </c>
      <c r="BW1262" s="4">
        <v>0</v>
      </c>
      <c r="BX1262" s="4">
        <v>2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1</v>
      </c>
      <c r="CE1262" s="4">
        <v>0</v>
      </c>
      <c r="CF1262" s="4">
        <v>5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1</v>
      </c>
      <c r="CO1262" s="4">
        <v>0</v>
      </c>
      <c r="CP1262" s="4">
        <v>0</v>
      </c>
      <c r="CQ1262" s="4">
        <v>0</v>
      </c>
      <c r="CR1262" s="4">
        <v>0</v>
      </c>
      <c r="CS1262" s="4">
        <v>0</v>
      </c>
      <c r="CT1262" s="4">
        <v>0</v>
      </c>
      <c r="CU1262" s="4">
        <v>0</v>
      </c>
      <c r="CV1262" s="4">
        <v>4</v>
      </c>
      <c r="CW1262" s="4">
        <v>0</v>
      </c>
      <c r="CX1262" s="5">
        <v>0</v>
      </c>
    </row>
    <row r="1263" spans="1:102" ht="15.75" x14ac:dyDescent="0.25">
      <c r="A1263" s="4" t="s">
        <v>261</v>
      </c>
      <c r="B1263" s="4" t="s">
        <v>262</v>
      </c>
      <c r="C1263" s="4">
        <v>2023</v>
      </c>
      <c r="D1263" s="4">
        <v>28</v>
      </c>
      <c r="E1263" s="4">
        <v>0</v>
      </c>
      <c r="F1263" s="4">
        <v>2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1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1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1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1</v>
      </c>
      <c r="AY1263" s="4">
        <v>0</v>
      </c>
      <c r="AZ1263" s="4">
        <v>1</v>
      </c>
      <c r="BA1263" s="4">
        <v>0</v>
      </c>
      <c r="BB1263" s="4">
        <v>0</v>
      </c>
      <c r="BC1263" s="4">
        <v>0</v>
      </c>
      <c r="BD1263" s="4">
        <v>0</v>
      </c>
      <c r="BE1263" s="4">
        <v>1</v>
      </c>
      <c r="BF1263" s="4">
        <v>1</v>
      </c>
      <c r="BG1263" s="4">
        <v>0</v>
      </c>
      <c r="BH1263" s="4">
        <v>0</v>
      </c>
      <c r="BI1263" s="4">
        <v>0</v>
      </c>
      <c r="BJ1263" s="4">
        <v>1</v>
      </c>
      <c r="BK1263" s="4">
        <v>2</v>
      </c>
      <c r="BL1263" s="4">
        <v>0</v>
      </c>
      <c r="BM1263" s="4">
        <v>0</v>
      </c>
      <c r="BN1263" s="4">
        <v>1</v>
      </c>
      <c r="BO1263" s="4">
        <v>0</v>
      </c>
      <c r="BP1263" s="4">
        <v>0</v>
      </c>
      <c r="BQ1263" s="4">
        <v>1</v>
      </c>
      <c r="BR1263" s="4">
        <v>0</v>
      </c>
      <c r="BS1263" s="4">
        <v>1</v>
      </c>
      <c r="BT1263" s="4">
        <v>0</v>
      </c>
      <c r="BU1263" s="4">
        <v>0</v>
      </c>
      <c r="BV1263" s="4">
        <v>0</v>
      </c>
      <c r="BW1263" s="4">
        <v>0</v>
      </c>
      <c r="BX1263" s="4">
        <v>1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1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1</v>
      </c>
      <c r="CO1263" s="4">
        <v>0</v>
      </c>
      <c r="CP1263" s="4">
        <v>0</v>
      </c>
      <c r="CQ1263" s="4">
        <v>0</v>
      </c>
      <c r="CR1263" s="4">
        <v>0</v>
      </c>
      <c r="CS1263" s="4">
        <v>0</v>
      </c>
      <c r="CT1263" s="4">
        <v>6</v>
      </c>
      <c r="CU1263" s="4">
        <v>0</v>
      </c>
      <c r="CV1263" s="4">
        <v>1</v>
      </c>
      <c r="CW1263" s="4">
        <v>0</v>
      </c>
      <c r="CX1263" s="5">
        <v>0</v>
      </c>
    </row>
    <row r="1264" spans="1:102" ht="15.75" x14ac:dyDescent="0.25">
      <c r="A1264" s="4" t="s">
        <v>263</v>
      </c>
      <c r="B1264" s="4" t="s">
        <v>264</v>
      </c>
      <c r="C1264" s="4">
        <v>2023</v>
      </c>
      <c r="D1264" s="4">
        <v>43</v>
      </c>
      <c r="E1264" s="4">
        <v>0</v>
      </c>
      <c r="F1264" s="4">
        <v>6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1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1</v>
      </c>
      <c r="AK1264" s="4">
        <v>0</v>
      </c>
      <c r="AL1264" s="4">
        <v>0</v>
      </c>
      <c r="AM1264" s="4">
        <v>0</v>
      </c>
      <c r="AN1264" s="4">
        <v>0</v>
      </c>
      <c r="AO1264" s="4">
        <v>4</v>
      </c>
      <c r="AP1264" s="4">
        <v>0</v>
      </c>
      <c r="AQ1264" s="4">
        <v>2</v>
      </c>
      <c r="AR1264" s="4">
        <v>0</v>
      </c>
      <c r="AS1264" s="4">
        <v>0</v>
      </c>
      <c r="AT1264" s="4">
        <v>0</v>
      </c>
      <c r="AU1264" s="4">
        <v>0</v>
      </c>
      <c r="AV1264" s="4">
        <v>1</v>
      </c>
      <c r="AW1264" s="4">
        <v>0</v>
      </c>
      <c r="AX1264" s="4">
        <v>2</v>
      </c>
      <c r="AY1264" s="4">
        <v>0</v>
      </c>
      <c r="AZ1264" s="4">
        <v>0</v>
      </c>
      <c r="BA1264" s="4">
        <v>0</v>
      </c>
      <c r="BB1264" s="4">
        <v>2</v>
      </c>
      <c r="BC1264" s="4">
        <v>0</v>
      </c>
      <c r="BD1264" s="4">
        <v>0</v>
      </c>
      <c r="BE1264" s="4">
        <v>1</v>
      </c>
      <c r="BF1264" s="4">
        <v>1</v>
      </c>
      <c r="BG1264" s="4">
        <v>0</v>
      </c>
      <c r="BH1264" s="4">
        <v>0</v>
      </c>
      <c r="BI1264" s="4">
        <v>0</v>
      </c>
      <c r="BJ1264" s="4">
        <v>8</v>
      </c>
      <c r="BK1264" s="4">
        <v>3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1</v>
      </c>
      <c r="BR1264" s="4">
        <v>0</v>
      </c>
      <c r="BS1264" s="4">
        <v>1</v>
      </c>
      <c r="BT1264" s="4">
        <v>1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2</v>
      </c>
      <c r="CO1264" s="4">
        <v>0</v>
      </c>
      <c r="CP1264" s="4">
        <v>0</v>
      </c>
      <c r="CQ1264" s="4">
        <v>0</v>
      </c>
      <c r="CR1264" s="4">
        <v>0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5">
        <v>0</v>
      </c>
    </row>
    <row r="1265" spans="1:102" ht="15.75" x14ac:dyDescent="0.25">
      <c r="A1265" s="4" t="s">
        <v>265</v>
      </c>
      <c r="B1265" s="4" t="s">
        <v>266</v>
      </c>
      <c r="C1265" s="4">
        <v>2023</v>
      </c>
      <c r="D1265" s="4">
        <v>1266</v>
      </c>
      <c r="E1265" s="4">
        <v>0</v>
      </c>
      <c r="F1265" s="4">
        <v>1</v>
      </c>
      <c r="G1265" s="4">
        <v>7</v>
      </c>
      <c r="H1265" s="4">
        <v>1</v>
      </c>
      <c r="I1265" s="4">
        <v>12</v>
      </c>
      <c r="J1265" s="4">
        <v>1</v>
      </c>
      <c r="K1265" s="4">
        <v>1</v>
      </c>
      <c r="L1265" s="4">
        <v>8</v>
      </c>
      <c r="M1265" s="4">
        <v>3</v>
      </c>
      <c r="N1265" s="4">
        <v>10</v>
      </c>
      <c r="O1265" s="4">
        <v>110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1</v>
      </c>
      <c r="W1265" s="4">
        <v>54</v>
      </c>
      <c r="X1265" s="4">
        <v>0</v>
      </c>
      <c r="Y1265" s="4">
        <v>0</v>
      </c>
      <c r="Z1265" s="4">
        <v>0</v>
      </c>
      <c r="AA1265" s="4">
        <v>18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5</v>
      </c>
      <c r="AH1265" s="4">
        <v>1</v>
      </c>
      <c r="AI1265" s="4">
        <v>37</v>
      </c>
      <c r="AJ1265" s="4">
        <v>22</v>
      </c>
      <c r="AK1265" s="4">
        <v>35</v>
      </c>
      <c r="AL1265" s="4">
        <v>2</v>
      </c>
      <c r="AM1265" s="4">
        <v>10</v>
      </c>
      <c r="AN1265" s="4">
        <v>7</v>
      </c>
      <c r="AO1265" s="4">
        <v>24</v>
      </c>
      <c r="AP1265" s="4">
        <v>0</v>
      </c>
      <c r="AQ1265" s="4">
        <v>5</v>
      </c>
      <c r="AR1265" s="4">
        <v>1</v>
      </c>
      <c r="AS1265" s="4">
        <v>3</v>
      </c>
      <c r="AT1265" s="4">
        <v>4</v>
      </c>
      <c r="AU1265" s="4">
        <v>6</v>
      </c>
      <c r="AV1265" s="4">
        <v>12</v>
      </c>
      <c r="AW1265" s="4">
        <v>75</v>
      </c>
      <c r="AX1265" s="4">
        <v>13</v>
      </c>
      <c r="AY1265" s="4">
        <v>0</v>
      </c>
      <c r="AZ1265" s="4">
        <v>2</v>
      </c>
      <c r="BA1265" s="4">
        <v>0</v>
      </c>
      <c r="BB1265" s="4">
        <v>18</v>
      </c>
      <c r="BC1265" s="4">
        <v>1</v>
      </c>
      <c r="BD1265" s="4">
        <v>0</v>
      </c>
      <c r="BE1265" s="4">
        <v>4</v>
      </c>
      <c r="BF1265" s="4">
        <v>26</v>
      </c>
      <c r="BG1265" s="4">
        <v>2</v>
      </c>
      <c r="BH1265" s="4">
        <v>1</v>
      </c>
      <c r="BI1265" s="4">
        <v>0</v>
      </c>
      <c r="BJ1265" s="4">
        <v>20</v>
      </c>
      <c r="BK1265" s="4">
        <v>19</v>
      </c>
      <c r="BL1265" s="4">
        <v>0</v>
      </c>
      <c r="BM1265" s="4">
        <v>2</v>
      </c>
      <c r="BN1265" s="4">
        <v>8</v>
      </c>
      <c r="BO1265" s="4">
        <v>0</v>
      </c>
      <c r="BP1265" s="4">
        <v>1</v>
      </c>
      <c r="BQ1265" s="4">
        <v>10</v>
      </c>
      <c r="BR1265" s="4">
        <v>1</v>
      </c>
      <c r="BS1265" s="4">
        <v>15</v>
      </c>
      <c r="BT1265" s="4">
        <v>8</v>
      </c>
      <c r="BU1265" s="4">
        <v>0</v>
      </c>
      <c r="BV1265" s="4">
        <v>7</v>
      </c>
      <c r="BW1265" s="4">
        <v>17</v>
      </c>
      <c r="BX1265" s="4">
        <v>94</v>
      </c>
      <c r="BY1265" s="4">
        <v>0</v>
      </c>
      <c r="BZ1265" s="4">
        <v>0</v>
      </c>
      <c r="CA1265" s="4">
        <v>21</v>
      </c>
      <c r="CB1265" s="4">
        <v>383</v>
      </c>
      <c r="CC1265" s="4">
        <v>0</v>
      </c>
      <c r="CD1265" s="4">
        <v>2</v>
      </c>
      <c r="CE1265" s="4">
        <v>0</v>
      </c>
      <c r="CF1265" s="4">
        <v>2</v>
      </c>
      <c r="CG1265" s="4">
        <v>0</v>
      </c>
      <c r="CH1265" s="4">
        <v>1</v>
      </c>
      <c r="CI1265" s="4">
        <v>1</v>
      </c>
      <c r="CJ1265" s="4">
        <v>8</v>
      </c>
      <c r="CK1265" s="4">
        <v>2</v>
      </c>
      <c r="CL1265" s="4">
        <v>0</v>
      </c>
      <c r="CM1265" s="4">
        <v>11</v>
      </c>
      <c r="CN1265" s="4">
        <v>22</v>
      </c>
      <c r="CO1265" s="4">
        <v>3</v>
      </c>
      <c r="CP1265" s="4">
        <v>1</v>
      </c>
      <c r="CQ1265" s="4">
        <v>0</v>
      </c>
      <c r="CR1265" s="4">
        <v>13</v>
      </c>
      <c r="CS1265" s="4">
        <v>1</v>
      </c>
      <c r="CT1265" s="4">
        <v>12</v>
      </c>
      <c r="CU1265" s="4">
        <v>4</v>
      </c>
      <c r="CV1265" s="4">
        <v>28</v>
      </c>
      <c r="CW1265" s="4">
        <v>4</v>
      </c>
      <c r="CX1265" s="5">
        <v>4</v>
      </c>
    </row>
    <row r="1266" spans="1:102" ht="15.75" x14ac:dyDescent="0.25">
      <c r="A1266" s="4" t="s">
        <v>267</v>
      </c>
      <c r="B1266" s="4" t="s">
        <v>268</v>
      </c>
      <c r="C1266" s="4">
        <v>2023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5">
        <v>0</v>
      </c>
    </row>
    <row r="1267" spans="1:102" ht="15.75" x14ac:dyDescent="0.25">
      <c r="A1267" s="4" t="s">
        <v>269</v>
      </c>
      <c r="B1267" s="4" t="s">
        <v>270</v>
      </c>
      <c r="C1267" s="4">
        <v>2023</v>
      </c>
      <c r="D1267" s="4">
        <v>52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2</v>
      </c>
      <c r="M1267" s="4">
        <v>0</v>
      </c>
      <c r="N1267" s="4">
        <v>1</v>
      </c>
      <c r="O1267" s="4">
        <v>2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1</v>
      </c>
      <c r="AK1267" s="4">
        <v>1</v>
      </c>
      <c r="AL1267" s="4">
        <v>1</v>
      </c>
      <c r="AM1267" s="4">
        <v>1</v>
      </c>
      <c r="AN1267" s="4">
        <v>0</v>
      </c>
      <c r="AO1267" s="4">
        <v>2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1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1</v>
      </c>
      <c r="BF1267" s="4">
        <v>2</v>
      </c>
      <c r="BG1267" s="4">
        <v>0</v>
      </c>
      <c r="BH1267" s="4">
        <v>0</v>
      </c>
      <c r="BI1267" s="4">
        <v>0</v>
      </c>
      <c r="BJ1267" s="4">
        <v>0</v>
      </c>
      <c r="BK1267" s="4">
        <v>1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1</v>
      </c>
      <c r="BT1267" s="4">
        <v>1</v>
      </c>
      <c r="BU1267" s="4">
        <v>0</v>
      </c>
      <c r="BV1267" s="4">
        <v>1</v>
      </c>
      <c r="BW1267" s="4">
        <v>0</v>
      </c>
      <c r="BX1267" s="4">
        <v>26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1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1</v>
      </c>
      <c r="CU1267" s="4">
        <v>0</v>
      </c>
      <c r="CV1267" s="4">
        <v>1</v>
      </c>
      <c r="CW1267" s="4">
        <v>0</v>
      </c>
      <c r="CX1267" s="5">
        <v>0</v>
      </c>
    </row>
    <row r="1268" spans="1:102" ht="15.75" x14ac:dyDescent="0.25">
      <c r="A1268" s="4" t="s">
        <v>271</v>
      </c>
      <c r="B1268" s="4" t="s">
        <v>272</v>
      </c>
      <c r="C1268" s="4">
        <v>2023</v>
      </c>
      <c r="D1268" s="4">
        <v>3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1</v>
      </c>
      <c r="AY1268" s="4">
        <v>0</v>
      </c>
      <c r="AZ1268" s="4">
        <v>0</v>
      </c>
      <c r="BA1268" s="4">
        <v>0</v>
      </c>
      <c r="BB1268" s="4">
        <v>1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1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5">
        <v>0</v>
      </c>
    </row>
    <row r="1269" spans="1:102" ht="15.75" x14ac:dyDescent="0.25">
      <c r="A1269" s="4" t="s">
        <v>273</v>
      </c>
      <c r="B1269" s="4" t="s">
        <v>274</v>
      </c>
      <c r="C1269" s="4">
        <v>2023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5">
        <v>0</v>
      </c>
    </row>
    <row r="1270" spans="1:102" ht="15.75" x14ac:dyDescent="0.25">
      <c r="A1270" s="4" t="s">
        <v>275</v>
      </c>
      <c r="B1270" s="4" t="s">
        <v>276</v>
      </c>
      <c r="C1270" s="4">
        <v>2023</v>
      </c>
      <c r="D1270" s="4">
        <v>151</v>
      </c>
      <c r="E1270" s="4">
        <v>0</v>
      </c>
      <c r="F1270" s="4">
        <v>0</v>
      </c>
      <c r="G1270" s="4">
        <v>1</v>
      </c>
      <c r="H1270" s="4">
        <v>0</v>
      </c>
      <c r="I1270" s="4">
        <v>2</v>
      </c>
      <c r="J1270" s="4">
        <v>0</v>
      </c>
      <c r="K1270" s="4">
        <v>0</v>
      </c>
      <c r="L1270" s="4">
        <v>2</v>
      </c>
      <c r="M1270" s="4">
        <v>0</v>
      </c>
      <c r="N1270" s="4">
        <v>1</v>
      </c>
      <c r="O1270" s="4">
        <v>1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1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</v>
      </c>
      <c r="AH1270" s="4">
        <v>0</v>
      </c>
      <c r="AI1270" s="4">
        <v>0</v>
      </c>
      <c r="AJ1270" s="4">
        <v>3</v>
      </c>
      <c r="AK1270" s="4">
        <v>2</v>
      </c>
      <c r="AL1270" s="4">
        <v>0</v>
      </c>
      <c r="AM1270" s="4">
        <v>0</v>
      </c>
      <c r="AN1270" s="4">
        <v>1</v>
      </c>
      <c r="AO1270" s="4">
        <v>1</v>
      </c>
      <c r="AP1270" s="4">
        <v>0</v>
      </c>
      <c r="AQ1270" s="4">
        <v>3</v>
      </c>
      <c r="AR1270" s="4">
        <v>0</v>
      </c>
      <c r="AS1270" s="4">
        <v>0</v>
      </c>
      <c r="AT1270" s="4">
        <v>1</v>
      </c>
      <c r="AU1270" s="4">
        <v>0</v>
      </c>
      <c r="AV1270" s="4">
        <v>2</v>
      </c>
      <c r="AW1270" s="4">
        <v>0</v>
      </c>
      <c r="AX1270" s="4">
        <v>8</v>
      </c>
      <c r="AY1270" s="4">
        <v>0</v>
      </c>
      <c r="AZ1270" s="4">
        <v>1</v>
      </c>
      <c r="BA1270" s="4">
        <v>0</v>
      </c>
      <c r="BB1270" s="4">
        <v>1</v>
      </c>
      <c r="BC1270" s="4">
        <v>1</v>
      </c>
      <c r="BD1270" s="4">
        <v>0</v>
      </c>
      <c r="BE1270" s="4">
        <v>2</v>
      </c>
      <c r="BF1270" s="4">
        <v>17</v>
      </c>
      <c r="BG1270" s="4">
        <v>0</v>
      </c>
      <c r="BH1270" s="4">
        <v>0</v>
      </c>
      <c r="BI1270" s="4">
        <v>0</v>
      </c>
      <c r="BJ1270" s="4">
        <v>17</v>
      </c>
      <c r="BK1270" s="4">
        <v>5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1</v>
      </c>
      <c r="BR1270" s="4">
        <v>0</v>
      </c>
      <c r="BS1270" s="4">
        <v>5</v>
      </c>
      <c r="BT1270" s="4">
        <v>2</v>
      </c>
      <c r="BU1270" s="4">
        <v>0</v>
      </c>
      <c r="BV1270" s="4">
        <v>3</v>
      </c>
      <c r="BW1270" s="4">
        <v>34</v>
      </c>
      <c r="BX1270" s="4">
        <v>2</v>
      </c>
      <c r="BY1270" s="4">
        <v>0</v>
      </c>
      <c r="BZ1270" s="4">
        <v>0</v>
      </c>
      <c r="CA1270" s="4">
        <v>0</v>
      </c>
      <c r="CB1270" s="4">
        <v>14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1</v>
      </c>
      <c r="CK1270" s="4">
        <v>1</v>
      </c>
      <c r="CL1270" s="4">
        <v>0</v>
      </c>
      <c r="CM1270" s="4">
        <v>1</v>
      </c>
      <c r="CN1270" s="4">
        <v>5</v>
      </c>
      <c r="CO1270" s="4">
        <v>0</v>
      </c>
      <c r="CP1270" s="4">
        <v>0</v>
      </c>
      <c r="CQ1270" s="4">
        <v>0</v>
      </c>
      <c r="CR1270" s="4">
        <v>0</v>
      </c>
      <c r="CS1270" s="4">
        <v>0</v>
      </c>
      <c r="CT1270" s="4">
        <v>1</v>
      </c>
      <c r="CU1270" s="4">
        <v>0</v>
      </c>
      <c r="CV1270" s="4">
        <v>2</v>
      </c>
      <c r="CW1270" s="4">
        <v>1</v>
      </c>
      <c r="CX1270" s="5">
        <v>1</v>
      </c>
    </row>
    <row r="1271" spans="1:102" ht="15.75" x14ac:dyDescent="0.25">
      <c r="A1271" s="4" t="s">
        <v>277</v>
      </c>
      <c r="B1271" s="4" t="s">
        <v>278</v>
      </c>
      <c r="C1271" s="4">
        <v>2023</v>
      </c>
      <c r="D1271" s="4">
        <v>9781</v>
      </c>
      <c r="E1271" s="4">
        <v>16</v>
      </c>
      <c r="F1271" s="4">
        <v>31</v>
      </c>
      <c r="G1271" s="4">
        <v>11</v>
      </c>
      <c r="H1271" s="4">
        <v>13</v>
      </c>
      <c r="I1271" s="4">
        <v>31</v>
      </c>
      <c r="J1271" s="4">
        <v>8</v>
      </c>
      <c r="K1271" s="4">
        <v>8</v>
      </c>
      <c r="L1271" s="4">
        <v>40</v>
      </c>
      <c r="M1271" s="4">
        <v>5</v>
      </c>
      <c r="N1271" s="4">
        <v>19</v>
      </c>
      <c r="O1271" s="4">
        <v>209</v>
      </c>
      <c r="P1271" s="4">
        <v>0</v>
      </c>
      <c r="Q1271" s="4">
        <v>0</v>
      </c>
      <c r="R1271" s="4">
        <v>2</v>
      </c>
      <c r="S1271" s="4">
        <v>3</v>
      </c>
      <c r="T1271" s="4">
        <v>0</v>
      </c>
      <c r="U1271" s="4">
        <v>1</v>
      </c>
      <c r="V1271" s="4">
        <v>1</v>
      </c>
      <c r="W1271" s="4">
        <v>165</v>
      </c>
      <c r="X1271" s="4">
        <v>2</v>
      </c>
      <c r="Y1271" s="4">
        <v>0</v>
      </c>
      <c r="Z1271" s="4">
        <v>0</v>
      </c>
      <c r="AA1271" s="4">
        <v>1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5</v>
      </c>
      <c r="AH1271" s="4">
        <v>1</v>
      </c>
      <c r="AI1271" s="4">
        <v>15</v>
      </c>
      <c r="AJ1271" s="4">
        <v>78</v>
      </c>
      <c r="AK1271" s="4">
        <v>56</v>
      </c>
      <c r="AL1271" s="4">
        <v>0</v>
      </c>
      <c r="AM1271" s="4">
        <v>6</v>
      </c>
      <c r="AN1271" s="4">
        <v>22</v>
      </c>
      <c r="AO1271" s="4">
        <v>12</v>
      </c>
      <c r="AP1271" s="4">
        <v>5</v>
      </c>
      <c r="AQ1271" s="4">
        <v>15</v>
      </c>
      <c r="AR1271" s="4">
        <v>2</v>
      </c>
      <c r="AS1271" s="4">
        <v>8</v>
      </c>
      <c r="AT1271" s="4">
        <v>22</v>
      </c>
      <c r="AU1271" s="4">
        <v>108</v>
      </c>
      <c r="AV1271" s="4">
        <v>10</v>
      </c>
      <c r="AW1271" s="4">
        <v>334</v>
      </c>
      <c r="AX1271" s="4">
        <v>179</v>
      </c>
      <c r="AY1271" s="4">
        <v>1</v>
      </c>
      <c r="AZ1271" s="4">
        <v>10</v>
      </c>
      <c r="BA1271" s="4">
        <v>0</v>
      </c>
      <c r="BB1271" s="4">
        <v>3472</v>
      </c>
      <c r="BC1271" s="4">
        <v>32</v>
      </c>
      <c r="BD1271" s="4">
        <v>0</v>
      </c>
      <c r="BE1271" s="4">
        <v>9</v>
      </c>
      <c r="BF1271" s="4">
        <v>31</v>
      </c>
      <c r="BG1271" s="4">
        <v>2</v>
      </c>
      <c r="BH1271" s="4">
        <v>1</v>
      </c>
      <c r="BI1271" s="4">
        <v>0</v>
      </c>
      <c r="BJ1271" s="4">
        <v>295</v>
      </c>
      <c r="BK1271" s="4">
        <v>37</v>
      </c>
      <c r="BL1271" s="4">
        <v>0</v>
      </c>
      <c r="BM1271" s="4">
        <v>15</v>
      </c>
      <c r="BN1271" s="4">
        <v>85</v>
      </c>
      <c r="BO1271" s="4">
        <v>1</v>
      </c>
      <c r="BP1271" s="4">
        <v>14</v>
      </c>
      <c r="BQ1271" s="4">
        <v>190</v>
      </c>
      <c r="BR1271" s="4">
        <v>4</v>
      </c>
      <c r="BS1271" s="4">
        <v>298</v>
      </c>
      <c r="BT1271" s="4">
        <v>66</v>
      </c>
      <c r="BU1271" s="4">
        <v>3</v>
      </c>
      <c r="BV1271" s="4">
        <v>36</v>
      </c>
      <c r="BW1271" s="4">
        <v>4</v>
      </c>
      <c r="BX1271" s="4">
        <v>67</v>
      </c>
      <c r="BY1271" s="4">
        <v>3</v>
      </c>
      <c r="BZ1271" s="4">
        <v>0</v>
      </c>
      <c r="CA1271" s="4">
        <v>12</v>
      </c>
      <c r="CB1271" s="4">
        <v>79</v>
      </c>
      <c r="CC1271" s="4">
        <v>0</v>
      </c>
      <c r="CD1271" s="4">
        <v>4</v>
      </c>
      <c r="CE1271" s="4">
        <v>0</v>
      </c>
      <c r="CF1271" s="4">
        <v>4</v>
      </c>
      <c r="CG1271" s="4">
        <v>22</v>
      </c>
      <c r="CH1271" s="4">
        <v>3</v>
      </c>
      <c r="CI1271" s="4">
        <v>151</v>
      </c>
      <c r="CJ1271" s="4">
        <v>131</v>
      </c>
      <c r="CK1271" s="4">
        <v>29</v>
      </c>
      <c r="CL1271" s="4">
        <v>0</v>
      </c>
      <c r="CM1271" s="4">
        <v>67</v>
      </c>
      <c r="CN1271" s="4">
        <v>202</v>
      </c>
      <c r="CO1271" s="4">
        <v>254</v>
      </c>
      <c r="CP1271" s="4">
        <v>47</v>
      </c>
      <c r="CQ1271" s="4">
        <v>1</v>
      </c>
      <c r="CR1271" s="4">
        <v>225</v>
      </c>
      <c r="CS1271" s="4">
        <v>435</v>
      </c>
      <c r="CT1271" s="4">
        <v>11</v>
      </c>
      <c r="CU1271" s="4">
        <v>11</v>
      </c>
      <c r="CV1271" s="4">
        <v>80</v>
      </c>
      <c r="CW1271" s="4">
        <v>1891</v>
      </c>
      <c r="CX1271" s="5">
        <v>1896</v>
      </c>
    </row>
    <row r="1272" spans="1:102" ht="15.75" x14ac:dyDescent="0.25">
      <c r="A1272" s="4" t="s">
        <v>279</v>
      </c>
      <c r="B1272" s="4" t="s">
        <v>280</v>
      </c>
      <c r="C1272" s="4">
        <v>2023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5">
        <v>0</v>
      </c>
    </row>
    <row r="1273" spans="1:102" ht="15.75" x14ac:dyDescent="0.25">
      <c r="A1273" s="4" t="s">
        <v>281</v>
      </c>
      <c r="B1273" s="4" t="s">
        <v>282</v>
      </c>
      <c r="C1273" s="4">
        <v>2023</v>
      </c>
      <c r="D1273" s="4">
        <v>13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1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1</v>
      </c>
      <c r="AK1273" s="4">
        <v>0</v>
      </c>
      <c r="AL1273" s="4">
        <v>0</v>
      </c>
      <c r="AM1273" s="4">
        <v>0</v>
      </c>
      <c r="AN1273" s="4">
        <v>0</v>
      </c>
      <c r="AO1273" s="4">
        <v>1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1</v>
      </c>
      <c r="AY1273" s="4">
        <v>0</v>
      </c>
      <c r="AZ1273" s="4">
        <v>1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2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1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1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5">
        <v>0</v>
      </c>
    </row>
    <row r="1274" spans="1:102" ht="15.75" x14ac:dyDescent="0.25">
      <c r="A1274" s="4" t="s">
        <v>283</v>
      </c>
      <c r="B1274" s="4" t="s">
        <v>284</v>
      </c>
      <c r="C1274" s="4">
        <v>2023</v>
      </c>
      <c r="D1274" s="4">
        <v>182</v>
      </c>
      <c r="E1274" s="4">
        <v>0</v>
      </c>
      <c r="F1274" s="4">
        <v>0</v>
      </c>
      <c r="G1274" s="4">
        <v>2</v>
      </c>
      <c r="H1274" s="4">
        <v>3</v>
      </c>
      <c r="I1274" s="4">
        <v>1</v>
      </c>
      <c r="J1274" s="4">
        <v>0</v>
      </c>
      <c r="K1274" s="4">
        <v>0</v>
      </c>
      <c r="L1274" s="4">
        <v>3</v>
      </c>
      <c r="M1274" s="4">
        <v>0</v>
      </c>
      <c r="N1274" s="4">
        <v>2</v>
      </c>
      <c r="O1274" s="4">
        <v>20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</v>
      </c>
      <c r="AB1274" s="4">
        <v>0</v>
      </c>
      <c r="AC1274" s="4">
        <v>0</v>
      </c>
      <c r="AD1274" s="4">
        <v>0</v>
      </c>
      <c r="AE1274" s="4">
        <v>1</v>
      </c>
      <c r="AF1274" s="4">
        <v>0</v>
      </c>
      <c r="AG1274" s="4">
        <v>1</v>
      </c>
      <c r="AH1274" s="4">
        <v>0</v>
      </c>
      <c r="AI1274" s="4">
        <v>4</v>
      </c>
      <c r="AJ1274" s="4">
        <v>2</v>
      </c>
      <c r="AK1274" s="4">
        <v>7</v>
      </c>
      <c r="AL1274" s="4">
        <v>0</v>
      </c>
      <c r="AM1274" s="4">
        <v>1</v>
      </c>
      <c r="AN1274" s="4">
        <v>3</v>
      </c>
      <c r="AO1274" s="4">
        <v>10</v>
      </c>
      <c r="AP1274" s="4">
        <v>0</v>
      </c>
      <c r="AQ1274" s="4">
        <v>1</v>
      </c>
      <c r="AR1274" s="4">
        <v>0</v>
      </c>
      <c r="AS1274" s="4">
        <v>2</v>
      </c>
      <c r="AT1274" s="4">
        <v>3</v>
      </c>
      <c r="AU1274" s="4">
        <v>1</v>
      </c>
      <c r="AV1274" s="4">
        <v>1</v>
      </c>
      <c r="AW1274" s="4">
        <v>2</v>
      </c>
      <c r="AX1274" s="4">
        <v>3</v>
      </c>
      <c r="AY1274" s="4">
        <v>0</v>
      </c>
      <c r="AZ1274" s="4">
        <v>1</v>
      </c>
      <c r="BA1274" s="4">
        <v>0</v>
      </c>
      <c r="BB1274" s="4">
        <v>8</v>
      </c>
      <c r="BC1274" s="4">
        <v>1</v>
      </c>
      <c r="BD1274" s="4">
        <v>0</v>
      </c>
      <c r="BE1274" s="4">
        <v>2</v>
      </c>
      <c r="BF1274" s="4">
        <v>14</v>
      </c>
      <c r="BG1274" s="4">
        <v>0</v>
      </c>
      <c r="BH1274" s="4">
        <v>1</v>
      </c>
      <c r="BI1274" s="4">
        <v>0</v>
      </c>
      <c r="BJ1274" s="4">
        <v>4</v>
      </c>
      <c r="BK1274" s="4">
        <v>7</v>
      </c>
      <c r="BL1274" s="4">
        <v>0</v>
      </c>
      <c r="BM1274" s="4">
        <v>0</v>
      </c>
      <c r="BN1274" s="4">
        <v>2</v>
      </c>
      <c r="BO1274" s="4">
        <v>0</v>
      </c>
      <c r="BP1274" s="4">
        <v>0</v>
      </c>
      <c r="BQ1274" s="4">
        <v>4</v>
      </c>
      <c r="BR1274" s="4">
        <v>1</v>
      </c>
      <c r="BS1274" s="4">
        <v>6</v>
      </c>
      <c r="BT1274" s="4">
        <v>8</v>
      </c>
      <c r="BU1274" s="4">
        <v>0</v>
      </c>
      <c r="BV1274" s="4">
        <v>4</v>
      </c>
      <c r="BW1274" s="4">
        <v>4</v>
      </c>
      <c r="BX1274" s="4">
        <v>3</v>
      </c>
      <c r="BY1274" s="4">
        <v>0</v>
      </c>
      <c r="BZ1274" s="4">
        <v>0</v>
      </c>
      <c r="CA1274" s="4">
        <v>1</v>
      </c>
      <c r="CB1274" s="4">
        <v>14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2</v>
      </c>
      <c r="CK1274" s="4">
        <v>0</v>
      </c>
      <c r="CL1274" s="4">
        <v>0</v>
      </c>
      <c r="CM1274" s="4">
        <v>1</v>
      </c>
      <c r="CN1274" s="4">
        <v>7</v>
      </c>
      <c r="CO1274" s="4">
        <v>1</v>
      </c>
      <c r="CP1274" s="4">
        <v>0</v>
      </c>
      <c r="CQ1274" s="4">
        <v>0</v>
      </c>
      <c r="CR1274" s="4">
        <v>0</v>
      </c>
      <c r="CS1274" s="4">
        <v>0</v>
      </c>
      <c r="CT1274" s="4">
        <v>2</v>
      </c>
      <c r="CU1274" s="4">
        <v>1</v>
      </c>
      <c r="CV1274" s="4">
        <v>6</v>
      </c>
      <c r="CW1274" s="4">
        <v>2</v>
      </c>
      <c r="CX1274" s="5">
        <v>2</v>
      </c>
    </row>
    <row r="1275" spans="1:102" ht="15.75" x14ac:dyDescent="0.25">
      <c r="A1275" s="4" t="s">
        <v>285</v>
      </c>
      <c r="B1275" s="4" t="s">
        <v>286</v>
      </c>
      <c r="C1275" s="4">
        <v>2023</v>
      </c>
      <c r="D1275" s="4">
        <v>4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1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  <c r="CS1275" s="4">
        <v>0</v>
      </c>
      <c r="CT1275" s="4">
        <v>3</v>
      </c>
      <c r="CU1275" s="4">
        <v>0</v>
      </c>
      <c r="CV1275" s="4">
        <v>0</v>
      </c>
      <c r="CW1275" s="4">
        <v>0</v>
      </c>
      <c r="CX1275" s="5">
        <v>0</v>
      </c>
    </row>
    <row r="1276" spans="1:102" ht="15.75" x14ac:dyDescent="0.25">
      <c r="A1276" s="4" t="s">
        <v>287</v>
      </c>
      <c r="B1276" s="4" t="s">
        <v>288</v>
      </c>
      <c r="C1276" s="4">
        <v>2023</v>
      </c>
      <c r="D1276" s="4">
        <v>1509</v>
      </c>
      <c r="E1276" s="4">
        <v>17</v>
      </c>
      <c r="F1276" s="4">
        <v>0</v>
      </c>
      <c r="G1276" s="4">
        <v>3</v>
      </c>
      <c r="H1276" s="4">
        <v>0</v>
      </c>
      <c r="I1276" s="4">
        <v>3</v>
      </c>
      <c r="J1276" s="4">
        <v>1</v>
      </c>
      <c r="K1276" s="4">
        <v>1</v>
      </c>
      <c r="L1276" s="4">
        <v>3</v>
      </c>
      <c r="M1276" s="4">
        <v>5</v>
      </c>
      <c r="N1276" s="4">
        <v>10</v>
      </c>
      <c r="O1276" s="4">
        <v>116</v>
      </c>
      <c r="P1276" s="4">
        <v>0</v>
      </c>
      <c r="Q1276" s="4">
        <v>0</v>
      </c>
      <c r="R1276" s="4">
        <v>6</v>
      </c>
      <c r="S1276" s="4">
        <v>0</v>
      </c>
      <c r="T1276" s="4">
        <v>0</v>
      </c>
      <c r="U1276" s="4">
        <v>18</v>
      </c>
      <c r="V1276" s="4">
        <v>3</v>
      </c>
      <c r="W1276" s="4">
        <v>4</v>
      </c>
      <c r="X1276" s="4">
        <v>2</v>
      </c>
      <c r="Y1276" s="4">
        <v>0</v>
      </c>
      <c r="Z1276" s="4">
        <v>0</v>
      </c>
      <c r="AA1276" s="4">
        <v>6</v>
      </c>
      <c r="AB1276" s="4">
        <v>0</v>
      </c>
      <c r="AC1276" s="4">
        <v>0</v>
      </c>
      <c r="AD1276" s="4">
        <v>0</v>
      </c>
      <c r="AE1276" s="4">
        <v>1</v>
      </c>
      <c r="AF1276" s="4">
        <v>0</v>
      </c>
      <c r="AG1276" s="4">
        <v>73</v>
      </c>
      <c r="AH1276" s="4">
        <v>4</v>
      </c>
      <c r="AI1276" s="4">
        <v>12</v>
      </c>
      <c r="AJ1276" s="4">
        <v>24</v>
      </c>
      <c r="AK1276" s="4">
        <v>27</v>
      </c>
      <c r="AL1276" s="4">
        <v>1</v>
      </c>
      <c r="AM1276" s="4">
        <v>16</v>
      </c>
      <c r="AN1276" s="4">
        <v>35</v>
      </c>
      <c r="AO1276" s="4">
        <v>68</v>
      </c>
      <c r="AP1276" s="4">
        <v>1</v>
      </c>
      <c r="AQ1276" s="4">
        <v>13</v>
      </c>
      <c r="AR1276" s="4">
        <v>3</v>
      </c>
      <c r="AS1276" s="4">
        <v>4</v>
      </c>
      <c r="AT1276" s="4">
        <v>20</v>
      </c>
      <c r="AU1276" s="4">
        <v>6</v>
      </c>
      <c r="AV1276" s="4">
        <v>14</v>
      </c>
      <c r="AW1276" s="4">
        <v>9</v>
      </c>
      <c r="AX1276" s="4">
        <v>53</v>
      </c>
      <c r="AY1276" s="4">
        <v>0</v>
      </c>
      <c r="AZ1276" s="4">
        <v>1</v>
      </c>
      <c r="BA1276" s="4">
        <v>0</v>
      </c>
      <c r="BB1276" s="4">
        <v>216</v>
      </c>
      <c r="BC1276" s="4">
        <v>1</v>
      </c>
      <c r="BD1276" s="4">
        <v>0</v>
      </c>
      <c r="BE1276" s="4">
        <v>15</v>
      </c>
      <c r="BF1276" s="4">
        <v>36</v>
      </c>
      <c r="BG1276" s="4">
        <v>3</v>
      </c>
      <c r="BH1276" s="4">
        <v>5</v>
      </c>
      <c r="BI1276" s="4">
        <v>0</v>
      </c>
      <c r="BJ1276" s="4">
        <v>29</v>
      </c>
      <c r="BK1276" s="4">
        <v>43</v>
      </c>
      <c r="BL1276" s="4">
        <v>0</v>
      </c>
      <c r="BM1276" s="4">
        <v>3</v>
      </c>
      <c r="BN1276" s="4">
        <v>34</v>
      </c>
      <c r="BO1276" s="4">
        <v>0</v>
      </c>
      <c r="BP1276" s="4">
        <v>23</v>
      </c>
      <c r="BQ1276" s="4">
        <v>72</v>
      </c>
      <c r="BR1276" s="4">
        <v>1</v>
      </c>
      <c r="BS1276" s="4">
        <v>37</v>
      </c>
      <c r="BT1276" s="4">
        <v>14</v>
      </c>
      <c r="BU1276" s="4">
        <v>1</v>
      </c>
      <c r="BV1276" s="4">
        <v>36</v>
      </c>
      <c r="BW1276" s="4">
        <v>6</v>
      </c>
      <c r="BX1276" s="4">
        <v>195</v>
      </c>
      <c r="BY1276" s="4">
        <v>3</v>
      </c>
      <c r="BZ1276" s="4">
        <v>0</v>
      </c>
      <c r="CA1276" s="4">
        <v>11</v>
      </c>
      <c r="CB1276" s="4">
        <v>0</v>
      </c>
      <c r="CC1276" s="4">
        <v>0</v>
      </c>
      <c r="CD1276" s="4">
        <v>1</v>
      </c>
      <c r="CE1276" s="4">
        <v>0</v>
      </c>
      <c r="CF1276" s="4">
        <v>2</v>
      </c>
      <c r="CG1276" s="4">
        <v>0</v>
      </c>
      <c r="CH1276" s="4">
        <v>4</v>
      </c>
      <c r="CI1276" s="4">
        <v>2</v>
      </c>
      <c r="CJ1276" s="4">
        <v>3</v>
      </c>
      <c r="CK1276" s="4">
        <v>0</v>
      </c>
      <c r="CL1276" s="4">
        <v>0</v>
      </c>
      <c r="CM1276" s="4">
        <v>12</v>
      </c>
      <c r="CN1276" s="4">
        <v>31</v>
      </c>
      <c r="CO1276" s="4">
        <v>11</v>
      </c>
      <c r="CP1276" s="4">
        <v>11</v>
      </c>
      <c r="CQ1276" s="4">
        <v>2</v>
      </c>
      <c r="CR1276" s="4">
        <v>4</v>
      </c>
      <c r="CS1276" s="4">
        <v>0</v>
      </c>
      <c r="CT1276" s="4">
        <v>16</v>
      </c>
      <c r="CU1276" s="4">
        <v>2</v>
      </c>
      <c r="CV1276" s="4">
        <v>28</v>
      </c>
      <c r="CW1276" s="4">
        <v>11</v>
      </c>
      <c r="CX1276" s="5">
        <v>11</v>
      </c>
    </row>
    <row r="1277" spans="1:102" ht="15.75" x14ac:dyDescent="0.25">
      <c r="A1277" s="4" t="s">
        <v>289</v>
      </c>
      <c r="B1277" s="4" t="s">
        <v>290</v>
      </c>
      <c r="C1277" s="4">
        <v>2023</v>
      </c>
      <c r="D1277" s="4">
        <v>913</v>
      </c>
      <c r="E1277" s="4">
        <v>0</v>
      </c>
      <c r="F1277" s="4">
        <v>0</v>
      </c>
      <c r="G1277" s="4">
        <v>3</v>
      </c>
      <c r="H1277" s="4">
        <v>4</v>
      </c>
      <c r="I1277" s="4">
        <v>4</v>
      </c>
      <c r="J1277" s="4">
        <v>3</v>
      </c>
      <c r="K1277" s="4">
        <v>0</v>
      </c>
      <c r="L1277" s="4">
        <v>3</v>
      </c>
      <c r="M1277" s="4">
        <v>10</v>
      </c>
      <c r="N1277" s="4">
        <v>12</v>
      </c>
      <c r="O1277" s="4">
        <v>2</v>
      </c>
      <c r="P1277" s="4">
        <v>0</v>
      </c>
      <c r="Q1277" s="4">
        <v>0</v>
      </c>
      <c r="R1277" s="4">
        <v>0</v>
      </c>
      <c r="S1277" s="4">
        <v>0</v>
      </c>
      <c r="T1277" s="4">
        <v>49</v>
      </c>
      <c r="U1277" s="4">
        <v>1</v>
      </c>
      <c r="V1277" s="4">
        <v>4</v>
      </c>
      <c r="W1277" s="4">
        <v>49</v>
      </c>
      <c r="X1277" s="4">
        <v>2</v>
      </c>
      <c r="Y1277" s="4">
        <v>0</v>
      </c>
      <c r="Z1277" s="4">
        <v>0</v>
      </c>
      <c r="AA1277" s="4">
        <v>1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38</v>
      </c>
      <c r="AH1277" s="4">
        <v>1</v>
      </c>
      <c r="AI1277" s="4">
        <v>10</v>
      </c>
      <c r="AJ1277" s="4">
        <v>60</v>
      </c>
      <c r="AK1277" s="4">
        <v>24</v>
      </c>
      <c r="AL1277" s="4">
        <v>0</v>
      </c>
      <c r="AM1277" s="4">
        <v>6</v>
      </c>
      <c r="AN1277" s="4">
        <v>9</v>
      </c>
      <c r="AO1277" s="4">
        <v>28</v>
      </c>
      <c r="AP1277" s="4">
        <v>1</v>
      </c>
      <c r="AQ1277" s="4">
        <v>3</v>
      </c>
      <c r="AR1277" s="4">
        <v>0</v>
      </c>
      <c r="AS1277" s="4">
        <v>7</v>
      </c>
      <c r="AT1277" s="4">
        <v>6</v>
      </c>
      <c r="AU1277" s="4">
        <v>3</v>
      </c>
      <c r="AV1277" s="4">
        <v>8</v>
      </c>
      <c r="AW1277" s="4">
        <v>4</v>
      </c>
      <c r="AX1277" s="4">
        <v>17</v>
      </c>
      <c r="AY1277" s="4">
        <v>0</v>
      </c>
      <c r="AZ1277" s="4">
        <v>7</v>
      </c>
      <c r="BA1277" s="4">
        <v>0</v>
      </c>
      <c r="BB1277" s="4">
        <v>47</v>
      </c>
      <c r="BC1277" s="4">
        <v>7</v>
      </c>
      <c r="BD1277" s="4">
        <v>2</v>
      </c>
      <c r="BE1277" s="4">
        <v>12</v>
      </c>
      <c r="BF1277" s="4">
        <v>14</v>
      </c>
      <c r="BG1277" s="4">
        <v>2</v>
      </c>
      <c r="BH1277" s="4">
        <v>1</v>
      </c>
      <c r="BI1277" s="4">
        <v>0</v>
      </c>
      <c r="BJ1277" s="4">
        <v>34</v>
      </c>
      <c r="BK1277" s="4">
        <v>28</v>
      </c>
      <c r="BL1277" s="4">
        <v>0</v>
      </c>
      <c r="BM1277" s="4">
        <v>1</v>
      </c>
      <c r="BN1277" s="4">
        <v>5</v>
      </c>
      <c r="BO1277" s="4">
        <v>0</v>
      </c>
      <c r="BP1277" s="4">
        <v>1</v>
      </c>
      <c r="BQ1277" s="4">
        <v>8</v>
      </c>
      <c r="BR1277" s="4">
        <v>0</v>
      </c>
      <c r="BS1277" s="4">
        <v>17</v>
      </c>
      <c r="BT1277" s="4">
        <v>29</v>
      </c>
      <c r="BU1277" s="4">
        <v>2</v>
      </c>
      <c r="BV1277" s="4">
        <v>3</v>
      </c>
      <c r="BW1277" s="4">
        <v>62</v>
      </c>
      <c r="BX1277" s="4">
        <v>107</v>
      </c>
      <c r="BY1277" s="4">
        <v>0</v>
      </c>
      <c r="BZ1277" s="4">
        <v>0</v>
      </c>
      <c r="CA1277" s="4">
        <v>18</v>
      </c>
      <c r="CB1277" s="4">
        <v>70</v>
      </c>
      <c r="CC1277" s="4">
        <v>0</v>
      </c>
      <c r="CD1277" s="4">
        <v>1</v>
      </c>
      <c r="CE1277" s="4">
        <v>0</v>
      </c>
      <c r="CF1277" s="4">
        <v>0</v>
      </c>
      <c r="CG1277" s="4">
        <v>0</v>
      </c>
      <c r="CH1277" s="4">
        <v>0</v>
      </c>
      <c r="CI1277" s="4">
        <v>1</v>
      </c>
      <c r="CJ1277" s="4">
        <v>1</v>
      </c>
      <c r="CK1277" s="4">
        <v>0</v>
      </c>
      <c r="CL1277" s="4">
        <v>0</v>
      </c>
      <c r="CM1277" s="4">
        <v>3</v>
      </c>
      <c r="CN1277" s="4">
        <v>34</v>
      </c>
      <c r="CO1277" s="4">
        <v>1</v>
      </c>
      <c r="CP1277" s="4">
        <v>0</v>
      </c>
      <c r="CQ1277" s="4">
        <v>0</v>
      </c>
      <c r="CR1277" s="4">
        <v>0</v>
      </c>
      <c r="CS1277" s="4">
        <v>0</v>
      </c>
      <c r="CT1277" s="4">
        <v>4</v>
      </c>
      <c r="CU1277" s="4">
        <v>5</v>
      </c>
      <c r="CV1277" s="4">
        <v>8</v>
      </c>
      <c r="CW1277" s="4">
        <v>3</v>
      </c>
      <c r="CX1277" s="5">
        <v>3</v>
      </c>
    </row>
    <row r="1278" spans="1:102" ht="15.75" x14ac:dyDescent="0.25">
      <c r="A1278" s="4" t="s">
        <v>291</v>
      </c>
      <c r="B1278" s="4" t="s">
        <v>292</v>
      </c>
      <c r="C1278" s="4">
        <v>2023</v>
      </c>
      <c r="D1278" s="4">
        <v>28092</v>
      </c>
      <c r="E1278" s="4">
        <v>204</v>
      </c>
      <c r="F1278" s="4">
        <v>456</v>
      </c>
      <c r="G1278" s="4">
        <v>601</v>
      </c>
      <c r="H1278" s="4">
        <v>66</v>
      </c>
      <c r="I1278" s="4">
        <v>808</v>
      </c>
      <c r="J1278" s="4">
        <v>372</v>
      </c>
      <c r="K1278" s="4">
        <v>129</v>
      </c>
      <c r="L1278" s="4">
        <v>312</v>
      </c>
      <c r="M1278" s="4">
        <v>333</v>
      </c>
      <c r="N1278" s="4">
        <v>339</v>
      </c>
      <c r="O1278" s="4">
        <v>538</v>
      </c>
      <c r="P1278" s="4">
        <v>0</v>
      </c>
      <c r="Q1278" s="4">
        <v>7</v>
      </c>
      <c r="R1278" s="4">
        <v>4</v>
      </c>
      <c r="S1278" s="4">
        <v>110</v>
      </c>
      <c r="T1278" s="4">
        <v>1</v>
      </c>
      <c r="U1278" s="4">
        <v>3</v>
      </c>
      <c r="V1278" s="4">
        <v>95</v>
      </c>
      <c r="W1278" s="4">
        <v>85</v>
      </c>
      <c r="X1278" s="4">
        <v>48</v>
      </c>
      <c r="Y1278" s="4">
        <v>41</v>
      </c>
      <c r="Z1278" s="4">
        <v>42</v>
      </c>
      <c r="AA1278" s="4">
        <v>2168</v>
      </c>
      <c r="AB1278" s="4">
        <v>1605</v>
      </c>
      <c r="AC1278" s="4">
        <v>178</v>
      </c>
      <c r="AD1278" s="4">
        <v>23</v>
      </c>
      <c r="AE1278" s="4">
        <v>80</v>
      </c>
      <c r="AF1278" s="4">
        <v>6</v>
      </c>
      <c r="AG1278" s="4">
        <v>3436</v>
      </c>
      <c r="AH1278" s="4">
        <v>116</v>
      </c>
      <c r="AI1278" s="4">
        <v>145</v>
      </c>
      <c r="AJ1278" s="4">
        <v>1656</v>
      </c>
      <c r="AK1278" s="4">
        <v>738</v>
      </c>
      <c r="AL1278" s="4">
        <v>81</v>
      </c>
      <c r="AM1278" s="4">
        <v>209</v>
      </c>
      <c r="AN1278" s="4">
        <v>312</v>
      </c>
      <c r="AO1278" s="4">
        <v>254</v>
      </c>
      <c r="AP1278" s="4">
        <v>4</v>
      </c>
      <c r="AQ1278" s="4">
        <v>120</v>
      </c>
      <c r="AR1278" s="4">
        <v>139</v>
      </c>
      <c r="AS1278" s="4">
        <v>657</v>
      </c>
      <c r="AT1278" s="4">
        <v>169</v>
      </c>
      <c r="AU1278" s="4">
        <v>456</v>
      </c>
      <c r="AV1278" s="4">
        <v>526</v>
      </c>
      <c r="AW1278" s="4">
        <v>508</v>
      </c>
      <c r="AX1278" s="4">
        <v>792</v>
      </c>
      <c r="AY1278" s="4">
        <v>6</v>
      </c>
      <c r="AZ1278" s="4">
        <v>101</v>
      </c>
      <c r="BA1278" s="4">
        <v>1</v>
      </c>
      <c r="BB1278" s="4">
        <v>805</v>
      </c>
      <c r="BC1278" s="4">
        <v>35</v>
      </c>
      <c r="BD1278" s="4">
        <v>19</v>
      </c>
      <c r="BE1278" s="4">
        <v>99</v>
      </c>
      <c r="BF1278" s="4">
        <v>541</v>
      </c>
      <c r="BG1278" s="4">
        <v>12</v>
      </c>
      <c r="BH1278" s="4">
        <v>34</v>
      </c>
      <c r="BI1278" s="4">
        <v>10</v>
      </c>
      <c r="BJ1278" s="4">
        <v>221</v>
      </c>
      <c r="BK1278" s="4">
        <v>488</v>
      </c>
      <c r="BL1278" s="4">
        <v>1</v>
      </c>
      <c r="BM1278" s="4">
        <v>53</v>
      </c>
      <c r="BN1278" s="4">
        <v>548</v>
      </c>
      <c r="BO1278" s="4">
        <v>28</v>
      </c>
      <c r="BP1278" s="4">
        <v>23</v>
      </c>
      <c r="BQ1278" s="4">
        <v>624</v>
      </c>
      <c r="BR1278" s="4">
        <v>212</v>
      </c>
      <c r="BS1278" s="4">
        <v>484</v>
      </c>
      <c r="BT1278" s="4">
        <v>233</v>
      </c>
      <c r="BU1278" s="4">
        <v>35</v>
      </c>
      <c r="BV1278" s="4">
        <v>202</v>
      </c>
      <c r="BW1278" s="4">
        <v>400</v>
      </c>
      <c r="BX1278" s="4">
        <v>432</v>
      </c>
      <c r="BY1278" s="4">
        <v>10</v>
      </c>
      <c r="BZ1278" s="4">
        <v>0</v>
      </c>
      <c r="CA1278" s="4">
        <v>186</v>
      </c>
      <c r="CB1278" s="4">
        <v>16</v>
      </c>
      <c r="CC1278" s="4">
        <v>3</v>
      </c>
      <c r="CD1278" s="4">
        <v>190</v>
      </c>
      <c r="CE1278" s="4">
        <v>58</v>
      </c>
      <c r="CF1278" s="4">
        <v>227</v>
      </c>
      <c r="CG1278" s="4">
        <v>63</v>
      </c>
      <c r="CH1278" s="4">
        <v>71</v>
      </c>
      <c r="CI1278" s="4">
        <v>45</v>
      </c>
      <c r="CJ1278" s="4">
        <v>460</v>
      </c>
      <c r="CK1278" s="4">
        <v>101</v>
      </c>
      <c r="CL1278" s="4">
        <v>0</v>
      </c>
      <c r="CM1278" s="4">
        <v>69</v>
      </c>
      <c r="CN1278" s="4">
        <v>434</v>
      </c>
      <c r="CO1278" s="4">
        <v>69</v>
      </c>
      <c r="CP1278" s="4">
        <v>30</v>
      </c>
      <c r="CQ1278" s="4">
        <v>3</v>
      </c>
      <c r="CR1278" s="4">
        <v>24</v>
      </c>
      <c r="CS1278" s="4">
        <v>56</v>
      </c>
      <c r="CT1278" s="4">
        <v>327</v>
      </c>
      <c r="CU1278" s="4">
        <v>30</v>
      </c>
      <c r="CV1278" s="4">
        <v>824</v>
      </c>
      <c r="CW1278" s="4">
        <v>180</v>
      </c>
      <c r="CX1278" s="5">
        <v>180</v>
      </c>
    </row>
    <row r="1279" spans="1:102" ht="15.75" x14ac:dyDescent="0.25">
      <c r="A1279" s="4" t="s">
        <v>293</v>
      </c>
      <c r="B1279" s="4" t="s">
        <v>294</v>
      </c>
      <c r="C1279" s="4">
        <v>2023</v>
      </c>
      <c r="D1279" s="4">
        <v>1613</v>
      </c>
      <c r="E1279" s="4">
        <v>3</v>
      </c>
      <c r="F1279" s="4">
        <v>0</v>
      </c>
      <c r="G1279" s="4">
        <v>5</v>
      </c>
      <c r="H1279" s="4">
        <v>3</v>
      </c>
      <c r="I1279" s="4">
        <v>13</v>
      </c>
      <c r="J1279" s="4">
        <v>6</v>
      </c>
      <c r="K1279" s="4">
        <v>5</v>
      </c>
      <c r="L1279" s="4">
        <v>31</v>
      </c>
      <c r="M1279" s="4">
        <v>2</v>
      </c>
      <c r="N1279" s="4">
        <v>8</v>
      </c>
      <c r="O1279" s="4">
        <v>68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1</v>
      </c>
      <c r="V1279" s="4">
        <v>1</v>
      </c>
      <c r="W1279" s="4">
        <v>0</v>
      </c>
      <c r="X1279" s="4">
        <v>1</v>
      </c>
      <c r="Y1279" s="4">
        <v>0</v>
      </c>
      <c r="Z1279" s="4">
        <v>0</v>
      </c>
      <c r="AA1279" s="4">
        <v>7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10</v>
      </c>
      <c r="AH1279" s="4">
        <v>3</v>
      </c>
      <c r="AI1279" s="4">
        <v>14</v>
      </c>
      <c r="AJ1279" s="4">
        <v>169</v>
      </c>
      <c r="AK1279" s="4">
        <v>22</v>
      </c>
      <c r="AL1279" s="4">
        <v>0</v>
      </c>
      <c r="AM1279" s="4">
        <v>14</v>
      </c>
      <c r="AN1279" s="4">
        <v>26</v>
      </c>
      <c r="AO1279" s="4">
        <v>21</v>
      </c>
      <c r="AP1279" s="4">
        <v>0</v>
      </c>
      <c r="AQ1279" s="4">
        <v>5</v>
      </c>
      <c r="AR1279" s="4">
        <v>0</v>
      </c>
      <c r="AS1279" s="4">
        <v>6</v>
      </c>
      <c r="AT1279" s="4">
        <v>13</v>
      </c>
      <c r="AU1279" s="4">
        <v>50</v>
      </c>
      <c r="AV1279" s="4">
        <v>11</v>
      </c>
      <c r="AW1279" s="4">
        <v>11</v>
      </c>
      <c r="AX1279" s="4">
        <v>41</v>
      </c>
      <c r="AY1279" s="4">
        <v>1</v>
      </c>
      <c r="AZ1279" s="4">
        <v>15</v>
      </c>
      <c r="BA1279" s="4">
        <v>0</v>
      </c>
      <c r="BB1279" s="4">
        <v>359</v>
      </c>
      <c r="BC1279" s="4">
        <v>3</v>
      </c>
      <c r="BD1279" s="4">
        <v>0</v>
      </c>
      <c r="BE1279" s="4">
        <v>12</v>
      </c>
      <c r="BF1279" s="4">
        <v>42</v>
      </c>
      <c r="BG1279" s="4">
        <v>2</v>
      </c>
      <c r="BH1279" s="4">
        <v>1</v>
      </c>
      <c r="BI1279" s="4">
        <v>0</v>
      </c>
      <c r="BJ1279" s="4">
        <v>33</v>
      </c>
      <c r="BK1279" s="4">
        <v>47</v>
      </c>
      <c r="BL1279" s="4">
        <v>0</v>
      </c>
      <c r="BM1279" s="4">
        <v>3</v>
      </c>
      <c r="BN1279" s="4">
        <v>28</v>
      </c>
      <c r="BO1279" s="4">
        <v>0</v>
      </c>
      <c r="BP1279" s="4">
        <v>6</v>
      </c>
      <c r="BQ1279" s="4">
        <v>41</v>
      </c>
      <c r="BR1279" s="4">
        <v>3</v>
      </c>
      <c r="BS1279" s="4">
        <v>57</v>
      </c>
      <c r="BT1279" s="4">
        <v>31</v>
      </c>
      <c r="BU1279" s="4">
        <v>1</v>
      </c>
      <c r="BV1279" s="4">
        <v>9</v>
      </c>
      <c r="BW1279" s="4">
        <v>85</v>
      </c>
      <c r="BX1279" s="4">
        <v>71</v>
      </c>
      <c r="BY1279" s="4">
        <v>0</v>
      </c>
      <c r="BZ1279" s="4">
        <v>0</v>
      </c>
      <c r="CA1279" s="4">
        <v>28</v>
      </c>
      <c r="CB1279" s="4">
        <v>0</v>
      </c>
      <c r="CC1279" s="4">
        <v>0</v>
      </c>
      <c r="CD1279" s="4">
        <v>4</v>
      </c>
      <c r="CE1279" s="4">
        <v>0</v>
      </c>
      <c r="CF1279" s="4">
        <v>4</v>
      </c>
      <c r="CG1279" s="4">
        <v>1</v>
      </c>
      <c r="CH1279" s="4">
        <v>3</v>
      </c>
      <c r="CI1279" s="4">
        <v>1</v>
      </c>
      <c r="CJ1279" s="4">
        <v>8</v>
      </c>
      <c r="CK1279" s="4">
        <v>1</v>
      </c>
      <c r="CL1279" s="4">
        <v>0</v>
      </c>
      <c r="CM1279" s="4">
        <v>17</v>
      </c>
      <c r="CN1279" s="4">
        <v>55</v>
      </c>
      <c r="CO1279" s="4">
        <v>8</v>
      </c>
      <c r="CP1279" s="4">
        <v>5</v>
      </c>
      <c r="CQ1279" s="4">
        <v>0</v>
      </c>
      <c r="CR1279" s="4">
        <v>7</v>
      </c>
      <c r="CS1279" s="4">
        <v>2</v>
      </c>
      <c r="CT1279" s="4">
        <v>6</v>
      </c>
      <c r="CU1279" s="4">
        <v>3</v>
      </c>
      <c r="CV1279" s="4">
        <v>34</v>
      </c>
      <c r="CW1279" s="4">
        <v>7</v>
      </c>
      <c r="CX1279" s="5">
        <v>7</v>
      </c>
    </row>
    <row r="1280" spans="1:102" ht="15.75" x14ac:dyDescent="0.25">
      <c r="A1280" s="4" t="s">
        <v>295</v>
      </c>
      <c r="B1280" s="4" t="s">
        <v>296</v>
      </c>
      <c r="C1280" s="4">
        <v>2023</v>
      </c>
      <c r="D1280" s="4">
        <v>3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2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5">
        <v>0</v>
      </c>
    </row>
    <row r="1281" spans="1:102" ht="15.75" x14ac:dyDescent="0.25">
      <c r="A1281" s="4" t="s">
        <v>297</v>
      </c>
      <c r="B1281" s="4" t="s">
        <v>298</v>
      </c>
      <c r="C1281" s="4">
        <v>2023</v>
      </c>
      <c r="D1281" s="4">
        <v>5991</v>
      </c>
      <c r="E1281" s="4">
        <v>2</v>
      </c>
      <c r="F1281" s="4">
        <v>0</v>
      </c>
      <c r="G1281" s="4">
        <v>3</v>
      </c>
      <c r="H1281" s="4">
        <v>1</v>
      </c>
      <c r="I1281" s="4">
        <v>5</v>
      </c>
      <c r="J1281" s="4">
        <v>3</v>
      </c>
      <c r="K1281" s="4">
        <v>3</v>
      </c>
      <c r="L1281" s="4">
        <v>10</v>
      </c>
      <c r="M1281" s="4">
        <v>8</v>
      </c>
      <c r="N1281" s="4">
        <v>3</v>
      </c>
      <c r="O1281" s="4">
        <v>240</v>
      </c>
      <c r="P1281" s="4">
        <v>0</v>
      </c>
      <c r="Q1281" s="4">
        <v>0</v>
      </c>
      <c r="R1281" s="4">
        <v>43</v>
      </c>
      <c r="S1281" s="4">
        <v>15</v>
      </c>
      <c r="T1281" s="4">
        <v>158</v>
      </c>
      <c r="U1281" s="4">
        <v>11</v>
      </c>
      <c r="V1281" s="4">
        <v>14</v>
      </c>
      <c r="W1281" s="4">
        <v>1134</v>
      </c>
      <c r="X1281" s="4">
        <v>1</v>
      </c>
      <c r="Y1281" s="4">
        <v>1</v>
      </c>
      <c r="Z1281" s="4">
        <v>0</v>
      </c>
      <c r="AA1281" s="4">
        <v>47</v>
      </c>
      <c r="AB1281" s="4">
        <v>0</v>
      </c>
      <c r="AC1281" s="4">
        <v>0</v>
      </c>
      <c r="AD1281" s="4">
        <v>1</v>
      </c>
      <c r="AE1281" s="4">
        <v>0</v>
      </c>
      <c r="AF1281" s="4">
        <v>0</v>
      </c>
      <c r="AG1281" s="4">
        <v>83</v>
      </c>
      <c r="AH1281" s="4">
        <v>26</v>
      </c>
      <c r="AI1281" s="4">
        <v>40</v>
      </c>
      <c r="AJ1281" s="4">
        <v>99</v>
      </c>
      <c r="AK1281" s="4">
        <v>37</v>
      </c>
      <c r="AL1281" s="4">
        <v>14</v>
      </c>
      <c r="AM1281" s="4">
        <v>45</v>
      </c>
      <c r="AN1281" s="4">
        <v>36</v>
      </c>
      <c r="AO1281" s="4">
        <v>122</v>
      </c>
      <c r="AP1281" s="4">
        <v>4</v>
      </c>
      <c r="AQ1281" s="4">
        <v>30</v>
      </c>
      <c r="AR1281" s="4">
        <v>2</v>
      </c>
      <c r="AS1281" s="4">
        <v>15</v>
      </c>
      <c r="AT1281" s="4">
        <v>28</v>
      </c>
      <c r="AU1281" s="4">
        <v>46</v>
      </c>
      <c r="AV1281" s="4">
        <v>55</v>
      </c>
      <c r="AW1281" s="4">
        <v>979</v>
      </c>
      <c r="AX1281" s="4">
        <v>170</v>
      </c>
      <c r="AY1281" s="4">
        <v>11</v>
      </c>
      <c r="AZ1281" s="4">
        <v>20</v>
      </c>
      <c r="BA1281" s="4">
        <v>0</v>
      </c>
      <c r="BB1281" s="4">
        <v>490</v>
      </c>
      <c r="BC1281" s="4">
        <v>51</v>
      </c>
      <c r="BD1281" s="4">
        <v>0</v>
      </c>
      <c r="BE1281" s="4">
        <v>38</v>
      </c>
      <c r="BF1281" s="4">
        <v>77</v>
      </c>
      <c r="BG1281" s="4">
        <v>11</v>
      </c>
      <c r="BH1281" s="4">
        <v>20</v>
      </c>
      <c r="BI1281" s="4">
        <v>1</v>
      </c>
      <c r="BJ1281" s="4">
        <v>197</v>
      </c>
      <c r="BK1281" s="4">
        <v>260</v>
      </c>
      <c r="BL1281" s="4">
        <v>0</v>
      </c>
      <c r="BM1281" s="4">
        <v>18</v>
      </c>
      <c r="BN1281" s="4">
        <v>47</v>
      </c>
      <c r="BO1281" s="4">
        <v>0</v>
      </c>
      <c r="BP1281" s="4">
        <v>14</v>
      </c>
      <c r="BQ1281" s="4">
        <v>59</v>
      </c>
      <c r="BR1281" s="4">
        <v>1</v>
      </c>
      <c r="BS1281" s="4">
        <v>200</v>
      </c>
      <c r="BT1281" s="4">
        <v>75</v>
      </c>
      <c r="BU1281" s="4">
        <v>0</v>
      </c>
      <c r="BV1281" s="4">
        <v>55</v>
      </c>
      <c r="BW1281" s="4">
        <v>4</v>
      </c>
      <c r="BX1281" s="4">
        <v>128</v>
      </c>
      <c r="BY1281" s="4">
        <v>4</v>
      </c>
      <c r="BZ1281" s="4">
        <v>0</v>
      </c>
      <c r="CA1281" s="4">
        <v>116</v>
      </c>
      <c r="CB1281" s="4">
        <v>88</v>
      </c>
      <c r="CC1281" s="4">
        <v>0</v>
      </c>
      <c r="CD1281" s="4">
        <v>6</v>
      </c>
      <c r="CE1281" s="4">
        <v>0</v>
      </c>
      <c r="CF1281" s="4">
        <v>6</v>
      </c>
      <c r="CG1281" s="4">
        <v>9</v>
      </c>
      <c r="CH1281" s="4">
        <v>4</v>
      </c>
      <c r="CI1281" s="4">
        <v>1</v>
      </c>
      <c r="CJ1281" s="4">
        <v>12</v>
      </c>
      <c r="CK1281" s="4">
        <v>1</v>
      </c>
      <c r="CL1281" s="4">
        <v>0</v>
      </c>
      <c r="CM1281" s="4">
        <v>40</v>
      </c>
      <c r="CN1281" s="4">
        <v>222</v>
      </c>
      <c r="CO1281" s="4">
        <v>4</v>
      </c>
      <c r="CP1281" s="4">
        <v>10</v>
      </c>
      <c r="CQ1281" s="4">
        <v>0</v>
      </c>
      <c r="CR1281" s="4">
        <v>17</v>
      </c>
      <c r="CS1281" s="4">
        <v>12</v>
      </c>
      <c r="CT1281" s="4">
        <v>15</v>
      </c>
      <c r="CU1281" s="4">
        <v>1</v>
      </c>
      <c r="CV1281" s="4">
        <v>82</v>
      </c>
      <c r="CW1281" s="4">
        <v>29</v>
      </c>
      <c r="CX1281" s="5">
        <v>29</v>
      </c>
    </row>
    <row r="1282" spans="1:102" ht="15.75" x14ac:dyDescent="0.25">
      <c r="A1282" s="4" t="s">
        <v>299</v>
      </c>
      <c r="B1282" s="4" t="s">
        <v>300</v>
      </c>
      <c r="C1282" s="4">
        <v>2023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5">
        <v>0</v>
      </c>
    </row>
    <row r="1283" spans="1:102" ht="15.75" x14ac:dyDescent="0.25">
      <c r="A1283" s="4" t="s">
        <v>301</v>
      </c>
      <c r="B1283" s="4" t="s">
        <v>302</v>
      </c>
      <c r="C1283" s="4">
        <v>2023</v>
      </c>
      <c r="D1283" s="4">
        <v>492</v>
      </c>
      <c r="E1283" s="4">
        <v>4</v>
      </c>
      <c r="F1283" s="4">
        <v>0</v>
      </c>
      <c r="G1283" s="4">
        <v>3</v>
      </c>
      <c r="H1283" s="4">
        <v>0</v>
      </c>
      <c r="I1283" s="4">
        <v>5</v>
      </c>
      <c r="J1283" s="4">
        <v>1</v>
      </c>
      <c r="K1283" s="4">
        <v>2</v>
      </c>
      <c r="L1283" s="4">
        <v>8</v>
      </c>
      <c r="M1283" s="4">
        <v>1</v>
      </c>
      <c r="N1283" s="4">
        <v>6</v>
      </c>
      <c r="O1283" s="4">
        <v>38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1</v>
      </c>
      <c r="V1283" s="4">
        <v>0</v>
      </c>
      <c r="W1283" s="4">
        <v>0</v>
      </c>
      <c r="X1283" s="4">
        <v>3</v>
      </c>
      <c r="Y1283" s="4">
        <v>0</v>
      </c>
      <c r="Z1283" s="4">
        <v>0</v>
      </c>
      <c r="AA1283" s="4">
        <v>23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1</v>
      </c>
      <c r="AH1283" s="4">
        <v>0</v>
      </c>
      <c r="AI1283" s="4">
        <v>6</v>
      </c>
      <c r="AJ1283" s="4">
        <v>100</v>
      </c>
      <c r="AK1283" s="4">
        <v>21</v>
      </c>
      <c r="AL1283" s="4">
        <v>0</v>
      </c>
      <c r="AM1283" s="4">
        <v>2</v>
      </c>
      <c r="AN1283" s="4">
        <v>1</v>
      </c>
      <c r="AO1283" s="4">
        <v>4</v>
      </c>
      <c r="AP1283" s="4">
        <v>0</v>
      </c>
      <c r="AQ1283" s="4">
        <v>1</v>
      </c>
      <c r="AR1283" s="4">
        <v>0</v>
      </c>
      <c r="AS1283" s="4">
        <v>1</v>
      </c>
      <c r="AT1283" s="4">
        <v>3</v>
      </c>
      <c r="AU1283" s="4">
        <v>2</v>
      </c>
      <c r="AV1283" s="4">
        <v>3</v>
      </c>
      <c r="AW1283" s="4">
        <v>2</v>
      </c>
      <c r="AX1283" s="4">
        <v>9</v>
      </c>
      <c r="AY1283" s="4">
        <v>1</v>
      </c>
      <c r="AZ1283" s="4">
        <v>26</v>
      </c>
      <c r="BA1283" s="4">
        <v>0</v>
      </c>
      <c r="BB1283" s="4">
        <v>5</v>
      </c>
      <c r="BC1283" s="4">
        <v>3</v>
      </c>
      <c r="BD1283" s="4">
        <v>0</v>
      </c>
      <c r="BE1283" s="4">
        <v>1</v>
      </c>
      <c r="BF1283" s="4">
        <v>23</v>
      </c>
      <c r="BG1283" s="4">
        <v>2</v>
      </c>
      <c r="BH1283" s="4">
        <v>3</v>
      </c>
      <c r="BI1283" s="4">
        <v>0</v>
      </c>
      <c r="BJ1283" s="4">
        <v>19</v>
      </c>
      <c r="BK1283" s="4">
        <v>33</v>
      </c>
      <c r="BL1283" s="4">
        <v>0</v>
      </c>
      <c r="BM1283" s="4">
        <v>0</v>
      </c>
      <c r="BN1283" s="4">
        <v>2</v>
      </c>
      <c r="BO1283" s="4">
        <v>0</v>
      </c>
      <c r="BP1283" s="4">
        <v>0</v>
      </c>
      <c r="BQ1283" s="4">
        <v>4</v>
      </c>
      <c r="BR1283" s="4">
        <v>0</v>
      </c>
      <c r="BS1283" s="4">
        <v>15</v>
      </c>
      <c r="BT1283" s="4">
        <v>4</v>
      </c>
      <c r="BU1283" s="4">
        <v>0</v>
      </c>
      <c r="BV1283" s="4">
        <v>2</v>
      </c>
      <c r="BW1283" s="4">
        <v>5</v>
      </c>
      <c r="BX1283" s="4">
        <v>48</v>
      </c>
      <c r="BY1283" s="4">
        <v>0</v>
      </c>
      <c r="BZ1283" s="4">
        <v>0</v>
      </c>
      <c r="CA1283" s="4">
        <v>3</v>
      </c>
      <c r="CB1283" s="4">
        <v>0</v>
      </c>
      <c r="CC1283" s="4">
        <v>0</v>
      </c>
      <c r="CD1283" s="4">
        <v>2</v>
      </c>
      <c r="CE1283" s="4">
        <v>0</v>
      </c>
      <c r="CF1283" s="4">
        <v>7</v>
      </c>
      <c r="CG1283" s="4">
        <v>0</v>
      </c>
      <c r="CH1283" s="4">
        <v>1</v>
      </c>
      <c r="CI1283" s="4">
        <v>0</v>
      </c>
      <c r="CJ1283" s="4">
        <v>2</v>
      </c>
      <c r="CK1283" s="4">
        <v>0</v>
      </c>
      <c r="CL1283" s="4">
        <v>0</v>
      </c>
      <c r="CM1283" s="4">
        <v>2</v>
      </c>
      <c r="CN1283" s="4">
        <v>11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1</v>
      </c>
      <c r="CU1283" s="4">
        <v>0</v>
      </c>
      <c r="CV1283" s="4">
        <v>14</v>
      </c>
      <c r="CW1283" s="4">
        <v>2</v>
      </c>
      <c r="CX1283" s="5">
        <v>2</v>
      </c>
    </row>
    <row r="1284" spans="1:102" ht="15.75" x14ac:dyDescent="0.25">
      <c r="A1284" s="4" t="s">
        <v>303</v>
      </c>
      <c r="B1284" s="4" t="s">
        <v>304</v>
      </c>
      <c r="C1284" s="4">
        <v>2023</v>
      </c>
      <c r="D1284" s="4">
        <v>68</v>
      </c>
      <c r="E1284" s="4">
        <v>2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1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2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2</v>
      </c>
      <c r="AJ1284" s="4">
        <v>13</v>
      </c>
      <c r="AK1284" s="4">
        <v>2</v>
      </c>
      <c r="AL1284" s="4">
        <v>1</v>
      </c>
      <c r="AM1284" s="4">
        <v>0</v>
      </c>
      <c r="AN1284" s="4">
        <v>0</v>
      </c>
      <c r="AO1284" s="4">
        <v>9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1</v>
      </c>
      <c r="AY1284" s="4">
        <v>0</v>
      </c>
      <c r="AZ1284" s="4">
        <v>1</v>
      </c>
      <c r="BA1284" s="4">
        <v>0</v>
      </c>
      <c r="BB1284" s="4">
        <v>0</v>
      </c>
      <c r="BC1284" s="4">
        <v>5</v>
      </c>
      <c r="BD1284" s="4">
        <v>0</v>
      </c>
      <c r="BE1284" s="4">
        <v>0</v>
      </c>
      <c r="BF1284" s="4">
        <v>0</v>
      </c>
      <c r="BG1284" s="4">
        <v>1</v>
      </c>
      <c r="BH1284" s="4">
        <v>0</v>
      </c>
      <c r="BI1284" s="4">
        <v>0</v>
      </c>
      <c r="BJ1284" s="4">
        <v>4</v>
      </c>
      <c r="BK1284" s="4">
        <v>1</v>
      </c>
      <c r="BL1284" s="4">
        <v>0</v>
      </c>
      <c r="BM1284" s="4">
        <v>0</v>
      </c>
      <c r="BN1284" s="4">
        <v>1</v>
      </c>
      <c r="BO1284" s="4">
        <v>0</v>
      </c>
      <c r="BP1284" s="4">
        <v>0</v>
      </c>
      <c r="BQ1284" s="4">
        <v>1</v>
      </c>
      <c r="BR1284" s="4">
        <v>0</v>
      </c>
      <c r="BS1284" s="4">
        <v>1</v>
      </c>
      <c r="BT1284" s="4">
        <v>1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3</v>
      </c>
      <c r="CO1284" s="4">
        <v>0</v>
      </c>
      <c r="CP1284" s="4">
        <v>0</v>
      </c>
      <c r="CQ1284" s="4">
        <v>0</v>
      </c>
      <c r="CR1284" s="4">
        <v>2</v>
      </c>
      <c r="CS1284" s="4">
        <v>0</v>
      </c>
      <c r="CT1284" s="4">
        <v>1</v>
      </c>
      <c r="CU1284" s="4">
        <v>0</v>
      </c>
      <c r="CV1284" s="4">
        <v>8</v>
      </c>
      <c r="CW1284" s="4">
        <v>1</v>
      </c>
      <c r="CX1284" s="5">
        <v>1</v>
      </c>
    </row>
    <row r="1285" spans="1:102" ht="15.75" x14ac:dyDescent="0.25">
      <c r="A1285" s="4" t="s">
        <v>305</v>
      </c>
      <c r="B1285" s="4" t="s">
        <v>306</v>
      </c>
      <c r="C1285" s="4">
        <v>2023</v>
      </c>
      <c r="D1285" s="4">
        <v>372</v>
      </c>
      <c r="E1285" s="4">
        <v>0</v>
      </c>
      <c r="F1285" s="4">
        <v>1</v>
      </c>
      <c r="G1285" s="4">
        <v>1</v>
      </c>
      <c r="H1285" s="4">
        <v>3</v>
      </c>
      <c r="I1285" s="4">
        <v>20</v>
      </c>
      <c r="J1285" s="4">
        <v>8</v>
      </c>
      <c r="K1285" s="4">
        <v>3</v>
      </c>
      <c r="L1285" s="4">
        <v>10</v>
      </c>
      <c r="M1285" s="4">
        <v>17</v>
      </c>
      <c r="N1285" s="4">
        <v>10</v>
      </c>
      <c r="O1285" s="4">
        <v>12</v>
      </c>
      <c r="P1285" s="4">
        <v>0</v>
      </c>
      <c r="Q1285" s="4">
        <v>0</v>
      </c>
      <c r="R1285" s="4">
        <v>0</v>
      </c>
      <c r="S1285" s="4">
        <v>1</v>
      </c>
      <c r="T1285" s="4">
        <v>0</v>
      </c>
      <c r="U1285" s="4">
        <v>0</v>
      </c>
      <c r="V1285" s="4">
        <v>1</v>
      </c>
      <c r="W1285" s="4">
        <v>0</v>
      </c>
      <c r="X1285" s="4">
        <v>0</v>
      </c>
      <c r="Y1285" s="4">
        <v>22</v>
      </c>
      <c r="Z1285" s="4">
        <v>0</v>
      </c>
      <c r="AA1285" s="4">
        <v>3</v>
      </c>
      <c r="AB1285" s="4">
        <v>0</v>
      </c>
      <c r="AC1285" s="4">
        <v>0</v>
      </c>
      <c r="AD1285" s="4">
        <v>0</v>
      </c>
      <c r="AE1285" s="4">
        <v>1</v>
      </c>
      <c r="AF1285" s="4">
        <v>0</v>
      </c>
      <c r="AG1285" s="4">
        <v>2</v>
      </c>
      <c r="AH1285" s="4">
        <v>0</v>
      </c>
      <c r="AI1285" s="4">
        <v>2</v>
      </c>
      <c r="AJ1285" s="4">
        <v>5</v>
      </c>
      <c r="AK1285" s="4">
        <v>11</v>
      </c>
      <c r="AL1285" s="4">
        <v>5</v>
      </c>
      <c r="AM1285" s="4">
        <v>1</v>
      </c>
      <c r="AN1285" s="4">
        <v>4</v>
      </c>
      <c r="AO1285" s="4">
        <v>4</v>
      </c>
      <c r="AP1285" s="4">
        <v>0</v>
      </c>
      <c r="AQ1285" s="4">
        <v>1</v>
      </c>
      <c r="AR1285" s="4">
        <v>1</v>
      </c>
      <c r="AS1285" s="4">
        <v>9</v>
      </c>
      <c r="AT1285" s="4">
        <v>4</v>
      </c>
      <c r="AU1285" s="4">
        <v>5</v>
      </c>
      <c r="AV1285" s="4">
        <v>1</v>
      </c>
      <c r="AW1285" s="4">
        <v>1</v>
      </c>
      <c r="AX1285" s="4">
        <v>14</v>
      </c>
      <c r="AY1285" s="4">
        <v>0</v>
      </c>
      <c r="AZ1285" s="4">
        <v>1</v>
      </c>
      <c r="BA1285" s="4">
        <v>0</v>
      </c>
      <c r="BB1285" s="4">
        <v>31</v>
      </c>
      <c r="BC1285" s="4">
        <v>0</v>
      </c>
      <c r="BD1285" s="4">
        <v>0</v>
      </c>
      <c r="BE1285" s="4">
        <v>4</v>
      </c>
      <c r="BF1285" s="4">
        <v>16</v>
      </c>
      <c r="BG1285" s="4">
        <v>0</v>
      </c>
      <c r="BH1285" s="4">
        <v>0</v>
      </c>
      <c r="BI1285" s="4">
        <v>0</v>
      </c>
      <c r="BJ1285" s="4">
        <v>3</v>
      </c>
      <c r="BK1285" s="4">
        <v>8</v>
      </c>
      <c r="BL1285" s="4">
        <v>0</v>
      </c>
      <c r="BM1285" s="4">
        <v>0</v>
      </c>
      <c r="BN1285" s="4">
        <v>3</v>
      </c>
      <c r="BO1285" s="4">
        <v>0</v>
      </c>
      <c r="BP1285" s="4">
        <v>1</v>
      </c>
      <c r="BQ1285" s="4">
        <v>8</v>
      </c>
      <c r="BR1285" s="4">
        <v>2</v>
      </c>
      <c r="BS1285" s="4">
        <v>10</v>
      </c>
      <c r="BT1285" s="4">
        <v>3</v>
      </c>
      <c r="BU1285" s="4">
        <v>0</v>
      </c>
      <c r="BV1285" s="4">
        <v>6</v>
      </c>
      <c r="BW1285" s="4">
        <v>7</v>
      </c>
      <c r="BX1285" s="4">
        <v>27</v>
      </c>
      <c r="BY1285" s="4">
        <v>0</v>
      </c>
      <c r="BZ1285" s="4">
        <v>0</v>
      </c>
      <c r="CA1285" s="4">
        <v>3</v>
      </c>
      <c r="CB1285" s="4">
        <v>1</v>
      </c>
      <c r="CC1285" s="4">
        <v>0</v>
      </c>
      <c r="CD1285" s="4">
        <v>2</v>
      </c>
      <c r="CE1285" s="4">
        <v>0</v>
      </c>
      <c r="CF1285" s="4">
        <v>2</v>
      </c>
      <c r="CG1285" s="4">
        <v>0</v>
      </c>
      <c r="CH1285" s="4">
        <v>2</v>
      </c>
      <c r="CI1285" s="4">
        <v>1</v>
      </c>
      <c r="CJ1285" s="4">
        <v>13</v>
      </c>
      <c r="CK1285" s="4">
        <v>2</v>
      </c>
      <c r="CL1285" s="4">
        <v>0</v>
      </c>
      <c r="CM1285" s="4">
        <v>0</v>
      </c>
      <c r="CN1285" s="4">
        <v>4</v>
      </c>
      <c r="CO1285" s="4">
        <v>1</v>
      </c>
      <c r="CP1285" s="4">
        <v>0</v>
      </c>
      <c r="CQ1285" s="4">
        <v>0</v>
      </c>
      <c r="CR1285" s="4">
        <v>0</v>
      </c>
      <c r="CS1285" s="4">
        <v>0</v>
      </c>
      <c r="CT1285" s="4">
        <v>7</v>
      </c>
      <c r="CU1285" s="4">
        <v>1</v>
      </c>
      <c r="CV1285" s="4">
        <v>13</v>
      </c>
      <c r="CW1285" s="4">
        <v>4</v>
      </c>
      <c r="CX1285" s="5">
        <v>4</v>
      </c>
    </row>
    <row r="1286" spans="1:102" ht="15.75" x14ac:dyDescent="0.25">
      <c r="A1286" s="4" t="s">
        <v>307</v>
      </c>
      <c r="B1286" s="4" t="s">
        <v>308</v>
      </c>
      <c r="C1286" s="4">
        <v>2023</v>
      </c>
      <c r="D1286" s="4">
        <v>10385</v>
      </c>
      <c r="E1286" s="4">
        <v>4</v>
      </c>
      <c r="F1286" s="4">
        <v>47</v>
      </c>
      <c r="G1286" s="4">
        <v>56</v>
      </c>
      <c r="H1286" s="4">
        <v>49</v>
      </c>
      <c r="I1286" s="4">
        <v>49</v>
      </c>
      <c r="J1286" s="4">
        <v>29</v>
      </c>
      <c r="K1286" s="4">
        <v>7</v>
      </c>
      <c r="L1286" s="4">
        <v>18</v>
      </c>
      <c r="M1286" s="4">
        <v>23</v>
      </c>
      <c r="N1286" s="4">
        <v>24</v>
      </c>
      <c r="O1286" s="4">
        <v>240</v>
      </c>
      <c r="P1286" s="4">
        <v>27</v>
      </c>
      <c r="Q1286" s="4">
        <v>1</v>
      </c>
      <c r="R1286" s="4">
        <v>14</v>
      </c>
      <c r="S1286" s="4">
        <v>1</v>
      </c>
      <c r="T1286" s="4">
        <v>0</v>
      </c>
      <c r="U1286" s="4">
        <v>29</v>
      </c>
      <c r="V1286" s="4">
        <v>25</v>
      </c>
      <c r="W1286" s="4">
        <v>211</v>
      </c>
      <c r="X1286" s="4">
        <v>9</v>
      </c>
      <c r="Y1286" s="4">
        <v>0</v>
      </c>
      <c r="Z1286" s="4">
        <v>526</v>
      </c>
      <c r="AA1286" s="4">
        <v>66</v>
      </c>
      <c r="AB1286" s="4">
        <v>0</v>
      </c>
      <c r="AC1286" s="4">
        <v>0</v>
      </c>
      <c r="AD1286" s="4">
        <v>1</v>
      </c>
      <c r="AE1286" s="4">
        <v>1</v>
      </c>
      <c r="AF1286" s="4">
        <v>1</v>
      </c>
      <c r="AG1286" s="4">
        <v>116</v>
      </c>
      <c r="AH1286" s="4">
        <v>32</v>
      </c>
      <c r="AI1286" s="4">
        <v>142</v>
      </c>
      <c r="AJ1286" s="4">
        <v>236</v>
      </c>
      <c r="AK1286" s="4">
        <v>140</v>
      </c>
      <c r="AL1286" s="4">
        <v>2</v>
      </c>
      <c r="AM1286" s="4">
        <v>153</v>
      </c>
      <c r="AN1286" s="4">
        <v>123</v>
      </c>
      <c r="AO1286" s="4">
        <v>181</v>
      </c>
      <c r="AP1286" s="4">
        <v>20</v>
      </c>
      <c r="AQ1286" s="4">
        <v>68</v>
      </c>
      <c r="AR1286" s="4">
        <v>17</v>
      </c>
      <c r="AS1286" s="4">
        <v>55</v>
      </c>
      <c r="AT1286" s="4">
        <v>135</v>
      </c>
      <c r="AU1286" s="4">
        <v>122</v>
      </c>
      <c r="AV1286" s="4">
        <v>213</v>
      </c>
      <c r="AW1286" s="4">
        <v>389</v>
      </c>
      <c r="AX1286" s="4">
        <v>292</v>
      </c>
      <c r="AY1286" s="4">
        <v>2</v>
      </c>
      <c r="AZ1286" s="4">
        <v>67</v>
      </c>
      <c r="BA1286" s="4">
        <v>0</v>
      </c>
      <c r="BB1286" s="4">
        <v>665</v>
      </c>
      <c r="BC1286" s="4">
        <v>107</v>
      </c>
      <c r="BD1286" s="4">
        <v>6</v>
      </c>
      <c r="BE1286" s="4">
        <v>48</v>
      </c>
      <c r="BF1286" s="4">
        <v>186</v>
      </c>
      <c r="BG1286" s="4">
        <v>13</v>
      </c>
      <c r="BH1286" s="4">
        <v>18</v>
      </c>
      <c r="BI1286" s="4">
        <v>1</v>
      </c>
      <c r="BJ1286" s="4">
        <v>346</v>
      </c>
      <c r="BK1286" s="4">
        <v>314</v>
      </c>
      <c r="BL1286" s="4">
        <v>0</v>
      </c>
      <c r="BM1286" s="4">
        <v>31</v>
      </c>
      <c r="BN1286" s="4">
        <v>91</v>
      </c>
      <c r="BO1286" s="4">
        <v>1</v>
      </c>
      <c r="BP1286" s="4">
        <v>35</v>
      </c>
      <c r="BQ1286" s="4">
        <v>163</v>
      </c>
      <c r="BR1286" s="4">
        <v>18</v>
      </c>
      <c r="BS1286" s="4">
        <v>304</v>
      </c>
      <c r="BT1286" s="4">
        <v>160</v>
      </c>
      <c r="BU1286" s="4">
        <v>2</v>
      </c>
      <c r="BV1286" s="4">
        <v>173</v>
      </c>
      <c r="BW1286" s="4">
        <v>150</v>
      </c>
      <c r="BX1286" s="4">
        <v>1685</v>
      </c>
      <c r="BY1286" s="4">
        <v>8</v>
      </c>
      <c r="BZ1286" s="4">
        <v>5</v>
      </c>
      <c r="CA1286" s="4">
        <v>303</v>
      </c>
      <c r="CB1286" s="4">
        <v>122</v>
      </c>
      <c r="CC1286" s="4">
        <v>1</v>
      </c>
      <c r="CD1286" s="4">
        <v>17</v>
      </c>
      <c r="CE1286" s="4">
        <v>1</v>
      </c>
      <c r="CF1286" s="4">
        <v>16</v>
      </c>
      <c r="CG1286" s="4">
        <v>20</v>
      </c>
      <c r="CH1286" s="4">
        <v>10</v>
      </c>
      <c r="CI1286" s="4">
        <v>38</v>
      </c>
      <c r="CJ1286" s="4">
        <v>309</v>
      </c>
      <c r="CK1286" s="4">
        <v>66</v>
      </c>
      <c r="CL1286" s="4">
        <v>0</v>
      </c>
      <c r="CM1286" s="4">
        <v>66</v>
      </c>
      <c r="CN1286" s="4">
        <v>314</v>
      </c>
      <c r="CO1286" s="4">
        <v>34</v>
      </c>
      <c r="CP1286" s="4">
        <v>23</v>
      </c>
      <c r="CQ1286" s="4">
        <v>0</v>
      </c>
      <c r="CR1286" s="4">
        <v>86</v>
      </c>
      <c r="CS1286" s="4">
        <v>51</v>
      </c>
      <c r="CT1286" s="4">
        <v>125</v>
      </c>
      <c r="CU1286" s="4">
        <v>8</v>
      </c>
      <c r="CV1286" s="4">
        <v>131</v>
      </c>
      <c r="CW1286" s="4">
        <v>147</v>
      </c>
      <c r="CX1286" s="5">
        <v>145</v>
      </c>
    </row>
    <row r="1287" spans="1:102" ht="15.75" x14ac:dyDescent="0.25">
      <c r="A1287" s="4" t="s">
        <v>309</v>
      </c>
      <c r="B1287" s="4" t="s">
        <v>310</v>
      </c>
      <c r="C1287" s="4">
        <v>2023</v>
      </c>
      <c r="D1287" s="4">
        <v>175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39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77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2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1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5</v>
      </c>
      <c r="BO1287" s="4">
        <v>0</v>
      </c>
      <c r="BP1287" s="4">
        <v>0</v>
      </c>
      <c r="BQ1287" s="4">
        <v>8</v>
      </c>
      <c r="BR1287" s="4">
        <v>0</v>
      </c>
      <c r="BS1287" s="4">
        <v>1</v>
      </c>
      <c r="BT1287" s="4">
        <v>0</v>
      </c>
      <c r="BU1287" s="4">
        <v>0</v>
      </c>
      <c r="BV1287" s="4">
        <v>0</v>
      </c>
      <c r="BW1287" s="4">
        <v>1</v>
      </c>
      <c r="BX1287" s="4">
        <v>6</v>
      </c>
      <c r="BY1287" s="4">
        <v>0</v>
      </c>
      <c r="BZ1287" s="4">
        <v>0</v>
      </c>
      <c r="CA1287" s="4">
        <v>0</v>
      </c>
      <c r="CB1287" s="4">
        <v>2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1</v>
      </c>
      <c r="CK1287" s="4">
        <v>0</v>
      </c>
      <c r="CL1287" s="4">
        <v>0</v>
      </c>
      <c r="CM1287" s="4">
        <v>0</v>
      </c>
      <c r="CN1287" s="4">
        <v>1</v>
      </c>
      <c r="CO1287" s="4">
        <v>7</v>
      </c>
      <c r="CP1287" s="4">
        <v>0</v>
      </c>
      <c r="CQ1287" s="4">
        <v>0</v>
      </c>
      <c r="CR1287" s="4">
        <v>16</v>
      </c>
      <c r="CS1287" s="4">
        <v>1</v>
      </c>
      <c r="CT1287" s="4">
        <v>0</v>
      </c>
      <c r="CU1287" s="4">
        <v>0</v>
      </c>
      <c r="CV1287" s="4">
        <v>1</v>
      </c>
      <c r="CW1287" s="4">
        <v>0</v>
      </c>
      <c r="CX1287" s="5">
        <v>0</v>
      </c>
    </row>
    <row r="1288" spans="1:102" ht="15.75" x14ac:dyDescent="0.25">
      <c r="A1288" s="4" t="s">
        <v>311</v>
      </c>
      <c r="B1288" s="4" t="s">
        <v>312</v>
      </c>
      <c r="C1288" s="4">
        <v>2023</v>
      </c>
      <c r="D1288" s="4">
        <v>72</v>
      </c>
      <c r="E1288" s="4">
        <v>0</v>
      </c>
      <c r="F1288" s="4">
        <v>0</v>
      </c>
      <c r="G1288" s="4">
        <v>1</v>
      </c>
      <c r="H1288" s="4">
        <v>0</v>
      </c>
      <c r="I1288" s="4">
        <v>1</v>
      </c>
      <c r="J1288" s="4">
        <v>0</v>
      </c>
      <c r="K1288" s="4">
        <v>1</v>
      </c>
      <c r="L1288" s="4">
        <v>1</v>
      </c>
      <c r="M1288" s="4">
        <v>2</v>
      </c>
      <c r="N1288" s="4">
        <v>1</v>
      </c>
      <c r="O1288" s="4">
        <v>1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3</v>
      </c>
      <c r="AK1288" s="4">
        <v>3</v>
      </c>
      <c r="AL1288" s="4">
        <v>0</v>
      </c>
      <c r="AM1288" s="4">
        <v>2</v>
      </c>
      <c r="AN1288" s="4">
        <v>0</v>
      </c>
      <c r="AO1288" s="4">
        <v>1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2</v>
      </c>
      <c r="AY1288" s="4">
        <v>0</v>
      </c>
      <c r="AZ1288" s="4">
        <v>1</v>
      </c>
      <c r="BA1288" s="4">
        <v>0</v>
      </c>
      <c r="BB1288" s="4">
        <v>1</v>
      </c>
      <c r="BC1288" s="4">
        <v>0</v>
      </c>
      <c r="BD1288" s="4">
        <v>0</v>
      </c>
      <c r="BE1288" s="4">
        <v>1</v>
      </c>
      <c r="BF1288" s="4">
        <v>4</v>
      </c>
      <c r="BG1288" s="4">
        <v>0</v>
      </c>
      <c r="BH1288" s="4">
        <v>0</v>
      </c>
      <c r="BI1288" s="4">
        <v>0</v>
      </c>
      <c r="BJ1288" s="4">
        <v>2</v>
      </c>
      <c r="BK1288" s="4">
        <v>2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1</v>
      </c>
      <c r="BS1288" s="4">
        <v>1</v>
      </c>
      <c r="BT1288" s="4">
        <v>0</v>
      </c>
      <c r="BU1288" s="4">
        <v>0</v>
      </c>
      <c r="BV1288" s="4">
        <v>1</v>
      </c>
      <c r="BW1288" s="4">
        <v>2</v>
      </c>
      <c r="BX1288" s="4">
        <v>15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1</v>
      </c>
      <c r="CO1288" s="4">
        <v>0</v>
      </c>
      <c r="CP1288" s="4">
        <v>1</v>
      </c>
      <c r="CQ1288" s="4">
        <v>0</v>
      </c>
      <c r="CR1288" s="4">
        <v>0</v>
      </c>
      <c r="CS1288" s="4">
        <v>0</v>
      </c>
      <c r="CT1288" s="4">
        <v>14</v>
      </c>
      <c r="CU1288" s="4">
        <v>0</v>
      </c>
      <c r="CV1288" s="4">
        <v>3</v>
      </c>
      <c r="CW1288" s="4">
        <v>1</v>
      </c>
      <c r="CX1288" s="5">
        <v>1</v>
      </c>
    </row>
    <row r="1289" spans="1:102" ht="15.75" x14ac:dyDescent="0.25">
      <c r="A1289" s="4" t="s">
        <v>313</v>
      </c>
      <c r="B1289" s="4" t="s">
        <v>314</v>
      </c>
      <c r="C1289" s="4">
        <v>2023</v>
      </c>
      <c r="D1289" s="4">
        <v>419</v>
      </c>
      <c r="E1289" s="4">
        <v>2</v>
      </c>
      <c r="F1289" s="4">
        <v>0</v>
      </c>
      <c r="G1289" s="4">
        <v>5</v>
      </c>
      <c r="H1289" s="4">
        <v>0</v>
      </c>
      <c r="I1289" s="4">
        <v>4</v>
      </c>
      <c r="J1289" s="4">
        <v>1</v>
      </c>
      <c r="K1289" s="4">
        <v>1</v>
      </c>
      <c r="L1289" s="4">
        <v>18</v>
      </c>
      <c r="M1289" s="4">
        <v>1</v>
      </c>
      <c r="N1289" s="4">
        <v>10</v>
      </c>
      <c r="O1289" s="4">
        <v>5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4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</v>
      </c>
      <c r="AH1289" s="4">
        <v>0</v>
      </c>
      <c r="AI1289" s="4">
        <v>5</v>
      </c>
      <c r="AJ1289" s="4">
        <v>15</v>
      </c>
      <c r="AK1289" s="4">
        <v>6</v>
      </c>
      <c r="AL1289" s="4">
        <v>0</v>
      </c>
      <c r="AM1289" s="4">
        <v>3</v>
      </c>
      <c r="AN1289" s="4">
        <v>2</v>
      </c>
      <c r="AO1289" s="4">
        <v>3</v>
      </c>
      <c r="AP1289" s="4">
        <v>0</v>
      </c>
      <c r="AQ1289" s="4">
        <v>1</v>
      </c>
      <c r="AR1289" s="4">
        <v>0</v>
      </c>
      <c r="AS1289" s="4">
        <v>2</v>
      </c>
      <c r="AT1289" s="4">
        <v>2</v>
      </c>
      <c r="AU1289" s="4">
        <v>1</v>
      </c>
      <c r="AV1289" s="4">
        <v>1</v>
      </c>
      <c r="AW1289" s="4">
        <v>2</v>
      </c>
      <c r="AX1289" s="4">
        <v>3</v>
      </c>
      <c r="AY1289" s="4">
        <v>0</v>
      </c>
      <c r="AZ1289" s="4">
        <v>1</v>
      </c>
      <c r="BA1289" s="4">
        <v>0</v>
      </c>
      <c r="BB1289" s="4">
        <v>118</v>
      </c>
      <c r="BC1289" s="4">
        <v>1</v>
      </c>
      <c r="BD1289" s="4">
        <v>0</v>
      </c>
      <c r="BE1289" s="4">
        <v>3</v>
      </c>
      <c r="BF1289" s="4">
        <v>5</v>
      </c>
      <c r="BG1289" s="4">
        <v>0</v>
      </c>
      <c r="BH1289" s="4">
        <v>0</v>
      </c>
      <c r="BI1289" s="4">
        <v>0</v>
      </c>
      <c r="BJ1289" s="4">
        <v>7</v>
      </c>
      <c r="BK1289" s="4">
        <v>26</v>
      </c>
      <c r="BL1289" s="4">
        <v>0</v>
      </c>
      <c r="BM1289" s="4">
        <v>1</v>
      </c>
      <c r="BN1289" s="4">
        <v>4</v>
      </c>
      <c r="BO1289" s="4">
        <v>0</v>
      </c>
      <c r="BP1289" s="4">
        <v>1</v>
      </c>
      <c r="BQ1289" s="4">
        <v>8</v>
      </c>
      <c r="BR1289" s="4">
        <v>1</v>
      </c>
      <c r="BS1289" s="4">
        <v>17</v>
      </c>
      <c r="BT1289" s="4">
        <v>5</v>
      </c>
      <c r="BU1289" s="4">
        <v>0</v>
      </c>
      <c r="BV1289" s="4">
        <v>2</v>
      </c>
      <c r="BW1289" s="4">
        <v>23</v>
      </c>
      <c r="BX1289" s="4">
        <v>21</v>
      </c>
      <c r="BY1289" s="4">
        <v>0</v>
      </c>
      <c r="BZ1289" s="4">
        <v>0</v>
      </c>
      <c r="CA1289" s="4">
        <v>14</v>
      </c>
      <c r="CB1289" s="4">
        <v>13</v>
      </c>
      <c r="CC1289" s="4">
        <v>0</v>
      </c>
      <c r="CD1289" s="4">
        <v>1</v>
      </c>
      <c r="CE1289" s="4">
        <v>0</v>
      </c>
      <c r="CF1289" s="4">
        <v>2</v>
      </c>
      <c r="CG1289" s="4">
        <v>0</v>
      </c>
      <c r="CH1289" s="4">
        <v>4</v>
      </c>
      <c r="CI1289" s="4">
        <v>0</v>
      </c>
      <c r="CJ1289" s="4">
        <v>1</v>
      </c>
      <c r="CK1289" s="4">
        <v>0</v>
      </c>
      <c r="CL1289" s="4">
        <v>0</v>
      </c>
      <c r="CM1289" s="4">
        <v>1</v>
      </c>
      <c r="CN1289" s="4">
        <v>9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10</v>
      </c>
      <c r="CU1289" s="4">
        <v>1</v>
      </c>
      <c r="CV1289" s="4">
        <v>13</v>
      </c>
      <c r="CW1289" s="4">
        <v>1</v>
      </c>
      <c r="CX1289" s="5">
        <v>1</v>
      </c>
    </row>
    <row r="1290" spans="1:102" ht="15.75" x14ac:dyDescent="0.25">
      <c r="A1290" s="4" t="s">
        <v>315</v>
      </c>
      <c r="B1290" s="4" t="s">
        <v>316</v>
      </c>
      <c r="C1290" s="4">
        <v>2023</v>
      </c>
      <c r="D1290" s="4">
        <v>6572</v>
      </c>
      <c r="E1290" s="4">
        <v>25</v>
      </c>
      <c r="F1290" s="4">
        <v>13</v>
      </c>
      <c r="G1290" s="4">
        <v>3</v>
      </c>
      <c r="H1290" s="4">
        <v>29</v>
      </c>
      <c r="I1290" s="4">
        <v>75</v>
      </c>
      <c r="J1290" s="4">
        <v>5</v>
      </c>
      <c r="K1290" s="4">
        <v>1</v>
      </c>
      <c r="L1290" s="4">
        <v>17</v>
      </c>
      <c r="M1290" s="4">
        <v>21</v>
      </c>
      <c r="N1290" s="4">
        <v>13</v>
      </c>
      <c r="O1290" s="4">
        <v>243</v>
      </c>
      <c r="P1290" s="4">
        <v>0</v>
      </c>
      <c r="Q1290" s="4">
        <v>0</v>
      </c>
      <c r="R1290" s="4">
        <v>2</v>
      </c>
      <c r="S1290" s="4">
        <v>1</v>
      </c>
      <c r="T1290" s="4">
        <v>0</v>
      </c>
      <c r="U1290" s="4">
        <v>5</v>
      </c>
      <c r="V1290" s="4">
        <v>6</v>
      </c>
      <c r="W1290" s="4">
        <v>107</v>
      </c>
      <c r="X1290" s="4">
        <v>3</v>
      </c>
      <c r="Y1290" s="4">
        <v>0</v>
      </c>
      <c r="Z1290" s="4">
        <v>0</v>
      </c>
      <c r="AA1290" s="4">
        <v>8</v>
      </c>
      <c r="AB1290" s="4">
        <v>0</v>
      </c>
      <c r="AC1290" s="4">
        <v>0</v>
      </c>
      <c r="AD1290" s="4">
        <v>3</v>
      </c>
      <c r="AE1290" s="4">
        <v>0</v>
      </c>
      <c r="AF1290" s="4">
        <v>0</v>
      </c>
      <c r="AG1290" s="4">
        <v>46</v>
      </c>
      <c r="AH1290" s="4">
        <v>17</v>
      </c>
      <c r="AI1290" s="4">
        <v>23</v>
      </c>
      <c r="AJ1290" s="4">
        <v>576</v>
      </c>
      <c r="AK1290" s="4">
        <v>54</v>
      </c>
      <c r="AL1290" s="4">
        <v>0</v>
      </c>
      <c r="AM1290" s="4">
        <v>34</v>
      </c>
      <c r="AN1290" s="4">
        <v>18</v>
      </c>
      <c r="AO1290" s="4">
        <v>307</v>
      </c>
      <c r="AP1290" s="4">
        <v>3</v>
      </c>
      <c r="AQ1290" s="4">
        <v>11</v>
      </c>
      <c r="AR1290" s="4">
        <v>4</v>
      </c>
      <c r="AS1290" s="4">
        <v>19</v>
      </c>
      <c r="AT1290" s="4">
        <v>36</v>
      </c>
      <c r="AU1290" s="4">
        <v>45</v>
      </c>
      <c r="AV1290" s="4">
        <v>20</v>
      </c>
      <c r="AW1290" s="4">
        <v>438</v>
      </c>
      <c r="AX1290" s="4">
        <v>98</v>
      </c>
      <c r="AY1290" s="4">
        <v>0</v>
      </c>
      <c r="AZ1290" s="4">
        <v>21</v>
      </c>
      <c r="BA1290" s="4">
        <v>0</v>
      </c>
      <c r="BB1290" s="4">
        <v>828</v>
      </c>
      <c r="BC1290" s="4">
        <v>114</v>
      </c>
      <c r="BD1290" s="4">
        <v>3</v>
      </c>
      <c r="BE1290" s="4">
        <v>29</v>
      </c>
      <c r="BF1290" s="4">
        <v>152</v>
      </c>
      <c r="BG1290" s="4">
        <v>7</v>
      </c>
      <c r="BH1290" s="4">
        <v>4</v>
      </c>
      <c r="BI1290" s="4">
        <v>0</v>
      </c>
      <c r="BJ1290" s="4">
        <v>103</v>
      </c>
      <c r="BK1290" s="4">
        <v>110</v>
      </c>
      <c r="BL1290" s="4">
        <v>0</v>
      </c>
      <c r="BM1290" s="4">
        <v>6</v>
      </c>
      <c r="BN1290" s="4">
        <v>46</v>
      </c>
      <c r="BO1290" s="4">
        <v>1</v>
      </c>
      <c r="BP1290" s="4">
        <v>9</v>
      </c>
      <c r="BQ1290" s="4">
        <v>58</v>
      </c>
      <c r="BR1290" s="4">
        <v>3</v>
      </c>
      <c r="BS1290" s="4">
        <v>295</v>
      </c>
      <c r="BT1290" s="4">
        <v>205</v>
      </c>
      <c r="BU1290" s="4">
        <v>5</v>
      </c>
      <c r="BV1290" s="4">
        <v>48</v>
      </c>
      <c r="BW1290" s="4">
        <v>29</v>
      </c>
      <c r="BX1290" s="4">
        <v>1017</v>
      </c>
      <c r="BY1290" s="4">
        <v>1</v>
      </c>
      <c r="BZ1290" s="4">
        <v>0</v>
      </c>
      <c r="CA1290" s="4">
        <v>112</v>
      </c>
      <c r="CB1290" s="4">
        <v>279</v>
      </c>
      <c r="CC1290" s="4">
        <v>0</v>
      </c>
      <c r="CD1290" s="4">
        <v>3</v>
      </c>
      <c r="CE1290" s="4">
        <v>0</v>
      </c>
      <c r="CF1290" s="4">
        <v>54</v>
      </c>
      <c r="CG1290" s="4">
        <v>3</v>
      </c>
      <c r="CH1290" s="4">
        <v>2</v>
      </c>
      <c r="CI1290" s="4">
        <v>17</v>
      </c>
      <c r="CJ1290" s="4">
        <v>75</v>
      </c>
      <c r="CK1290" s="4">
        <v>17</v>
      </c>
      <c r="CL1290" s="4">
        <v>0</v>
      </c>
      <c r="CM1290" s="4">
        <v>59</v>
      </c>
      <c r="CN1290" s="4">
        <v>259</v>
      </c>
      <c r="CO1290" s="4">
        <v>53</v>
      </c>
      <c r="CP1290" s="4">
        <v>10</v>
      </c>
      <c r="CQ1290" s="4">
        <v>0</v>
      </c>
      <c r="CR1290" s="4">
        <v>32</v>
      </c>
      <c r="CS1290" s="4">
        <v>22</v>
      </c>
      <c r="CT1290" s="4">
        <v>19</v>
      </c>
      <c r="CU1290" s="4">
        <v>12</v>
      </c>
      <c r="CV1290" s="4">
        <v>84</v>
      </c>
      <c r="CW1290" s="4">
        <v>35</v>
      </c>
      <c r="CX1290" s="5">
        <v>32</v>
      </c>
    </row>
    <row r="1291" spans="1:102" ht="15.75" x14ac:dyDescent="0.25">
      <c r="A1291" s="4" t="s">
        <v>317</v>
      </c>
      <c r="B1291" s="4" t="s">
        <v>318</v>
      </c>
      <c r="C1291" s="4">
        <v>2023</v>
      </c>
      <c r="D1291" s="4">
        <v>262</v>
      </c>
      <c r="E1291" s="4">
        <v>0</v>
      </c>
      <c r="F1291" s="4">
        <v>0</v>
      </c>
      <c r="G1291" s="4">
        <v>0</v>
      </c>
      <c r="H1291" s="4">
        <v>0</v>
      </c>
      <c r="I1291" s="4">
        <v>2</v>
      </c>
      <c r="J1291" s="4">
        <v>2</v>
      </c>
      <c r="K1291" s="4">
        <v>3</v>
      </c>
      <c r="L1291" s="4">
        <v>3</v>
      </c>
      <c r="M1291" s="4">
        <v>2</v>
      </c>
      <c r="N1291" s="4">
        <v>5</v>
      </c>
      <c r="O1291" s="4">
        <v>15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8</v>
      </c>
      <c r="V1291" s="4">
        <v>0</v>
      </c>
      <c r="W1291" s="4">
        <v>19</v>
      </c>
      <c r="X1291" s="4">
        <v>1</v>
      </c>
      <c r="Y1291" s="4">
        <v>0</v>
      </c>
      <c r="Z1291" s="4">
        <v>0</v>
      </c>
      <c r="AA1291" s="4">
        <v>9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</v>
      </c>
      <c r="AH1291" s="4">
        <v>1</v>
      </c>
      <c r="AI1291" s="4">
        <v>2</v>
      </c>
      <c r="AJ1291" s="4">
        <v>16</v>
      </c>
      <c r="AK1291" s="4">
        <v>4</v>
      </c>
      <c r="AL1291" s="4">
        <v>1</v>
      </c>
      <c r="AM1291" s="4">
        <v>1</v>
      </c>
      <c r="AN1291" s="4">
        <v>2</v>
      </c>
      <c r="AO1291" s="4">
        <v>6</v>
      </c>
      <c r="AP1291" s="4">
        <v>0</v>
      </c>
      <c r="AQ1291" s="4">
        <v>3</v>
      </c>
      <c r="AR1291" s="4">
        <v>0</v>
      </c>
      <c r="AS1291" s="4">
        <v>3</v>
      </c>
      <c r="AT1291" s="4">
        <v>1</v>
      </c>
      <c r="AU1291" s="4">
        <v>1</v>
      </c>
      <c r="AV1291" s="4">
        <v>1</v>
      </c>
      <c r="AW1291" s="4">
        <v>2</v>
      </c>
      <c r="AX1291" s="4">
        <v>4</v>
      </c>
      <c r="AY1291" s="4">
        <v>0</v>
      </c>
      <c r="AZ1291" s="4">
        <v>1</v>
      </c>
      <c r="BA1291" s="4">
        <v>0</v>
      </c>
      <c r="BB1291" s="4">
        <v>21</v>
      </c>
      <c r="BC1291" s="4">
        <v>0</v>
      </c>
      <c r="BD1291" s="4">
        <v>0</v>
      </c>
      <c r="BE1291" s="4">
        <v>2</v>
      </c>
      <c r="BF1291" s="4">
        <v>7</v>
      </c>
      <c r="BG1291" s="4">
        <v>0</v>
      </c>
      <c r="BH1291" s="4">
        <v>0</v>
      </c>
      <c r="BI1291" s="4">
        <v>1</v>
      </c>
      <c r="BJ1291" s="4">
        <v>4</v>
      </c>
      <c r="BK1291" s="4">
        <v>7</v>
      </c>
      <c r="BL1291" s="4">
        <v>0</v>
      </c>
      <c r="BM1291" s="4">
        <v>1</v>
      </c>
      <c r="BN1291" s="4">
        <v>5</v>
      </c>
      <c r="BO1291" s="4">
        <v>0</v>
      </c>
      <c r="BP1291" s="4">
        <v>1</v>
      </c>
      <c r="BQ1291" s="4">
        <v>8</v>
      </c>
      <c r="BR1291" s="4">
        <v>1</v>
      </c>
      <c r="BS1291" s="4">
        <v>3</v>
      </c>
      <c r="BT1291" s="4">
        <v>2</v>
      </c>
      <c r="BU1291" s="4">
        <v>1</v>
      </c>
      <c r="BV1291" s="4">
        <v>3</v>
      </c>
      <c r="BW1291" s="4">
        <v>20</v>
      </c>
      <c r="BX1291" s="4">
        <v>32</v>
      </c>
      <c r="BY1291" s="4">
        <v>0</v>
      </c>
      <c r="BZ1291" s="4">
        <v>0</v>
      </c>
      <c r="CA1291" s="4">
        <v>1</v>
      </c>
      <c r="CB1291" s="4">
        <v>0</v>
      </c>
      <c r="CC1291" s="4">
        <v>0</v>
      </c>
      <c r="CD1291" s="4">
        <v>1</v>
      </c>
      <c r="CE1291" s="4">
        <v>0</v>
      </c>
      <c r="CF1291" s="4">
        <v>2</v>
      </c>
      <c r="CG1291" s="4">
        <v>0</v>
      </c>
      <c r="CH1291" s="4">
        <v>1</v>
      </c>
      <c r="CI1291" s="4">
        <v>0</v>
      </c>
      <c r="CJ1291" s="4">
        <v>1</v>
      </c>
      <c r="CK1291" s="4">
        <v>1</v>
      </c>
      <c r="CL1291" s="4">
        <v>0</v>
      </c>
      <c r="CM1291" s="4">
        <v>0</v>
      </c>
      <c r="CN1291" s="4">
        <v>5</v>
      </c>
      <c r="CO1291" s="4">
        <v>0</v>
      </c>
      <c r="CP1291" s="4">
        <v>1</v>
      </c>
      <c r="CQ1291" s="4">
        <v>0</v>
      </c>
      <c r="CR1291" s="4">
        <v>0</v>
      </c>
      <c r="CS1291" s="4">
        <v>0</v>
      </c>
      <c r="CT1291" s="4">
        <v>3</v>
      </c>
      <c r="CU1291" s="4">
        <v>1</v>
      </c>
      <c r="CV1291" s="4">
        <v>8</v>
      </c>
      <c r="CW1291" s="4">
        <v>1</v>
      </c>
      <c r="CX1291" s="5">
        <v>1</v>
      </c>
    </row>
    <row r="1292" spans="1:102" ht="15.75" x14ac:dyDescent="0.25">
      <c r="A1292" s="4" t="s">
        <v>319</v>
      </c>
      <c r="B1292" s="4" t="s">
        <v>320</v>
      </c>
      <c r="C1292" s="4">
        <v>2023</v>
      </c>
      <c r="D1292" s="4">
        <v>52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1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1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2</v>
      </c>
      <c r="AH1292" s="4">
        <v>0</v>
      </c>
      <c r="AI1292" s="4">
        <v>0</v>
      </c>
      <c r="AJ1292" s="4">
        <v>0</v>
      </c>
      <c r="AK1292" s="4">
        <v>1</v>
      </c>
      <c r="AL1292" s="4">
        <v>0</v>
      </c>
      <c r="AM1292" s="4">
        <v>0</v>
      </c>
      <c r="AN1292" s="4">
        <v>0</v>
      </c>
      <c r="AO1292" s="4">
        <v>1</v>
      </c>
      <c r="AP1292" s="4">
        <v>0</v>
      </c>
      <c r="AQ1292" s="4">
        <v>1</v>
      </c>
      <c r="AR1292" s="4">
        <v>0</v>
      </c>
      <c r="AS1292" s="4">
        <v>0</v>
      </c>
      <c r="AT1292" s="4">
        <v>0</v>
      </c>
      <c r="AU1292" s="4">
        <v>1</v>
      </c>
      <c r="AV1292" s="4">
        <v>0</v>
      </c>
      <c r="AW1292" s="4">
        <v>0</v>
      </c>
      <c r="AX1292" s="4">
        <v>1</v>
      </c>
      <c r="AY1292" s="4">
        <v>0</v>
      </c>
      <c r="AZ1292" s="4">
        <v>0</v>
      </c>
      <c r="BA1292" s="4">
        <v>0</v>
      </c>
      <c r="BB1292" s="4">
        <v>10</v>
      </c>
      <c r="BC1292" s="4">
        <v>2</v>
      </c>
      <c r="BD1292" s="4">
        <v>0</v>
      </c>
      <c r="BE1292" s="4">
        <v>4</v>
      </c>
      <c r="BF1292" s="4">
        <v>5</v>
      </c>
      <c r="BG1292" s="4">
        <v>0</v>
      </c>
      <c r="BH1292" s="4">
        <v>0</v>
      </c>
      <c r="BI1292" s="4">
        <v>0</v>
      </c>
      <c r="BJ1292" s="4">
        <v>1</v>
      </c>
      <c r="BK1292" s="4">
        <v>2</v>
      </c>
      <c r="BL1292" s="4">
        <v>0</v>
      </c>
      <c r="BM1292" s="4">
        <v>0</v>
      </c>
      <c r="BN1292" s="4">
        <v>1</v>
      </c>
      <c r="BO1292" s="4">
        <v>0</v>
      </c>
      <c r="BP1292" s="4">
        <v>0</v>
      </c>
      <c r="BQ1292" s="4">
        <v>1</v>
      </c>
      <c r="BR1292" s="4">
        <v>0</v>
      </c>
      <c r="BS1292" s="4">
        <v>1</v>
      </c>
      <c r="BT1292" s="4">
        <v>1</v>
      </c>
      <c r="BU1292" s="4">
        <v>0</v>
      </c>
      <c r="BV1292" s="4">
        <v>7</v>
      </c>
      <c r="BW1292" s="4">
        <v>0</v>
      </c>
      <c r="BX1292" s="4">
        <v>0</v>
      </c>
      <c r="BY1292" s="4">
        <v>0</v>
      </c>
      <c r="BZ1292" s="4">
        <v>0</v>
      </c>
      <c r="CA1292" s="4">
        <v>1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2</v>
      </c>
      <c r="CO1292" s="4">
        <v>1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2</v>
      </c>
      <c r="CW1292" s="4">
        <v>0</v>
      </c>
      <c r="CX1292" s="5">
        <v>0</v>
      </c>
    </row>
    <row r="1293" spans="1:102" ht="15.75" x14ac:dyDescent="0.25">
      <c r="A1293" s="4" t="s">
        <v>321</v>
      </c>
      <c r="B1293" s="4" t="s">
        <v>322</v>
      </c>
      <c r="C1293" s="4">
        <v>2023</v>
      </c>
      <c r="D1293" s="4">
        <v>67</v>
      </c>
      <c r="E1293" s="4">
        <v>0</v>
      </c>
      <c r="F1293" s="4">
        <v>0</v>
      </c>
      <c r="G1293" s="4">
        <v>0</v>
      </c>
      <c r="H1293" s="4">
        <v>0</v>
      </c>
      <c r="I1293" s="4">
        <v>1</v>
      </c>
      <c r="J1293" s="4">
        <v>0</v>
      </c>
      <c r="K1293" s="4">
        <v>0</v>
      </c>
      <c r="L1293" s="4">
        <v>0</v>
      </c>
      <c r="M1293" s="4">
        <v>8</v>
      </c>
      <c r="N1293" s="4">
        <v>2</v>
      </c>
      <c r="O1293" s="4">
        <v>5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1</v>
      </c>
      <c r="AJ1293" s="4">
        <v>1</v>
      </c>
      <c r="AK1293" s="4">
        <v>0</v>
      </c>
      <c r="AL1293" s="4">
        <v>1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5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1</v>
      </c>
      <c r="BH1293" s="4">
        <v>10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19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1</v>
      </c>
      <c r="CJ1293" s="4">
        <v>3</v>
      </c>
      <c r="CK1293" s="4">
        <v>1</v>
      </c>
      <c r="CL1293" s="4">
        <v>0</v>
      </c>
      <c r="CM1293" s="4">
        <v>0</v>
      </c>
      <c r="CN1293" s="4">
        <v>1</v>
      </c>
      <c r="CO1293" s="4">
        <v>0</v>
      </c>
      <c r="CP1293" s="4">
        <v>0</v>
      </c>
      <c r="CQ1293" s="4">
        <v>0</v>
      </c>
      <c r="CR1293" s="4">
        <v>0</v>
      </c>
      <c r="CS1293" s="4">
        <v>0</v>
      </c>
      <c r="CT1293" s="4">
        <v>0</v>
      </c>
      <c r="CU1293" s="4">
        <v>0</v>
      </c>
      <c r="CV1293" s="4">
        <v>0</v>
      </c>
      <c r="CW1293" s="4">
        <v>0</v>
      </c>
      <c r="CX1293" s="5">
        <v>0</v>
      </c>
    </row>
    <row r="1294" spans="1:102" ht="15.75" x14ac:dyDescent="0.25">
      <c r="A1294" s="4" t="s">
        <v>323</v>
      </c>
      <c r="B1294" s="4" t="s">
        <v>324</v>
      </c>
      <c r="C1294" s="4">
        <v>2023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0</v>
      </c>
      <c r="CQ1294" s="4">
        <v>0</v>
      </c>
      <c r="CR1294" s="4">
        <v>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5">
        <v>0</v>
      </c>
    </row>
    <row r="1295" spans="1:102" ht="15.75" x14ac:dyDescent="0.25">
      <c r="A1295" s="4" t="s">
        <v>325</v>
      </c>
      <c r="B1295" s="4" t="s">
        <v>326</v>
      </c>
      <c r="C1295" s="4">
        <v>2023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5">
        <v>0</v>
      </c>
    </row>
    <row r="1296" spans="1:102" ht="15.75" x14ac:dyDescent="0.25">
      <c r="A1296" s="4" t="s">
        <v>327</v>
      </c>
      <c r="B1296" s="4" t="s">
        <v>328</v>
      </c>
      <c r="C1296" s="4">
        <v>2023</v>
      </c>
      <c r="D1296" s="4">
        <v>4</v>
      </c>
      <c r="E1296" s="4">
        <v>0</v>
      </c>
      <c r="F1296" s="4">
        <v>0</v>
      </c>
      <c r="G1296" s="4">
        <v>1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1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5">
        <v>0</v>
      </c>
    </row>
    <row r="1297" spans="1:102" ht="15.75" x14ac:dyDescent="0.25">
      <c r="A1297" s="4" t="s">
        <v>329</v>
      </c>
      <c r="B1297" s="4" t="s">
        <v>330</v>
      </c>
      <c r="C1297" s="4">
        <v>2023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0</v>
      </c>
      <c r="CQ1297" s="4">
        <v>0</v>
      </c>
      <c r="CR1297" s="4">
        <v>0</v>
      </c>
      <c r="CS1297" s="4">
        <v>0</v>
      </c>
      <c r="CT1297" s="4">
        <v>0</v>
      </c>
      <c r="CU1297" s="4">
        <v>0</v>
      </c>
      <c r="CV1297" s="4">
        <v>0</v>
      </c>
      <c r="CW1297" s="4">
        <v>0</v>
      </c>
      <c r="CX1297" s="5">
        <v>0</v>
      </c>
    </row>
    <row r="1298" spans="1:102" ht="15.75" x14ac:dyDescent="0.25">
      <c r="A1298" s="4" t="s">
        <v>331</v>
      </c>
      <c r="B1298" s="4" t="s">
        <v>332</v>
      </c>
      <c r="C1298" s="4">
        <v>2023</v>
      </c>
      <c r="D1298" s="4">
        <v>5576</v>
      </c>
      <c r="E1298" s="4">
        <v>0</v>
      </c>
      <c r="F1298" s="4">
        <v>8</v>
      </c>
      <c r="G1298" s="4">
        <v>8</v>
      </c>
      <c r="H1298" s="4">
        <v>26</v>
      </c>
      <c r="I1298" s="4">
        <v>6</v>
      </c>
      <c r="J1298" s="4">
        <v>3</v>
      </c>
      <c r="K1298" s="4">
        <v>1</v>
      </c>
      <c r="L1298" s="4">
        <v>18</v>
      </c>
      <c r="M1298" s="4">
        <v>9</v>
      </c>
      <c r="N1298" s="4">
        <v>25</v>
      </c>
      <c r="O1298" s="4">
        <v>171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3</v>
      </c>
      <c r="V1298" s="4">
        <v>4</v>
      </c>
      <c r="W1298" s="4">
        <v>52</v>
      </c>
      <c r="X1298" s="4">
        <v>4</v>
      </c>
      <c r="Y1298" s="4">
        <v>0</v>
      </c>
      <c r="Z1298" s="4">
        <v>919</v>
      </c>
      <c r="AA1298" s="4">
        <v>4</v>
      </c>
      <c r="AB1298" s="4">
        <v>0</v>
      </c>
      <c r="AC1298" s="4">
        <v>0</v>
      </c>
      <c r="AD1298" s="4">
        <v>0</v>
      </c>
      <c r="AE1298" s="4">
        <v>2</v>
      </c>
      <c r="AF1298" s="4">
        <v>0</v>
      </c>
      <c r="AG1298" s="4">
        <v>34</v>
      </c>
      <c r="AH1298" s="4">
        <v>125</v>
      </c>
      <c r="AI1298" s="4">
        <v>29</v>
      </c>
      <c r="AJ1298" s="4">
        <v>420</v>
      </c>
      <c r="AK1298" s="4">
        <v>31</v>
      </c>
      <c r="AL1298" s="4">
        <v>1</v>
      </c>
      <c r="AM1298" s="4">
        <v>29</v>
      </c>
      <c r="AN1298" s="4">
        <v>19</v>
      </c>
      <c r="AO1298" s="4">
        <v>133</v>
      </c>
      <c r="AP1298" s="4">
        <v>4</v>
      </c>
      <c r="AQ1298" s="4">
        <v>9</v>
      </c>
      <c r="AR1298" s="4">
        <v>1</v>
      </c>
      <c r="AS1298" s="4">
        <v>15</v>
      </c>
      <c r="AT1298" s="4">
        <v>27</v>
      </c>
      <c r="AU1298" s="4">
        <v>46</v>
      </c>
      <c r="AV1298" s="4">
        <v>27</v>
      </c>
      <c r="AW1298" s="4">
        <v>184</v>
      </c>
      <c r="AX1298" s="4">
        <v>61</v>
      </c>
      <c r="AY1298" s="4">
        <v>1</v>
      </c>
      <c r="AZ1298" s="4">
        <v>21</v>
      </c>
      <c r="BA1298" s="4">
        <v>0</v>
      </c>
      <c r="BB1298" s="4">
        <v>696</v>
      </c>
      <c r="BC1298" s="4">
        <v>62</v>
      </c>
      <c r="BD1298" s="4">
        <v>1</v>
      </c>
      <c r="BE1298" s="4">
        <v>25</v>
      </c>
      <c r="BF1298" s="4">
        <v>112</v>
      </c>
      <c r="BG1298" s="4">
        <v>4</v>
      </c>
      <c r="BH1298" s="4">
        <v>5</v>
      </c>
      <c r="BI1298" s="4">
        <v>0</v>
      </c>
      <c r="BJ1298" s="4">
        <v>111</v>
      </c>
      <c r="BK1298" s="4">
        <v>90</v>
      </c>
      <c r="BL1298" s="4">
        <v>0</v>
      </c>
      <c r="BM1298" s="4">
        <v>6</v>
      </c>
      <c r="BN1298" s="4">
        <v>32</v>
      </c>
      <c r="BO1298" s="4">
        <v>0</v>
      </c>
      <c r="BP1298" s="4">
        <v>8</v>
      </c>
      <c r="BQ1298" s="4">
        <v>43</v>
      </c>
      <c r="BR1298" s="4">
        <v>2</v>
      </c>
      <c r="BS1298" s="4">
        <v>166</v>
      </c>
      <c r="BT1298" s="4">
        <v>56</v>
      </c>
      <c r="BU1298" s="4">
        <v>9</v>
      </c>
      <c r="BV1298" s="4">
        <v>28</v>
      </c>
      <c r="BW1298" s="4">
        <v>4</v>
      </c>
      <c r="BX1298" s="4">
        <v>698</v>
      </c>
      <c r="BY1298" s="4">
        <v>1</v>
      </c>
      <c r="BZ1298" s="4">
        <v>0</v>
      </c>
      <c r="CA1298" s="4">
        <v>63</v>
      </c>
      <c r="CB1298" s="4">
        <v>38</v>
      </c>
      <c r="CC1298" s="4">
        <v>0</v>
      </c>
      <c r="CD1298" s="4">
        <v>3</v>
      </c>
      <c r="CE1298" s="4">
        <v>0</v>
      </c>
      <c r="CF1298" s="4">
        <v>5</v>
      </c>
      <c r="CG1298" s="4">
        <v>1</v>
      </c>
      <c r="CH1298" s="4">
        <v>2</v>
      </c>
      <c r="CI1298" s="4">
        <v>32</v>
      </c>
      <c r="CJ1298" s="4">
        <v>280</v>
      </c>
      <c r="CK1298" s="4">
        <v>28</v>
      </c>
      <c r="CL1298" s="4">
        <v>0</v>
      </c>
      <c r="CM1298" s="4">
        <v>41</v>
      </c>
      <c r="CN1298" s="4">
        <v>221</v>
      </c>
      <c r="CO1298" s="4">
        <v>6</v>
      </c>
      <c r="CP1298" s="4">
        <v>8</v>
      </c>
      <c r="CQ1298" s="4">
        <v>0</v>
      </c>
      <c r="CR1298" s="4">
        <v>124</v>
      </c>
      <c r="CS1298" s="4">
        <v>4</v>
      </c>
      <c r="CT1298" s="4">
        <v>7</v>
      </c>
      <c r="CU1298" s="4">
        <v>14</v>
      </c>
      <c r="CV1298" s="4">
        <v>47</v>
      </c>
      <c r="CW1298" s="4">
        <v>13</v>
      </c>
      <c r="CX1298" s="5">
        <v>13</v>
      </c>
    </row>
    <row r="1299" spans="1:102" ht="15.75" x14ac:dyDescent="0.25">
      <c r="A1299" s="4" t="s">
        <v>333</v>
      </c>
      <c r="B1299" s="4" t="s">
        <v>334</v>
      </c>
      <c r="C1299" s="4">
        <v>2023</v>
      </c>
      <c r="D1299" s="4">
        <v>782</v>
      </c>
      <c r="E1299" s="4">
        <v>2</v>
      </c>
      <c r="F1299" s="4">
        <v>8</v>
      </c>
      <c r="G1299" s="4">
        <v>7</v>
      </c>
      <c r="H1299" s="4">
        <v>1</v>
      </c>
      <c r="I1299" s="4">
        <v>28</v>
      </c>
      <c r="J1299" s="4">
        <v>4</v>
      </c>
      <c r="K1299" s="4">
        <v>4</v>
      </c>
      <c r="L1299" s="4">
        <v>38</v>
      </c>
      <c r="M1299" s="4">
        <v>2</v>
      </c>
      <c r="N1299" s="4">
        <v>11</v>
      </c>
      <c r="O1299" s="4">
        <v>2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1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4</v>
      </c>
      <c r="AH1299" s="4">
        <v>1</v>
      </c>
      <c r="AI1299" s="4">
        <v>3</v>
      </c>
      <c r="AJ1299" s="4">
        <v>36</v>
      </c>
      <c r="AK1299" s="4">
        <v>15</v>
      </c>
      <c r="AL1299" s="4">
        <v>0</v>
      </c>
      <c r="AM1299" s="4">
        <v>1</v>
      </c>
      <c r="AN1299" s="4">
        <v>10</v>
      </c>
      <c r="AO1299" s="4">
        <v>7</v>
      </c>
      <c r="AP1299" s="4">
        <v>0</v>
      </c>
      <c r="AQ1299" s="4">
        <v>2</v>
      </c>
      <c r="AR1299" s="4">
        <v>0</v>
      </c>
      <c r="AS1299" s="4">
        <v>2</v>
      </c>
      <c r="AT1299" s="4">
        <v>7</v>
      </c>
      <c r="AU1299" s="4">
        <v>2</v>
      </c>
      <c r="AV1299" s="4">
        <v>3</v>
      </c>
      <c r="AW1299" s="4">
        <v>5</v>
      </c>
      <c r="AX1299" s="4">
        <v>11</v>
      </c>
      <c r="AY1299" s="4">
        <v>0</v>
      </c>
      <c r="AZ1299" s="4">
        <v>2</v>
      </c>
      <c r="BA1299" s="4">
        <v>0</v>
      </c>
      <c r="BB1299" s="4">
        <v>104</v>
      </c>
      <c r="BC1299" s="4">
        <v>0</v>
      </c>
      <c r="BD1299" s="4">
        <v>0</v>
      </c>
      <c r="BE1299" s="4">
        <v>14</v>
      </c>
      <c r="BF1299" s="4">
        <v>5</v>
      </c>
      <c r="BG1299" s="4">
        <v>0</v>
      </c>
      <c r="BH1299" s="4">
        <v>0</v>
      </c>
      <c r="BI1299" s="4">
        <v>0</v>
      </c>
      <c r="BJ1299" s="4">
        <v>17</v>
      </c>
      <c r="BK1299" s="4">
        <v>16</v>
      </c>
      <c r="BL1299" s="4">
        <v>0</v>
      </c>
      <c r="BM1299" s="4">
        <v>0</v>
      </c>
      <c r="BN1299" s="4">
        <v>2</v>
      </c>
      <c r="BO1299" s="4">
        <v>0</v>
      </c>
      <c r="BP1299" s="4">
        <v>0</v>
      </c>
      <c r="BQ1299" s="4">
        <v>7</v>
      </c>
      <c r="BR1299" s="4">
        <v>1</v>
      </c>
      <c r="BS1299" s="4">
        <v>18</v>
      </c>
      <c r="BT1299" s="4">
        <v>9</v>
      </c>
      <c r="BU1299" s="4">
        <v>1</v>
      </c>
      <c r="BV1299" s="4">
        <v>4</v>
      </c>
      <c r="BW1299" s="4">
        <v>4</v>
      </c>
      <c r="BX1299" s="4">
        <v>250</v>
      </c>
      <c r="BY1299" s="4">
        <v>0</v>
      </c>
      <c r="BZ1299" s="4">
        <v>0</v>
      </c>
      <c r="CA1299" s="4">
        <v>15</v>
      </c>
      <c r="CB1299" s="4">
        <v>0</v>
      </c>
      <c r="CC1299" s="4">
        <v>0</v>
      </c>
      <c r="CD1299" s="4">
        <v>3</v>
      </c>
      <c r="CE1299" s="4">
        <v>0</v>
      </c>
      <c r="CF1299" s="4">
        <v>4</v>
      </c>
      <c r="CG1299" s="4">
        <v>0</v>
      </c>
      <c r="CH1299" s="4">
        <v>1</v>
      </c>
      <c r="CI1299" s="4">
        <v>10</v>
      </c>
      <c r="CJ1299" s="4">
        <v>26</v>
      </c>
      <c r="CK1299" s="4">
        <v>5</v>
      </c>
      <c r="CL1299" s="4">
        <v>0</v>
      </c>
      <c r="CM1299" s="4">
        <v>4</v>
      </c>
      <c r="CN1299" s="4">
        <v>18</v>
      </c>
      <c r="CO1299" s="4">
        <v>3</v>
      </c>
      <c r="CP1299" s="4">
        <v>0</v>
      </c>
      <c r="CQ1299" s="4">
        <v>0</v>
      </c>
      <c r="CR1299" s="4">
        <v>2</v>
      </c>
      <c r="CS1299" s="4">
        <v>5</v>
      </c>
      <c r="CT1299" s="4">
        <v>6</v>
      </c>
      <c r="CU1299" s="4">
        <v>0</v>
      </c>
      <c r="CV1299" s="4">
        <v>8</v>
      </c>
      <c r="CW1299" s="4">
        <v>2</v>
      </c>
      <c r="CX1299" s="5">
        <v>2</v>
      </c>
    </row>
    <row r="1300" spans="1:102" ht="15.75" x14ac:dyDescent="0.25">
      <c r="A1300" s="4" t="s">
        <v>335</v>
      </c>
      <c r="B1300" s="4" t="s">
        <v>336</v>
      </c>
      <c r="C1300" s="4">
        <v>2023</v>
      </c>
      <c r="D1300" s="4">
        <v>36</v>
      </c>
      <c r="E1300" s="4">
        <v>0</v>
      </c>
      <c r="F1300" s="4">
        <v>0</v>
      </c>
      <c r="G1300" s="4">
        <v>0</v>
      </c>
      <c r="H1300" s="4">
        <v>0</v>
      </c>
      <c r="I1300" s="4">
        <v>1</v>
      </c>
      <c r="J1300" s="4">
        <v>1</v>
      </c>
      <c r="K1300" s="4">
        <v>0</v>
      </c>
      <c r="L1300" s="4">
        <v>1</v>
      </c>
      <c r="M1300" s="4">
        <v>0</v>
      </c>
      <c r="N1300" s="4">
        <v>1</v>
      </c>
      <c r="O1300" s="4">
        <v>2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13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1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1</v>
      </c>
      <c r="BG1300" s="4">
        <v>0</v>
      </c>
      <c r="BH1300" s="4">
        <v>0</v>
      </c>
      <c r="BI1300" s="4">
        <v>0</v>
      </c>
      <c r="BJ1300" s="4">
        <v>0</v>
      </c>
      <c r="BK1300" s="4">
        <v>1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1</v>
      </c>
      <c r="BW1300" s="4">
        <v>0</v>
      </c>
      <c r="BX1300" s="4">
        <v>3</v>
      </c>
      <c r="BY1300" s="4">
        <v>0</v>
      </c>
      <c r="BZ1300" s="4">
        <v>0</v>
      </c>
      <c r="CA1300" s="4">
        <v>0</v>
      </c>
      <c r="CB1300" s="4">
        <v>5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1</v>
      </c>
      <c r="CW1300" s="4">
        <v>0</v>
      </c>
      <c r="CX1300" s="5">
        <v>0</v>
      </c>
    </row>
    <row r="1301" spans="1:102" ht="15.75" x14ac:dyDescent="0.25">
      <c r="A1301" s="4" t="s">
        <v>337</v>
      </c>
      <c r="B1301" s="4" t="s">
        <v>338</v>
      </c>
      <c r="C1301" s="4">
        <v>2023</v>
      </c>
      <c r="D1301" s="4">
        <v>366</v>
      </c>
      <c r="E1301" s="4">
        <v>0</v>
      </c>
      <c r="F1301" s="4">
        <v>0</v>
      </c>
      <c r="G1301" s="4">
        <v>0</v>
      </c>
      <c r="H1301" s="4">
        <v>0</v>
      </c>
      <c r="I1301" s="4">
        <v>1</v>
      </c>
      <c r="J1301" s="4">
        <v>1</v>
      </c>
      <c r="K1301" s="4">
        <v>0</v>
      </c>
      <c r="L1301" s="4">
        <v>2</v>
      </c>
      <c r="M1301" s="4">
        <v>0</v>
      </c>
      <c r="N1301" s="4">
        <v>1</v>
      </c>
      <c r="O1301" s="4">
        <v>47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2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5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7</v>
      </c>
      <c r="AH1301" s="4">
        <v>1</v>
      </c>
      <c r="AI1301" s="4">
        <v>4</v>
      </c>
      <c r="AJ1301" s="4">
        <v>8</v>
      </c>
      <c r="AK1301" s="4">
        <v>4</v>
      </c>
      <c r="AL1301" s="4">
        <v>0</v>
      </c>
      <c r="AM1301" s="4">
        <v>9</v>
      </c>
      <c r="AN1301" s="4">
        <v>2</v>
      </c>
      <c r="AO1301" s="4">
        <v>8</v>
      </c>
      <c r="AP1301" s="4">
        <v>0</v>
      </c>
      <c r="AQ1301" s="4">
        <v>3</v>
      </c>
      <c r="AR1301" s="4">
        <v>0</v>
      </c>
      <c r="AS1301" s="4">
        <v>1</v>
      </c>
      <c r="AT1301" s="4">
        <v>1</v>
      </c>
      <c r="AU1301" s="4">
        <v>1</v>
      </c>
      <c r="AV1301" s="4">
        <v>16</v>
      </c>
      <c r="AW1301" s="4">
        <v>1</v>
      </c>
      <c r="AX1301" s="4">
        <v>16</v>
      </c>
      <c r="AY1301" s="4">
        <v>1</v>
      </c>
      <c r="AZ1301" s="4">
        <v>2</v>
      </c>
      <c r="BA1301" s="4">
        <v>0</v>
      </c>
      <c r="BB1301" s="4">
        <v>9</v>
      </c>
      <c r="BC1301" s="4">
        <v>4</v>
      </c>
      <c r="BD1301" s="4">
        <v>0</v>
      </c>
      <c r="BE1301" s="4">
        <v>4</v>
      </c>
      <c r="BF1301" s="4">
        <v>23</v>
      </c>
      <c r="BG1301" s="4">
        <v>0</v>
      </c>
      <c r="BH1301" s="4">
        <v>2</v>
      </c>
      <c r="BI1301" s="4">
        <v>0</v>
      </c>
      <c r="BJ1301" s="4">
        <v>28</v>
      </c>
      <c r="BK1301" s="4">
        <v>22</v>
      </c>
      <c r="BL1301" s="4">
        <v>0</v>
      </c>
      <c r="BM1301" s="4">
        <v>0</v>
      </c>
      <c r="BN1301" s="4">
        <v>2</v>
      </c>
      <c r="BO1301" s="4">
        <v>0</v>
      </c>
      <c r="BP1301" s="4">
        <v>1</v>
      </c>
      <c r="BQ1301" s="4">
        <v>9</v>
      </c>
      <c r="BR1301" s="4">
        <v>1</v>
      </c>
      <c r="BS1301" s="4">
        <v>19</v>
      </c>
      <c r="BT1301" s="4">
        <v>7</v>
      </c>
      <c r="BU1301" s="4">
        <v>0</v>
      </c>
      <c r="BV1301" s="4">
        <v>5</v>
      </c>
      <c r="BW1301" s="4">
        <v>0</v>
      </c>
      <c r="BX1301" s="4">
        <v>29</v>
      </c>
      <c r="BY1301" s="4">
        <v>0</v>
      </c>
      <c r="BZ1301" s="4">
        <v>0</v>
      </c>
      <c r="CA1301" s="4">
        <v>7</v>
      </c>
      <c r="CB1301" s="4">
        <v>0</v>
      </c>
      <c r="CC1301" s="4">
        <v>0</v>
      </c>
      <c r="CD1301" s="4">
        <v>1</v>
      </c>
      <c r="CE1301" s="4">
        <v>0</v>
      </c>
      <c r="CF1301" s="4">
        <v>0</v>
      </c>
      <c r="CG1301" s="4">
        <v>0</v>
      </c>
      <c r="CH1301" s="4">
        <v>1</v>
      </c>
      <c r="CI1301" s="4">
        <v>0</v>
      </c>
      <c r="CJ1301" s="4">
        <v>3</v>
      </c>
      <c r="CK1301" s="4">
        <v>0</v>
      </c>
      <c r="CL1301" s="4">
        <v>0</v>
      </c>
      <c r="CM1301" s="4">
        <v>4</v>
      </c>
      <c r="CN1301" s="4">
        <v>22</v>
      </c>
      <c r="CO1301" s="4">
        <v>1</v>
      </c>
      <c r="CP1301" s="4">
        <v>0</v>
      </c>
      <c r="CQ1301" s="4">
        <v>0</v>
      </c>
      <c r="CR1301" s="4">
        <v>0</v>
      </c>
      <c r="CS1301" s="4">
        <v>0</v>
      </c>
      <c r="CT1301" s="4">
        <v>2</v>
      </c>
      <c r="CU1301" s="4">
        <v>1</v>
      </c>
      <c r="CV1301" s="4">
        <v>7</v>
      </c>
      <c r="CW1301" s="4">
        <v>3</v>
      </c>
      <c r="CX1301" s="5">
        <v>3</v>
      </c>
    </row>
    <row r="1302" spans="1:102" ht="15.75" x14ac:dyDescent="0.25">
      <c r="A1302" s="4" t="s">
        <v>339</v>
      </c>
      <c r="B1302" s="4" t="s">
        <v>340</v>
      </c>
      <c r="C1302" s="4">
        <v>2023</v>
      </c>
      <c r="D1302" s="4">
        <v>3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1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1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2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0</v>
      </c>
      <c r="CP1302" s="4">
        <v>0</v>
      </c>
      <c r="CQ1302" s="4">
        <v>0</v>
      </c>
      <c r="CR1302" s="4">
        <v>0</v>
      </c>
      <c r="CS1302" s="4">
        <v>0</v>
      </c>
      <c r="CT1302" s="4">
        <v>0</v>
      </c>
      <c r="CU1302" s="4">
        <v>0</v>
      </c>
      <c r="CV1302" s="4">
        <v>0</v>
      </c>
      <c r="CW1302" s="4">
        <v>0</v>
      </c>
      <c r="CX1302" s="5">
        <v>0</v>
      </c>
    </row>
    <row r="1303" spans="1:102" ht="15.75" x14ac:dyDescent="0.25">
      <c r="A1303" s="4" t="s">
        <v>341</v>
      </c>
      <c r="B1303" s="4" t="s">
        <v>342</v>
      </c>
      <c r="C1303" s="4">
        <v>2023</v>
      </c>
      <c r="D1303" s="4">
        <v>278</v>
      </c>
      <c r="E1303" s="4">
        <v>0</v>
      </c>
      <c r="F1303" s="4">
        <v>0</v>
      </c>
      <c r="G1303" s="4">
        <v>14</v>
      </c>
      <c r="H1303" s="4">
        <v>2</v>
      </c>
      <c r="I1303" s="4">
        <v>3</v>
      </c>
      <c r="J1303" s="4">
        <v>2</v>
      </c>
      <c r="K1303" s="4">
        <v>1</v>
      </c>
      <c r="L1303" s="4">
        <v>7</v>
      </c>
      <c r="M1303" s="4">
        <v>1</v>
      </c>
      <c r="N1303" s="4">
        <v>5</v>
      </c>
      <c r="O1303" s="4">
        <v>45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3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1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</v>
      </c>
      <c r="AH1303" s="4">
        <v>0</v>
      </c>
      <c r="AI1303" s="4">
        <v>2</v>
      </c>
      <c r="AJ1303" s="4">
        <v>14</v>
      </c>
      <c r="AK1303" s="4">
        <v>3</v>
      </c>
      <c r="AL1303" s="4">
        <v>0</v>
      </c>
      <c r="AM1303" s="4">
        <v>0</v>
      </c>
      <c r="AN1303" s="4">
        <v>0</v>
      </c>
      <c r="AO1303" s="4">
        <v>2</v>
      </c>
      <c r="AP1303" s="4">
        <v>0</v>
      </c>
      <c r="AQ1303" s="4">
        <v>1</v>
      </c>
      <c r="AR1303" s="4">
        <v>0</v>
      </c>
      <c r="AS1303" s="4">
        <v>1</v>
      </c>
      <c r="AT1303" s="4">
        <v>4</v>
      </c>
      <c r="AU1303" s="4">
        <v>1</v>
      </c>
      <c r="AV1303" s="4">
        <v>0</v>
      </c>
      <c r="AW1303" s="4">
        <v>0</v>
      </c>
      <c r="AX1303" s="4">
        <v>1</v>
      </c>
      <c r="AY1303" s="4">
        <v>0</v>
      </c>
      <c r="AZ1303" s="4">
        <v>7</v>
      </c>
      <c r="BA1303" s="4">
        <v>0</v>
      </c>
      <c r="BB1303" s="4">
        <v>2</v>
      </c>
      <c r="BC1303" s="4">
        <v>53</v>
      </c>
      <c r="BD1303" s="4">
        <v>0</v>
      </c>
      <c r="BE1303" s="4">
        <v>1</v>
      </c>
      <c r="BF1303" s="4">
        <v>2</v>
      </c>
      <c r="BG1303" s="4">
        <v>0</v>
      </c>
      <c r="BH1303" s="4">
        <v>0</v>
      </c>
      <c r="BI1303" s="4">
        <v>0</v>
      </c>
      <c r="BJ1303" s="4">
        <v>4</v>
      </c>
      <c r="BK1303" s="4">
        <v>5</v>
      </c>
      <c r="BL1303" s="4">
        <v>0</v>
      </c>
      <c r="BM1303" s="4">
        <v>0</v>
      </c>
      <c r="BN1303" s="4">
        <v>2</v>
      </c>
      <c r="BO1303" s="4">
        <v>0</v>
      </c>
      <c r="BP1303" s="4">
        <v>0</v>
      </c>
      <c r="BQ1303" s="4">
        <v>3</v>
      </c>
      <c r="BR1303" s="4">
        <v>1</v>
      </c>
      <c r="BS1303" s="4">
        <v>7</v>
      </c>
      <c r="BT1303" s="4">
        <v>2</v>
      </c>
      <c r="BU1303" s="4">
        <v>0</v>
      </c>
      <c r="BV1303" s="4">
        <v>3</v>
      </c>
      <c r="BW1303" s="4">
        <v>0</v>
      </c>
      <c r="BX1303" s="4">
        <v>50</v>
      </c>
      <c r="BY1303" s="4">
        <v>0</v>
      </c>
      <c r="BZ1303" s="4">
        <v>0</v>
      </c>
      <c r="CA1303" s="4">
        <v>1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1</v>
      </c>
      <c r="CI1303" s="4">
        <v>0</v>
      </c>
      <c r="CJ1303" s="4">
        <v>2</v>
      </c>
      <c r="CK1303" s="4">
        <v>1</v>
      </c>
      <c r="CL1303" s="4">
        <v>0</v>
      </c>
      <c r="CM1303" s="4">
        <v>0</v>
      </c>
      <c r="CN1303" s="4">
        <v>2</v>
      </c>
      <c r="CO1303" s="4">
        <v>0</v>
      </c>
      <c r="CP1303" s="4">
        <v>0</v>
      </c>
      <c r="CQ1303" s="4">
        <v>0</v>
      </c>
      <c r="CR1303" s="4">
        <v>2</v>
      </c>
      <c r="CS1303" s="4">
        <v>1</v>
      </c>
      <c r="CT1303" s="4">
        <v>2</v>
      </c>
      <c r="CU1303" s="4">
        <v>0</v>
      </c>
      <c r="CV1303" s="4">
        <v>5</v>
      </c>
      <c r="CW1303" s="4">
        <v>0</v>
      </c>
      <c r="CX1303" s="5">
        <v>0</v>
      </c>
    </row>
    <row r="1304" spans="1:102" ht="15.75" x14ac:dyDescent="0.25">
      <c r="A1304" s="4" t="s">
        <v>343</v>
      </c>
      <c r="B1304" s="4" t="s">
        <v>344</v>
      </c>
      <c r="C1304" s="4">
        <v>2023</v>
      </c>
      <c r="D1304" s="4">
        <v>29</v>
      </c>
      <c r="E1304" s="4">
        <v>0</v>
      </c>
      <c r="F1304" s="4">
        <v>3</v>
      </c>
      <c r="G1304" s="4">
        <v>2</v>
      </c>
      <c r="H1304" s="4">
        <v>0</v>
      </c>
      <c r="I1304" s="4">
        <v>1</v>
      </c>
      <c r="J1304" s="4">
        <v>0</v>
      </c>
      <c r="K1304" s="4">
        <v>0</v>
      </c>
      <c r="L1304" s="4">
        <v>0</v>
      </c>
      <c r="M1304" s="4">
        <v>0</v>
      </c>
      <c r="N1304" s="4">
        <v>1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1</v>
      </c>
      <c r="AK1304" s="4">
        <v>1</v>
      </c>
      <c r="AL1304" s="4">
        <v>0</v>
      </c>
      <c r="AM1304" s="4">
        <v>0</v>
      </c>
      <c r="AN1304" s="4">
        <v>1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2</v>
      </c>
      <c r="AW1304" s="4">
        <v>0</v>
      </c>
      <c r="AX1304" s="4">
        <v>1</v>
      </c>
      <c r="AY1304" s="4">
        <v>0</v>
      </c>
      <c r="AZ1304" s="4">
        <v>0</v>
      </c>
      <c r="BA1304" s="4">
        <v>0</v>
      </c>
      <c r="BB1304" s="4">
        <v>1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1</v>
      </c>
      <c r="BK1304" s="4">
        <v>1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4</v>
      </c>
      <c r="BT1304" s="4">
        <v>0</v>
      </c>
      <c r="BU1304" s="4">
        <v>0</v>
      </c>
      <c r="BV1304" s="4">
        <v>0</v>
      </c>
      <c r="BW1304" s="4">
        <v>1</v>
      </c>
      <c r="BX1304" s="4">
        <v>1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0</v>
      </c>
      <c r="CU1304" s="4">
        <v>0</v>
      </c>
      <c r="CV1304" s="4">
        <v>1</v>
      </c>
      <c r="CW1304" s="4">
        <v>0</v>
      </c>
      <c r="CX1304" s="5">
        <v>0</v>
      </c>
    </row>
    <row r="1305" spans="1:102" ht="15.75" x14ac:dyDescent="0.25">
      <c r="A1305" s="4" t="s">
        <v>345</v>
      </c>
      <c r="B1305" s="4" t="s">
        <v>346</v>
      </c>
      <c r="C1305" s="4">
        <v>2023</v>
      </c>
      <c r="D1305" s="4">
        <v>3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2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5">
        <v>0</v>
      </c>
    </row>
    <row r="1306" spans="1:102" ht="15.75" x14ac:dyDescent="0.25">
      <c r="A1306" s="4" t="s">
        <v>347</v>
      </c>
      <c r="B1306" s="4" t="s">
        <v>348</v>
      </c>
      <c r="C1306" s="4">
        <v>2023</v>
      </c>
      <c r="D1306" s="4">
        <v>144</v>
      </c>
      <c r="E1306" s="4">
        <v>0</v>
      </c>
      <c r="F1306" s="4">
        <v>0</v>
      </c>
      <c r="G1306" s="4">
        <v>1</v>
      </c>
      <c r="H1306" s="4">
        <v>0</v>
      </c>
      <c r="I1306" s="4">
        <v>0</v>
      </c>
      <c r="J1306" s="4">
        <v>0</v>
      </c>
      <c r="K1306" s="4">
        <v>0</v>
      </c>
      <c r="L1306" s="4">
        <v>1</v>
      </c>
      <c r="M1306" s="4">
        <v>2</v>
      </c>
      <c r="N1306" s="4">
        <v>5</v>
      </c>
      <c r="O1306" s="4">
        <v>7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2</v>
      </c>
      <c r="V1306" s="4">
        <v>1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1</v>
      </c>
      <c r="AH1306" s="4">
        <v>1</v>
      </c>
      <c r="AI1306" s="4">
        <v>2</v>
      </c>
      <c r="AJ1306" s="4">
        <v>4</v>
      </c>
      <c r="AK1306" s="4">
        <v>2</v>
      </c>
      <c r="AL1306" s="4">
        <v>1</v>
      </c>
      <c r="AM1306" s="4">
        <v>1</v>
      </c>
      <c r="AN1306" s="4">
        <v>1</v>
      </c>
      <c r="AO1306" s="4">
        <v>4</v>
      </c>
      <c r="AP1306" s="4">
        <v>0</v>
      </c>
      <c r="AQ1306" s="4">
        <v>1</v>
      </c>
      <c r="AR1306" s="4">
        <v>0</v>
      </c>
      <c r="AS1306" s="4">
        <v>6</v>
      </c>
      <c r="AT1306" s="4">
        <v>7</v>
      </c>
      <c r="AU1306" s="4">
        <v>3</v>
      </c>
      <c r="AV1306" s="4">
        <v>1</v>
      </c>
      <c r="AW1306" s="4">
        <v>0</v>
      </c>
      <c r="AX1306" s="4">
        <v>7</v>
      </c>
      <c r="AY1306" s="4">
        <v>0</v>
      </c>
      <c r="AZ1306" s="4">
        <v>3</v>
      </c>
      <c r="BA1306" s="4">
        <v>0</v>
      </c>
      <c r="BB1306" s="4">
        <v>27</v>
      </c>
      <c r="BC1306" s="4">
        <v>0</v>
      </c>
      <c r="BD1306" s="4">
        <v>0</v>
      </c>
      <c r="BE1306" s="4">
        <v>1</v>
      </c>
      <c r="BF1306" s="4">
        <v>3</v>
      </c>
      <c r="BG1306" s="4">
        <v>0</v>
      </c>
      <c r="BH1306" s="4">
        <v>0</v>
      </c>
      <c r="BI1306" s="4">
        <v>0</v>
      </c>
      <c r="BJ1306" s="4">
        <v>2</v>
      </c>
      <c r="BK1306" s="4">
        <v>2</v>
      </c>
      <c r="BL1306" s="4">
        <v>0</v>
      </c>
      <c r="BM1306" s="4">
        <v>1</v>
      </c>
      <c r="BN1306" s="4">
        <v>1</v>
      </c>
      <c r="BO1306" s="4">
        <v>0</v>
      </c>
      <c r="BP1306" s="4">
        <v>0</v>
      </c>
      <c r="BQ1306" s="4">
        <v>1</v>
      </c>
      <c r="BR1306" s="4">
        <v>0</v>
      </c>
      <c r="BS1306" s="4">
        <v>6</v>
      </c>
      <c r="BT1306" s="4">
        <v>1</v>
      </c>
      <c r="BU1306" s="4">
        <v>0</v>
      </c>
      <c r="BV1306" s="4">
        <v>2</v>
      </c>
      <c r="BW1306" s="4">
        <v>0</v>
      </c>
      <c r="BX1306" s="4">
        <v>16</v>
      </c>
      <c r="BY1306" s="4">
        <v>0</v>
      </c>
      <c r="BZ1306" s="4">
        <v>0</v>
      </c>
      <c r="CA1306" s="4">
        <v>2</v>
      </c>
      <c r="CB1306" s="4">
        <v>0</v>
      </c>
      <c r="CC1306" s="4">
        <v>0</v>
      </c>
      <c r="CD1306" s="4">
        <v>0</v>
      </c>
      <c r="CE1306" s="4">
        <v>0</v>
      </c>
      <c r="CF1306" s="4">
        <v>1</v>
      </c>
      <c r="CG1306" s="4">
        <v>0</v>
      </c>
      <c r="CH1306" s="4">
        <v>0</v>
      </c>
      <c r="CI1306" s="4">
        <v>0</v>
      </c>
      <c r="CJ1306" s="4">
        <v>1</v>
      </c>
      <c r="CK1306" s="4">
        <v>0</v>
      </c>
      <c r="CL1306" s="4">
        <v>0</v>
      </c>
      <c r="CM1306" s="4">
        <v>1</v>
      </c>
      <c r="CN1306" s="4">
        <v>5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4</v>
      </c>
      <c r="CU1306" s="4">
        <v>0</v>
      </c>
      <c r="CV1306" s="4">
        <v>2</v>
      </c>
      <c r="CW1306" s="4">
        <v>1</v>
      </c>
      <c r="CX1306" s="5">
        <v>1</v>
      </c>
    </row>
    <row r="1307" spans="1:102" ht="15.75" x14ac:dyDescent="0.25">
      <c r="A1307" s="4" t="s">
        <v>349</v>
      </c>
      <c r="B1307" s="4" t="s">
        <v>350</v>
      </c>
      <c r="C1307" s="4">
        <v>2023</v>
      </c>
      <c r="D1307" s="4">
        <v>43</v>
      </c>
      <c r="E1307" s="4">
        <v>0</v>
      </c>
      <c r="F1307" s="4">
        <v>3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1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20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13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1</v>
      </c>
      <c r="BG1307" s="4">
        <v>0</v>
      </c>
      <c r="BH1307" s="4">
        <v>0</v>
      </c>
      <c r="BI1307" s="4">
        <v>0</v>
      </c>
      <c r="BJ1307" s="4">
        <v>1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5">
        <v>0</v>
      </c>
    </row>
    <row r="1308" spans="1:102" ht="15.75" x14ac:dyDescent="0.25">
      <c r="A1308" s="4" t="s">
        <v>351</v>
      </c>
      <c r="B1308" s="4" t="s">
        <v>352</v>
      </c>
      <c r="C1308" s="4">
        <v>2023</v>
      </c>
      <c r="D1308" s="4">
        <v>1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2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5">
        <v>0</v>
      </c>
    </row>
    <row r="1309" spans="1:102" ht="15.75" x14ac:dyDescent="0.25">
      <c r="A1309" s="4" t="s">
        <v>353</v>
      </c>
      <c r="B1309" s="4" t="s">
        <v>354</v>
      </c>
      <c r="C1309" s="4">
        <v>2023</v>
      </c>
      <c r="D1309" s="4">
        <v>805</v>
      </c>
      <c r="E1309" s="4">
        <v>0</v>
      </c>
      <c r="F1309" s="4">
        <v>1</v>
      </c>
      <c r="G1309" s="4">
        <v>3</v>
      </c>
      <c r="H1309" s="4">
        <v>22</v>
      </c>
      <c r="I1309" s="4">
        <v>1</v>
      </c>
      <c r="J1309" s="4">
        <v>1</v>
      </c>
      <c r="K1309" s="4">
        <v>0</v>
      </c>
      <c r="L1309" s="4">
        <v>4</v>
      </c>
      <c r="M1309" s="4">
        <v>4</v>
      </c>
      <c r="N1309" s="4">
        <v>10</v>
      </c>
      <c r="O1309" s="4">
        <v>75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23</v>
      </c>
      <c r="V1309" s="4">
        <v>1</v>
      </c>
      <c r="W1309" s="4">
        <v>0</v>
      </c>
      <c r="X1309" s="4">
        <v>1</v>
      </c>
      <c r="Y1309" s="4">
        <v>0</v>
      </c>
      <c r="Z1309" s="4">
        <v>233</v>
      </c>
      <c r="AA1309" s="4">
        <v>3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6</v>
      </c>
      <c r="AH1309" s="4">
        <v>0</v>
      </c>
      <c r="AI1309" s="4">
        <v>7</v>
      </c>
      <c r="AJ1309" s="4">
        <v>10</v>
      </c>
      <c r="AK1309" s="4">
        <v>14</v>
      </c>
      <c r="AL1309" s="4">
        <v>5</v>
      </c>
      <c r="AM1309" s="4">
        <v>19</v>
      </c>
      <c r="AN1309" s="4">
        <v>8</v>
      </c>
      <c r="AO1309" s="4">
        <v>13</v>
      </c>
      <c r="AP1309" s="4">
        <v>0</v>
      </c>
      <c r="AQ1309" s="4">
        <v>3</v>
      </c>
      <c r="AR1309" s="4">
        <v>2</v>
      </c>
      <c r="AS1309" s="4">
        <v>3</v>
      </c>
      <c r="AT1309" s="4">
        <v>18</v>
      </c>
      <c r="AU1309" s="4">
        <v>3</v>
      </c>
      <c r="AV1309" s="4">
        <v>6</v>
      </c>
      <c r="AW1309" s="4">
        <v>1</v>
      </c>
      <c r="AX1309" s="4">
        <v>9</v>
      </c>
      <c r="AY1309" s="4">
        <v>0</v>
      </c>
      <c r="AZ1309" s="4">
        <v>1</v>
      </c>
      <c r="BA1309" s="4">
        <v>0</v>
      </c>
      <c r="BB1309" s="4">
        <v>11</v>
      </c>
      <c r="BC1309" s="4">
        <v>2</v>
      </c>
      <c r="BD1309" s="4">
        <v>0</v>
      </c>
      <c r="BE1309" s="4">
        <v>3</v>
      </c>
      <c r="BF1309" s="4">
        <v>35</v>
      </c>
      <c r="BG1309" s="4">
        <v>0</v>
      </c>
      <c r="BH1309" s="4">
        <v>1</v>
      </c>
      <c r="BI1309" s="4">
        <v>0</v>
      </c>
      <c r="BJ1309" s="4">
        <v>10</v>
      </c>
      <c r="BK1309" s="4">
        <v>27</v>
      </c>
      <c r="BL1309" s="4">
        <v>0</v>
      </c>
      <c r="BM1309" s="4">
        <v>1</v>
      </c>
      <c r="BN1309" s="4">
        <v>3</v>
      </c>
      <c r="BO1309" s="4">
        <v>0</v>
      </c>
      <c r="BP1309" s="4">
        <v>1</v>
      </c>
      <c r="BQ1309" s="4">
        <v>9</v>
      </c>
      <c r="BR1309" s="4">
        <v>3</v>
      </c>
      <c r="BS1309" s="4">
        <v>30</v>
      </c>
      <c r="BT1309" s="4">
        <v>10</v>
      </c>
      <c r="BU1309" s="4">
        <v>0</v>
      </c>
      <c r="BV1309" s="4">
        <v>8</v>
      </c>
      <c r="BW1309" s="4">
        <v>7</v>
      </c>
      <c r="BX1309" s="4">
        <v>39</v>
      </c>
      <c r="BY1309" s="4">
        <v>0</v>
      </c>
      <c r="BZ1309" s="4">
        <v>0</v>
      </c>
      <c r="CA1309" s="4">
        <v>25</v>
      </c>
      <c r="CB1309" s="4">
        <v>0</v>
      </c>
      <c r="CC1309" s="4">
        <v>0</v>
      </c>
      <c r="CD1309" s="4">
        <v>4</v>
      </c>
      <c r="CE1309" s="4">
        <v>0</v>
      </c>
      <c r="CF1309" s="4">
        <v>1</v>
      </c>
      <c r="CG1309" s="4">
        <v>1</v>
      </c>
      <c r="CH1309" s="4">
        <v>1</v>
      </c>
      <c r="CI1309" s="4">
        <v>0</v>
      </c>
      <c r="CJ1309" s="4">
        <v>3</v>
      </c>
      <c r="CK1309" s="4">
        <v>0</v>
      </c>
      <c r="CL1309" s="4">
        <v>0</v>
      </c>
      <c r="CM1309" s="4">
        <v>2</v>
      </c>
      <c r="CN1309" s="4">
        <v>28</v>
      </c>
      <c r="CO1309" s="4">
        <v>1</v>
      </c>
      <c r="CP1309" s="4">
        <v>1</v>
      </c>
      <c r="CQ1309" s="4">
        <v>0</v>
      </c>
      <c r="CR1309" s="4">
        <v>0</v>
      </c>
      <c r="CS1309" s="4">
        <v>0</v>
      </c>
      <c r="CT1309" s="4">
        <v>5</v>
      </c>
      <c r="CU1309" s="4">
        <v>4</v>
      </c>
      <c r="CV1309" s="4">
        <v>13</v>
      </c>
      <c r="CW1309" s="4">
        <v>4</v>
      </c>
      <c r="CX1309" s="5">
        <v>4</v>
      </c>
    </row>
    <row r="1310" spans="1:102" ht="15.75" x14ac:dyDescent="0.25">
      <c r="A1310" s="4" t="s">
        <v>355</v>
      </c>
      <c r="B1310" s="4" t="s">
        <v>356</v>
      </c>
      <c r="C1310" s="4">
        <v>2023</v>
      </c>
      <c r="D1310" s="4">
        <v>602</v>
      </c>
      <c r="E1310" s="4">
        <v>0</v>
      </c>
      <c r="F1310" s="4">
        <v>0</v>
      </c>
      <c r="G1310" s="4">
        <v>7</v>
      </c>
      <c r="H1310" s="4">
        <v>0</v>
      </c>
      <c r="I1310" s="4">
        <v>0</v>
      </c>
      <c r="J1310" s="4">
        <v>0</v>
      </c>
      <c r="K1310" s="4">
        <v>0</v>
      </c>
      <c r="L1310" s="4">
        <v>1</v>
      </c>
      <c r="M1310" s="4">
        <v>0</v>
      </c>
      <c r="N1310" s="4">
        <v>4</v>
      </c>
      <c r="O1310" s="4">
        <v>45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5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4</v>
      </c>
      <c r="AH1310" s="4">
        <v>1</v>
      </c>
      <c r="AI1310" s="4">
        <v>8</v>
      </c>
      <c r="AJ1310" s="4">
        <v>6</v>
      </c>
      <c r="AK1310" s="4">
        <v>0</v>
      </c>
      <c r="AL1310" s="4">
        <v>0</v>
      </c>
      <c r="AM1310" s="4">
        <v>3</v>
      </c>
      <c r="AN1310" s="4">
        <v>48</v>
      </c>
      <c r="AO1310" s="4">
        <v>2</v>
      </c>
      <c r="AP1310" s="4">
        <v>0</v>
      </c>
      <c r="AQ1310" s="4">
        <v>7</v>
      </c>
      <c r="AR1310" s="4">
        <v>0</v>
      </c>
      <c r="AS1310" s="4">
        <v>6</v>
      </c>
      <c r="AT1310" s="4">
        <v>3</v>
      </c>
      <c r="AU1310" s="4">
        <v>3</v>
      </c>
      <c r="AV1310" s="4">
        <v>2</v>
      </c>
      <c r="AW1310" s="4">
        <v>1</v>
      </c>
      <c r="AX1310" s="4">
        <v>4</v>
      </c>
      <c r="AY1310" s="4">
        <v>0</v>
      </c>
      <c r="AZ1310" s="4">
        <v>1</v>
      </c>
      <c r="BA1310" s="4">
        <v>0</v>
      </c>
      <c r="BB1310" s="4">
        <v>285</v>
      </c>
      <c r="BC1310" s="4">
        <v>0</v>
      </c>
      <c r="BD1310" s="4">
        <v>0</v>
      </c>
      <c r="BE1310" s="4">
        <v>3</v>
      </c>
      <c r="BF1310" s="4">
        <v>5</v>
      </c>
      <c r="BG1310" s="4">
        <v>1</v>
      </c>
      <c r="BH1310" s="4">
        <v>0</v>
      </c>
      <c r="BI1310" s="4">
        <v>0</v>
      </c>
      <c r="BJ1310" s="4">
        <v>7</v>
      </c>
      <c r="BK1310" s="4">
        <v>9</v>
      </c>
      <c r="BL1310" s="4">
        <v>0</v>
      </c>
      <c r="BM1310" s="4">
        <v>2</v>
      </c>
      <c r="BN1310" s="4">
        <v>6</v>
      </c>
      <c r="BO1310" s="4">
        <v>0</v>
      </c>
      <c r="BP1310" s="4">
        <v>3</v>
      </c>
      <c r="BQ1310" s="4">
        <v>7</v>
      </c>
      <c r="BR1310" s="4">
        <v>0</v>
      </c>
      <c r="BS1310" s="4">
        <v>11</v>
      </c>
      <c r="BT1310" s="4">
        <v>3</v>
      </c>
      <c r="BU1310" s="4">
        <v>0</v>
      </c>
      <c r="BV1310" s="4">
        <v>2</v>
      </c>
      <c r="BW1310" s="4">
        <v>3</v>
      </c>
      <c r="BX1310" s="4">
        <v>35</v>
      </c>
      <c r="BY1310" s="4">
        <v>0</v>
      </c>
      <c r="BZ1310" s="4">
        <v>0</v>
      </c>
      <c r="CA1310" s="4">
        <v>16</v>
      </c>
      <c r="CB1310" s="4">
        <v>0</v>
      </c>
      <c r="CC1310" s="4">
        <v>0</v>
      </c>
      <c r="CD1310" s="4">
        <v>0</v>
      </c>
      <c r="CE1310" s="4">
        <v>1</v>
      </c>
      <c r="CF1310" s="4">
        <v>0</v>
      </c>
      <c r="CG1310" s="4">
        <v>0</v>
      </c>
      <c r="CH1310" s="4">
        <v>0</v>
      </c>
      <c r="CI1310" s="4">
        <v>1</v>
      </c>
      <c r="CJ1310" s="4">
        <v>3</v>
      </c>
      <c r="CK1310" s="4">
        <v>0</v>
      </c>
      <c r="CL1310" s="4">
        <v>0</v>
      </c>
      <c r="CM1310" s="4">
        <v>0</v>
      </c>
      <c r="CN1310" s="4">
        <v>5</v>
      </c>
      <c r="CO1310" s="4">
        <v>0</v>
      </c>
      <c r="CP1310" s="4">
        <v>0</v>
      </c>
      <c r="CQ1310" s="4">
        <v>0</v>
      </c>
      <c r="CR1310" s="4">
        <v>11</v>
      </c>
      <c r="CS1310" s="4">
        <v>0</v>
      </c>
      <c r="CT1310" s="4">
        <v>3</v>
      </c>
      <c r="CU1310" s="4">
        <v>0</v>
      </c>
      <c r="CV1310" s="4">
        <v>8</v>
      </c>
      <c r="CW1310" s="4">
        <v>5</v>
      </c>
      <c r="CX1310" s="5">
        <v>5</v>
      </c>
    </row>
    <row r="1311" spans="1:102" ht="15.75" x14ac:dyDescent="0.25">
      <c r="A1311" s="4" t="s">
        <v>357</v>
      </c>
      <c r="B1311" s="4" t="s">
        <v>358</v>
      </c>
      <c r="C1311" s="4">
        <v>2023</v>
      </c>
      <c r="D1311" s="4">
        <v>376</v>
      </c>
      <c r="E1311" s="4">
        <v>0</v>
      </c>
      <c r="F1311" s="4">
        <v>0</v>
      </c>
      <c r="G1311" s="4">
        <v>1</v>
      </c>
      <c r="H1311" s="4">
        <v>8</v>
      </c>
      <c r="I1311" s="4">
        <v>1</v>
      </c>
      <c r="J1311" s="4">
        <v>0</v>
      </c>
      <c r="K1311" s="4">
        <v>0</v>
      </c>
      <c r="L1311" s="4">
        <v>0</v>
      </c>
      <c r="M1311" s="4">
        <v>0</v>
      </c>
      <c r="N1311" s="4">
        <v>3</v>
      </c>
      <c r="O1311" s="4">
        <v>135</v>
      </c>
      <c r="P1311" s="4">
        <v>0</v>
      </c>
      <c r="Q1311" s="4">
        <v>0</v>
      </c>
      <c r="R1311" s="4">
        <v>0</v>
      </c>
      <c r="S1311" s="4">
        <v>1</v>
      </c>
      <c r="T1311" s="4">
        <v>0</v>
      </c>
      <c r="U1311" s="4">
        <v>14</v>
      </c>
      <c r="V1311" s="4">
        <v>0</v>
      </c>
      <c r="W1311" s="4">
        <v>1</v>
      </c>
      <c r="X1311" s="4">
        <v>3</v>
      </c>
      <c r="Y1311" s="4">
        <v>0</v>
      </c>
      <c r="Z1311" s="4">
        <v>0</v>
      </c>
      <c r="AA1311" s="4">
        <v>1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</v>
      </c>
      <c r="AH1311" s="4">
        <v>1</v>
      </c>
      <c r="AI1311" s="4">
        <v>2</v>
      </c>
      <c r="AJ1311" s="4">
        <v>2</v>
      </c>
      <c r="AK1311" s="4">
        <v>8</v>
      </c>
      <c r="AL1311" s="4">
        <v>0</v>
      </c>
      <c r="AM1311" s="4">
        <v>2</v>
      </c>
      <c r="AN1311" s="4">
        <v>1</v>
      </c>
      <c r="AO1311" s="4">
        <v>6</v>
      </c>
      <c r="AP1311" s="4">
        <v>0</v>
      </c>
      <c r="AQ1311" s="4">
        <v>1</v>
      </c>
      <c r="AR1311" s="4">
        <v>0</v>
      </c>
      <c r="AS1311" s="4">
        <v>4</v>
      </c>
      <c r="AT1311" s="4">
        <v>4</v>
      </c>
      <c r="AU1311" s="4">
        <v>3</v>
      </c>
      <c r="AV1311" s="4">
        <v>5</v>
      </c>
      <c r="AW1311" s="4">
        <v>0</v>
      </c>
      <c r="AX1311" s="4">
        <v>6</v>
      </c>
      <c r="AY1311" s="4">
        <v>0</v>
      </c>
      <c r="AZ1311" s="4">
        <v>0</v>
      </c>
      <c r="BA1311" s="4">
        <v>0</v>
      </c>
      <c r="BB1311" s="4">
        <v>10</v>
      </c>
      <c r="BC1311" s="4">
        <v>1</v>
      </c>
      <c r="BD1311" s="4">
        <v>0</v>
      </c>
      <c r="BE1311" s="4">
        <v>2</v>
      </c>
      <c r="BF1311" s="4">
        <v>13</v>
      </c>
      <c r="BG1311" s="4">
        <v>0</v>
      </c>
      <c r="BH1311" s="4">
        <v>0</v>
      </c>
      <c r="BI1311" s="4">
        <v>0</v>
      </c>
      <c r="BJ1311" s="4">
        <v>2</v>
      </c>
      <c r="BK1311" s="4">
        <v>8</v>
      </c>
      <c r="BL1311" s="4">
        <v>0</v>
      </c>
      <c r="BM1311" s="4">
        <v>0</v>
      </c>
      <c r="BN1311" s="4">
        <v>4</v>
      </c>
      <c r="BO1311" s="4">
        <v>0</v>
      </c>
      <c r="BP1311" s="4">
        <v>0</v>
      </c>
      <c r="BQ1311" s="4">
        <v>4</v>
      </c>
      <c r="BR1311" s="4">
        <v>0</v>
      </c>
      <c r="BS1311" s="4">
        <v>9</v>
      </c>
      <c r="BT1311" s="4">
        <v>2</v>
      </c>
      <c r="BU1311" s="4">
        <v>0</v>
      </c>
      <c r="BV1311" s="4">
        <v>5</v>
      </c>
      <c r="BW1311" s="4">
        <v>1</v>
      </c>
      <c r="BX1311" s="4">
        <v>36</v>
      </c>
      <c r="BY1311" s="4">
        <v>0</v>
      </c>
      <c r="BZ1311" s="4">
        <v>0</v>
      </c>
      <c r="CA1311" s="4">
        <v>34</v>
      </c>
      <c r="CB1311" s="4">
        <v>3</v>
      </c>
      <c r="CC1311" s="4">
        <v>0</v>
      </c>
      <c r="CD1311" s="4">
        <v>1</v>
      </c>
      <c r="CE1311" s="4">
        <v>0</v>
      </c>
      <c r="CF1311" s="4">
        <v>1</v>
      </c>
      <c r="CG1311" s="4">
        <v>1</v>
      </c>
      <c r="CH1311" s="4">
        <v>1</v>
      </c>
      <c r="CI1311" s="4">
        <v>0</v>
      </c>
      <c r="CJ1311" s="4">
        <v>2</v>
      </c>
      <c r="CK1311" s="4">
        <v>0</v>
      </c>
      <c r="CL1311" s="4">
        <v>0</v>
      </c>
      <c r="CM1311" s="4">
        <v>1</v>
      </c>
      <c r="CN1311" s="4">
        <v>4</v>
      </c>
      <c r="CO1311" s="4">
        <v>3</v>
      </c>
      <c r="CP1311" s="4">
        <v>0</v>
      </c>
      <c r="CQ1311" s="4">
        <v>0</v>
      </c>
      <c r="CR1311" s="4">
        <v>1</v>
      </c>
      <c r="CS1311" s="4">
        <v>0</v>
      </c>
      <c r="CT1311" s="4">
        <v>3</v>
      </c>
      <c r="CU1311" s="4">
        <v>1</v>
      </c>
      <c r="CV1311" s="4">
        <v>8</v>
      </c>
      <c r="CW1311" s="4">
        <v>2</v>
      </c>
      <c r="CX1311" s="5">
        <v>2</v>
      </c>
    </row>
    <row r="1312" spans="1:102" ht="15.75" x14ac:dyDescent="0.25">
      <c r="A1312" s="4" t="s">
        <v>359</v>
      </c>
      <c r="B1312" s="4" t="s">
        <v>360</v>
      </c>
      <c r="C1312" s="4">
        <v>2023</v>
      </c>
      <c r="D1312" s="4">
        <v>199</v>
      </c>
      <c r="E1312" s="4">
        <v>0</v>
      </c>
      <c r="F1312" s="4">
        <v>0</v>
      </c>
      <c r="G1312" s="4">
        <v>15</v>
      </c>
      <c r="H1312" s="4">
        <v>0</v>
      </c>
      <c r="I1312" s="4">
        <v>4</v>
      </c>
      <c r="J1312" s="4">
        <v>1</v>
      </c>
      <c r="K1312" s="4">
        <v>1</v>
      </c>
      <c r="L1312" s="4">
        <v>19</v>
      </c>
      <c r="M1312" s="4">
        <v>0</v>
      </c>
      <c r="N1312" s="4">
        <v>5</v>
      </c>
      <c r="O1312" s="4">
        <v>21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3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2</v>
      </c>
      <c r="AH1312" s="4">
        <v>0</v>
      </c>
      <c r="AI1312" s="4">
        <v>1</v>
      </c>
      <c r="AJ1312" s="4">
        <v>18</v>
      </c>
      <c r="AK1312" s="4">
        <v>8</v>
      </c>
      <c r="AL1312" s="4">
        <v>0</v>
      </c>
      <c r="AM1312" s="4">
        <v>1</v>
      </c>
      <c r="AN1312" s="4">
        <v>0</v>
      </c>
      <c r="AO1312" s="4">
        <v>4</v>
      </c>
      <c r="AP1312" s="4">
        <v>0</v>
      </c>
      <c r="AQ1312" s="4">
        <v>2</v>
      </c>
      <c r="AR1312" s="4">
        <v>0</v>
      </c>
      <c r="AS1312" s="4">
        <v>0</v>
      </c>
      <c r="AT1312" s="4">
        <v>0</v>
      </c>
      <c r="AU1312" s="4">
        <v>0</v>
      </c>
      <c r="AV1312" s="4">
        <v>2</v>
      </c>
      <c r="AW1312" s="4">
        <v>0</v>
      </c>
      <c r="AX1312" s="4">
        <v>3</v>
      </c>
      <c r="AY1312" s="4">
        <v>1</v>
      </c>
      <c r="AZ1312" s="4">
        <v>2</v>
      </c>
      <c r="BA1312" s="4">
        <v>0</v>
      </c>
      <c r="BB1312" s="4">
        <v>7</v>
      </c>
      <c r="BC1312" s="4">
        <v>0</v>
      </c>
      <c r="BD1312" s="4">
        <v>0</v>
      </c>
      <c r="BE1312" s="4">
        <v>0</v>
      </c>
      <c r="BF1312" s="4">
        <v>2</v>
      </c>
      <c r="BG1312" s="4">
        <v>0</v>
      </c>
      <c r="BH1312" s="4">
        <v>0</v>
      </c>
      <c r="BI1312" s="4">
        <v>0</v>
      </c>
      <c r="BJ1312" s="4">
        <v>7</v>
      </c>
      <c r="BK1312" s="4">
        <v>8</v>
      </c>
      <c r="BL1312" s="4">
        <v>0</v>
      </c>
      <c r="BM1312" s="4">
        <v>0</v>
      </c>
      <c r="BN1312" s="4">
        <v>1</v>
      </c>
      <c r="BO1312" s="4">
        <v>0</v>
      </c>
      <c r="BP1312" s="4">
        <v>0</v>
      </c>
      <c r="BQ1312" s="4">
        <v>1</v>
      </c>
      <c r="BR1312" s="4">
        <v>1</v>
      </c>
      <c r="BS1312" s="4">
        <v>5</v>
      </c>
      <c r="BT1312" s="4">
        <v>2</v>
      </c>
      <c r="BU1312" s="4">
        <v>0</v>
      </c>
      <c r="BV1312" s="4">
        <v>1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1</v>
      </c>
      <c r="CE1312" s="4">
        <v>0</v>
      </c>
      <c r="CF1312" s="4">
        <v>1</v>
      </c>
      <c r="CG1312" s="4">
        <v>0</v>
      </c>
      <c r="CH1312" s="4">
        <v>0</v>
      </c>
      <c r="CI1312" s="4">
        <v>0</v>
      </c>
      <c r="CJ1312" s="4">
        <v>5</v>
      </c>
      <c r="CK1312" s="4">
        <v>2</v>
      </c>
      <c r="CL1312" s="4">
        <v>0</v>
      </c>
      <c r="CM1312" s="4">
        <v>1</v>
      </c>
      <c r="CN1312" s="4">
        <v>3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31</v>
      </c>
      <c r="CU1312" s="4">
        <v>0</v>
      </c>
      <c r="CV1312" s="4">
        <v>2</v>
      </c>
      <c r="CW1312" s="4">
        <v>1</v>
      </c>
      <c r="CX1312" s="5">
        <v>1</v>
      </c>
    </row>
    <row r="1313" spans="1:102" ht="15.75" x14ac:dyDescent="0.25">
      <c r="A1313" s="4" t="s">
        <v>361</v>
      </c>
      <c r="B1313" s="4" t="s">
        <v>362</v>
      </c>
      <c r="C1313" s="4">
        <v>2023</v>
      </c>
      <c r="D1313" s="4">
        <v>1027</v>
      </c>
      <c r="E1313" s="4">
        <v>0</v>
      </c>
      <c r="F1313" s="4">
        <v>0</v>
      </c>
      <c r="G1313" s="4">
        <v>19</v>
      </c>
      <c r="H1313" s="4">
        <v>0</v>
      </c>
      <c r="I1313" s="4">
        <v>2</v>
      </c>
      <c r="J1313" s="4">
        <v>8</v>
      </c>
      <c r="K1313" s="4">
        <v>0</v>
      </c>
      <c r="L1313" s="4">
        <v>3</v>
      </c>
      <c r="M1313" s="4">
        <v>3</v>
      </c>
      <c r="N1313" s="4">
        <v>3</v>
      </c>
      <c r="O1313" s="4">
        <v>22</v>
      </c>
      <c r="P1313" s="4">
        <v>0</v>
      </c>
      <c r="Q1313" s="4">
        <v>0</v>
      </c>
      <c r="R1313" s="4">
        <v>3</v>
      </c>
      <c r="S1313" s="4">
        <v>0</v>
      </c>
      <c r="T1313" s="4">
        <v>0</v>
      </c>
      <c r="U1313" s="4">
        <v>6</v>
      </c>
      <c r="V1313" s="4">
        <v>4</v>
      </c>
      <c r="W1313" s="4">
        <v>121</v>
      </c>
      <c r="X1313" s="4">
        <v>6</v>
      </c>
      <c r="Y1313" s="4">
        <v>4</v>
      </c>
      <c r="Z1313" s="4">
        <v>69</v>
      </c>
      <c r="AA1313" s="4">
        <v>323</v>
      </c>
      <c r="AB1313" s="4">
        <v>15</v>
      </c>
      <c r="AC1313" s="4">
        <v>0</v>
      </c>
      <c r="AD1313" s="4">
        <v>1</v>
      </c>
      <c r="AE1313" s="4">
        <v>0</v>
      </c>
      <c r="AF1313" s="4">
        <v>0</v>
      </c>
      <c r="AG1313" s="4">
        <v>1</v>
      </c>
      <c r="AH1313" s="4">
        <v>0</v>
      </c>
      <c r="AI1313" s="4">
        <v>9</v>
      </c>
      <c r="AJ1313" s="4">
        <v>25</v>
      </c>
      <c r="AK1313" s="4">
        <v>5</v>
      </c>
      <c r="AL1313" s="4">
        <v>1</v>
      </c>
      <c r="AM1313" s="4">
        <v>3</v>
      </c>
      <c r="AN1313" s="4">
        <v>9</v>
      </c>
      <c r="AO1313" s="4">
        <v>9</v>
      </c>
      <c r="AP1313" s="4">
        <v>23</v>
      </c>
      <c r="AQ1313" s="4">
        <v>6</v>
      </c>
      <c r="AR1313" s="4">
        <v>0</v>
      </c>
      <c r="AS1313" s="4">
        <v>2</v>
      </c>
      <c r="AT1313" s="4">
        <v>17</v>
      </c>
      <c r="AU1313" s="4">
        <v>5</v>
      </c>
      <c r="AV1313" s="4">
        <v>3</v>
      </c>
      <c r="AW1313" s="4">
        <v>2</v>
      </c>
      <c r="AX1313" s="4">
        <v>7</v>
      </c>
      <c r="AY1313" s="4">
        <v>1</v>
      </c>
      <c r="AZ1313" s="4">
        <v>1</v>
      </c>
      <c r="BA1313" s="4">
        <v>0</v>
      </c>
      <c r="BB1313" s="4">
        <v>35</v>
      </c>
      <c r="BC1313" s="4">
        <v>1</v>
      </c>
      <c r="BD1313" s="4">
        <v>0</v>
      </c>
      <c r="BE1313" s="4">
        <v>3</v>
      </c>
      <c r="BF1313" s="4">
        <v>4</v>
      </c>
      <c r="BG1313" s="4">
        <v>2</v>
      </c>
      <c r="BH1313" s="4">
        <v>1</v>
      </c>
      <c r="BI1313" s="4">
        <v>0</v>
      </c>
      <c r="BJ1313" s="4">
        <v>5</v>
      </c>
      <c r="BK1313" s="4">
        <v>14</v>
      </c>
      <c r="BL1313" s="4">
        <v>0</v>
      </c>
      <c r="BM1313" s="4">
        <v>0</v>
      </c>
      <c r="BN1313" s="4">
        <v>3</v>
      </c>
      <c r="BO1313" s="4">
        <v>0</v>
      </c>
      <c r="BP1313" s="4">
        <v>1</v>
      </c>
      <c r="BQ1313" s="4">
        <v>17</v>
      </c>
      <c r="BR1313" s="4">
        <v>1</v>
      </c>
      <c r="BS1313" s="4">
        <v>16</v>
      </c>
      <c r="BT1313" s="4">
        <v>3</v>
      </c>
      <c r="BU1313" s="4">
        <v>0</v>
      </c>
      <c r="BV1313" s="4">
        <v>6</v>
      </c>
      <c r="BW1313" s="4">
        <v>1</v>
      </c>
      <c r="BX1313" s="4">
        <v>111</v>
      </c>
      <c r="BY1313" s="4">
        <v>0</v>
      </c>
      <c r="BZ1313" s="4">
        <v>0</v>
      </c>
      <c r="CA1313" s="4">
        <v>13</v>
      </c>
      <c r="CB1313" s="4">
        <v>0</v>
      </c>
      <c r="CC1313" s="4">
        <v>0</v>
      </c>
      <c r="CD1313" s="4">
        <v>1</v>
      </c>
      <c r="CE1313" s="4">
        <v>0</v>
      </c>
      <c r="CF1313" s="4">
        <v>1</v>
      </c>
      <c r="CG1313" s="4">
        <v>0</v>
      </c>
      <c r="CH1313" s="4">
        <v>1</v>
      </c>
      <c r="CI1313" s="4">
        <v>0</v>
      </c>
      <c r="CJ1313" s="4">
        <v>1</v>
      </c>
      <c r="CK1313" s="4">
        <v>0</v>
      </c>
      <c r="CL1313" s="4">
        <v>0</v>
      </c>
      <c r="CM1313" s="4">
        <v>15</v>
      </c>
      <c r="CN1313" s="4">
        <v>8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8</v>
      </c>
      <c r="CU1313" s="4">
        <v>0</v>
      </c>
      <c r="CV1313" s="4">
        <v>11</v>
      </c>
      <c r="CW1313" s="4">
        <v>2</v>
      </c>
      <c r="CX1313" s="5">
        <v>2</v>
      </c>
    </row>
    <row r="1314" spans="1:102" ht="15.75" x14ac:dyDescent="0.25">
      <c r="A1314" s="4" t="s">
        <v>363</v>
      </c>
      <c r="B1314" s="4" t="s">
        <v>364</v>
      </c>
      <c r="C1314" s="4">
        <v>2023</v>
      </c>
      <c r="D1314" s="4">
        <v>44</v>
      </c>
      <c r="E1314" s="4">
        <v>0</v>
      </c>
      <c r="F1314" s="4">
        <v>0</v>
      </c>
      <c r="G1314" s="4">
        <v>0</v>
      </c>
      <c r="H1314" s="4">
        <v>1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1</v>
      </c>
      <c r="O1314" s="4">
        <v>4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1</v>
      </c>
      <c r="AU1314" s="4">
        <v>0</v>
      </c>
      <c r="AV1314" s="4">
        <v>0</v>
      </c>
      <c r="AW1314" s="4">
        <v>0</v>
      </c>
      <c r="AX1314" s="4">
        <v>1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7</v>
      </c>
      <c r="BG1314" s="4">
        <v>0</v>
      </c>
      <c r="BH1314" s="4">
        <v>0</v>
      </c>
      <c r="BI1314" s="4">
        <v>0</v>
      </c>
      <c r="BJ1314" s="4">
        <v>0</v>
      </c>
      <c r="BK1314" s="4">
        <v>1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1</v>
      </c>
      <c r="BT1314" s="4">
        <v>0</v>
      </c>
      <c r="BU1314" s="4">
        <v>0</v>
      </c>
      <c r="BV1314" s="4">
        <v>0</v>
      </c>
      <c r="BW1314" s="4">
        <v>1</v>
      </c>
      <c r="BX1314" s="4">
        <v>19</v>
      </c>
      <c r="BY1314" s="4">
        <v>0</v>
      </c>
      <c r="BZ1314" s="4">
        <v>0</v>
      </c>
      <c r="CA1314" s="4">
        <v>1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1</v>
      </c>
      <c r="CO1314" s="4">
        <v>0</v>
      </c>
      <c r="CP1314" s="4">
        <v>0</v>
      </c>
      <c r="CQ1314" s="4">
        <v>0</v>
      </c>
      <c r="CR1314" s="4">
        <v>0</v>
      </c>
      <c r="CS1314" s="4">
        <v>0</v>
      </c>
      <c r="CT1314" s="4">
        <v>1</v>
      </c>
      <c r="CU1314" s="4">
        <v>0</v>
      </c>
      <c r="CV1314" s="4">
        <v>1</v>
      </c>
      <c r="CW1314" s="4">
        <v>0</v>
      </c>
      <c r="CX1314" s="5">
        <v>0</v>
      </c>
    </row>
    <row r="1315" spans="1:102" ht="15.75" x14ac:dyDescent="0.25">
      <c r="A1315" s="4" t="s">
        <v>365</v>
      </c>
      <c r="B1315" s="4" t="s">
        <v>366</v>
      </c>
      <c r="C1315" s="4">
        <v>2023</v>
      </c>
      <c r="D1315" s="4">
        <v>12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2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1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1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0</v>
      </c>
      <c r="CR1315" s="4">
        <v>0</v>
      </c>
      <c r="CS1315" s="4">
        <v>0</v>
      </c>
      <c r="CT1315" s="4">
        <v>0</v>
      </c>
      <c r="CU1315" s="4">
        <v>0</v>
      </c>
      <c r="CV1315" s="4">
        <v>0</v>
      </c>
      <c r="CW1315" s="4">
        <v>0</v>
      </c>
      <c r="CX1315" s="5">
        <v>0</v>
      </c>
    </row>
    <row r="1316" spans="1:102" ht="15.75" x14ac:dyDescent="0.25">
      <c r="A1316" s="4" t="s">
        <v>367</v>
      </c>
      <c r="B1316" s="4" t="s">
        <v>368</v>
      </c>
      <c r="C1316" s="4">
        <v>2023</v>
      </c>
      <c r="D1316" s="4">
        <v>14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1</v>
      </c>
      <c r="AP1316" s="4">
        <v>0</v>
      </c>
      <c r="AQ1316" s="4">
        <v>0</v>
      </c>
      <c r="AR1316" s="4">
        <v>0</v>
      </c>
      <c r="AS1316" s="4">
        <v>0</v>
      </c>
      <c r="AT1316" s="4">
        <v>1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1</v>
      </c>
      <c r="BF1316" s="4">
        <v>1</v>
      </c>
      <c r="BG1316" s="4">
        <v>0</v>
      </c>
      <c r="BH1316" s="4">
        <v>0</v>
      </c>
      <c r="BI1316" s="4">
        <v>0</v>
      </c>
      <c r="BJ1316" s="4">
        <v>3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1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1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1</v>
      </c>
      <c r="CO1316" s="4">
        <v>0</v>
      </c>
      <c r="CP1316" s="4">
        <v>0</v>
      </c>
      <c r="CQ1316" s="4">
        <v>0</v>
      </c>
      <c r="CR1316" s="4">
        <v>0</v>
      </c>
      <c r="CS1316" s="4">
        <v>0</v>
      </c>
      <c r="CT1316" s="4">
        <v>1</v>
      </c>
      <c r="CU1316" s="4">
        <v>0</v>
      </c>
      <c r="CV1316" s="4">
        <v>0</v>
      </c>
      <c r="CW1316" s="4">
        <v>0</v>
      </c>
      <c r="CX1316" s="5">
        <v>0</v>
      </c>
    </row>
    <row r="1317" spans="1:102" ht="15.75" x14ac:dyDescent="0.25">
      <c r="A1317" s="4" t="s">
        <v>369</v>
      </c>
      <c r="B1317" s="4" t="s">
        <v>370</v>
      </c>
      <c r="C1317" s="4">
        <v>2023</v>
      </c>
      <c r="D1317" s="4">
        <v>6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4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2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0</v>
      </c>
      <c r="CP1317" s="4">
        <v>0</v>
      </c>
      <c r="CQ1317" s="4">
        <v>0</v>
      </c>
      <c r="CR1317" s="4">
        <v>0</v>
      </c>
      <c r="CS1317" s="4">
        <v>0</v>
      </c>
      <c r="CT1317" s="4">
        <v>0</v>
      </c>
      <c r="CU1317" s="4">
        <v>0</v>
      </c>
      <c r="CV1317" s="4">
        <v>0</v>
      </c>
      <c r="CW1317" s="4">
        <v>0</v>
      </c>
      <c r="CX1317" s="5">
        <v>0</v>
      </c>
    </row>
    <row r="1318" spans="1:102" ht="15.75" x14ac:dyDescent="0.25">
      <c r="A1318" s="4" t="s">
        <v>371</v>
      </c>
      <c r="B1318" s="4" t="s">
        <v>372</v>
      </c>
      <c r="C1318" s="4">
        <v>2023</v>
      </c>
      <c r="D1318" s="4">
        <v>1305</v>
      </c>
      <c r="E1318" s="4">
        <v>0</v>
      </c>
      <c r="F1318" s="4">
        <v>3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2</v>
      </c>
      <c r="O1318" s="4">
        <v>3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</v>
      </c>
      <c r="AH1318" s="4">
        <v>224</v>
      </c>
      <c r="AI1318" s="4">
        <v>1</v>
      </c>
      <c r="AJ1318" s="4">
        <v>2</v>
      </c>
      <c r="AK1318" s="4">
        <v>0</v>
      </c>
      <c r="AL1318" s="4">
        <v>0</v>
      </c>
      <c r="AM1318" s="4">
        <v>0</v>
      </c>
      <c r="AN1318" s="4">
        <v>2</v>
      </c>
      <c r="AO1318" s="4">
        <v>9</v>
      </c>
      <c r="AP1318" s="4">
        <v>0</v>
      </c>
      <c r="AQ1318" s="4">
        <v>0</v>
      </c>
      <c r="AR1318" s="4">
        <v>0</v>
      </c>
      <c r="AS1318" s="4">
        <v>0</v>
      </c>
      <c r="AT1318" s="4">
        <v>9</v>
      </c>
      <c r="AU1318" s="4">
        <v>0</v>
      </c>
      <c r="AV1318" s="4">
        <v>0</v>
      </c>
      <c r="AW1318" s="4">
        <v>1020</v>
      </c>
      <c r="AX1318" s="4">
        <v>1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4</v>
      </c>
      <c r="BG1318" s="4">
        <v>0</v>
      </c>
      <c r="BH1318" s="4">
        <v>0</v>
      </c>
      <c r="BI1318" s="4">
        <v>0</v>
      </c>
      <c r="BJ1318" s="4">
        <v>1</v>
      </c>
      <c r="BK1318" s="4">
        <v>2</v>
      </c>
      <c r="BL1318" s="4">
        <v>0</v>
      </c>
      <c r="BM1318" s="4">
        <v>0</v>
      </c>
      <c r="BN1318" s="4">
        <v>1</v>
      </c>
      <c r="BO1318" s="4">
        <v>0</v>
      </c>
      <c r="BP1318" s="4">
        <v>0</v>
      </c>
      <c r="BQ1318" s="4">
        <v>0</v>
      </c>
      <c r="BR1318" s="4">
        <v>0</v>
      </c>
      <c r="BS1318" s="4">
        <v>8</v>
      </c>
      <c r="BT1318" s="4">
        <v>1</v>
      </c>
      <c r="BU1318" s="4">
        <v>0</v>
      </c>
      <c r="BV1318" s="4">
        <v>1</v>
      </c>
      <c r="BW1318" s="4">
        <v>0</v>
      </c>
      <c r="BX1318" s="4">
        <v>0</v>
      </c>
      <c r="BY1318" s="4">
        <v>2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1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1</v>
      </c>
      <c r="CU1318" s="4">
        <v>0</v>
      </c>
      <c r="CV1318" s="4">
        <v>2</v>
      </c>
      <c r="CW1318" s="4">
        <v>0</v>
      </c>
      <c r="CX1318" s="5">
        <v>0</v>
      </c>
    </row>
    <row r="1319" spans="1:102" ht="15.75" x14ac:dyDescent="0.25">
      <c r="A1319" s="4" t="s">
        <v>373</v>
      </c>
      <c r="B1319" s="4" t="s">
        <v>374</v>
      </c>
      <c r="C1319" s="4">
        <v>2023</v>
      </c>
      <c r="D1319" s="4">
        <v>18</v>
      </c>
      <c r="E1319" s="4">
        <v>0</v>
      </c>
      <c r="F1319" s="4">
        <v>0</v>
      </c>
      <c r="G1319" s="4">
        <v>0</v>
      </c>
      <c r="H1319" s="4">
        <v>0</v>
      </c>
      <c r="I1319" s="4">
        <v>1</v>
      </c>
      <c r="J1319" s="4">
        <v>0</v>
      </c>
      <c r="K1319" s="4">
        <v>0</v>
      </c>
      <c r="L1319" s="4">
        <v>0</v>
      </c>
      <c r="M1319" s="4">
        <v>0</v>
      </c>
      <c r="N1319" s="4">
        <v>1</v>
      </c>
      <c r="O1319" s="4">
        <v>1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1</v>
      </c>
      <c r="AK1319" s="4">
        <v>0</v>
      </c>
      <c r="AL1319" s="4">
        <v>0</v>
      </c>
      <c r="AM1319" s="4">
        <v>2</v>
      </c>
      <c r="AN1319" s="4">
        <v>0</v>
      </c>
      <c r="AO1319" s="4">
        <v>1</v>
      </c>
      <c r="AP1319" s="4">
        <v>0</v>
      </c>
      <c r="AQ1319" s="4">
        <v>0</v>
      </c>
      <c r="AR1319" s="4">
        <v>0</v>
      </c>
      <c r="AS1319" s="4">
        <v>0</v>
      </c>
      <c r="AT1319" s="4">
        <v>1</v>
      </c>
      <c r="AU1319" s="4">
        <v>0</v>
      </c>
      <c r="AV1319" s="4">
        <v>0</v>
      </c>
      <c r="AW1319" s="4">
        <v>0</v>
      </c>
      <c r="AX1319" s="4">
        <v>1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1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1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2</v>
      </c>
      <c r="BR1319" s="4">
        <v>0</v>
      </c>
      <c r="BS1319" s="4">
        <v>1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1</v>
      </c>
      <c r="CL1319" s="4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  <c r="CS1319" s="4">
        <v>0</v>
      </c>
      <c r="CT1319" s="4">
        <v>0</v>
      </c>
      <c r="CU1319" s="4">
        <v>0</v>
      </c>
      <c r="CV1319" s="4">
        <v>0</v>
      </c>
      <c r="CW1319" s="4">
        <v>0</v>
      </c>
      <c r="CX1319" s="5">
        <v>0</v>
      </c>
    </row>
    <row r="1320" spans="1:102" ht="15.75" x14ac:dyDescent="0.25">
      <c r="A1320" s="4" t="s">
        <v>375</v>
      </c>
      <c r="B1320" s="4" t="s">
        <v>376</v>
      </c>
      <c r="C1320" s="4">
        <v>2023</v>
      </c>
      <c r="D1320" s="4">
        <v>19</v>
      </c>
      <c r="E1320" s="4">
        <v>1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4</v>
      </c>
      <c r="N1320" s="4">
        <v>1</v>
      </c>
      <c r="O1320" s="4">
        <v>3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1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3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1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1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1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0</v>
      </c>
      <c r="CR1320" s="4">
        <v>0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5">
        <v>0</v>
      </c>
    </row>
    <row r="1321" spans="1:102" ht="15.75" x14ac:dyDescent="0.25">
      <c r="A1321" s="4" t="s">
        <v>377</v>
      </c>
      <c r="B1321" s="4" t="s">
        <v>378</v>
      </c>
      <c r="C1321" s="4">
        <v>2023</v>
      </c>
      <c r="D1321" s="4">
        <v>25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1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1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11</v>
      </c>
      <c r="BY1321" s="4">
        <v>0</v>
      </c>
      <c r="BZ1321" s="4">
        <v>0</v>
      </c>
      <c r="CA1321" s="4">
        <v>1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1</v>
      </c>
      <c r="CK1321" s="4">
        <v>0</v>
      </c>
      <c r="CL1321" s="4">
        <v>0</v>
      </c>
      <c r="CM1321" s="4">
        <v>0</v>
      </c>
      <c r="CN1321" s="4">
        <v>1</v>
      </c>
      <c r="CO1321" s="4">
        <v>0</v>
      </c>
      <c r="CP1321" s="4">
        <v>0</v>
      </c>
      <c r="CQ1321" s="4">
        <v>0</v>
      </c>
      <c r="CR1321" s="4">
        <v>0</v>
      </c>
      <c r="CS1321" s="4">
        <v>1</v>
      </c>
      <c r="CT1321" s="4">
        <v>0</v>
      </c>
      <c r="CU1321" s="4">
        <v>0</v>
      </c>
      <c r="CV1321" s="4">
        <v>1</v>
      </c>
      <c r="CW1321" s="4">
        <v>0</v>
      </c>
      <c r="CX1321" s="5">
        <v>0</v>
      </c>
    </row>
    <row r="1322" spans="1:102" ht="15.75" x14ac:dyDescent="0.25">
      <c r="A1322" s="4" t="s">
        <v>379</v>
      </c>
      <c r="B1322" s="4" t="s">
        <v>380</v>
      </c>
      <c r="C1322" s="4">
        <v>2023</v>
      </c>
      <c r="D1322" s="4">
        <v>239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13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3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4</v>
      </c>
      <c r="AU1322" s="4">
        <v>0</v>
      </c>
      <c r="AV1322" s="4">
        <v>0</v>
      </c>
      <c r="AW1322" s="4">
        <v>0</v>
      </c>
      <c r="AX1322" s="4">
        <v>1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1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2</v>
      </c>
      <c r="BR1322" s="4">
        <v>0</v>
      </c>
      <c r="BS1322" s="4">
        <v>0</v>
      </c>
      <c r="BT1322" s="4">
        <v>0</v>
      </c>
      <c r="BU1322" s="4">
        <v>2</v>
      </c>
      <c r="BV1322" s="4">
        <v>1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1</v>
      </c>
      <c r="CI1322" s="4">
        <v>98</v>
      </c>
      <c r="CJ1322" s="4">
        <v>45</v>
      </c>
      <c r="CK1322" s="4">
        <v>13</v>
      </c>
      <c r="CL1322" s="4">
        <v>0</v>
      </c>
      <c r="CM1322" s="4">
        <v>0</v>
      </c>
      <c r="CN1322" s="4">
        <v>0</v>
      </c>
      <c r="CO1322" s="4">
        <v>17</v>
      </c>
      <c r="CP1322" s="4">
        <v>11</v>
      </c>
      <c r="CQ1322" s="4">
        <v>0</v>
      </c>
      <c r="CR1322" s="4">
        <v>2</v>
      </c>
      <c r="CS1322" s="4">
        <v>15</v>
      </c>
      <c r="CT1322" s="4">
        <v>0</v>
      </c>
      <c r="CU1322" s="4">
        <v>0</v>
      </c>
      <c r="CV1322" s="4">
        <v>5</v>
      </c>
      <c r="CW1322" s="4">
        <v>1</v>
      </c>
      <c r="CX1322" s="5">
        <v>1</v>
      </c>
    </row>
    <row r="1323" spans="1:102" ht="15.75" x14ac:dyDescent="0.25">
      <c r="A1323" s="4" t="s">
        <v>381</v>
      </c>
      <c r="B1323" s="4" t="s">
        <v>382</v>
      </c>
      <c r="C1323" s="4">
        <v>2023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0</v>
      </c>
      <c r="CP1323" s="4">
        <v>0</v>
      </c>
      <c r="CQ1323" s="4">
        <v>0</v>
      </c>
      <c r="CR1323" s="4">
        <v>0</v>
      </c>
      <c r="CS1323" s="4">
        <v>0</v>
      </c>
      <c r="CT1323" s="4">
        <v>0</v>
      </c>
      <c r="CU1323" s="4">
        <v>0</v>
      </c>
      <c r="CV1323" s="4">
        <v>0</v>
      </c>
      <c r="CW1323" s="4">
        <v>0</v>
      </c>
      <c r="CX1323" s="5">
        <v>0</v>
      </c>
    </row>
    <row r="1324" spans="1:102" ht="15.75" x14ac:dyDescent="0.25">
      <c r="A1324" s="4" t="s">
        <v>383</v>
      </c>
      <c r="B1324" s="4" t="s">
        <v>384</v>
      </c>
      <c r="C1324" s="4">
        <v>2023</v>
      </c>
      <c r="D1324" s="4">
        <v>39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1</v>
      </c>
      <c r="AB1324" s="4">
        <v>5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4</v>
      </c>
      <c r="AW1324" s="4">
        <v>0</v>
      </c>
      <c r="AX1324" s="4">
        <v>5</v>
      </c>
      <c r="AY1324" s="4">
        <v>0</v>
      </c>
      <c r="AZ1324" s="4">
        <v>0</v>
      </c>
      <c r="BA1324" s="4">
        <v>0</v>
      </c>
      <c r="BB1324" s="4">
        <v>0</v>
      </c>
      <c r="BC1324" s="4">
        <v>1</v>
      </c>
      <c r="BD1324" s="4">
        <v>0</v>
      </c>
      <c r="BE1324" s="4">
        <v>2</v>
      </c>
      <c r="BF1324" s="4">
        <v>2</v>
      </c>
      <c r="BG1324" s="4">
        <v>0</v>
      </c>
      <c r="BH1324" s="4">
        <v>0</v>
      </c>
      <c r="BI1324" s="4">
        <v>0</v>
      </c>
      <c r="BJ1324" s="4">
        <v>4</v>
      </c>
      <c r="BK1324" s="4">
        <v>1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2</v>
      </c>
      <c r="BR1324" s="4">
        <v>0</v>
      </c>
      <c r="BS1324" s="4">
        <v>2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1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3</v>
      </c>
      <c r="CO1324" s="4">
        <v>0</v>
      </c>
      <c r="CP1324" s="4">
        <v>0</v>
      </c>
      <c r="CQ1324" s="4">
        <v>0</v>
      </c>
      <c r="CR1324" s="4">
        <v>0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5">
        <v>0</v>
      </c>
    </row>
    <row r="1325" spans="1:102" ht="15.75" x14ac:dyDescent="0.25">
      <c r="A1325" s="4" t="s">
        <v>385</v>
      </c>
      <c r="B1325" s="4" t="s">
        <v>386</v>
      </c>
      <c r="C1325" s="4">
        <v>2023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5">
        <v>0</v>
      </c>
    </row>
    <row r="1326" spans="1:102" ht="15.75" x14ac:dyDescent="0.25">
      <c r="A1326" s="4" t="s">
        <v>387</v>
      </c>
      <c r="B1326" s="4" t="s">
        <v>388</v>
      </c>
      <c r="C1326" s="4">
        <v>2023</v>
      </c>
      <c r="D1326" s="4">
        <v>386</v>
      </c>
      <c r="E1326" s="4">
        <v>0</v>
      </c>
      <c r="F1326" s="4">
        <v>3</v>
      </c>
      <c r="G1326" s="4">
        <v>2</v>
      </c>
      <c r="H1326" s="4">
        <v>1</v>
      </c>
      <c r="I1326" s="4">
        <v>9</v>
      </c>
      <c r="J1326" s="4">
        <v>3</v>
      </c>
      <c r="K1326" s="4">
        <v>2</v>
      </c>
      <c r="L1326" s="4">
        <v>6</v>
      </c>
      <c r="M1326" s="4">
        <v>3</v>
      </c>
      <c r="N1326" s="4">
        <v>8</v>
      </c>
      <c r="O1326" s="4">
        <v>14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1</v>
      </c>
      <c r="W1326" s="4">
        <v>0</v>
      </c>
      <c r="X1326" s="4">
        <v>0</v>
      </c>
      <c r="Y1326" s="4">
        <v>0</v>
      </c>
      <c r="Z1326" s="4">
        <v>0</v>
      </c>
      <c r="AA1326" s="4">
        <v>53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1</v>
      </c>
      <c r="AH1326" s="4">
        <v>0</v>
      </c>
      <c r="AI1326" s="4">
        <v>6</v>
      </c>
      <c r="AJ1326" s="4">
        <v>22</v>
      </c>
      <c r="AK1326" s="4">
        <v>11</v>
      </c>
      <c r="AL1326" s="4">
        <v>0</v>
      </c>
      <c r="AM1326" s="4">
        <v>3</v>
      </c>
      <c r="AN1326" s="4">
        <v>8</v>
      </c>
      <c r="AO1326" s="4">
        <v>5</v>
      </c>
      <c r="AP1326" s="4">
        <v>0</v>
      </c>
      <c r="AQ1326" s="4">
        <v>4</v>
      </c>
      <c r="AR1326" s="4">
        <v>1</v>
      </c>
      <c r="AS1326" s="4">
        <v>5</v>
      </c>
      <c r="AT1326" s="4">
        <v>3</v>
      </c>
      <c r="AU1326" s="4">
        <v>1</v>
      </c>
      <c r="AV1326" s="4">
        <v>1</v>
      </c>
      <c r="AW1326" s="4">
        <v>3</v>
      </c>
      <c r="AX1326" s="4">
        <v>10</v>
      </c>
      <c r="AY1326" s="4">
        <v>0</v>
      </c>
      <c r="AZ1326" s="4">
        <v>0</v>
      </c>
      <c r="BA1326" s="4">
        <v>0</v>
      </c>
      <c r="BB1326" s="4">
        <v>16</v>
      </c>
      <c r="BC1326" s="4">
        <v>0</v>
      </c>
      <c r="BD1326" s="4">
        <v>0</v>
      </c>
      <c r="BE1326" s="4">
        <v>1</v>
      </c>
      <c r="BF1326" s="4">
        <v>5</v>
      </c>
      <c r="BG1326" s="4">
        <v>0</v>
      </c>
      <c r="BH1326" s="4">
        <v>0</v>
      </c>
      <c r="BI1326" s="4">
        <v>0</v>
      </c>
      <c r="BJ1326" s="4">
        <v>4</v>
      </c>
      <c r="BK1326" s="4">
        <v>5</v>
      </c>
      <c r="BL1326" s="4">
        <v>0</v>
      </c>
      <c r="BM1326" s="4">
        <v>0</v>
      </c>
      <c r="BN1326" s="4">
        <v>7</v>
      </c>
      <c r="BO1326" s="4">
        <v>0</v>
      </c>
      <c r="BP1326" s="4">
        <v>1</v>
      </c>
      <c r="BQ1326" s="4">
        <v>5</v>
      </c>
      <c r="BR1326" s="4">
        <v>1</v>
      </c>
      <c r="BS1326" s="4">
        <v>10</v>
      </c>
      <c r="BT1326" s="4">
        <v>4</v>
      </c>
      <c r="BU1326" s="4">
        <v>0</v>
      </c>
      <c r="BV1326" s="4">
        <v>3</v>
      </c>
      <c r="BW1326" s="4">
        <v>12</v>
      </c>
      <c r="BX1326" s="4">
        <v>30</v>
      </c>
      <c r="BY1326" s="4">
        <v>0</v>
      </c>
      <c r="BZ1326" s="4">
        <v>0</v>
      </c>
      <c r="CA1326" s="4">
        <v>10</v>
      </c>
      <c r="CB1326" s="4">
        <v>35</v>
      </c>
      <c r="CC1326" s="4">
        <v>0</v>
      </c>
      <c r="CD1326" s="4">
        <v>1</v>
      </c>
      <c r="CE1326" s="4">
        <v>0</v>
      </c>
      <c r="CF1326" s="4">
        <v>1</v>
      </c>
      <c r="CG1326" s="4">
        <v>1</v>
      </c>
      <c r="CH1326" s="4">
        <v>1</v>
      </c>
      <c r="CI1326" s="4">
        <v>2</v>
      </c>
      <c r="CJ1326" s="4">
        <v>5</v>
      </c>
      <c r="CK1326" s="4">
        <v>0</v>
      </c>
      <c r="CL1326" s="4">
        <v>0</v>
      </c>
      <c r="CM1326" s="4">
        <v>3</v>
      </c>
      <c r="CN1326" s="4">
        <v>4</v>
      </c>
      <c r="CO1326" s="4">
        <v>1</v>
      </c>
      <c r="CP1326" s="4">
        <v>0</v>
      </c>
      <c r="CQ1326" s="4">
        <v>0</v>
      </c>
      <c r="CR1326" s="4">
        <v>3</v>
      </c>
      <c r="CS1326" s="4">
        <v>1</v>
      </c>
      <c r="CT1326" s="4">
        <v>5</v>
      </c>
      <c r="CU1326" s="4">
        <v>1</v>
      </c>
      <c r="CV1326" s="4">
        <v>14</v>
      </c>
      <c r="CW1326" s="4">
        <v>3</v>
      </c>
      <c r="CX1326" s="5">
        <v>3</v>
      </c>
    </row>
    <row r="1327" spans="1:102" ht="15.75" x14ac:dyDescent="0.25">
      <c r="A1327" s="4" t="s">
        <v>389</v>
      </c>
      <c r="B1327" s="4" t="s">
        <v>390</v>
      </c>
      <c r="C1327" s="4">
        <v>2023</v>
      </c>
      <c r="D1327" s="4">
        <v>82</v>
      </c>
      <c r="E1327" s="4">
        <v>0</v>
      </c>
      <c r="F1327" s="4">
        <v>0</v>
      </c>
      <c r="G1327" s="4">
        <v>1</v>
      </c>
      <c r="H1327" s="4">
        <v>0</v>
      </c>
      <c r="I1327" s="4">
        <v>5</v>
      </c>
      <c r="J1327" s="4">
        <v>0</v>
      </c>
      <c r="K1327" s="4">
        <v>0</v>
      </c>
      <c r="L1327" s="4">
        <v>1</v>
      </c>
      <c r="M1327" s="4">
        <v>0</v>
      </c>
      <c r="N1327" s="4">
        <v>4</v>
      </c>
      <c r="O1327" s="4">
        <v>5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1</v>
      </c>
      <c r="AJ1327" s="4">
        <v>5</v>
      </c>
      <c r="AK1327" s="4">
        <v>2</v>
      </c>
      <c r="AL1327" s="4">
        <v>0</v>
      </c>
      <c r="AM1327" s="4">
        <v>0</v>
      </c>
      <c r="AN1327" s="4">
        <v>0</v>
      </c>
      <c r="AO1327" s="4">
        <v>1</v>
      </c>
      <c r="AP1327" s="4">
        <v>0</v>
      </c>
      <c r="AQ1327" s="4">
        <v>0</v>
      </c>
      <c r="AR1327" s="4">
        <v>0</v>
      </c>
      <c r="AS1327" s="4">
        <v>0</v>
      </c>
      <c r="AT1327" s="4">
        <v>4</v>
      </c>
      <c r="AU1327" s="4">
        <v>1</v>
      </c>
      <c r="AV1327" s="4">
        <v>0</v>
      </c>
      <c r="AW1327" s="4">
        <v>0</v>
      </c>
      <c r="AX1327" s="4">
        <v>2</v>
      </c>
      <c r="AY1327" s="4">
        <v>0</v>
      </c>
      <c r="AZ1327" s="4">
        <v>0</v>
      </c>
      <c r="BA1327" s="4">
        <v>0</v>
      </c>
      <c r="BB1327" s="4">
        <v>1</v>
      </c>
      <c r="BC1327" s="4">
        <v>0</v>
      </c>
      <c r="BD1327" s="4">
        <v>0</v>
      </c>
      <c r="BE1327" s="4">
        <v>1</v>
      </c>
      <c r="BF1327" s="4">
        <v>4</v>
      </c>
      <c r="BG1327" s="4">
        <v>0</v>
      </c>
      <c r="BH1327" s="4">
        <v>0</v>
      </c>
      <c r="BI1327" s="4">
        <v>0</v>
      </c>
      <c r="BJ1327" s="4">
        <v>3</v>
      </c>
      <c r="BK1327" s="4">
        <v>3</v>
      </c>
      <c r="BL1327" s="4">
        <v>0</v>
      </c>
      <c r="BM1327" s="4">
        <v>0</v>
      </c>
      <c r="BN1327" s="4">
        <v>1</v>
      </c>
      <c r="BO1327" s="4">
        <v>0</v>
      </c>
      <c r="BP1327" s="4">
        <v>0</v>
      </c>
      <c r="BQ1327" s="4">
        <v>3</v>
      </c>
      <c r="BR1327" s="4">
        <v>0</v>
      </c>
      <c r="BS1327" s="4">
        <v>2</v>
      </c>
      <c r="BT1327" s="4">
        <v>1</v>
      </c>
      <c r="BU1327" s="4">
        <v>0</v>
      </c>
      <c r="BV1327" s="4">
        <v>3</v>
      </c>
      <c r="BW1327" s="4">
        <v>2</v>
      </c>
      <c r="BX1327" s="4">
        <v>19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1</v>
      </c>
      <c r="CK1327" s="4">
        <v>0</v>
      </c>
      <c r="CL1327" s="4">
        <v>0</v>
      </c>
      <c r="CM1327" s="4">
        <v>0</v>
      </c>
      <c r="CN1327" s="4">
        <v>2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2</v>
      </c>
      <c r="CU1327" s="4">
        <v>0</v>
      </c>
      <c r="CV1327" s="4">
        <v>5</v>
      </c>
      <c r="CW1327" s="4">
        <v>0</v>
      </c>
      <c r="CX1327" s="5">
        <v>0</v>
      </c>
    </row>
    <row r="1328" spans="1:102" ht="15.75" x14ac:dyDescent="0.25">
      <c r="A1328" s="4" t="s">
        <v>391</v>
      </c>
      <c r="B1328" s="4" t="s">
        <v>392</v>
      </c>
      <c r="C1328" s="4">
        <v>2023</v>
      </c>
      <c r="D1328" s="4">
        <v>31</v>
      </c>
      <c r="E1328" s="4">
        <v>0</v>
      </c>
      <c r="F1328" s="4">
        <v>0</v>
      </c>
      <c r="G1328" s="4">
        <v>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1</v>
      </c>
      <c r="O1328" s="4">
        <v>1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1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1</v>
      </c>
      <c r="AY1328" s="4">
        <v>0</v>
      </c>
      <c r="AZ1328" s="4">
        <v>1</v>
      </c>
      <c r="BA1328" s="4">
        <v>0</v>
      </c>
      <c r="BB1328" s="4">
        <v>2</v>
      </c>
      <c r="BC1328" s="4">
        <v>0</v>
      </c>
      <c r="BD1328" s="4">
        <v>0</v>
      </c>
      <c r="BE1328" s="4">
        <v>0</v>
      </c>
      <c r="BF1328" s="4">
        <v>1</v>
      </c>
      <c r="BG1328" s="4">
        <v>0</v>
      </c>
      <c r="BH1328" s="4">
        <v>0</v>
      </c>
      <c r="BI1328" s="4">
        <v>0</v>
      </c>
      <c r="BJ1328" s="4">
        <v>2</v>
      </c>
      <c r="BK1328" s="4">
        <v>1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1</v>
      </c>
      <c r="BT1328" s="4">
        <v>0</v>
      </c>
      <c r="BU1328" s="4">
        <v>0</v>
      </c>
      <c r="BV1328" s="4">
        <v>0</v>
      </c>
      <c r="BW1328" s="4">
        <v>1</v>
      </c>
      <c r="BX1328" s="4">
        <v>0</v>
      </c>
      <c r="BY1328" s="4">
        <v>0</v>
      </c>
      <c r="BZ1328" s="4">
        <v>0</v>
      </c>
      <c r="CA1328" s="4">
        <v>7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1</v>
      </c>
      <c r="CK1328" s="4">
        <v>0</v>
      </c>
      <c r="CL1328" s="4">
        <v>0</v>
      </c>
      <c r="CM1328" s="4">
        <v>0</v>
      </c>
      <c r="CN1328" s="4">
        <v>1</v>
      </c>
      <c r="CO1328" s="4">
        <v>0</v>
      </c>
      <c r="CP1328" s="4">
        <v>0</v>
      </c>
      <c r="CQ1328" s="4">
        <v>0</v>
      </c>
      <c r="CR1328" s="4">
        <v>0</v>
      </c>
      <c r="CS1328" s="4">
        <v>0</v>
      </c>
      <c r="CT1328" s="4">
        <v>0</v>
      </c>
      <c r="CU1328" s="4">
        <v>0</v>
      </c>
      <c r="CV1328" s="4">
        <v>1</v>
      </c>
      <c r="CW1328" s="4">
        <v>0</v>
      </c>
      <c r="CX1328" s="5">
        <v>0</v>
      </c>
    </row>
    <row r="1329" spans="1:102" ht="15.75" x14ac:dyDescent="0.25">
      <c r="A1329" s="4" t="s">
        <v>393</v>
      </c>
      <c r="B1329" s="4" t="s">
        <v>394</v>
      </c>
      <c r="C1329" s="4">
        <v>2023</v>
      </c>
      <c r="D1329" s="4">
        <v>16</v>
      </c>
      <c r="E1329" s="4">
        <v>0</v>
      </c>
      <c r="F1329" s="4">
        <v>0</v>
      </c>
      <c r="G1329" s="4">
        <v>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1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1</v>
      </c>
      <c r="BL1329" s="4">
        <v>0</v>
      </c>
      <c r="BM1329" s="4">
        <v>0</v>
      </c>
      <c r="BN1329" s="4">
        <v>1</v>
      </c>
      <c r="BO1329" s="4">
        <v>0</v>
      </c>
      <c r="BP1329" s="4">
        <v>0</v>
      </c>
      <c r="BQ1329" s="4">
        <v>2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2</v>
      </c>
      <c r="BX1329" s="4">
        <v>1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1</v>
      </c>
      <c r="CO1329" s="4">
        <v>0</v>
      </c>
      <c r="CP1329" s="4">
        <v>0</v>
      </c>
      <c r="CQ1329" s="4">
        <v>0</v>
      </c>
      <c r="CR1329" s="4">
        <v>0</v>
      </c>
      <c r="CS1329" s="4">
        <v>0</v>
      </c>
      <c r="CT1329" s="4">
        <v>0</v>
      </c>
      <c r="CU1329" s="4">
        <v>0</v>
      </c>
      <c r="CV1329" s="4">
        <v>3</v>
      </c>
      <c r="CW1329" s="4">
        <v>0</v>
      </c>
      <c r="CX1329" s="5">
        <v>0</v>
      </c>
    </row>
    <row r="1330" spans="1:102" ht="15.75" x14ac:dyDescent="0.25">
      <c r="A1330" s="4" t="s">
        <v>395</v>
      </c>
      <c r="B1330" s="4" t="s">
        <v>396</v>
      </c>
      <c r="C1330" s="4">
        <v>2023</v>
      </c>
      <c r="D1330" s="4">
        <v>1750</v>
      </c>
      <c r="E1330" s="4">
        <v>0</v>
      </c>
      <c r="F1330" s="4">
        <v>0</v>
      </c>
      <c r="G1330" s="4">
        <v>1</v>
      </c>
      <c r="H1330" s="4">
        <v>0</v>
      </c>
      <c r="I1330" s="4">
        <v>1</v>
      </c>
      <c r="J1330" s="4">
        <v>2</v>
      </c>
      <c r="K1330" s="4">
        <v>0</v>
      </c>
      <c r="L1330" s="4">
        <v>9</v>
      </c>
      <c r="M1330" s="4">
        <v>1</v>
      </c>
      <c r="N1330" s="4">
        <v>5</v>
      </c>
      <c r="O1330" s="4">
        <v>127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2</v>
      </c>
      <c r="W1330" s="4">
        <v>0</v>
      </c>
      <c r="X1330" s="4">
        <v>1</v>
      </c>
      <c r="Y1330" s="4">
        <v>0</v>
      </c>
      <c r="Z1330" s="4">
        <v>0</v>
      </c>
      <c r="AA1330" s="4">
        <v>1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49</v>
      </c>
      <c r="AH1330" s="4">
        <v>8</v>
      </c>
      <c r="AI1330" s="4">
        <v>8</v>
      </c>
      <c r="AJ1330" s="4">
        <v>227</v>
      </c>
      <c r="AK1330" s="4">
        <v>24</v>
      </c>
      <c r="AL1330" s="4">
        <v>4</v>
      </c>
      <c r="AM1330" s="4">
        <v>15</v>
      </c>
      <c r="AN1330" s="4">
        <v>13</v>
      </c>
      <c r="AO1330" s="4">
        <v>37</v>
      </c>
      <c r="AP1330" s="4">
        <v>2</v>
      </c>
      <c r="AQ1330" s="4">
        <v>8</v>
      </c>
      <c r="AR1330" s="4">
        <v>1</v>
      </c>
      <c r="AS1330" s="4">
        <v>6</v>
      </c>
      <c r="AT1330" s="4">
        <v>10</v>
      </c>
      <c r="AU1330" s="4">
        <v>12</v>
      </c>
      <c r="AV1330" s="4">
        <v>115</v>
      </c>
      <c r="AW1330" s="4">
        <v>20</v>
      </c>
      <c r="AX1330" s="4">
        <v>53</v>
      </c>
      <c r="AY1330" s="4">
        <v>0</v>
      </c>
      <c r="AZ1330" s="4">
        <v>9</v>
      </c>
      <c r="BA1330" s="4">
        <v>0</v>
      </c>
      <c r="BB1330" s="4">
        <v>115</v>
      </c>
      <c r="BC1330" s="4">
        <v>15</v>
      </c>
      <c r="BD1330" s="4">
        <v>0</v>
      </c>
      <c r="BE1330" s="4">
        <v>32</v>
      </c>
      <c r="BF1330" s="4">
        <v>62</v>
      </c>
      <c r="BG1330" s="4">
        <v>8</v>
      </c>
      <c r="BH1330" s="4">
        <v>21</v>
      </c>
      <c r="BI1330" s="4">
        <v>0</v>
      </c>
      <c r="BJ1330" s="4">
        <v>42</v>
      </c>
      <c r="BK1330" s="4">
        <v>72</v>
      </c>
      <c r="BL1330" s="4">
        <v>0</v>
      </c>
      <c r="BM1330" s="4">
        <v>4</v>
      </c>
      <c r="BN1330" s="4">
        <v>9</v>
      </c>
      <c r="BO1330" s="4">
        <v>0</v>
      </c>
      <c r="BP1330" s="4">
        <v>4</v>
      </c>
      <c r="BQ1330" s="4">
        <v>13</v>
      </c>
      <c r="BR1330" s="4">
        <v>1</v>
      </c>
      <c r="BS1330" s="4">
        <v>40</v>
      </c>
      <c r="BT1330" s="4">
        <v>59</v>
      </c>
      <c r="BU1330" s="4">
        <v>0</v>
      </c>
      <c r="BV1330" s="4">
        <v>35</v>
      </c>
      <c r="BW1330" s="4">
        <v>36</v>
      </c>
      <c r="BX1330" s="4">
        <v>230</v>
      </c>
      <c r="BY1330" s="4">
        <v>1</v>
      </c>
      <c r="BZ1330" s="4">
        <v>2</v>
      </c>
      <c r="CA1330" s="4">
        <v>26</v>
      </c>
      <c r="CB1330" s="4">
        <v>0</v>
      </c>
      <c r="CC1330" s="4">
        <v>0</v>
      </c>
      <c r="CD1330" s="4">
        <v>2</v>
      </c>
      <c r="CE1330" s="4">
        <v>1</v>
      </c>
      <c r="CF1330" s="4">
        <v>3</v>
      </c>
      <c r="CG1330" s="4">
        <v>10</v>
      </c>
      <c r="CH1330" s="4">
        <v>1</v>
      </c>
      <c r="CI1330" s="4">
        <v>1</v>
      </c>
      <c r="CJ1330" s="4">
        <v>8</v>
      </c>
      <c r="CK1330" s="4">
        <v>1</v>
      </c>
      <c r="CL1330" s="4">
        <v>0</v>
      </c>
      <c r="CM1330" s="4">
        <v>16</v>
      </c>
      <c r="CN1330" s="4">
        <v>42</v>
      </c>
      <c r="CO1330" s="4">
        <v>1</v>
      </c>
      <c r="CP1330" s="4">
        <v>1</v>
      </c>
      <c r="CQ1330" s="4">
        <v>0</v>
      </c>
      <c r="CR1330" s="4">
        <v>5</v>
      </c>
      <c r="CS1330" s="4">
        <v>2</v>
      </c>
      <c r="CT1330" s="4">
        <v>16</v>
      </c>
      <c r="CU1330" s="4">
        <v>3</v>
      </c>
      <c r="CV1330" s="4">
        <v>29</v>
      </c>
      <c r="CW1330" s="4">
        <v>9</v>
      </c>
      <c r="CX1330" s="5">
        <v>9</v>
      </c>
    </row>
    <row r="1331" spans="1:102" ht="15.75" x14ac:dyDescent="0.25">
      <c r="A1331" s="4" t="s">
        <v>397</v>
      </c>
      <c r="B1331" s="4" t="s">
        <v>398</v>
      </c>
      <c r="C1331" s="4">
        <v>2023</v>
      </c>
      <c r="D1331" s="4">
        <v>1734</v>
      </c>
      <c r="E1331" s="4">
        <v>0</v>
      </c>
      <c r="F1331" s="4">
        <v>1</v>
      </c>
      <c r="G1331" s="4">
        <v>6</v>
      </c>
      <c r="H1331" s="4">
        <v>2</v>
      </c>
      <c r="I1331" s="4">
        <v>10</v>
      </c>
      <c r="J1331" s="4">
        <v>3</v>
      </c>
      <c r="K1331" s="4">
        <v>3</v>
      </c>
      <c r="L1331" s="4">
        <v>11</v>
      </c>
      <c r="M1331" s="4">
        <v>16</v>
      </c>
      <c r="N1331" s="4">
        <v>8</v>
      </c>
      <c r="O1331" s="4">
        <v>40</v>
      </c>
      <c r="P1331" s="4">
        <v>0</v>
      </c>
      <c r="Q1331" s="4">
        <v>0</v>
      </c>
      <c r="R1331" s="4">
        <v>1</v>
      </c>
      <c r="S1331" s="4">
        <v>0</v>
      </c>
      <c r="T1331" s="4">
        <v>74</v>
      </c>
      <c r="U1331" s="4">
        <v>0</v>
      </c>
      <c r="V1331" s="4">
        <v>3</v>
      </c>
      <c r="W1331" s="4">
        <v>88</v>
      </c>
      <c r="X1331" s="4">
        <v>1</v>
      </c>
      <c r="Y1331" s="4">
        <v>0</v>
      </c>
      <c r="Z1331" s="4">
        <v>0</v>
      </c>
      <c r="AA1331" s="4">
        <v>2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4</v>
      </c>
      <c r="AH1331" s="4">
        <v>118</v>
      </c>
      <c r="AI1331" s="4">
        <v>9</v>
      </c>
      <c r="AJ1331" s="4">
        <v>35</v>
      </c>
      <c r="AK1331" s="4">
        <v>19</v>
      </c>
      <c r="AL1331" s="4">
        <v>1</v>
      </c>
      <c r="AM1331" s="4">
        <v>36</v>
      </c>
      <c r="AN1331" s="4">
        <v>21</v>
      </c>
      <c r="AO1331" s="4">
        <v>30</v>
      </c>
      <c r="AP1331" s="4">
        <v>1</v>
      </c>
      <c r="AQ1331" s="4">
        <v>9</v>
      </c>
      <c r="AR1331" s="4">
        <v>1</v>
      </c>
      <c r="AS1331" s="4">
        <v>10</v>
      </c>
      <c r="AT1331" s="4">
        <v>16</v>
      </c>
      <c r="AU1331" s="4">
        <v>28</v>
      </c>
      <c r="AV1331" s="4">
        <v>20</v>
      </c>
      <c r="AW1331" s="4">
        <v>22</v>
      </c>
      <c r="AX1331" s="4">
        <v>28</v>
      </c>
      <c r="AY1331" s="4">
        <v>1</v>
      </c>
      <c r="AZ1331" s="4">
        <v>7</v>
      </c>
      <c r="BA1331" s="4">
        <v>0</v>
      </c>
      <c r="BB1331" s="4">
        <v>138</v>
      </c>
      <c r="BC1331" s="4">
        <v>11</v>
      </c>
      <c r="BD1331" s="4">
        <v>0</v>
      </c>
      <c r="BE1331" s="4">
        <v>17</v>
      </c>
      <c r="BF1331" s="4">
        <v>39</v>
      </c>
      <c r="BG1331" s="4">
        <v>2</v>
      </c>
      <c r="BH1331" s="4">
        <v>2</v>
      </c>
      <c r="BI1331" s="4">
        <v>0</v>
      </c>
      <c r="BJ1331" s="4">
        <v>68</v>
      </c>
      <c r="BK1331" s="4">
        <v>61</v>
      </c>
      <c r="BL1331" s="4">
        <v>0</v>
      </c>
      <c r="BM1331" s="4">
        <v>3</v>
      </c>
      <c r="BN1331" s="4">
        <v>13</v>
      </c>
      <c r="BO1331" s="4">
        <v>0</v>
      </c>
      <c r="BP1331" s="4">
        <v>8</v>
      </c>
      <c r="BQ1331" s="4">
        <v>24</v>
      </c>
      <c r="BR1331" s="4">
        <v>1</v>
      </c>
      <c r="BS1331" s="4">
        <v>121</v>
      </c>
      <c r="BT1331" s="4">
        <v>44</v>
      </c>
      <c r="BU1331" s="4">
        <v>1</v>
      </c>
      <c r="BV1331" s="4">
        <v>28</v>
      </c>
      <c r="BW1331" s="4">
        <v>5</v>
      </c>
      <c r="BX1331" s="4">
        <v>230</v>
      </c>
      <c r="BY1331" s="4">
        <v>1</v>
      </c>
      <c r="BZ1331" s="4">
        <v>0</v>
      </c>
      <c r="CA1331" s="4">
        <v>41</v>
      </c>
      <c r="CB1331" s="4">
        <v>9</v>
      </c>
      <c r="CC1331" s="4">
        <v>0</v>
      </c>
      <c r="CD1331" s="4">
        <v>2</v>
      </c>
      <c r="CE1331" s="4">
        <v>0</v>
      </c>
      <c r="CF1331" s="4">
        <v>1</v>
      </c>
      <c r="CG1331" s="4">
        <v>2</v>
      </c>
      <c r="CH1331" s="4">
        <v>0</v>
      </c>
      <c r="CI1331" s="4">
        <v>5</v>
      </c>
      <c r="CJ1331" s="4">
        <v>4</v>
      </c>
      <c r="CK1331" s="4">
        <v>1</v>
      </c>
      <c r="CL1331" s="4">
        <v>0</v>
      </c>
      <c r="CM1331" s="4">
        <v>24</v>
      </c>
      <c r="CN1331" s="4">
        <v>70</v>
      </c>
      <c r="CO1331" s="4">
        <v>4</v>
      </c>
      <c r="CP1331" s="4">
        <v>4</v>
      </c>
      <c r="CQ1331" s="4">
        <v>0</v>
      </c>
      <c r="CR1331" s="4">
        <v>8</v>
      </c>
      <c r="CS1331" s="4">
        <v>6</v>
      </c>
      <c r="CT1331" s="4">
        <v>16</v>
      </c>
      <c r="CU1331" s="4">
        <v>1</v>
      </c>
      <c r="CV1331" s="4">
        <v>25</v>
      </c>
      <c r="CW1331" s="4">
        <v>6</v>
      </c>
      <c r="CX1331" s="5">
        <v>6</v>
      </c>
    </row>
    <row r="1332" spans="1:102" ht="15.75" x14ac:dyDescent="0.25">
      <c r="A1332" s="4" t="s">
        <v>399</v>
      </c>
      <c r="B1332" s="4" t="s">
        <v>400</v>
      </c>
      <c r="C1332" s="4">
        <v>2023</v>
      </c>
      <c r="D1332" s="4">
        <v>28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5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1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1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1</v>
      </c>
      <c r="BF1332" s="4">
        <v>1</v>
      </c>
      <c r="BG1332" s="4">
        <v>0</v>
      </c>
      <c r="BH1332" s="4">
        <v>0</v>
      </c>
      <c r="BI1332" s="4">
        <v>1</v>
      </c>
      <c r="BJ1332" s="4">
        <v>1</v>
      </c>
      <c r="BK1332" s="4">
        <v>0</v>
      </c>
      <c r="BL1332" s="4">
        <v>0</v>
      </c>
      <c r="BM1332" s="4">
        <v>0</v>
      </c>
      <c r="BN1332" s="4">
        <v>1</v>
      </c>
      <c r="BO1332" s="4">
        <v>0</v>
      </c>
      <c r="BP1332" s="4">
        <v>0</v>
      </c>
      <c r="BQ1332" s="4">
        <v>1</v>
      </c>
      <c r="BR1332" s="4">
        <v>0</v>
      </c>
      <c r="BS1332" s="4">
        <v>1</v>
      </c>
      <c r="BT1332" s="4">
        <v>0</v>
      </c>
      <c r="BU1332" s="4">
        <v>0</v>
      </c>
      <c r="BV1332" s="4">
        <v>0</v>
      </c>
      <c r="BW1332" s="4">
        <v>8</v>
      </c>
      <c r="BX1332" s="4">
        <v>2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1</v>
      </c>
      <c r="CO1332" s="4">
        <v>0</v>
      </c>
      <c r="CP1332" s="4">
        <v>0</v>
      </c>
      <c r="CQ1332" s="4">
        <v>0</v>
      </c>
      <c r="CR1332" s="4">
        <v>0</v>
      </c>
      <c r="CS1332" s="4">
        <v>0</v>
      </c>
      <c r="CT1332" s="4">
        <v>1</v>
      </c>
      <c r="CU1332" s="4">
        <v>0</v>
      </c>
      <c r="CV1332" s="4">
        <v>0</v>
      </c>
      <c r="CW1332" s="4">
        <v>0</v>
      </c>
      <c r="CX1332" s="5">
        <v>0</v>
      </c>
    </row>
    <row r="1333" spans="1:102" ht="15.75" x14ac:dyDescent="0.25">
      <c r="A1333" s="4" t="s">
        <v>401</v>
      </c>
      <c r="B1333" s="4" t="s">
        <v>402</v>
      </c>
      <c r="C1333" s="4">
        <v>2023</v>
      </c>
      <c r="D1333" s="4">
        <v>80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1</v>
      </c>
      <c r="AI1333" s="4">
        <v>0</v>
      </c>
      <c r="AJ1333" s="4">
        <v>0</v>
      </c>
      <c r="AK1333" s="4">
        <v>0</v>
      </c>
      <c r="AL1333" s="4">
        <v>0</v>
      </c>
      <c r="AM1333" s="4">
        <v>1</v>
      </c>
      <c r="AN1333" s="4">
        <v>0</v>
      </c>
      <c r="AO1333" s="4">
        <v>1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1</v>
      </c>
      <c r="AW1333" s="4">
        <v>0</v>
      </c>
      <c r="AX1333" s="4">
        <v>2</v>
      </c>
      <c r="AY1333" s="4">
        <v>0</v>
      </c>
      <c r="AZ1333" s="4">
        <v>1</v>
      </c>
      <c r="BA1333" s="4">
        <v>0</v>
      </c>
      <c r="BB1333" s="4">
        <v>0</v>
      </c>
      <c r="BC1333" s="4">
        <v>1</v>
      </c>
      <c r="BD1333" s="4">
        <v>0</v>
      </c>
      <c r="BE1333" s="4">
        <v>1</v>
      </c>
      <c r="BF1333" s="4">
        <v>2</v>
      </c>
      <c r="BG1333" s="4">
        <v>0</v>
      </c>
      <c r="BH1333" s="4">
        <v>0</v>
      </c>
      <c r="BI1333" s="4">
        <v>0</v>
      </c>
      <c r="BJ1333" s="4">
        <v>3</v>
      </c>
      <c r="BK1333" s="4">
        <v>1</v>
      </c>
      <c r="BL1333" s="4">
        <v>0</v>
      </c>
      <c r="BM1333" s="4">
        <v>0</v>
      </c>
      <c r="BN1333" s="4">
        <v>1</v>
      </c>
      <c r="BO1333" s="4">
        <v>0</v>
      </c>
      <c r="BP1333" s="4">
        <v>0</v>
      </c>
      <c r="BQ1333" s="4">
        <v>1</v>
      </c>
      <c r="BR1333" s="4">
        <v>3</v>
      </c>
      <c r="BS1333" s="4">
        <v>0</v>
      </c>
      <c r="BT1333" s="4">
        <v>0</v>
      </c>
      <c r="BU1333" s="4">
        <v>0</v>
      </c>
      <c r="BV1333" s="4">
        <v>1</v>
      </c>
      <c r="BW1333" s="4">
        <v>40</v>
      </c>
      <c r="BX1333" s="4">
        <v>7</v>
      </c>
      <c r="BY1333" s="4">
        <v>0</v>
      </c>
      <c r="BZ1333" s="4">
        <v>0</v>
      </c>
      <c r="CA1333" s="4">
        <v>0</v>
      </c>
      <c r="CB1333" s="4">
        <v>1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2</v>
      </c>
      <c r="CN1333" s="4">
        <v>6</v>
      </c>
      <c r="CO1333" s="4">
        <v>0</v>
      </c>
      <c r="CP1333" s="4">
        <v>0</v>
      </c>
      <c r="CQ1333" s="4">
        <v>0</v>
      </c>
      <c r="CR1333" s="4">
        <v>0</v>
      </c>
      <c r="CS1333" s="4">
        <v>0</v>
      </c>
      <c r="CT1333" s="4">
        <v>0</v>
      </c>
      <c r="CU1333" s="4">
        <v>0</v>
      </c>
      <c r="CV1333" s="4">
        <v>1</v>
      </c>
      <c r="CW1333" s="4">
        <v>0</v>
      </c>
      <c r="CX1333" s="5">
        <v>0</v>
      </c>
    </row>
    <row r="1334" spans="1:102" ht="15.75" x14ac:dyDescent="0.25">
      <c r="A1334" s="4" t="s">
        <v>403</v>
      </c>
      <c r="B1334" s="4" t="s">
        <v>404</v>
      </c>
      <c r="C1334" s="4">
        <v>2023</v>
      </c>
      <c r="D1334" s="4">
        <v>15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2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2</v>
      </c>
      <c r="BG1334" s="4">
        <v>0</v>
      </c>
      <c r="BH1334" s="4">
        <v>0</v>
      </c>
      <c r="BI1334" s="4">
        <v>0</v>
      </c>
      <c r="BJ1334" s="4">
        <v>1</v>
      </c>
      <c r="BK1334" s="4">
        <v>1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2</v>
      </c>
      <c r="BX1334" s="4">
        <v>6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5">
        <v>0</v>
      </c>
    </row>
    <row r="1335" spans="1:102" ht="15.75" x14ac:dyDescent="0.25">
      <c r="A1335" s="4" t="s">
        <v>405</v>
      </c>
      <c r="B1335" s="4" t="s">
        <v>406</v>
      </c>
      <c r="C1335" s="4">
        <v>2023</v>
      </c>
      <c r="D1335" s="4">
        <v>14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2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1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6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5">
        <v>0</v>
      </c>
    </row>
    <row r="1336" spans="1:102" ht="15.75" x14ac:dyDescent="0.25">
      <c r="A1336" s="4" t="s">
        <v>407</v>
      </c>
      <c r="B1336" s="4" t="s">
        <v>408</v>
      </c>
      <c r="C1336" s="4">
        <v>2023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0</v>
      </c>
      <c r="CR1336" s="4">
        <v>0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5">
        <v>0</v>
      </c>
    </row>
    <row r="1337" spans="1:102" ht="15.75" x14ac:dyDescent="0.25">
      <c r="A1337" s="4" t="s">
        <v>409</v>
      </c>
      <c r="B1337" s="4" t="s">
        <v>410</v>
      </c>
      <c r="C1337" s="4">
        <v>2023</v>
      </c>
      <c r="D1337" s="4">
        <v>1573</v>
      </c>
      <c r="E1337" s="4">
        <v>0</v>
      </c>
      <c r="F1337" s="4">
        <v>1</v>
      </c>
      <c r="G1337" s="4">
        <v>13</v>
      </c>
      <c r="H1337" s="4">
        <v>7</v>
      </c>
      <c r="I1337" s="4">
        <v>19</v>
      </c>
      <c r="J1337" s="4">
        <v>16</v>
      </c>
      <c r="K1337" s="4">
        <v>1</v>
      </c>
      <c r="L1337" s="4">
        <v>2</v>
      </c>
      <c r="M1337" s="4">
        <v>3</v>
      </c>
      <c r="N1337" s="4">
        <v>28</v>
      </c>
      <c r="O1337" s="4">
        <v>24</v>
      </c>
      <c r="P1337" s="4">
        <v>0</v>
      </c>
      <c r="Q1337" s="4">
        <v>4</v>
      </c>
      <c r="R1337" s="4">
        <v>0</v>
      </c>
      <c r="S1337" s="4">
        <v>0</v>
      </c>
      <c r="T1337" s="4">
        <v>0</v>
      </c>
      <c r="U1337" s="4">
        <v>6</v>
      </c>
      <c r="V1337" s="4">
        <v>1</v>
      </c>
      <c r="W1337" s="4">
        <v>0</v>
      </c>
      <c r="X1337" s="4">
        <v>2</v>
      </c>
      <c r="Y1337" s="4">
        <v>0</v>
      </c>
      <c r="Z1337" s="4">
        <v>0</v>
      </c>
      <c r="AA1337" s="4">
        <v>945</v>
      </c>
      <c r="AB1337" s="4">
        <v>0</v>
      </c>
      <c r="AC1337" s="4">
        <v>0</v>
      </c>
      <c r="AD1337" s="4">
        <v>1</v>
      </c>
      <c r="AE1337" s="4">
        <v>0</v>
      </c>
      <c r="AF1337" s="4">
        <v>0</v>
      </c>
      <c r="AG1337" s="4">
        <v>2</v>
      </c>
      <c r="AH1337" s="4">
        <v>2</v>
      </c>
      <c r="AI1337" s="4">
        <v>9</v>
      </c>
      <c r="AJ1337" s="4">
        <v>17</v>
      </c>
      <c r="AK1337" s="4">
        <v>48</v>
      </c>
      <c r="AL1337" s="4">
        <v>0</v>
      </c>
      <c r="AM1337" s="4">
        <v>4</v>
      </c>
      <c r="AN1337" s="4">
        <v>2</v>
      </c>
      <c r="AO1337" s="4">
        <v>9</v>
      </c>
      <c r="AP1337" s="4">
        <v>0</v>
      </c>
      <c r="AQ1337" s="4">
        <v>3</v>
      </c>
      <c r="AR1337" s="4">
        <v>0</v>
      </c>
      <c r="AS1337" s="4">
        <v>5</v>
      </c>
      <c r="AT1337" s="4">
        <v>45</v>
      </c>
      <c r="AU1337" s="4">
        <v>5</v>
      </c>
      <c r="AV1337" s="4">
        <v>5</v>
      </c>
      <c r="AW1337" s="4">
        <v>2</v>
      </c>
      <c r="AX1337" s="4">
        <v>10</v>
      </c>
      <c r="AY1337" s="4">
        <v>3</v>
      </c>
      <c r="AZ1337" s="4">
        <v>16</v>
      </c>
      <c r="BA1337" s="4">
        <v>0</v>
      </c>
      <c r="BB1337" s="4">
        <v>25</v>
      </c>
      <c r="BC1337" s="4">
        <v>6</v>
      </c>
      <c r="BD1337" s="4">
        <v>0</v>
      </c>
      <c r="BE1337" s="4">
        <v>11</v>
      </c>
      <c r="BF1337" s="4">
        <v>16</v>
      </c>
      <c r="BG1337" s="4">
        <v>2</v>
      </c>
      <c r="BH1337" s="4">
        <v>3</v>
      </c>
      <c r="BI1337" s="4">
        <v>0</v>
      </c>
      <c r="BJ1337" s="4">
        <v>34</v>
      </c>
      <c r="BK1337" s="4">
        <v>21</v>
      </c>
      <c r="BL1337" s="4">
        <v>0</v>
      </c>
      <c r="BM1337" s="4">
        <v>1</v>
      </c>
      <c r="BN1337" s="4">
        <v>12</v>
      </c>
      <c r="BO1337" s="4">
        <v>1</v>
      </c>
      <c r="BP1337" s="4">
        <v>1</v>
      </c>
      <c r="BQ1337" s="4">
        <v>22</v>
      </c>
      <c r="BR1337" s="4">
        <v>1</v>
      </c>
      <c r="BS1337" s="4">
        <v>18</v>
      </c>
      <c r="BT1337" s="4">
        <v>5</v>
      </c>
      <c r="BU1337" s="4">
        <v>2</v>
      </c>
      <c r="BV1337" s="4">
        <v>8</v>
      </c>
      <c r="BW1337" s="4">
        <v>5</v>
      </c>
      <c r="BX1337" s="4">
        <v>27</v>
      </c>
      <c r="BY1337" s="4">
        <v>0</v>
      </c>
      <c r="BZ1337" s="4">
        <v>7</v>
      </c>
      <c r="CA1337" s="4">
        <v>7</v>
      </c>
      <c r="CB1337" s="4">
        <v>21</v>
      </c>
      <c r="CC1337" s="4">
        <v>0</v>
      </c>
      <c r="CD1337" s="4">
        <v>2</v>
      </c>
      <c r="CE1337" s="4">
        <v>0</v>
      </c>
      <c r="CF1337" s="4">
        <v>9</v>
      </c>
      <c r="CG1337" s="4">
        <v>0</v>
      </c>
      <c r="CH1337" s="4">
        <v>1</v>
      </c>
      <c r="CI1337" s="4">
        <v>0</v>
      </c>
      <c r="CJ1337" s="4">
        <v>5</v>
      </c>
      <c r="CK1337" s="4">
        <v>1</v>
      </c>
      <c r="CL1337" s="4">
        <v>0</v>
      </c>
      <c r="CM1337" s="4">
        <v>5</v>
      </c>
      <c r="CN1337" s="4">
        <v>15</v>
      </c>
      <c r="CO1337" s="4">
        <v>1</v>
      </c>
      <c r="CP1337" s="4">
        <v>0</v>
      </c>
      <c r="CQ1337" s="4">
        <v>0</v>
      </c>
      <c r="CR1337" s="4">
        <v>1</v>
      </c>
      <c r="CS1337" s="4">
        <v>5</v>
      </c>
      <c r="CT1337" s="4">
        <v>3</v>
      </c>
      <c r="CU1337" s="4">
        <v>0</v>
      </c>
      <c r="CV1337" s="4">
        <v>10</v>
      </c>
      <c r="CW1337" s="4">
        <v>2</v>
      </c>
      <c r="CX1337" s="5">
        <v>2</v>
      </c>
    </row>
    <row r="1338" spans="1:102" ht="15.75" x14ac:dyDescent="0.25">
      <c r="A1338" s="4" t="s">
        <v>411</v>
      </c>
      <c r="B1338" s="4" t="s">
        <v>412</v>
      </c>
      <c r="C1338" s="4">
        <v>2023</v>
      </c>
      <c r="D1338" s="4">
        <v>2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1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1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5">
        <v>0</v>
      </c>
    </row>
    <row r="1339" spans="1:102" ht="15.75" x14ac:dyDescent="0.25">
      <c r="A1339" s="4" t="s">
        <v>413</v>
      </c>
      <c r="B1339" s="4" t="s">
        <v>414</v>
      </c>
      <c r="C1339" s="4">
        <v>2023</v>
      </c>
      <c r="D1339" s="4">
        <v>30943</v>
      </c>
      <c r="E1339" s="4">
        <v>22</v>
      </c>
      <c r="F1339" s="4">
        <v>174</v>
      </c>
      <c r="G1339" s="4">
        <v>223</v>
      </c>
      <c r="H1339" s="4">
        <v>93</v>
      </c>
      <c r="I1339" s="4">
        <v>270</v>
      </c>
      <c r="J1339" s="4">
        <v>103</v>
      </c>
      <c r="K1339" s="4">
        <v>40</v>
      </c>
      <c r="L1339" s="4">
        <v>275</v>
      </c>
      <c r="M1339" s="4">
        <v>70</v>
      </c>
      <c r="N1339" s="4">
        <v>252</v>
      </c>
      <c r="O1339" s="4">
        <v>363</v>
      </c>
      <c r="P1339" s="4">
        <v>1</v>
      </c>
      <c r="Q1339" s="4">
        <v>6</v>
      </c>
      <c r="R1339" s="4">
        <v>62</v>
      </c>
      <c r="S1339" s="4">
        <v>12</v>
      </c>
      <c r="T1339" s="4">
        <v>42</v>
      </c>
      <c r="U1339" s="4">
        <v>6</v>
      </c>
      <c r="V1339" s="4">
        <v>48</v>
      </c>
      <c r="W1339" s="4">
        <v>97</v>
      </c>
      <c r="X1339" s="4">
        <v>72</v>
      </c>
      <c r="Y1339" s="4">
        <v>1</v>
      </c>
      <c r="Z1339" s="4">
        <v>7510</v>
      </c>
      <c r="AA1339" s="4">
        <v>2712</v>
      </c>
      <c r="AB1339" s="4">
        <v>1021</v>
      </c>
      <c r="AC1339" s="4">
        <v>136</v>
      </c>
      <c r="AD1339" s="4">
        <v>28</v>
      </c>
      <c r="AE1339" s="4">
        <v>67</v>
      </c>
      <c r="AF1339" s="4">
        <v>163</v>
      </c>
      <c r="AG1339" s="4">
        <v>934</v>
      </c>
      <c r="AH1339" s="4">
        <v>110</v>
      </c>
      <c r="AI1339" s="4">
        <v>250</v>
      </c>
      <c r="AJ1339" s="4">
        <v>1255</v>
      </c>
      <c r="AK1339" s="4">
        <v>339</v>
      </c>
      <c r="AL1339" s="4">
        <v>55</v>
      </c>
      <c r="AM1339" s="4">
        <v>367</v>
      </c>
      <c r="AN1339" s="4">
        <v>217</v>
      </c>
      <c r="AO1339" s="4">
        <v>847</v>
      </c>
      <c r="AP1339" s="4">
        <v>13</v>
      </c>
      <c r="AQ1339" s="4">
        <v>96</v>
      </c>
      <c r="AR1339" s="4">
        <v>54</v>
      </c>
      <c r="AS1339" s="4">
        <v>214</v>
      </c>
      <c r="AT1339" s="4">
        <v>280</v>
      </c>
      <c r="AU1339" s="4">
        <v>133</v>
      </c>
      <c r="AV1339" s="4">
        <v>654</v>
      </c>
      <c r="AW1339" s="4">
        <v>192</v>
      </c>
      <c r="AX1339" s="4">
        <v>423</v>
      </c>
      <c r="AY1339" s="4">
        <v>4</v>
      </c>
      <c r="AZ1339" s="4">
        <v>93</v>
      </c>
      <c r="BA1339" s="4">
        <v>0</v>
      </c>
      <c r="BB1339" s="4">
        <v>978</v>
      </c>
      <c r="BC1339" s="4">
        <v>99</v>
      </c>
      <c r="BD1339" s="4">
        <v>5</v>
      </c>
      <c r="BE1339" s="4">
        <v>127</v>
      </c>
      <c r="BF1339" s="4">
        <v>385</v>
      </c>
      <c r="BG1339" s="4">
        <v>13</v>
      </c>
      <c r="BH1339" s="4">
        <v>16</v>
      </c>
      <c r="BI1339" s="4">
        <v>4</v>
      </c>
      <c r="BJ1339" s="4">
        <v>376</v>
      </c>
      <c r="BK1339" s="4">
        <v>744</v>
      </c>
      <c r="BL1339" s="4">
        <v>0</v>
      </c>
      <c r="BM1339" s="4">
        <v>237</v>
      </c>
      <c r="BN1339" s="4">
        <v>598</v>
      </c>
      <c r="BO1339" s="4">
        <v>9</v>
      </c>
      <c r="BP1339" s="4">
        <v>91</v>
      </c>
      <c r="BQ1339" s="4">
        <v>893</v>
      </c>
      <c r="BR1339" s="4">
        <v>54</v>
      </c>
      <c r="BS1339" s="4">
        <v>556</v>
      </c>
      <c r="BT1339" s="4">
        <v>472</v>
      </c>
      <c r="BU1339" s="4">
        <v>67</v>
      </c>
      <c r="BV1339" s="4">
        <v>222</v>
      </c>
      <c r="BW1339" s="4">
        <v>405</v>
      </c>
      <c r="BX1339" s="4">
        <v>689</v>
      </c>
      <c r="BY1339" s="4">
        <v>2</v>
      </c>
      <c r="BZ1339" s="4">
        <v>0</v>
      </c>
      <c r="CA1339" s="4">
        <v>152</v>
      </c>
      <c r="CB1339" s="4">
        <v>59</v>
      </c>
      <c r="CC1339" s="4">
        <v>2</v>
      </c>
      <c r="CD1339" s="4">
        <v>53</v>
      </c>
      <c r="CE1339" s="4">
        <v>2</v>
      </c>
      <c r="CF1339" s="4">
        <v>33</v>
      </c>
      <c r="CG1339" s="4">
        <v>23</v>
      </c>
      <c r="CH1339" s="4">
        <v>49</v>
      </c>
      <c r="CI1339" s="4">
        <v>40</v>
      </c>
      <c r="CJ1339" s="4">
        <v>361</v>
      </c>
      <c r="CK1339" s="4">
        <v>105</v>
      </c>
      <c r="CL1339" s="4">
        <v>1</v>
      </c>
      <c r="CM1339" s="4">
        <v>92</v>
      </c>
      <c r="CN1339" s="4">
        <v>779</v>
      </c>
      <c r="CO1339" s="4">
        <v>30</v>
      </c>
      <c r="CP1339" s="4">
        <v>76</v>
      </c>
      <c r="CQ1339" s="4">
        <v>1</v>
      </c>
      <c r="CR1339" s="4">
        <v>275</v>
      </c>
      <c r="CS1339" s="4">
        <v>64</v>
      </c>
      <c r="CT1339" s="4">
        <v>333</v>
      </c>
      <c r="CU1339" s="4">
        <v>36</v>
      </c>
      <c r="CV1339" s="4">
        <v>856</v>
      </c>
      <c r="CW1339" s="4">
        <v>78</v>
      </c>
      <c r="CX1339" s="5">
        <v>78</v>
      </c>
    </row>
    <row r="1340" spans="1:102" ht="15.75" x14ac:dyDescent="0.25">
      <c r="A1340" s="4" t="s">
        <v>415</v>
      </c>
      <c r="B1340" s="4" t="s">
        <v>416</v>
      </c>
      <c r="C1340" s="4">
        <v>2023</v>
      </c>
      <c r="D1340" s="4">
        <v>3936</v>
      </c>
      <c r="E1340" s="4">
        <v>1</v>
      </c>
      <c r="F1340" s="4">
        <v>1</v>
      </c>
      <c r="G1340" s="4">
        <v>2</v>
      </c>
      <c r="H1340" s="4">
        <v>7</v>
      </c>
      <c r="I1340" s="4">
        <v>22</v>
      </c>
      <c r="J1340" s="4">
        <v>24</v>
      </c>
      <c r="K1340" s="4">
        <v>151</v>
      </c>
      <c r="L1340" s="4">
        <v>16</v>
      </c>
      <c r="M1340" s="4">
        <v>131</v>
      </c>
      <c r="N1340" s="4">
        <v>27</v>
      </c>
      <c r="O1340" s="4">
        <v>48</v>
      </c>
      <c r="P1340" s="4">
        <v>0</v>
      </c>
      <c r="Q1340" s="4">
        <v>0</v>
      </c>
      <c r="R1340" s="4">
        <v>0</v>
      </c>
      <c r="S1340" s="4">
        <v>2</v>
      </c>
      <c r="T1340" s="4">
        <v>0</v>
      </c>
      <c r="U1340" s="4">
        <v>1</v>
      </c>
      <c r="V1340" s="4">
        <v>8</v>
      </c>
      <c r="W1340" s="4">
        <v>27</v>
      </c>
      <c r="X1340" s="4">
        <v>3</v>
      </c>
      <c r="Y1340" s="4">
        <v>46</v>
      </c>
      <c r="Z1340" s="4">
        <v>387</v>
      </c>
      <c r="AA1340" s="4">
        <v>326</v>
      </c>
      <c r="AB1340" s="4">
        <v>26</v>
      </c>
      <c r="AC1340" s="4">
        <v>35</v>
      </c>
      <c r="AD1340" s="4">
        <v>2</v>
      </c>
      <c r="AE1340" s="4">
        <v>2</v>
      </c>
      <c r="AF1340" s="4">
        <v>1</v>
      </c>
      <c r="AG1340" s="4">
        <v>15</v>
      </c>
      <c r="AH1340" s="4">
        <v>14</v>
      </c>
      <c r="AI1340" s="4">
        <v>31</v>
      </c>
      <c r="AJ1340" s="4">
        <v>21</v>
      </c>
      <c r="AK1340" s="4">
        <v>40</v>
      </c>
      <c r="AL1340" s="4">
        <v>0</v>
      </c>
      <c r="AM1340" s="4">
        <v>22</v>
      </c>
      <c r="AN1340" s="4">
        <v>31</v>
      </c>
      <c r="AO1340" s="4">
        <v>63</v>
      </c>
      <c r="AP1340" s="4">
        <v>0</v>
      </c>
      <c r="AQ1340" s="4">
        <v>24</v>
      </c>
      <c r="AR1340" s="4">
        <v>7</v>
      </c>
      <c r="AS1340" s="4">
        <v>6</v>
      </c>
      <c r="AT1340" s="4">
        <v>22</v>
      </c>
      <c r="AU1340" s="4">
        <v>21</v>
      </c>
      <c r="AV1340" s="4">
        <v>134</v>
      </c>
      <c r="AW1340" s="4">
        <v>41</v>
      </c>
      <c r="AX1340" s="4">
        <v>183</v>
      </c>
      <c r="AY1340" s="4">
        <v>1</v>
      </c>
      <c r="AZ1340" s="4">
        <v>8</v>
      </c>
      <c r="BA1340" s="4">
        <v>0</v>
      </c>
      <c r="BB1340" s="4">
        <v>117</v>
      </c>
      <c r="BC1340" s="4">
        <v>13</v>
      </c>
      <c r="BD1340" s="4">
        <v>1</v>
      </c>
      <c r="BE1340" s="4">
        <v>80</v>
      </c>
      <c r="BF1340" s="4">
        <v>134</v>
      </c>
      <c r="BG1340" s="4">
        <v>3</v>
      </c>
      <c r="BH1340" s="4">
        <v>7</v>
      </c>
      <c r="BI1340" s="4">
        <v>1</v>
      </c>
      <c r="BJ1340" s="4">
        <v>217</v>
      </c>
      <c r="BK1340" s="4">
        <v>128</v>
      </c>
      <c r="BL1340" s="4">
        <v>0</v>
      </c>
      <c r="BM1340" s="4">
        <v>4</v>
      </c>
      <c r="BN1340" s="4">
        <v>89</v>
      </c>
      <c r="BO1340" s="4">
        <v>0</v>
      </c>
      <c r="BP1340" s="4">
        <v>9</v>
      </c>
      <c r="BQ1340" s="4">
        <v>56</v>
      </c>
      <c r="BR1340" s="4">
        <v>2</v>
      </c>
      <c r="BS1340" s="4">
        <v>183</v>
      </c>
      <c r="BT1340" s="4">
        <v>37</v>
      </c>
      <c r="BU1340" s="4">
        <v>3</v>
      </c>
      <c r="BV1340" s="4">
        <v>14</v>
      </c>
      <c r="BW1340" s="4">
        <v>37</v>
      </c>
      <c r="BX1340" s="4">
        <v>178</v>
      </c>
      <c r="BY1340" s="4">
        <v>2</v>
      </c>
      <c r="BZ1340" s="4">
        <v>0</v>
      </c>
      <c r="CA1340" s="4">
        <v>76</v>
      </c>
      <c r="CB1340" s="4">
        <v>182</v>
      </c>
      <c r="CC1340" s="4">
        <v>0</v>
      </c>
      <c r="CD1340" s="4">
        <v>8</v>
      </c>
      <c r="CE1340" s="4">
        <v>0</v>
      </c>
      <c r="CF1340" s="4">
        <v>5</v>
      </c>
      <c r="CG1340" s="4">
        <v>1</v>
      </c>
      <c r="CH1340" s="4">
        <v>4</v>
      </c>
      <c r="CI1340" s="4">
        <v>5</v>
      </c>
      <c r="CJ1340" s="4">
        <v>11</v>
      </c>
      <c r="CK1340" s="4">
        <v>1</v>
      </c>
      <c r="CL1340" s="4">
        <v>0</v>
      </c>
      <c r="CM1340" s="4">
        <v>34</v>
      </c>
      <c r="CN1340" s="4">
        <v>118</v>
      </c>
      <c r="CO1340" s="4">
        <v>8</v>
      </c>
      <c r="CP1340" s="4">
        <v>13</v>
      </c>
      <c r="CQ1340" s="4">
        <v>0</v>
      </c>
      <c r="CR1340" s="4">
        <v>23</v>
      </c>
      <c r="CS1340" s="4">
        <v>1</v>
      </c>
      <c r="CT1340" s="4">
        <v>22</v>
      </c>
      <c r="CU1340" s="4">
        <v>2</v>
      </c>
      <c r="CV1340" s="4">
        <v>89</v>
      </c>
      <c r="CW1340" s="4">
        <v>36</v>
      </c>
      <c r="CX1340" s="5">
        <v>36</v>
      </c>
    </row>
    <row r="1341" spans="1:102" ht="15.75" x14ac:dyDescent="0.25">
      <c r="A1341" s="4" t="s">
        <v>417</v>
      </c>
      <c r="B1341" s="4" t="s">
        <v>418</v>
      </c>
      <c r="C1341" s="4">
        <v>2023</v>
      </c>
      <c r="D1341" s="4">
        <v>12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1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1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1</v>
      </c>
      <c r="AK1341" s="4">
        <v>0</v>
      </c>
      <c r="AL1341" s="4">
        <v>0</v>
      </c>
      <c r="AM1341" s="4">
        <v>0</v>
      </c>
      <c r="AN1341" s="4">
        <v>0</v>
      </c>
      <c r="AO1341" s="4">
        <v>1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1</v>
      </c>
      <c r="BY1341" s="4">
        <v>0</v>
      </c>
      <c r="BZ1341" s="4">
        <v>0</v>
      </c>
      <c r="CA1341" s="4">
        <v>1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1</v>
      </c>
      <c r="CO1341" s="4">
        <v>0</v>
      </c>
      <c r="CP1341" s="4">
        <v>0</v>
      </c>
      <c r="CQ1341" s="4">
        <v>0</v>
      </c>
      <c r="CR1341" s="4">
        <v>0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5">
        <v>0</v>
      </c>
    </row>
    <row r="1342" spans="1:102" ht="15.75" x14ac:dyDescent="0.25">
      <c r="A1342" s="4" t="s">
        <v>419</v>
      </c>
      <c r="B1342" s="4" t="s">
        <v>420</v>
      </c>
      <c r="C1342" s="4">
        <v>2023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5">
        <v>0</v>
      </c>
    </row>
    <row r="1343" spans="1:102" ht="15.75" x14ac:dyDescent="0.25">
      <c r="A1343" s="4" t="s">
        <v>421</v>
      </c>
      <c r="B1343" s="4" t="s">
        <v>422</v>
      </c>
      <c r="C1343" s="4">
        <v>2023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5">
        <v>0</v>
      </c>
    </row>
    <row r="1344" spans="1:102" ht="15.75" x14ac:dyDescent="0.25">
      <c r="A1344" s="4" t="s">
        <v>423</v>
      </c>
      <c r="B1344" s="4" t="s">
        <v>424</v>
      </c>
      <c r="C1344" s="4">
        <v>2023</v>
      </c>
      <c r="D1344" s="4">
        <v>1121</v>
      </c>
      <c r="E1344" s="4">
        <v>5</v>
      </c>
      <c r="F1344" s="4">
        <v>2</v>
      </c>
      <c r="G1344" s="4">
        <v>6</v>
      </c>
      <c r="H1344" s="4">
        <v>0</v>
      </c>
      <c r="I1344" s="4">
        <v>7</v>
      </c>
      <c r="J1344" s="4">
        <v>4</v>
      </c>
      <c r="K1344" s="4">
        <v>4</v>
      </c>
      <c r="L1344" s="4">
        <v>10</v>
      </c>
      <c r="M1344" s="4">
        <v>6</v>
      </c>
      <c r="N1344" s="4">
        <v>10</v>
      </c>
      <c r="O1344" s="4">
        <v>26</v>
      </c>
      <c r="P1344" s="4">
        <v>0</v>
      </c>
      <c r="Q1344" s="4">
        <v>0</v>
      </c>
      <c r="R1344" s="4">
        <v>1</v>
      </c>
      <c r="S1344" s="4">
        <v>0</v>
      </c>
      <c r="T1344" s="4">
        <v>0</v>
      </c>
      <c r="U1344" s="4">
        <v>0</v>
      </c>
      <c r="V1344" s="4">
        <v>1</v>
      </c>
      <c r="W1344" s="4">
        <v>3</v>
      </c>
      <c r="X1344" s="4">
        <v>1</v>
      </c>
      <c r="Y1344" s="4">
        <v>0</v>
      </c>
      <c r="Z1344" s="4">
        <v>0</v>
      </c>
      <c r="AA1344" s="4">
        <v>2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1</v>
      </c>
      <c r="AH1344" s="4">
        <v>1</v>
      </c>
      <c r="AI1344" s="4">
        <v>6</v>
      </c>
      <c r="AJ1344" s="4">
        <v>45</v>
      </c>
      <c r="AK1344" s="4">
        <v>9</v>
      </c>
      <c r="AL1344" s="4">
        <v>2</v>
      </c>
      <c r="AM1344" s="4">
        <v>3</v>
      </c>
      <c r="AN1344" s="4">
        <v>12</v>
      </c>
      <c r="AO1344" s="4">
        <v>16</v>
      </c>
      <c r="AP1344" s="4">
        <v>1</v>
      </c>
      <c r="AQ1344" s="4">
        <v>5</v>
      </c>
      <c r="AR1344" s="4">
        <v>1</v>
      </c>
      <c r="AS1344" s="4">
        <v>5</v>
      </c>
      <c r="AT1344" s="4">
        <v>7</v>
      </c>
      <c r="AU1344" s="4">
        <v>6</v>
      </c>
      <c r="AV1344" s="4">
        <v>8</v>
      </c>
      <c r="AW1344" s="4">
        <v>1</v>
      </c>
      <c r="AX1344" s="4">
        <v>17</v>
      </c>
      <c r="AY1344" s="4">
        <v>0</v>
      </c>
      <c r="AZ1344" s="4">
        <v>2</v>
      </c>
      <c r="BA1344" s="4">
        <v>0</v>
      </c>
      <c r="BB1344" s="4">
        <v>191</v>
      </c>
      <c r="BC1344" s="4">
        <v>1</v>
      </c>
      <c r="BD1344" s="4">
        <v>3</v>
      </c>
      <c r="BE1344" s="4">
        <v>16</v>
      </c>
      <c r="BF1344" s="4">
        <v>49</v>
      </c>
      <c r="BG1344" s="4">
        <v>0</v>
      </c>
      <c r="BH1344" s="4">
        <v>1</v>
      </c>
      <c r="BI1344" s="4">
        <v>1</v>
      </c>
      <c r="BJ1344" s="4">
        <v>16</v>
      </c>
      <c r="BK1344" s="4">
        <v>33</v>
      </c>
      <c r="BL1344" s="4">
        <v>0</v>
      </c>
      <c r="BM1344" s="4">
        <v>1</v>
      </c>
      <c r="BN1344" s="4">
        <v>4</v>
      </c>
      <c r="BO1344" s="4">
        <v>0</v>
      </c>
      <c r="BP1344" s="4">
        <v>2</v>
      </c>
      <c r="BQ1344" s="4">
        <v>7</v>
      </c>
      <c r="BR1344" s="4">
        <v>2</v>
      </c>
      <c r="BS1344" s="4">
        <v>16</v>
      </c>
      <c r="BT1344" s="4">
        <v>10</v>
      </c>
      <c r="BU1344" s="4">
        <v>25</v>
      </c>
      <c r="BV1344" s="4">
        <v>22</v>
      </c>
      <c r="BW1344" s="4">
        <v>73</v>
      </c>
      <c r="BX1344" s="4">
        <v>256</v>
      </c>
      <c r="BY1344" s="4">
        <v>1</v>
      </c>
      <c r="BZ1344" s="4">
        <v>0</v>
      </c>
      <c r="CA1344" s="4">
        <v>10</v>
      </c>
      <c r="CB1344" s="4">
        <v>5</v>
      </c>
      <c r="CC1344" s="4">
        <v>0</v>
      </c>
      <c r="CD1344" s="4">
        <v>3</v>
      </c>
      <c r="CE1344" s="4">
        <v>0</v>
      </c>
      <c r="CF1344" s="4">
        <v>5</v>
      </c>
      <c r="CG1344" s="4">
        <v>1</v>
      </c>
      <c r="CH1344" s="4">
        <v>1</v>
      </c>
      <c r="CI1344" s="4">
        <v>1</v>
      </c>
      <c r="CJ1344" s="4">
        <v>14</v>
      </c>
      <c r="CK1344" s="4">
        <v>2</v>
      </c>
      <c r="CL1344" s="4">
        <v>0</v>
      </c>
      <c r="CM1344" s="4">
        <v>3</v>
      </c>
      <c r="CN1344" s="4">
        <v>25</v>
      </c>
      <c r="CO1344" s="4">
        <v>1</v>
      </c>
      <c r="CP1344" s="4">
        <v>1</v>
      </c>
      <c r="CQ1344" s="4">
        <v>0</v>
      </c>
      <c r="CR1344" s="4">
        <v>23</v>
      </c>
      <c r="CS1344" s="4">
        <v>3</v>
      </c>
      <c r="CT1344" s="4">
        <v>9</v>
      </c>
      <c r="CU1344" s="4">
        <v>1</v>
      </c>
      <c r="CV1344" s="4">
        <v>36</v>
      </c>
      <c r="CW1344" s="4">
        <v>10</v>
      </c>
      <c r="CX1344" s="5">
        <v>10</v>
      </c>
    </row>
    <row r="1345" spans="1:102" ht="15.75" x14ac:dyDescent="0.25">
      <c r="A1345" s="4" t="s">
        <v>425</v>
      </c>
      <c r="B1345" s="4" t="s">
        <v>426</v>
      </c>
      <c r="C1345" s="4">
        <v>2023</v>
      </c>
      <c r="D1345" s="4">
        <v>576</v>
      </c>
      <c r="E1345" s="4">
        <v>6</v>
      </c>
      <c r="F1345" s="4">
        <v>0</v>
      </c>
      <c r="G1345" s="4">
        <v>3</v>
      </c>
      <c r="H1345" s="4">
        <v>0</v>
      </c>
      <c r="I1345" s="4">
        <v>7</v>
      </c>
      <c r="J1345" s="4">
        <v>2</v>
      </c>
      <c r="K1345" s="4">
        <v>0</v>
      </c>
      <c r="L1345" s="4">
        <v>2</v>
      </c>
      <c r="M1345" s="4">
        <v>0</v>
      </c>
      <c r="N1345" s="4">
        <v>2</v>
      </c>
      <c r="O1345" s="4">
        <v>9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1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2</v>
      </c>
      <c r="AH1345" s="4">
        <v>1</v>
      </c>
      <c r="AI1345" s="4">
        <v>3</v>
      </c>
      <c r="AJ1345" s="4">
        <v>18</v>
      </c>
      <c r="AK1345" s="4">
        <v>4</v>
      </c>
      <c r="AL1345" s="4">
        <v>0</v>
      </c>
      <c r="AM1345" s="4">
        <v>3</v>
      </c>
      <c r="AN1345" s="4">
        <v>1</v>
      </c>
      <c r="AO1345" s="4">
        <v>9</v>
      </c>
      <c r="AP1345" s="4">
        <v>0</v>
      </c>
      <c r="AQ1345" s="4">
        <v>2</v>
      </c>
      <c r="AR1345" s="4">
        <v>1</v>
      </c>
      <c r="AS1345" s="4">
        <v>1</v>
      </c>
      <c r="AT1345" s="4">
        <v>4</v>
      </c>
      <c r="AU1345" s="4">
        <v>3</v>
      </c>
      <c r="AV1345" s="4">
        <v>4</v>
      </c>
      <c r="AW1345" s="4">
        <v>4</v>
      </c>
      <c r="AX1345" s="4">
        <v>8</v>
      </c>
      <c r="AY1345" s="4">
        <v>0</v>
      </c>
      <c r="AZ1345" s="4">
        <v>9</v>
      </c>
      <c r="BA1345" s="4">
        <v>0</v>
      </c>
      <c r="BB1345" s="4">
        <v>128</v>
      </c>
      <c r="BC1345" s="4">
        <v>2</v>
      </c>
      <c r="BD1345" s="4">
        <v>0</v>
      </c>
      <c r="BE1345" s="4">
        <v>3</v>
      </c>
      <c r="BF1345" s="4">
        <v>12</v>
      </c>
      <c r="BG1345" s="4">
        <v>0</v>
      </c>
      <c r="BH1345" s="4">
        <v>1</v>
      </c>
      <c r="BI1345" s="4">
        <v>0</v>
      </c>
      <c r="BJ1345" s="4">
        <v>25</v>
      </c>
      <c r="BK1345" s="4">
        <v>44</v>
      </c>
      <c r="BL1345" s="4">
        <v>0</v>
      </c>
      <c r="BM1345" s="4">
        <v>1</v>
      </c>
      <c r="BN1345" s="4">
        <v>8</v>
      </c>
      <c r="BO1345" s="4">
        <v>0</v>
      </c>
      <c r="BP1345" s="4">
        <v>4</v>
      </c>
      <c r="BQ1345" s="4">
        <v>16</v>
      </c>
      <c r="BR1345" s="4">
        <v>0</v>
      </c>
      <c r="BS1345" s="4">
        <v>34</v>
      </c>
      <c r="BT1345" s="4">
        <v>22</v>
      </c>
      <c r="BU1345" s="4">
        <v>0</v>
      </c>
      <c r="BV1345" s="4">
        <v>1</v>
      </c>
      <c r="BW1345" s="4">
        <v>2</v>
      </c>
      <c r="BX1345" s="4">
        <v>89</v>
      </c>
      <c r="BY1345" s="4">
        <v>0</v>
      </c>
      <c r="BZ1345" s="4">
        <v>0</v>
      </c>
      <c r="CA1345" s="4">
        <v>12</v>
      </c>
      <c r="CB1345" s="4">
        <v>1</v>
      </c>
      <c r="CC1345" s="4">
        <v>0</v>
      </c>
      <c r="CD1345" s="4">
        <v>2</v>
      </c>
      <c r="CE1345" s="4">
        <v>0</v>
      </c>
      <c r="CF1345" s="4">
        <v>1</v>
      </c>
      <c r="CG1345" s="4">
        <v>2</v>
      </c>
      <c r="CH1345" s="4">
        <v>0</v>
      </c>
      <c r="CI1345" s="4">
        <v>1</v>
      </c>
      <c r="CJ1345" s="4">
        <v>3</v>
      </c>
      <c r="CK1345" s="4">
        <v>1</v>
      </c>
      <c r="CL1345" s="4">
        <v>0</v>
      </c>
      <c r="CM1345" s="4">
        <v>9</v>
      </c>
      <c r="CN1345" s="4">
        <v>27</v>
      </c>
      <c r="CO1345" s="4">
        <v>0</v>
      </c>
      <c r="CP1345" s="4">
        <v>0</v>
      </c>
      <c r="CQ1345" s="4">
        <v>0</v>
      </c>
      <c r="CR1345" s="4">
        <v>1</v>
      </c>
      <c r="CS1345" s="4">
        <v>0</v>
      </c>
      <c r="CT1345" s="4">
        <v>2</v>
      </c>
      <c r="CU1345" s="4">
        <v>0</v>
      </c>
      <c r="CV1345" s="4">
        <v>7</v>
      </c>
      <c r="CW1345" s="4">
        <v>3</v>
      </c>
      <c r="CX1345" s="5">
        <v>3</v>
      </c>
    </row>
    <row r="1346" spans="1:102" ht="15.75" x14ac:dyDescent="0.25">
      <c r="A1346" s="4" t="s">
        <v>427</v>
      </c>
      <c r="B1346" s="4" t="s">
        <v>428</v>
      </c>
      <c r="C1346" s="4">
        <v>2023</v>
      </c>
      <c r="D1346" s="4">
        <v>190</v>
      </c>
      <c r="E1346" s="4">
        <v>0</v>
      </c>
      <c r="F1346" s="4">
        <v>0</v>
      </c>
      <c r="G1346" s="4">
        <v>0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  <c r="M1346" s="4">
        <v>4</v>
      </c>
      <c r="N1346" s="4">
        <v>1</v>
      </c>
      <c r="O1346" s="4">
        <v>81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1</v>
      </c>
      <c r="AJ1346" s="4">
        <v>32</v>
      </c>
      <c r="AK1346" s="4">
        <v>3</v>
      </c>
      <c r="AL1346" s="4">
        <v>0</v>
      </c>
      <c r="AM1346" s="4">
        <v>0</v>
      </c>
      <c r="AN1346" s="4">
        <v>0</v>
      </c>
      <c r="AO1346" s="4">
        <v>2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1</v>
      </c>
      <c r="AW1346" s="4">
        <v>0</v>
      </c>
      <c r="AX1346" s="4">
        <v>1</v>
      </c>
      <c r="AY1346" s="4">
        <v>0</v>
      </c>
      <c r="AZ1346" s="4">
        <v>4</v>
      </c>
      <c r="BA1346" s="4">
        <v>0</v>
      </c>
      <c r="BB1346" s="4">
        <v>9</v>
      </c>
      <c r="BC1346" s="4">
        <v>0</v>
      </c>
      <c r="BD1346" s="4">
        <v>0</v>
      </c>
      <c r="BE1346" s="4">
        <v>0</v>
      </c>
      <c r="BF1346" s="4">
        <v>2</v>
      </c>
      <c r="BG1346" s="4">
        <v>0</v>
      </c>
      <c r="BH1346" s="4">
        <v>0</v>
      </c>
      <c r="BI1346" s="4">
        <v>0</v>
      </c>
      <c r="BJ1346" s="4">
        <v>2</v>
      </c>
      <c r="BK1346" s="4">
        <v>5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2</v>
      </c>
      <c r="BT1346" s="4">
        <v>9</v>
      </c>
      <c r="BU1346" s="4">
        <v>0</v>
      </c>
      <c r="BV1346" s="4">
        <v>1</v>
      </c>
      <c r="BW1346" s="4">
        <v>1</v>
      </c>
      <c r="BX1346" s="4">
        <v>13</v>
      </c>
      <c r="BY1346" s="4">
        <v>0</v>
      </c>
      <c r="BZ1346" s="4">
        <v>0</v>
      </c>
      <c r="CA1346" s="4">
        <v>4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3</v>
      </c>
      <c r="CO1346" s="4">
        <v>0</v>
      </c>
      <c r="CP1346" s="4">
        <v>0</v>
      </c>
      <c r="CQ1346" s="4">
        <v>0</v>
      </c>
      <c r="CR1346" s="4">
        <v>0</v>
      </c>
      <c r="CS1346" s="4">
        <v>0</v>
      </c>
      <c r="CT1346" s="4">
        <v>1</v>
      </c>
      <c r="CU1346" s="4">
        <v>0</v>
      </c>
      <c r="CV1346" s="4">
        <v>1</v>
      </c>
      <c r="CW1346" s="4">
        <v>0</v>
      </c>
      <c r="CX1346" s="5">
        <v>0</v>
      </c>
    </row>
    <row r="1347" spans="1:102" ht="15.75" x14ac:dyDescent="0.25">
      <c r="A1347" s="4" t="s">
        <v>429</v>
      </c>
      <c r="B1347" s="4" t="s">
        <v>430</v>
      </c>
      <c r="C1347" s="4">
        <v>2023</v>
      </c>
      <c r="D1347" s="4">
        <v>232</v>
      </c>
      <c r="E1347" s="4">
        <v>0</v>
      </c>
      <c r="F1347" s="4">
        <v>0</v>
      </c>
      <c r="G1347" s="4">
        <v>35</v>
      </c>
      <c r="H1347" s="4">
        <v>0</v>
      </c>
      <c r="I1347" s="4">
        <v>0</v>
      </c>
      <c r="J1347" s="4">
        <v>0</v>
      </c>
      <c r="K1347" s="4">
        <v>0</v>
      </c>
      <c r="L1347" s="4">
        <v>3</v>
      </c>
      <c r="M1347" s="4">
        <v>1</v>
      </c>
      <c r="N1347" s="4">
        <v>3</v>
      </c>
      <c r="O1347" s="4">
        <v>23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1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1</v>
      </c>
      <c r="AH1347" s="4">
        <v>1</v>
      </c>
      <c r="AI1347" s="4">
        <v>2</v>
      </c>
      <c r="AJ1347" s="4">
        <v>13</v>
      </c>
      <c r="AK1347" s="4">
        <v>4</v>
      </c>
      <c r="AL1347" s="4">
        <v>1</v>
      </c>
      <c r="AM1347" s="4">
        <v>5</v>
      </c>
      <c r="AN1347" s="4">
        <v>1</v>
      </c>
      <c r="AO1347" s="4">
        <v>7</v>
      </c>
      <c r="AP1347" s="4">
        <v>0</v>
      </c>
      <c r="AQ1347" s="4">
        <v>1</v>
      </c>
      <c r="AR1347" s="4">
        <v>0</v>
      </c>
      <c r="AS1347" s="4">
        <v>1</v>
      </c>
      <c r="AT1347" s="4">
        <v>1</v>
      </c>
      <c r="AU1347" s="4">
        <v>1</v>
      </c>
      <c r="AV1347" s="4">
        <v>1</v>
      </c>
      <c r="AW1347" s="4">
        <v>1</v>
      </c>
      <c r="AX1347" s="4">
        <v>2</v>
      </c>
      <c r="AY1347" s="4">
        <v>0</v>
      </c>
      <c r="AZ1347" s="4">
        <v>11</v>
      </c>
      <c r="BA1347" s="4">
        <v>0</v>
      </c>
      <c r="BB1347" s="4">
        <v>4</v>
      </c>
      <c r="BC1347" s="4">
        <v>12</v>
      </c>
      <c r="BD1347" s="4">
        <v>0</v>
      </c>
      <c r="BE1347" s="4">
        <v>6</v>
      </c>
      <c r="BF1347" s="4">
        <v>9</v>
      </c>
      <c r="BG1347" s="4">
        <v>0</v>
      </c>
      <c r="BH1347" s="4">
        <v>0</v>
      </c>
      <c r="BI1347" s="4">
        <v>0</v>
      </c>
      <c r="BJ1347" s="4">
        <v>6</v>
      </c>
      <c r="BK1347" s="4">
        <v>13</v>
      </c>
      <c r="BL1347" s="4">
        <v>0</v>
      </c>
      <c r="BM1347" s="4">
        <v>0</v>
      </c>
      <c r="BN1347" s="4">
        <v>1</v>
      </c>
      <c r="BO1347" s="4">
        <v>0</v>
      </c>
      <c r="BP1347" s="4">
        <v>2</v>
      </c>
      <c r="BQ1347" s="4">
        <v>2</v>
      </c>
      <c r="BR1347" s="4">
        <v>0</v>
      </c>
      <c r="BS1347" s="4">
        <v>2</v>
      </c>
      <c r="BT1347" s="4">
        <v>3</v>
      </c>
      <c r="BU1347" s="4">
        <v>0</v>
      </c>
      <c r="BV1347" s="4">
        <v>2</v>
      </c>
      <c r="BW1347" s="4">
        <v>0</v>
      </c>
      <c r="BX1347" s="4">
        <v>31</v>
      </c>
      <c r="BY1347" s="4">
        <v>0</v>
      </c>
      <c r="BZ1347" s="4">
        <v>0</v>
      </c>
      <c r="CA1347" s="4">
        <v>1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1</v>
      </c>
      <c r="CN1347" s="4">
        <v>6</v>
      </c>
      <c r="CO1347" s="4">
        <v>0</v>
      </c>
      <c r="CP1347" s="4">
        <v>0</v>
      </c>
      <c r="CQ1347" s="4">
        <v>0</v>
      </c>
      <c r="CR1347" s="4">
        <v>0</v>
      </c>
      <c r="CS1347" s="4">
        <v>0</v>
      </c>
      <c r="CT1347" s="4">
        <v>1</v>
      </c>
      <c r="CU1347" s="4">
        <v>0</v>
      </c>
      <c r="CV1347" s="4">
        <v>6</v>
      </c>
      <c r="CW1347" s="4">
        <v>0</v>
      </c>
      <c r="CX1347" s="5">
        <v>0</v>
      </c>
    </row>
    <row r="1348" spans="1:102" ht="15.75" x14ac:dyDescent="0.25">
      <c r="A1348" s="4" t="s">
        <v>431</v>
      </c>
      <c r="B1348" s="4" t="s">
        <v>432</v>
      </c>
      <c r="C1348" s="4">
        <v>2023</v>
      </c>
      <c r="D1348" s="4">
        <v>3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2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0</v>
      </c>
      <c r="CP1348" s="4">
        <v>0</v>
      </c>
      <c r="CQ1348" s="4">
        <v>0</v>
      </c>
      <c r="CR1348" s="4">
        <v>0</v>
      </c>
      <c r="CS1348" s="4">
        <v>0</v>
      </c>
      <c r="CT1348" s="4">
        <v>0</v>
      </c>
      <c r="CU1348" s="4">
        <v>0</v>
      </c>
      <c r="CV1348" s="4">
        <v>0</v>
      </c>
      <c r="CW1348" s="4">
        <v>0</v>
      </c>
      <c r="CX1348" s="5">
        <v>0</v>
      </c>
    </row>
    <row r="1349" spans="1:102" ht="15.75" x14ac:dyDescent="0.25">
      <c r="A1349" s="4" t="s">
        <v>433</v>
      </c>
      <c r="B1349" s="4" t="s">
        <v>434</v>
      </c>
      <c r="C1349" s="4">
        <v>2023</v>
      </c>
      <c r="D1349" s="4">
        <v>9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1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1</v>
      </c>
      <c r="BG1349" s="4">
        <v>0</v>
      </c>
      <c r="BH1349" s="4">
        <v>0</v>
      </c>
      <c r="BI1349" s="4">
        <v>0</v>
      </c>
      <c r="BJ1349" s="4">
        <v>1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2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1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5">
        <v>0</v>
      </c>
    </row>
    <row r="1350" spans="1:102" ht="15.75" x14ac:dyDescent="0.25">
      <c r="A1350" s="4" t="s">
        <v>435</v>
      </c>
      <c r="B1350" s="4" t="s">
        <v>436</v>
      </c>
      <c r="C1350" s="4">
        <v>2023</v>
      </c>
      <c r="D1350" s="4">
        <v>679</v>
      </c>
      <c r="E1350" s="4">
        <v>0</v>
      </c>
      <c r="F1350" s="4">
        <v>35</v>
      </c>
      <c r="G1350" s="4">
        <v>5</v>
      </c>
      <c r="H1350" s="4">
        <v>6</v>
      </c>
      <c r="I1350" s="4">
        <v>6</v>
      </c>
      <c r="J1350" s="4">
        <v>1</v>
      </c>
      <c r="K1350" s="4">
        <v>1</v>
      </c>
      <c r="L1350" s="4">
        <v>4</v>
      </c>
      <c r="M1350" s="4">
        <v>6</v>
      </c>
      <c r="N1350" s="4">
        <v>3</v>
      </c>
      <c r="O1350" s="4">
        <v>22</v>
      </c>
      <c r="P1350" s="4">
        <v>0</v>
      </c>
      <c r="Q1350" s="4">
        <v>0</v>
      </c>
      <c r="R1350" s="4">
        <v>0</v>
      </c>
      <c r="S1350" s="4">
        <v>0</v>
      </c>
      <c r="T1350" s="4">
        <v>1</v>
      </c>
      <c r="U1350" s="4">
        <v>2</v>
      </c>
      <c r="V1350" s="4">
        <v>1</v>
      </c>
      <c r="W1350" s="4">
        <v>0</v>
      </c>
      <c r="X1350" s="4">
        <v>0</v>
      </c>
      <c r="Y1350" s="4">
        <v>0</v>
      </c>
      <c r="Z1350" s="4">
        <v>0</v>
      </c>
      <c r="AA1350" s="4">
        <v>1</v>
      </c>
      <c r="AB1350" s="4">
        <v>0</v>
      </c>
      <c r="AC1350" s="4">
        <v>0</v>
      </c>
      <c r="AD1350" s="4">
        <v>3</v>
      </c>
      <c r="AE1350" s="4">
        <v>3</v>
      </c>
      <c r="AF1350" s="4">
        <v>0</v>
      </c>
      <c r="AG1350" s="4">
        <v>4</v>
      </c>
      <c r="AH1350" s="4">
        <v>0</v>
      </c>
      <c r="AI1350" s="4">
        <v>5</v>
      </c>
      <c r="AJ1350" s="4">
        <v>37</v>
      </c>
      <c r="AK1350" s="4">
        <v>24</v>
      </c>
      <c r="AL1350" s="4">
        <v>2</v>
      </c>
      <c r="AM1350" s="4">
        <v>4</v>
      </c>
      <c r="AN1350" s="4">
        <v>3</v>
      </c>
      <c r="AO1350" s="4">
        <v>10</v>
      </c>
      <c r="AP1350" s="4">
        <v>0</v>
      </c>
      <c r="AQ1350" s="4">
        <v>1</v>
      </c>
      <c r="AR1350" s="4">
        <v>0</v>
      </c>
      <c r="AS1350" s="4">
        <v>3</v>
      </c>
      <c r="AT1350" s="4">
        <v>5</v>
      </c>
      <c r="AU1350" s="4">
        <v>2</v>
      </c>
      <c r="AV1350" s="4">
        <v>1</v>
      </c>
      <c r="AW1350" s="4">
        <v>1</v>
      </c>
      <c r="AX1350" s="4">
        <v>21</v>
      </c>
      <c r="AY1350" s="4">
        <v>0</v>
      </c>
      <c r="AZ1350" s="4">
        <v>5</v>
      </c>
      <c r="BA1350" s="4">
        <v>0</v>
      </c>
      <c r="BB1350" s="4">
        <v>100</v>
      </c>
      <c r="BC1350" s="4">
        <v>2</v>
      </c>
      <c r="BD1350" s="4">
        <v>0</v>
      </c>
      <c r="BE1350" s="4">
        <v>3</v>
      </c>
      <c r="BF1350" s="4">
        <v>6</v>
      </c>
      <c r="BG1350" s="4">
        <v>0</v>
      </c>
      <c r="BH1350" s="4">
        <v>0</v>
      </c>
      <c r="BI1350" s="4">
        <v>0</v>
      </c>
      <c r="BJ1350" s="4">
        <v>16</v>
      </c>
      <c r="BK1350" s="4">
        <v>8</v>
      </c>
      <c r="BL1350" s="4">
        <v>0</v>
      </c>
      <c r="BM1350" s="4">
        <v>1</v>
      </c>
      <c r="BN1350" s="4">
        <v>5</v>
      </c>
      <c r="BO1350" s="4">
        <v>0</v>
      </c>
      <c r="BP1350" s="4">
        <v>1</v>
      </c>
      <c r="BQ1350" s="4">
        <v>9</v>
      </c>
      <c r="BR1350" s="4">
        <v>0</v>
      </c>
      <c r="BS1350" s="4">
        <v>168</v>
      </c>
      <c r="BT1350" s="4">
        <v>13</v>
      </c>
      <c r="BU1350" s="4">
        <v>1</v>
      </c>
      <c r="BV1350" s="4">
        <v>2</v>
      </c>
      <c r="BW1350" s="4">
        <v>5</v>
      </c>
      <c r="BX1350" s="4">
        <v>26</v>
      </c>
      <c r="BY1350" s="4">
        <v>0</v>
      </c>
      <c r="BZ1350" s="4">
        <v>0</v>
      </c>
      <c r="CA1350" s="4">
        <v>20</v>
      </c>
      <c r="CB1350" s="4">
        <v>17</v>
      </c>
      <c r="CC1350" s="4">
        <v>0</v>
      </c>
      <c r="CD1350" s="4">
        <v>1</v>
      </c>
      <c r="CE1350" s="4">
        <v>0</v>
      </c>
      <c r="CF1350" s="4">
        <v>3</v>
      </c>
      <c r="CG1350" s="4">
        <v>5</v>
      </c>
      <c r="CH1350" s="4">
        <v>1</v>
      </c>
      <c r="CI1350" s="4">
        <v>0</v>
      </c>
      <c r="CJ1350" s="4">
        <v>2</v>
      </c>
      <c r="CK1350" s="4">
        <v>0</v>
      </c>
      <c r="CL1350" s="4">
        <v>0</v>
      </c>
      <c r="CM1350" s="4">
        <v>1</v>
      </c>
      <c r="CN1350" s="4">
        <v>12</v>
      </c>
      <c r="CO1350" s="4">
        <v>0</v>
      </c>
      <c r="CP1350" s="4">
        <v>1</v>
      </c>
      <c r="CQ1350" s="4">
        <v>0</v>
      </c>
      <c r="CR1350" s="4">
        <v>0</v>
      </c>
      <c r="CS1350" s="4">
        <v>0</v>
      </c>
      <c r="CT1350" s="4">
        <v>3</v>
      </c>
      <c r="CU1350" s="4">
        <v>2</v>
      </c>
      <c r="CV1350" s="4">
        <v>10</v>
      </c>
      <c r="CW1350" s="4">
        <v>6</v>
      </c>
      <c r="CX1350" s="5">
        <v>6</v>
      </c>
    </row>
    <row r="1351" spans="1:102" ht="15.75" x14ac:dyDescent="0.25">
      <c r="A1351" s="4" t="s">
        <v>437</v>
      </c>
      <c r="B1351" s="4" t="s">
        <v>438</v>
      </c>
      <c r="C1351" s="4">
        <v>2023</v>
      </c>
      <c r="D1351" s="4">
        <v>486</v>
      </c>
      <c r="E1351" s="4">
        <v>2</v>
      </c>
      <c r="F1351" s="4">
        <v>0</v>
      </c>
      <c r="G1351" s="4">
        <v>8</v>
      </c>
      <c r="H1351" s="4">
        <v>0</v>
      </c>
      <c r="I1351" s="4">
        <v>1</v>
      </c>
      <c r="J1351" s="4">
        <v>0</v>
      </c>
      <c r="K1351" s="4">
        <v>0</v>
      </c>
      <c r="L1351" s="4">
        <v>0</v>
      </c>
      <c r="M1351" s="4">
        <v>1</v>
      </c>
      <c r="N1351" s="4">
        <v>3</v>
      </c>
      <c r="O1351" s="4">
        <v>0</v>
      </c>
      <c r="P1351" s="4">
        <v>0</v>
      </c>
      <c r="Q1351" s="4">
        <v>0</v>
      </c>
      <c r="R1351" s="4">
        <v>0</v>
      </c>
      <c r="S1351" s="4">
        <v>1</v>
      </c>
      <c r="T1351" s="4">
        <v>3</v>
      </c>
      <c r="U1351" s="4">
        <v>12</v>
      </c>
      <c r="V1351" s="4">
        <v>1</v>
      </c>
      <c r="W1351" s="4">
        <v>266</v>
      </c>
      <c r="X1351" s="4">
        <v>0</v>
      </c>
      <c r="Y1351" s="4">
        <v>0</v>
      </c>
      <c r="Z1351" s="4">
        <v>0</v>
      </c>
      <c r="AA1351" s="4">
        <v>1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6</v>
      </c>
      <c r="AH1351" s="4">
        <v>1</v>
      </c>
      <c r="AI1351" s="4">
        <v>7</v>
      </c>
      <c r="AJ1351" s="4">
        <v>11</v>
      </c>
      <c r="AK1351" s="4">
        <v>8</v>
      </c>
      <c r="AL1351" s="4">
        <v>0</v>
      </c>
      <c r="AM1351" s="4">
        <v>5</v>
      </c>
      <c r="AN1351" s="4">
        <v>2</v>
      </c>
      <c r="AO1351" s="4">
        <v>27</v>
      </c>
      <c r="AP1351" s="4">
        <v>0</v>
      </c>
      <c r="AQ1351" s="4">
        <v>1</v>
      </c>
      <c r="AR1351" s="4">
        <v>0</v>
      </c>
      <c r="AS1351" s="4">
        <v>1</v>
      </c>
      <c r="AT1351" s="4">
        <v>4</v>
      </c>
      <c r="AU1351" s="4">
        <v>1</v>
      </c>
      <c r="AV1351" s="4">
        <v>2</v>
      </c>
      <c r="AW1351" s="4">
        <v>2</v>
      </c>
      <c r="AX1351" s="4">
        <v>2</v>
      </c>
      <c r="AY1351" s="4">
        <v>0</v>
      </c>
      <c r="AZ1351" s="4">
        <v>2</v>
      </c>
      <c r="BA1351" s="4">
        <v>0</v>
      </c>
      <c r="BB1351" s="4">
        <v>6</v>
      </c>
      <c r="BC1351" s="4">
        <v>2</v>
      </c>
      <c r="BD1351" s="4">
        <v>0</v>
      </c>
      <c r="BE1351" s="4">
        <v>2</v>
      </c>
      <c r="BF1351" s="4">
        <v>5</v>
      </c>
      <c r="BG1351" s="4">
        <v>3</v>
      </c>
      <c r="BH1351" s="4">
        <v>1</v>
      </c>
      <c r="BI1351" s="4">
        <v>0</v>
      </c>
      <c r="BJ1351" s="4">
        <v>9</v>
      </c>
      <c r="BK1351" s="4">
        <v>10</v>
      </c>
      <c r="BL1351" s="4">
        <v>0</v>
      </c>
      <c r="BM1351" s="4">
        <v>0</v>
      </c>
      <c r="BN1351" s="4">
        <v>9</v>
      </c>
      <c r="BO1351" s="4">
        <v>0</v>
      </c>
      <c r="BP1351" s="4">
        <v>0</v>
      </c>
      <c r="BQ1351" s="4">
        <v>2</v>
      </c>
      <c r="BR1351" s="4">
        <v>0</v>
      </c>
      <c r="BS1351" s="4">
        <v>5</v>
      </c>
      <c r="BT1351" s="4">
        <v>3</v>
      </c>
      <c r="BU1351" s="4">
        <v>0</v>
      </c>
      <c r="BV1351" s="4">
        <v>0</v>
      </c>
      <c r="BW1351" s="4">
        <v>0</v>
      </c>
      <c r="BX1351" s="4">
        <v>16</v>
      </c>
      <c r="BY1351" s="4">
        <v>0</v>
      </c>
      <c r="BZ1351" s="4">
        <v>0</v>
      </c>
      <c r="CA1351" s="4">
        <v>4</v>
      </c>
      <c r="CB1351" s="4">
        <v>0</v>
      </c>
      <c r="CC1351" s="4">
        <v>0</v>
      </c>
      <c r="CD1351" s="4">
        <v>0</v>
      </c>
      <c r="CE1351" s="4">
        <v>0</v>
      </c>
      <c r="CF1351" s="4">
        <v>1</v>
      </c>
      <c r="CG1351" s="4">
        <v>0</v>
      </c>
      <c r="CH1351" s="4">
        <v>0</v>
      </c>
      <c r="CI1351" s="4">
        <v>0</v>
      </c>
      <c r="CJ1351" s="4">
        <v>2</v>
      </c>
      <c r="CK1351" s="4">
        <v>1</v>
      </c>
      <c r="CL1351" s="4">
        <v>0</v>
      </c>
      <c r="CM1351" s="4">
        <v>1</v>
      </c>
      <c r="CN1351" s="4">
        <v>7</v>
      </c>
      <c r="CO1351" s="4">
        <v>0</v>
      </c>
      <c r="CP1351" s="4">
        <v>0</v>
      </c>
      <c r="CQ1351" s="4">
        <v>0</v>
      </c>
      <c r="CR1351" s="4">
        <v>0</v>
      </c>
      <c r="CS1351" s="4">
        <v>0</v>
      </c>
      <c r="CT1351" s="4">
        <v>3</v>
      </c>
      <c r="CU1351" s="4">
        <v>0</v>
      </c>
      <c r="CV1351" s="4">
        <v>8</v>
      </c>
      <c r="CW1351" s="4">
        <v>1</v>
      </c>
      <c r="CX1351" s="5">
        <v>1</v>
      </c>
    </row>
    <row r="1352" spans="1:102" ht="15.75" x14ac:dyDescent="0.25">
      <c r="A1352" s="4" t="s">
        <v>439</v>
      </c>
      <c r="B1352" s="4" t="s">
        <v>440</v>
      </c>
      <c r="C1352" s="4">
        <v>2023</v>
      </c>
      <c r="D1352" s="4">
        <v>7157</v>
      </c>
      <c r="E1352" s="4">
        <v>10</v>
      </c>
      <c r="F1352" s="4">
        <v>11</v>
      </c>
      <c r="G1352" s="4">
        <v>42</v>
      </c>
      <c r="H1352" s="4">
        <v>59</v>
      </c>
      <c r="I1352" s="4">
        <v>32</v>
      </c>
      <c r="J1352" s="4">
        <v>17</v>
      </c>
      <c r="K1352" s="4">
        <v>18</v>
      </c>
      <c r="L1352" s="4">
        <v>65</v>
      </c>
      <c r="M1352" s="4">
        <v>29</v>
      </c>
      <c r="N1352" s="4">
        <v>45</v>
      </c>
      <c r="O1352" s="4">
        <v>462</v>
      </c>
      <c r="P1352" s="4">
        <v>1</v>
      </c>
      <c r="Q1352" s="4">
        <v>0</v>
      </c>
      <c r="R1352" s="4">
        <v>6</v>
      </c>
      <c r="S1352" s="4">
        <v>0</v>
      </c>
      <c r="T1352" s="4">
        <v>1</v>
      </c>
      <c r="U1352" s="4">
        <v>75</v>
      </c>
      <c r="V1352" s="4">
        <v>8</v>
      </c>
      <c r="W1352" s="4">
        <v>43</v>
      </c>
      <c r="X1352" s="4">
        <v>13</v>
      </c>
      <c r="Y1352" s="4">
        <v>10</v>
      </c>
      <c r="Z1352" s="4">
        <v>1716</v>
      </c>
      <c r="AA1352" s="4">
        <v>26</v>
      </c>
      <c r="AB1352" s="4">
        <v>55</v>
      </c>
      <c r="AC1352" s="4">
        <v>0</v>
      </c>
      <c r="AD1352" s="4">
        <v>3</v>
      </c>
      <c r="AE1352" s="4">
        <v>3</v>
      </c>
      <c r="AF1352" s="4">
        <v>2</v>
      </c>
      <c r="AG1352" s="4">
        <v>69</v>
      </c>
      <c r="AH1352" s="4">
        <v>55</v>
      </c>
      <c r="AI1352" s="4">
        <v>84</v>
      </c>
      <c r="AJ1352" s="4">
        <v>80</v>
      </c>
      <c r="AK1352" s="4">
        <v>182</v>
      </c>
      <c r="AL1352" s="4">
        <v>24</v>
      </c>
      <c r="AM1352" s="4">
        <v>81</v>
      </c>
      <c r="AN1352" s="4">
        <v>131</v>
      </c>
      <c r="AO1352" s="4">
        <v>106</v>
      </c>
      <c r="AP1352" s="4">
        <v>6</v>
      </c>
      <c r="AQ1352" s="4">
        <v>64</v>
      </c>
      <c r="AR1352" s="4">
        <v>15</v>
      </c>
      <c r="AS1352" s="4">
        <v>44</v>
      </c>
      <c r="AT1352" s="4">
        <v>150</v>
      </c>
      <c r="AU1352" s="4">
        <v>52</v>
      </c>
      <c r="AV1352" s="4">
        <v>103</v>
      </c>
      <c r="AW1352" s="4">
        <v>284</v>
      </c>
      <c r="AX1352" s="4">
        <v>193</v>
      </c>
      <c r="AY1352" s="4">
        <v>1</v>
      </c>
      <c r="AZ1352" s="4">
        <v>21</v>
      </c>
      <c r="BA1352" s="4">
        <v>0</v>
      </c>
      <c r="BB1352" s="4">
        <v>296</v>
      </c>
      <c r="BC1352" s="4">
        <v>29</v>
      </c>
      <c r="BD1352" s="4">
        <v>0</v>
      </c>
      <c r="BE1352" s="4">
        <v>35</v>
      </c>
      <c r="BF1352" s="4">
        <v>278</v>
      </c>
      <c r="BG1352" s="4">
        <v>11</v>
      </c>
      <c r="BH1352" s="4">
        <v>16</v>
      </c>
      <c r="BI1352" s="4">
        <v>0</v>
      </c>
      <c r="BJ1352" s="4">
        <v>137</v>
      </c>
      <c r="BK1352" s="4">
        <v>212</v>
      </c>
      <c r="BL1352" s="4">
        <v>0</v>
      </c>
      <c r="BM1352" s="4">
        <v>8</v>
      </c>
      <c r="BN1352" s="4">
        <v>69</v>
      </c>
      <c r="BO1352" s="4">
        <v>50</v>
      </c>
      <c r="BP1352" s="4">
        <v>11</v>
      </c>
      <c r="BQ1352" s="4">
        <v>99</v>
      </c>
      <c r="BR1352" s="4">
        <v>16</v>
      </c>
      <c r="BS1352" s="4">
        <v>144</v>
      </c>
      <c r="BT1352" s="4">
        <v>69</v>
      </c>
      <c r="BU1352" s="4">
        <v>5</v>
      </c>
      <c r="BV1352" s="4">
        <v>207</v>
      </c>
      <c r="BW1352" s="4">
        <v>51</v>
      </c>
      <c r="BX1352" s="4">
        <v>358</v>
      </c>
      <c r="BY1352" s="4">
        <v>5</v>
      </c>
      <c r="BZ1352" s="4">
        <v>2</v>
      </c>
      <c r="CA1352" s="4">
        <v>83</v>
      </c>
      <c r="CB1352" s="4">
        <v>5</v>
      </c>
      <c r="CC1352" s="4">
        <v>1</v>
      </c>
      <c r="CD1352" s="4">
        <v>15</v>
      </c>
      <c r="CE1352" s="4">
        <v>3</v>
      </c>
      <c r="CF1352" s="4">
        <v>6</v>
      </c>
      <c r="CG1352" s="4">
        <v>6</v>
      </c>
      <c r="CH1352" s="4">
        <v>6</v>
      </c>
      <c r="CI1352" s="4">
        <v>7</v>
      </c>
      <c r="CJ1352" s="4">
        <v>46</v>
      </c>
      <c r="CK1352" s="4">
        <v>12</v>
      </c>
      <c r="CL1352" s="4">
        <v>0</v>
      </c>
      <c r="CM1352" s="4">
        <v>20</v>
      </c>
      <c r="CN1352" s="4">
        <v>92</v>
      </c>
      <c r="CO1352" s="4">
        <v>3</v>
      </c>
      <c r="CP1352" s="4">
        <v>11</v>
      </c>
      <c r="CQ1352" s="4">
        <v>0</v>
      </c>
      <c r="CR1352" s="4">
        <v>4</v>
      </c>
      <c r="CS1352" s="4">
        <v>2</v>
      </c>
      <c r="CT1352" s="4">
        <v>78</v>
      </c>
      <c r="CU1352" s="4">
        <v>18</v>
      </c>
      <c r="CV1352" s="4">
        <v>94</v>
      </c>
      <c r="CW1352" s="4">
        <v>38</v>
      </c>
      <c r="CX1352" s="5">
        <v>38</v>
      </c>
    </row>
    <row r="1353" spans="1:102" ht="15.75" x14ac:dyDescent="0.25">
      <c r="A1353" s="4" t="s">
        <v>441</v>
      </c>
      <c r="B1353" s="4" t="s">
        <v>442</v>
      </c>
      <c r="C1353" s="4">
        <v>2023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0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5">
        <v>0</v>
      </c>
    </row>
    <row r="1354" spans="1:102" ht="15.75" x14ac:dyDescent="0.25">
      <c r="A1354" s="4" t="s">
        <v>443</v>
      </c>
      <c r="B1354" s="4" t="s">
        <v>444</v>
      </c>
      <c r="C1354" s="4">
        <v>2023</v>
      </c>
      <c r="D1354" s="4">
        <v>5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1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3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5">
        <v>0</v>
      </c>
    </row>
    <row r="1355" spans="1:102" ht="15.75" x14ac:dyDescent="0.25">
      <c r="A1355" s="4" t="s">
        <v>445</v>
      </c>
      <c r="B1355" s="4" t="s">
        <v>446</v>
      </c>
      <c r="C1355" s="4">
        <v>2023</v>
      </c>
      <c r="D1355" s="4">
        <v>1426</v>
      </c>
      <c r="E1355" s="4">
        <v>2</v>
      </c>
      <c r="F1355" s="4">
        <v>14</v>
      </c>
      <c r="G1355" s="4">
        <v>5</v>
      </c>
      <c r="H1355" s="4">
        <v>10</v>
      </c>
      <c r="I1355" s="4">
        <v>45</v>
      </c>
      <c r="J1355" s="4">
        <v>7</v>
      </c>
      <c r="K1355" s="4">
        <v>1</v>
      </c>
      <c r="L1355" s="4">
        <v>4</v>
      </c>
      <c r="M1355" s="4">
        <v>2</v>
      </c>
      <c r="N1355" s="4">
        <v>14</v>
      </c>
      <c r="O1355" s="4">
        <v>103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3</v>
      </c>
      <c r="V1355" s="4">
        <v>10</v>
      </c>
      <c r="W1355" s="4">
        <v>112</v>
      </c>
      <c r="X1355" s="4">
        <v>2</v>
      </c>
      <c r="Y1355" s="4">
        <v>0</v>
      </c>
      <c r="Z1355" s="4">
        <v>0</v>
      </c>
      <c r="AA1355" s="4">
        <v>7</v>
      </c>
      <c r="AB1355" s="4">
        <v>6</v>
      </c>
      <c r="AC1355" s="4">
        <v>0</v>
      </c>
      <c r="AD1355" s="4">
        <v>0</v>
      </c>
      <c r="AE1355" s="4">
        <v>0</v>
      </c>
      <c r="AF1355" s="4">
        <v>0</v>
      </c>
      <c r="AG1355" s="4">
        <v>27</v>
      </c>
      <c r="AH1355" s="4">
        <v>2</v>
      </c>
      <c r="AI1355" s="4">
        <v>15</v>
      </c>
      <c r="AJ1355" s="4">
        <v>12</v>
      </c>
      <c r="AK1355" s="4">
        <v>16</v>
      </c>
      <c r="AL1355" s="4">
        <v>0</v>
      </c>
      <c r="AM1355" s="4">
        <v>12</v>
      </c>
      <c r="AN1355" s="4">
        <v>13</v>
      </c>
      <c r="AO1355" s="4">
        <v>28</v>
      </c>
      <c r="AP1355" s="4">
        <v>6</v>
      </c>
      <c r="AQ1355" s="4">
        <v>5</v>
      </c>
      <c r="AR1355" s="4">
        <v>3</v>
      </c>
      <c r="AS1355" s="4">
        <v>11</v>
      </c>
      <c r="AT1355" s="4">
        <v>27</v>
      </c>
      <c r="AU1355" s="4">
        <v>24</v>
      </c>
      <c r="AV1355" s="4">
        <v>49</v>
      </c>
      <c r="AW1355" s="4">
        <v>36</v>
      </c>
      <c r="AX1355" s="4">
        <v>24</v>
      </c>
      <c r="AY1355" s="4">
        <v>0</v>
      </c>
      <c r="AZ1355" s="4">
        <v>1</v>
      </c>
      <c r="BA1355" s="4">
        <v>0</v>
      </c>
      <c r="BB1355" s="4">
        <v>151</v>
      </c>
      <c r="BC1355" s="4">
        <v>4</v>
      </c>
      <c r="BD1355" s="4">
        <v>0</v>
      </c>
      <c r="BE1355" s="4">
        <v>11</v>
      </c>
      <c r="BF1355" s="4">
        <v>41</v>
      </c>
      <c r="BG1355" s="4">
        <v>2</v>
      </c>
      <c r="BH1355" s="4">
        <v>3</v>
      </c>
      <c r="BI1355" s="4">
        <v>0</v>
      </c>
      <c r="BJ1355" s="4">
        <v>31</v>
      </c>
      <c r="BK1355" s="4">
        <v>38</v>
      </c>
      <c r="BL1355" s="4">
        <v>0</v>
      </c>
      <c r="BM1355" s="4">
        <v>2</v>
      </c>
      <c r="BN1355" s="4">
        <v>17</v>
      </c>
      <c r="BO1355" s="4">
        <v>0</v>
      </c>
      <c r="BP1355" s="4">
        <v>7</v>
      </c>
      <c r="BQ1355" s="4">
        <v>13</v>
      </c>
      <c r="BR1355" s="4">
        <v>1</v>
      </c>
      <c r="BS1355" s="4">
        <v>23</v>
      </c>
      <c r="BT1355" s="4">
        <v>23</v>
      </c>
      <c r="BU1355" s="4">
        <v>1</v>
      </c>
      <c r="BV1355" s="4">
        <v>14</v>
      </c>
      <c r="BW1355" s="4">
        <v>23</v>
      </c>
      <c r="BX1355" s="4">
        <v>228</v>
      </c>
      <c r="BY1355" s="4">
        <v>0</v>
      </c>
      <c r="BZ1355" s="4">
        <v>0</v>
      </c>
      <c r="CA1355" s="4">
        <v>23</v>
      </c>
      <c r="CB1355" s="4">
        <v>2</v>
      </c>
      <c r="CC1355" s="4">
        <v>1</v>
      </c>
      <c r="CD1355" s="4">
        <v>4</v>
      </c>
      <c r="CE1355" s="4">
        <v>0</v>
      </c>
      <c r="CF1355" s="4">
        <v>6</v>
      </c>
      <c r="CG1355" s="4">
        <v>1</v>
      </c>
      <c r="CH1355" s="4">
        <v>2</v>
      </c>
      <c r="CI1355" s="4">
        <v>1</v>
      </c>
      <c r="CJ1355" s="4">
        <v>6</v>
      </c>
      <c r="CK1355" s="4">
        <v>3</v>
      </c>
      <c r="CL1355" s="4">
        <v>0</v>
      </c>
      <c r="CM1355" s="4">
        <v>6</v>
      </c>
      <c r="CN1355" s="4">
        <v>21</v>
      </c>
      <c r="CO1355" s="4">
        <v>1</v>
      </c>
      <c r="CP1355" s="4">
        <v>2</v>
      </c>
      <c r="CQ1355" s="4">
        <v>0</v>
      </c>
      <c r="CR1355" s="4">
        <v>5</v>
      </c>
      <c r="CS1355" s="4">
        <v>1</v>
      </c>
      <c r="CT1355" s="4">
        <v>19</v>
      </c>
      <c r="CU1355" s="4">
        <v>4</v>
      </c>
      <c r="CV1355" s="4">
        <v>21</v>
      </c>
      <c r="CW1355" s="4">
        <v>9</v>
      </c>
      <c r="CX1355" s="5">
        <v>9</v>
      </c>
    </row>
    <row r="1356" spans="1:102" ht="15.75" x14ac:dyDescent="0.25">
      <c r="A1356" s="4" t="s">
        <v>447</v>
      </c>
      <c r="B1356" s="4" t="s">
        <v>448</v>
      </c>
      <c r="C1356" s="4">
        <v>2023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0</v>
      </c>
      <c r="CQ1356" s="4">
        <v>0</v>
      </c>
      <c r="CR1356" s="4">
        <v>0</v>
      </c>
      <c r="CS1356" s="4">
        <v>0</v>
      </c>
      <c r="CT1356" s="4">
        <v>0</v>
      </c>
      <c r="CU1356" s="4">
        <v>0</v>
      </c>
      <c r="CV1356" s="4">
        <v>0</v>
      </c>
      <c r="CW1356" s="4">
        <v>0</v>
      </c>
      <c r="CX1356" s="5">
        <v>0</v>
      </c>
    </row>
    <row r="1357" spans="1:102" ht="15.75" x14ac:dyDescent="0.25">
      <c r="A1357" s="4" t="s">
        <v>449</v>
      </c>
      <c r="B1357" s="4" t="s">
        <v>450</v>
      </c>
      <c r="C1357" s="4">
        <v>2023</v>
      </c>
      <c r="D1357" s="4">
        <v>32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13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1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1</v>
      </c>
      <c r="BF1357" s="4">
        <v>1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9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1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5">
        <v>0</v>
      </c>
    </row>
    <row r="1358" spans="1:102" ht="15.75" x14ac:dyDescent="0.25">
      <c r="A1358" s="4" t="s">
        <v>451</v>
      </c>
      <c r="B1358" s="4" t="s">
        <v>452</v>
      </c>
      <c r="C1358" s="4">
        <v>2023</v>
      </c>
      <c r="D1358" s="4">
        <v>3689</v>
      </c>
      <c r="E1358" s="4">
        <v>8</v>
      </c>
      <c r="F1358" s="4">
        <v>2</v>
      </c>
      <c r="G1358" s="4">
        <v>7</v>
      </c>
      <c r="H1358" s="4">
        <v>1</v>
      </c>
      <c r="I1358" s="4">
        <v>20</v>
      </c>
      <c r="J1358" s="4">
        <v>3</v>
      </c>
      <c r="K1358" s="4">
        <v>2</v>
      </c>
      <c r="L1358" s="4">
        <v>25</v>
      </c>
      <c r="M1358" s="4">
        <v>2</v>
      </c>
      <c r="N1358" s="4">
        <v>5</v>
      </c>
      <c r="O1358" s="4">
        <v>6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1</v>
      </c>
      <c r="W1358" s="4">
        <v>0</v>
      </c>
      <c r="X1358" s="4">
        <v>0</v>
      </c>
      <c r="Y1358" s="4">
        <v>0</v>
      </c>
      <c r="Z1358" s="4">
        <v>0</v>
      </c>
      <c r="AA1358" s="4">
        <v>1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2</v>
      </c>
      <c r="AH1358" s="4">
        <v>0</v>
      </c>
      <c r="AI1358" s="4">
        <v>4</v>
      </c>
      <c r="AJ1358" s="4">
        <v>32</v>
      </c>
      <c r="AK1358" s="4">
        <v>11</v>
      </c>
      <c r="AL1358" s="4">
        <v>0</v>
      </c>
      <c r="AM1358" s="4">
        <v>3</v>
      </c>
      <c r="AN1358" s="4">
        <v>4</v>
      </c>
      <c r="AO1358" s="4">
        <v>14</v>
      </c>
      <c r="AP1358" s="4">
        <v>0</v>
      </c>
      <c r="AQ1358" s="4">
        <v>18</v>
      </c>
      <c r="AR1358" s="4">
        <v>0</v>
      </c>
      <c r="AS1358" s="4">
        <v>1</v>
      </c>
      <c r="AT1358" s="4">
        <v>5</v>
      </c>
      <c r="AU1358" s="4">
        <v>18</v>
      </c>
      <c r="AV1358" s="4">
        <v>111</v>
      </c>
      <c r="AW1358" s="4">
        <v>15</v>
      </c>
      <c r="AX1358" s="4">
        <v>32</v>
      </c>
      <c r="AY1358" s="4">
        <v>0</v>
      </c>
      <c r="AZ1358" s="4">
        <v>8</v>
      </c>
      <c r="BA1358" s="4">
        <v>0</v>
      </c>
      <c r="BB1358" s="4">
        <v>863</v>
      </c>
      <c r="BC1358" s="4">
        <v>5</v>
      </c>
      <c r="BD1358" s="4">
        <v>0</v>
      </c>
      <c r="BE1358" s="4">
        <v>8</v>
      </c>
      <c r="BF1358" s="4">
        <v>9</v>
      </c>
      <c r="BG1358" s="4">
        <v>1</v>
      </c>
      <c r="BH1358" s="4">
        <v>1</v>
      </c>
      <c r="BI1358" s="4">
        <v>0</v>
      </c>
      <c r="BJ1358" s="4">
        <v>73</v>
      </c>
      <c r="BK1358" s="4">
        <v>32</v>
      </c>
      <c r="BL1358" s="4">
        <v>0</v>
      </c>
      <c r="BM1358" s="4">
        <v>0</v>
      </c>
      <c r="BN1358" s="4">
        <v>17</v>
      </c>
      <c r="BO1358" s="4">
        <v>0</v>
      </c>
      <c r="BP1358" s="4">
        <v>3</v>
      </c>
      <c r="BQ1358" s="4">
        <v>24</v>
      </c>
      <c r="BR1358" s="4">
        <v>1</v>
      </c>
      <c r="BS1358" s="4">
        <v>42</v>
      </c>
      <c r="BT1358" s="4">
        <v>29</v>
      </c>
      <c r="BU1358" s="4">
        <v>0</v>
      </c>
      <c r="BV1358" s="4">
        <v>6</v>
      </c>
      <c r="BW1358" s="4">
        <v>10</v>
      </c>
      <c r="BX1358" s="4">
        <v>393</v>
      </c>
      <c r="BY1358" s="4">
        <v>1</v>
      </c>
      <c r="BZ1358" s="4">
        <v>0</v>
      </c>
      <c r="CA1358" s="4">
        <v>974</v>
      </c>
      <c r="CB1358" s="4">
        <v>3</v>
      </c>
      <c r="CC1358" s="4">
        <v>0</v>
      </c>
      <c r="CD1358" s="4">
        <v>7</v>
      </c>
      <c r="CE1358" s="4">
        <v>0</v>
      </c>
      <c r="CF1358" s="4">
        <v>4</v>
      </c>
      <c r="CG1358" s="4">
        <v>11</v>
      </c>
      <c r="CH1358" s="4">
        <v>3</v>
      </c>
      <c r="CI1358" s="4">
        <v>10</v>
      </c>
      <c r="CJ1358" s="4">
        <v>26</v>
      </c>
      <c r="CK1358" s="4">
        <v>5</v>
      </c>
      <c r="CL1358" s="4">
        <v>0</v>
      </c>
      <c r="CM1358" s="4">
        <v>20</v>
      </c>
      <c r="CN1358" s="4">
        <v>80</v>
      </c>
      <c r="CO1358" s="4">
        <v>16</v>
      </c>
      <c r="CP1358" s="4">
        <v>1</v>
      </c>
      <c r="CQ1358" s="4">
        <v>0</v>
      </c>
      <c r="CR1358" s="4">
        <v>34</v>
      </c>
      <c r="CS1358" s="4">
        <v>572</v>
      </c>
      <c r="CT1358" s="4">
        <v>9</v>
      </c>
      <c r="CU1358" s="4">
        <v>1</v>
      </c>
      <c r="CV1358" s="4">
        <v>17</v>
      </c>
      <c r="CW1358" s="4">
        <v>14</v>
      </c>
      <c r="CX1358" s="5">
        <v>14</v>
      </c>
    </row>
    <row r="1359" spans="1:102" ht="15.75" x14ac:dyDescent="0.25">
      <c r="A1359" s="4" t="s">
        <v>453</v>
      </c>
      <c r="B1359" s="4" t="s">
        <v>454</v>
      </c>
      <c r="C1359" s="4">
        <v>2023</v>
      </c>
      <c r="D1359" s="4">
        <v>1316</v>
      </c>
      <c r="E1359" s="4">
        <v>0</v>
      </c>
      <c r="F1359" s="4">
        <v>4</v>
      </c>
      <c r="G1359" s="4">
        <v>5</v>
      </c>
      <c r="H1359" s="4">
        <v>1</v>
      </c>
      <c r="I1359" s="4">
        <v>4</v>
      </c>
      <c r="J1359" s="4">
        <v>1</v>
      </c>
      <c r="K1359" s="4">
        <v>3</v>
      </c>
      <c r="L1359" s="4">
        <v>4</v>
      </c>
      <c r="M1359" s="4">
        <v>2</v>
      </c>
      <c r="N1359" s="4">
        <v>14</v>
      </c>
      <c r="O1359" s="4">
        <v>207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3</v>
      </c>
      <c r="V1359" s="4">
        <v>2</v>
      </c>
      <c r="W1359" s="4">
        <v>2</v>
      </c>
      <c r="X1359" s="4">
        <v>1</v>
      </c>
      <c r="Y1359" s="4">
        <v>0</v>
      </c>
      <c r="Z1359" s="4">
        <v>0</v>
      </c>
      <c r="AA1359" s="4">
        <v>3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4</v>
      </c>
      <c r="AH1359" s="4">
        <v>1</v>
      </c>
      <c r="AI1359" s="4">
        <v>11</v>
      </c>
      <c r="AJ1359" s="4">
        <v>23</v>
      </c>
      <c r="AK1359" s="4">
        <v>21</v>
      </c>
      <c r="AL1359" s="4">
        <v>1</v>
      </c>
      <c r="AM1359" s="4">
        <v>10</v>
      </c>
      <c r="AN1359" s="4">
        <v>22</v>
      </c>
      <c r="AO1359" s="4">
        <v>42</v>
      </c>
      <c r="AP1359" s="4">
        <v>5</v>
      </c>
      <c r="AQ1359" s="4">
        <v>17</v>
      </c>
      <c r="AR1359" s="4">
        <v>1</v>
      </c>
      <c r="AS1359" s="4">
        <v>3</v>
      </c>
      <c r="AT1359" s="4">
        <v>82</v>
      </c>
      <c r="AU1359" s="4">
        <v>7</v>
      </c>
      <c r="AV1359" s="4">
        <v>17</v>
      </c>
      <c r="AW1359" s="4">
        <v>33</v>
      </c>
      <c r="AX1359" s="4">
        <v>37</v>
      </c>
      <c r="AY1359" s="4">
        <v>7</v>
      </c>
      <c r="AZ1359" s="4">
        <v>9</v>
      </c>
      <c r="BA1359" s="4">
        <v>0</v>
      </c>
      <c r="BB1359" s="4">
        <v>57</v>
      </c>
      <c r="BC1359" s="4">
        <v>8</v>
      </c>
      <c r="BD1359" s="4">
        <v>0</v>
      </c>
      <c r="BE1359" s="4">
        <v>18</v>
      </c>
      <c r="BF1359" s="4">
        <v>70</v>
      </c>
      <c r="BG1359" s="4">
        <v>2</v>
      </c>
      <c r="BH1359" s="4">
        <v>7</v>
      </c>
      <c r="BI1359" s="4">
        <v>0</v>
      </c>
      <c r="BJ1359" s="4">
        <v>46</v>
      </c>
      <c r="BK1359" s="4">
        <v>27</v>
      </c>
      <c r="BL1359" s="4">
        <v>0</v>
      </c>
      <c r="BM1359" s="4">
        <v>2</v>
      </c>
      <c r="BN1359" s="4">
        <v>26</v>
      </c>
      <c r="BO1359" s="4">
        <v>0</v>
      </c>
      <c r="BP1359" s="4">
        <v>6</v>
      </c>
      <c r="BQ1359" s="4">
        <v>12</v>
      </c>
      <c r="BR1359" s="4">
        <v>2</v>
      </c>
      <c r="BS1359" s="4">
        <v>52</v>
      </c>
      <c r="BT1359" s="4">
        <v>28</v>
      </c>
      <c r="BU1359" s="4">
        <v>1</v>
      </c>
      <c r="BV1359" s="4">
        <v>114</v>
      </c>
      <c r="BW1359" s="4">
        <v>11</v>
      </c>
      <c r="BX1359" s="4">
        <v>78</v>
      </c>
      <c r="BY1359" s="4">
        <v>0</v>
      </c>
      <c r="BZ1359" s="4">
        <v>0</v>
      </c>
      <c r="CA1359" s="4">
        <v>7</v>
      </c>
      <c r="CB1359" s="4">
        <v>0</v>
      </c>
      <c r="CC1359" s="4">
        <v>0</v>
      </c>
      <c r="CD1359" s="4">
        <v>2</v>
      </c>
      <c r="CE1359" s="4">
        <v>0</v>
      </c>
      <c r="CF1359" s="4">
        <v>3</v>
      </c>
      <c r="CG1359" s="4">
        <v>2</v>
      </c>
      <c r="CH1359" s="4">
        <v>2</v>
      </c>
      <c r="CI1359" s="4">
        <v>1</v>
      </c>
      <c r="CJ1359" s="4">
        <v>4</v>
      </c>
      <c r="CK1359" s="4">
        <v>1</v>
      </c>
      <c r="CL1359" s="4">
        <v>0</v>
      </c>
      <c r="CM1359" s="4">
        <v>13</v>
      </c>
      <c r="CN1359" s="4">
        <v>33</v>
      </c>
      <c r="CO1359" s="4">
        <v>1</v>
      </c>
      <c r="CP1359" s="4">
        <v>1</v>
      </c>
      <c r="CQ1359" s="4">
        <v>0</v>
      </c>
      <c r="CR1359" s="4">
        <v>0</v>
      </c>
      <c r="CS1359" s="4">
        <v>0</v>
      </c>
      <c r="CT1359" s="4">
        <v>15</v>
      </c>
      <c r="CU1359" s="4">
        <v>2</v>
      </c>
      <c r="CV1359" s="4">
        <v>47</v>
      </c>
      <c r="CW1359" s="4">
        <v>7</v>
      </c>
      <c r="CX1359" s="5">
        <v>7</v>
      </c>
    </row>
    <row r="1360" spans="1:102" ht="15.75" x14ac:dyDescent="0.25">
      <c r="A1360" s="4" t="s">
        <v>455</v>
      </c>
      <c r="B1360" s="4" t="s">
        <v>456</v>
      </c>
      <c r="C1360" s="4">
        <v>2023</v>
      </c>
      <c r="D1360" s="4">
        <v>281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2</v>
      </c>
      <c r="K1360" s="4">
        <v>0</v>
      </c>
      <c r="L1360" s="4">
        <v>3</v>
      </c>
      <c r="M1360" s="4">
        <v>0</v>
      </c>
      <c r="N1360" s="4">
        <v>6</v>
      </c>
      <c r="O1360" s="4">
        <v>64</v>
      </c>
      <c r="P1360" s="4">
        <v>0</v>
      </c>
      <c r="Q1360" s="4">
        <v>0</v>
      </c>
      <c r="R1360" s="4">
        <v>1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1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1</v>
      </c>
      <c r="AH1360" s="4">
        <v>1</v>
      </c>
      <c r="AI1360" s="4">
        <v>8</v>
      </c>
      <c r="AJ1360" s="4">
        <v>8</v>
      </c>
      <c r="AK1360" s="4">
        <v>6</v>
      </c>
      <c r="AL1360" s="4">
        <v>0</v>
      </c>
      <c r="AM1360" s="4">
        <v>2</v>
      </c>
      <c r="AN1360" s="4">
        <v>6</v>
      </c>
      <c r="AO1360" s="4">
        <v>7</v>
      </c>
      <c r="AP1360" s="4">
        <v>0</v>
      </c>
      <c r="AQ1360" s="4">
        <v>4</v>
      </c>
      <c r="AR1360" s="4">
        <v>0</v>
      </c>
      <c r="AS1360" s="4">
        <v>1</v>
      </c>
      <c r="AT1360" s="4">
        <v>4</v>
      </c>
      <c r="AU1360" s="4">
        <v>3</v>
      </c>
      <c r="AV1360" s="4">
        <v>1</v>
      </c>
      <c r="AW1360" s="4">
        <v>6</v>
      </c>
      <c r="AX1360" s="4">
        <v>7</v>
      </c>
      <c r="AY1360" s="4">
        <v>0</v>
      </c>
      <c r="AZ1360" s="4">
        <v>3</v>
      </c>
      <c r="BA1360" s="4">
        <v>0</v>
      </c>
      <c r="BB1360" s="4">
        <v>10</v>
      </c>
      <c r="BC1360" s="4">
        <v>1</v>
      </c>
      <c r="BD1360" s="4">
        <v>0</v>
      </c>
      <c r="BE1360" s="4">
        <v>3</v>
      </c>
      <c r="BF1360" s="4">
        <v>13</v>
      </c>
      <c r="BG1360" s="4">
        <v>1</v>
      </c>
      <c r="BH1360" s="4">
        <v>1</v>
      </c>
      <c r="BI1360" s="4">
        <v>1</v>
      </c>
      <c r="BJ1360" s="4">
        <v>8</v>
      </c>
      <c r="BK1360" s="4">
        <v>11</v>
      </c>
      <c r="BL1360" s="4">
        <v>0</v>
      </c>
      <c r="BM1360" s="4">
        <v>1</v>
      </c>
      <c r="BN1360" s="4">
        <v>7</v>
      </c>
      <c r="BO1360" s="4">
        <v>0</v>
      </c>
      <c r="BP1360" s="4">
        <v>0</v>
      </c>
      <c r="BQ1360" s="4">
        <v>4</v>
      </c>
      <c r="BR1360" s="4">
        <v>0</v>
      </c>
      <c r="BS1360" s="4">
        <v>7</v>
      </c>
      <c r="BT1360" s="4">
        <v>6</v>
      </c>
      <c r="BU1360" s="4">
        <v>0</v>
      </c>
      <c r="BV1360" s="4">
        <v>3</v>
      </c>
      <c r="BW1360" s="4">
        <v>0</v>
      </c>
      <c r="BX1360" s="4">
        <v>2</v>
      </c>
      <c r="BY1360" s="4">
        <v>0</v>
      </c>
      <c r="BZ1360" s="4">
        <v>0</v>
      </c>
      <c r="CA1360" s="4">
        <v>7</v>
      </c>
      <c r="CB1360" s="4">
        <v>0</v>
      </c>
      <c r="CC1360" s="4">
        <v>0</v>
      </c>
      <c r="CD1360" s="4">
        <v>1</v>
      </c>
      <c r="CE1360" s="4">
        <v>0</v>
      </c>
      <c r="CF1360" s="4">
        <v>1</v>
      </c>
      <c r="CG1360" s="4">
        <v>1</v>
      </c>
      <c r="CH1360" s="4">
        <v>2</v>
      </c>
      <c r="CI1360" s="4">
        <v>1</v>
      </c>
      <c r="CJ1360" s="4">
        <v>11</v>
      </c>
      <c r="CK1360" s="4">
        <v>3</v>
      </c>
      <c r="CL1360" s="4">
        <v>0</v>
      </c>
      <c r="CM1360" s="4">
        <v>2</v>
      </c>
      <c r="CN1360" s="4">
        <v>8</v>
      </c>
      <c r="CO1360" s="4">
        <v>1</v>
      </c>
      <c r="CP1360" s="4">
        <v>1</v>
      </c>
      <c r="CQ1360" s="4">
        <v>0</v>
      </c>
      <c r="CR1360" s="4">
        <v>0</v>
      </c>
      <c r="CS1360" s="4">
        <v>0</v>
      </c>
      <c r="CT1360" s="4">
        <v>3</v>
      </c>
      <c r="CU1360" s="4">
        <v>1</v>
      </c>
      <c r="CV1360" s="4">
        <v>11</v>
      </c>
      <c r="CW1360" s="4">
        <v>1</v>
      </c>
      <c r="CX1360" s="5">
        <v>1</v>
      </c>
    </row>
    <row r="1361" spans="1:102" ht="15.75" x14ac:dyDescent="0.25">
      <c r="A1361" s="4" t="s">
        <v>457</v>
      </c>
      <c r="B1361" s="4" t="s">
        <v>458</v>
      </c>
      <c r="C1361" s="4">
        <v>2023</v>
      </c>
      <c r="D1361" s="4">
        <v>866</v>
      </c>
      <c r="E1361" s="4">
        <v>2</v>
      </c>
      <c r="F1361" s="4">
        <v>0</v>
      </c>
      <c r="G1361" s="4">
        <v>17</v>
      </c>
      <c r="H1361" s="4">
        <v>0</v>
      </c>
      <c r="I1361" s="4">
        <v>1</v>
      </c>
      <c r="J1361" s="4">
        <v>1</v>
      </c>
      <c r="K1361" s="4">
        <v>1</v>
      </c>
      <c r="L1361" s="4">
        <v>4</v>
      </c>
      <c r="M1361" s="4">
        <v>13</v>
      </c>
      <c r="N1361" s="4">
        <v>30</v>
      </c>
      <c r="O1361" s="4">
        <v>111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3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52</v>
      </c>
      <c r="AH1361" s="4">
        <v>2</v>
      </c>
      <c r="AI1361" s="4">
        <v>1</v>
      </c>
      <c r="AJ1361" s="4">
        <v>407</v>
      </c>
      <c r="AK1361" s="4">
        <v>50</v>
      </c>
      <c r="AL1361" s="4">
        <v>0</v>
      </c>
      <c r="AM1361" s="4">
        <v>2</v>
      </c>
      <c r="AN1361" s="4">
        <v>3</v>
      </c>
      <c r="AO1361" s="4">
        <v>19</v>
      </c>
      <c r="AP1361" s="4">
        <v>0</v>
      </c>
      <c r="AQ1361" s="4">
        <v>1</v>
      </c>
      <c r="AR1361" s="4">
        <v>0</v>
      </c>
      <c r="AS1361" s="4">
        <v>1</v>
      </c>
      <c r="AT1361" s="4">
        <v>7</v>
      </c>
      <c r="AU1361" s="4">
        <v>2</v>
      </c>
      <c r="AV1361" s="4">
        <v>0</v>
      </c>
      <c r="AW1361" s="4">
        <v>1</v>
      </c>
      <c r="AX1361" s="4">
        <v>3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4</v>
      </c>
      <c r="BF1361" s="4">
        <v>4</v>
      </c>
      <c r="BG1361" s="4">
        <v>0</v>
      </c>
      <c r="BH1361" s="4">
        <v>0</v>
      </c>
      <c r="BI1361" s="4">
        <v>0</v>
      </c>
      <c r="BJ1361" s="4">
        <v>0</v>
      </c>
      <c r="BK1361" s="4">
        <v>6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9</v>
      </c>
      <c r="BT1361" s="4">
        <v>8</v>
      </c>
      <c r="BU1361" s="4">
        <v>0</v>
      </c>
      <c r="BV1361" s="4">
        <v>0</v>
      </c>
      <c r="BW1361" s="4">
        <v>0</v>
      </c>
      <c r="BX1361" s="4">
        <v>39</v>
      </c>
      <c r="BY1361" s="4">
        <v>1</v>
      </c>
      <c r="BZ1361" s="4">
        <v>0</v>
      </c>
      <c r="CA1361" s="4">
        <v>0</v>
      </c>
      <c r="CB1361" s="4">
        <v>2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7</v>
      </c>
      <c r="CK1361" s="4">
        <v>1</v>
      </c>
      <c r="CL1361" s="4">
        <v>0</v>
      </c>
      <c r="CM1361" s="4">
        <v>0</v>
      </c>
      <c r="CN1361" s="4">
        <v>4</v>
      </c>
      <c r="CO1361" s="4">
        <v>18</v>
      </c>
      <c r="CP1361" s="4">
        <v>1</v>
      </c>
      <c r="CQ1361" s="4">
        <v>0</v>
      </c>
      <c r="CR1361" s="4">
        <v>0</v>
      </c>
      <c r="CS1361" s="4">
        <v>0</v>
      </c>
      <c r="CT1361" s="4">
        <v>4</v>
      </c>
      <c r="CU1361" s="4">
        <v>0</v>
      </c>
      <c r="CV1361" s="4">
        <v>20</v>
      </c>
      <c r="CW1361" s="4">
        <v>2</v>
      </c>
      <c r="CX1361" s="5">
        <v>2</v>
      </c>
    </row>
    <row r="1362" spans="1:102" ht="15.75" x14ac:dyDescent="0.25">
      <c r="A1362" s="4" t="s">
        <v>459</v>
      </c>
      <c r="B1362" s="4" t="s">
        <v>460</v>
      </c>
      <c r="C1362" s="4">
        <v>2023</v>
      </c>
      <c r="D1362" s="4">
        <v>14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1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1</v>
      </c>
      <c r="AJ1362" s="4">
        <v>1</v>
      </c>
      <c r="AK1362" s="4">
        <v>1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1</v>
      </c>
      <c r="BO1362" s="4">
        <v>0</v>
      </c>
      <c r="BP1362" s="4">
        <v>0</v>
      </c>
      <c r="BQ1362" s="4">
        <v>2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2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0</v>
      </c>
      <c r="CP1362" s="4">
        <v>0</v>
      </c>
      <c r="CQ1362" s="4">
        <v>0</v>
      </c>
      <c r="CR1362" s="4">
        <v>0</v>
      </c>
      <c r="CS1362" s="4">
        <v>0</v>
      </c>
      <c r="CT1362" s="4">
        <v>1</v>
      </c>
      <c r="CU1362" s="4">
        <v>0</v>
      </c>
      <c r="CV1362" s="4">
        <v>1</v>
      </c>
      <c r="CW1362" s="4">
        <v>0</v>
      </c>
      <c r="CX1362" s="5">
        <v>0</v>
      </c>
    </row>
    <row r="1363" spans="1:102" ht="15.75" x14ac:dyDescent="0.25">
      <c r="A1363" s="4" t="s">
        <v>461</v>
      </c>
      <c r="B1363" s="4" t="s">
        <v>462</v>
      </c>
      <c r="C1363" s="4">
        <v>2023</v>
      </c>
      <c r="D1363" s="4">
        <v>4829</v>
      </c>
      <c r="E1363" s="4">
        <v>33</v>
      </c>
      <c r="F1363" s="4">
        <v>1</v>
      </c>
      <c r="G1363" s="4">
        <v>35</v>
      </c>
      <c r="H1363" s="4">
        <v>1</v>
      </c>
      <c r="I1363" s="4">
        <v>72</v>
      </c>
      <c r="J1363" s="4">
        <v>9</v>
      </c>
      <c r="K1363" s="4">
        <v>5</v>
      </c>
      <c r="L1363" s="4">
        <v>134</v>
      </c>
      <c r="M1363" s="4">
        <v>16</v>
      </c>
      <c r="N1363" s="4">
        <v>48</v>
      </c>
      <c r="O1363" s="4">
        <v>4</v>
      </c>
      <c r="P1363" s="4">
        <v>0</v>
      </c>
      <c r="Q1363" s="4">
        <v>0</v>
      </c>
      <c r="R1363" s="4">
        <v>0</v>
      </c>
      <c r="S1363" s="4">
        <v>1</v>
      </c>
      <c r="T1363" s="4">
        <v>0</v>
      </c>
      <c r="U1363" s="4">
        <v>0</v>
      </c>
      <c r="V1363" s="4">
        <v>8</v>
      </c>
      <c r="W1363" s="4">
        <v>1</v>
      </c>
      <c r="X1363" s="4">
        <v>1</v>
      </c>
      <c r="Y1363" s="4">
        <v>10</v>
      </c>
      <c r="Z1363" s="4">
        <v>0</v>
      </c>
      <c r="AA1363" s="4">
        <v>6</v>
      </c>
      <c r="AB1363" s="4">
        <v>1</v>
      </c>
      <c r="AC1363" s="4">
        <v>0</v>
      </c>
      <c r="AD1363" s="4">
        <v>0</v>
      </c>
      <c r="AE1363" s="4">
        <v>0</v>
      </c>
      <c r="AF1363" s="4">
        <v>1</v>
      </c>
      <c r="AG1363" s="4">
        <v>22</v>
      </c>
      <c r="AH1363" s="4">
        <v>6</v>
      </c>
      <c r="AI1363" s="4">
        <v>55</v>
      </c>
      <c r="AJ1363" s="4">
        <v>308</v>
      </c>
      <c r="AK1363" s="4">
        <v>98</v>
      </c>
      <c r="AL1363" s="4">
        <v>1</v>
      </c>
      <c r="AM1363" s="4">
        <v>23</v>
      </c>
      <c r="AN1363" s="4">
        <v>11</v>
      </c>
      <c r="AO1363" s="4">
        <v>69</v>
      </c>
      <c r="AP1363" s="4">
        <v>0</v>
      </c>
      <c r="AQ1363" s="4">
        <v>34</v>
      </c>
      <c r="AR1363" s="4">
        <v>1</v>
      </c>
      <c r="AS1363" s="4">
        <v>7</v>
      </c>
      <c r="AT1363" s="4">
        <v>15</v>
      </c>
      <c r="AU1363" s="4">
        <v>17</v>
      </c>
      <c r="AV1363" s="4">
        <v>46</v>
      </c>
      <c r="AW1363" s="4">
        <v>20</v>
      </c>
      <c r="AX1363" s="4">
        <v>118</v>
      </c>
      <c r="AY1363" s="4">
        <v>4</v>
      </c>
      <c r="AZ1363" s="4">
        <v>47</v>
      </c>
      <c r="BA1363" s="4">
        <v>0</v>
      </c>
      <c r="BB1363" s="4">
        <v>1098</v>
      </c>
      <c r="BC1363" s="4">
        <v>22</v>
      </c>
      <c r="BD1363" s="4">
        <v>1</v>
      </c>
      <c r="BE1363" s="4">
        <v>25</v>
      </c>
      <c r="BF1363" s="4">
        <v>79</v>
      </c>
      <c r="BG1363" s="4">
        <v>12</v>
      </c>
      <c r="BH1363" s="4">
        <v>6</v>
      </c>
      <c r="BI1363" s="4">
        <v>1</v>
      </c>
      <c r="BJ1363" s="4">
        <v>220</v>
      </c>
      <c r="BK1363" s="4">
        <v>142</v>
      </c>
      <c r="BL1363" s="4">
        <v>0</v>
      </c>
      <c r="BM1363" s="4">
        <v>9</v>
      </c>
      <c r="BN1363" s="4">
        <v>59</v>
      </c>
      <c r="BO1363" s="4">
        <v>1</v>
      </c>
      <c r="BP1363" s="4">
        <v>15</v>
      </c>
      <c r="BQ1363" s="4">
        <v>88</v>
      </c>
      <c r="BR1363" s="4">
        <v>5</v>
      </c>
      <c r="BS1363" s="4">
        <v>190</v>
      </c>
      <c r="BT1363" s="4">
        <v>137</v>
      </c>
      <c r="BU1363" s="4">
        <v>1</v>
      </c>
      <c r="BV1363" s="4">
        <v>9</v>
      </c>
      <c r="BW1363" s="4">
        <v>54</v>
      </c>
      <c r="BX1363" s="4">
        <v>438</v>
      </c>
      <c r="BY1363" s="4">
        <v>0</v>
      </c>
      <c r="BZ1363" s="4">
        <v>1</v>
      </c>
      <c r="CA1363" s="4">
        <v>147</v>
      </c>
      <c r="CB1363" s="4">
        <v>1</v>
      </c>
      <c r="CC1363" s="4">
        <v>0</v>
      </c>
      <c r="CD1363" s="4">
        <v>17</v>
      </c>
      <c r="CE1363" s="4">
        <v>0</v>
      </c>
      <c r="CF1363" s="4">
        <v>8</v>
      </c>
      <c r="CG1363" s="4">
        <v>5</v>
      </c>
      <c r="CH1363" s="4">
        <v>48</v>
      </c>
      <c r="CI1363" s="4">
        <v>6</v>
      </c>
      <c r="CJ1363" s="4">
        <v>61</v>
      </c>
      <c r="CK1363" s="4">
        <v>6</v>
      </c>
      <c r="CL1363" s="4">
        <v>0</v>
      </c>
      <c r="CM1363" s="4">
        <v>50</v>
      </c>
      <c r="CN1363" s="4">
        <v>144</v>
      </c>
      <c r="CO1363" s="4">
        <v>10</v>
      </c>
      <c r="CP1363" s="4">
        <v>2</v>
      </c>
      <c r="CQ1363" s="4">
        <v>0</v>
      </c>
      <c r="CR1363" s="4">
        <v>5</v>
      </c>
      <c r="CS1363" s="4">
        <v>218</v>
      </c>
      <c r="CT1363" s="4">
        <v>19</v>
      </c>
      <c r="CU1363" s="4">
        <v>6</v>
      </c>
      <c r="CV1363" s="4">
        <v>141</v>
      </c>
      <c r="CW1363" s="4">
        <v>29</v>
      </c>
      <c r="CX1363" s="5">
        <v>29</v>
      </c>
    </row>
    <row r="1364" spans="1:102" ht="15.75" x14ac:dyDescent="0.25">
      <c r="A1364" s="4" t="s">
        <v>463</v>
      </c>
      <c r="B1364" s="4" t="s">
        <v>464</v>
      </c>
      <c r="C1364" s="4">
        <v>2023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5">
        <v>0</v>
      </c>
    </row>
    <row r="1365" spans="1:102" ht="15.75" x14ac:dyDescent="0.25">
      <c r="A1365" s="4" t="s">
        <v>465</v>
      </c>
      <c r="B1365" s="4" t="s">
        <v>466</v>
      </c>
      <c r="C1365" s="4">
        <v>2023</v>
      </c>
      <c r="D1365" s="4">
        <v>56</v>
      </c>
      <c r="E1365" s="4">
        <v>0</v>
      </c>
      <c r="F1365" s="4">
        <v>0</v>
      </c>
      <c r="G1365" s="4">
        <v>0</v>
      </c>
      <c r="H1365" s="4">
        <v>0</v>
      </c>
      <c r="I1365" s="4">
        <v>1</v>
      </c>
      <c r="J1365" s="4">
        <v>0</v>
      </c>
      <c r="K1365" s="4">
        <v>0</v>
      </c>
      <c r="L1365" s="4">
        <v>0</v>
      </c>
      <c r="M1365" s="4">
        <v>0</v>
      </c>
      <c r="N1365" s="4">
        <v>1</v>
      </c>
      <c r="O1365" s="4">
        <v>1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2</v>
      </c>
      <c r="AK1365" s="4">
        <v>1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1</v>
      </c>
      <c r="AY1365" s="4">
        <v>0</v>
      </c>
      <c r="AZ1365" s="4">
        <v>0</v>
      </c>
      <c r="BA1365" s="4">
        <v>0</v>
      </c>
      <c r="BB1365" s="4">
        <v>2</v>
      </c>
      <c r="BC1365" s="4">
        <v>0</v>
      </c>
      <c r="BD1365" s="4">
        <v>0</v>
      </c>
      <c r="BE1365" s="4">
        <v>1</v>
      </c>
      <c r="BF1365" s="4">
        <v>0</v>
      </c>
      <c r="BG1365" s="4">
        <v>0</v>
      </c>
      <c r="BH1365" s="4">
        <v>0</v>
      </c>
      <c r="BI1365" s="4">
        <v>0</v>
      </c>
      <c r="BJ1365" s="4">
        <v>1</v>
      </c>
      <c r="BK1365" s="4">
        <v>1</v>
      </c>
      <c r="BL1365" s="4">
        <v>0</v>
      </c>
      <c r="BM1365" s="4">
        <v>0</v>
      </c>
      <c r="BN1365" s="4">
        <v>1</v>
      </c>
      <c r="BO1365" s="4">
        <v>0</v>
      </c>
      <c r="BP1365" s="4">
        <v>0</v>
      </c>
      <c r="BQ1365" s="4">
        <v>1</v>
      </c>
      <c r="BR1365" s="4">
        <v>0</v>
      </c>
      <c r="BS1365" s="4">
        <v>1</v>
      </c>
      <c r="BT1365" s="4">
        <v>0</v>
      </c>
      <c r="BU1365" s="4">
        <v>0</v>
      </c>
      <c r="BV1365" s="4">
        <v>0</v>
      </c>
      <c r="BW1365" s="4">
        <v>1</v>
      </c>
      <c r="BX1365" s="4">
        <v>3</v>
      </c>
      <c r="BY1365" s="4">
        <v>0</v>
      </c>
      <c r="BZ1365" s="4">
        <v>0</v>
      </c>
      <c r="CA1365" s="4">
        <v>0</v>
      </c>
      <c r="CB1365" s="4">
        <v>32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1</v>
      </c>
      <c r="CK1365" s="4">
        <v>0</v>
      </c>
      <c r="CL1365" s="4">
        <v>0</v>
      </c>
      <c r="CM1365" s="4">
        <v>0</v>
      </c>
      <c r="CN1365" s="4">
        <v>1</v>
      </c>
      <c r="CO1365" s="4">
        <v>0</v>
      </c>
      <c r="CP1365" s="4">
        <v>0</v>
      </c>
      <c r="CQ1365" s="4">
        <v>0</v>
      </c>
      <c r="CR1365" s="4">
        <v>0</v>
      </c>
      <c r="CS1365" s="4">
        <v>0</v>
      </c>
      <c r="CT1365" s="4">
        <v>0</v>
      </c>
      <c r="CU1365" s="4">
        <v>0</v>
      </c>
      <c r="CV1365" s="4">
        <v>1</v>
      </c>
      <c r="CW1365" s="4">
        <v>0</v>
      </c>
      <c r="CX1365" s="5">
        <v>0</v>
      </c>
    </row>
    <row r="1366" spans="1:102" ht="15.75" x14ac:dyDescent="0.25">
      <c r="A1366" s="4" t="s">
        <v>467</v>
      </c>
      <c r="B1366" s="4" t="s">
        <v>468</v>
      </c>
      <c r="C1366" s="4">
        <v>2023</v>
      </c>
      <c r="D1366" s="4">
        <v>28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1</v>
      </c>
      <c r="K1366" s="4">
        <v>0</v>
      </c>
      <c r="L1366" s="4">
        <v>0</v>
      </c>
      <c r="M1366" s="4">
        <v>0</v>
      </c>
      <c r="N1366" s="4">
        <v>1</v>
      </c>
      <c r="O1366" s="4">
        <v>10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1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1</v>
      </c>
      <c r="AJ1366" s="4">
        <v>1</v>
      </c>
      <c r="AK1366" s="4">
        <v>0</v>
      </c>
      <c r="AL1366" s="4">
        <v>0</v>
      </c>
      <c r="AM1366" s="4">
        <v>0</v>
      </c>
      <c r="AN1366" s="4">
        <v>0</v>
      </c>
      <c r="AO1366" s="4">
        <v>2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2</v>
      </c>
      <c r="BC1366" s="4">
        <v>0</v>
      </c>
      <c r="BD1366" s="4">
        <v>0</v>
      </c>
      <c r="BE1366" s="4">
        <v>0</v>
      </c>
      <c r="BF1366" s="4">
        <v>2</v>
      </c>
      <c r="BG1366" s="4">
        <v>0</v>
      </c>
      <c r="BH1366" s="4">
        <v>0</v>
      </c>
      <c r="BI1366" s="4">
        <v>0</v>
      </c>
      <c r="BJ1366" s="4">
        <v>1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1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1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1</v>
      </c>
      <c r="CW1366" s="4">
        <v>0</v>
      </c>
      <c r="CX1366" s="5">
        <v>0</v>
      </c>
    </row>
    <row r="1367" spans="1:102" ht="15.75" x14ac:dyDescent="0.25">
      <c r="A1367" s="4" t="s">
        <v>469</v>
      </c>
      <c r="B1367" s="4" t="s">
        <v>470</v>
      </c>
      <c r="C1367" s="4">
        <v>2023</v>
      </c>
      <c r="D1367" s="4">
        <v>4969</v>
      </c>
      <c r="E1367" s="4">
        <v>7</v>
      </c>
      <c r="F1367" s="4">
        <v>6</v>
      </c>
      <c r="G1367" s="4">
        <v>17</v>
      </c>
      <c r="H1367" s="4">
        <v>10</v>
      </c>
      <c r="I1367" s="4">
        <v>35</v>
      </c>
      <c r="J1367" s="4">
        <v>5</v>
      </c>
      <c r="K1367" s="4">
        <v>10</v>
      </c>
      <c r="L1367" s="4">
        <v>14</v>
      </c>
      <c r="M1367" s="4">
        <v>19</v>
      </c>
      <c r="N1367" s="4">
        <v>40</v>
      </c>
      <c r="O1367" s="4">
        <v>89</v>
      </c>
      <c r="P1367" s="4">
        <v>0</v>
      </c>
      <c r="Q1367" s="4">
        <v>10</v>
      </c>
      <c r="R1367" s="4">
        <v>1</v>
      </c>
      <c r="S1367" s="4">
        <v>7</v>
      </c>
      <c r="T1367" s="4">
        <v>1</v>
      </c>
      <c r="U1367" s="4">
        <v>1</v>
      </c>
      <c r="V1367" s="4">
        <v>27</v>
      </c>
      <c r="W1367" s="4">
        <v>38</v>
      </c>
      <c r="X1367" s="4">
        <v>3</v>
      </c>
      <c r="Y1367" s="4">
        <v>7</v>
      </c>
      <c r="Z1367" s="4">
        <v>929</v>
      </c>
      <c r="AA1367" s="4">
        <v>25</v>
      </c>
      <c r="AB1367" s="4">
        <v>17</v>
      </c>
      <c r="AC1367" s="4">
        <v>0</v>
      </c>
      <c r="AD1367" s="4">
        <v>0</v>
      </c>
      <c r="AE1367" s="4">
        <v>2</v>
      </c>
      <c r="AF1367" s="4">
        <v>3</v>
      </c>
      <c r="AG1367" s="4">
        <v>56</v>
      </c>
      <c r="AH1367" s="4">
        <v>184</v>
      </c>
      <c r="AI1367" s="4">
        <v>45</v>
      </c>
      <c r="AJ1367" s="4">
        <v>59</v>
      </c>
      <c r="AK1367" s="4">
        <v>79</v>
      </c>
      <c r="AL1367" s="4">
        <v>3</v>
      </c>
      <c r="AM1367" s="4">
        <v>66</v>
      </c>
      <c r="AN1367" s="4">
        <v>77</v>
      </c>
      <c r="AO1367" s="4">
        <v>64</v>
      </c>
      <c r="AP1367" s="4">
        <v>1</v>
      </c>
      <c r="AQ1367" s="4">
        <v>22</v>
      </c>
      <c r="AR1367" s="4">
        <v>8</v>
      </c>
      <c r="AS1367" s="4">
        <v>36</v>
      </c>
      <c r="AT1367" s="4">
        <v>38</v>
      </c>
      <c r="AU1367" s="4">
        <v>50</v>
      </c>
      <c r="AV1367" s="4">
        <v>418</v>
      </c>
      <c r="AW1367" s="4">
        <v>137</v>
      </c>
      <c r="AX1367" s="4">
        <v>111</v>
      </c>
      <c r="AY1367" s="4">
        <v>7</v>
      </c>
      <c r="AZ1367" s="4">
        <v>12</v>
      </c>
      <c r="BA1367" s="4">
        <v>0</v>
      </c>
      <c r="BB1367" s="4">
        <v>229</v>
      </c>
      <c r="BC1367" s="4">
        <v>21</v>
      </c>
      <c r="BD1367" s="4">
        <v>42</v>
      </c>
      <c r="BE1367" s="4">
        <v>48</v>
      </c>
      <c r="BF1367" s="4">
        <v>89</v>
      </c>
      <c r="BG1367" s="4">
        <v>9</v>
      </c>
      <c r="BH1367" s="4">
        <v>13</v>
      </c>
      <c r="BI1367" s="4">
        <v>1</v>
      </c>
      <c r="BJ1367" s="4">
        <v>99</v>
      </c>
      <c r="BK1367" s="4">
        <v>235</v>
      </c>
      <c r="BL1367" s="4">
        <v>0</v>
      </c>
      <c r="BM1367" s="4">
        <v>6</v>
      </c>
      <c r="BN1367" s="4">
        <v>74</v>
      </c>
      <c r="BO1367" s="4">
        <v>0</v>
      </c>
      <c r="BP1367" s="4">
        <v>15</v>
      </c>
      <c r="BQ1367" s="4">
        <v>65</v>
      </c>
      <c r="BR1367" s="4">
        <v>18</v>
      </c>
      <c r="BS1367" s="4">
        <v>138</v>
      </c>
      <c r="BT1367" s="4">
        <v>61</v>
      </c>
      <c r="BU1367" s="4">
        <v>3</v>
      </c>
      <c r="BV1367" s="4">
        <v>255</v>
      </c>
      <c r="BW1367" s="4">
        <v>44</v>
      </c>
      <c r="BX1367" s="4">
        <v>204</v>
      </c>
      <c r="BY1367" s="4">
        <v>6</v>
      </c>
      <c r="BZ1367" s="4">
        <v>0</v>
      </c>
      <c r="CA1367" s="4">
        <v>41</v>
      </c>
      <c r="CB1367" s="4">
        <v>25</v>
      </c>
      <c r="CC1367" s="4">
        <v>2</v>
      </c>
      <c r="CD1367" s="4">
        <v>10</v>
      </c>
      <c r="CE1367" s="4">
        <v>0</v>
      </c>
      <c r="CF1367" s="4">
        <v>7</v>
      </c>
      <c r="CG1367" s="4">
        <v>4</v>
      </c>
      <c r="CH1367" s="4">
        <v>9</v>
      </c>
      <c r="CI1367" s="4">
        <v>4</v>
      </c>
      <c r="CJ1367" s="4">
        <v>29</v>
      </c>
      <c r="CK1367" s="4">
        <v>7</v>
      </c>
      <c r="CL1367" s="4">
        <v>0</v>
      </c>
      <c r="CM1367" s="4">
        <v>15</v>
      </c>
      <c r="CN1367" s="4">
        <v>109</v>
      </c>
      <c r="CO1367" s="4">
        <v>6</v>
      </c>
      <c r="CP1367" s="4">
        <v>4</v>
      </c>
      <c r="CQ1367" s="4">
        <v>0</v>
      </c>
      <c r="CR1367" s="4">
        <v>7</v>
      </c>
      <c r="CS1367" s="4">
        <v>14</v>
      </c>
      <c r="CT1367" s="4">
        <v>54</v>
      </c>
      <c r="CU1367" s="4">
        <v>5</v>
      </c>
      <c r="CV1367" s="4">
        <v>121</v>
      </c>
      <c r="CW1367" s="4">
        <v>24</v>
      </c>
      <c r="CX1367" s="5">
        <v>25</v>
      </c>
    </row>
    <row r="1368" spans="1:102" ht="15.75" x14ac:dyDescent="0.25">
      <c r="A1368" s="4" t="s">
        <v>471</v>
      </c>
      <c r="B1368" s="4" t="s">
        <v>472</v>
      </c>
      <c r="C1368" s="4">
        <v>2023</v>
      </c>
      <c r="D1368" s="4">
        <v>6608</v>
      </c>
      <c r="E1368" s="4">
        <v>0</v>
      </c>
      <c r="F1368" s="4">
        <v>3</v>
      </c>
      <c r="G1368" s="4">
        <v>10</v>
      </c>
      <c r="H1368" s="4">
        <v>12</v>
      </c>
      <c r="I1368" s="4">
        <v>21</v>
      </c>
      <c r="J1368" s="4">
        <v>6</v>
      </c>
      <c r="K1368" s="4">
        <v>5</v>
      </c>
      <c r="L1368" s="4">
        <v>74</v>
      </c>
      <c r="M1368" s="4">
        <v>6</v>
      </c>
      <c r="N1368" s="4">
        <v>55</v>
      </c>
      <c r="O1368" s="4">
        <v>494</v>
      </c>
      <c r="P1368" s="4">
        <v>0</v>
      </c>
      <c r="Q1368" s="4">
        <v>0</v>
      </c>
      <c r="R1368" s="4">
        <v>8</v>
      </c>
      <c r="S1368" s="4">
        <v>0</v>
      </c>
      <c r="T1368" s="4">
        <v>0</v>
      </c>
      <c r="U1368" s="4">
        <v>0</v>
      </c>
      <c r="V1368" s="4">
        <v>2</v>
      </c>
      <c r="W1368" s="4">
        <v>4</v>
      </c>
      <c r="X1368" s="4">
        <v>2</v>
      </c>
      <c r="Y1368" s="4">
        <v>0</v>
      </c>
      <c r="Z1368" s="4">
        <v>342</v>
      </c>
      <c r="AA1368" s="4">
        <v>41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42</v>
      </c>
      <c r="AH1368" s="4">
        <v>3</v>
      </c>
      <c r="AI1368" s="4">
        <v>12</v>
      </c>
      <c r="AJ1368" s="4">
        <v>181</v>
      </c>
      <c r="AK1368" s="4">
        <v>51</v>
      </c>
      <c r="AL1368" s="4">
        <v>0</v>
      </c>
      <c r="AM1368" s="4">
        <v>14</v>
      </c>
      <c r="AN1368" s="4">
        <v>22</v>
      </c>
      <c r="AO1368" s="4">
        <v>58</v>
      </c>
      <c r="AP1368" s="4">
        <v>0</v>
      </c>
      <c r="AQ1368" s="4">
        <v>16</v>
      </c>
      <c r="AR1368" s="4">
        <v>1</v>
      </c>
      <c r="AS1368" s="4">
        <v>5</v>
      </c>
      <c r="AT1368" s="4">
        <v>8</v>
      </c>
      <c r="AU1368" s="4">
        <v>33</v>
      </c>
      <c r="AV1368" s="4">
        <v>40</v>
      </c>
      <c r="AW1368" s="4">
        <v>64</v>
      </c>
      <c r="AX1368" s="4">
        <v>179</v>
      </c>
      <c r="AY1368" s="4">
        <v>5</v>
      </c>
      <c r="AZ1368" s="4">
        <v>19</v>
      </c>
      <c r="BA1368" s="4">
        <v>0</v>
      </c>
      <c r="BB1368" s="4">
        <v>2935</v>
      </c>
      <c r="BC1368" s="4">
        <v>19</v>
      </c>
      <c r="BD1368" s="4">
        <v>0</v>
      </c>
      <c r="BE1368" s="4">
        <v>30</v>
      </c>
      <c r="BF1368" s="4">
        <v>47</v>
      </c>
      <c r="BG1368" s="4">
        <v>3</v>
      </c>
      <c r="BH1368" s="4">
        <v>7</v>
      </c>
      <c r="BI1368" s="4">
        <v>0</v>
      </c>
      <c r="BJ1368" s="4">
        <v>345</v>
      </c>
      <c r="BK1368" s="4">
        <v>131</v>
      </c>
      <c r="BL1368" s="4">
        <v>0</v>
      </c>
      <c r="BM1368" s="4">
        <v>3</v>
      </c>
      <c r="BN1368" s="4">
        <v>71</v>
      </c>
      <c r="BO1368" s="4">
        <v>1</v>
      </c>
      <c r="BP1368" s="4">
        <v>6</v>
      </c>
      <c r="BQ1368" s="4">
        <v>62</v>
      </c>
      <c r="BR1368" s="4">
        <v>2</v>
      </c>
      <c r="BS1368" s="4">
        <v>149</v>
      </c>
      <c r="BT1368" s="4">
        <v>79</v>
      </c>
      <c r="BU1368" s="4">
        <v>4</v>
      </c>
      <c r="BV1368" s="4">
        <v>16</v>
      </c>
      <c r="BW1368" s="4">
        <v>39</v>
      </c>
      <c r="BX1368" s="4">
        <v>126</v>
      </c>
      <c r="BY1368" s="4">
        <v>3</v>
      </c>
      <c r="BZ1368" s="4">
        <v>1</v>
      </c>
      <c r="CA1368" s="4">
        <v>35</v>
      </c>
      <c r="CB1368" s="4">
        <v>137</v>
      </c>
      <c r="CC1368" s="4">
        <v>0</v>
      </c>
      <c r="CD1368" s="4">
        <v>9</v>
      </c>
      <c r="CE1368" s="4">
        <v>0</v>
      </c>
      <c r="CF1368" s="4">
        <v>4</v>
      </c>
      <c r="CG1368" s="4">
        <v>8</v>
      </c>
      <c r="CH1368" s="4">
        <v>4</v>
      </c>
      <c r="CI1368" s="4">
        <v>8</v>
      </c>
      <c r="CJ1368" s="4">
        <v>17</v>
      </c>
      <c r="CK1368" s="4">
        <v>2</v>
      </c>
      <c r="CL1368" s="4">
        <v>0</v>
      </c>
      <c r="CM1368" s="4">
        <v>24</v>
      </c>
      <c r="CN1368" s="4">
        <v>156</v>
      </c>
      <c r="CO1368" s="4">
        <v>15</v>
      </c>
      <c r="CP1368" s="4">
        <v>8</v>
      </c>
      <c r="CQ1368" s="4">
        <v>0</v>
      </c>
      <c r="CR1368" s="4">
        <v>29</v>
      </c>
      <c r="CS1368" s="4">
        <v>21</v>
      </c>
      <c r="CT1368" s="4">
        <v>12</v>
      </c>
      <c r="CU1368" s="4">
        <v>3</v>
      </c>
      <c r="CV1368" s="4">
        <v>73</v>
      </c>
      <c r="CW1368" s="4">
        <v>122</v>
      </c>
      <c r="CX1368" s="5">
        <v>123</v>
      </c>
    </row>
    <row r="1369" spans="1:102" ht="15.75" x14ac:dyDescent="0.25">
      <c r="A1369" s="4" t="s">
        <v>473</v>
      </c>
      <c r="B1369" s="4" t="s">
        <v>474</v>
      </c>
      <c r="C1369" s="4">
        <v>2023</v>
      </c>
      <c r="D1369" s="4">
        <v>20</v>
      </c>
      <c r="E1369" s="4">
        <v>0</v>
      </c>
      <c r="F1369" s="4">
        <v>0</v>
      </c>
      <c r="G1369" s="4">
        <v>0</v>
      </c>
      <c r="H1369" s="4">
        <v>0</v>
      </c>
      <c r="I1369" s="4">
        <v>2</v>
      </c>
      <c r="J1369" s="4">
        <v>1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1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1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1</v>
      </c>
      <c r="AR1369" s="4">
        <v>0</v>
      </c>
      <c r="AS1369" s="4">
        <v>0</v>
      </c>
      <c r="AT1369" s="4">
        <v>0</v>
      </c>
      <c r="AU1369" s="4">
        <v>0</v>
      </c>
      <c r="AV1369" s="4">
        <v>1</v>
      </c>
      <c r="AW1369" s="4">
        <v>0</v>
      </c>
      <c r="AX1369" s="4">
        <v>1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1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1</v>
      </c>
      <c r="BT1369" s="4">
        <v>0</v>
      </c>
      <c r="BU1369" s="4">
        <v>0</v>
      </c>
      <c r="BV1369" s="4">
        <v>1</v>
      </c>
      <c r="BW1369" s="4">
        <v>2</v>
      </c>
      <c r="BX1369" s="4">
        <v>1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0</v>
      </c>
      <c r="CP1369" s="4">
        <v>0</v>
      </c>
      <c r="CQ1369" s="4">
        <v>0</v>
      </c>
      <c r="CR1369" s="4">
        <v>0</v>
      </c>
      <c r="CS1369" s="4">
        <v>0</v>
      </c>
      <c r="CT1369" s="4">
        <v>0</v>
      </c>
      <c r="CU1369" s="4">
        <v>0</v>
      </c>
      <c r="CV1369" s="4">
        <v>2</v>
      </c>
      <c r="CW1369" s="4">
        <v>0</v>
      </c>
      <c r="CX1369" s="5">
        <v>0</v>
      </c>
    </row>
    <row r="1370" spans="1:102" ht="15.75" x14ac:dyDescent="0.25">
      <c r="A1370" s="4" t="s">
        <v>475</v>
      </c>
      <c r="B1370" s="4" t="s">
        <v>476</v>
      </c>
      <c r="C1370" s="4">
        <v>2023</v>
      </c>
      <c r="D1370" s="4">
        <v>254</v>
      </c>
      <c r="E1370" s="4">
        <v>0</v>
      </c>
      <c r="F1370" s="4">
        <v>0</v>
      </c>
      <c r="G1370" s="4">
        <v>0</v>
      </c>
      <c r="H1370" s="4">
        <v>0</v>
      </c>
      <c r="I1370" s="4">
        <v>1</v>
      </c>
      <c r="J1370" s="4">
        <v>0</v>
      </c>
      <c r="K1370" s="4">
        <v>1</v>
      </c>
      <c r="L1370" s="4">
        <v>0</v>
      </c>
      <c r="M1370" s="4">
        <v>0</v>
      </c>
      <c r="N1370" s="4">
        <v>7</v>
      </c>
      <c r="O1370" s="4">
        <v>10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1</v>
      </c>
      <c r="V1370" s="4">
        <v>1</v>
      </c>
      <c r="W1370" s="4">
        <v>1</v>
      </c>
      <c r="X1370" s="4">
        <v>0</v>
      </c>
      <c r="Y1370" s="4">
        <v>0</v>
      </c>
      <c r="Z1370" s="4">
        <v>0</v>
      </c>
      <c r="AA1370" s="4">
        <v>1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3</v>
      </c>
      <c r="AH1370" s="4">
        <v>1</v>
      </c>
      <c r="AI1370" s="4">
        <v>5</v>
      </c>
      <c r="AJ1370" s="4">
        <v>42</v>
      </c>
      <c r="AK1370" s="4">
        <v>8</v>
      </c>
      <c r="AL1370" s="4">
        <v>0</v>
      </c>
      <c r="AM1370" s="4">
        <v>4</v>
      </c>
      <c r="AN1370" s="4">
        <v>11</v>
      </c>
      <c r="AO1370" s="4">
        <v>10</v>
      </c>
      <c r="AP1370" s="4">
        <v>0</v>
      </c>
      <c r="AQ1370" s="4">
        <v>1</v>
      </c>
      <c r="AR1370" s="4">
        <v>0</v>
      </c>
      <c r="AS1370" s="4">
        <v>3</v>
      </c>
      <c r="AT1370" s="4">
        <v>3</v>
      </c>
      <c r="AU1370" s="4">
        <v>5</v>
      </c>
      <c r="AV1370" s="4">
        <v>6</v>
      </c>
      <c r="AW1370" s="4">
        <v>2</v>
      </c>
      <c r="AX1370" s="4">
        <v>8</v>
      </c>
      <c r="AY1370" s="4">
        <v>0</v>
      </c>
      <c r="AZ1370" s="4">
        <v>1</v>
      </c>
      <c r="BA1370" s="4">
        <v>0</v>
      </c>
      <c r="BB1370" s="4">
        <v>15</v>
      </c>
      <c r="BC1370" s="4">
        <v>0</v>
      </c>
      <c r="BD1370" s="4">
        <v>0</v>
      </c>
      <c r="BE1370" s="4">
        <v>4</v>
      </c>
      <c r="BF1370" s="4">
        <v>21</v>
      </c>
      <c r="BG1370" s="4">
        <v>0</v>
      </c>
      <c r="BH1370" s="4">
        <v>1</v>
      </c>
      <c r="BI1370" s="4">
        <v>0</v>
      </c>
      <c r="BJ1370" s="4">
        <v>5</v>
      </c>
      <c r="BK1370" s="4">
        <v>11</v>
      </c>
      <c r="BL1370" s="4">
        <v>0</v>
      </c>
      <c r="BM1370" s="4">
        <v>1</v>
      </c>
      <c r="BN1370" s="4">
        <v>4</v>
      </c>
      <c r="BO1370" s="4">
        <v>0</v>
      </c>
      <c r="BP1370" s="4">
        <v>1</v>
      </c>
      <c r="BQ1370" s="4">
        <v>3</v>
      </c>
      <c r="BR1370" s="4">
        <v>0</v>
      </c>
      <c r="BS1370" s="4">
        <v>9</v>
      </c>
      <c r="BT1370" s="4">
        <v>7</v>
      </c>
      <c r="BU1370" s="4">
        <v>0</v>
      </c>
      <c r="BV1370" s="4">
        <v>1</v>
      </c>
      <c r="BW1370" s="4">
        <v>2</v>
      </c>
      <c r="BX1370" s="4">
        <v>3</v>
      </c>
      <c r="BY1370" s="4">
        <v>0</v>
      </c>
      <c r="BZ1370" s="4">
        <v>0</v>
      </c>
      <c r="CA1370" s="4">
        <v>1</v>
      </c>
      <c r="CB1370" s="4">
        <v>1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1</v>
      </c>
      <c r="CK1370" s="4">
        <v>0</v>
      </c>
      <c r="CL1370" s="4">
        <v>0</v>
      </c>
      <c r="CM1370" s="4">
        <v>1</v>
      </c>
      <c r="CN1370" s="4">
        <v>5</v>
      </c>
      <c r="CO1370" s="4">
        <v>0</v>
      </c>
      <c r="CP1370" s="4">
        <v>1</v>
      </c>
      <c r="CQ1370" s="4">
        <v>0</v>
      </c>
      <c r="CR1370" s="4">
        <v>0</v>
      </c>
      <c r="CS1370" s="4">
        <v>0</v>
      </c>
      <c r="CT1370" s="4">
        <v>2</v>
      </c>
      <c r="CU1370" s="4">
        <v>1</v>
      </c>
      <c r="CV1370" s="4">
        <v>8</v>
      </c>
      <c r="CW1370" s="4">
        <v>3</v>
      </c>
      <c r="CX1370" s="5">
        <v>3</v>
      </c>
    </row>
    <row r="1371" spans="1:102" ht="15.75" x14ac:dyDescent="0.25">
      <c r="A1371" s="4" t="s">
        <v>477</v>
      </c>
      <c r="B1371" s="4" t="s">
        <v>478</v>
      </c>
      <c r="C1371" s="4">
        <v>2023</v>
      </c>
      <c r="D1371" s="4">
        <v>937</v>
      </c>
      <c r="E1371" s="4">
        <v>1</v>
      </c>
      <c r="F1371" s="4">
        <v>0</v>
      </c>
      <c r="G1371" s="4">
        <v>1</v>
      </c>
      <c r="H1371" s="4">
        <v>0</v>
      </c>
      <c r="I1371" s="4">
        <v>1</v>
      </c>
      <c r="J1371" s="4">
        <v>0</v>
      </c>
      <c r="K1371" s="4">
        <v>0</v>
      </c>
      <c r="L1371" s="4">
        <v>7</v>
      </c>
      <c r="M1371" s="4">
        <v>0</v>
      </c>
      <c r="N1371" s="4">
        <v>4</v>
      </c>
      <c r="O1371" s="4">
        <v>17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1</v>
      </c>
      <c r="V1371" s="4">
        <v>1</v>
      </c>
      <c r="W1371" s="4">
        <v>1</v>
      </c>
      <c r="X1371" s="4">
        <v>0</v>
      </c>
      <c r="Y1371" s="4">
        <v>0</v>
      </c>
      <c r="Z1371" s="4">
        <v>0</v>
      </c>
      <c r="AA1371" s="4">
        <v>1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5</v>
      </c>
      <c r="AH1371" s="4">
        <v>1</v>
      </c>
      <c r="AI1371" s="4">
        <v>8</v>
      </c>
      <c r="AJ1371" s="4">
        <v>3</v>
      </c>
      <c r="AK1371" s="4">
        <v>13</v>
      </c>
      <c r="AL1371" s="4">
        <v>0</v>
      </c>
      <c r="AM1371" s="4">
        <v>9</v>
      </c>
      <c r="AN1371" s="4">
        <v>12</v>
      </c>
      <c r="AO1371" s="4">
        <v>14</v>
      </c>
      <c r="AP1371" s="4">
        <v>1</v>
      </c>
      <c r="AQ1371" s="4">
        <v>56</v>
      </c>
      <c r="AR1371" s="4">
        <v>2</v>
      </c>
      <c r="AS1371" s="4">
        <v>10</v>
      </c>
      <c r="AT1371" s="4">
        <v>6</v>
      </c>
      <c r="AU1371" s="4">
        <v>5</v>
      </c>
      <c r="AV1371" s="4">
        <v>21</v>
      </c>
      <c r="AW1371" s="4">
        <v>10</v>
      </c>
      <c r="AX1371" s="4">
        <v>51</v>
      </c>
      <c r="AY1371" s="4">
        <v>0</v>
      </c>
      <c r="AZ1371" s="4">
        <v>1</v>
      </c>
      <c r="BA1371" s="4">
        <v>0</v>
      </c>
      <c r="BB1371" s="4">
        <v>28</v>
      </c>
      <c r="BC1371" s="4">
        <v>0</v>
      </c>
      <c r="BD1371" s="4">
        <v>0</v>
      </c>
      <c r="BE1371" s="4">
        <v>3</v>
      </c>
      <c r="BF1371" s="4">
        <v>12</v>
      </c>
      <c r="BG1371" s="4">
        <v>1</v>
      </c>
      <c r="BH1371" s="4">
        <v>1</v>
      </c>
      <c r="BI1371" s="4">
        <v>0</v>
      </c>
      <c r="BJ1371" s="4">
        <v>10</v>
      </c>
      <c r="BK1371" s="4">
        <v>26</v>
      </c>
      <c r="BL1371" s="4">
        <v>0</v>
      </c>
      <c r="BM1371" s="4">
        <v>2</v>
      </c>
      <c r="BN1371" s="4">
        <v>5</v>
      </c>
      <c r="BO1371" s="4">
        <v>0</v>
      </c>
      <c r="BP1371" s="4">
        <v>59</v>
      </c>
      <c r="BQ1371" s="4">
        <v>45</v>
      </c>
      <c r="BR1371" s="4">
        <v>1</v>
      </c>
      <c r="BS1371" s="4">
        <v>63</v>
      </c>
      <c r="BT1371" s="4">
        <v>17</v>
      </c>
      <c r="BU1371" s="4">
        <v>0</v>
      </c>
      <c r="BV1371" s="4">
        <v>289</v>
      </c>
      <c r="BW1371" s="4">
        <v>7</v>
      </c>
      <c r="BX1371" s="4">
        <v>11</v>
      </c>
      <c r="BY1371" s="4">
        <v>1</v>
      </c>
      <c r="BZ1371" s="4">
        <v>0</v>
      </c>
      <c r="CA1371" s="4">
        <v>1</v>
      </c>
      <c r="CB1371" s="4">
        <v>0</v>
      </c>
      <c r="CC1371" s="4">
        <v>0</v>
      </c>
      <c r="CD1371" s="4">
        <v>0</v>
      </c>
      <c r="CE1371" s="4">
        <v>0</v>
      </c>
      <c r="CF1371" s="4">
        <v>1</v>
      </c>
      <c r="CG1371" s="4">
        <v>8</v>
      </c>
      <c r="CH1371" s="4">
        <v>1</v>
      </c>
      <c r="CI1371" s="4">
        <v>0</v>
      </c>
      <c r="CJ1371" s="4">
        <v>2</v>
      </c>
      <c r="CK1371" s="4">
        <v>0</v>
      </c>
      <c r="CL1371" s="4">
        <v>0</v>
      </c>
      <c r="CM1371" s="4">
        <v>19</v>
      </c>
      <c r="CN1371" s="4">
        <v>11</v>
      </c>
      <c r="CO1371" s="4">
        <v>0</v>
      </c>
      <c r="CP1371" s="4">
        <v>1</v>
      </c>
      <c r="CQ1371" s="4">
        <v>0</v>
      </c>
      <c r="CR1371" s="4">
        <v>1</v>
      </c>
      <c r="CS1371" s="4">
        <v>0</v>
      </c>
      <c r="CT1371" s="4">
        <v>18</v>
      </c>
      <c r="CU1371" s="4">
        <v>0</v>
      </c>
      <c r="CV1371" s="4">
        <v>17</v>
      </c>
      <c r="CW1371" s="4">
        <v>12</v>
      </c>
      <c r="CX1371" s="5">
        <v>12</v>
      </c>
    </row>
    <row r="1372" spans="1:102" ht="15.75" x14ac:dyDescent="0.25">
      <c r="A1372" s="4" t="s">
        <v>479</v>
      </c>
      <c r="B1372" s="4" t="s">
        <v>480</v>
      </c>
      <c r="C1372" s="4">
        <v>2023</v>
      </c>
      <c r="D1372" s="4">
        <v>34</v>
      </c>
      <c r="E1372" s="4">
        <v>0</v>
      </c>
      <c r="F1372" s="4">
        <v>1</v>
      </c>
      <c r="G1372" s="4">
        <v>0</v>
      </c>
      <c r="H1372" s="4">
        <v>0</v>
      </c>
      <c r="I1372" s="4">
        <v>1</v>
      </c>
      <c r="J1372" s="4">
        <v>1</v>
      </c>
      <c r="K1372" s="4">
        <v>0</v>
      </c>
      <c r="L1372" s="4">
        <v>0</v>
      </c>
      <c r="M1372" s="4">
        <v>0</v>
      </c>
      <c r="N1372" s="4">
        <v>1</v>
      </c>
      <c r="O1372" s="4">
        <v>1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1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1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1</v>
      </c>
      <c r="AK1372" s="4">
        <v>1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1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1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4</v>
      </c>
      <c r="BF1372" s="4">
        <v>2</v>
      </c>
      <c r="BG1372" s="4">
        <v>0</v>
      </c>
      <c r="BH1372" s="4">
        <v>0</v>
      </c>
      <c r="BI1372" s="4">
        <v>0</v>
      </c>
      <c r="BJ1372" s="4">
        <v>1</v>
      </c>
      <c r="BK1372" s="4">
        <v>1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2</v>
      </c>
      <c r="BT1372" s="4">
        <v>0</v>
      </c>
      <c r="BU1372" s="4">
        <v>0</v>
      </c>
      <c r="BV1372" s="4">
        <v>1</v>
      </c>
      <c r="BW1372" s="4">
        <v>0</v>
      </c>
      <c r="BX1372" s="4">
        <v>2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2</v>
      </c>
      <c r="CG1372" s="4">
        <v>0</v>
      </c>
      <c r="CH1372" s="4">
        <v>1</v>
      </c>
      <c r="CI1372" s="4">
        <v>1</v>
      </c>
      <c r="CJ1372" s="4">
        <v>0</v>
      </c>
      <c r="CK1372" s="4">
        <v>1</v>
      </c>
      <c r="CL1372" s="4">
        <v>0</v>
      </c>
      <c r="CM1372" s="4">
        <v>0</v>
      </c>
      <c r="CN1372" s="4">
        <v>1</v>
      </c>
      <c r="CO1372" s="4">
        <v>0</v>
      </c>
      <c r="CP1372" s="4">
        <v>0</v>
      </c>
      <c r="CQ1372" s="4">
        <v>0</v>
      </c>
      <c r="CR1372" s="4">
        <v>0</v>
      </c>
      <c r="CS1372" s="4">
        <v>0</v>
      </c>
      <c r="CT1372" s="4">
        <v>0</v>
      </c>
      <c r="CU1372" s="4">
        <v>0</v>
      </c>
      <c r="CV1372" s="4">
        <v>2</v>
      </c>
      <c r="CW1372" s="4">
        <v>0</v>
      </c>
      <c r="CX1372" s="5">
        <v>0</v>
      </c>
    </row>
    <row r="1373" spans="1:102" ht="15.75" x14ac:dyDescent="0.25">
      <c r="A1373" s="4" t="s">
        <v>481</v>
      </c>
      <c r="B1373" s="4" t="s">
        <v>482</v>
      </c>
      <c r="C1373" s="4">
        <v>2023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1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5">
        <v>0</v>
      </c>
    </row>
    <row r="1374" spans="1:102" ht="15.75" x14ac:dyDescent="0.25">
      <c r="A1374" s="4" t="s">
        <v>483</v>
      </c>
      <c r="B1374" s="4" t="s">
        <v>484</v>
      </c>
      <c r="C1374" s="4">
        <v>2023</v>
      </c>
      <c r="D1374" s="4">
        <v>215</v>
      </c>
      <c r="E1374" s="4">
        <v>0</v>
      </c>
      <c r="F1374" s="4">
        <v>2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1</v>
      </c>
      <c r="O1374" s="4">
        <v>1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1</v>
      </c>
      <c r="V1374" s="4">
        <v>0</v>
      </c>
      <c r="W1374" s="4">
        <v>0</v>
      </c>
      <c r="X1374" s="4">
        <v>1</v>
      </c>
      <c r="Y1374" s="4">
        <v>0</v>
      </c>
      <c r="Z1374" s="4">
        <v>0</v>
      </c>
      <c r="AA1374" s="4">
        <v>95</v>
      </c>
      <c r="AB1374" s="4">
        <v>13</v>
      </c>
      <c r="AC1374" s="4">
        <v>0</v>
      </c>
      <c r="AD1374" s="4">
        <v>0</v>
      </c>
      <c r="AE1374" s="4">
        <v>0</v>
      </c>
      <c r="AF1374" s="4">
        <v>0</v>
      </c>
      <c r="AG1374" s="4">
        <v>5</v>
      </c>
      <c r="AH1374" s="4">
        <v>0</v>
      </c>
      <c r="AI1374" s="4">
        <v>1</v>
      </c>
      <c r="AJ1374" s="4">
        <v>0</v>
      </c>
      <c r="AK1374" s="4">
        <v>1</v>
      </c>
      <c r="AL1374" s="4">
        <v>0</v>
      </c>
      <c r="AM1374" s="4">
        <v>0</v>
      </c>
      <c r="AN1374" s="4">
        <v>1</v>
      </c>
      <c r="AO1374" s="4">
        <v>3</v>
      </c>
      <c r="AP1374" s="4">
        <v>0</v>
      </c>
      <c r="AQ1374" s="4">
        <v>3</v>
      </c>
      <c r="AR1374" s="4">
        <v>0</v>
      </c>
      <c r="AS1374" s="4">
        <v>0</v>
      </c>
      <c r="AT1374" s="4">
        <v>7</v>
      </c>
      <c r="AU1374" s="4">
        <v>0</v>
      </c>
      <c r="AV1374" s="4">
        <v>1</v>
      </c>
      <c r="AW1374" s="4">
        <v>0</v>
      </c>
      <c r="AX1374" s="4">
        <v>17</v>
      </c>
      <c r="AY1374" s="4">
        <v>0</v>
      </c>
      <c r="AZ1374" s="4">
        <v>1</v>
      </c>
      <c r="BA1374" s="4">
        <v>0</v>
      </c>
      <c r="BB1374" s="4">
        <v>2</v>
      </c>
      <c r="BC1374" s="4">
        <v>1</v>
      </c>
      <c r="BD1374" s="4">
        <v>0</v>
      </c>
      <c r="BE1374" s="4">
        <v>5</v>
      </c>
      <c r="BF1374" s="4">
        <v>3</v>
      </c>
      <c r="BG1374" s="4">
        <v>1</v>
      </c>
      <c r="BH1374" s="4">
        <v>0</v>
      </c>
      <c r="BI1374" s="4">
        <v>0</v>
      </c>
      <c r="BJ1374" s="4">
        <v>6</v>
      </c>
      <c r="BK1374" s="4">
        <v>6</v>
      </c>
      <c r="BL1374" s="4">
        <v>0</v>
      </c>
      <c r="BM1374" s="4">
        <v>0</v>
      </c>
      <c r="BN1374" s="4">
        <v>1</v>
      </c>
      <c r="BO1374" s="4">
        <v>0</v>
      </c>
      <c r="BP1374" s="4">
        <v>0</v>
      </c>
      <c r="BQ1374" s="4">
        <v>4</v>
      </c>
      <c r="BR1374" s="4">
        <v>0</v>
      </c>
      <c r="BS1374" s="4">
        <v>5</v>
      </c>
      <c r="BT1374" s="4">
        <v>1</v>
      </c>
      <c r="BU1374" s="4">
        <v>0</v>
      </c>
      <c r="BV1374" s="4">
        <v>2</v>
      </c>
      <c r="BW1374" s="4">
        <v>6</v>
      </c>
      <c r="BX1374" s="4">
        <v>5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2</v>
      </c>
      <c r="CG1374" s="4">
        <v>0</v>
      </c>
      <c r="CH1374" s="4">
        <v>0</v>
      </c>
      <c r="CI1374" s="4">
        <v>0</v>
      </c>
      <c r="CJ1374" s="4">
        <v>1</v>
      </c>
      <c r="CK1374" s="4">
        <v>0</v>
      </c>
      <c r="CL1374" s="4">
        <v>0</v>
      </c>
      <c r="CM1374" s="4">
        <v>1</v>
      </c>
      <c r="CN1374" s="4">
        <v>3</v>
      </c>
      <c r="CO1374" s="4">
        <v>0</v>
      </c>
      <c r="CP1374" s="4">
        <v>0</v>
      </c>
      <c r="CQ1374" s="4">
        <v>0</v>
      </c>
      <c r="CR1374" s="4">
        <v>0</v>
      </c>
      <c r="CS1374" s="4">
        <v>0</v>
      </c>
      <c r="CT1374" s="4">
        <v>1</v>
      </c>
      <c r="CU1374" s="4">
        <v>0</v>
      </c>
      <c r="CV1374" s="4">
        <v>1</v>
      </c>
      <c r="CW1374" s="4">
        <v>3</v>
      </c>
      <c r="CX1374" s="5">
        <v>3</v>
      </c>
    </row>
    <row r="1375" spans="1:102" ht="15.75" x14ac:dyDescent="0.25">
      <c r="A1375" s="4" t="s">
        <v>485</v>
      </c>
      <c r="B1375" s="4" t="s">
        <v>486</v>
      </c>
      <c r="C1375" s="4">
        <v>2023</v>
      </c>
      <c r="D1375" s="4">
        <v>15</v>
      </c>
      <c r="E1375" s="4">
        <v>0</v>
      </c>
      <c r="F1375" s="4">
        <v>0</v>
      </c>
      <c r="G1375" s="4">
        <v>0</v>
      </c>
      <c r="H1375" s="4">
        <v>0</v>
      </c>
      <c r="I1375" s="4">
        <v>1</v>
      </c>
      <c r="J1375" s="4">
        <v>0</v>
      </c>
      <c r="K1375" s="4">
        <v>0</v>
      </c>
      <c r="L1375" s="4">
        <v>0</v>
      </c>
      <c r="M1375" s="4">
        <v>0</v>
      </c>
      <c r="N1375" s="4">
        <v>2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1</v>
      </c>
      <c r="AK1375" s="4">
        <v>1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1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2</v>
      </c>
      <c r="BR1375" s="4">
        <v>0</v>
      </c>
      <c r="BS1375" s="4">
        <v>0</v>
      </c>
      <c r="BT1375" s="4">
        <v>2</v>
      </c>
      <c r="BU1375" s="4">
        <v>0</v>
      </c>
      <c r="BV1375" s="4">
        <v>0</v>
      </c>
      <c r="BW1375" s="4">
        <v>0</v>
      </c>
      <c r="BX1375" s="4">
        <v>1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0</v>
      </c>
      <c r="CP1375" s="4">
        <v>0</v>
      </c>
      <c r="CQ1375" s="4">
        <v>0</v>
      </c>
      <c r="CR1375" s="4">
        <v>0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5">
        <v>0</v>
      </c>
    </row>
    <row r="1376" spans="1:102" ht="15.75" x14ac:dyDescent="0.25">
      <c r="A1376" s="4" t="s">
        <v>487</v>
      </c>
      <c r="B1376" s="4" t="s">
        <v>488</v>
      </c>
      <c r="C1376" s="4">
        <v>2023</v>
      </c>
      <c r="D1376" s="4">
        <v>12</v>
      </c>
      <c r="E1376" s="4">
        <v>0</v>
      </c>
      <c r="F1376" s="4">
        <v>0</v>
      </c>
      <c r="G1376" s="4">
        <v>1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1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1</v>
      </c>
      <c r="BF1376" s="4">
        <v>0</v>
      </c>
      <c r="BG1376" s="4">
        <v>0</v>
      </c>
      <c r="BH1376" s="4">
        <v>0</v>
      </c>
      <c r="BI1376" s="4">
        <v>0</v>
      </c>
      <c r="BJ1376" s="4">
        <v>1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4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5">
        <v>0</v>
      </c>
    </row>
    <row r="1377" spans="1:102" ht="15.75" x14ac:dyDescent="0.25">
      <c r="A1377" s="4" t="s">
        <v>489</v>
      </c>
      <c r="B1377" s="4" t="s">
        <v>490</v>
      </c>
      <c r="C1377" s="4">
        <v>2023</v>
      </c>
      <c r="D1377" s="4">
        <v>7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4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5">
        <v>0</v>
      </c>
    </row>
    <row r="1378" spans="1:102" ht="15.75" x14ac:dyDescent="0.25">
      <c r="A1378" s="4" t="s">
        <v>491</v>
      </c>
      <c r="B1378" s="4" t="s">
        <v>492</v>
      </c>
      <c r="C1378" s="4">
        <v>2023</v>
      </c>
      <c r="D1378" s="4">
        <v>0</v>
      </c>
      <c r="E1378" s="4">
        <v>0</v>
      </c>
      <c r="F1378" s="4">
        <v>1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5">
        <v>0</v>
      </c>
    </row>
    <row r="1379" spans="1:102" ht="15.75" x14ac:dyDescent="0.25">
      <c r="A1379" s="4" t="s">
        <v>493</v>
      </c>
      <c r="B1379" s="4" t="s">
        <v>494</v>
      </c>
      <c r="C1379" s="4">
        <v>2023</v>
      </c>
      <c r="D1379" s="4">
        <v>28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1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1</v>
      </c>
      <c r="AL1379" s="4">
        <v>0</v>
      </c>
      <c r="AM1379" s="4">
        <v>1</v>
      </c>
      <c r="AN1379" s="4">
        <v>1</v>
      </c>
      <c r="AO1379" s="4">
        <v>1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2</v>
      </c>
      <c r="BD1379" s="4">
        <v>0</v>
      </c>
      <c r="BE1379" s="4">
        <v>0</v>
      </c>
      <c r="BF1379" s="4">
        <v>2</v>
      </c>
      <c r="BG1379" s="4">
        <v>0</v>
      </c>
      <c r="BH1379" s="4">
        <v>0</v>
      </c>
      <c r="BI1379" s="4">
        <v>0</v>
      </c>
      <c r="BJ1379" s="4">
        <v>0</v>
      </c>
      <c r="BK1379" s="4">
        <v>1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9</v>
      </c>
      <c r="BT1379" s="4">
        <v>0</v>
      </c>
      <c r="BU1379" s="4">
        <v>0</v>
      </c>
      <c r="BV1379" s="4">
        <v>0</v>
      </c>
      <c r="BW1379" s="4">
        <v>0</v>
      </c>
      <c r="BX1379" s="4">
        <v>2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1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1</v>
      </c>
      <c r="CO1379" s="4">
        <v>0</v>
      </c>
      <c r="CP1379" s="4">
        <v>0</v>
      </c>
      <c r="CQ1379" s="4">
        <v>0</v>
      </c>
      <c r="CR1379" s="4">
        <v>0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5">
        <v>0</v>
      </c>
    </row>
    <row r="1380" spans="1:102" ht="15.75" x14ac:dyDescent="0.25">
      <c r="A1380" s="4" t="s">
        <v>495</v>
      </c>
      <c r="B1380" s="4" t="s">
        <v>496</v>
      </c>
      <c r="C1380" s="4">
        <v>2023</v>
      </c>
      <c r="D1380" s="4">
        <v>7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3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1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  <c r="CS1380" s="4">
        <v>0</v>
      </c>
      <c r="CT1380" s="4">
        <v>0</v>
      </c>
      <c r="CU1380" s="4">
        <v>0</v>
      </c>
      <c r="CV1380" s="4">
        <v>0</v>
      </c>
      <c r="CW1380" s="4">
        <v>0</v>
      </c>
      <c r="CX1380" s="5">
        <v>0</v>
      </c>
    </row>
    <row r="1381" spans="1:102" ht="15.75" x14ac:dyDescent="0.25">
      <c r="A1381" s="4" t="s">
        <v>497</v>
      </c>
      <c r="B1381" s="4" t="s">
        <v>498</v>
      </c>
      <c r="C1381" s="4">
        <v>2023</v>
      </c>
      <c r="D1381" s="4">
        <v>1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0</v>
      </c>
      <c r="CR1381" s="4">
        <v>0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5">
        <v>0</v>
      </c>
    </row>
    <row r="1382" spans="1:102" ht="15.75" x14ac:dyDescent="0.25">
      <c r="A1382" s="4" t="s">
        <v>499</v>
      </c>
      <c r="B1382" s="4" t="s">
        <v>500</v>
      </c>
      <c r="C1382" s="4">
        <v>2023</v>
      </c>
      <c r="D1382" s="4">
        <v>1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1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5">
        <v>0</v>
      </c>
    </row>
    <row r="1383" spans="1:102" ht="15.75" x14ac:dyDescent="0.25">
      <c r="A1383" s="4" t="s">
        <v>501</v>
      </c>
      <c r="B1383" s="4" t="s">
        <v>502</v>
      </c>
      <c r="C1383" s="4">
        <v>2023</v>
      </c>
      <c r="D1383" s="4">
        <v>5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2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1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0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5">
        <v>0</v>
      </c>
    </row>
    <row r="1384" spans="1:102" ht="15.75" x14ac:dyDescent="0.25">
      <c r="A1384" s="4" t="s">
        <v>503</v>
      </c>
      <c r="B1384" s="4" t="s">
        <v>504</v>
      </c>
      <c r="C1384" s="4">
        <v>2023</v>
      </c>
      <c r="D1384" s="4">
        <v>20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17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1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5">
        <v>0</v>
      </c>
    </row>
    <row r="1385" spans="1:102" ht="15.75" x14ac:dyDescent="0.25">
      <c r="A1385" s="4" t="s">
        <v>505</v>
      </c>
      <c r="B1385" s="4" t="s">
        <v>506</v>
      </c>
      <c r="C1385" s="4">
        <v>2023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5">
        <v>0</v>
      </c>
    </row>
    <row r="1386" spans="1:102" ht="15.75" x14ac:dyDescent="0.25">
      <c r="A1386" s="4" t="s">
        <v>507</v>
      </c>
      <c r="B1386" s="4" t="s">
        <v>508</v>
      </c>
      <c r="C1386" s="4">
        <v>2023</v>
      </c>
      <c r="D1386" s="4">
        <v>187</v>
      </c>
      <c r="E1386" s="4">
        <v>0</v>
      </c>
      <c r="F1386" s="4">
        <v>4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11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5</v>
      </c>
      <c r="V1386" s="4">
        <v>0</v>
      </c>
      <c r="W1386" s="4">
        <v>0</v>
      </c>
      <c r="X1386" s="4">
        <v>0</v>
      </c>
      <c r="Y1386" s="4">
        <v>1</v>
      </c>
      <c r="Z1386" s="4">
        <v>0</v>
      </c>
      <c r="AA1386" s="4">
        <v>155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1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1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1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2</v>
      </c>
      <c r="BX1386" s="4">
        <v>1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1</v>
      </c>
      <c r="CO1386" s="4">
        <v>0</v>
      </c>
      <c r="CP1386" s="4">
        <v>0</v>
      </c>
      <c r="CQ1386" s="4">
        <v>0</v>
      </c>
      <c r="CR1386" s="4">
        <v>0</v>
      </c>
      <c r="CS1386" s="4">
        <v>0</v>
      </c>
      <c r="CT1386" s="4">
        <v>1</v>
      </c>
      <c r="CU1386" s="4">
        <v>0</v>
      </c>
      <c r="CV1386" s="4">
        <v>0</v>
      </c>
      <c r="CW1386" s="4">
        <v>0</v>
      </c>
      <c r="CX1386" s="5">
        <v>0</v>
      </c>
    </row>
    <row r="1387" spans="1:102" ht="15.75" x14ac:dyDescent="0.25">
      <c r="A1387" s="4" t="s">
        <v>509</v>
      </c>
      <c r="B1387" s="4" t="s">
        <v>510</v>
      </c>
      <c r="C1387" s="4">
        <v>2023</v>
      </c>
      <c r="D1387" s="4">
        <v>1666</v>
      </c>
      <c r="E1387" s="4">
        <v>1</v>
      </c>
      <c r="F1387" s="4">
        <v>1</v>
      </c>
      <c r="G1387" s="4">
        <v>3</v>
      </c>
      <c r="H1387" s="4">
        <v>4</v>
      </c>
      <c r="I1387" s="4">
        <v>19</v>
      </c>
      <c r="J1387" s="4">
        <v>4</v>
      </c>
      <c r="K1387" s="4">
        <v>3</v>
      </c>
      <c r="L1387" s="4">
        <v>14</v>
      </c>
      <c r="M1387" s="4">
        <v>21</v>
      </c>
      <c r="N1387" s="4">
        <v>29</v>
      </c>
      <c r="O1387" s="4">
        <v>42</v>
      </c>
      <c r="P1387" s="4">
        <v>1</v>
      </c>
      <c r="Q1387" s="4">
        <v>0</v>
      </c>
      <c r="R1387" s="4">
        <v>2</v>
      </c>
      <c r="S1387" s="4">
        <v>0</v>
      </c>
      <c r="T1387" s="4">
        <v>59</v>
      </c>
      <c r="U1387" s="4">
        <v>2</v>
      </c>
      <c r="V1387" s="4">
        <v>8</v>
      </c>
      <c r="W1387" s="4">
        <v>100</v>
      </c>
      <c r="X1387" s="4">
        <v>8</v>
      </c>
      <c r="Y1387" s="4">
        <v>1</v>
      </c>
      <c r="Z1387" s="4">
        <v>0</v>
      </c>
      <c r="AA1387" s="4">
        <v>2</v>
      </c>
      <c r="AB1387" s="4">
        <v>0</v>
      </c>
      <c r="AC1387" s="4">
        <v>0</v>
      </c>
      <c r="AD1387" s="4">
        <v>0</v>
      </c>
      <c r="AE1387" s="4">
        <v>1</v>
      </c>
      <c r="AF1387" s="4">
        <v>0</v>
      </c>
      <c r="AG1387" s="4">
        <v>10</v>
      </c>
      <c r="AH1387" s="4">
        <v>5</v>
      </c>
      <c r="AI1387" s="4">
        <v>11</v>
      </c>
      <c r="AJ1387" s="4">
        <v>62</v>
      </c>
      <c r="AK1387" s="4">
        <v>29</v>
      </c>
      <c r="AL1387" s="4">
        <v>1</v>
      </c>
      <c r="AM1387" s="4">
        <v>12</v>
      </c>
      <c r="AN1387" s="4">
        <v>17</v>
      </c>
      <c r="AO1387" s="4">
        <v>24</v>
      </c>
      <c r="AP1387" s="4">
        <v>1</v>
      </c>
      <c r="AQ1387" s="4">
        <v>6</v>
      </c>
      <c r="AR1387" s="4">
        <v>0</v>
      </c>
      <c r="AS1387" s="4">
        <v>7</v>
      </c>
      <c r="AT1387" s="4">
        <v>16</v>
      </c>
      <c r="AU1387" s="4">
        <v>32</v>
      </c>
      <c r="AV1387" s="4">
        <v>9</v>
      </c>
      <c r="AW1387" s="4">
        <v>8</v>
      </c>
      <c r="AX1387" s="4">
        <v>28</v>
      </c>
      <c r="AY1387" s="4">
        <v>1</v>
      </c>
      <c r="AZ1387" s="4">
        <v>5</v>
      </c>
      <c r="BA1387" s="4">
        <v>0</v>
      </c>
      <c r="BB1387" s="4">
        <v>377</v>
      </c>
      <c r="BC1387" s="4">
        <v>4</v>
      </c>
      <c r="BD1387" s="4">
        <v>0</v>
      </c>
      <c r="BE1387" s="4">
        <v>8</v>
      </c>
      <c r="BF1387" s="4">
        <v>20</v>
      </c>
      <c r="BG1387" s="4">
        <v>4</v>
      </c>
      <c r="BH1387" s="4">
        <v>1</v>
      </c>
      <c r="BI1387" s="4">
        <v>0</v>
      </c>
      <c r="BJ1387" s="4">
        <v>67</v>
      </c>
      <c r="BK1387" s="4">
        <v>28</v>
      </c>
      <c r="BL1387" s="4">
        <v>0</v>
      </c>
      <c r="BM1387" s="4">
        <v>4</v>
      </c>
      <c r="BN1387" s="4">
        <v>8</v>
      </c>
      <c r="BO1387" s="4">
        <v>0</v>
      </c>
      <c r="BP1387" s="4">
        <v>7</v>
      </c>
      <c r="BQ1387" s="4">
        <v>16</v>
      </c>
      <c r="BR1387" s="4">
        <v>0</v>
      </c>
      <c r="BS1387" s="4">
        <v>34</v>
      </c>
      <c r="BT1387" s="4">
        <v>181</v>
      </c>
      <c r="BU1387" s="4">
        <v>2</v>
      </c>
      <c r="BV1387" s="4">
        <v>10</v>
      </c>
      <c r="BW1387" s="4">
        <v>10</v>
      </c>
      <c r="BX1387" s="4">
        <v>114</v>
      </c>
      <c r="BY1387" s="4">
        <v>0</v>
      </c>
      <c r="BZ1387" s="4">
        <v>0</v>
      </c>
      <c r="CA1387" s="4">
        <v>12</v>
      </c>
      <c r="CB1387" s="4">
        <v>19</v>
      </c>
      <c r="CC1387" s="4">
        <v>0</v>
      </c>
      <c r="CD1387" s="4">
        <v>1</v>
      </c>
      <c r="CE1387" s="4">
        <v>0</v>
      </c>
      <c r="CF1387" s="4">
        <v>1</v>
      </c>
      <c r="CG1387" s="4">
        <v>1</v>
      </c>
      <c r="CH1387" s="4">
        <v>1</v>
      </c>
      <c r="CI1387" s="4">
        <v>2</v>
      </c>
      <c r="CJ1387" s="4">
        <v>3</v>
      </c>
      <c r="CK1387" s="4">
        <v>1</v>
      </c>
      <c r="CL1387" s="4">
        <v>0</v>
      </c>
      <c r="CM1387" s="4">
        <v>5</v>
      </c>
      <c r="CN1387" s="4">
        <v>39</v>
      </c>
      <c r="CO1387" s="4">
        <v>2</v>
      </c>
      <c r="CP1387" s="4">
        <v>6</v>
      </c>
      <c r="CQ1387" s="4">
        <v>0</v>
      </c>
      <c r="CR1387" s="4">
        <v>3</v>
      </c>
      <c r="CS1387" s="4">
        <v>17</v>
      </c>
      <c r="CT1387" s="4">
        <v>4</v>
      </c>
      <c r="CU1387" s="4">
        <v>0</v>
      </c>
      <c r="CV1387" s="4">
        <v>20</v>
      </c>
      <c r="CW1387" s="4">
        <v>25</v>
      </c>
      <c r="CX1387" s="5">
        <v>25</v>
      </c>
    </row>
    <row r="1388" spans="1:102" ht="15.75" x14ac:dyDescent="0.25">
      <c r="A1388" s="4" t="s">
        <v>511</v>
      </c>
      <c r="B1388" s="4" t="s">
        <v>512</v>
      </c>
      <c r="C1388" s="4">
        <v>2023</v>
      </c>
      <c r="D1388" s="4">
        <v>2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1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5">
        <v>0</v>
      </c>
    </row>
    <row r="1389" spans="1:102" ht="15.75" x14ac:dyDescent="0.25">
      <c r="A1389" s="4" t="s">
        <v>513</v>
      </c>
      <c r="B1389" s="4" t="s">
        <v>514</v>
      </c>
      <c r="C1389" s="4">
        <v>2023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5">
        <v>0</v>
      </c>
    </row>
    <row r="1390" spans="1:102" ht="15.75" x14ac:dyDescent="0.25">
      <c r="A1390" s="4" t="s">
        <v>515</v>
      </c>
      <c r="B1390" s="4" t="s">
        <v>516</v>
      </c>
      <c r="C1390" s="4">
        <v>2023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5">
        <v>0</v>
      </c>
    </row>
    <row r="1391" spans="1:102" ht="15.75" x14ac:dyDescent="0.25">
      <c r="A1391" s="4" t="s">
        <v>517</v>
      </c>
      <c r="B1391" s="4" t="s">
        <v>518</v>
      </c>
      <c r="C1391" s="4">
        <v>2023</v>
      </c>
      <c r="D1391" s="4">
        <v>24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10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2</v>
      </c>
      <c r="AY1391" s="4">
        <v>0</v>
      </c>
      <c r="AZ1391" s="4">
        <v>0</v>
      </c>
      <c r="BA1391" s="4">
        <v>0</v>
      </c>
      <c r="BB1391" s="4">
        <v>3</v>
      </c>
      <c r="BC1391" s="4">
        <v>0</v>
      </c>
      <c r="BD1391" s="4">
        <v>0</v>
      </c>
      <c r="BE1391" s="4">
        <v>0</v>
      </c>
      <c r="BF1391" s="4">
        <v>1</v>
      </c>
      <c r="BG1391" s="4">
        <v>0</v>
      </c>
      <c r="BH1391" s="4">
        <v>0</v>
      </c>
      <c r="BI1391" s="4">
        <v>0</v>
      </c>
      <c r="BJ1391" s="4">
        <v>1</v>
      </c>
      <c r="BK1391" s="4">
        <v>1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1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1</v>
      </c>
      <c r="CO1391" s="4">
        <v>0</v>
      </c>
      <c r="CP1391" s="4">
        <v>0</v>
      </c>
      <c r="CQ1391" s="4">
        <v>0</v>
      </c>
      <c r="CR1391" s="4">
        <v>0</v>
      </c>
      <c r="CS1391" s="4">
        <v>1</v>
      </c>
      <c r="CT1391" s="4">
        <v>0</v>
      </c>
      <c r="CU1391" s="4">
        <v>1</v>
      </c>
      <c r="CV1391" s="4">
        <v>0</v>
      </c>
      <c r="CW1391" s="4">
        <v>0</v>
      </c>
      <c r="CX1391" s="5">
        <v>0</v>
      </c>
    </row>
    <row r="1392" spans="1:102" ht="15.75" x14ac:dyDescent="0.25">
      <c r="A1392" s="4" t="s">
        <v>519</v>
      </c>
      <c r="B1392" s="4" t="s">
        <v>520</v>
      </c>
      <c r="C1392" s="4">
        <v>2023</v>
      </c>
      <c r="D1392" s="4">
        <v>174</v>
      </c>
      <c r="E1392" s="4">
        <v>0</v>
      </c>
      <c r="F1392" s="4">
        <v>0</v>
      </c>
      <c r="G1392" s="4">
        <v>1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1</v>
      </c>
      <c r="O1392" s="4">
        <v>11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3</v>
      </c>
      <c r="AC1392" s="4">
        <v>0</v>
      </c>
      <c r="AD1392" s="4">
        <v>0</v>
      </c>
      <c r="AE1392" s="4">
        <v>0</v>
      </c>
      <c r="AF1392" s="4">
        <v>0</v>
      </c>
      <c r="AG1392" s="4">
        <v>1</v>
      </c>
      <c r="AH1392" s="4">
        <v>1</v>
      </c>
      <c r="AI1392" s="4">
        <v>5</v>
      </c>
      <c r="AJ1392" s="4">
        <v>21</v>
      </c>
      <c r="AK1392" s="4">
        <v>6</v>
      </c>
      <c r="AL1392" s="4">
        <v>0</v>
      </c>
      <c r="AM1392" s="4">
        <v>1</v>
      </c>
      <c r="AN1392" s="4">
        <v>1</v>
      </c>
      <c r="AO1392" s="4">
        <v>3</v>
      </c>
      <c r="AP1392" s="4">
        <v>0</v>
      </c>
      <c r="AQ1392" s="4">
        <v>1</v>
      </c>
      <c r="AR1392" s="4">
        <v>0</v>
      </c>
      <c r="AS1392" s="4">
        <v>1</v>
      </c>
      <c r="AT1392" s="4">
        <v>23</v>
      </c>
      <c r="AU1392" s="4">
        <v>0</v>
      </c>
      <c r="AV1392" s="4">
        <v>1</v>
      </c>
      <c r="AW1392" s="4">
        <v>12</v>
      </c>
      <c r="AX1392" s="4">
        <v>5</v>
      </c>
      <c r="AY1392" s="4">
        <v>0</v>
      </c>
      <c r="AZ1392" s="4">
        <v>0</v>
      </c>
      <c r="BA1392" s="4">
        <v>0</v>
      </c>
      <c r="BB1392" s="4">
        <v>7</v>
      </c>
      <c r="BC1392" s="4">
        <v>0</v>
      </c>
      <c r="BD1392" s="4">
        <v>0</v>
      </c>
      <c r="BE1392" s="4">
        <v>1</v>
      </c>
      <c r="BF1392" s="4">
        <v>2</v>
      </c>
      <c r="BG1392" s="4">
        <v>1</v>
      </c>
      <c r="BH1392" s="4">
        <v>3</v>
      </c>
      <c r="BI1392" s="4">
        <v>0</v>
      </c>
      <c r="BJ1392" s="4">
        <v>3</v>
      </c>
      <c r="BK1392" s="4">
        <v>7</v>
      </c>
      <c r="BL1392" s="4">
        <v>0</v>
      </c>
      <c r="BM1392" s="4">
        <v>0</v>
      </c>
      <c r="BN1392" s="4">
        <v>1</v>
      </c>
      <c r="BO1392" s="4">
        <v>0</v>
      </c>
      <c r="BP1392" s="4">
        <v>0</v>
      </c>
      <c r="BQ1392" s="4">
        <v>2</v>
      </c>
      <c r="BR1392" s="4">
        <v>0</v>
      </c>
      <c r="BS1392" s="4">
        <v>12</v>
      </c>
      <c r="BT1392" s="4">
        <v>1</v>
      </c>
      <c r="BU1392" s="4">
        <v>0</v>
      </c>
      <c r="BV1392" s="4">
        <v>5</v>
      </c>
      <c r="BW1392" s="4">
        <v>0</v>
      </c>
      <c r="BX1392" s="4">
        <v>8</v>
      </c>
      <c r="BY1392" s="4">
        <v>0</v>
      </c>
      <c r="BZ1392" s="4">
        <v>0</v>
      </c>
      <c r="CA1392" s="4">
        <v>2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5</v>
      </c>
      <c r="CN1392" s="4">
        <v>4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1</v>
      </c>
      <c r="CU1392" s="4">
        <v>0</v>
      </c>
      <c r="CV1392" s="4">
        <v>3</v>
      </c>
      <c r="CW1392" s="4">
        <v>1</v>
      </c>
      <c r="CX1392" s="5">
        <v>1</v>
      </c>
    </row>
    <row r="1393" spans="1:102" ht="15.75" x14ac:dyDescent="0.25">
      <c r="A1393" s="4" t="s">
        <v>521</v>
      </c>
      <c r="B1393" s="4" t="s">
        <v>522</v>
      </c>
      <c r="C1393" s="4">
        <v>2023</v>
      </c>
      <c r="D1393" s="4">
        <v>1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1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5">
        <v>0</v>
      </c>
    </row>
    <row r="1394" spans="1:102" ht="15.75" x14ac:dyDescent="0.25">
      <c r="A1394" s="4" t="s">
        <v>523</v>
      </c>
      <c r="B1394" s="4" t="s">
        <v>524</v>
      </c>
      <c r="C1394" s="4">
        <v>2023</v>
      </c>
      <c r="D1394" s="4">
        <v>6968</v>
      </c>
      <c r="E1394" s="4">
        <v>8</v>
      </c>
      <c r="F1394" s="4">
        <v>1</v>
      </c>
      <c r="G1394" s="4">
        <v>25</v>
      </c>
      <c r="H1394" s="4">
        <v>3</v>
      </c>
      <c r="I1394" s="4">
        <v>7</v>
      </c>
      <c r="J1394" s="4">
        <v>8</v>
      </c>
      <c r="K1394" s="4">
        <v>5</v>
      </c>
      <c r="L1394" s="4">
        <v>21</v>
      </c>
      <c r="M1394" s="4">
        <v>8</v>
      </c>
      <c r="N1394" s="4">
        <v>33</v>
      </c>
      <c r="O1394" s="4">
        <v>303</v>
      </c>
      <c r="P1394" s="4">
        <v>7</v>
      </c>
      <c r="Q1394" s="4">
        <v>0</v>
      </c>
      <c r="R1394" s="4">
        <v>10</v>
      </c>
      <c r="S1394" s="4">
        <v>0</v>
      </c>
      <c r="T1394" s="4">
        <v>36</v>
      </c>
      <c r="U1394" s="4">
        <v>13</v>
      </c>
      <c r="V1394" s="4">
        <v>30</v>
      </c>
      <c r="W1394" s="4">
        <v>456</v>
      </c>
      <c r="X1394" s="4">
        <v>3</v>
      </c>
      <c r="Y1394" s="4">
        <v>0</v>
      </c>
      <c r="Z1394" s="4">
        <v>0</v>
      </c>
      <c r="AA1394" s="4">
        <v>14</v>
      </c>
      <c r="AB1394" s="4">
        <v>0</v>
      </c>
      <c r="AC1394" s="4">
        <v>0</v>
      </c>
      <c r="AD1394" s="4">
        <v>1</v>
      </c>
      <c r="AE1394" s="4">
        <v>0</v>
      </c>
      <c r="AF1394" s="4">
        <v>1</v>
      </c>
      <c r="AG1394" s="4">
        <v>43</v>
      </c>
      <c r="AH1394" s="4">
        <v>5</v>
      </c>
      <c r="AI1394" s="4">
        <v>114</v>
      </c>
      <c r="AJ1394" s="4">
        <v>275</v>
      </c>
      <c r="AK1394" s="4">
        <v>85</v>
      </c>
      <c r="AL1394" s="4">
        <v>2</v>
      </c>
      <c r="AM1394" s="4">
        <v>88</v>
      </c>
      <c r="AN1394" s="4">
        <v>51</v>
      </c>
      <c r="AO1394" s="4">
        <v>87</v>
      </c>
      <c r="AP1394" s="4">
        <v>2</v>
      </c>
      <c r="AQ1394" s="4">
        <v>20</v>
      </c>
      <c r="AR1394" s="4">
        <v>1</v>
      </c>
      <c r="AS1394" s="4">
        <v>44</v>
      </c>
      <c r="AT1394" s="4">
        <v>42</v>
      </c>
      <c r="AU1394" s="4">
        <v>36</v>
      </c>
      <c r="AV1394" s="4">
        <v>211</v>
      </c>
      <c r="AW1394" s="4">
        <v>184</v>
      </c>
      <c r="AX1394" s="4">
        <v>128</v>
      </c>
      <c r="AY1394" s="4">
        <v>2</v>
      </c>
      <c r="AZ1394" s="4">
        <v>50</v>
      </c>
      <c r="BA1394" s="4">
        <v>0</v>
      </c>
      <c r="BB1394" s="4">
        <v>1689</v>
      </c>
      <c r="BC1394" s="4">
        <v>110</v>
      </c>
      <c r="BD1394" s="4">
        <v>1</v>
      </c>
      <c r="BE1394" s="4">
        <v>29</v>
      </c>
      <c r="BF1394" s="4">
        <v>227</v>
      </c>
      <c r="BG1394" s="4">
        <v>7</v>
      </c>
      <c r="BH1394" s="4">
        <v>16</v>
      </c>
      <c r="BI1394" s="4">
        <v>0</v>
      </c>
      <c r="BJ1394" s="4">
        <v>112</v>
      </c>
      <c r="BK1394" s="4">
        <v>182</v>
      </c>
      <c r="BL1394" s="4">
        <v>0</v>
      </c>
      <c r="BM1394" s="4">
        <v>5</v>
      </c>
      <c r="BN1394" s="4">
        <v>27</v>
      </c>
      <c r="BO1394" s="4">
        <v>0</v>
      </c>
      <c r="BP1394" s="4">
        <v>6</v>
      </c>
      <c r="BQ1394" s="4">
        <v>55</v>
      </c>
      <c r="BR1394" s="4">
        <v>3</v>
      </c>
      <c r="BS1394" s="4">
        <v>102</v>
      </c>
      <c r="BT1394" s="4">
        <v>85</v>
      </c>
      <c r="BU1394" s="4">
        <v>4</v>
      </c>
      <c r="BV1394" s="4">
        <v>165</v>
      </c>
      <c r="BW1394" s="4">
        <v>99</v>
      </c>
      <c r="BX1394" s="4">
        <v>915</v>
      </c>
      <c r="BY1394" s="4">
        <v>0</v>
      </c>
      <c r="BZ1394" s="4">
        <v>0</v>
      </c>
      <c r="CA1394" s="4">
        <v>66</v>
      </c>
      <c r="CB1394" s="4">
        <v>129</v>
      </c>
      <c r="CC1394" s="4">
        <v>0</v>
      </c>
      <c r="CD1394" s="4">
        <v>8</v>
      </c>
      <c r="CE1394" s="4">
        <v>2</v>
      </c>
      <c r="CF1394" s="4">
        <v>3</v>
      </c>
      <c r="CG1394" s="4">
        <v>11</v>
      </c>
      <c r="CH1394" s="4">
        <v>3</v>
      </c>
      <c r="CI1394" s="4">
        <v>1</v>
      </c>
      <c r="CJ1394" s="4">
        <v>17</v>
      </c>
      <c r="CK1394" s="4">
        <v>1</v>
      </c>
      <c r="CL1394" s="4">
        <v>0</v>
      </c>
      <c r="CM1394" s="4">
        <v>21</v>
      </c>
      <c r="CN1394" s="4">
        <v>117</v>
      </c>
      <c r="CO1394" s="4">
        <v>1</v>
      </c>
      <c r="CP1394" s="4">
        <v>4</v>
      </c>
      <c r="CQ1394" s="4">
        <v>2</v>
      </c>
      <c r="CR1394" s="4">
        <v>13</v>
      </c>
      <c r="CS1394" s="4">
        <v>3</v>
      </c>
      <c r="CT1394" s="4">
        <v>52</v>
      </c>
      <c r="CU1394" s="4">
        <v>14</v>
      </c>
      <c r="CV1394" s="4">
        <v>46</v>
      </c>
      <c r="CW1394" s="4">
        <v>155</v>
      </c>
      <c r="CX1394" s="5">
        <v>155</v>
      </c>
    </row>
    <row r="1395" spans="1:102" ht="15.75" x14ac:dyDescent="0.25">
      <c r="A1395" s="4" t="s">
        <v>525</v>
      </c>
      <c r="B1395" s="4" t="s">
        <v>526</v>
      </c>
      <c r="C1395" s="4">
        <v>2023</v>
      </c>
      <c r="D1395" s="4">
        <v>116</v>
      </c>
      <c r="E1395" s="4">
        <v>0</v>
      </c>
      <c r="F1395" s="4">
        <v>1</v>
      </c>
      <c r="G1395" s="4">
        <v>2</v>
      </c>
      <c r="H1395" s="4">
        <v>0</v>
      </c>
      <c r="I1395" s="4">
        <v>7</v>
      </c>
      <c r="J1395" s="4">
        <v>0</v>
      </c>
      <c r="K1395" s="4">
        <v>1</v>
      </c>
      <c r="L1395" s="4">
        <v>3</v>
      </c>
      <c r="M1395" s="4">
        <v>0</v>
      </c>
      <c r="N1395" s="4">
        <v>1</v>
      </c>
      <c r="O1395" s="4">
        <v>2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1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1</v>
      </c>
      <c r="AH1395" s="4">
        <v>0</v>
      </c>
      <c r="AI1395" s="4">
        <v>4</v>
      </c>
      <c r="AJ1395" s="4">
        <v>4</v>
      </c>
      <c r="AK1395" s="4">
        <v>5</v>
      </c>
      <c r="AL1395" s="4">
        <v>0</v>
      </c>
      <c r="AM1395" s="4">
        <v>1</v>
      </c>
      <c r="AN1395" s="4">
        <v>0</v>
      </c>
      <c r="AO1395" s="4">
        <v>7</v>
      </c>
      <c r="AP1395" s="4">
        <v>0</v>
      </c>
      <c r="AQ1395" s="4">
        <v>2</v>
      </c>
      <c r="AR1395" s="4">
        <v>0</v>
      </c>
      <c r="AS1395" s="4">
        <v>1</v>
      </c>
      <c r="AT1395" s="4">
        <v>1</v>
      </c>
      <c r="AU1395" s="4">
        <v>1</v>
      </c>
      <c r="AV1395" s="4">
        <v>2</v>
      </c>
      <c r="AW1395" s="4">
        <v>0</v>
      </c>
      <c r="AX1395" s="4">
        <v>4</v>
      </c>
      <c r="AY1395" s="4">
        <v>0</v>
      </c>
      <c r="AZ1395" s="4">
        <v>0</v>
      </c>
      <c r="BA1395" s="4">
        <v>0</v>
      </c>
      <c r="BB1395" s="4">
        <v>1</v>
      </c>
      <c r="BC1395" s="4">
        <v>1</v>
      </c>
      <c r="BD1395" s="4">
        <v>0</v>
      </c>
      <c r="BE1395" s="4">
        <v>3</v>
      </c>
      <c r="BF1395" s="4">
        <v>6</v>
      </c>
      <c r="BG1395" s="4">
        <v>0</v>
      </c>
      <c r="BH1395" s="4">
        <v>0</v>
      </c>
      <c r="BI1395" s="4">
        <v>0</v>
      </c>
      <c r="BJ1395" s="4">
        <v>8</v>
      </c>
      <c r="BK1395" s="4">
        <v>3</v>
      </c>
      <c r="BL1395" s="4">
        <v>0</v>
      </c>
      <c r="BM1395" s="4">
        <v>0</v>
      </c>
      <c r="BN1395" s="4">
        <v>1</v>
      </c>
      <c r="BO1395" s="4">
        <v>0</v>
      </c>
      <c r="BP1395" s="4">
        <v>0</v>
      </c>
      <c r="BQ1395" s="4">
        <v>0</v>
      </c>
      <c r="BR1395" s="4">
        <v>0</v>
      </c>
      <c r="BS1395" s="4">
        <v>2</v>
      </c>
      <c r="BT1395" s="4">
        <v>1</v>
      </c>
      <c r="BU1395" s="4">
        <v>0</v>
      </c>
      <c r="BV1395" s="4">
        <v>2</v>
      </c>
      <c r="BW1395" s="4">
        <v>3</v>
      </c>
      <c r="BX1395" s="4">
        <v>17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1</v>
      </c>
      <c r="CK1395" s="4">
        <v>0</v>
      </c>
      <c r="CL1395" s="4">
        <v>0</v>
      </c>
      <c r="CM1395" s="4">
        <v>1</v>
      </c>
      <c r="CN1395" s="4">
        <v>3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5</v>
      </c>
      <c r="CU1395" s="4">
        <v>0</v>
      </c>
      <c r="CV1395" s="4">
        <v>4</v>
      </c>
      <c r="CW1395" s="4">
        <v>1</v>
      </c>
      <c r="CX1395" s="5">
        <v>1</v>
      </c>
    </row>
    <row r="1396" spans="1:102" ht="15.75" x14ac:dyDescent="0.25">
      <c r="A1396" s="4" t="s">
        <v>527</v>
      </c>
      <c r="B1396" s="4" t="s">
        <v>528</v>
      </c>
      <c r="C1396" s="4">
        <v>2023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5">
        <v>0</v>
      </c>
    </row>
    <row r="1397" spans="1:102" ht="15.75" x14ac:dyDescent="0.25">
      <c r="A1397" s="4" t="s">
        <v>529</v>
      </c>
      <c r="B1397" s="4" t="s">
        <v>530</v>
      </c>
      <c r="C1397" s="4">
        <v>2023</v>
      </c>
      <c r="D1397" s="4">
        <v>1887</v>
      </c>
      <c r="E1397" s="4">
        <v>0</v>
      </c>
      <c r="F1397" s="4">
        <v>2</v>
      </c>
      <c r="G1397" s="4">
        <v>4</v>
      </c>
      <c r="H1397" s="4">
        <v>17</v>
      </c>
      <c r="I1397" s="4">
        <v>5</v>
      </c>
      <c r="J1397" s="4">
        <v>1</v>
      </c>
      <c r="K1397" s="4">
        <v>2</v>
      </c>
      <c r="L1397" s="4">
        <v>9</v>
      </c>
      <c r="M1397" s="4">
        <v>5</v>
      </c>
      <c r="N1397" s="4">
        <v>5</v>
      </c>
      <c r="O1397" s="4">
        <v>378</v>
      </c>
      <c r="P1397" s="4">
        <v>0</v>
      </c>
      <c r="Q1397" s="4">
        <v>0</v>
      </c>
      <c r="R1397" s="4">
        <v>0</v>
      </c>
      <c r="S1397" s="4">
        <v>0</v>
      </c>
      <c r="T1397" s="4">
        <v>4</v>
      </c>
      <c r="U1397" s="4">
        <v>2</v>
      </c>
      <c r="V1397" s="4">
        <v>1</v>
      </c>
      <c r="W1397" s="4">
        <v>44</v>
      </c>
      <c r="X1397" s="4">
        <v>4</v>
      </c>
      <c r="Y1397" s="4">
        <v>0</v>
      </c>
      <c r="Z1397" s="4">
        <v>0</v>
      </c>
      <c r="AA1397" s="4">
        <v>4</v>
      </c>
      <c r="AB1397" s="4">
        <v>0</v>
      </c>
      <c r="AC1397" s="4">
        <v>0</v>
      </c>
      <c r="AD1397" s="4">
        <v>0</v>
      </c>
      <c r="AE1397" s="4">
        <v>1</v>
      </c>
      <c r="AF1397" s="4">
        <v>0</v>
      </c>
      <c r="AG1397" s="4">
        <v>7</v>
      </c>
      <c r="AH1397" s="4">
        <v>8</v>
      </c>
      <c r="AI1397" s="4">
        <v>11</v>
      </c>
      <c r="AJ1397" s="4">
        <v>122</v>
      </c>
      <c r="AK1397" s="4">
        <v>21</v>
      </c>
      <c r="AL1397" s="4">
        <v>0</v>
      </c>
      <c r="AM1397" s="4">
        <v>26</v>
      </c>
      <c r="AN1397" s="4">
        <v>11</v>
      </c>
      <c r="AO1397" s="4">
        <v>34</v>
      </c>
      <c r="AP1397" s="4">
        <v>0</v>
      </c>
      <c r="AQ1397" s="4">
        <v>5</v>
      </c>
      <c r="AR1397" s="4">
        <v>0</v>
      </c>
      <c r="AS1397" s="4">
        <v>5</v>
      </c>
      <c r="AT1397" s="4">
        <v>6</v>
      </c>
      <c r="AU1397" s="4">
        <v>7</v>
      </c>
      <c r="AV1397" s="4">
        <v>10</v>
      </c>
      <c r="AW1397" s="4">
        <v>31</v>
      </c>
      <c r="AX1397" s="4">
        <v>28</v>
      </c>
      <c r="AY1397" s="4">
        <v>0</v>
      </c>
      <c r="AZ1397" s="4">
        <v>30</v>
      </c>
      <c r="BA1397" s="4">
        <v>0</v>
      </c>
      <c r="BB1397" s="4">
        <v>209</v>
      </c>
      <c r="BC1397" s="4">
        <v>11</v>
      </c>
      <c r="BD1397" s="4">
        <v>0</v>
      </c>
      <c r="BE1397" s="4">
        <v>10</v>
      </c>
      <c r="BF1397" s="4">
        <v>40</v>
      </c>
      <c r="BG1397" s="4">
        <v>2</v>
      </c>
      <c r="BH1397" s="4">
        <v>3</v>
      </c>
      <c r="BI1397" s="4">
        <v>0</v>
      </c>
      <c r="BJ1397" s="4">
        <v>58</v>
      </c>
      <c r="BK1397" s="4">
        <v>69</v>
      </c>
      <c r="BL1397" s="4">
        <v>0</v>
      </c>
      <c r="BM1397" s="4">
        <v>1</v>
      </c>
      <c r="BN1397" s="4">
        <v>15</v>
      </c>
      <c r="BO1397" s="4">
        <v>0</v>
      </c>
      <c r="BP1397" s="4">
        <v>5</v>
      </c>
      <c r="BQ1397" s="4">
        <v>66</v>
      </c>
      <c r="BR1397" s="4">
        <v>1</v>
      </c>
      <c r="BS1397" s="4">
        <v>59</v>
      </c>
      <c r="BT1397" s="4">
        <v>29</v>
      </c>
      <c r="BU1397" s="4">
        <v>2</v>
      </c>
      <c r="BV1397" s="4">
        <v>14</v>
      </c>
      <c r="BW1397" s="4">
        <v>15</v>
      </c>
      <c r="BX1397" s="4">
        <v>193</v>
      </c>
      <c r="BY1397" s="4">
        <v>0</v>
      </c>
      <c r="BZ1397" s="4">
        <v>0</v>
      </c>
      <c r="CA1397" s="4">
        <v>21</v>
      </c>
      <c r="CB1397" s="4">
        <v>2</v>
      </c>
      <c r="CC1397" s="4">
        <v>0</v>
      </c>
      <c r="CD1397" s="4">
        <v>1</v>
      </c>
      <c r="CE1397" s="4">
        <v>0</v>
      </c>
      <c r="CF1397" s="4">
        <v>2</v>
      </c>
      <c r="CG1397" s="4">
        <v>1</v>
      </c>
      <c r="CH1397" s="4">
        <v>3</v>
      </c>
      <c r="CI1397" s="4">
        <v>6</v>
      </c>
      <c r="CJ1397" s="4">
        <v>14</v>
      </c>
      <c r="CK1397" s="4">
        <v>3</v>
      </c>
      <c r="CL1397" s="4">
        <v>0</v>
      </c>
      <c r="CM1397" s="4">
        <v>7</v>
      </c>
      <c r="CN1397" s="4">
        <v>88</v>
      </c>
      <c r="CO1397" s="4">
        <v>9</v>
      </c>
      <c r="CP1397" s="4">
        <v>6</v>
      </c>
      <c r="CQ1397" s="4">
        <v>0</v>
      </c>
      <c r="CR1397" s="4">
        <v>19</v>
      </c>
      <c r="CS1397" s="4">
        <v>8</v>
      </c>
      <c r="CT1397" s="4">
        <v>5</v>
      </c>
      <c r="CU1397" s="4">
        <v>9</v>
      </c>
      <c r="CV1397" s="4">
        <v>22</v>
      </c>
      <c r="CW1397" s="4">
        <v>7</v>
      </c>
      <c r="CX1397" s="5">
        <v>7</v>
      </c>
    </row>
    <row r="1398" spans="1:102" ht="15.75" x14ac:dyDescent="0.25">
      <c r="A1398" s="4" t="s">
        <v>531</v>
      </c>
      <c r="B1398" s="4" t="s">
        <v>532</v>
      </c>
      <c r="C1398" s="4">
        <v>2023</v>
      </c>
      <c r="D1398" s="4">
        <v>147</v>
      </c>
      <c r="E1398" s="4">
        <v>1</v>
      </c>
      <c r="F1398" s="4">
        <v>0</v>
      </c>
      <c r="G1398" s="4">
        <v>1</v>
      </c>
      <c r="H1398" s="4">
        <v>0</v>
      </c>
      <c r="I1398" s="4">
        <v>0</v>
      </c>
      <c r="J1398" s="4">
        <v>1</v>
      </c>
      <c r="K1398" s="4">
        <v>0</v>
      </c>
      <c r="L1398" s="4">
        <v>0</v>
      </c>
      <c r="M1398" s="4">
        <v>0</v>
      </c>
      <c r="N1398" s="4">
        <v>2</v>
      </c>
      <c r="O1398" s="4">
        <v>2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2</v>
      </c>
      <c r="AJ1398" s="4">
        <v>3</v>
      </c>
      <c r="AK1398" s="4">
        <v>1</v>
      </c>
      <c r="AL1398" s="4">
        <v>1</v>
      </c>
      <c r="AM1398" s="4">
        <v>0</v>
      </c>
      <c r="AN1398" s="4">
        <v>0</v>
      </c>
      <c r="AO1398" s="4">
        <v>1</v>
      </c>
      <c r="AP1398" s="4">
        <v>0</v>
      </c>
      <c r="AQ1398" s="4">
        <v>2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2</v>
      </c>
      <c r="AY1398" s="4">
        <v>0</v>
      </c>
      <c r="AZ1398" s="4">
        <v>1</v>
      </c>
      <c r="BA1398" s="4">
        <v>0</v>
      </c>
      <c r="BB1398" s="4">
        <v>2</v>
      </c>
      <c r="BC1398" s="4">
        <v>0</v>
      </c>
      <c r="BD1398" s="4">
        <v>0</v>
      </c>
      <c r="BE1398" s="4">
        <v>3</v>
      </c>
      <c r="BF1398" s="4">
        <v>5</v>
      </c>
      <c r="BG1398" s="4">
        <v>0</v>
      </c>
      <c r="BH1398" s="4">
        <v>0</v>
      </c>
      <c r="BI1398" s="4">
        <v>0</v>
      </c>
      <c r="BJ1398" s="4">
        <v>3</v>
      </c>
      <c r="BK1398" s="4">
        <v>13</v>
      </c>
      <c r="BL1398" s="4">
        <v>0</v>
      </c>
      <c r="BM1398" s="4">
        <v>0</v>
      </c>
      <c r="BN1398" s="4">
        <v>3</v>
      </c>
      <c r="BO1398" s="4">
        <v>0</v>
      </c>
      <c r="BP1398" s="4">
        <v>0</v>
      </c>
      <c r="BQ1398" s="4">
        <v>4</v>
      </c>
      <c r="BR1398" s="4">
        <v>4</v>
      </c>
      <c r="BS1398" s="4">
        <v>3</v>
      </c>
      <c r="BT1398" s="4">
        <v>1</v>
      </c>
      <c r="BU1398" s="4">
        <v>0</v>
      </c>
      <c r="BV1398" s="4">
        <v>2</v>
      </c>
      <c r="BW1398" s="4">
        <v>51</v>
      </c>
      <c r="BX1398" s="4">
        <v>15</v>
      </c>
      <c r="BY1398" s="4">
        <v>0</v>
      </c>
      <c r="BZ1398" s="4">
        <v>0</v>
      </c>
      <c r="CA1398" s="4">
        <v>2</v>
      </c>
      <c r="CB1398" s="4">
        <v>0</v>
      </c>
      <c r="CC1398" s="4">
        <v>0</v>
      </c>
      <c r="CD1398" s="4">
        <v>0</v>
      </c>
      <c r="CE1398" s="4">
        <v>0</v>
      </c>
      <c r="CF1398" s="4">
        <v>2</v>
      </c>
      <c r="CG1398" s="4">
        <v>0</v>
      </c>
      <c r="CH1398" s="4">
        <v>0</v>
      </c>
      <c r="CI1398" s="4">
        <v>0</v>
      </c>
      <c r="CJ1398" s="4">
        <v>2</v>
      </c>
      <c r="CK1398" s="4">
        <v>0</v>
      </c>
      <c r="CL1398" s="4">
        <v>0</v>
      </c>
      <c r="CM1398" s="4">
        <v>0</v>
      </c>
      <c r="CN1398" s="4">
        <v>3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1</v>
      </c>
      <c r="CU1398" s="4">
        <v>0</v>
      </c>
      <c r="CV1398" s="4">
        <v>3</v>
      </c>
      <c r="CW1398" s="4">
        <v>0</v>
      </c>
      <c r="CX1398" s="5">
        <v>0</v>
      </c>
    </row>
    <row r="1399" spans="1:102" ht="15.75" x14ac:dyDescent="0.25">
      <c r="A1399" s="4" t="s">
        <v>533</v>
      </c>
      <c r="B1399" s="4" t="s">
        <v>534</v>
      </c>
      <c r="C1399" s="4">
        <v>2023</v>
      </c>
      <c r="D1399" s="4">
        <v>725</v>
      </c>
      <c r="E1399" s="4">
        <v>0</v>
      </c>
      <c r="F1399" s="4">
        <v>0</v>
      </c>
      <c r="G1399" s="4">
        <v>2</v>
      </c>
      <c r="H1399" s="4">
        <v>10</v>
      </c>
      <c r="I1399" s="4">
        <v>0</v>
      </c>
      <c r="J1399" s="4">
        <v>0</v>
      </c>
      <c r="K1399" s="4">
        <v>0</v>
      </c>
      <c r="L1399" s="4">
        <v>19</v>
      </c>
      <c r="M1399" s="4">
        <v>4</v>
      </c>
      <c r="N1399" s="4">
        <v>5</v>
      </c>
      <c r="O1399" s="4">
        <v>118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46</v>
      </c>
      <c r="V1399" s="4">
        <v>1</v>
      </c>
      <c r="W1399" s="4">
        <v>0</v>
      </c>
      <c r="X1399" s="4">
        <v>3</v>
      </c>
      <c r="Y1399" s="4">
        <v>0</v>
      </c>
      <c r="Z1399" s="4">
        <v>0</v>
      </c>
      <c r="AA1399" s="4">
        <v>6</v>
      </c>
      <c r="AB1399" s="4">
        <v>0</v>
      </c>
      <c r="AC1399" s="4">
        <v>0</v>
      </c>
      <c r="AD1399" s="4">
        <v>1</v>
      </c>
      <c r="AE1399" s="4">
        <v>0</v>
      </c>
      <c r="AF1399" s="4">
        <v>0</v>
      </c>
      <c r="AG1399" s="4">
        <v>2</v>
      </c>
      <c r="AH1399" s="4">
        <v>0</v>
      </c>
      <c r="AI1399" s="4">
        <v>8</v>
      </c>
      <c r="AJ1399" s="4">
        <v>15</v>
      </c>
      <c r="AK1399" s="4">
        <v>15</v>
      </c>
      <c r="AL1399" s="4">
        <v>1</v>
      </c>
      <c r="AM1399" s="4">
        <v>1</v>
      </c>
      <c r="AN1399" s="4">
        <v>5</v>
      </c>
      <c r="AO1399" s="4">
        <v>34</v>
      </c>
      <c r="AP1399" s="4">
        <v>0</v>
      </c>
      <c r="AQ1399" s="4">
        <v>2</v>
      </c>
      <c r="AR1399" s="4">
        <v>1</v>
      </c>
      <c r="AS1399" s="4">
        <v>1</v>
      </c>
      <c r="AT1399" s="4">
        <v>4</v>
      </c>
      <c r="AU1399" s="4">
        <v>2</v>
      </c>
      <c r="AV1399" s="4">
        <v>0</v>
      </c>
      <c r="AW1399" s="4">
        <v>1</v>
      </c>
      <c r="AX1399" s="4">
        <v>13</v>
      </c>
      <c r="AY1399" s="4">
        <v>0</v>
      </c>
      <c r="AZ1399" s="4">
        <v>19</v>
      </c>
      <c r="BA1399" s="4">
        <v>0</v>
      </c>
      <c r="BB1399" s="4">
        <v>3</v>
      </c>
      <c r="BC1399" s="4">
        <v>2</v>
      </c>
      <c r="BD1399" s="4">
        <v>0</v>
      </c>
      <c r="BE1399" s="4">
        <v>4</v>
      </c>
      <c r="BF1399" s="4">
        <v>57</v>
      </c>
      <c r="BG1399" s="4">
        <v>0</v>
      </c>
      <c r="BH1399" s="4">
        <v>1</v>
      </c>
      <c r="BI1399" s="4">
        <v>0</v>
      </c>
      <c r="BJ1399" s="4">
        <v>6</v>
      </c>
      <c r="BK1399" s="4">
        <v>29</v>
      </c>
      <c r="BL1399" s="4">
        <v>0</v>
      </c>
      <c r="BM1399" s="4">
        <v>0</v>
      </c>
      <c r="BN1399" s="4">
        <v>3</v>
      </c>
      <c r="BO1399" s="4">
        <v>0</v>
      </c>
      <c r="BP1399" s="4">
        <v>0</v>
      </c>
      <c r="BQ1399" s="4">
        <v>12</v>
      </c>
      <c r="BR1399" s="4">
        <v>0</v>
      </c>
      <c r="BS1399" s="4">
        <v>10</v>
      </c>
      <c r="BT1399" s="4">
        <v>6</v>
      </c>
      <c r="BU1399" s="4">
        <v>0</v>
      </c>
      <c r="BV1399" s="4">
        <v>7</v>
      </c>
      <c r="BW1399" s="4">
        <v>28</v>
      </c>
      <c r="BX1399" s="4">
        <v>149</v>
      </c>
      <c r="BY1399" s="4">
        <v>0</v>
      </c>
      <c r="BZ1399" s="4">
        <v>0</v>
      </c>
      <c r="CA1399" s="4">
        <v>8</v>
      </c>
      <c r="CB1399" s="4">
        <v>1</v>
      </c>
      <c r="CC1399" s="4">
        <v>0</v>
      </c>
      <c r="CD1399" s="4">
        <v>0</v>
      </c>
      <c r="CE1399" s="4">
        <v>0</v>
      </c>
      <c r="CF1399" s="4">
        <v>2</v>
      </c>
      <c r="CG1399" s="4">
        <v>0</v>
      </c>
      <c r="CH1399" s="4">
        <v>0</v>
      </c>
      <c r="CI1399" s="4">
        <v>1</v>
      </c>
      <c r="CJ1399" s="4">
        <v>3</v>
      </c>
      <c r="CK1399" s="4">
        <v>1</v>
      </c>
      <c r="CL1399" s="4">
        <v>1</v>
      </c>
      <c r="CM1399" s="4">
        <v>1</v>
      </c>
      <c r="CN1399" s="4">
        <v>21</v>
      </c>
      <c r="CO1399" s="4">
        <v>3</v>
      </c>
      <c r="CP1399" s="4">
        <v>6</v>
      </c>
      <c r="CQ1399" s="4">
        <v>0</v>
      </c>
      <c r="CR1399" s="4">
        <v>4</v>
      </c>
      <c r="CS1399" s="4">
        <v>0</v>
      </c>
      <c r="CT1399" s="4">
        <v>2</v>
      </c>
      <c r="CU1399" s="4">
        <v>0</v>
      </c>
      <c r="CV1399" s="4">
        <v>8</v>
      </c>
      <c r="CW1399" s="4">
        <v>3</v>
      </c>
      <c r="CX1399" s="5">
        <v>3</v>
      </c>
    </row>
    <row r="1400" spans="1:102" ht="15.75" x14ac:dyDescent="0.25">
      <c r="A1400" s="4" t="s">
        <v>535</v>
      </c>
      <c r="B1400" s="4" t="s">
        <v>536</v>
      </c>
      <c r="C1400" s="4">
        <v>2023</v>
      </c>
      <c r="D1400" s="4">
        <v>55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2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1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1</v>
      </c>
      <c r="AJ1400" s="4">
        <v>8</v>
      </c>
      <c r="AK1400" s="4">
        <v>1</v>
      </c>
      <c r="AL1400" s="4">
        <v>0</v>
      </c>
      <c r="AM1400" s="4">
        <v>0</v>
      </c>
      <c r="AN1400" s="4">
        <v>0</v>
      </c>
      <c r="AO1400" s="4">
        <v>2</v>
      </c>
      <c r="AP1400" s="4">
        <v>0</v>
      </c>
      <c r="AQ1400" s="4">
        <v>1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2</v>
      </c>
      <c r="AY1400" s="4">
        <v>0</v>
      </c>
      <c r="AZ1400" s="4">
        <v>1</v>
      </c>
      <c r="BA1400" s="4">
        <v>0</v>
      </c>
      <c r="BB1400" s="4">
        <v>1</v>
      </c>
      <c r="BC1400" s="4">
        <v>0</v>
      </c>
      <c r="BD1400" s="4">
        <v>0</v>
      </c>
      <c r="BE1400" s="4">
        <v>1</v>
      </c>
      <c r="BF1400" s="4">
        <v>5</v>
      </c>
      <c r="BG1400" s="4">
        <v>0</v>
      </c>
      <c r="BH1400" s="4">
        <v>0</v>
      </c>
      <c r="BI1400" s="4">
        <v>0</v>
      </c>
      <c r="BJ1400" s="4">
        <v>2</v>
      </c>
      <c r="BK1400" s="4">
        <v>2</v>
      </c>
      <c r="BL1400" s="4">
        <v>0</v>
      </c>
      <c r="BM1400" s="4">
        <v>1</v>
      </c>
      <c r="BN1400" s="4">
        <v>1</v>
      </c>
      <c r="BO1400" s="4">
        <v>0</v>
      </c>
      <c r="BP1400" s="4">
        <v>1</v>
      </c>
      <c r="BQ1400" s="4">
        <v>2</v>
      </c>
      <c r="BR1400" s="4">
        <v>0</v>
      </c>
      <c r="BS1400" s="4">
        <v>2</v>
      </c>
      <c r="BT1400" s="4">
        <v>1</v>
      </c>
      <c r="BU1400" s="4">
        <v>0</v>
      </c>
      <c r="BV1400" s="4">
        <v>0</v>
      </c>
      <c r="BW1400" s="4">
        <v>3</v>
      </c>
      <c r="BX1400" s="4">
        <v>4</v>
      </c>
      <c r="BY1400" s="4">
        <v>0</v>
      </c>
      <c r="BZ1400" s="4">
        <v>0</v>
      </c>
      <c r="CA1400" s="4">
        <v>1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3</v>
      </c>
      <c r="CN1400" s="4">
        <v>3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1</v>
      </c>
      <c r="CU1400" s="4">
        <v>0</v>
      </c>
      <c r="CV1400" s="4">
        <v>2</v>
      </c>
      <c r="CW1400" s="4">
        <v>0</v>
      </c>
      <c r="CX1400" s="5">
        <v>0</v>
      </c>
    </row>
    <row r="1401" spans="1:102" ht="15.75" x14ac:dyDescent="0.25">
      <c r="A1401" s="4" t="s">
        <v>537</v>
      </c>
      <c r="B1401" s="4" t="s">
        <v>538</v>
      </c>
      <c r="C1401" s="4">
        <v>2023</v>
      </c>
      <c r="D1401" s="4">
        <v>1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1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0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5">
        <v>0</v>
      </c>
    </row>
    <row r="1402" spans="1:102" ht="15.75" x14ac:dyDescent="0.25">
      <c r="A1402" s="4" t="s">
        <v>539</v>
      </c>
      <c r="B1402" s="4" t="s">
        <v>540</v>
      </c>
      <c r="C1402" s="4">
        <v>2023</v>
      </c>
      <c r="D1402" s="4">
        <v>60432</v>
      </c>
      <c r="E1402" s="4">
        <v>41</v>
      </c>
      <c r="F1402" s="4">
        <v>33</v>
      </c>
      <c r="G1402" s="4">
        <v>99</v>
      </c>
      <c r="H1402" s="4">
        <v>245</v>
      </c>
      <c r="I1402" s="4">
        <v>137</v>
      </c>
      <c r="J1402" s="4">
        <v>30</v>
      </c>
      <c r="K1402" s="4">
        <v>10</v>
      </c>
      <c r="L1402" s="4">
        <v>56</v>
      </c>
      <c r="M1402" s="4">
        <v>50</v>
      </c>
      <c r="N1402" s="4">
        <v>190</v>
      </c>
      <c r="O1402" s="4">
        <v>1914</v>
      </c>
      <c r="P1402" s="4">
        <v>0</v>
      </c>
      <c r="Q1402" s="4">
        <v>0</v>
      </c>
      <c r="R1402" s="4">
        <v>27</v>
      </c>
      <c r="S1402" s="4">
        <v>3</v>
      </c>
      <c r="T1402" s="4">
        <v>0</v>
      </c>
      <c r="U1402" s="4">
        <v>12</v>
      </c>
      <c r="V1402" s="4">
        <v>19</v>
      </c>
      <c r="W1402" s="4">
        <v>350</v>
      </c>
      <c r="X1402" s="4">
        <v>34</v>
      </c>
      <c r="Y1402" s="4">
        <v>16</v>
      </c>
      <c r="Z1402" s="4">
        <v>319</v>
      </c>
      <c r="AA1402" s="4">
        <v>1614</v>
      </c>
      <c r="AB1402" s="4">
        <v>2</v>
      </c>
      <c r="AC1402" s="4">
        <v>0</v>
      </c>
      <c r="AD1402" s="4">
        <v>33</v>
      </c>
      <c r="AE1402" s="4">
        <v>7</v>
      </c>
      <c r="AF1402" s="4">
        <v>13</v>
      </c>
      <c r="AG1402" s="4">
        <v>2816</v>
      </c>
      <c r="AH1402" s="4">
        <v>634</v>
      </c>
      <c r="AI1402" s="4">
        <v>171</v>
      </c>
      <c r="AJ1402" s="4">
        <v>8783</v>
      </c>
      <c r="AK1402" s="4">
        <v>510</v>
      </c>
      <c r="AL1402" s="4">
        <v>12</v>
      </c>
      <c r="AM1402" s="4">
        <v>304</v>
      </c>
      <c r="AN1402" s="4">
        <v>355</v>
      </c>
      <c r="AO1402" s="4">
        <v>568</v>
      </c>
      <c r="AP1402" s="4">
        <v>46</v>
      </c>
      <c r="AQ1402" s="4">
        <v>203</v>
      </c>
      <c r="AR1402" s="4">
        <v>21</v>
      </c>
      <c r="AS1402" s="4">
        <v>242</v>
      </c>
      <c r="AT1402" s="4">
        <v>299</v>
      </c>
      <c r="AU1402" s="4">
        <v>471</v>
      </c>
      <c r="AV1402" s="4">
        <v>415</v>
      </c>
      <c r="AW1402" s="4">
        <v>1570</v>
      </c>
      <c r="AX1402" s="4">
        <v>931</v>
      </c>
      <c r="AY1402" s="4">
        <v>46</v>
      </c>
      <c r="AZ1402" s="4">
        <v>250</v>
      </c>
      <c r="BA1402" s="4">
        <v>0</v>
      </c>
      <c r="BB1402" s="4">
        <v>5238</v>
      </c>
      <c r="BC1402" s="4">
        <v>839</v>
      </c>
      <c r="BD1402" s="4">
        <v>38</v>
      </c>
      <c r="BE1402" s="4">
        <v>518</v>
      </c>
      <c r="BF1402" s="4">
        <v>1939</v>
      </c>
      <c r="BG1402" s="4">
        <v>94</v>
      </c>
      <c r="BH1402" s="4">
        <v>109</v>
      </c>
      <c r="BI1402" s="4">
        <v>3</v>
      </c>
      <c r="BJ1402" s="4">
        <v>1450</v>
      </c>
      <c r="BK1402" s="4">
        <v>2389</v>
      </c>
      <c r="BL1402" s="4">
        <v>2</v>
      </c>
      <c r="BM1402" s="4">
        <v>90</v>
      </c>
      <c r="BN1402" s="4">
        <v>526</v>
      </c>
      <c r="BO1402" s="4">
        <v>6</v>
      </c>
      <c r="BP1402" s="4">
        <v>156</v>
      </c>
      <c r="BQ1402" s="4">
        <v>806</v>
      </c>
      <c r="BR1402" s="4">
        <v>43</v>
      </c>
      <c r="BS1402" s="4">
        <v>1703</v>
      </c>
      <c r="BT1402" s="4">
        <v>812</v>
      </c>
      <c r="BU1402" s="4">
        <v>23</v>
      </c>
      <c r="BV1402" s="4">
        <v>641</v>
      </c>
      <c r="BW1402" s="4">
        <v>669</v>
      </c>
      <c r="BX1402" s="4">
        <v>6435</v>
      </c>
      <c r="BY1402" s="4">
        <v>6</v>
      </c>
      <c r="BZ1402" s="4">
        <v>1</v>
      </c>
      <c r="CA1402" s="4">
        <v>2117</v>
      </c>
      <c r="CB1402" s="4">
        <v>290</v>
      </c>
      <c r="CC1402" s="4">
        <v>4</v>
      </c>
      <c r="CD1402" s="4">
        <v>89</v>
      </c>
      <c r="CE1402" s="4">
        <v>16</v>
      </c>
      <c r="CF1402" s="4">
        <v>132</v>
      </c>
      <c r="CG1402" s="4">
        <v>284</v>
      </c>
      <c r="CH1402" s="4">
        <v>115</v>
      </c>
      <c r="CI1402" s="4">
        <v>56</v>
      </c>
      <c r="CJ1402" s="4">
        <v>409</v>
      </c>
      <c r="CK1402" s="4">
        <v>54</v>
      </c>
      <c r="CL1402" s="4">
        <v>2</v>
      </c>
      <c r="CM1402" s="4">
        <v>340</v>
      </c>
      <c r="CN1402" s="4">
        <v>2774</v>
      </c>
      <c r="CO1402" s="4">
        <v>198</v>
      </c>
      <c r="CP1402" s="4">
        <v>135</v>
      </c>
      <c r="CQ1402" s="4">
        <v>3</v>
      </c>
      <c r="CR1402" s="4">
        <v>1482</v>
      </c>
      <c r="CS1402" s="4">
        <v>277</v>
      </c>
      <c r="CT1402" s="4">
        <v>174</v>
      </c>
      <c r="CU1402" s="4">
        <v>71</v>
      </c>
      <c r="CV1402" s="4">
        <v>1767</v>
      </c>
      <c r="CW1402" s="4">
        <v>1206</v>
      </c>
      <c r="CX1402" s="5">
        <v>1205</v>
      </c>
    </row>
    <row r="1403" spans="1:102" ht="15.75" x14ac:dyDescent="0.25">
      <c r="A1403" s="4" t="s">
        <v>541</v>
      </c>
      <c r="B1403" s="4" t="s">
        <v>542</v>
      </c>
      <c r="C1403" s="4">
        <v>2023</v>
      </c>
      <c r="D1403" s="4">
        <v>145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3</v>
      </c>
      <c r="M1403" s="4">
        <v>0</v>
      </c>
      <c r="N1403" s="4">
        <v>0</v>
      </c>
      <c r="O1403" s="4">
        <v>37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</v>
      </c>
      <c r="AH1403" s="4">
        <v>0</v>
      </c>
      <c r="AI1403" s="4">
        <v>1</v>
      </c>
      <c r="AJ1403" s="4">
        <v>39</v>
      </c>
      <c r="AK1403" s="4">
        <v>5</v>
      </c>
      <c r="AL1403" s="4">
        <v>0</v>
      </c>
      <c r="AM1403" s="4">
        <v>1</v>
      </c>
      <c r="AN1403" s="4">
        <v>1</v>
      </c>
      <c r="AO1403" s="4">
        <v>2</v>
      </c>
      <c r="AP1403" s="4">
        <v>0</v>
      </c>
      <c r="AQ1403" s="4">
        <v>2</v>
      </c>
      <c r="AR1403" s="4">
        <v>0</v>
      </c>
      <c r="AS1403" s="4">
        <v>0</v>
      </c>
      <c r="AT1403" s="4">
        <v>0</v>
      </c>
      <c r="AU1403" s="4">
        <v>0</v>
      </c>
      <c r="AV1403" s="4">
        <v>1</v>
      </c>
      <c r="AW1403" s="4">
        <v>0</v>
      </c>
      <c r="AX1403" s="4">
        <v>2</v>
      </c>
      <c r="AY1403" s="4">
        <v>0</v>
      </c>
      <c r="AZ1403" s="4">
        <v>0</v>
      </c>
      <c r="BA1403" s="4">
        <v>0</v>
      </c>
      <c r="BB1403" s="4">
        <v>9</v>
      </c>
      <c r="BC1403" s="4">
        <v>0</v>
      </c>
      <c r="BD1403" s="4">
        <v>0</v>
      </c>
      <c r="BE1403" s="4">
        <v>1</v>
      </c>
      <c r="BF1403" s="4">
        <v>11</v>
      </c>
      <c r="BG1403" s="4">
        <v>0</v>
      </c>
      <c r="BH1403" s="4">
        <v>0</v>
      </c>
      <c r="BI1403" s="4">
        <v>0</v>
      </c>
      <c r="BJ1403" s="4">
        <v>2</v>
      </c>
      <c r="BK1403" s="4">
        <v>4</v>
      </c>
      <c r="BL1403" s="4">
        <v>0</v>
      </c>
      <c r="BM1403" s="4">
        <v>0</v>
      </c>
      <c r="BN1403" s="4">
        <v>1</v>
      </c>
      <c r="BO1403" s="4">
        <v>0</v>
      </c>
      <c r="BP1403" s="4">
        <v>0</v>
      </c>
      <c r="BQ1403" s="4">
        <v>2</v>
      </c>
      <c r="BR1403" s="4">
        <v>0</v>
      </c>
      <c r="BS1403" s="4">
        <v>2</v>
      </c>
      <c r="BT1403" s="4">
        <v>1</v>
      </c>
      <c r="BU1403" s="4">
        <v>0</v>
      </c>
      <c r="BV1403" s="4">
        <v>3</v>
      </c>
      <c r="BW1403" s="4">
        <v>0</v>
      </c>
      <c r="BX1403" s="4">
        <v>7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3</v>
      </c>
      <c r="CO1403" s="4">
        <v>0</v>
      </c>
      <c r="CP1403" s="4">
        <v>0</v>
      </c>
      <c r="CQ1403" s="4">
        <v>0</v>
      </c>
      <c r="CR1403" s="4">
        <v>2</v>
      </c>
      <c r="CS1403" s="4">
        <v>0</v>
      </c>
      <c r="CT1403" s="4">
        <v>0</v>
      </c>
      <c r="CU1403" s="4">
        <v>0</v>
      </c>
      <c r="CV1403" s="4">
        <v>1</v>
      </c>
      <c r="CW1403" s="4">
        <v>0</v>
      </c>
      <c r="CX1403" s="5">
        <v>0</v>
      </c>
    </row>
    <row r="1404" spans="1:102" ht="15.75" x14ac:dyDescent="0.25">
      <c r="A1404" s="4" t="s">
        <v>543</v>
      </c>
      <c r="B1404" s="4" t="s">
        <v>544</v>
      </c>
      <c r="C1404" s="4">
        <v>2023</v>
      </c>
      <c r="D1404" s="4">
        <v>66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7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2</v>
      </c>
      <c r="AJ1404" s="4">
        <v>2</v>
      </c>
      <c r="AK1404" s="4">
        <v>2</v>
      </c>
      <c r="AL1404" s="4">
        <v>0</v>
      </c>
      <c r="AM1404" s="4">
        <v>0</v>
      </c>
      <c r="AN1404" s="4">
        <v>1</v>
      </c>
      <c r="AO1404" s="4">
        <v>2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1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1</v>
      </c>
      <c r="BC1404" s="4">
        <v>12</v>
      </c>
      <c r="BD1404" s="4">
        <v>0</v>
      </c>
      <c r="BE1404" s="4">
        <v>0</v>
      </c>
      <c r="BF1404" s="4">
        <v>8</v>
      </c>
      <c r="BG1404" s="4">
        <v>0</v>
      </c>
      <c r="BH1404" s="4">
        <v>1</v>
      </c>
      <c r="BI1404" s="4">
        <v>0</v>
      </c>
      <c r="BJ1404" s="4">
        <v>2</v>
      </c>
      <c r="BK1404" s="4">
        <v>2</v>
      </c>
      <c r="BL1404" s="4">
        <v>0</v>
      </c>
      <c r="BM1404" s="4">
        <v>0</v>
      </c>
      <c r="BN1404" s="4">
        <v>1</v>
      </c>
      <c r="BO1404" s="4">
        <v>0</v>
      </c>
      <c r="BP1404" s="4">
        <v>0</v>
      </c>
      <c r="BQ1404" s="4">
        <v>1</v>
      </c>
      <c r="BR1404" s="4">
        <v>0</v>
      </c>
      <c r="BS1404" s="4">
        <v>1</v>
      </c>
      <c r="BT1404" s="4">
        <v>2</v>
      </c>
      <c r="BU1404" s="4">
        <v>0</v>
      </c>
      <c r="BV1404" s="4">
        <v>1</v>
      </c>
      <c r="BW1404" s="4">
        <v>0</v>
      </c>
      <c r="BX1404" s="4">
        <v>0</v>
      </c>
      <c r="BY1404" s="4">
        <v>0</v>
      </c>
      <c r="BZ1404" s="4">
        <v>0</v>
      </c>
      <c r="CA1404" s="4">
        <v>3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2</v>
      </c>
      <c r="CK1404" s="4">
        <v>0</v>
      </c>
      <c r="CL1404" s="4">
        <v>0</v>
      </c>
      <c r="CM1404" s="4">
        <v>0</v>
      </c>
      <c r="CN1404" s="4">
        <v>4</v>
      </c>
      <c r="CO1404" s="4">
        <v>0</v>
      </c>
      <c r="CP1404" s="4">
        <v>0</v>
      </c>
      <c r="CQ1404" s="4">
        <v>0</v>
      </c>
      <c r="CR1404" s="4">
        <v>0</v>
      </c>
      <c r="CS1404" s="4">
        <v>1</v>
      </c>
      <c r="CT1404" s="4">
        <v>0</v>
      </c>
      <c r="CU1404" s="4">
        <v>0</v>
      </c>
      <c r="CV1404" s="4">
        <v>1</v>
      </c>
      <c r="CW1404" s="4">
        <v>2</v>
      </c>
      <c r="CX1404" s="5">
        <v>2</v>
      </c>
    </row>
    <row r="1405" spans="1:102" ht="15.75" x14ac:dyDescent="0.25">
      <c r="A1405" s="4" t="s">
        <v>545</v>
      </c>
      <c r="B1405" s="4" t="s">
        <v>546</v>
      </c>
      <c r="C1405" s="4">
        <v>2023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5">
        <v>0</v>
      </c>
    </row>
    <row r="1406" spans="1:102" ht="15.75" x14ac:dyDescent="0.25">
      <c r="A1406" s="4" t="s">
        <v>547</v>
      </c>
      <c r="B1406" s="4" t="s">
        <v>548</v>
      </c>
      <c r="C1406" s="4">
        <v>2023</v>
      </c>
      <c r="D1406" s="4">
        <v>24</v>
      </c>
      <c r="E1406" s="4">
        <v>0</v>
      </c>
      <c r="F1406" s="4">
        <v>3</v>
      </c>
      <c r="G1406" s="4">
        <v>1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1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1</v>
      </c>
      <c r="AV1406" s="4">
        <v>0</v>
      </c>
      <c r="AW1406" s="4">
        <v>0</v>
      </c>
      <c r="AX1406" s="4">
        <v>1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1</v>
      </c>
      <c r="BG1406" s="4">
        <v>0</v>
      </c>
      <c r="BH1406" s="4">
        <v>0</v>
      </c>
      <c r="BI1406" s="4">
        <v>0</v>
      </c>
      <c r="BJ1406" s="4">
        <v>0</v>
      </c>
      <c r="BK1406" s="4">
        <v>1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3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1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1</v>
      </c>
      <c r="CS1406" s="4">
        <v>0</v>
      </c>
      <c r="CT1406" s="4">
        <v>0</v>
      </c>
      <c r="CU1406" s="4">
        <v>0</v>
      </c>
      <c r="CV1406" s="4">
        <v>1</v>
      </c>
      <c r="CW1406" s="4">
        <v>0</v>
      </c>
      <c r="CX1406" s="5">
        <v>0</v>
      </c>
    </row>
    <row r="1407" spans="1:102" ht="15.75" x14ac:dyDescent="0.25">
      <c r="A1407" s="4" t="s">
        <v>549</v>
      </c>
      <c r="B1407" s="4" t="s">
        <v>550</v>
      </c>
      <c r="C1407" s="4">
        <v>2023</v>
      </c>
      <c r="D1407" s="4">
        <v>19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1</v>
      </c>
      <c r="N1407" s="4">
        <v>0</v>
      </c>
      <c r="O1407" s="4">
        <v>10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1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1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1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0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5">
        <v>0</v>
      </c>
    </row>
    <row r="1408" spans="1:102" ht="15.75" x14ac:dyDescent="0.25">
      <c r="A1408" s="4" t="s">
        <v>551</v>
      </c>
      <c r="B1408" s="4" t="s">
        <v>552</v>
      </c>
      <c r="C1408" s="4">
        <v>2023</v>
      </c>
      <c r="D1408" s="4">
        <v>14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1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1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10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5">
        <v>0</v>
      </c>
    </row>
    <row r="1409" spans="1:102" ht="15.75" x14ac:dyDescent="0.25">
      <c r="A1409" s="4" t="s">
        <v>553</v>
      </c>
      <c r="B1409" s="4" t="s">
        <v>554</v>
      </c>
      <c r="C1409" s="4">
        <v>2023</v>
      </c>
      <c r="D1409" s="4">
        <v>3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2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1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5">
        <v>0</v>
      </c>
    </row>
    <row r="1410" spans="1:102" ht="15.75" x14ac:dyDescent="0.25">
      <c r="A1410" s="4" t="s">
        <v>555</v>
      </c>
      <c r="B1410" s="4" t="s">
        <v>556</v>
      </c>
      <c r="C1410" s="4">
        <v>2023</v>
      </c>
      <c r="D1410" s="4">
        <v>790</v>
      </c>
      <c r="E1410" s="4">
        <v>5</v>
      </c>
      <c r="F1410" s="4">
        <v>1</v>
      </c>
      <c r="G1410" s="4">
        <v>1</v>
      </c>
      <c r="H1410" s="4">
        <v>18</v>
      </c>
      <c r="I1410" s="4">
        <v>1</v>
      </c>
      <c r="J1410" s="4">
        <v>1</v>
      </c>
      <c r="K1410" s="4">
        <v>0</v>
      </c>
      <c r="L1410" s="4">
        <v>4</v>
      </c>
      <c r="M1410" s="4">
        <v>16</v>
      </c>
      <c r="N1410" s="4">
        <v>17</v>
      </c>
      <c r="O1410" s="4">
        <v>64</v>
      </c>
      <c r="P1410" s="4">
        <v>0</v>
      </c>
      <c r="Q1410" s="4">
        <v>0</v>
      </c>
      <c r="R1410" s="4">
        <v>0</v>
      </c>
      <c r="S1410" s="4">
        <v>1</v>
      </c>
      <c r="T1410" s="4">
        <v>63</v>
      </c>
      <c r="U1410" s="4">
        <v>1</v>
      </c>
      <c r="V1410" s="4">
        <v>2</v>
      </c>
      <c r="W1410" s="4">
        <v>18</v>
      </c>
      <c r="X1410" s="4">
        <v>1</v>
      </c>
      <c r="Y1410" s="4">
        <v>0</v>
      </c>
      <c r="Z1410" s="4">
        <v>0</v>
      </c>
      <c r="AA1410" s="4">
        <v>2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5</v>
      </c>
      <c r="AH1410" s="4">
        <v>1</v>
      </c>
      <c r="AI1410" s="4">
        <v>13</v>
      </c>
      <c r="AJ1410" s="4">
        <v>88</v>
      </c>
      <c r="AK1410" s="4">
        <v>13</v>
      </c>
      <c r="AL1410" s="4">
        <v>2</v>
      </c>
      <c r="AM1410" s="4">
        <v>17</v>
      </c>
      <c r="AN1410" s="4">
        <v>34</v>
      </c>
      <c r="AO1410" s="4">
        <v>18</v>
      </c>
      <c r="AP1410" s="4">
        <v>7</v>
      </c>
      <c r="AQ1410" s="4">
        <v>1</v>
      </c>
      <c r="AR1410" s="4">
        <v>0</v>
      </c>
      <c r="AS1410" s="4">
        <v>6</v>
      </c>
      <c r="AT1410" s="4">
        <v>18</v>
      </c>
      <c r="AU1410" s="4">
        <v>9</v>
      </c>
      <c r="AV1410" s="4">
        <v>5</v>
      </c>
      <c r="AW1410" s="4">
        <v>3</v>
      </c>
      <c r="AX1410" s="4">
        <v>11</v>
      </c>
      <c r="AY1410" s="4">
        <v>0</v>
      </c>
      <c r="AZ1410" s="4">
        <v>10</v>
      </c>
      <c r="BA1410" s="4">
        <v>0</v>
      </c>
      <c r="BB1410" s="4">
        <v>21</v>
      </c>
      <c r="BC1410" s="4">
        <v>3</v>
      </c>
      <c r="BD1410" s="4">
        <v>0</v>
      </c>
      <c r="BE1410" s="4">
        <v>4</v>
      </c>
      <c r="BF1410" s="4">
        <v>8</v>
      </c>
      <c r="BG1410" s="4">
        <v>5</v>
      </c>
      <c r="BH1410" s="4">
        <v>10</v>
      </c>
      <c r="BI1410" s="4">
        <v>0</v>
      </c>
      <c r="BJ1410" s="4">
        <v>10</v>
      </c>
      <c r="BK1410" s="4">
        <v>15</v>
      </c>
      <c r="BL1410" s="4">
        <v>0</v>
      </c>
      <c r="BM1410" s="4">
        <v>1</v>
      </c>
      <c r="BN1410" s="4">
        <v>4</v>
      </c>
      <c r="BO1410" s="4">
        <v>0</v>
      </c>
      <c r="BP1410" s="4">
        <v>5</v>
      </c>
      <c r="BQ1410" s="4">
        <v>13</v>
      </c>
      <c r="BR1410" s="4">
        <v>0</v>
      </c>
      <c r="BS1410" s="4">
        <v>18</v>
      </c>
      <c r="BT1410" s="4">
        <v>12</v>
      </c>
      <c r="BU1410" s="4">
        <v>0</v>
      </c>
      <c r="BV1410" s="4">
        <v>2</v>
      </c>
      <c r="BW1410" s="4">
        <v>1</v>
      </c>
      <c r="BX1410" s="4">
        <v>25</v>
      </c>
      <c r="BY1410" s="4">
        <v>0</v>
      </c>
      <c r="BZ1410" s="4">
        <v>0</v>
      </c>
      <c r="CA1410" s="4">
        <v>13</v>
      </c>
      <c r="CB1410" s="4">
        <v>8</v>
      </c>
      <c r="CC1410" s="4">
        <v>0</v>
      </c>
      <c r="CD1410" s="4">
        <v>1</v>
      </c>
      <c r="CE1410" s="4">
        <v>0</v>
      </c>
      <c r="CF1410" s="4">
        <v>1</v>
      </c>
      <c r="CG1410" s="4">
        <v>0</v>
      </c>
      <c r="CH1410" s="4">
        <v>0</v>
      </c>
      <c r="CI1410" s="4">
        <v>2</v>
      </c>
      <c r="CJ1410" s="4">
        <v>59</v>
      </c>
      <c r="CK1410" s="4">
        <v>1</v>
      </c>
      <c r="CL1410" s="4">
        <v>0</v>
      </c>
      <c r="CM1410" s="4">
        <v>8</v>
      </c>
      <c r="CN1410" s="4">
        <v>31</v>
      </c>
      <c r="CO1410" s="4">
        <v>0</v>
      </c>
      <c r="CP1410" s="4">
        <v>1</v>
      </c>
      <c r="CQ1410" s="4">
        <v>0</v>
      </c>
      <c r="CR1410" s="4">
        <v>0</v>
      </c>
      <c r="CS1410" s="4">
        <v>0</v>
      </c>
      <c r="CT1410" s="4">
        <v>4</v>
      </c>
      <c r="CU1410" s="4">
        <v>6</v>
      </c>
      <c r="CV1410" s="4">
        <v>12</v>
      </c>
      <c r="CW1410" s="4">
        <v>2</v>
      </c>
      <c r="CX1410" s="5">
        <v>2</v>
      </c>
    </row>
    <row r="1411" spans="1:102" ht="15.75" x14ac:dyDescent="0.25">
      <c r="A1411" s="4" t="s">
        <v>557</v>
      </c>
      <c r="B1411" s="4" t="s">
        <v>558</v>
      </c>
      <c r="C1411" s="4">
        <v>2023</v>
      </c>
      <c r="D1411" s="4">
        <v>1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1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5">
        <v>0</v>
      </c>
    </row>
    <row r="1412" spans="1:102" ht="15.75" x14ac:dyDescent="0.25">
      <c r="A1412" s="4" t="s">
        <v>559</v>
      </c>
      <c r="B1412" s="4" t="s">
        <v>560</v>
      </c>
      <c r="C1412" s="4">
        <v>2023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5">
        <v>0</v>
      </c>
    </row>
    <row r="1413" spans="1:102" ht="15.75" x14ac:dyDescent="0.25">
      <c r="A1413" s="4" t="s">
        <v>561</v>
      </c>
      <c r="B1413" s="4" t="s">
        <v>562</v>
      </c>
      <c r="C1413" s="4">
        <v>2023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5">
        <v>0</v>
      </c>
    </row>
    <row r="1414" spans="1:102" ht="15.75" x14ac:dyDescent="0.25">
      <c r="A1414" s="4" t="s">
        <v>563</v>
      </c>
      <c r="B1414" s="4" t="s">
        <v>564</v>
      </c>
      <c r="C1414" s="4">
        <v>2023</v>
      </c>
      <c r="D1414" s="4">
        <v>12</v>
      </c>
      <c r="E1414" s="4">
        <v>0</v>
      </c>
      <c r="F1414" s="4">
        <v>3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1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1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1</v>
      </c>
      <c r="BG1414" s="4">
        <v>0</v>
      </c>
      <c r="BH1414" s="4">
        <v>0</v>
      </c>
      <c r="BI1414" s="4">
        <v>0</v>
      </c>
      <c r="BJ1414" s="4">
        <v>1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1</v>
      </c>
      <c r="CW1414" s="4">
        <v>0</v>
      </c>
      <c r="CX1414" s="5">
        <v>0</v>
      </c>
    </row>
    <row r="1415" spans="1:102" ht="15.75" x14ac:dyDescent="0.25">
      <c r="A1415" s="4" t="s">
        <v>565</v>
      </c>
      <c r="B1415" s="4" t="s">
        <v>566</v>
      </c>
      <c r="C1415" s="4">
        <v>2023</v>
      </c>
      <c r="D1415" s="4">
        <v>32</v>
      </c>
      <c r="E1415" s="4">
        <v>0</v>
      </c>
      <c r="F1415" s="4">
        <v>0</v>
      </c>
      <c r="G1415" s="4">
        <v>4</v>
      </c>
      <c r="H1415" s="4">
        <v>0</v>
      </c>
      <c r="I1415" s="4">
        <v>1</v>
      </c>
      <c r="J1415" s="4">
        <v>0</v>
      </c>
      <c r="K1415" s="4">
        <v>1</v>
      </c>
      <c r="L1415" s="4">
        <v>0</v>
      </c>
      <c r="M1415" s="4">
        <v>0</v>
      </c>
      <c r="N1415" s="4">
        <v>2</v>
      </c>
      <c r="O1415" s="4">
        <v>4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1</v>
      </c>
      <c r="AK1415" s="4">
        <v>0</v>
      </c>
      <c r="AL1415" s="4">
        <v>0</v>
      </c>
      <c r="AM1415" s="4">
        <v>0</v>
      </c>
      <c r="AN1415" s="4">
        <v>0</v>
      </c>
      <c r="AO1415" s="4">
        <v>1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1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1</v>
      </c>
      <c r="BK1415" s="4">
        <v>2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9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1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0</v>
      </c>
      <c r="CU1415" s="4">
        <v>0</v>
      </c>
      <c r="CV1415" s="4">
        <v>1</v>
      </c>
      <c r="CW1415" s="4">
        <v>0</v>
      </c>
      <c r="CX1415" s="5">
        <v>0</v>
      </c>
    </row>
    <row r="1416" spans="1:102" ht="15.75" x14ac:dyDescent="0.25">
      <c r="A1416" s="4" t="s">
        <v>567</v>
      </c>
      <c r="B1416" s="4" t="s">
        <v>568</v>
      </c>
      <c r="C1416" s="4">
        <v>2023</v>
      </c>
      <c r="D1416" s="4">
        <v>1924</v>
      </c>
      <c r="E1416" s="4">
        <v>10</v>
      </c>
      <c r="F1416" s="4">
        <v>12</v>
      </c>
      <c r="G1416" s="4">
        <v>11</v>
      </c>
      <c r="H1416" s="4">
        <v>0</v>
      </c>
      <c r="I1416" s="4">
        <v>21</v>
      </c>
      <c r="J1416" s="4">
        <v>5</v>
      </c>
      <c r="K1416" s="4">
        <v>7</v>
      </c>
      <c r="L1416" s="4">
        <v>23</v>
      </c>
      <c r="M1416" s="4">
        <v>15</v>
      </c>
      <c r="N1416" s="4">
        <v>15</v>
      </c>
      <c r="O1416" s="4">
        <v>127</v>
      </c>
      <c r="P1416" s="4">
        <v>0</v>
      </c>
      <c r="Q1416" s="4">
        <v>0</v>
      </c>
      <c r="R1416" s="4">
        <v>4</v>
      </c>
      <c r="S1416" s="4">
        <v>1</v>
      </c>
      <c r="T1416" s="4">
        <v>0</v>
      </c>
      <c r="U1416" s="4">
        <v>1</v>
      </c>
      <c r="V1416" s="4">
        <v>3</v>
      </c>
      <c r="W1416" s="4">
        <v>1</v>
      </c>
      <c r="X1416" s="4">
        <v>1</v>
      </c>
      <c r="Y1416" s="4">
        <v>0</v>
      </c>
      <c r="Z1416" s="4">
        <v>0</v>
      </c>
      <c r="AA1416" s="4">
        <v>73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15</v>
      </c>
      <c r="AH1416" s="4">
        <v>6</v>
      </c>
      <c r="AI1416" s="4">
        <v>20</v>
      </c>
      <c r="AJ1416" s="4">
        <v>92</v>
      </c>
      <c r="AK1416" s="4">
        <v>34</v>
      </c>
      <c r="AL1416" s="4">
        <v>2</v>
      </c>
      <c r="AM1416" s="4">
        <v>12</v>
      </c>
      <c r="AN1416" s="4">
        <v>33</v>
      </c>
      <c r="AO1416" s="4">
        <v>59</v>
      </c>
      <c r="AP1416" s="4">
        <v>0</v>
      </c>
      <c r="AQ1416" s="4">
        <v>10</v>
      </c>
      <c r="AR1416" s="4">
        <v>1</v>
      </c>
      <c r="AS1416" s="4">
        <v>15</v>
      </c>
      <c r="AT1416" s="4">
        <v>12</v>
      </c>
      <c r="AU1416" s="4">
        <v>26</v>
      </c>
      <c r="AV1416" s="4">
        <v>13</v>
      </c>
      <c r="AW1416" s="4">
        <v>7</v>
      </c>
      <c r="AX1416" s="4">
        <v>26</v>
      </c>
      <c r="AY1416" s="4">
        <v>7</v>
      </c>
      <c r="AZ1416" s="4">
        <v>22</v>
      </c>
      <c r="BA1416" s="4">
        <v>0</v>
      </c>
      <c r="BB1416" s="4">
        <v>134</v>
      </c>
      <c r="BC1416" s="4">
        <v>22</v>
      </c>
      <c r="BD1416" s="4">
        <v>0</v>
      </c>
      <c r="BE1416" s="4">
        <v>23</v>
      </c>
      <c r="BF1416" s="4">
        <v>130</v>
      </c>
      <c r="BG1416" s="4">
        <v>6</v>
      </c>
      <c r="BH1416" s="4">
        <v>9</v>
      </c>
      <c r="BI1416" s="4">
        <v>1</v>
      </c>
      <c r="BJ1416" s="4">
        <v>63</v>
      </c>
      <c r="BK1416" s="4">
        <v>55</v>
      </c>
      <c r="BL1416" s="4">
        <v>0</v>
      </c>
      <c r="BM1416" s="4">
        <v>3</v>
      </c>
      <c r="BN1416" s="4">
        <v>31</v>
      </c>
      <c r="BO1416" s="4">
        <v>0</v>
      </c>
      <c r="BP1416" s="4">
        <v>5</v>
      </c>
      <c r="BQ1416" s="4">
        <v>61</v>
      </c>
      <c r="BR1416" s="4">
        <v>2</v>
      </c>
      <c r="BS1416" s="4">
        <v>67</v>
      </c>
      <c r="BT1416" s="4">
        <v>33</v>
      </c>
      <c r="BU1416" s="4">
        <v>0</v>
      </c>
      <c r="BV1416" s="4">
        <v>22</v>
      </c>
      <c r="BW1416" s="4">
        <v>94</v>
      </c>
      <c r="BX1416" s="4">
        <v>216</v>
      </c>
      <c r="BY1416" s="4">
        <v>1</v>
      </c>
      <c r="BZ1416" s="4">
        <v>0</v>
      </c>
      <c r="CA1416" s="4">
        <v>18</v>
      </c>
      <c r="CB1416" s="4">
        <v>2</v>
      </c>
      <c r="CC1416" s="4">
        <v>0</v>
      </c>
      <c r="CD1416" s="4">
        <v>3</v>
      </c>
      <c r="CE1416" s="4">
        <v>0</v>
      </c>
      <c r="CF1416" s="4">
        <v>2</v>
      </c>
      <c r="CG1416" s="4">
        <v>1</v>
      </c>
      <c r="CH1416" s="4">
        <v>2</v>
      </c>
      <c r="CI1416" s="4">
        <v>1</v>
      </c>
      <c r="CJ1416" s="4">
        <v>7</v>
      </c>
      <c r="CK1416" s="4">
        <v>1</v>
      </c>
      <c r="CL1416" s="4">
        <v>0</v>
      </c>
      <c r="CM1416" s="4">
        <v>5</v>
      </c>
      <c r="CN1416" s="4">
        <v>57</v>
      </c>
      <c r="CO1416" s="4">
        <v>6</v>
      </c>
      <c r="CP1416" s="4">
        <v>3</v>
      </c>
      <c r="CQ1416" s="4">
        <v>0</v>
      </c>
      <c r="CR1416" s="4">
        <v>3</v>
      </c>
      <c r="CS1416" s="4">
        <v>1</v>
      </c>
      <c r="CT1416" s="4">
        <v>17</v>
      </c>
      <c r="CU1416" s="4">
        <v>2</v>
      </c>
      <c r="CV1416" s="4">
        <v>66</v>
      </c>
      <c r="CW1416" s="4">
        <v>8</v>
      </c>
      <c r="CX1416" s="5">
        <v>8</v>
      </c>
    </row>
    <row r="1417" spans="1:102" ht="15.75" x14ac:dyDescent="0.25">
      <c r="A1417" s="4" t="s">
        <v>569</v>
      </c>
      <c r="B1417" s="4" t="s">
        <v>570</v>
      </c>
      <c r="C1417" s="4">
        <v>2023</v>
      </c>
      <c r="D1417" s="4">
        <v>67</v>
      </c>
      <c r="E1417" s="4">
        <v>3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1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1</v>
      </c>
      <c r="AK1417" s="4">
        <v>1</v>
      </c>
      <c r="AL1417" s="4">
        <v>0</v>
      </c>
      <c r="AM1417" s="4">
        <v>7</v>
      </c>
      <c r="AN1417" s="4">
        <v>0</v>
      </c>
      <c r="AO1417" s="4">
        <v>1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2</v>
      </c>
      <c r="AY1417" s="4">
        <v>0</v>
      </c>
      <c r="AZ1417" s="4">
        <v>0</v>
      </c>
      <c r="BA1417" s="4">
        <v>0</v>
      </c>
      <c r="BB1417" s="4">
        <v>2</v>
      </c>
      <c r="BC1417" s="4">
        <v>0</v>
      </c>
      <c r="BD1417" s="4">
        <v>0</v>
      </c>
      <c r="BE1417" s="4">
        <v>2</v>
      </c>
      <c r="BF1417" s="4">
        <v>3</v>
      </c>
      <c r="BG1417" s="4">
        <v>0</v>
      </c>
      <c r="BH1417" s="4">
        <v>0</v>
      </c>
      <c r="BI1417" s="4">
        <v>0</v>
      </c>
      <c r="BJ1417" s="4">
        <v>1</v>
      </c>
      <c r="BK1417" s="4">
        <v>1</v>
      </c>
      <c r="BL1417" s="4">
        <v>0</v>
      </c>
      <c r="BM1417" s="4">
        <v>0</v>
      </c>
      <c r="BN1417" s="4">
        <v>2</v>
      </c>
      <c r="BO1417" s="4">
        <v>0</v>
      </c>
      <c r="BP1417" s="4">
        <v>0</v>
      </c>
      <c r="BQ1417" s="4">
        <v>2</v>
      </c>
      <c r="BR1417" s="4">
        <v>0</v>
      </c>
      <c r="BS1417" s="4">
        <v>1</v>
      </c>
      <c r="BT1417" s="4">
        <v>0</v>
      </c>
      <c r="BU1417" s="4">
        <v>0</v>
      </c>
      <c r="BV1417" s="4">
        <v>3</v>
      </c>
      <c r="BW1417" s="4">
        <v>19</v>
      </c>
      <c r="BX1417" s="4">
        <v>1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1</v>
      </c>
      <c r="CK1417" s="4">
        <v>0</v>
      </c>
      <c r="CL1417" s="4">
        <v>0</v>
      </c>
      <c r="CM1417" s="4">
        <v>1</v>
      </c>
      <c r="CN1417" s="4">
        <v>4</v>
      </c>
      <c r="CO1417" s="4">
        <v>0</v>
      </c>
      <c r="CP1417" s="4">
        <v>0</v>
      </c>
      <c r="CQ1417" s="4">
        <v>0</v>
      </c>
      <c r="CR1417" s="4">
        <v>0</v>
      </c>
      <c r="CS1417" s="4">
        <v>0</v>
      </c>
      <c r="CT1417" s="4">
        <v>0</v>
      </c>
      <c r="CU1417" s="4">
        <v>0</v>
      </c>
      <c r="CV1417" s="4">
        <v>2</v>
      </c>
      <c r="CW1417" s="4">
        <v>1</v>
      </c>
      <c r="CX1417" s="5">
        <v>1</v>
      </c>
    </row>
    <row r="1418" spans="1:102" ht="15.75" x14ac:dyDescent="0.25">
      <c r="A1418" s="4" t="s">
        <v>571</v>
      </c>
      <c r="B1418" s="4" t="s">
        <v>572</v>
      </c>
      <c r="C1418" s="4">
        <v>2023</v>
      </c>
      <c r="D1418" s="4">
        <v>47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2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1</v>
      </c>
      <c r="AK1418" s="4">
        <v>0</v>
      </c>
      <c r="AL1418" s="4">
        <v>0</v>
      </c>
      <c r="AM1418" s="4">
        <v>0</v>
      </c>
      <c r="AN1418" s="4">
        <v>0</v>
      </c>
      <c r="AO1418" s="4">
        <v>1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1</v>
      </c>
      <c r="BF1418" s="4">
        <v>3</v>
      </c>
      <c r="BG1418" s="4">
        <v>0</v>
      </c>
      <c r="BH1418" s="4">
        <v>0</v>
      </c>
      <c r="BI1418" s="4">
        <v>0</v>
      </c>
      <c r="BJ1418" s="4">
        <v>1</v>
      </c>
      <c r="BK1418" s="4">
        <v>1</v>
      </c>
      <c r="BL1418" s="4">
        <v>0</v>
      </c>
      <c r="BM1418" s="4">
        <v>0</v>
      </c>
      <c r="BN1418" s="4">
        <v>1</v>
      </c>
      <c r="BO1418" s="4">
        <v>0</v>
      </c>
      <c r="BP1418" s="4">
        <v>1</v>
      </c>
      <c r="BQ1418" s="4">
        <v>2</v>
      </c>
      <c r="BR1418" s="4">
        <v>0</v>
      </c>
      <c r="BS1418" s="4">
        <v>0</v>
      </c>
      <c r="BT1418" s="4">
        <v>0</v>
      </c>
      <c r="BU1418" s="4">
        <v>0</v>
      </c>
      <c r="BV1418" s="4">
        <v>1</v>
      </c>
      <c r="BW1418" s="4">
        <v>14</v>
      </c>
      <c r="BX1418" s="4">
        <v>13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1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1</v>
      </c>
      <c r="CW1418" s="4">
        <v>0</v>
      </c>
      <c r="CX1418" s="5">
        <v>0</v>
      </c>
    </row>
    <row r="1419" spans="1:102" ht="15.75" x14ac:dyDescent="0.25">
      <c r="A1419" s="4" t="s">
        <v>573</v>
      </c>
      <c r="B1419" s="4" t="s">
        <v>574</v>
      </c>
      <c r="C1419" s="4">
        <v>2018</v>
      </c>
      <c r="D1419" s="4">
        <v>354004</v>
      </c>
      <c r="E1419" s="4">
        <v>556</v>
      </c>
      <c r="F1419" s="4">
        <v>1893</v>
      </c>
      <c r="G1419" s="4">
        <v>1839</v>
      </c>
      <c r="H1419" s="4">
        <v>1809</v>
      </c>
      <c r="I1419" s="4">
        <v>2183</v>
      </c>
      <c r="J1419" s="4">
        <v>1300</v>
      </c>
      <c r="K1419" s="4">
        <v>522</v>
      </c>
      <c r="L1419" s="4">
        <v>1645</v>
      </c>
      <c r="M1419" s="4">
        <v>1166</v>
      </c>
      <c r="N1419" s="4">
        <v>2042</v>
      </c>
      <c r="O1419" s="4">
        <v>10819</v>
      </c>
      <c r="P1419" s="4">
        <v>138</v>
      </c>
      <c r="Q1419" s="4">
        <v>81</v>
      </c>
      <c r="R1419" s="4">
        <v>236</v>
      </c>
      <c r="S1419" s="4">
        <v>150</v>
      </c>
      <c r="T1419" s="4">
        <v>588</v>
      </c>
      <c r="U1419" s="4">
        <v>698</v>
      </c>
      <c r="V1419" s="4">
        <v>527</v>
      </c>
      <c r="W1419" s="4">
        <v>4599</v>
      </c>
      <c r="X1419" s="4">
        <v>355</v>
      </c>
      <c r="Y1419" s="4">
        <v>136</v>
      </c>
      <c r="Z1419" s="4">
        <v>23904</v>
      </c>
      <c r="AA1419" s="4">
        <v>13933</v>
      </c>
      <c r="AB1419" s="4">
        <v>3094</v>
      </c>
      <c r="AC1419" s="4">
        <v>127</v>
      </c>
      <c r="AD1419" s="4">
        <v>144</v>
      </c>
      <c r="AE1419" s="4">
        <v>323</v>
      </c>
      <c r="AF1419" s="4">
        <v>88</v>
      </c>
      <c r="AG1419" s="4">
        <v>8988</v>
      </c>
      <c r="AH1419" s="4">
        <v>1574</v>
      </c>
      <c r="AI1419" s="4">
        <v>2467</v>
      </c>
      <c r="AJ1419" s="4">
        <v>24079</v>
      </c>
      <c r="AK1419" s="4">
        <v>5310</v>
      </c>
      <c r="AL1419" s="4">
        <v>237</v>
      </c>
      <c r="AM1419" s="4">
        <v>3809</v>
      </c>
      <c r="AN1419" s="4">
        <v>3107</v>
      </c>
      <c r="AO1419" s="4">
        <v>5888</v>
      </c>
      <c r="AP1419" s="4">
        <v>274</v>
      </c>
      <c r="AQ1419" s="4">
        <v>1857</v>
      </c>
      <c r="AR1419" s="4">
        <v>339</v>
      </c>
      <c r="AS1419" s="4">
        <v>2472</v>
      </c>
      <c r="AT1419" s="4">
        <v>3000</v>
      </c>
      <c r="AU1419" s="4">
        <v>4193</v>
      </c>
      <c r="AV1419" s="4">
        <v>4784</v>
      </c>
      <c r="AW1419" s="4">
        <v>9006</v>
      </c>
      <c r="AX1419" s="4">
        <v>6207</v>
      </c>
      <c r="AY1419" s="4">
        <v>217</v>
      </c>
      <c r="AZ1419" s="4">
        <v>1554</v>
      </c>
      <c r="BA1419" s="4">
        <v>0</v>
      </c>
      <c r="BB1419" s="4">
        <v>24054</v>
      </c>
      <c r="BC1419" s="4">
        <v>2303</v>
      </c>
      <c r="BD1419" s="4">
        <v>213</v>
      </c>
      <c r="BE1419" s="4">
        <v>2169</v>
      </c>
      <c r="BF1419" s="4">
        <v>6658</v>
      </c>
      <c r="BG1419" s="4">
        <v>441</v>
      </c>
      <c r="BH1419" s="4">
        <v>658</v>
      </c>
      <c r="BI1419" s="4">
        <v>77</v>
      </c>
      <c r="BJ1419" s="4">
        <v>6808</v>
      </c>
      <c r="BK1419" s="4">
        <v>8011</v>
      </c>
      <c r="BL1419" s="4">
        <v>11</v>
      </c>
      <c r="BM1419" s="4">
        <v>1187</v>
      </c>
      <c r="BN1419" s="4">
        <v>4596</v>
      </c>
      <c r="BO1419" s="4">
        <v>213</v>
      </c>
      <c r="BP1419" s="4">
        <v>785</v>
      </c>
      <c r="BQ1419" s="4">
        <v>5931</v>
      </c>
      <c r="BR1419" s="4">
        <v>822</v>
      </c>
      <c r="BS1419" s="4">
        <v>9103</v>
      </c>
      <c r="BT1419" s="4">
        <v>4759</v>
      </c>
      <c r="BU1419" s="4">
        <v>447</v>
      </c>
      <c r="BV1419" s="4">
        <v>5909</v>
      </c>
      <c r="BW1419" s="4">
        <v>2442</v>
      </c>
      <c r="BX1419" s="4">
        <v>33112</v>
      </c>
      <c r="BY1419" s="4">
        <v>241</v>
      </c>
      <c r="BZ1419" s="4">
        <v>7</v>
      </c>
      <c r="CA1419" s="4">
        <v>15259</v>
      </c>
      <c r="CB1419" s="4">
        <v>3129</v>
      </c>
      <c r="CC1419" s="4">
        <v>37</v>
      </c>
      <c r="CD1419" s="4">
        <v>725</v>
      </c>
      <c r="CE1419" s="4">
        <v>219</v>
      </c>
      <c r="CF1419" s="4">
        <v>787</v>
      </c>
      <c r="CG1419" s="4">
        <v>1110</v>
      </c>
      <c r="CH1419" s="4">
        <v>508</v>
      </c>
      <c r="CI1419" s="4">
        <v>776</v>
      </c>
      <c r="CJ1419" s="4">
        <v>6867</v>
      </c>
      <c r="CK1419" s="4">
        <v>1785</v>
      </c>
      <c r="CL1419" s="4">
        <v>8</v>
      </c>
      <c r="CM1419" s="4">
        <v>1579</v>
      </c>
      <c r="CN1419" s="4">
        <v>9164</v>
      </c>
      <c r="CO1419" s="4">
        <v>1724</v>
      </c>
      <c r="CP1419" s="4">
        <v>716</v>
      </c>
      <c r="CQ1419" s="4">
        <v>19</v>
      </c>
      <c r="CR1419" s="4">
        <v>5577</v>
      </c>
      <c r="CS1419" s="4">
        <v>3584</v>
      </c>
      <c r="CT1419" s="4">
        <v>2887</v>
      </c>
      <c r="CU1419" s="4">
        <v>511</v>
      </c>
      <c r="CV1419" s="4">
        <v>8844</v>
      </c>
      <c r="CW1419" s="4">
        <v>2975</v>
      </c>
      <c r="CX1419" s="5">
        <v>2975</v>
      </c>
    </row>
    <row r="1420" spans="1:102" ht="15.75" x14ac:dyDescent="0.25">
      <c r="A1420" s="4" t="s">
        <v>573</v>
      </c>
      <c r="B1420" s="4" t="s">
        <v>574</v>
      </c>
      <c r="C1420" s="4">
        <v>2019</v>
      </c>
      <c r="D1420" s="4">
        <v>368203</v>
      </c>
      <c r="E1420" s="4">
        <v>582</v>
      </c>
      <c r="F1420" s="4">
        <v>2105</v>
      </c>
      <c r="G1420" s="4">
        <v>1950</v>
      </c>
      <c r="H1420" s="4">
        <v>2055</v>
      </c>
      <c r="I1420" s="4">
        <v>2479</v>
      </c>
      <c r="J1420" s="4">
        <v>1332</v>
      </c>
      <c r="K1420" s="4">
        <v>489</v>
      </c>
      <c r="L1420" s="4">
        <v>1615</v>
      </c>
      <c r="M1420" s="4">
        <v>1108</v>
      </c>
      <c r="N1420" s="4">
        <v>2129</v>
      </c>
      <c r="O1420" s="4">
        <v>11357</v>
      </c>
      <c r="P1420" s="4">
        <v>94</v>
      </c>
      <c r="Q1420" s="4">
        <v>62</v>
      </c>
      <c r="R1420" s="4">
        <v>209</v>
      </c>
      <c r="S1420" s="4">
        <v>135</v>
      </c>
      <c r="T1420" s="4">
        <v>458</v>
      </c>
      <c r="U1420" s="4">
        <v>704</v>
      </c>
      <c r="V1420" s="4">
        <v>506</v>
      </c>
      <c r="W1420" s="4">
        <v>4397</v>
      </c>
      <c r="X1420" s="4">
        <v>395</v>
      </c>
      <c r="Y1420" s="4">
        <v>141</v>
      </c>
      <c r="Z1420" s="4">
        <v>22748</v>
      </c>
      <c r="AA1420" s="4">
        <v>13308</v>
      </c>
      <c r="AB1420" s="4">
        <v>2363</v>
      </c>
      <c r="AC1420" s="4">
        <v>141</v>
      </c>
      <c r="AD1420" s="4">
        <v>133</v>
      </c>
      <c r="AE1420" s="4">
        <v>283</v>
      </c>
      <c r="AF1420" s="4">
        <v>118</v>
      </c>
      <c r="AG1420" s="4">
        <v>9014</v>
      </c>
      <c r="AH1420" s="4">
        <v>1568</v>
      </c>
      <c r="AI1420" s="4">
        <v>2524</v>
      </c>
      <c r="AJ1420" s="4">
        <v>23122</v>
      </c>
      <c r="AK1420" s="4">
        <v>5294</v>
      </c>
      <c r="AL1420" s="4">
        <v>244</v>
      </c>
      <c r="AM1420" s="4">
        <v>3594</v>
      </c>
      <c r="AN1420" s="4">
        <v>3050</v>
      </c>
      <c r="AO1420" s="4">
        <v>6227</v>
      </c>
      <c r="AP1420" s="4">
        <v>249</v>
      </c>
      <c r="AQ1420" s="4">
        <v>1767</v>
      </c>
      <c r="AR1420" s="4">
        <v>372</v>
      </c>
      <c r="AS1420" s="4">
        <v>2396</v>
      </c>
      <c r="AT1420" s="4">
        <v>2900</v>
      </c>
      <c r="AU1420" s="4">
        <v>3689</v>
      </c>
      <c r="AV1420" s="4">
        <v>4489</v>
      </c>
      <c r="AW1420" s="4">
        <v>9294</v>
      </c>
      <c r="AX1420" s="4">
        <v>6584</v>
      </c>
      <c r="AY1420" s="4">
        <v>219</v>
      </c>
      <c r="AZ1420" s="4">
        <v>1426</v>
      </c>
      <c r="BA1420" s="4">
        <v>0</v>
      </c>
      <c r="BB1420" s="4">
        <v>25873</v>
      </c>
      <c r="BC1420" s="4">
        <v>2419</v>
      </c>
      <c r="BD1420" s="4">
        <v>190</v>
      </c>
      <c r="BE1420" s="4">
        <v>2121</v>
      </c>
      <c r="BF1420" s="4">
        <v>6613</v>
      </c>
      <c r="BG1420" s="4">
        <v>411</v>
      </c>
      <c r="BH1420" s="4">
        <v>688</v>
      </c>
      <c r="BI1420" s="4">
        <v>64</v>
      </c>
      <c r="BJ1420" s="4">
        <v>7294</v>
      </c>
      <c r="BK1420" s="4">
        <v>8434</v>
      </c>
      <c r="BL1420" s="4">
        <v>12</v>
      </c>
      <c r="BM1420" s="4">
        <v>1008</v>
      </c>
      <c r="BN1420" s="4">
        <v>4910</v>
      </c>
      <c r="BO1420" s="4">
        <v>213</v>
      </c>
      <c r="BP1420" s="4">
        <v>837</v>
      </c>
      <c r="BQ1420" s="4">
        <v>6239</v>
      </c>
      <c r="BR1420" s="4">
        <v>866</v>
      </c>
      <c r="BS1420" s="4">
        <v>9272</v>
      </c>
      <c r="BT1420" s="4">
        <v>5059</v>
      </c>
      <c r="BU1420" s="4">
        <v>517</v>
      </c>
      <c r="BV1420" s="4">
        <v>5550</v>
      </c>
      <c r="BW1420" s="4">
        <v>2285</v>
      </c>
      <c r="BX1420" s="4">
        <v>33033</v>
      </c>
      <c r="BY1420" s="4">
        <v>163</v>
      </c>
      <c r="BZ1420" s="4">
        <v>12</v>
      </c>
      <c r="CA1420" s="4">
        <v>14576</v>
      </c>
      <c r="CB1420" s="4">
        <v>2523</v>
      </c>
      <c r="CC1420" s="4">
        <v>38</v>
      </c>
      <c r="CD1420" s="4">
        <v>757</v>
      </c>
      <c r="CE1420" s="4">
        <v>193</v>
      </c>
      <c r="CF1420" s="4">
        <v>810</v>
      </c>
      <c r="CG1420" s="4">
        <v>1368</v>
      </c>
      <c r="CH1420" s="4">
        <v>562</v>
      </c>
      <c r="CI1420" s="4">
        <v>827</v>
      </c>
      <c r="CJ1420" s="4">
        <v>6910</v>
      </c>
      <c r="CK1420" s="4">
        <v>1923</v>
      </c>
      <c r="CL1420" s="4">
        <v>17</v>
      </c>
      <c r="CM1420" s="4">
        <v>1872</v>
      </c>
      <c r="CN1420" s="4">
        <v>9764</v>
      </c>
      <c r="CO1420" s="4">
        <v>1805</v>
      </c>
      <c r="CP1420" s="4">
        <v>700</v>
      </c>
      <c r="CQ1420" s="4">
        <v>23</v>
      </c>
      <c r="CR1420" s="4">
        <v>5269</v>
      </c>
      <c r="CS1420" s="4">
        <v>4806</v>
      </c>
      <c r="CT1420" s="4">
        <v>2806</v>
      </c>
      <c r="CU1420" s="4">
        <v>493</v>
      </c>
      <c r="CV1420" s="4">
        <v>8762</v>
      </c>
      <c r="CW1420" s="4">
        <v>15898</v>
      </c>
      <c r="CX1420" s="5">
        <v>15898</v>
      </c>
    </row>
    <row r="1421" spans="1:102" ht="15.75" x14ac:dyDescent="0.25">
      <c r="A1421" s="4" t="s">
        <v>573</v>
      </c>
      <c r="B1421" s="4" t="s">
        <v>574</v>
      </c>
      <c r="C1421" s="4">
        <v>2020</v>
      </c>
      <c r="D1421" s="4">
        <v>313750</v>
      </c>
      <c r="E1421" s="4">
        <v>611</v>
      </c>
      <c r="F1421" s="4">
        <v>2091</v>
      </c>
      <c r="G1421" s="4">
        <v>1765</v>
      </c>
      <c r="H1421" s="4">
        <v>1706</v>
      </c>
      <c r="I1421" s="4">
        <v>2287</v>
      </c>
      <c r="J1421" s="4">
        <v>1307</v>
      </c>
      <c r="K1421" s="4">
        <v>484</v>
      </c>
      <c r="L1421" s="4">
        <v>1640</v>
      </c>
      <c r="M1421" s="4">
        <v>1190</v>
      </c>
      <c r="N1421" s="4">
        <v>2110</v>
      </c>
      <c r="O1421" s="4">
        <v>9952</v>
      </c>
      <c r="P1421" s="4">
        <v>78</v>
      </c>
      <c r="Q1421" s="4">
        <v>95</v>
      </c>
      <c r="R1421" s="4">
        <v>218</v>
      </c>
      <c r="S1421" s="4">
        <v>127</v>
      </c>
      <c r="T1421" s="4">
        <v>416</v>
      </c>
      <c r="U1421" s="4">
        <v>476</v>
      </c>
      <c r="V1421" s="4">
        <v>445</v>
      </c>
      <c r="W1421" s="4">
        <v>4428</v>
      </c>
      <c r="X1421" s="4">
        <v>407</v>
      </c>
      <c r="Y1421" s="4">
        <v>157</v>
      </c>
      <c r="Z1421" s="4">
        <v>15961</v>
      </c>
      <c r="AA1421" s="4">
        <v>7253</v>
      </c>
      <c r="AB1421" s="4">
        <v>1539</v>
      </c>
      <c r="AC1421" s="4">
        <v>149</v>
      </c>
      <c r="AD1421" s="4">
        <v>139</v>
      </c>
      <c r="AE1421" s="4">
        <v>276</v>
      </c>
      <c r="AF1421" s="4">
        <v>116</v>
      </c>
      <c r="AG1421" s="4">
        <v>9721</v>
      </c>
      <c r="AH1421" s="4">
        <v>2043</v>
      </c>
      <c r="AI1421" s="4">
        <v>2313</v>
      </c>
      <c r="AJ1421" s="4">
        <v>21014</v>
      </c>
      <c r="AK1421" s="4">
        <v>5120</v>
      </c>
      <c r="AL1421" s="4">
        <v>280</v>
      </c>
      <c r="AM1421" s="4">
        <v>3203</v>
      </c>
      <c r="AN1421" s="4">
        <v>2885</v>
      </c>
      <c r="AO1421" s="4">
        <v>7009</v>
      </c>
      <c r="AP1421" s="4">
        <v>177</v>
      </c>
      <c r="AQ1421" s="4">
        <v>1420</v>
      </c>
      <c r="AR1421" s="4">
        <v>340</v>
      </c>
      <c r="AS1421" s="4">
        <v>2202</v>
      </c>
      <c r="AT1421" s="4">
        <v>2699</v>
      </c>
      <c r="AU1421" s="4">
        <v>2729</v>
      </c>
      <c r="AV1421" s="4">
        <v>3824</v>
      </c>
      <c r="AW1421" s="4">
        <v>14442</v>
      </c>
      <c r="AX1421" s="4">
        <v>5937</v>
      </c>
      <c r="AY1421" s="4">
        <v>166</v>
      </c>
      <c r="AZ1421" s="4">
        <v>1242</v>
      </c>
      <c r="BA1421" s="4">
        <v>1</v>
      </c>
      <c r="BB1421" s="4">
        <v>20071</v>
      </c>
      <c r="BC1421" s="4">
        <v>1800</v>
      </c>
      <c r="BD1421" s="4">
        <v>157</v>
      </c>
      <c r="BE1421" s="4">
        <v>1843</v>
      </c>
      <c r="BF1421" s="4">
        <v>5853</v>
      </c>
      <c r="BG1421" s="4">
        <v>344</v>
      </c>
      <c r="BH1421" s="4">
        <v>534</v>
      </c>
      <c r="BI1421" s="4">
        <v>77</v>
      </c>
      <c r="BJ1421" s="4">
        <v>6367</v>
      </c>
      <c r="BK1421" s="4">
        <v>7746</v>
      </c>
      <c r="BL1421" s="4">
        <v>17</v>
      </c>
      <c r="BM1421" s="4">
        <v>922</v>
      </c>
      <c r="BN1421" s="4">
        <v>4458</v>
      </c>
      <c r="BO1421" s="4">
        <v>203</v>
      </c>
      <c r="BP1421" s="4">
        <v>700</v>
      </c>
      <c r="BQ1421" s="4">
        <v>5377</v>
      </c>
      <c r="BR1421" s="4">
        <v>886</v>
      </c>
      <c r="BS1421" s="4">
        <v>8286</v>
      </c>
      <c r="BT1421" s="4">
        <v>4932</v>
      </c>
      <c r="BU1421" s="4">
        <v>506</v>
      </c>
      <c r="BV1421" s="4">
        <v>4440</v>
      </c>
      <c r="BW1421" s="4">
        <v>1928</v>
      </c>
      <c r="BX1421" s="4">
        <v>24019</v>
      </c>
      <c r="BY1421" s="4">
        <v>132</v>
      </c>
      <c r="BZ1421" s="4">
        <v>12</v>
      </c>
      <c r="CA1421" s="4">
        <v>10153</v>
      </c>
      <c r="CB1421" s="4">
        <v>2594</v>
      </c>
      <c r="CC1421" s="4">
        <v>35</v>
      </c>
      <c r="CD1421" s="4">
        <v>660</v>
      </c>
      <c r="CE1421" s="4">
        <v>169</v>
      </c>
      <c r="CF1421" s="4">
        <v>695</v>
      </c>
      <c r="CG1421" s="4">
        <v>893</v>
      </c>
      <c r="CH1421" s="4">
        <v>431</v>
      </c>
      <c r="CI1421" s="4">
        <v>888</v>
      </c>
      <c r="CJ1421" s="4">
        <v>6580</v>
      </c>
      <c r="CK1421" s="4">
        <v>1774</v>
      </c>
      <c r="CL1421" s="4">
        <v>10</v>
      </c>
      <c r="CM1421" s="4">
        <v>1669</v>
      </c>
      <c r="CN1421" s="4">
        <v>8686</v>
      </c>
      <c r="CO1421" s="4">
        <v>1497</v>
      </c>
      <c r="CP1421" s="4">
        <v>590</v>
      </c>
      <c r="CQ1421" s="4">
        <v>10</v>
      </c>
      <c r="CR1421" s="4">
        <v>2998</v>
      </c>
      <c r="CS1421" s="4">
        <v>2572</v>
      </c>
      <c r="CT1421" s="4">
        <v>2612</v>
      </c>
      <c r="CU1421" s="4">
        <v>423</v>
      </c>
      <c r="CV1421" s="4">
        <v>7931</v>
      </c>
      <c r="CW1421" s="4">
        <v>12080</v>
      </c>
      <c r="CX1421" s="5">
        <v>12080</v>
      </c>
    </row>
    <row r="1422" spans="1:102" ht="15.75" x14ac:dyDescent="0.25">
      <c r="A1422" s="4" t="s">
        <v>573</v>
      </c>
      <c r="B1422" s="4" t="s">
        <v>574</v>
      </c>
      <c r="C1422" s="4">
        <v>2021</v>
      </c>
      <c r="D1422" s="4">
        <v>332135</v>
      </c>
      <c r="E1422" s="4">
        <v>747</v>
      </c>
      <c r="F1422" s="4">
        <v>1821</v>
      </c>
      <c r="G1422" s="4">
        <v>1584</v>
      </c>
      <c r="H1422" s="4">
        <v>1703</v>
      </c>
      <c r="I1422" s="4">
        <v>2069</v>
      </c>
      <c r="J1422" s="4">
        <v>900</v>
      </c>
      <c r="K1422" s="4">
        <v>378</v>
      </c>
      <c r="L1422" s="4">
        <v>1595</v>
      </c>
      <c r="M1422" s="4">
        <v>1074</v>
      </c>
      <c r="N1422" s="4">
        <v>1944</v>
      </c>
      <c r="O1422" s="4">
        <v>10801</v>
      </c>
      <c r="P1422" s="4">
        <v>94</v>
      </c>
      <c r="Q1422" s="4">
        <v>61</v>
      </c>
      <c r="R1422" s="4">
        <v>292</v>
      </c>
      <c r="S1422" s="4">
        <v>183</v>
      </c>
      <c r="T1422" s="4">
        <v>774</v>
      </c>
      <c r="U1422" s="4">
        <v>528</v>
      </c>
      <c r="V1422" s="4">
        <v>525</v>
      </c>
      <c r="W1422" s="4">
        <v>7419</v>
      </c>
      <c r="X1422" s="4">
        <v>350</v>
      </c>
      <c r="Y1422" s="4">
        <v>149</v>
      </c>
      <c r="Z1422" s="4">
        <v>18353</v>
      </c>
      <c r="AA1422" s="4">
        <v>10806</v>
      </c>
      <c r="AB1422" s="4">
        <v>4922</v>
      </c>
      <c r="AC1422" s="4">
        <v>551</v>
      </c>
      <c r="AD1422" s="4">
        <v>140</v>
      </c>
      <c r="AE1422" s="4">
        <v>343</v>
      </c>
      <c r="AF1422" s="4">
        <v>147</v>
      </c>
      <c r="AG1422" s="4">
        <v>7797</v>
      </c>
      <c r="AH1422" s="4">
        <v>2915</v>
      </c>
      <c r="AI1422" s="4">
        <v>2466</v>
      </c>
      <c r="AJ1422" s="4">
        <v>21159</v>
      </c>
      <c r="AK1422" s="4">
        <v>5307</v>
      </c>
      <c r="AL1422" s="4">
        <v>309</v>
      </c>
      <c r="AM1422" s="4">
        <v>3728</v>
      </c>
      <c r="AN1422" s="4">
        <v>3387</v>
      </c>
      <c r="AO1422" s="4">
        <v>7148</v>
      </c>
      <c r="AP1422" s="4">
        <v>202</v>
      </c>
      <c r="AQ1422" s="4">
        <v>1460</v>
      </c>
      <c r="AR1422" s="4">
        <v>496</v>
      </c>
      <c r="AS1422" s="4">
        <v>2122</v>
      </c>
      <c r="AT1422" s="4">
        <v>2477</v>
      </c>
      <c r="AU1422" s="4">
        <v>2910</v>
      </c>
      <c r="AV1422" s="4">
        <v>4719</v>
      </c>
      <c r="AW1422" s="4">
        <v>15949</v>
      </c>
      <c r="AX1422" s="4">
        <v>6601</v>
      </c>
      <c r="AY1422" s="4">
        <v>184</v>
      </c>
      <c r="AZ1422" s="4">
        <v>1230</v>
      </c>
      <c r="BA1422" s="4">
        <v>0</v>
      </c>
      <c r="BB1422" s="4">
        <v>21187</v>
      </c>
      <c r="BC1422" s="4">
        <v>2279</v>
      </c>
      <c r="BD1422" s="4">
        <v>154</v>
      </c>
      <c r="BE1422" s="4">
        <v>1934</v>
      </c>
      <c r="BF1422" s="4">
        <v>6822</v>
      </c>
      <c r="BG1422" s="4">
        <v>430</v>
      </c>
      <c r="BH1422" s="4">
        <v>678</v>
      </c>
      <c r="BI1422" s="4">
        <v>51</v>
      </c>
      <c r="BJ1422" s="4">
        <v>6609</v>
      </c>
      <c r="BK1422" s="4">
        <v>8541</v>
      </c>
      <c r="BL1422" s="4">
        <v>0</v>
      </c>
      <c r="BM1422" s="4">
        <v>860</v>
      </c>
      <c r="BN1422" s="4">
        <v>4433</v>
      </c>
      <c r="BO1422" s="4">
        <v>143</v>
      </c>
      <c r="BP1422" s="4">
        <v>774</v>
      </c>
      <c r="BQ1422" s="4">
        <v>5236</v>
      </c>
      <c r="BR1422" s="4">
        <v>690</v>
      </c>
      <c r="BS1422" s="4">
        <v>9046</v>
      </c>
      <c r="BT1422" s="4">
        <v>5202</v>
      </c>
      <c r="BU1422" s="4">
        <v>315</v>
      </c>
      <c r="BV1422" s="4">
        <v>4222</v>
      </c>
      <c r="BW1422" s="4">
        <v>2314</v>
      </c>
      <c r="BX1422" s="4">
        <v>27387</v>
      </c>
      <c r="BY1422" s="4">
        <v>147</v>
      </c>
      <c r="BZ1422" s="4">
        <v>52</v>
      </c>
      <c r="CA1422" s="4">
        <v>9841</v>
      </c>
      <c r="CB1422" s="4">
        <v>3105</v>
      </c>
      <c r="CC1422" s="4">
        <v>22</v>
      </c>
      <c r="CD1422" s="4">
        <v>716</v>
      </c>
      <c r="CE1422" s="4">
        <v>195</v>
      </c>
      <c r="CF1422" s="4">
        <v>712</v>
      </c>
      <c r="CG1422" s="4">
        <v>653</v>
      </c>
      <c r="CH1422" s="4">
        <v>466</v>
      </c>
      <c r="CI1422" s="4">
        <v>764</v>
      </c>
      <c r="CJ1422" s="4">
        <v>4264</v>
      </c>
      <c r="CK1422" s="4">
        <v>956</v>
      </c>
      <c r="CL1422" s="4">
        <v>7</v>
      </c>
      <c r="CM1422" s="4">
        <v>1827</v>
      </c>
      <c r="CN1422" s="4">
        <v>10204</v>
      </c>
      <c r="CO1422" s="4">
        <v>1391</v>
      </c>
      <c r="CP1422" s="4">
        <v>555</v>
      </c>
      <c r="CQ1422" s="4">
        <v>8</v>
      </c>
      <c r="CR1422" s="4">
        <v>3797</v>
      </c>
      <c r="CS1422" s="4">
        <v>2374</v>
      </c>
      <c r="CT1422" s="4">
        <v>2521</v>
      </c>
      <c r="CU1422" s="4">
        <v>495</v>
      </c>
      <c r="CV1422" s="4">
        <v>6982</v>
      </c>
      <c r="CW1422" s="4">
        <v>7955</v>
      </c>
      <c r="CX1422" s="5">
        <v>7955</v>
      </c>
    </row>
    <row r="1423" spans="1:102" ht="15.75" x14ac:dyDescent="0.25">
      <c r="A1423" s="4" t="s">
        <v>573</v>
      </c>
      <c r="B1423" s="4" t="s">
        <v>574</v>
      </c>
      <c r="C1423" s="4">
        <v>2022</v>
      </c>
      <c r="D1423" s="4">
        <v>434123</v>
      </c>
      <c r="E1423" s="4">
        <v>757</v>
      </c>
      <c r="F1423" s="4">
        <v>2126</v>
      </c>
      <c r="G1423" s="4">
        <v>2134</v>
      </c>
      <c r="H1423" s="4">
        <v>1798</v>
      </c>
      <c r="I1423" s="4">
        <v>2749</v>
      </c>
      <c r="J1423" s="4">
        <v>1071</v>
      </c>
      <c r="K1423" s="4">
        <v>464</v>
      </c>
      <c r="L1423" s="4">
        <v>1923</v>
      </c>
      <c r="M1423" s="4">
        <v>1241</v>
      </c>
      <c r="N1423" s="4">
        <v>2091</v>
      </c>
      <c r="O1423" s="4">
        <v>12857</v>
      </c>
      <c r="P1423" s="4">
        <v>88</v>
      </c>
      <c r="Q1423" s="4">
        <v>58</v>
      </c>
      <c r="R1423" s="4">
        <v>405</v>
      </c>
      <c r="S1423" s="4">
        <v>198</v>
      </c>
      <c r="T1423" s="4">
        <v>773</v>
      </c>
      <c r="U1423" s="4">
        <v>620</v>
      </c>
      <c r="V1423" s="4">
        <v>620</v>
      </c>
      <c r="W1423" s="4">
        <v>7776</v>
      </c>
      <c r="X1423" s="4">
        <v>417</v>
      </c>
      <c r="Y1423" s="4">
        <v>208</v>
      </c>
      <c r="Z1423" s="4">
        <v>29119</v>
      </c>
      <c r="AA1423" s="4">
        <v>18941</v>
      </c>
      <c r="AB1423" s="4">
        <v>19710</v>
      </c>
      <c r="AC1423" s="4">
        <v>3583</v>
      </c>
      <c r="AD1423" s="4">
        <v>147</v>
      </c>
      <c r="AE1423" s="4">
        <v>352</v>
      </c>
      <c r="AF1423" s="4">
        <v>295</v>
      </c>
      <c r="AG1423" s="4">
        <v>9947</v>
      </c>
      <c r="AH1423" s="4">
        <v>3691</v>
      </c>
      <c r="AI1423" s="4">
        <v>2611</v>
      </c>
      <c r="AJ1423" s="4">
        <v>27468</v>
      </c>
      <c r="AK1423" s="4">
        <v>5453</v>
      </c>
      <c r="AL1423" s="4">
        <v>519</v>
      </c>
      <c r="AM1423" s="4">
        <v>4293</v>
      </c>
      <c r="AN1423" s="4">
        <v>3650</v>
      </c>
      <c r="AO1423" s="4">
        <v>6693</v>
      </c>
      <c r="AP1423" s="4">
        <v>248</v>
      </c>
      <c r="AQ1423" s="4">
        <v>1608</v>
      </c>
      <c r="AR1423" s="4">
        <v>534</v>
      </c>
      <c r="AS1423" s="4">
        <v>2589</v>
      </c>
      <c r="AT1423" s="4">
        <v>2736</v>
      </c>
      <c r="AU1423" s="4">
        <v>3654</v>
      </c>
      <c r="AV1423" s="4">
        <v>5858</v>
      </c>
      <c r="AW1423" s="4">
        <v>14174</v>
      </c>
      <c r="AX1423" s="4">
        <v>7435</v>
      </c>
      <c r="AY1423" s="4">
        <v>193</v>
      </c>
      <c r="AZ1423" s="4">
        <v>1446</v>
      </c>
      <c r="BA1423" s="4">
        <v>0</v>
      </c>
      <c r="BB1423" s="4">
        <v>27745</v>
      </c>
      <c r="BC1423" s="4">
        <v>2828</v>
      </c>
      <c r="BD1423" s="4">
        <v>171</v>
      </c>
      <c r="BE1423" s="4">
        <v>2209</v>
      </c>
      <c r="BF1423" s="4">
        <v>7844</v>
      </c>
      <c r="BG1423" s="4">
        <v>421</v>
      </c>
      <c r="BH1423" s="4">
        <v>718</v>
      </c>
      <c r="BI1423" s="4">
        <v>48</v>
      </c>
      <c r="BJ1423" s="4">
        <v>7769</v>
      </c>
      <c r="BK1423" s="4">
        <v>9558</v>
      </c>
      <c r="BL1423" s="4">
        <v>0</v>
      </c>
      <c r="BM1423" s="4">
        <v>812</v>
      </c>
      <c r="BN1423" s="4">
        <v>4952</v>
      </c>
      <c r="BO1423" s="4">
        <v>168</v>
      </c>
      <c r="BP1423" s="4">
        <v>767</v>
      </c>
      <c r="BQ1423" s="4">
        <v>6109</v>
      </c>
      <c r="BR1423" s="4">
        <v>737</v>
      </c>
      <c r="BS1423" s="4">
        <v>9945</v>
      </c>
      <c r="BT1423" s="4">
        <v>5420</v>
      </c>
      <c r="BU1423" s="4">
        <v>369</v>
      </c>
      <c r="BV1423" s="4">
        <v>4769</v>
      </c>
      <c r="BW1423" s="4">
        <v>3179</v>
      </c>
      <c r="BX1423" s="4">
        <v>29041</v>
      </c>
      <c r="BY1423" s="4">
        <v>143</v>
      </c>
      <c r="BZ1423" s="4">
        <v>150</v>
      </c>
      <c r="CA1423" s="4">
        <v>10696</v>
      </c>
      <c r="CB1423" s="4">
        <v>3917</v>
      </c>
      <c r="CC1423" s="4">
        <v>25</v>
      </c>
      <c r="CD1423" s="4">
        <v>779</v>
      </c>
      <c r="CE1423" s="4">
        <v>120</v>
      </c>
      <c r="CF1423" s="4">
        <v>849</v>
      </c>
      <c r="CG1423" s="4">
        <v>656</v>
      </c>
      <c r="CH1423" s="4">
        <v>603</v>
      </c>
      <c r="CI1423" s="4">
        <v>773</v>
      </c>
      <c r="CJ1423" s="4">
        <v>3964</v>
      </c>
      <c r="CK1423" s="4">
        <v>803</v>
      </c>
      <c r="CL1423" s="4">
        <v>6</v>
      </c>
      <c r="CM1423" s="4">
        <v>1959</v>
      </c>
      <c r="CN1423" s="4">
        <v>10913</v>
      </c>
      <c r="CO1423" s="4">
        <v>1271</v>
      </c>
      <c r="CP1423" s="4">
        <v>643</v>
      </c>
      <c r="CQ1423" s="4">
        <v>11</v>
      </c>
      <c r="CR1423" s="4">
        <v>4888</v>
      </c>
      <c r="CS1423" s="4">
        <v>2955</v>
      </c>
      <c r="CT1423" s="4">
        <v>2661</v>
      </c>
      <c r="CU1423" s="4">
        <v>548</v>
      </c>
      <c r="CV1423" s="4">
        <v>7924</v>
      </c>
      <c r="CW1423" s="4">
        <v>33966</v>
      </c>
      <c r="CX1423" s="5">
        <v>33647</v>
      </c>
    </row>
    <row r="1424" spans="1:102" ht="15.75" x14ac:dyDescent="0.25">
      <c r="A1424" s="4" t="s">
        <v>573</v>
      </c>
      <c r="B1424" s="4" t="s">
        <v>574</v>
      </c>
      <c r="C1424" s="4">
        <v>2023</v>
      </c>
      <c r="D1424" s="4">
        <v>393516</v>
      </c>
      <c r="E1424" s="4">
        <v>618</v>
      </c>
      <c r="F1424" s="4">
        <v>2065</v>
      </c>
      <c r="G1424" s="4">
        <v>2154</v>
      </c>
      <c r="H1424" s="4">
        <v>1806</v>
      </c>
      <c r="I1424" s="4">
        <v>2954</v>
      </c>
      <c r="J1424" s="4">
        <v>1047</v>
      </c>
      <c r="K1424" s="4">
        <v>604</v>
      </c>
      <c r="L1424" s="4">
        <v>2115</v>
      </c>
      <c r="M1424" s="4">
        <v>1272</v>
      </c>
      <c r="N1424" s="4">
        <v>2421</v>
      </c>
      <c r="O1424" s="4">
        <v>12048</v>
      </c>
      <c r="P1424" s="4">
        <v>75</v>
      </c>
      <c r="Q1424" s="4">
        <v>58</v>
      </c>
      <c r="R1424" s="4">
        <v>332</v>
      </c>
      <c r="S1424" s="4">
        <v>185</v>
      </c>
      <c r="T1424" s="4">
        <v>545</v>
      </c>
      <c r="U1424" s="4">
        <v>649</v>
      </c>
      <c r="V1424" s="4">
        <v>547</v>
      </c>
      <c r="W1424" s="4">
        <v>6221</v>
      </c>
      <c r="X1424" s="4">
        <v>403</v>
      </c>
      <c r="Y1424" s="4">
        <v>194</v>
      </c>
      <c r="Z1424" s="4">
        <v>20312</v>
      </c>
      <c r="AA1424" s="4">
        <v>13077</v>
      </c>
      <c r="AB1424" s="4">
        <v>3882</v>
      </c>
      <c r="AC1424" s="4">
        <v>719</v>
      </c>
      <c r="AD1424" s="4">
        <v>126</v>
      </c>
      <c r="AE1424" s="4">
        <v>261</v>
      </c>
      <c r="AF1424" s="4">
        <v>246</v>
      </c>
      <c r="AG1424" s="4">
        <v>10072</v>
      </c>
      <c r="AH1424" s="4">
        <v>2893</v>
      </c>
      <c r="AI1424" s="4">
        <v>2465</v>
      </c>
      <c r="AJ1424" s="4">
        <v>25942</v>
      </c>
      <c r="AK1424" s="4">
        <v>5543</v>
      </c>
      <c r="AL1424" s="4">
        <v>371</v>
      </c>
      <c r="AM1424" s="4">
        <v>3471</v>
      </c>
      <c r="AN1424" s="4">
        <v>3252</v>
      </c>
      <c r="AO1424" s="4">
        <v>5879</v>
      </c>
      <c r="AP1424" s="4">
        <v>218</v>
      </c>
      <c r="AQ1424" s="4">
        <v>1796</v>
      </c>
      <c r="AR1424" s="4">
        <v>471</v>
      </c>
      <c r="AS1424" s="4">
        <v>2286</v>
      </c>
      <c r="AT1424" s="4">
        <v>2726</v>
      </c>
      <c r="AU1424" s="4">
        <v>3172</v>
      </c>
      <c r="AV1424" s="4">
        <v>5370</v>
      </c>
      <c r="AW1424" s="4">
        <v>10860</v>
      </c>
      <c r="AX1424" s="4">
        <v>7949</v>
      </c>
      <c r="AY1424" s="4">
        <v>193</v>
      </c>
      <c r="AZ1424" s="4">
        <v>1562</v>
      </c>
      <c r="BA1424" s="4">
        <v>4</v>
      </c>
      <c r="BB1424" s="4">
        <v>34369</v>
      </c>
      <c r="BC1424" s="4">
        <v>2879</v>
      </c>
      <c r="BD1424" s="4">
        <v>221</v>
      </c>
      <c r="BE1424" s="4">
        <v>2400</v>
      </c>
      <c r="BF1424" s="4">
        <v>8634</v>
      </c>
      <c r="BG1424" s="4">
        <v>455</v>
      </c>
      <c r="BH1424" s="4">
        <v>697</v>
      </c>
      <c r="BI1424" s="4">
        <v>47</v>
      </c>
      <c r="BJ1424" s="4">
        <v>8439</v>
      </c>
      <c r="BK1424" s="4">
        <v>10773</v>
      </c>
      <c r="BL1424" s="4">
        <v>4</v>
      </c>
      <c r="BM1424" s="4">
        <v>819</v>
      </c>
      <c r="BN1424" s="4">
        <v>4384</v>
      </c>
      <c r="BO1424" s="4">
        <v>123</v>
      </c>
      <c r="BP1424" s="4">
        <v>864</v>
      </c>
      <c r="BQ1424" s="4">
        <v>6466</v>
      </c>
      <c r="BR1424" s="4">
        <v>684</v>
      </c>
      <c r="BS1424" s="4">
        <v>9964</v>
      </c>
      <c r="BT1424" s="4">
        <v>5471</v>
      </c>
      <c r="BU1424" s="4">
        <v>324</v>
      </c>
      <c r="BV1424" s="4">
        <v>5009</v>
      </c>
      <c r="BW1424" s="4">
        <v>4135</v>
      </c>
      <c r="BX1424" s="4">
        <v>34810</v>
      </c>
      <c r="BY1424" s="4">
        <v>161</v>
      </c>
      <c r="BZ1424" s="4">
        <v>293</v>
      </c>
      <c r="CA1424" s="4">
        <v>11779</v>
      </c>
      <c r="CB1424" s="4">
        <v>3500</v>
      </c>
      <c r="CC1424" s="4">
        <v>29</v>
      </c>
      <c r="CD1424" s="4">
        <v>823</v>
      </c>
      <c r="CE1424" s="4">
        <v>107</v>
      </c>
      <c r="CF1424" s="4">
        <v>896</v>
      </c>
      <c r="CG1424" s="4">
        <v>919</v>
      </c>
      <c r="CH1424" s="4">
        <v>627</v>
      </c>
      <c r="CI1424" s="4">
        <v>743</v>
      </c>
      <c r="CJ1424" s="4">
        <v>3762</v>
      </c>
      <c r="CK1424" s="4">
        <v>777</v>
      </c>
      <c r="CL1424" s="4">
        <v>9</v>
      </c>
      <c r="CM1424" s="4">
        <v>2011</v>
      </c>
      <c r="CN1424" s="4">
        <v>11683</v>
      </c>
      <c r="CO1424" s="4">
        <v>1251</v>
      </c>
      <c r="CP1424" s="4">
        <v>655</v>
      </c>
      <c r="CQ1424" s="4">
        <v>19</v>
      </c>
      <c r="CR1424" s="4">
        <v>4109</v>
      </c>
      <c r="CS1424" s="4">
        <v>2792</v>
      </c>
      <c r="CT1424" s="4">
        <v>2574</v>
      </c>
      <c r="CU1424" s="4">
        <v>496</v>
      </c>
      <c r="CV1424" s="4">
        <v>8220</v>
      </c>
      <c r="CW1424" s="4">
        <v>19879</v>
      </c>
      <c r="CX1424" s="5">
        <v>19810</v>
      </c>
    </row>
    <row r="1425" spans="2:2" x14ac:dyDescent="0.2">
      <c r="B14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ONS - UK Exports by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2025-05-20T13:01:16Z</dcterms:created>
  <dcterms:modified xsi:type="dcterms:W3CDTF">2025-05-20T15:17:07Z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2025-05-20T13:07:21Z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4a6424b8-a3a3-4aaa-81b7-105f3e22d523</vt:lpwstr>
  </property>
  <property fmtid="{D5CDD505-2E9C-101B-9397-08002B2CF9AE}" pid="8" name="MSIP_Label_3b83b38b-8e91-4f17-8371-95d3d41e26c0_ContentBits">
    <vt:lpwstr>0</vt:lpwstr>
  </property>
</Properties>
</file>