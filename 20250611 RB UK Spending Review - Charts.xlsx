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Z:\UK Team\UK Research Briefing\"/>
    </mc:Choice>
  </mc:AlternateContent>
  <xr:revisionPtr revIDLastSave="0" documentId="13_ncr:1_{0688EFBA-C522-4098-8AC8-BFFB5E639080}" xr6:coauthVersionLast="47" xr6:coauthVersionMax="47" xr10:uidLastSave="{00000000-0000-0000-0000-000000000000}"/>
  <bookViews>
    <workbookView xWindow="-120" yWindow="-120" windowWidth="29040" windowHeight="15840" activeTab="1" xr2:uid="{C6F7D30F-B585-4D25-977A-A2A24A2A39F2}"/>
  </bookViews>
  <sheets>
    <sheet name="Chart2" sheetId="3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1" l="1"/>
  <c r="E18" i="1"/>
  <c r="G9" i="1"/>
  <c r="H9" i="1" s="1"/>
  <c r="I9" i="1" s="1"/>
  <c r="J9" i="1"/>
  <c r="E9" i="1"/>
  <c r="D9" i="1"/>
  <c r="E11" i="1"/>
  <c r="G11" i="1" s="1"/>
  <c r="D11" i="1"/>
  <c r="G10" i="1"/>
  <c r="G8" i="1"/>
  <c r="G5" i="1"/>
  <c r="G7" i="1"/>
  <c r="H7" i="1"/>
  <c r="I7" i="1" s="1"/>
  <c r="H6" i="1"/>
  <c r="I6" i="1" s="1"/>
  <c r="E17" i="1" s="1"/>
  <c r="G6" i="1"/>
  <c r="J6" i="1" s="1"/>
  <c r="J5" i="1" l="1"/>
  <c r="H5" i="1" s="1"/>
  <c r="I5" i="1" s="1"/>
  <c r="E16" i="1" s="1"/>
  <c r="J8" i="1"/>
  <c r="H8" i="1" s="1"/>
  <c r="I8" i="1" s="1"/>
  <c r="J7" i="1"/>
  <c r="J10" i="1" l="1"/>
  <c r="H10" i="1" s="1"/>
  <c r="I10" i="1" s="1"/>
  <c r="J11" i="1"/>
  <c r="H11" i="1" s="1"/>
  <c r="I11" i="1" s="1"/>
</calcChain>
</file>

<file path=xl/sharedStrings.xml><?xml version="1.0" encoding="utf-8"?>
<sst xmlns="http://schemas.openxmlformats.org/spreadsheetml/2006/main" count="15" uniqueCount="15">
  <si>
    <t>2025/26</t>
  </si>
  <si>
    <t>2028/29</t>
  </si>
  <si>
    <t>Del</t>
  </si>
  <si>
    <t>health</t>
  </si>
  <si>
    <t>defence</t>
  </si>
  <si>
    <t>rest</t>
  </si>
  <si>
    <t>real change</t>
  </si>
  <si>
    <t>implied deflator</t>
  </si>
  <si>
    <t>intelligence</t>
  </si>
  <si>
    <t>reserve</t>
  </si>
  <si>
    <t>Total</t>
  </si>
  <si>
    <t>Health</t>
  </si>
  <si>
    <t>Defence &amp; intelligence</t>
  </si>
  <si>
    <t>Other departments</t>
  </si>
  <si>
    <t>%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</si>
</sst>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6.0263653483992466E-3"/>
          <c:y val="0.12464589235127478"/>
          <c:w val="0.97694156027106782"/>
          <c:h val="0.808309726156751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Sheet1!$E$15</c:f>
              <c:strCache>
                <c:ptCount val="1"/>
                <c:pt idx="0">
                  <c:v>% change</c:v>
                </c:pt>
              </c:strCache>
            </c:strRef>
          </c:tx>
          <c:spPr>
            <a:solidFill>
              <a:srgbClr val="BD1B21"/>
            </a:solidFill>
            <a:ln w="6350">
              <a:solidFill>
                <a:srgbClr val="495057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002060"/>
              </a:solidFill>
              <a:ln w="6350">
                <a:solidFill>
                  <a:srgbClr val="495057"/>
                </a:solidFill>
              </a:ln>
            </c:spPr>
            <c:extLst>
              <c:ext xmlns:c16="http://schemas.microsoft.com/office/drawing/2014/chart" uri="{C3380CC4-5D6E-409C-BE32-E72D297353CC}">
                <c16:uniqueId val="{0000000B-E254-4E2B-AEAD-7F984EC40D55}"/>
              </c:ext>
            </c:extLst>
          </c:dPt>
          <c:cat>
            <c:strRef>
              <c:f>Sheet1!$D$16:$D$19</c:f>
              <c:strCache>
                <c:ptCount val="4"/>
                <c:pt idx="0">
                  <c:v>Total</c:v>
                </c:pt>
                <c:pt idx="1">
                  <c:v>Health</c:v>
                </c:pt>
                <c:pt idx="2">
                  <c:v>Defence &amp; intelligence</c:v>
                </c:pt>
                <c:pt idx="3">
                  <c:v>Other departments</c:v>
                </c:pt>
              </c:strCache>
            </c:strRef>
          </c:cat>
          <c:val>
            <c:numRef>
              <c:f>Sheet1!$E$16:$E$19</c:f>
              <c:numCache>
                <c:formatCode>General</c:formatCode>
                <c:ptCount val="4"/>
                <c:pt idx="0">
                  <c:v>1.5318198860902799</c:v>
                </c:pt>
                <c:pt idx="1">
                  <c:v>2.6999999999999913</c:v>
                </c:pt>
                <c:pt idx="2">
                  <c:v>3.8361933571466666</c:v>
                </c:pt>
                <c:pt idx="3">
                  <c:v>0.38490408871201254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D6-4E4B-91F4-0D9ED376B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74926592"/>
        <c:axId val="274950400"/>
      </c:barChart>
      <c:catAx>
        <c:axId val="2749265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4950400"/>
        <c:crosses val="autoZero"/>
        <c:auto val="0"/>
        <c:lblAlgn val="ctr"/>
        <c:lblOffset val="100"/>
        <c:noMultiLvlLbl val="0"/>
      </c:catAx>
      <c:valAx>
        <c:axId val="274950400"/>
        <c:scaling>
          <c:orientation val="minMax"/>
        </c:scaling>
        <c:delete val="0"/>
        <c:axPos val="l"/>
        <c:numFmt formatCode="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492659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E051E90-04F9-4ED5-B214-E8DA70E93000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246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0DE3EF-347B-547B-AA8D-B727EA0A277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21190" name="Text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3" name="Text 2">
          <a:extLst xmlns:a="http://schemas.openxmlformats.org/drawingml/2006/main">
            <a:ext uri="{FF2B5EF4-FFF2-40B4-BE49-F238E27FC236}">
              <a16:creationId xmlns:a16="http://schemas.microsoft.com/office/drawing/2014/main" id="{790798E4-20B9-4B63-8286-6D9D8E8881D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</cdr:x>
      <cdr:y>0.00808</cdr:y>
    </cdr:from>
    <cdr:to>
      <cdr:x>1</cdr:x>
      <cdr:y>0.08891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2FE7FE1-9B2F-7B95-5CEF-DF0B8458FC05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Total departmental spending, 2025-2026 to 2028-2029 </a:t>
          </a:r>
        </a:p>
      </cdr:txBody>
    </cdr:sp>
  </cdr:relSizeAnchor>
  <cdr:relSizeAnchor xmlns:cdr="http://schemas.openxmlformats.org/drawingml/2006/chartDrawing">
    <cdr:from>
      <cdr:x>0</cdr:x>
      <cdr:y>0.93918</cdr:y>
    </cdr:from>
    <cdr:to>
      <cdr:x>1</cdr:x>
      <cdr:y>1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73BA3CB9-E3EA-F246-9B45-34B7328414ED}"/>
            </a:ext>
          </a:extLst>
        </cdr:cNvPr>
        <cdr:cNvSpPr/>
      </cdr:nvSpPr>
      <cdr:spPr>
        <a:xfrm xmlns:a="http://schemas.openxmlformats.org/drawingml/2006/main">
          <a:off x="50800" y="5902529"/>
          <a:ext cx="8657545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 calculations using data from HM Treasury</a:t>
          </a:r>
        </a:p>
      </cdr:txBody>
    </cdr:sp>
  </cdr:relSizeAnchor>
  <cdr:relSizeAnchor xmlns:cdr="http://schemas.openxmlformats.org/drawingml/2006/chartDrawing">
    <cdr:from>
      <cdr:x>0</cdr:x>
      <cdr:y>0.07547</cdr:y>
    </cdr:from>
    <cdr:to>
      <cdr:x>1</cdr:x>
      <cdr:y>0.12642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112BC78E-6D41-001A-003E-3417C340FCE9}"/>
            </a:ext>
          </a:extLst>
        </cdr:cNvPr>
        <cdr:cNvSpPr txBox="1"/>
      </cdr:nvSpPr>
      <cdr:spPr>
        <a:xfrm xmlns:a="http://schemas.openxmlformats.org/drawingml/2006/main">
          <a:off x="50800" y="508000"/>
          <a:ext cx="889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Average annual real growth, %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E">
      <a:dk1>
        <a:srgbClr val="495057"/>
      </a:dk1>
      <a:lt1>
        <a:sysClr val="window" lastClr="FFFFFF"/>
      </a:lt1>
      <a:dk2>
        <a:srgbClr val="003469"/>
      </a:dk2>
      <a:lt2>
        <a:srgbClr val="EEECE1"/>
      </a:lt2>
      <a:accent1>
        <a:srgbClr val="BD1B21"/>
      </a:accent1>
      <a:accent2>
        <a:srgbClr val="002060"/>
      </a:accent2>
      <a:accent3>
        <a:srgbClr val="D1A21E"/>
      </a:accent3>
      <a:accent4>
        <a:srgbClr val="7B7C77"/>
      </a:accent4>
      <a:accent5>
        <a:srgbClr val="965793"/>
      </a:accent5>
      <a:accent6>
        <a:srgbClr val="00ADDC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EB0A6-E528-4DBB-9D0D-4BF33F447CD9}">
  <dimension ref="C4:J19"/>
  <sheetViews>
    <sheetView tabSelected="1" workbookViewId="0">
      <selection activeCell="H24" sqref="H24"/>
    </sheetView>
  </sheetViews>
  <sheetFormatPr defaultRowHeight="15" x14ac:dyDescent="0.25"/>
  <sheetData>
    <row r="4" spans="3:10" x14ac:dyDescent="0.25">
      <c r="D4" t="s">
        <v>0</v>
      </c>
      <c r="E4" t="s">
        <v>1</v>
      </c>
      <c r="H4" t="s">
        <v>6</v>
      </c>
      <c r="J4" t="s">
        <v>7</v>
      </c>
    </row>
    <row r="5" spans="3:10" x14ac:dyDescent="0.25">
      <c r="C5" t="s">
        <v>2</v>
      </c>
      <c r="D5">
        <v>648.4</v>
      </c>
      <c r="E5">
        <v>716.9</v>
      </c>
      <c r="G5">
        <f t="shared" ref="G5:G11" si="0">E5/D5</f>
        <v>1.1056446637877853</v>
      </c>
      <c r="H5">
        <f>G5/J5</f>
        <v>1.0466621326044572</v>
      </c>
      <c r="I5" s="1">
        <f t="shared" ref="I5:I11" si="1">(H5)^(1/3)-1</f>
        <v>1.5318198860902799E-2</v>
      </c>
      <c r="J5">
        <f>J6</f>
        <v>1.0563529809152064</v>
      </c>
    </row>
    <row r="6" spans="3:10" x14ac:dyDescent="0.25">
      <c r="C6" t="s">
        <v>3</v>
      </c>
      <c r="D6">
        <v>215.6</v>
      </c>
      <c r="E6">
        <v>246.7</v>
      </c>
      <c r="G6">
        <f t="shared" si="0"/>
        <v>1.1442486085343229</v>
      </c>
      <c r="H6">
        <f>1.027^3</f>
        <v>1.0832066829999998</v>
      </c>
      <c r="I6" s="1">
        <f t="shared" si="1"/>
        <v>2.6999999999999913E-2</v>
      </c>
      <c r="J6">
        <f>G6/H6</f>
        <v>1.0563529809152064</v>
      </c>
    </row>
    <row r="7" spans="3:10" x14ac:dyDescent="0.25">
      <c r="C7" t="s">
        <v>4</v>
      </c>
      <c r="D7">
        <v>62.2</v>
      </c>
      <c r="E7">
        <v>73.5</v>
      </c>
      <c r="G7">
        <f t="shared" si="0"/>
        <v>1.1816720257234725</v>
      </c>
      <c r="H7">
        <f>1.038^3</f>
        <v>1.1183868720000001</v>
      </c>
      <c r="I7" s="1">
        <f t="shared" si="1"/>
        <v>3.8000000000000034E-2</v>
      </c>
      <c r="J7">
        <f>G7/H7</f>
        <v>1.0565861020974792</v>
      </c>
    </row>
    <row r="8" spans="3:10" x14ac:dyDescent="0.25">
      <c r="C8" t="s">
        <v>8</v>
      </c>
      <c r="D8">
        <v>4.5</v>
      </c>
      <c r="E8">
        <v>5.4</v>
      </c>
      <c r="G8">
        <f t="shared" si="0"/>
        <v>1.2000000000000002</v>
      </c>
      <c r="H8">
        <f>G8/J8</f>
        <v>1.1359839198449939</v>
      </c>
      <c r="I8" s="1">
        <f t="shared" si="1"/>
        <v>4.3415766002420364E-2</v>
      </c>
      <c r="J8">
        <f>J6</f>
        <v>1.0563529809152064</v>
      </c>
    </row>
    <row r="9" spans="3:10" x14ac:dyDescent="0.25">
      <c r="D9">
        <f>D7+D8</f>
        <v>66.7</v>
      </c>
      <c r="E9">
        <f>E7+E8</f>
        <v>78.900000000000006</v>
      </c>
      <c r="G9">
        <f t="shared" si="0"/>
        <v>1.1829085457271364</v>
      </c>
      <c r="H9">
        <f>G9/J9</f>
        <v>1.119557169433602</v>
      </c>
      <c r="I9" s="1">
        <f t="shared" si="1"/>
        <v>3.8361933571466666E-2</v>
      </c>
      <c r="J9">
        <f>J7</f>
        <v>1.0565861020974792</v>
      </c>
    </row>
    <row r="10" spans="3:10" x14ac:dyDescent="0.25">
      <c r="C10" t="s">
        <v>9</v>
      </c>
      <c r="D10">
        <v>4.5</v>
      </c>
      <c r="E10">
        <v>7.1</v>
      </c>
      <c r="G10">
        <f t="shared" si="0"/>
        <v>1.5777777777777777</v>
      </c>
      <c r="H10">
        <f>G10/J10</f>
        <v>1.493278943046531</v>
      </c>
      <c r="I10" s="1">
        <f t="shared" si="1"/>
        <v>0.14300197380664992</v>
      </c>
      <c r="J10">
        <f>J7</f>
        <v>1.0565861020974792</v>
      </c>
    </row>
    <row r="11" spans="3:10" x14ac:dyDescent="0.25">
      <c r="C11" t="s">
        <v>5</v>
      </c>
      <c r="D11">
        <f>D5-D6-D7-D8</f>
        <v>366.09999999999997</v>
      </c>
      <c r="E11">
        <f>E5-E6-E7-E8</f>
        <v>391.3</v>
      </c>
      <c r="G11">
        <f t="shared" si="0"/>
        <v>1.0688336520076482</v>
      </c>
      <c r="H11">
        <f>G11/J11</f>
        <v>1.0115916250325987</v>
      </c>
      <c r="I11" s="1">
        <f t="shared" si="1"/>
        <v>3.8490408871201254E-3</v>
      </c>
      <c r="J11">
        <f>J7</f>
        <v>1.0565861020974792</v>
      </c>
    </row>
    <row r="15" spans="3:10" x14ac:dyDescent="0.25">
      <c r="E15" t="s">
        <v>14</v>
      </c>
    </row>
    <row r="16" spans="3:10" x14ac:dyDescent="0.25">
      <c r="D16" t="s">
        <v>10</v>
      </c>
      <c r="E16">
        <f>100*I5</f>
        <v>1.5318198860902799</v>
      </c>
    </row>
    <row r="17" spans="4:5" x14ac:dyDescent="0.25">
      <c r="D17" t="s">
        <v>11</v>
      </c>
      <c r="E17">
        <f>100*I6</f>
        <v>2.6999999999999913</v>
      </c>
    </row>
    <row r="18" spans="4:5" x14ac:dyDescent="0.25">
      <c r="D18" t="s">
        <v>12</v>
      </c>
      <c r="E18">
        <f>100*I9</f>
        <v>3.8361933571466666</v>
      </c>
    </row>
    <row r="19" spans="4:5" x14ac:dyDescent="0.25">
      <c r="D19" t="s">
        <v>13</v>
      </c>
      <c r="E19">
        <f>100*I11</f>
        <v>0.38490408871201254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Saunders</dc:creator>
  <cp:lastModifiedBy>Andrew Goodwin</cp:lastModifiedBy>
  <dcterms:created xsi:type="dcterms:W3CDTF">2025-06-11T12:36:02Z</dcterms:created>
  <dcterms:modified xsi:type="dcterms:W3CDTF">2025-06-11T13:53:54Z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owerlinkCOMAddIn.COMAddIn.WebAddinBridge.Options">
    <vt:lpwstr>{"port":50153,"version":"1.26.170"}</vt:lpwstr>
  </property>
  <property fmtid="{D5CDD505-2E9C-101B-9397-08002B2CF9AE}" pid="3" name="MSIP_Label_231f5784-19ed-4d1e-9a93-4ea41014d730_Enabled">
    <vt:lpwstr>true</vt:lpwstr>
  </property>
  <property fmtid="{D5CDD505-2E9C-101B-9397-08002B2CF9AE}" pid="4" name="MSIP_Label_231f5784-19ed-4d1e-9a93-4ea41014d730_SetDate">
    <vt:lpwstr>2025-06-11T12:50:45Z</vt:lpwstr>
  </property>
  <property fmtid="{D5CDD505-2E9C-101B-9397-08002B2CF9AE}" pid="5" name="MSIP_Label_231f5784-19ed-4d1e-9a93-4ea41014d730_Method">
    <vt:lpwstr>Privileged</vt:lpwstr>
  </property>
  <property fmtid="{D5CDD505-2E9C-101B-9397-08002B2CF9AE}" pid="6" name="MSIP_Label_231f5784-19ed-4d1e-9a93-4ea41014d730_Name">
    <vt:lpwstr>External</vt:lpwstr>
  </property>
  <property fmtid="{D5CDD505-2E9C-101B-9397-08002B2CF9AE}" pid="7" name="MSIP_Label_231f5784-19ed-4d1e-9a93-4ea41014d730_SiteId">
    <vt:lpwstr>2c277f63-6743-4f98-ac15-4851e55c0cc7</vt:lpwstr>
  </property>
  <property fmtid="{D5CDD505-2E9C-101B-9397-08002B2CF9AE}" pid="8" name="MSIP_Label_231f5784-19ed-4d1e-9a93-4ea41014d730_ActionId">
    <vt:lpwstr>9ff13cd8-7d89-47c1-a9ed-1c0b5f950ac5</vt:lpwstr>
  </property>
  <property fmtid="{D5CDD505-2E9C-101B-9397-08002B2CF9AE}" pid="9" name="MSIP_Label_231f5784-19ed-4d1e-9a93-4ea41014d730_ContentBits">
    <vt:lpwstr>0</vt:lpwstr>
  </property>
</Properties>
</file>