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6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7.xml" ContentType="application/vnd.openxmlformats-officedocument.themeOverrid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6B35C484-36D8-48ED-BC70-ACCCC7267084}" xr6:coauthVersionLast="47" xr6:coauthVersionMax="47" xr10:uidLastSave="{00000000-0000-0000-0000-000000000000}"/>
  <bookViews>
    <workbookView xWindow="-110" yWindow="-110" windowWidth="19420" windowHeight="10300" tabRatio="876" xr2:uid="{E44918E3-1C5D-479A-AA68-ED74E0576C71}"/>
  </bookViews>
  <sheets>
    <sheet name="Chart 1" sheetId="19" r:id="rId1"/>
    <sheet name="Chart 2" sheetId="11" r:id="rId2"/>
    <sheet name="Chart Data" sheetId="1" r:id="rId3"/>
    <sheet name="MPR Chart 2.16" sheetId="7" r:id="rId4"/>
    <sheet name="Not used &gt;&gt;&gt;" sheetId="13" r:id="rId5"/>
    <sheet name="Chart 3" sheetId="9" r:id="rId6"/>
    <sheet name="Chart 4" sheetId="10" r:id="rId7"/>
    <sheet name="HAVERM" sheetId="8" r:id="rId8"/>
    <sheet name="MPR GDP level" sheetId="16" r:id="rId9"/>
    <sheet name="Chart 1(2)" sheetId="6" r:id="rId10"/>
    <sheet name="Chart 1 (2)" sheetId="15" r:id="rId11"/>
  </sheets>
  <externalReferences>
    <externalReference r:id="rId12"/>
  </externalReferences>
  <definedNames>
    <definedName name="_DLX1.INC">HAVERM!$A$4:$AC$9</definedName>
    <definedName name="_xlnm._FilterDatabase" localSheetId="2" hidden="1">'Chart Data'!$G$1:$H$10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F3" i="1"/>
  <c r="F4" i="1"/>
  <c r="F5" i="1"/>
  <c r="F6" i="1"/>
  <c r="F7" i="1"/>
  <c r="F8" i="1"/>
  <c r="F9" i="1"/>
  <c r="F10" i="1"/>
  <c r="F2" i="1"/>
  <c r="G23" i="1"/>
  <c r="G22" i="1"/>
  <c r="G21" i="1"/>
  <c r="G20" i="1"/>
  <c r="G19" i="1"/>
  <c r="G18" i="1"/>
  <c r="G17" i="1"/>
  <c r="G15" i="1"/>
  <c r="G16" i="1"/>
  <c r="W44" i="1"/>
  <c r="Z44" i="1" s="1"/>
  <c r="W43" i="1"/>
  <c r="Z43" i="1" s="1"/>
  <c r="W42" i="1"/>
  <c r="Z5" i="1"/>
  <c r="AA5" i="1"/>
  <c r="Z6" i="1"/>
  <c r="Z7" i="1"/>
  <c r="Z8" i="1"/>
  <c r="Z9" i="1"/>
  <c r="Z10" i="1"/>
  <c r="Z11" i="1"/>
  <c r="AA11" i="1"/>
  <c r="Z12" i="1"/>
  <c r="AA12" i="1"/>
  <c r="Z13" i="1"/>
  <c r="AA13" i="1"/>
  <c r="Z14" i="1"/>
  <c r="Z15" i="1"/>
  <c r="Z16" i="1"/>
  <c r="Z17" i="1"/>
  <c r="Z18" i="1"/>
  <c r="Z19" i="1"/>
  <c r="AA19" i="1"/>
  <c r="Z20" i="1"/>
  <c r="AA20" i="1"/>
  <c r="Z21" i="1"/>
  <c r="AA21" i="1"/>
  <c r="Z22" i="1"/>
  <c r="Z23" i="1"/>
  <c r="Z24" i="1"/>
  <c r="Z25" i="1"/>
  <c r="Z26" i="1"/>
  <c r="Z27" i="1"/>
  <c r="AA27" i="1"/>
  <c r="Z28" i="1"/>
  <c r="AA28" i="1"/>
  <c r="Z29" i="1"/>
  <c r="AA29" i="1"/>
  <c r="Z30" i="1"/>
  <c r="Z31" i="1"/>
  <c r="Z32" i="1"/>
  <c r="Z33" i="1"/>
  <c r="Z34" i="1"/>
  <c r="Z35" i="1"/>
  <c r="AA35" i="1"/>
  <c r="Z36" i="1"/>
  <c r="AA36" i="1"/>
  <c r="Z37" i="1"/>
  <c r="Z38" i="1"/>
  <c r="Z4" i="1"/>
  <c r="X4" i="1"/>
  <c r="AA4" i="1" s="1"/>
  <c r="X5" i="1"/>
  <c r="X6" i="1"/>
  <c r="AA6" i="1" s="1"/>
  <c r="X7" i="1"/>
  <c r="AA7" i="1" s="1"/>
  <c r="X8" i="1"/>
  <c r="AA8" i="1" s="1"/>
  <c r="X9" i="1"/>
  <c r="AA9" i="1" s="1"/>
  <c r="X10" i="1"/>
  <c r="AA10" i="1" s="1"/>
  <c r="X11" i="1"/>
  <c r="X12" i="1"/>
  <c r="X13" i="1"/>
  <c r="X14" i="1"/>
  <c r="AA14" i="1" s="1"/>
  <c r="X15" i="1"/>
  <c r="AA15" i="1" s="1"/>
  <c r="X16" i="1"/>
  <c r="AA16" i="1" s="1"/>
  <c r="X17" i="1"/>
  <c r="AA17" i="1" s="1"/>
  <c r="X18" i="1"/>
  <c r="AA18" i="1" s="1"/>
  <c r="X19" i="1"/>
  <c r="X42" i="1" s="1"/>
  <c r="X20" i="1"/>
  <c r="X21" i="1"/>
  <c r="X22" i="1"/>
  <c r="AA22" i="1" s="1"/>
  <c r="X23" i="1"/>
  <c r="X43" i="1" s="1"/>
  <c r="X24" i="1"/>
  <c r="AA24" i="1" s="1"/>
  <c r="X25" i="1"/>
  <c r="AA25" i="1" s="1"/>
  <c r="X26" i="1"/>
  <c r="AA26" i="1" s="1"/>
  <c r="X27" i="1"/>
  <c r="X44" i="1" s="1"/>
  <c r="AA44" i="1" s="1"/>
  <c r="X28" i="1"/>
  <c r="X29" i="1"/>
  <c r="X30" i="1"/>
  <c r="AA30" i="1" s="1"/>
  <c r="X31" i="1"/>
  <c r="AA31" i="1" s="1"/>
  <c r="X32" i="1"/>
  <c r="AA32" i="1" s="1"/>
  <c r="X33" i="1"/>
  <c r="AA33" i="1" s="1"/>
  <c r="X34" i="1"/>
  <c r="AA34" i="1" s="1"/>
  <c r="X35" i="1"/>
  <c r="X36" i="1"/>
  <c r="X3" i="1"/>
  <c r="AA43" i="1" l="1"/>
  <c r="AA2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3" i="1"/>
  <c r="S3" i="1" l="1"/>
  <c r="S4" i="1" l="1"/>
  <c r="S12" i="1"/>
  <c r="S7" i="1"/>
  <c r="S13" i="1"/>
  <c r="S11" i="1"/>
  <c r="S10" i="1"/>
  <c r="S14" i="1"/>
  <c r="S6" i="1"/>
  <c r="S8" i="1"/>
  <c r="S5" i="1"/>
  <c r="S9" i="1"/>
  <c r="S15" i="1" l="1"/>
  <c r="S18" i="1" l="1"/>
  <c r="S23" i="1"/>
  <c r="S24" i="1"/>
  <c r="S26" i="1"/>
  <c r="S20" i="1"/>
  <c r="S22" i="1"/>
  <c r="S21" i="1"/>
  <c r="S17" i="1"/>
  <c r="S19" i="1"/>
  <c r="S25" i="1"/>
  <c r="S16" i="1"/>
  <c r="S27" i="1" l="1"/>
  <c r="S30" i="1" l="1"/>
  <c r="S34" i="1"/>
  <c r="S32" i="1"/>
  <c r="S35" i="1"/>
  <c r="S38" i="1"/>
  <c r="S31" i="1"/>
  <c r="S28" i="1"/>
  <c r="S37" i="1"/>
  <c r="S29" i="1"/>
  <c r="S36" i="1"/>
  <c r="S33" i="1"/>
  <c r="S39" i="1" l="1"/>
  <c r="S42" i="1" l="1"/>
  <c r="S41" i="1"/>
  <c r="S40" i="1"/>
  <c r="M85" i="1" l="1"/>
  <c r="M84" i="1"/>
  <c r="M82" i="1"/>
  <c r="M81" i="1"/>
  <c r="M79" i="1"/>
  <c r="M78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L41" i="1"/>
  <c r="L42" i="1"/>
  <c r="L43" i="1"/>
  <c r="M86" i="1"/>
  <c r="M83" i="1"/>
  <c r="M80" i="1"/>
  <c r="M77" i="1"/>
  <c r="D104" i="7"/>
  <c r="C104" i="7"/>
  <c r="E103" i="7"/>
  <c r="D103" i="7"/>
  <c r="C103" i="7"/>
  <c r="E102" i="7"/>
  <c r="D102" i="7"/>
  <c r="C102" i="7"/>
  <c r="E101" i="7"/>
  <c r="C101" i="7"/>
  <c r="E100" i="7"/>
  <c r="D100" i="7"/>
  <c r="C100" i="7"/>
  <c r="E99" i="7"/>
  <c r="D99" i="7"/>
  <c r="C99" i="7"/>
  <c r="E98" i="7"/>
  <c r="D98" i="7"/>
  <c r="C98" i="7"/>
  <c r="E97" i="7"/>
  <c r="D97" i="7"/>
  <c r="C97" i="7"/>
  <c r="E96" i="7"/>
  <c r="D96" i="7"/>
  <c r="C96" i="7"/>
  <c r="E95" i="7"/>
  <c r="D95" i="7"/>
  <c r="C95" i="7"/>
  <c r="E94" i="7"/>
  <c r="D94" i="7"/>
  <c r="C94" i="7"/>
  <c r="E93" i="7"/>
  <c r="D93" i="7"/>
  <c r="C93" i="7"/>
  <c r="E92" i="7"/>
  <c r="D92" i="7"/>
  <c r="C92" i="7"/>
  <c r="B102" i="7" s="1"/>
  <c r="B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B98" i="7" l="1"/>
  <c r="B96" i="7"/>
  <c r="B101" i="7"/>
  <c r="B99" i="7"/>
  <c r="B95" i="7"/>
  <c r="B104" i="7"/>
  <c r="B93" i="7"/>
</calcChain>
</file>

<file path=xl/sharedStrings.xml><?xml version="1.0" encoding="utf-8"?>
<sst xmlns="http://schemas.openxmlformats.org/spreadsheetml/2006/main" count="510" uniqueCount="296">
  <si>
    <t>Swati Dhingra</t>
  </si>
  <si>
    <t>Alan Taylor</t>
  </si>
  <si>
    <t>Sarah Breeden</t>
  </si>
  <si>
    <t>Andrew Bailey</t>
  </si>
  <si>
    <t>Clare Lombardelli</t>
  </si>
  <si>
    <t>Dave Ramsden</t>
  </si>
  <si>
    <t>Megan Greene</t>
  </si>
  <si>
    <t>Catherine Mann</t>
  </si>
  <si>
    <t>Huw Pill</t>
  </si>
  <si>
    <t>Dove-hawk scale</t>
  </si>
  <si>
    <t>Jun vote</t>
  </si>
  <si>
    <t>Aug vote</t>
  </si>
  <si>
    <t>Cut</t>
  </si>
  <si>
    <t>Hold</t>
  </si>
  <si>
    <t>Private sector pay growth</t>
  </si>
  <si>
    <t>Outturn</t>
  </si>
  <si>
    <t>BoE forecast</t>
  </si>
  <si>
    <t>Section 2: Current economic conditions</t>
  </si>
  <si>
    <t>Chart 2.16 - Measures of private sector wage growth</t>
  </si>
  <si>
    <t>Date</t>
  </si>
  <si>
    <t>Private sector regular pay</t>
  </si>
  <si>
    <t>Indicator-based model</t>
  </si>
  <si>
    <t>Agents' Pay survey</t>
  </si>
  <si>
    <t>DMP expected wage growth</t>
  </si>
  <si>
    <t>Indeed wage tracker</t>
  </si>
  <si>
    <t>KPMG/REC (advanced 12 months)</t>
  </si>
  <si>
    <t>HMRC RTI median (private sector proxy)</t>
  </si>
  <si>
    <t>DMP (realised)</t>
  </si>
  <si>
    <t>n.a</t>
  </si>
  <si>
    <t>No permissions</t>
  </si>
  <si>
    <t>Mar 2025
(Bank staff projections)</t>
  </si>
  <si>
    <t>June 2025
(Bank staff projections)</t>
  </si>
  <si>
    <t>September 2025
(Bank staff projections)</t>
  </si>
  <si>
    <t>December 2025
(Bank staff projections)</t>
  </si>
  <si>
    <t>March 2026
(Bank staff projections)</t>
  </si>
  <si>
    <t>KAJ4@UK</t>
  </si>
  <si>
    <t>201001 !M</t>
  </si>
  <si>
    <t>201001</t>
  </si>
  <si>
    <t>.DTLM</t>
  </si>
  <si>
    <t>.LSOURCE</t>
  </si>
  <si>
    <t>.TN</t>
  </si>
  <si>
    <t>.T1</t>
  </si>
  <si>
    <t>.DESC</t>
  </si>
  <si>
    <t>May-13-2025 07:03</t>
  </si>
  <si>
    <t>Office for National Statistics</t>
  </si>
  <si>
    <t>Mar-2025</t>
  </si>
  <si>
    <t>Mar-2001</t>
  </si>
  <si>
    <t>Great Britain: AWE, Regular Pay: Private Sector [3Mo Mvg Avg vs Yr Ago] (SA, %)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</si>
  <si>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</si>
  <si>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</si>
  <si>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</si>
  <si>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</si>
  <si>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</si>
  <si>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</si>
  <si>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</si>
  <si>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</si>
  <si>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</si>
  <si>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</si>
  <si>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</si>
  <si>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</si>
  <si>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</si>
  <si>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</si>
  <si>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</si>
  <si>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</si>
  <si>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</si>
  <si>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</si>
  <si>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</si>
  <si>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</si>
  <si>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</si>
  <si>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</si>
  <si>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</si>
  <si>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</si>
  <si>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</si>
  <si>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</si>
  <si>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</si>
  <si>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</si>
  <si>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</si>
  <si>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</si>
  <si>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</si>
  <si>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</si>
  <si>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</si>
  <si>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</si>
  <si>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</si>
  <si>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</si>
  <si>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</si>
  <si>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</si>
  <si>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</si>
  <si>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</si>
  <si>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</si>
  <si>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</si>
  <si>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</si>
  <si>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</si>
  <si>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</si>
  <si>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</si>
  <si>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</si>
  <si>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</si>
  <si>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</si>
  <si>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</si>
  <si>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</si>
  <si>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</si>
  <si>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</si>
  <si>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</si>
  <si>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</si>
  <si>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</si>
  <si>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</si>
  <si>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</si>
  <si>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</si>
  <si>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</si>
  <si>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</si>
  <si>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</si>
  <si>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</si>
  <si>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</si>
  <si>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</si>
  <si>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</si>
  <si>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</si>
  <si>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</si>
  <si>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</si>
  <si>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</si>
  <si>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</si>
  <si>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</si>
  <si>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</si>
  <si>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</si>
  <si>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</si>
  <si>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</si>
  <si>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</si>
  <si>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</si>
  <si>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</si>
  <si>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</si>
  <si>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</si>
  <si>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</si>
  <si>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</si>
  <si>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</si>
  <si>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</si>
  <si>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</si>
  <si>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</si>
  <si>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</si>
  <si>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</si>
  <si>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</si>
  <si>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</si>
  <si>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</si>
  <si>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</si>
  <si>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</si>
  <si>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</si>
  <si>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</si>
  <si>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</si>
  <si>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</si>
  <si>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</si>
  <si>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</si>
  <si>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</si>
  <si>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</si>
  <si>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</si>
  <si>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</si>
  <si>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</si>
  <si>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</si>
  <si>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</si>
  <si>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</si>
  <si>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</si>
  <si>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</si>
  <si>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</si>
  <si>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</si>
  <si>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</si>
  <si>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</si>
  <si>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</si>
  <si>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</si>
  <si>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</si>
  <si>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</si>
  <si>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</si>
  <si>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</si>
  <si>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</si>
  <si>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</si>
  <si>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</si>
  <si>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</si>
  <si>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</si>
  <si>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</si>
  <si>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</si>
  <si>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</si>
  <si>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</si>
  <si>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</si>
  <si>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</si>
  <si>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</si>
  <si>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</si>
  <si>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</si>
  <si>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</si>
  <si>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</si>
  <si>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</si>
  <si>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</si>
  <si>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</si>
  <si>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</si>
  <si>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</si>
  <si>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</si>
  <si>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</si>
  <si>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</si>
  <si>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</si>
  <si>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</si>
  <si>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</si>
  <si>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</si>
  <si>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</si>
  <si>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</si>
  <si>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</si>
  <si>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</si>
  <si>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</si>
  <si>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</si>
  <si>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</si>
  <si>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</si>
  <si>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</si>
  <si>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</si>
  <si>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</si>
  <si>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</si>
  <si>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</si>
  <si>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</si>
  <si>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</si>
  <si>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</si>
  <si>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</si>
  <si>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</si>
  <si>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</si>
  <si>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</si>
  <si>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</si>
  <si>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</si>
  <si>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</si>
  <si>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</si>
  <si>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</si>
  <si>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</si>
  <si>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</si>
  <si>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</si>
  <si>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</si>
  <si>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</si>
  <si>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</si>
  <si>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</si>
  <si>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</si>
  <si>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</si>
  <si>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Underlying services inflation</t>
  </si>
  <si>
    <t>Headline services inflation</t>
  </si>
  <si>
    <t>BoE's measure of underlying services inflation*</t>
  </si>
  <si>
    <t>D7F5@UK</t>
  </si>
  <si>
    <t>May-21-2025 07:02</t>
  </si>
  <si>
    <t>Apr-2025</t>
  </si>
  <si>
    <t>Jan-1988</t>
  </si>
  <si>
    <t>UK: Consumer Price Index: All Services (NSA, 2015=100)</t>
  </si>
  <si>
    <t>202504</t>
  </si>
  <si>
    <t>GDP, £ billion chained-volume measure (reference year 2022)</t>
  </si>
  <si>
    <t>GDP projections based on market interest rate expectations, other policy measures as announced</t>
  </si>
  <si>
    <t>GDP projections based on interest rates constant at 4.25%, other policy measures as announced</t>
  </si>
  <si>
    <t>DATE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</si>
  <si>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</si>
  <si>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</si>
  <si>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</si>
  <si>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</si>
  <si>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</si>
  <si>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</si>
  <si>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</si>
  <si>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</si>
  <si>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</si>
  <si>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</si>
  <si>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</si>
  <si>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</si>
  <si>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</si>
  <si>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</si>
  <si>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</si>
  <si>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</si>
  <si>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</si>
  <si>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</si>
  <si>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</si>
  <si>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</si>
  <si>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</si>
  <si>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</si>
  <si>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</si>
  <si>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</si>
  <si>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</si>
  <si>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</si>
  <si>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2026Q3</t>
  </si>
  <si>
    <t>2026Q4</t>
  </si>
  <si>
    <t>2027Q1</t>
  </si>
  <si>
    <t>2027Q2</t>
  </si>
  <si>
    <t>2027Q3</t>
  </si>
  <si>
    <t>2027Q4</t>
  </si>
  <si>
    <t>2028Q1</t>
  </si>
  <si>
    <t>2028Q2</t>
  </si>
  <si>
    <t>GDP level</t>
  </si>
  <si>
    <t>a</t>
  </si>
  <si>
    <t>OE</t>
  </si>
  <si>
    <t>BoE (mkt)</t>
  </si>
  <si>
    <t>2028Q3</t>
  </si>
  <si>
    <t>2028Q4</t>
  </si>
  <si>
    <t>OE q/q</t>
  </si>
  <si>
    <t>BoE q/q</t>
  </si>
  <si>
    <t>BoE</t>
  </si>
  <si>
    <t>Pill</t>
  </si>
  <si>
    <t>Mann</t>
  </si>
  <si>
    <t xml:space="preserve">Greene </t>
  </si>
  <si>
    <t>Bailey</t>
  </si>
  <si>
    <t>Lombardelli</t>
  </si>
  <si>
    <t>Ramsden</t>
  </si>
  <si>
    <t>Breeden</t>
  </si>
  <si>
    <t>Taylor</t>
  </si>
  <si>
    <t>Dhingra</t>
  </si>
  <si>
    <t>Zeroline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</si>
</sst>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mmm\ yyyy"/>
    <numFmt numFmtId="166" formatCode="0.00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color rgb="FFFF0000"/>
      <name val="Times New Roman"/>
      <family val="1"/>
    </font>
    <font>
      <sz val="11"/>
      <color indexed="12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3" fillId="0" borderId="0"/>
  </cellStyleXfs>
  <cellXfs count="40">
    <xf numFmtId="0" fontId="0" fillId="0" borderId="0" xfId="0"/>
    <xf numFmtId="0" fontId="2" fillId="0" borderId="0" xfId="0" applyFont="1"/>
    <xf numFmtId="164" fontId="0" fillId="0" borderId="0" xfId="0" applyNumberFormat="1"/>
    <xf numFmtId="14" fontId="0" fillId="0" borderId="0" xfId="0" applyNumberFormat="1" applyAlignment="1">
      <alignment horizontal="left" vertical="center"/>
    </xf>
    <xf numFmtId="15" fontId="4" fillId="0" borderId="0" xfId="1" applyNumberFormat="1" applyFont="1" applyAlignment="1">
      <alignment horizontal="left" vertical="center"/>
    </xf>
    <xf numFmtId="2" fontId="5" fillId="0" borderId="0" xfId="2" applyNumberFormat="1" applyFont="1"/>
    <xf numFmtId="0" fontId="5" fillId="0" borderId="0" xfId="2" applyFont="1"/>
    <xf numFmtId="15" fontId="7" fillId="0" borderId="0" xfId="1" applyNumberFormat="1" applyFont="1" applyAlignment="1">
      <alignment horizontal="left" vertical="center"/>
    </xf>
    <xf numFmtId="0" fontId="8" fillId="0" borderId="0" xfId="2" applyFont="1"/>
    <xf numFmtId="2" fontId="9" fillId="0" borderId="1" xfId="3" applyNumberFormat="1" applyFont="1" applyBorder="1" applyAlignment="1">
      <alignment horizontal="center" vertical="center" wrapText="1"/>
    </xf>
    <xf numFmtId="2" fontId="9" fillId="0" borderId="2" xfId="3" applyNumberFormat="1" applyFont="1" applyBorder="1" applyAlignment="1">
      <alignment horizontal="center" vertical="center" wrapText="1"/>
    </xf>
    <xf numFmtId="2" fontId="9" fillId="0" borderId="0" xfId="3" applyNumberFormat="1" applyFont="1" applyAlignment="1">
      <alignment horizontal="center" vertical="center" wrapText="1"/>
    </xf>
    <xf numFmtId="165" fontId="6" fillId="0" borderId="0" xfId="2" applyNumberFormat="1" applyFont="1" applyAlignment="1">
      <alignment horizontal="center"/>
    </xf>
    <xf numFmtId="164" fontId="6" fillId="0" borderId="0" xfId="2" applyNumberFormat="1" applyFont="1" applyAlignment="1">
      <alignment horizontal="center"/>
    </xf>
    <xf numFmtId="164" fontId="6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2" fontId="6" fillId="0" borderId="0" xfId="2" applyNumberFormat="1" applyFont="1" applyAlignment="1">
      <alignment horizontal="center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 wrapText="1"/>
    </xf>
    <xf numFmtId="0" fontId="12" fillId="2" borderId="0" xfId="0" applyFont="1" applyFill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2" borderId="0" xfId="0" applyNumberFormat="1" applyFill="1"/>
    <xf numFmtId="164" fontId="0" fillId="3" borderId="0" xfId="0" applyNumberFormat="1" applyFill="1"/>
    <xf numFmtId="166" fontId="0" fillId="3" borderId="0" xfId="0" applyNumberFormat="1" applyFill="1"/>
    <xf numFmtId="0" fontId="10" fillId="2" borderId="0" xfId="0" applyFont="1" applyFill="1"/>
    <xf numFmtId="0" fontId="11" fillId="0" borderId="0" xfId="0" applyFont="1"/>
    <xf numFmtId="1" fontId="0" fillId="0" borderId="0" xfId="0" applyNumberFormat="1"/>
    <xf numFmtId="1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4 2 2" xfId="2" xr:uid="{028E05FD-1267-4A09-A395-0AC0E0B16341}"/>
    <cellStyle name="Normal_Section 1 Data for the web  " xfId="3" xr:uid="{AEAEE2BC-F826-4BA4-8109-D7AF958D9839}"/>
    <cellStyle name="Normal_Sheet1 2" xfId="1" xr:uid="{CD274410-E93C-4FC8-A9C0-A164A3074157}"/>
  </cellStyles>
  <dxfs count="0"/>
  <tableStyles count="0" defaultTableStyle="TableStyleMedium2" defaultPivotStyle="PivotStyleLight16"/>
  <colors>
    <mruColors>
      <color rgb="FFFFFFFF"/>
      <color rgb="FF003469"/>
      <color rgb="FFBD1B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theme" Target="theme/theme1.xml"/><Relationship Id="rId3" Type="http://schemas.openxmlformats.org/officeDocument/2006/relationships/worksheet" Target="worksheets/sheet1.xml"/><Relationship Id="rId7" Type="http://schemas.openxmlformats.org/officeDocument/2006/relationships/chartsheet" Target="chartsheets/sheet4.xml"/><Relationship Id="rId12" Type="http://schemas.openxmlformats.org/officeDocument/2006/relationships/externalLink" Target="externalLinks/externalLink1.xml"/><Relationship Id="rId2" Type="http://schemas.openxmlformats.org/officeDocument/2006/relationships/chartsheet" Target="chartsheets/sheet2.xml"/><Relationship Id="rId16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3.xml"/><Relationship Id="rId11" Type="http://schemas.openxmlformats.org/officeDocument/2006/relationships/chartsheet" Target="chartsheets/sheet6.xml"/><Relationship Id="rId5" Type="http://schemas.openxmlformats.org/officeDocument/2006/relationships/worksheet" Target="worksheets/sheet3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5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5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9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11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3181025279235784"/>
          <c:y val="0.14555765595463138"/>
          <c:w val="0.34915275915968585"/>
          <c:h val="0.721486174730758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Dove-hawk scale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BD1B21"/>
              </a:solidFill>
              <a:prstDash val="solid"/>
            </a:ln>
            <a:effectLst/>
          </c:spPr>
          <c:invertIfNegative val="0"/>
          <c:cat>
            <c:strRef>
              <c:f>'Chart Data'!$G$2:$G$10</c:f>
              <c:strCache>
                <c:ptCount val="9"/>
                <c:pt idx="0">
                  <c:v>Pill</c:v>
                </c:pt>
                <c:pt idx="1">
                  <c:v>Mann</c:v>
                </c:pt>
                <c:pt idx="2">
                  <c:v>Greene </c:v>
                </c:pt>
                <c:pt idx="3">
                  <c:v>Bailey</c:v>
                </c:pt>
                <c:pt idx="4">
                  <c:v>Lombardelli</c:v>
                </c:pt>
                <c:pt idx="5">
                  <c:v>Ramsden</c:v>
                </c:pt>
                <c:pt idx="6">
                  <c:v>Breeden</c:v>
                </c:pt>
                <c:pt idx="7">
                  <c:v>Taylor</c:v>
                </c:pt>
                <c:pt idx="8">
                  <c:v>Dhingra</c:v>
                </c:pt>
              </c:strCache>
            </c:strRef>
          </c:cat>
          <c:val>
            <c:numRef>
              <c:f>'Chart Data'!$H$2:$H$10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0.25</c:v>
                </c:pt>
                <c:pt idx="5">
                  <c:v>0</c:v>
                </c:pt>
                <c:pt idx="6">
                  <c:v>-0.5</c:v>
                </c:pt>
                <c:pt idx="7">
                  <c:v>-1.4</c:v>
                </c:pt>
                <c:pt idx="8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5-4F6F-8194-6B9373F69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800" b="0" i="0" u="none" strike="noStrike" kern="1200" baseline="0">
                <a:solidFill>
                  <a:srgbClr val="FFFFFF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noMultiLvlLbl val="0"/>
      </c:catAx>
      <c:valAx>
        <c:axId val="1631339631"/>
        <c:scaling>
          <c:orientation val="minMax"/>
          <c:max val="2"/>
          <c:min val="-2"/>
        </c:scaling>
        <c:delete val="1"/>
        <c:axPos val="b"/>
        <c:numFmt formatCode="General" sourceLinked="0"/>
        <c:majorTickMark val="out"/>
        <c:minorTickMark val="none"/>
        <c:tickLblPos val="nextTo"/>
        <c:crossAx val="1639976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0757948242894979E-2"/>
          <c:y val="0.14739606745754133"/>
          <c:w val="0.39001947720335861"/>
          <c:h val="0.7138610958129288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Data'!$K$39:$K$86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Data'!$L$39:$L$86</c:f>
              <c:numCache>
                <c:formatCode>0.0</c:formatCode>
                <c:ptCount val="48"/>
                <c:pt idx="0">
                  <c:v>4.5</c:v>
                </c:pt>
                <c:pt idx="1">
                  <c:v>4.9000000000000004</c:v>
                </c:pt>
                <c:pt idx="2">
                  <c:v>5.3</c:v>
                </c:pt>
                <c:pt idx="3">
                  <c:v>5.2</c:v>
                </c:pt>
                <c:pt idx="4">
                  <c:v>5.4</c:v>
                </c:pt>
                <c:pt idx="5">
                  <c:v>5.7</c:v>
                </c:pt>
                <c:pt idx="6">
                  <c:v>6.1</c:v>
                </c:pt>
                <c:pt idx="7">
                  <c:v>6.4</c:v>
                </c:pt>
                <c:pt idx="8">
                  <c:v>6.7</c:v>
                </c:pt>
                <c:pt idx="9">
                  <c:v>7</c:v>
                </c:pt>
                <c:pt idx="10">
                  <c:v>7.3</c:v>
                </c:pt>
                <c:pt idx="11">
                  <c:v>7.3</c:v>
                </c:pt>
                <c:pt idx="12">
                  <c:v>7.1</c:v>
                </c:pt>
                <c:pt idx="13">
                  <c:v>7.1</c:v>
                </c:pt>
                <c:pt idx="14">
                  <c:v>7.2</c:v>
                </c:pt>
                <c:pt idx="15">
                  <c:v>7.7</c:v>
                </c:pt>
                <c:pt idx="16">
                  <c:v>7.9</c:v>
                </c:pt>
                <c:pt idx="17">
                  <c:v>8.1999999999999993</c:v>
                </c:pt>
                <c:pt idx="18">
                  <c:v>8.1</c:v>
                </c:pt>
                <c:pt idx="19">
                  <c:v>8.1</c:v>
                </c:pt>
                <c:pt idx="20">
                  <c:v>7.8</c:v>
                </c:pt>
                <c:pt idx="21">
                  <c:v>7.2</c:v>
                </c:pt>
                <c:pt idx="22">
                  <c:v>6.6</c:v>
                </c:pt>
                <c:pt idx="23">
                  <c:v>6.2</c:v>
                </c:pt>
                <c:pt idx="24">
                  <c:v>6.1</c:v>
                </c:pt>
                <c:pt idx="25">
                  <c:v>5.9</c:v>
                </c:pt>
                <c:pt idx="26">
                  <c:v>5.8</c:v>
                </c:pt>
                <c:pt idx="27">
                  <c:v>5.7</c:v>
                </c:pt>
                <c:pt idx="28">
                  <c:v>5.6</c:v>
                </c:pt>
                <c:pt idx="29">
                  <c:v>5.4</c:v>
                </c:pt>
                <c:pt idx="30">
                  <c:v>5.2</c:v>
                </c:pt>
                <c:pt idx="31">
                  <c:v>5.0999999999999996</c:v>
                </c:pt>
                <c:pt idx="32">
                  <c:v>5.0999999999999996</c:v>
                </c:pt>
                <c:pt idx="33">
                  <c:v>5.6</c:v>
                </c:pt>
                <c:pt idx="34">
                  <c:v>5.9</c:v>
                </c:pt>
                <c:pt idx="35">
                  <c:v>6.2</c:v>
                </c:pt>
                <c:pt idx="36">
                  <c:v>5.9</c:v>
                </c:pt>
                <c:pt idx="37">
                  <c:v>5.9</c:v>
                </c:pt>
                <c:pt idx="38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18-4552-ACF1-1C788D1E3149}"/>
            </c:ext>
          </c:extLst>
        </c:ser>
        <c:ser>
          <c:idx val="1"/>
          <c:order val="1"/>
          <c:tx>
            <c:strRef>
              <c:f>'Chart Data'!$M$2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3469"/>
              </a:solidFill>
              <a:ln>
                <a:noFill/>
              </a:ln>
            </c:spPr>
          </c:marker>
          <c:cat>
            <c:numRef>
              <c:f>'Chart Data'!$K$39:$K$86</c:f>
              <c:numCache>
                <c:formatCode>m/d/yyyy</c:formatCode>
                <c:ptCount val="48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</c:numCache>
            </c:numRef>
          </c:cat>
          <c:val>
            <c:numRef>
              <c:f>'Chart Data'!$M$39:$M$86</c:f>
              <c:numCache>
                <c:formatCode>General</c:formatCode>
                <c:ptCount val="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 formatCode="0.0">
                  <c:v>5.7590000000000003</c:v>
                </c:pt>
                <c:pt idx="39">
                  <c:v>#N/A</c:v>
                </c:pt>
                <c:pt idx="40">
                  <c:v>#N/A</c:v>
                </c:pt>
                <c:pt idx="41" formatCode="0.0">
                  <c:v>5.202</c:v>
                </c:pt>
                <c:pt idx="42">
                  <c:v>#N/A</c:v>
                </c:pt>
                <c:pt idx="43">
                  <c:v>#N/A</c:v>
                </c:pt>
                <c:pt idx="44" formatCode="0.0">
                  <c:v>4.7110000000000003</c:v>
                </c:pt>
                <c:pt idx="45">
                  <c:v>#N/A</c:v>
                </c:pt>
                <c:pt idx="46">
                  <c:v>#N/A</c:v>
                </c:pt>
                <c:pt idx="47" formatCode="0.0">
                  <c:v>3.8410000000000002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18-4552-ACF1-1C788D1E3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13257182218738495"/>
          <c:y val="0.58117589271095371"/>
          <c:w val="0.25982862436313109"/>
          <c:h val="0.1582334816843547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6890382159120131E-2"/>
          <c:y val="0.14897285792347639"/>
          <c:w val="0.81087396358537334"/>
          <c:h val="0.77339028214563665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Headline services inflation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Data'!$Q$3:$Q$44</c:f>
              <c:numCache>
                <c:formatCode>m/d/yyyy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'Chart Data'!$R$3:$R$44</c:f>
              <c:numCache>
                <c:formatCode>0.0</c:formatCode>
                <c:ptCount val="42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  <c:pt idx="31">
                  <c:v>5.5725190839694738</c:v>
                </c:pt>
                <c:pt idx="32">
                  <c:v>4.946727549467278</c:v>
                </c:pt>
                <c:pt idx="33">
                  <c:v>5.0037907505686041</c:v>
                </c:pt>
                <c:pt idx="34">
                  <c:v>5.0113895216401083</c:v>
                </c:pt>
                <c:pt idx="35">
                  <c:v>4.3609022556390986</c:v>
                </c:pt>
                <c:pt idx="36">
                  <c:v>5.0037907505686041</c:v>
                </c:pt>
                <c:pt idx="37">
                  <c:v>4.9736247174076986</c:v>
                </c:pt>
                <c:pt idx="38">
                  <c:v>4.7191011235955038</c:v>
                </c:pt>
                <c:pt idx="39">
                  <c:v>5.4612546125461403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A1-498F-8758-3968B2ECB5B4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BoE's measure of underlying services inflation*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Data'!$Q$3:$Q$44</c:f>
              <c:numCache>
                <c:formatCode>m/d/yyyy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'Chart Data'!$S$3:$S$44</c:f>
              <c:numCache>
                <c:formatCode>0.0</c:formatCode>
                <c:ptCount val="42"/>
                <c:pt idx="0">
                  <c:v>3.4144345590606084</c:v>
                </c:pt>
                <c:pt idx="1">
                  <c:v>3.6825479227189373</c:v>
                </c:pt>
                <c:pt idx="2">
                  <c:v>4.3041571219982755</c:v>
                </c:pt>
                <c:pt idx="3">
                  <c:v>5.190256569909435</c:v>
                </c:pt>
                <c:pt idx="4">
                  <c:v>5.2311232829309162</c:v>
                </c:pt>
                <c:pt idx="5">
                  <c:v>5.3913727621504481</c:v>
                </c:pt>
                <c:pt idx="6">
                  <c:v>5.6563703598671911</c:v>
                </c:pt>
                <c:pt idx="7">
                  <c:v>6.0002873717314387</c:v>
                </c:pt>
                <c:pt idx="8">
                  <c:v>5.9818641034669051</c:v>
                </c:pt>
                <c:pt idx="9">
                  <c:v>6.2279616188352538</c:v>
                </c:pt>
                <c:pt idx="10">
                  <c:v>6.6721766858495624</c:v>
                </c:pt>
                <c:pt idx="11">
                  <c:v>6.9554919075712762</c:v>
                </c:pt>
                <c:pt idx="12">
                  <c:v>6.3888859950958832</c:v>
                </c:pt>
                <c:pt idx="13">
                  <c:v>7.4140323862877944</c:v>
                </c:pt>
                <c:pt idx="14">
                  <c:v>7.0935121976274385</c:v>
                </c:pt>
                <c:pt idx="15">
                  <c:v>6.758211041698825</c:v>
                </c:pt>
                <c:pt idx="16">
                  <c:v>6.9726189579240039</c:v>
                </c:pt>
                <c:pt idx="17">
                  <c:v>6.8272077007515364</c:v>
                </c:pt>
                <c:pt idx="18">
                  <c:v>6.5465998909580714</c:v>
                </c:pt>
                <c:pt idx="19">
                  <c:v>6.3022688360604651</c:v>
                </c:pt>
                <c:pt idx="20">
                  <c:v>6.422589011373625</c:v>
                </c:pt>
                <c:pt idx="21">
                  <c:v>6.3254069852428429</c:v>
                </c:pt>
                <c:pt idx="22">
                  <c:v>5.7115575036153166</c:v>
                </c:pt>
                <c:pt idx="23">
                  <c:v>5.6967030390541851</c:v>
                </c:pt>
                <c:pt idx="24">
                  <c:v>6.3623903719528307</c:v>
                </c:pt>
                <c:pt idx="25">
                  <c:v>5.2837115884311059</c:v>
                </c:pt>
                <c:pt idx="26">
                  <c:v>5.1433798686348675</c:v>
                </c:pt>
                <c:pt idx="27">
                  <c:v>5.1603244729934161</c:v>
                </c:pt>
                <c:pt idx="28">
                  <c:v>4.8937543879563838</c:v>
                </c:pt>
                <c:pt idx="29">
                  <c:v>4.7659306302932247</c:v>
                </c:pt>
                <c:pt idx="30">
                  <c:v>4.8290598624020076</c:v>
                </c:pt>
                <c:pt idx="31">
                  <c:v>4.8032611854924134</c:v>
                </c:pt>
                <c:pt idx="32">
                  <c:v>4.6551381123994373</c:v>
                </c:pt>
                <c:pt idx="33">
                  <c:v>4.2953301154182499</c:v>
                </c:pt>
                <c:pt idx="34">
                  <c:v>4.59569591186062</c:v>
                </c:pt>
                <c:pt idx="35">
                  <c:v>4.421268161319758</c:v>
                </c:pt>
                <c:pt idx="36">
                  <c:v>4.2345706106455827</c:v>
                </c:pt>
                <c:pt idx="37">
                  <c:v>4.5106231363713167</c:v>
                </c:pt>
                <c:pt idx="38">
                  <c:v>4.4763402400622265</c:v>
                </c:pt>
                <c:pt idx="39">
                  <c:v>4.2794519592757929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A1-498F-8758-3968B2ECB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263608576"/>
        <c:scaling>
          <c:orientation val="minMax"/>
          <c:max val="9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9.309514553659852E-2"/>
          <c:y val="0.63075745359455149"/>
          <c:w val="0.90690485446340152"/>
          <c:h val="0.1693442225168802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923896390779208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Data'!$L$2</c:f>
              <c:strCache>
                <c:ptCount val="1"/>
                <c:pt idx="0">
                  <c:v>Outturn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Data'!$K$3:$K$86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Data'!$L$3:$L$86</c:f>
              <c:numCache>
                <c:formatCode>0.0</c:formatCode>
                <c:ptCount val="84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3.7</c:v>
                </c:pt>
                <c:pt idx="5">
                  <c:v>3.9</c:v>
                </c:pt>
                <c:pt idx="6">
                  <c:v>3.9</c:v>
                </c:pt>
                <c:pt idx="7">
                  <c:v>3.9</c:v>
                </c:pt>
                <c:pt idx="8">
                  <c:v>3.7</c:v>
                </c:pt>
                <c:pt idx="9">
                  <c:v>3.5</c:v>
                </c:pt>
                <c:pt idx="10">
                  <c:v>3.3</c:v>
                </c:pt>
                <c:pt idx="11">
                  <c:v>3.2</c:v>
                </c:pt>
                <c:pt idx="12">
                  <c:v>3</c:v>
                </c:pt>
                <c:pt idx="13">
                  <c:v>2.9</c:v>
                </c:pt>
                <c:pt idx="14">
                  <c:v>2.5</c:v>
                </c:pt>
                <c:pt idx="15">
                  <c:v>1.3</c:v>
                </c:pt>
                <c:pt idx="16">
                  <c:v>-0.1</c:v>
                </c:pt>
                <c:pt idx="17">
                  <c:v>-1.2</c:v>
                </c:pt>
                <c:pt idx="18">
                  <c:v>-0.8</c:v>
                </c:pt>
                <c:pt idx="19">
                  <c:v>0.1</c:v>
                </c:pt>
                <c:pt idx="20">
                  <c:v>1.4</c:v>
                </c:pt>
                <c:pt idx="21">
                  <c:v>2.4</c:v>
                </c:pt>
                <c:pt idx="22">
                  <c:v>3.3</c:v>
                </c:pt>
                <c:pt idx="23">
                  <c:v>3.9</c:v>
                </c:pt>
                <c:pt idx="24">
                  <c:v>4.0999999999999996</c:v>
                </c:pt>
                <c:pt idx="25">
                  <c:v>4.0999999999999996</c:v>
                </c:pt>
                <c:pt idx="26">
                  <c:v>4.3</c:v>
                </c:pt>
                <c:pt idx="27">
                  <c:v>5.7</c:v>
                </c:pt>
                <c:pt idx="28">
                  <c:v>7.2</c:v>
                </c:pt>
                <c:pt idx="29">
                  <c:v>8.4</c:v>
                </c:pt>
                <c:pt idx="30">
                  <c:v>7.8</c:v>
                </c:pt>
                <c:pt idx="31">
                  <c:v>6.8</c:v>
                </c:pt>
                <c:pt idx="32">
                  <c:v>5.6</c:v>
                </c:pt>
                <c:pt idx="33">
                  <c:v>4.8</c:v>
                </c:pt>
                <c:pt idx="34">
                  <c:v>4.3</c:v>
                </c:pt>
                <c:pt idx="35">
                  <c:v>4.2</c:v>
                </c:pt>
                <c:pt idx="36">
                  <c:v>4.5</c:v>
                </c:pt>
                <c:pt idx="37">
                  <c:v>4.9000000000000004</c:v>
                </c:pt>
                <c:pt idx="38">
                  <c:v>5.3</c:v>
                </c:pt>
                <c:pt idx="39">
                  <c:v>5.2</c:v>
                </c:pt>
                <c:pt idx="40">
                  <c:v>5.4</c:v>
                </c:pt>
                <c:pt idx="41">
                  <c:v>5.7</c:v>
                </c:pt>
                <c:pt idx="42">
                  <c:v>6.1</c:v>
                </c:pt>
                <c:pt idx="43">
                  <c:v>6.4</c:v>
                </c:pt>
                <c:pt idx="44">
                  <c:v>6.7</c:v>
                </c:pt>
                <c:pt idx="45">
                  <c:v>7</c:v>
                </c:pt>
                <c:pt idx="46">
                  <c:v>7.3</c:v>
                </c:pt>
                <c:pt idx="47">
                  <c:v>7.3</c:v>
                </c:pt>
                <c:pt idx="48">
                  <c:v>7.1</c:v>
                </c:pt>
                <c:pt idx="49">
                  <c:v>7.1</c:v>
                </c:pt>
                <c:pt idx="50">
                  <c:v>7.2</c:v>
                </c:pt>
                <c:pt idx="51">
                  <c:v>7.7</c:v>
                </c:pt>
                <c:pt idx="52">
                  <c:v>7.9</c:v>
                </c:pt>
                <c:pt idx="53">
                  <c:v>8.1999999999999993</c:v>
                </c:pt>
                <c:pt idx="54">
                  <c:v>8.1</c:v>
                </c:pt>
                <c:pt idx="55">
                  <c:v>8.1</c:v>
                </c:pt>
                <c:pt idx="56">
                  <c:v>7.8</c:v>
                </c:pt>
                <c:pt idx="57">
                  <c:v>7.2</c:v>
                </c:pt>
                <c:pt idx="58">
                  <c:v>6.6</c:v>
                </c:pt>
                <c:pt idx="59">
                  <c:v>6.2</c:v>
                </c:pt>
                <c:pt idx="60">
                  <c:v>6.1</c:v>
                </c:pt>
                <c:pt idx="61">
                  <c:v>5.9</c:v>
                </c:pt>
                <c:pt idx="62">
                  <c:v>5.8</c:v>
                </c:pt>
                <c:pt idx="63">
                  <c:v>5.7</c:v>
                </c:pt>
                <c:pt idx="64">
                  <c:v>5.6</c:v>
                </c:pt>
                <c:pt idx="65">
                  <c:v>5.4</c:v>
                </c:pt>
                <c:pt idx="66">
                  <c:v>5.2</c:v>
                </c:pt>
                <c:pt idx="67">
                  <c:v>5.0999999999999996</c:v>
                </c:pt>
                <c:pt idx="68">
                  <c:v>5.0999999999999996</c:v>
                </c:pt>
                <c:pt idx="69">
                  <c:v>5.6</c:v>
                </c:pt>
                <c:pt idx="70">
                  <c:v>5.9</c:v>
                </c:pt>
                <c:pt idx="71">
                  <c:v>6.2</c:v>
                </c:pt>
                <c:pt idx="72">
                  <c:v>5.9</c:v>
                </c:pt>
                <c:pt idx="73">
                  <c:v>5.9</c:v>
                </c:pt>
                <c:pt idx="74">
                  <c:v>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Data'!$M$2</c:f>
              <c:strCache>
                <c:ptCount val="1"/>
                <c:pt idx="0">
                  <c:v>BoE forecast</c:v>
                </c:pt>
              </c:strCache>
            </c:strRef>
          </c:tx>
          <c:spPr>
            <a:ln w="38100">
              <a:noFill/>
            </a:ln>
          </c:spPr>
          <c:marker>
            <c:symbol val="diamond"/>
            <c:size val="12"/>
            <c:spPr>
              <a:solidFill>
                <a:srgbClr val="003469"/>
              </a:solidFill>
              <a:ln>
                <a:noFill/>
              </a:ln>
            </c:spPr>
          </c:marker>
          <c:cat>
            <c:numRef>
              <c:f>'Chart Data'!$K$3:$K$86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Data'!$M$3:$M$86</c:f>
              <c:numCache>
                <c:formatCode>General</c:formatCode>
                <c:ptCount val="8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 formatCode="0.0">
                  <c:v>5.7590000000000003</c:v>
                </c:pt>
                <c:pt idx="75">
                  <c:v>#N/A</c:v>
                </c:pt>
                <c:pt idx="76">
                  <c:v>#N/A</c:v>
                </c:pt>
                <c:pt idx="77" formatCode="0.0">
                  <c:v>5.202</c:v>
                </c:pt>
                <c:pt idx="78">
                  <c:v>#N/A</c:v>
                </c:pt>
                <c:pt idx="79">
                  <c:v>#N/A</c:v>
                </c:pt>
                <c:pt idx="80" formatCode="0.0">
                  <c:v>4.7110000000000003</c:v>
                </c:pt>
                <c:pt idx="81">
                  <c:v>#N/A</c:v>
                </c:pt>
                <c:pt idx="82">
                  <c:v>#N/A</c:v>
                </c:pt>
                <c:pt idx="83" formatCode="0.0">
                  <c:v>3.8410000000000002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Data'!$N$2</c:f>
              <c:strCache>
                <c:ptCount val="1"/>
                <c:pt idx="0">
                  <c:v>Zeroline</c:v>
                </c:pt>
              </c:strCache>
            </c:strRef>
          </c:tx>
          <c:spPr>
            <a:ln w="9525">
              <a:solidFill>
                <a:sysClr val="windowText" lastClr="000000"/>
              </a:solidFill>
            </a:ln>
          </c:spPr>
          <c:marker>
            <c:symbol val="none"/>
          </c:marker>
          <c:cat>
            <c:numRef>
              <c:f>'Chart Data'!$K$3:$K$86</c:f>
              <c:numCache>
                <c:formatCode>m/d/yyyy</c:formatCode>
                <c:ptCount val="84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  <c:pt idx="41">
                  <c:v>44713</c:v>
                </c:pt>
                <c:pt idx="42">
                  <c:v>44743</c:v>
                </c:pt>
                <c:pt idx="43">
                  <c:v>44774</c:v>
                </c:pt>
                <c:pt idx="44">
                  <c:v>44805</c:v>
                </c:pt>
                <c:pt idx="45">
                  <c:v>44835</c:v>
                </c:pt>
                <c:pt idx="46">
                  <c:v>44866</c:v>
                </c:pt>
                <c:pt idx="47">
                  <c:v>44896</c:v>
                </c:pt>
                <c:pt idx="48">
                  <c:v>44927</c:v>
                </c:pt>
                <c:pt idx="49">
                  <c:v>44958</c:v>
                </c:pt>
                <c:pt idx="50">
                  <c:v>44986</c:v>
                </c:pt>
                <c:pt idx="51">
                  <c:v>45017</c:v>
                </c:pt>
                <c:pt idx="52">
                  <c:v>45047</c:v>
                </c:pt>
                <c:pt idx="53">
                  <c:v>45078</c:v>
                </c:pt>
                <c:pt idx="54">
                  <c:v>45108</c:v>
                </c:pt>
                <c:pt idx="55">
                  <c:v>45139</c:v>
                </c:pt>
                <c:pt idx="56">
                  <c:v>45170</c:v>
                </c:pt>
                <c:pt idx="57">
                  <c:v>45200</c:v>
                </c:pt>
                <c:pt idx="58">
                  <c:v>45231</c:v>
                </c:pt>
                <c:pt idx="59">
                  <c:v>45261</c:v>
                </c:pt>
                <c:pt idx="60">
                  <c:v>45292</c:v>
                </c:pt>
                <c:pt idx="61">
                  <c:v>45323</c:v>
                </c:pt>
                <c:pt idx="62">
                  <c:v>45352</c:v>
                </c:pt>
                <c:pt idx="63">
                  <c:v>45383</c:v>
                </c:pt>
                <c:pt idx="64">
                  <c:v>45413</c:v>
                </c:pt>
                <c:pt idx="65">
                  <c:v>45444</c:v>
                </c:pt>
                <c:pt idx="66">
                  <c:v>45474</c:v>
                </c:pt>
                <c:pt idx="67">
                  <c:v>45505</c:v>
                </c:pt>
                <c:pt idx="68">
                  <c:v>45536</c:v>
                </c:pt>
                <c:pt idx="69">
                  <c:v>45566</c:v>
                </c:pt>
                <c:pt idx="70">
                  <c:v>45597</c:v>
                </c:pt>
                <c:pt idx="71">
                  <c:v>45627</c:v>
                </c:pt>
                <c:pt idx="72">
                  <c:v>45658</c:v>
                </c:pt>
                <c:pt idx="73">
                  <c:v>45689</c:v>
                </c:pt>
                <c:pt idx="74">
                  <c:v>45717</c:v>
                </c:pt>
                <c:pt idx="75">
                  <c:v>45748</c:v>
                </c:pt>
                <c:pt idx="76">
                  <c:v>45778</c:v>
                </c:pt>
                <c:pt idx="77">
                  <c:v>45809</c:v>
                </c:pt>
                <c:pt idx="78">
                  <c:v>45839</c:v>
                </c:pt>
                <c:pt idx="79">
                  <c:v>45870</c:v>
                </c:pt>
                <c:pt idx="80">
                  <c:v>45901</c:v>
                </c:pt>
                <c:pt idx="81">
                  <c:v>45931</c:v>
                </c:pt>
                <c:pt idx="82">
                  <c:v>45962</c:v>
                </c:pt>
                <c:pt idx="83">
                  <c:v>45992</c:v>
                </c:pt>
              </c:numCache>
            </c:numRef>
          </c:cat>
          <c:val>
            <c:numRef>
              <c:f>'Chart Data'!$N$3:$N$86</c:f>
              <c:numCache>
                <c:formatCode>General</c:formatCode>
                <c:ptCount val="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2-4C1F-A59E-F91813379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egendEntry>
        <c:idx val="2"/>
        <c:delete val="1"/>
      </c:legendEntry>
      <c:layout>
        <c:manualLayout>
          <c:xMode val="edge"/>
          <c:yMode val="edge"/>
          <c:x val="0.35275401029545872"/>
          <c:y val="0.11047653371241868"/>
          <c:w val="0.37711371206744232"/>
          <c:h val="5.5952166429738326E-2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6.0331825037707393E-3"/>
          <c:y val="0.12476370510396975"/>
          <c:w val="0.9795895535682474"/>
          <c:h val="0.80907372400756139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Data'!$R$2</c:f>
              <c:strCache>
                <c:ptCount val="1"/>
                <c:pt idx="0">
                  <c:v>Headline services inflation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Data'!$Q$3:$Q$44</c:f>
              <c:numCache>
                <c:formatCode>m/d/yyyy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'Chart Data'!$R$3:$R$44</c:f>
              <c:numCache>
                <c:formatCode>0.0</c:formatCode>
                <c:ptCount val="42"/>
                <c:pt idx="0">
                  <c:v>3.2685512367491176</c:v>
                </c:pt>
                <c:pt idx="1">
                  <c:v>3.4391534391534417</c:v>
                </c:pt>
                <c:pt idx="2">
                  <c:v>3.9612676056338003</c:v>
                </c:pt>
                <c:pt idx="3">
                  <c:v>4.7244094488189115</c:v>
                </c:pt>
                <c:pt idx="4">
                  <c:v>4.8865619546247796</c:v>
                </c:pt>
                <c:pt idx="5">
                  <c:v>5.2173913043478182</c:v>
                </c:pt>
                <c:pt idx="6">
                  <c:v>5.7241977450130266</c:v>
                </c:pt>
                <c:pt idx="7">
                  <c:v>5.9585492227979264</c:v>
                </c:pt>
                <c:pt idx="8">
                  <c:v>6.1312607944732367</c:v>
                </c:pt>
                <c:pt idx="9">
                  <c:v>6.2660944206008651</c:v>
                </c:pt>
                <c:pt idx="10">
                  <c:v>6.3464837049742817</c:v>
                </c:pt>
                <c:pt idx="11">
                  <c:v>6.8376068376068355</c:v>
                </c:pt>
                <c:pt idx="12">
                  <c:v>5.9024807527801482</c:v>
                </c:pt>
                <c:pt idx="13">
                  <c:v>6.6496163682864484</c:v>
                </c:pt>
                <c:pt idx="14">
                  <c:v>6.6892464013547981</c:v>
                </c:pt>
                <c:pt idx="15">
                  <c:v>6.9340016708437702</c:v>
                </c:pt>
                <c:pt idx="16">
                  <c:v>7.3211314475873479</c:v>
                </c:pt>
                <c:pt idx="17">
                  <c:v>7.1900826446280819</c:v>
                </c:pt>
                <c:pt idx="18">
                  <c:v>7.4651353568498724</c:v>
                </c:pt>
                <c:pt idx="19">
                  <c:v>6.764466177669104</c:v>
                </c:pt>
                <c:pt idx="20">
                  <c:v>6.9161920260374377</c:v>
                </c:pt>
                <c:pt idx="21">
                  <c:v>6.5428109854604344</c:v>
                </c:pt>
                <c:pt idx="22">
                  <c:v>6.209677419354831</c:v>
                </c:pt>
                <c:pt idx="23">
                  <c:v>6.4000000000000057</c:v>
                </c:pt>
                <c:pt idx="24">
                  <c:v>6.5428109854604344</c:v>
                </c:pt>
                <c:pt idx="25">
                  <c:v>6.0751398880895202</c:v>
                </c:pt>
                <c:pt idx="26">
                  <c:v>5.9523809523809534</c:v>
                </c:pt>
                <c:pt idx="27">
                  <c:v>5.859375</c:v>
                </c:pt>
                <c:pt idx="28">
                  <c:v>5.7364341085271331</c:v>
                </c:pt>
                <c:pt idx="29">
                  <c:v>5.7054741711642265</c:v>
                </c:pt>
                <c:pt idx="30">
                  <c:v>5.1908396946565016</c:v>
                </c:pt>
                <c:pt idx="31">
                  <c:v>5.5725190839694738</c:v>
                </c:pt>
                <c:pt idx="32">
                  <c:v>4.946727549467278</c:v>
                </c:pt>
                <c:pt idx="33">
                  <c:v>5.0037907505686041</c:v>
                </c:pt>
                <c:pt idx="34">
                  <c:v>5.0113895216401083</c:v>
                </c:pt>
                <c:pt idx="35">
                  <c:v>4.3609022556390986</c:v>
                </c:pt>
                <c:pt idx="36">
                  <c:v>5.0037907505686041</c:v>
                </c:pt>
                <c:pt idx="37">
                  <c:v>4.9736247174076986</c:v>
                </c:pt>
                <c:pt idx="38">
                  <c:v>4.7191011235955038</c:v>
                </c:pt>
                <c:pt idx="39">
                  <c:v>5.4612546125461403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Data'!$S$2</c:f>
              <c:strCache>
                <c:ptCount val="1"/>
                <c:pt idx="0">
                  <c:v>BoE's measure of underlying services inflation*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Data'!$Q$3:$Q$44</c:f>
              <c:numCache>
                <c:formatCode>m/d/yyyy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'Chart Data'!$S$3:$S$44</c:f>
              <c:numCache>
                <c:formatCode>0.0</c:formatCode>
                <c:ptCount val="42"/>
                <c:pt idx="0">
                  <c:v>3.4144345590606084</c:v>
                </c:pt>
                <c:pt idx="1">
                  <c:v>3.6825479227189373</c:v>
                </c:pt>
                <c:pt idx="2">
                  <c:v>4.3041571219982755</c:v>
                </c:pt>
                <c:pt idx="3">
                  <c:v>5.190256569909435</c:v>
                </c:pt>
                <c:pt idx="4">
                  <c:v>5.2311232829309162</c:v>
                </c:pt>
                <c:pt idx="5">
                  <c:v>5.3913727621504481</c:v>
                </c:pt>
                <c:pt idx="6">
                  <c:v>5.6563703598671911</c:v>
                </c:pt>
                <c:pt idx="7">
                  <c:v>6.0002873717314387</c:v>
                </c:pt>
                <c:pt idx="8">
                  <c:v>5.9818641034669051</c:v>
                </c:pt>
                <c:pt idx="9">
                  <c:v>6.2279616188352538</c:v>
                </c:pt>
                <c:pt idx="10">
                  <c:v>6.6721766858495624</c:v>
                </c:pt>
                <c:pt idx="11">
                  <c:v>6.9554919075712762</c:v>
                </c:pt>
                <c:pt idx="12">
                  <c:v>6.3888859950958832</c:v>
                </c:pt>
                <c:pt idx="13">
                  <c:v>7.4140323862877944</c:v>
                </c:pt>
                <c:pt idx="14">
                  <c:v>7.0935121976274385</c:v>
                </c:pt>
                <c:pt idx="15">
                  <c:v>6.758211041698825</c:v>
                </c:pt>
                <c:pt idx="16">
                  <c:v>6.9726189579240039</c:v>
                </c:pt>
                <c:pt idx="17">
                  <c:v>6.8272077007515364</c:v>
                </c:pt>
                <c:pt idx="18">
                  <c:v>6.5465998909580714</c:v>
                </c:pt>
                <c:pt idx="19">
                  <c:v>6.3022688360604651</c:v>
                </c:pt>
                <c:pt idx="20">
                  <c:v>6.422589011373625</c:v>
                </c:pt>
                <c:pt idx="21">
                  <c:v>6.3254069852428429</c:v>
                </c:pt>
                <c:pt idx="22">
                  <c:v>5.7115575036153166</c:v>
                </c:pt>
                <c:pt idx="23">
                  <c:v>5.6967030390541851</c:v>
                </c:pt>
                <c:pt idx="24">
                  <c:v>6.3623903719528307</c:v>
                </c:pt>
                <c:pt idx="25">
                  <c:v>5.2837115884311059</c:v>
                </c:pt>
                <c:pt idx="26">
                  <c:v>5.1433798686348675</c:v>
                </c:pt>
                <c:pt idx="27">
                  <c:v>5.1603244729934161</c:v>
                </c:pt>
                <c:pt idx="28">
                  <c:v>4.8937543879563838</c:v>
                </c:pt>
                <c:pt idx="29">
                  <c:v>4.7659306302932247</c:v>
                </c:pt>
                <c:pt idx="30">
                  <c:v>4.8290598624020076</c:v>
                </c:pt>
                <c:pt idx="31">
                  <c:v>4.8032611854924134</c:v>
                </c:pt>
                <c:pt idx="32">
                  <c:v>4.6551381123994373</c:v>
                </c:pt>
                <c:pt idx="33">
                  <c:v>4.2953301154182499</c:v>
                </c:pt>
                <c:pt idx="34">
                  <c:v>4.59569591186062</c:v>
                </c:pt>
                <c:pt idx="35">
                  <c:v>4.421268161319758</c:v>
                </c:pt>
                <c:pt idx="36">
                  <c:v>4.2345706106455827</c:v>
                </c:pt>
                <c:pt idx="37">
                  <c:v>4.5106231363713167</c:v>
                </c:pt>
                <c:pt idx="38">
                  <c:v>4.4763402400622265</c:v>
                </c:pt>
                <c:pt idx="39">
                  <c:v>4.2794519592757929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date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out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-5000000"/>
        <c:auto val="1"/>
        <c:lblOffset val="100"/>
        <c:baseTimeUnit val="months"/>
        <c:majorUnit val="12"/>
        <c:majorTimeUnit val="months"/>
        <c:minorUnit val="3"/>
        <c:minorTimeUnit val="months"/>
      </c:dateAx>
      <c:valAx>
        <c:axId val="2636085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1191765207732599"/>
          <c:y val="7.2669324532906476E-2"/>
          <c:w val="0.59288203227990166"/>
          <c:h val="0.10947263444621408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862400684077385"/>
          <c:y val="0.14555765595463138"/>
          <c:w val="0.3175089369484923"/>
          <c:h val="0.753506690680677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Dove-hawk scale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BD1B21"/>
              </a:solidFill>
              <a:prstDash val="solid"/>
            </a:ln>
            <a:effectLst/>
          </c:spPr>
          <c:invertIfNegative val="0"/>
          <c:cat>
            <c:strRef>
              <c:f>'Chart Data'!$G$2:$G$10</c:f>
              <c:strCache>
                <c:ptCount val="9"/>
                <c:pt idx="0">
                  <c:v>Pill</c:v>
                </c:pt>
                <c:pt idx="1">
                  <c:v>Mann</c:v>
                </c:pt>
                <c:pt idx="2">
                  <c:v>Greene </c:v>
                </c:pt>
                <c:pt idx="3">
                  <c:v>Bailey</c:v>
                </c:pt>
                <c:pt idx="4">
                  <c:v>Lombardelli</c:v>
                </c:pt>
                <c:pt idx="5">
                  <c:v>Ramsden</c:v>
                </c:pt>
                <c:pt idx="6">
                  <c:v>Breeden</c:v>
                </c:pt>
                <c:pt idx="7">
                  <c:v>Taylor</c:v>
                </c:pt>
                <c:pt idx="8">
                  <c:v>Dhingra</c:v>
                </c:pt>
              </c:strCache>
            </c:strRef>
          </c:cat>
          <c:val>
            <c:numRef>
              <c:f>'Chart Data'!$H$2:$H$10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0.25</c:v>
                </c:pt>
                <c:pt idx="5">
                  <c:v>0</c:v>
                </c:pt>
                <c:pt idx="6">
                  <c:v>-0.5</c:v>
                </c:pt>
                <c:pt idx="7">
                  <c:v>-1.4</c:v>
                </c:pt>
                <c:pt idx="8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8-4B7C-9EA6-49406861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noMultiLvlLbl val="0"/>
      </c:catAx>
      <c:valAx>
        <c:axId val="1631339631"/>
        <c:scaling>
          <c:orientation val="minMax"/>
          <c:max val="2"/>
          <c:min val="-2"/>
        </c:scaling>
        <c:delete val="1"/>
        <c:axPos val="b"/>
        <c:numFmt formatCode="General" sourceLinked="0"/>
        <c:majorTickMark val="out"/>
        <c:minorTickMark val="none"/>
        <c:tickLblPos val="nextTo"/>
        <c:crossAx val="1639976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862400684077385"/>
          <c:y val="0.14555765595463138"/>
          <c:w val="0.3175089369484923"/>
          <c:h val="0.753506690680677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'Chart Data'!$H$1</c:f>
              <c:strCache>
                <c:ptCount val="1"/>
                <c:pt idx="0">
                  <c:v>Dove-hawk scale</c:v>
                </c:pt>
              </c:strCache>
            </c:strRef>
          </c:tx>
          <c:spPr>
            <a:solidFill>
              <a:srgbClr val="BD1B21"/>
            </a:solidFill>
            <a:ln w="12700">
              <a:solidFill>
                <a:srgbClr val="BD1B21"/>
              </a:solidFill>
              <a:prstDash val="solid"/>
            </a:ln>
            <a:effectLst/>
          </c:spPr>
          <c:invertIfNegative val="0"/>
          <c:cat>
            <c:strRef>
              <c:f>'Chart Data'!$G$2:$G$10</c:f>
              <c:strCache>
                <c:ptCount val="9"/>
                <c:pt idx="0">
                  <c:v>Pill</c:v>
                </c:pt>
                <c:pt idx="1">
                  <c:v>Mann</c:v>
                </c:pt>
                <c:pt idx="2">
                  <c:v>Greene </c:v>
                </c:pt>
                <c:pt idx="3">
                  <c:v>Bailey</c:v>
                </c:pt>
                <c:pt idx="4">
                  <c:v>Lombardelli</c:v>
                </c:pt>
                <c:pt idx="5">
                  <c:v>Ramsden</c:v>
                </c:pt>
                <c:pt idx="6">
                  <c:v>Breeden</c:v>
                </c:pt>
                <c:pt idx="7">
                  <c:v>Taylor</c:v>
                </c:pt>
                <c:pt idx="8">
                  <c:v>Dhingra</c:v>
                </c:pt>
              </c:strCache>
            </c:strRef>
          </c:cat>
          <c:val>
            <c:numRef>
              <c:f>'Chart Data'!$H$2:$H$10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0.25</c:v>
                </c:pt>
                <c:pt idx="4">
                  <c:v>0.25</c:v>
                </c:pt>
                <c:pt idx="5">
                  <c:v>0</c:v>
                </c:pt>
                <c:pt idx="6">
                  <c:v>-0.5</c:v>
                </c:pt>
                <c:pt idx="7">
                  <c:v>-1.4</c:v>
                </c:pt>
                <c:pt idx="8">
                  <c:v>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F-41A9-91F5-55D7016A4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39976431"/>
        <c:axId val="1631339631"/>
      </c:barChart>
      <c:catAx>
        <c:axId val="1639976431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>
            <a:solidFill>
              <a:srgbClr val="495057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631339631"/>
        <c:crosses val="autoZero"/>
        <c:auto val="0"/>
        <c:lblAlgn val="ctr"/>
        <c:lblOffset val="100"/>
        <c:noMultiLvlLbl val="0"/>
      </c:catAx>
      <c:valAx>
        <c:axId val="1631339631"/>
        <c:scaling>
          <c:orientation val="minMax"/>
          <c:max val="2"/>
          <c:min val="-2"/>
        </c:scaling>
        <c:delete val="1"/>
        <c:axPos val="b"/>
        <c:numFmt formatCode="General" sourceLinked="0"/>
        <c:majorTickMark val="out"/>
        <c:minorTickMark val="none"/>
        <c:tickLblPos val="nextTo"/>
        <c:crossAx val="163997643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4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F73BBF-1309-4AA8-9712-43A8E4388474}">
  <sheetPr/>
  <sheetViews>
    <sheetView tabSelected="1"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B723FE-D43A-488F-9F40-5B32F7C555AF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4837CA-69F8-4D29-A80F-5FE0354DEED1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7CD813-698D-4B1C-BB16-A5973A413BE0}">
  <sheetPr/>
  <sheetViews>
    <sheetView zoomScale="70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A99A0C-BF21-40EA-831A-197035836F1D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F2E3A50-DB59-4DED-A740-F102A04F5499}">
  <sheetPr/>
  <sheetViews>
    <sheetView zoomScale="55"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30F65-D2BD-A924-0DAA-1905E698349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45974" y="56165"/>
          <a:ext cx="8047089" cy="561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views and expected decisions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0.28521</cdr:x>
      <cdr:y>0.07551</cdr:y>
    </cdr:from>
    <cdr:to>
      <cdr:x>1</cdr:x>
      <cdr:y>0.14212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2403802" y="509129"/>
          <a:ext cx="6024380" cy="44914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0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Dove-hawk scale          Jun</a:t>
          </a:r>
          <a:r>
            <a:rPr lang="en-GB" sz="20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vote            Aug vote</a:t>
          </a:r>
          <a:endParaRPr lang="en-GB" sz="20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0.6318</cdr:x>
      <cdr:y>0.15651</cdr:y>
    </cdr:from>
    <cdr:to>
      <cdr:x>0.98493</cdr:x>
      <cdr:y>0.96062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943BB63E-4997-5920-41D2-8698B2D89D81}"/>
            </a:ext>
          </a:extLst>
        </cdr:cNvPr>
        <cdr:cNvSpPr txBox="1"/>
      </cdr:nvSpPr>
      <cdr:spPr>
        <a:xfrm xmlns:a="http://schemas.openxmlformats.org/drawingml/2006/main">
          <a:off x="5324929" y="1055254"/>
          <a:ext cx="2976253" cy="5421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                        Cut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                        Cut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Cut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Cut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Cut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Cut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Cut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Hold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                      Hold</a:t>
          </a:r>
        </a:p>
        <a:p xmlns:a="http://schemas.openxmlformats.org/drawingml/2006/main">
          <a:pPr indent="0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0.01292</cdr:x>
      <cdr:y>0.15479</cdr:y>
    </cdr:from>
    <cdr:to>
      <cdr:x>0.98411</cdr:x>
      <cdr:y>0.9589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ADFB2C7B-764E-1954-5B16-39AF3BCB657A}"/>
            </a:ext>
          </a:extLst>
        </cdr:cNvPr>
        <cdr:cNvSpPr txBox="1"/>
      </cdr:nvSpPr>
      <cdr:spPr>
        <a:xfrm xmlns:a="http://schemas.openxmlformats.org/drawingml/2006/main">
          <a:off x="108858" y="1043709"/>
          <a:ext cx="8185396" cy="54217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Swati Dhingra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Alan Taylor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Sarah Breeden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Dave Ramsden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Andrew Bailey</a:t>
          </a:r>
        </a:p>
        <a:p xmlns:a="http://schemas.openxmlformats.org/drawingml/2006/main">
          <a:pPr indent="0"/>
          <a:endParaRPr lang="en-GB" sz="15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Clare Lombardelli</a:t>
          </a:r>
        </a:p>
        <a:p xmlns:a="http://schemas.openxmlformats.org/drawingml/2006/main">
          <a:pPr indent="0"/>
          <a:endParaRPr lang="en-GB" sz="135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Megan Greene</a:t>
          </a:r>
        </a:p>
        <a:p xmlns:a="http://schemas.openxmlformats.org/drawingml/2006/main">
          <a:pPr indent="0"/>
          <a:endParaRPr lang="en-GB" sz="15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Catherine Mann</a:t>
          </a:r>
        </a:p>
        <a:p xmlns:a="http://schemas.openxmlformats.org/drawingml/2006/main">
          <a:pPr indent="0"/>
          <a:endParaRPr lang="en-GB" sz="1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Huw Pill</a:t>
          </a:r>
        </a:p>
        <a:p xmlns:a="http://schemas.openxmlformats.org/drawingml/2006/main">
          <a:pPr indent="0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 xmlns:a="http://schemas.openxmlformats.org/drawingml/2006/main">
          <a:pPr indent="0"/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0.51153</cdr:x>
      <cdr:y>0.89471</cdr:y>
    </cdr:from>
    <cdr:to>
      <cdr:x>0.56968</cdr:x>
      <cdr:y>0.89537</cdr:y>
    </cdr:to>
    <cdr:cxnSp macro="">
      <cdr:nvCxnSpPr>
        <cdr:cNvPr id="35" name="Straight Arrow Connector 34">
          <a:extLst xmlns:a="http://schemas.openxmlformats.org/drawingml/2006/main">
            <a:ext uri="{FF2B5EF4-FFF2-40B4-BE49-F238E27FC236}">
              <a16:creationId xmlns:a16="http://schemas.microsoft.com/office/drawing/2014/main" id="{9BAAF356-3878-3E6B-F384-7A14DF177E1E}"/>
            </a:ext>
          </a:extLst>
        </cdr:cNvPr>
        <cdr:cNvCxnSpPr/>
      </cdr:nvCxnSpPr>
      <cdr:spPr>
        <a:xfrm xmlns:a="http://schemas.openxmlformats.org/drawingml/2006/main" flipV="1">
          <a:off x="4311278" y="6032650"/>
          <a:ext cx="490048" cy="439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0.24987</cdr:x>
      <cdr:y>0.89584</cdr:y>
    </cdr:from>
    <cdr:to>
      <cdr:x>0.31019</cdr:x>
      <cdr:y>0.89586</cdr:y>
    </cdr:to>
    <cdr:cxnSp macro="">
      <cdr:nvCxnSpPr>
        <cdr:cNvPr id="36" name="Straight Arrow Connector 35">
          <a:extLst xmlns:a="http://schemas.openxmlformats.org/drawingml/2006/main">
            <a:ext uri="{FF2B5EF4-FFF2-40B4-BE49-F238E27FC236}">
              <a16:creationId xmlns:a16="http://schemas.microsoft.com/office/drawing/2014/main" id="{60142FE9-E85C-DE4C-5FAB-D49CC4F59C1D}"/>
            </a:ext>
          </a:extLst>
        </cdr:cNvPr>
        <cdr:cNvCxnSpPr/>
      </cdr:nvCxnSpPr>
      <cdr:spPr>
        <a:xfrm xmlns:a="http://schemas.openxmlformats.org/drawingml/2006/main" flipH="1">
          <a:off x="2105985" y="6040259"/>
          <a:ext cx="508382" cy="9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0.30815</cdr:x>
      <cdr:y>0.86913</cdr:y>
    </cdr:from>
    <cdr:to>
      <cdr:x>0.78033</cdr:x>
      <cdr:y>0.91891</cdr:y>
    </cdr:to>
    <cdr:sp macro="" textlink="">
      <cdr:nvSpPr>
        <cdr:cNvPr id="45" name="Rectangle 44">
          <a:extLst xmlns:a="http://schemas.openxmlformats.org/drawingml/2006/main">
            <a:ext uri="{FF2B5EF4-FFF2-40B4-BE49-F238E27FC236}">
              <a16:creationId xmlns:a16="http://schemas.microsoft.com/office/drawing/2014/main" id="{6CB900CE-6A9E-D050-CC37-501BA0DD4E61}"/>
            </a:ext>
          </a:extLst>
        </cdr:cNvPr>
        <cdr:cNvSpPr/>
      </cdr:nvSpPr>
      <cdr:spPr>
        <a:xfrm xmlns:a="http://schemas.openxmlformats.org/drawingml/2006/main">
          <a:off x="2597151" y="5860143"/>
          <a:ext cx="3979636" cy="33564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Dovish    Hawkish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04F8A9-864C-2E27-57E9-FFF51292D76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0.49225</cdr:x>
      <cdr:y>0.00172</cdr:y>
    </cdr:from>
    <cdr:to>
      <cdr:x>1</cdr:x>
      <cdr:y>0.93659</cdr:y>
    </cdr:to>
    <cdr:graphicFrame macro="">
      <cdr:nvGraphicFramePr>
        <cdr:cNvPr id="4" name="Chart 1">
          <a:extLst xmlns:a="http://schemas.openxmlformats.org/drawingml/2006/main">
            <a:ext uri="{FF2B5EF4-FFF2-40B4-BE49-F238E27FC236}">
              <a16:creationId xmlns:a16="http://schemas.microsoft.com/office/drawing/2014/main" id="{80206E0F-392E-A1B8-EC3A-483F7F141A07}"/>
            </a:ext>
          </a:extLst>
        </cdr:cNvPr>
        <cdr:cNvGraphicFramePr/>
      </cdr:nvGraphicFramePr>
      <cdr:xfrm>
        <a:off xmlns:a="http://schemas.openxmlformats.org/drawingml/2006/main" x="0" y="0"/>
        <a:ext xmlns:a="http://schemas.openxmlformats.org/drawingml/2006/main" cx="0" cy="0"/>
      </c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cdr:graphicFrame>
  </cdr:relSizeAnchor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BD894-60A9-2800-2496-531D033101B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Private sector regular pay growth &amp; services inflation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1171419-A665-BCDF-9DD3-939DD251513A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Analytics, Bank of England Monetary Policy Report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DD813C0-701A-1721-5138-FC91090AAB03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0.52379</cdr:x>
      <cdr:y>0.11411</cdr:y>
    </cdr:from>
    <cdr:to>
      <cdr:x>0.99177</cdr:x>
      <cdr:y>0.20138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04D398FA-EE3F-39B7-2FD2-0EAF3CF3E609}"/>
            </a:ext>
          </a:extLst>
        </cdr:cNvPr>
        <cdr:cNvSpPr txBox="1"/>
      </cdr:nvSpPr>
      <cdr:spPr>
        <a:xfrm xmlns:a="http://schemas.openxmlformats.org/drawingml/2006/main">
          <a:off x="4410364" y="766618"/>
          <a:ext cx="3940464" cy="586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Services CPI</a:t>
          </a:r>
        </a:p>
      </cdr:txBody>
    </cdr:sp>
  </cdr:relSizeAnchor>
  <cdr:relSizeAnchor xmlns:cdr="http://schemas.openxmlformats.org/drawingml/2006/chartDrawing">
    <cdr:from>
      <cdr:x>0.0617</cdr:x>
      <cdr:y>0.12098</cdr:y>
    </cdr:from>
    <cdr:to>
      <cdr:x>0.47813</cdr:x>
      <cdr:y>0.20825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8F9361D0-AC2F-C2F6-EACD-97DBE87AAA3B}"/>
            </a:ext>
          </a:extLst>
        </cdr:cNvPr>
        <cdr:cNvSpPr txBox="1"/>
      </cdr:nvSpPr>
      <cdr:spPr>
        <a:xfrm xmlns:a="http://schemas.openxmlformats.org/drawingml/2006/main">
          <a:off x="519547" y="812799"/>
          <a:ext cx="3506354" cy="5863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Private sector regular pay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0.10802</cdr:x>
      <cdr:y>0.82169</cdr:y>
    </cdr:from>
    <cdr:to>
      <cdr:x>1</cdr:x>
      <cdr:y>0.92647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EDC3D45-5A49-BD09-378E-B5BC4E3C58EE}"/>
            </a:ext>
          </a:extLst>
        </cdr:cNvPr>
        <cdr:cNvSpPr txBox="1"/>
      </cdr:nvSpPr>
      <cdr:spPr>
        <a:xfrm xmlns:a="http://schemas.openxmlformats.org/drawingml/2006/main">
          <a:off x="461818" y="5160818"/>
          <a:ext cx="3813464" cy="6580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600">
              <a:solidFill>
                <a:srgbClr val="495057"/>
              </a:solidFill>
              <a:latin typeface="Segoe UI" panose="020B0502040204020203" pitchFamily="34" charset="0"/>
            </a:rPr>
            <a:t>*excludes indexed and volatile components, rents, and foreign holidays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2BD7950-4C69-F47D-159F-D9B905DB9314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65608-5160-7B14-8447-884FDEF9DB5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BD894-60A9-2800-2496-531D033101B7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Private sector regular pay growth</a:t>
          </a: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1171419-A665-BCDF-9DD3-939DD251513A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Analytics, Bank of England Monetary Policy Report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7DD813C0-701A-1721-5138-FC91090AAB03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3m-on-3m</a:t>
          </a:r>
          <a:r>
            <a:rPr lang="en-GB" sz="18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year ago</a:t>
          </a:r>
          <a:endParaRPr lang="en-GB" sz="18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409214" cy="67219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749A4F-5E7B-A9D4-4CEB-95329AAA02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8B83707-F966-7E59-D9E2-9EFA9FE5273F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Measures</a:t>
          </a:r>
          <a:r>
            <a:rPr lang="en-GB" sz="24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of services inflation</a:t>
          </a:r>
          <a:endParaRPr lang="en-GB" sz="24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0.93924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D932C1AC-85AB-B58A-DB24-F339EC6D4D20}"/>
            </a:ext>
          </a:extLst>
        </cdr:cNvPr>
        <cdr:cNvSpPr/>
      </cdr:nvSpPr>
      <cdr:spPr>
        <a:xfrm xmlns:a="http://schemas.openxmlformats.org/drawingml/2006/main">
          <a:off x="50800" y="5909243"/>
          <a:ext cx="8664408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Haver Analytics</a:t>
          </a:r>
        </a:p>
      </cdr:txBody>
    </cdr:sp>
  </cdr:relSizeAnchor>
  <cdr:relSizeAnchor xmlns:cdr="http://schemas.openxmlformats.org/drawingml/2006/chartDrawing">
    <cdr:from>
      <cdr:x>0.35012</cdr:x>
      <cdr:y>0.67844</cdr:y>
    </cdr:from>
    <cdr:to>
      <cdr:x>0.92437</cdr:x>
      <cdr:y>0.78585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EDC3D45-5A49-BD09-378E-B5BC4E3C58EE}"/>
            </a:ext>
          </a:extLst>
        </cdr:cNvPr>
        <cdr:cNvSpPr txBox="1"/>
      </cdr:nvSpPr>
      <cdr:spPr>
        <a:xfrm xmlns:a="http://schemas.openxmlformats.org/drawingml/2006/main">
          <a:off x="2948056" y="4557991"/>
          <a:ext cx="4835230" cy="7215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</a:rPr>
            <a:t>*excludes indexed and volatile components, rents, and foreign holidays</a:t>
          </a:r>
        </a:p>
      </cdr:txBody>
    </cdr:sp>
  </cdr:relSizeAnchor>
  <cdr:relSizeAnchor xmlns:cdr="http://schemas.openxmlformats.org/drawingml/2006/chartDrawing">
    <cdr:from>
      <cdr:x>0</cdr:x>
      <cdr:y>0.07563</cdr:y>
    </cdr:from>
    <cdr:to>
      <cdr:x>1</cdr:x>
      <cdr:y>0.12668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2BD7950-4C69-F47D-159F-D9B905DB9314}"/>
            </a:ext>
          </a:extLst>
        </cdr:cNvPr>
        <cdr:cNvSpPr txBox="1"/>
      </cdr:nvSpPr>
      <cdr:spPr>
        <a:xfrm xmlns:a="http://schemas.openxmlformats.org/drawingml/2006/main">
          <a:off x="50800" y="508000"/>
          <a:ext cx="889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7C017E-FA17-FA14-6017-FCAF2A7A07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45974" y="56165"/>
          <a:ext cx="8047089" cy="561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views and expected decisions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0.28521</cdr:x>
      <cdr:y>0.07551</cdr:y>
    </cdr:from>
    <cdr:to>
      <cdr:x>1</cdr:x>
      <cdr:y>0.13061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2401455" y="507299"/>
          <a:ext cx="6018644" cy="370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0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Dove-hawk scale          Jun</a:t>
          </a:r>
          <a:r>
            <a:rPr lang="en-GB" sz="2000" b="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vote            Aug vote</a:t>
          </a:r>
          <a:endParaRPr lang="en-GB" sz="2000" b="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0.61429</cdr:x>
      <cdr:y>0.16326</cdr:y>
    </cdr:from>
    <cdr:to>
      <cdr:x>0.95434</cdr:x>
      <cdr:y>0.21825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D764CA7A-C1EF-D13A-C8F4-27321D38C775}"/>
            </a:ext>
          </a:extLst>
        </cdr:cNvPr>
        <cdr:cNvSpPr txBox="1"/>
      </cdr:nvSpPr>
      <cdr:spPr>
        <a:xfrm xmlns:a="http://schemas.openxmlformats.org/drawingml/2006/main">
          <a:off x="5172364" y="1096818"/>
          <a:ext cx="2863271" cy="3694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0.61566</cdr:x>
      <cdr:y>0.82557</cdr:y>
    </cdr:from>
    <cdr:to>
      <cdr:x>0.98094</cdr:x>
      <cdr:y>0.873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83909" y="5546436"/>
          <a:ext cx="3075710" cy="318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0.61292</cdr:x>
      <cdr:y>0.74308</cdr:y>
    </cdr:from>
    <cdr:to>
      <cdr:x>1</cdr:x>
      <cdr:y>0.79223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60818" y="4992255"/>
          <a:ext cx="3259282" cy="3301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0.65716</cdr:y>
    </cdr:from>
    <cdr:to>
      <cdr:x>1</cdr:x>
      <cdr:y>0.70287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4414982"/>
          <a:ext cx="3247736" cy="307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0.57639</cdr:y>
    </cdr:from>
    <cdr:to>
      <cdr:x>1</cdr:x>
      <cdr:y>0.62897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3872346"/>
          <a:ext cx="3247736" cy="3532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0.61155</cdr:x>
      <cdr:y>0.49219</cdr:y>
    </cdr:from>
    <cdr:to>
      <cdr:x>0.98904</cdr:x>
      <cdr:y>0.55165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54260" y="3318598"/>
          <a:ext cx="3181555" cy="4009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0.40626</cdr:y>
    </cdr:from>
    <cdr:to>
      <cdr:x>0.97957</cdr:x>
      <cdr:y>0.45712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2729345"/>
          <a:ext cx="3075709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0.61292</cdr:x>
      <cdr:y>0.32549</cdr:y>
    </cdr:from>
    <cdr:to>
      <cdr:x>0.97957</cdr:x>
      <cdr:y>0.39182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60819" y="2186708"/>
          <a:ext cx="3087254" cy="445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0.24128</cdr:y>
    </cdr:from>
    <cdr:to>
      <cdr:x>0.9494</cdr:x>
      <cdr:y>0.29043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1620982"/>
          <a:ext cx="2821708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0.8515</cdr:x>
      <cdr:y>0.16395</cdr:y>
    </cdr:from>
    <cdr:to>
      <cdr:x>0.98643</cdr:x>
      <cdr:y>0.21825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7169727" y="1101435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0.85287</cdr:x>
      <cdr:y>0.57295</cdr:y>
    </cdr:from>
    <cdr:to>
      <cdr:x>0.9856</cdr:x>
      <cdr:y>0.62382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1272" y="3849255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0.85205</cdr:x>
      <cdr:y>0.4939</cdr:y>
    </cdr:from>
    <cdr:to>
      <cdr:x>0.98697</cdr:x>
      <cdr:y>0.5482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74345" y="3318163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0.40626</cdr:y>
    </cdr:from>
    <cdr:to>
      <cdr:x>0.98835</cdr:x>
      <cdr:y>0.46056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5891" y="2729345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0.32377</cdr:y>
    </cdr:from>
    <cdr:to>
      <cdr:x>0.98835</cdr:x>
      <cdr:y>0.37807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5891" y="2175164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0.85013</cdr:x>
      <cdr:y>0.23956</cdr:y>
    </cdr:from>
    <cdr:to>
      <cdr:x>0.97875</cdr:x>
      <cdr:y>0.2973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58182" y="1609436"/>
          <a:ext cx="1082964" cy="387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0.65716</cdr:y>
    </cdr:from>
    <cdr:to>
      <cdr:x>0.98615</cdr:x>
      <cdr:y>0.70803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7BBF426E-83E7-E33D-8C61-D9535A62035D}"/>
            </a:ext>
          </a:extLst>
        </cdr:cNvPr>
        <cdr:cNvSpPr txBox="1"/>
      </cdr:nvSpPr>
      <cdr:spPr>
        <a:xfrm xmlns:a="http://schemas.openxmlformats.org/drawingml/2006/main">
          <a:off x="7185891" y="4414982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0.85205</cdr:x>
      <cdr:y>0.82557</cdr:y>
    </cdr:from>
    <cdr:to>
      <cdr:x>0.98478</cdr:x>
      <cdr:y>0.87644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23B1CE4E-37E3-FE90-187D-D64CF98C0B97}"/>
            </a:ext>
          </a:extLst>
        </cdr:cNvPr>
        <cdr:cNvSpPr txBox="1"/>
      </cdr:nvSpPr>
      <cdr:spPr>
        <a:xfrm xmlns:a="http://schemas.openxmlformats.org/drawingml/2006/main">
          <a:off x="7174345" y="5546437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0.85205</cdr:x>
      <cdr:y>0.7448</cdr:y>
    </cdr:from>
    <cdr:to>
      <cdr:x>0.98478</cdr:x>
      <cdr:y>0.79567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23B1CE4E-37E3-FE90-187D-D64CF98C0B97}"/>
            </a:ext>
          </a:extLst>
        </cdr:cNvPr>
        <cdr:cNvSpPr txBox="1"/>
      </cdr:nvSpPr>
      <cdr:spPr>
        <a:xfrm xmlns:a="http://schemas.openxmlformats.org/drawingml/2006/main">
          <a:off x="7174345" y="5003800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428182" cy="67425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D39253-363A-714D-70E8-599EE5C350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0.00836</cdr:y>
    </cdr:from>
    <cdr:to>
      <cdr:x>0.96116</cdr:x>
      <cdr:y>0.09191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34D77D2-33DF-4E99-9A57-F27C7E82782B}"/>
            </a:ext>
          </a:extLst>
        </cdr:cNvPr>
        <cdr:cNvSpPr txBox="1"/>
      </cdr:nvSpPr>
      <cdr:spPr>
        <a:xfrm xmlns:a="http://schemas.openxmlformats.org/drawingml/2006/main">
          <a:off x="45974" y="56165"/>
          <a:ext cx="8047089" cy="5613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MPC views and expected decisions</a:t>
          </a:r>
        </a:p>
      </cdr:txBody>
    </cdr:sp>
  </cdr:relSizeAnchor>
  <cdr:relSizeAnchor xmlns:cdr="http://schemas.openxmlformats.org/drawingml/2006/chartDrawing">
    <cdr:from>
      <cdr:x>0.00546</cdr:x>
      <cdr:y>0.93712</cdr:y>
    </cdr:from>
    <cdr:to>
      <cdr:x>0.96116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790728D-612A-4B9A-843A-EF1138D2A4B5}"/>
            </a:ext>
          </a:extLst>
        </cdr:cNvPr>
        <cdr:cNvSpPr/>
      </cdr:nvSpPr>
      <cdr:spPr>
        <a:xfrm xmlns:a="http://schemas.openxmlformats.org/drawingml/2006/main">
          <a:off x="50800" y="5697517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50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0.28521</cdr:x>
      <cdr:y>0.07551</cdr:y>
    </cdr:from>
    <cdr:to>
      <cdr:x>1</cdr:x>
      <cdr:y>0.13061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B300F34-9BDF-4C95-A36F-EFD9A7AD9610}"/>
            </a:ext>
          </a:extLst>
        </cdr:cNvPr>
        <cdr:cNvSpPr txBox="1"/>
      </cdr:nvSpPr>
      <cdr:spPr>
        <a:xfrm xmlns:a="http://schemas.openxmlformats.org/drawingml/2006/main">
          <a:off x="2401455" y="507299"/>
          <a:ext cx="6018644" cy="3701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0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Dove-hawk scale</a:t>
          </a:r>
        </a:p>
      </cdr:txBody>
    </cdr:sp>
  </cdr:relSizeAnchor>
  <cdr:relSizeAnchor xmlns:cdr="http://schemas.openxmlformats.org/drawingml/2006/chartDrawing">
    <cdr:from>
      <cdr:x>0.61429</cdr:x>
      <cdr:y>0.16326</cdr:y>
    </cdr:from>
    <cdr:to>
      <cdr:x>0.95434</cdr:x>
      <cdr:y>0.97774</cdr:y>
    </cdr:to>
    <cdr:sp macro="" textlink="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D764CA7A-C1EF-D13A-C8F4-27321D38C775}"/>
            </a:ext>
          </a:extLst>
        </cdr:cNvPr>
        <cdr:cNvSpPr txBox="1"/>
      </cdr:nvSpPr>
      <cdr:spPr>
        <a:xfrm xmlns:a="http://schemas.openxmlformats.org/drawingml/2006/main">
          <a:off x="5177348" y="1100787"/>
          <a:ext cx="2866003" cy="54916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0.61566</cdr:x>
      <cdr:y>0.82557</cdr:y>
    </cdr:from>
    <cdr:to>
      <cdr:x>0.98094</cdr:x>
      <cdr:y>0.873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83909" y="5546436"/>
          <a:ext cx="3075710" cy="318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0.61292</cdr:x>
      <cdr:y>0.74308</cdr:y>
    </cdr:from>
    <cdr:to>
      <cdr:x>1</cdr:x>
      <cdr:y>0.79223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60818" y="4992255"/>
          <a:ext cx="3259282" cy="3301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0.65716</cdr:y>
    </cdr:from>
    <cdr:to>
      <cdr:x>1</cdr:x>
      <cdr:y>0.70287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4414982"/>
          <a:ext cx="3247736" cy="3071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0.57639</cdr:y>
    </cdr:from>
    <cdr:to>
      <cdr:x>1</cdr:x>
      <cdr:y>0.62897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3872346"/>
          <a:ext cx="3247736" cy="3532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0.61703</cdr:x>
      <cdr:y>0.4939</cdr:y>
    </cdr:from>
    <cdr:to>
      <cdr:x>0.99452</cdr:x>
      <cdr:y>0.55336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95454" y="3318163"/>
          <a:ext cx="3178463" cy="3994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0.40626</cdr:y>
    </cdr:from>
    <cdr:to>
      <cdr:x>0.97957</cdr:x>
      <cdr:y>0.45712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2729345"/>
          <a:ext cx="3075709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0.61292</cdr:x>
      <cdr:y>0.32549</cdr:y>
    </cdr:from>
    <cdr:to>
      <cdr:x>0.97957</cdr:x>
      <cdr:y>0.39182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60819" y="2186708"/>
          <a:ext cx="3087254" cy="445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0.61429</cdr:x>
      <cdr:y>0.24128</cdr:y>
    </cdr:from>
    <cdr:to>
      <cdr:x>0.9494</cdr:x>
      <cdr:y>0.29043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5172364" y="1620982"/>
          <a:ext cx="2821708" cy="330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0.8515</cdr:x>
      <cdr:y>0.16395</cdr:y>
    </cdr:from>
    <cdr:to>
      <cdr:x>0.98643</cdr:x>
      <cdr:y>0.21825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F975A218-842E-306B-6D43-27F21FF8EC53}"/>
            </a:ext>
          </a:extLst>
        </cdr:cNvPr>
        <cdr:cNvSpPr txBox="1"/>
      </cdr:nvSpPr>
      <cdr:spPr>
        <a:xfrm xmlns:a="http://schemas.openxmlformats.org/drawingml/2006/main">
          <a:off x="7169727" y="1101435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0.58686</cdr:x>
      <cdr:y>0.07286</cdr:y>
    </cdr:from>
    <cdr:to>
      <cdr:x>1</cdr:x>
      <cdr:y>0.14092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8CCE7AF7-C256-507A-84D5-DFD096EBE2A8}"/>
            </a:ext>
          </a:extLst>
        </cdr:cNvPr>
        <cdr:cNvSpPr txBox="1"/>
      </cdr:nvSpPr>
      <cdr:spPr>
        <a:xfrm xmlns:a="http://schemas.openxmlformats.org/drawingml/2006/main">
          <a:off x="4941455" y="489526"/>
          <a:ext cx="3478645" cy="4572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20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Jun vote</a:t>
          </a:r>
        </a:p>
      </cdr:txBody>
    </cdr:sp>
  </cdr:relSizeAnchor>
  <cdr:relSizeAnchor xmlns:cdr="http://schemas.openxmlformats.org/drawingml/2006/chartDrawing">
    <cdr:from>
      <cdr:x>0.81174</cdr:x>
      <cdr:y>0.0763</cdr:y>
    </cdr:from>
    <cdr:to>
      <cdr:x>0.97943</cdr:x>
      <cdr:y>0.14092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8CCE7AF7-C256-507A-84D5-DFD096EBE2A8}"/>
            </a:ext>
          </a:extLst>
        </cdr:cNvPr>
        <cdr:cNvSpPr txBox="1"/>
      </cdr:nvSpPr>
      <cdr:spPr>
        <a:xfrm xmlns:a="http://schemas.openxmlformats.org/drawingml/2006/main">
          <a:off x="6834908" y="512619"/>
          <a:ext cx="1412009" cy="4341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20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Aug vote</a:t>
          </a:r>
        </a:p>
      </cdr:txBody>
    </cdr:sp>
  </cdr:relSizeAnchor>
  <cdr:relSizeAnchor xmlns:cdr="http://schemas.openxmlformats.org/drawingml/2006/chartDrawing">
    <cdr:from>
      <cdr:x>0.85287</cdr:x>
      <cdr:y>0.57295</cdr:y>
    </cdr:from>
    <cdr:to>
      <cdr:x>0.9856</cdr:x>
      <cdr:y>0.62382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1272" y="3849255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0.85205</cdr:x>
      <cdr:y>0.4939</cdr:y>
    </cdr:from>
    <cdr:to>
      <cdr:x>0.98697</cdr:x>
      <cdr:y>0.5482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74345" y="3318163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0.40626</cdr:y>
    </cdr:from>
    <cdr:to>
      <cdr:x>0.98835</cdr:x>
      <cdr:y>0.46056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5891" y="2729345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0.32377</cdr:y>
    </cdr:from>
    <cdr:to>
      <cdr:x>0.98835</cdr:x>
      <cdr:y>0.37807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85891" y="2175164"/>
          <a:ext cx="1136074" cy="36483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0.85013</cdr:x>
      <cdr:y>0.23956</cdr:y>
    </cdr:from>
    <cdr:to>
      <cdr:x>0.97875</cdr:x>
      <cdr:y>0.2973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734EBD1E-42E9-3703-4CCA-7DD7ABB722B9}"/>
            </a:ext>
          </a:extLst>
        </cdr:cNvPr>
        <cdr:cNvSpPr txBox="1"/>
      </cdr:nvSpPr>
      <cdr:spPr>
        <a:xfrm xmlns:a="http://schemas.openxmlformats.org/drawingml/2006/main">
          <a:off x="7158182" y="1609436"/>
          <a:ext cx="1082964" cy="3879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Cut</a:t>
          </a:r>
        </a:p>
      </cdr:txBody>
    </cdr:sp>
  </cdr:relSizeAnchor>
  <cdr:relSizeAnchor xmlns:cdr="http://schemas.openxmlformats.org/drawingml/2006/chartDrawing">
    <cdr:from>
      <cdr:x>0.85342</cdr:x>
      <cdr:y>0.65716</cdr:y>
    </cdr:from>
    <cdr:to>
      <cdr:x>0.98615</cdr:x>
      <cdr:y>0.70803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7BBF426E-83E7-E33D-8C61-D9535A62035D}"/>
            </a:ext>
          </a:extLst>
        </cdr:cNvPr>
        <cdr:cNvSpPr txBox="1"/>
      </cdr:nvSpPr>
      <cdr:spPr>
        <a:xfrm xmlns:a="http://schemas.openxmlformats.org/drawingml/2006/main">
          <a:off x="7185891" y="4414982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0.85205</cdr:x>
      <cdr:y>0.82557</cdr:y>
    </cdr:from>
    <cdr:to>
      <cdr:x>0.98478</cdr:x>
      <cdr:y>0.87644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23B1CE4E-37E3-FE90-187D-D64CF98C0B97}"/>
            </a:ext>
          </a:extLst>
        </cdr:cNvPr>
        <cdr:cNvSpPr txBox="1"/>
      </cdr:nvSpPr>
      <cdr:spPr>
        <a:xfrm xmlns:a="http://schemas.openxmlformats.org/drawingml/2006/main">
          <a:off x="7174345" y="5546437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  <cdr:relSizeAnchor xmlns:cdr="http://schemas.openxmlformats.org/drawingml/2006/chartDrawing">
    <cdr:from>
      <cdr:x>0.85205</cdr:x>
      <cdr:y>0.7448</cdr:y>
    </cdr:from>
    <cdr:to>
      <cdr:x>0.98478</cdr:x>
      <cdr:y>0.79567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23B1CE4E-37E3-FE90-187D-D64CF98C0B97}"/>
            </a:ext>
          </a:extLst>
        </cdr:cNvPr>
        <cdr:cNvSpPr txBox="1"/>
      </cdr:nvSpPr>
      <cdr:spPr>
        <a:xfrm xmlns:a="http://schemas.openxmlformats.org/drawingml/2006/main">
          <a:off x="7174345" y="5003800"/>
          <a:ext cx="1117601" cy="3417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Hold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Data\Inflation.xlsx" TargetMode="External"/><Relationship Id="rId1" Type="http://schemas.openxmlformats.org/officeDocument/2006/relationships/externalLinkPath" Target="/UK%20Team/Data/Inf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&gt;&gt; DATA"/>
      <sheetName val="Monthly"/>
      <sheetName val="Monthly Detail"/>
      <sheetName val="Energy intensity"/>
      <sheetName val="Quarterly"/>
      <sheetName val="GMW"/>
      <sheetName val="Model data"/>
      <sheetName val="$template-default"/>
      <sheetName val="Long-run CPI"/>
      <sheetName val="Long-run AWE"/>
      <sheetName val="Index dates"/>
      <sheetName val="DI CHARTS&gt;&gt;&gt;&gt;"/>
      <sheetName val="CPI, goods &amp; services"/>
      <sheetName val="CPI &amp; services"/>
      <sheetName val="CPI &amp; core"/>
      <sheetName val="Core by energy intensity"/>
      <sheetName val="CPI by import intensity"/>
      <sheetName val="Core services"/>
      <sheetName val="CPI &amp; CPIH"/>
      <sheetName val="CPI &amp; PPI"/>
      <sheetName val="CPI, RPI &amp; RPIX"/>
      <sheetName val="CPI - COICOPS &gt; 2%"/>
      <sheetName val="Conts to CPI"/>
      <sheetName val="Conts to CPI-air fares &amp; accom"/>
      <sheetName val="CPI mom"/>
      <sheetName val="Core CPI mom"/>
      <sheetName val="Services CPI mom"/>
      <sheetName val="CPI, core, services 6m6m ann"/>
      <sheetName val="Core inflation 6m6m ann UKUSEZ"/>
      <sheetName val="CPI, core, services 3m3m ann"/>
      <sheetName val="Core inflation 3m3m ann UKUSEZ"/>
      <sheetName val="CPI, core, services mm ann"/>
      <sheetName val="CPI core services"/>
      <sheetName val="CPI core services indicators"/>
      <sheetName val="CPI core services &amp; pay"/>
      <sheetName val="CHARTBOOK CHARTS&gt;&gt;&gt;&gt;"/>
      <sheetName val="Chart7cb"/>
      <sheetName val="CPI, goods &amp; services (cb)"/>
      <sheetName val="Conts to CPI fcst (cb)"/>
      <sheetName val="FORECAST CHARTS&gt;&gt;&gt;&gt;"/>
      <sheetName val="Conts to CPI fcst"/>
      <sheetName val="CPI goods &amp; EER (inc fcst)"/>
      <sheetName val="Oil price in $ &amp; £ (inc fcst)"/>
      <sheetName val="Core CPI &amp; EER (inc fcst"/>
      <sheetName val="LT STRUCTURAL CHARTS&gt;&gt;&gt;&gt;"/>
      <sheetName val="Core inflation &amp; AWE"/>
      <sheetName val="Core inflation lagged &amp; AWE"/>
      <sheetName val="Core inflation &amp; NA wages"/>
      <sheetName val="Wage-price dynamics"/>
      <sheetName val="Wage-price dynamics (2)"/>
      <sheetName val="G7 inflation"/>
      <sheetName val="CPI &amp; AWE services"/>
      <sheetName val="CPI &amp; AWE services (2)"/>
      <sheetName val="Expectations 1 &amp; 5yr"/>
      <sheetName val="Core CPI &amp; EER (lagged 12 mths)"/>
      <sheetName val="CPI core services &amp; priv pay"/>
    </sheetNames>
    <sheetDataSet>
      <sheetData sheetId="0"/>
      <sheetData sheetId="1">
        <row r="406">
          <cell r="QH406">
            <v>3.4144345590606084</v>
          </cell>
        </row>
        <row r="407">
          <cell r="QH407">
            <v>3.6825479227189373</v>
          </cell>
        </row>
        <row r="408">
          <cell r="QH408">
            <v>4.3041571219982755</v>
          </cell>
        </row>
        <row r="409">
          <cell r="QH409">
            <v>5.190256569909435</v>
          </cell>
        </row>
        <row r="410">
          <cell r="QH410">
            <v>5.2311232829309162</v>
          </cell>
        </row>
        <row r="411">
          <cell r="QH411">
            <v>5.3913727621504481</v>
          </cell>
        </row>
        <row r="412">
          <cell r="QH412">
            <v>5.6563703598671911</v>
          </cell>
        </row>
        <row r="413">
          <cell r="QH413">
            <v>6.0002873717314387</v>
          </cell>
        </row>
        <row r="414">
          <cell r="QH414">
            <v>5.9818641034669051</v>
          </cell>
        </row>
        <row r="415">
          <cell r="QH415">
            <v>6.2279616188352538</v>
          </cell>
        </row>
        <row r="416">
          <cell r="QH416">
            <v>6.6721766858495624</v>
          </cell>
        </row>
        <row r="417">
          <cell r="QH417">
            <v>6.9554919075712762</v>
          </cell>
        </row>
        <row r="418">
          <cell r="QH418">
            <v>6.3888859950958832</v>
          </cell>
        </row>
        <row r="419">
          <cell r="QH419">
            <v>7.4140323862877944</v>
          </cell>
        </row>
        <row r="420">
          <cell r="QH420">
            <v>7.0935121976274385</v>
          </cell>
        </row>
        <row r="421">
          <cell r="QH421">
            <v>6.758211041698825</v>
          </cell>
        </row>
        <row r="422">
          <cell r="QH422">
            <v>6.9726189579240039</v>
          </cell>
        </row>
        <row r="423">
          <cell r="QH423">
            <v>6.8272077007515364</v>
          </cell>
        </row>
        <row r="424">
          <cell r="QH424">
            <v>6.5465998909580714</v>
          </cell>
        </row>
        <row r="425">
          <cell r="QH425">
            <v>6.3022688360604651</v>
          </cell>
        </row>
        <row r="426">
          <cell r="QH426">
            <v>6.422589011373625</v>
          </cell>
        </row>
        <row r="427">
          <cell r="QH427">
            <v>6.3254069852428429</v>
          </cell>
        </row>
        <row r="428">
          <cell r="QH428">
            <v>5.7115575036153166</v>
          </cell>
        </row>
        <row r="429">
          <cell r="QH429">
            <v>5.6967030390541851</v>
          </cell>
        </row>
        <row r="430">
          <cell r="QH430">
            <v>6.3623903719528307</v>
          </cell>
        </row>
        <row r="431">
          <cell r="QH431">
            <v>5.2837115884311059</v>
          </cell>
        </row>
        <row r="432">
          <cell r="QH432">
            <v>5.1433798686348675</v>
          </cell>
        </row>
        <row r="433">
          <cell r="QH433">
            <v>5.1603244729934161</v>
          </cell>
        </row>
        <row r="434">
          <cell r="QH434">
            <v>4.8937543879563838</v>
          </cell>
        </row>
        <row r="435">
          <cell r="QH435">
            <v>4.7659306302932247</v>
          </cell>
        </row>
        <row r="436">
          <cell r="QH436">
            <v>4.8290598624020076</v>
          </cell>
        </row>
        <row r="437">
          <cell r="QH437">
            <v>4.8032611854924134</v>
          </cell>
        </row>
        <row r="438">
          <cell r="QH438">
            <v>4.6551381123994373</v>
          </cell>
        </row>
        <row r="439">
          <cell r="QH439">
            <v>4.2953301154182499</v>
          </cell>
        </row>
        <row r="440">
          <cell r="QH440">
            <v>4.59569591186062</v>
          </cell>
        </row>
        <row r="441">
          <cell r="QH441">
            <v>4.421268161319758</v>
          </cell>
        </row>
        <row r="442">
          <cell r="QH442">
            <v>4.2345706106455827</v>
          </cell>
        </row>
        <row r="443">
          <cell r="QH443">
            <v>4.5106231363713167</v>
          </cell>
        </row>
        <row r="444">
          <cell r="QH444">
            <v>4.4763402400622265</v>
          </cell>
        </row>
        <row r="445">
          <cell r="QH445">
            <v>4.2794519592757929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5683-7F8D-4628-88ED-A18A0DE44D9F}">
  <dimension ref="A1:AA86"/>
  <sheetViews>
    <sheetView topLeftCell="C1" workbookViewId="0">
      <selection activeCell="H4" sqref="H4"/>
    </sheetView>
  </sheetViews>
  <sheetFormatPr defaultRowHeight="14.5" x14ac:dyDescent="0.35"/>
  <cols>
    <col min="5" max="6" width="3" customWidth="1"/>
    <col min="7" max="7" width="18.6328125" customWidth="1"/>
    <col min="8" max="8" width="16.81640625" bestFit="1" customWidth="1"/>
    <col min="9" max="10" width="3" customWidth="1"/>
    <col min="11" max="11" width="12.90625" customWidth="1"/>
    <col min="15" max="16" width="3" customWidth="1"/>
    <col min="17" max="17" width="12.90625" customWidth="1"/>
    <col min="20" max="21" width="3" customWidth="1"/>
    <col min="25" max="25" width="3.7265625" customWidth="1"/>
  </cols>
  <sheetData>
    <row r="1" spans="1:27" x14ac:dyDescent="0.35">
      <c r="B1" t="s">
        <v>9</v>
      </c>
      <c r="C1" t="s">
        <v>10</v>
      </c>
      <c r="D1" t="s">
        <v>11</v>
      </c>
      <c r="H1" t="s">
        <v>9</v>
      </c>
      <c r="K1" s="1" t="s">
        <v>14</v>
      </c>
      <c r="Q1" s="1" t="s">
        <v>230</v>
      </c>
      <c r="V1" t="s">
        <v>277</v>
      </c>
    </row>
    <row r="2" spans="1:27" x14ac:dyDescent="0.35">
      <c r="A2" t="s">
        <v>0</v>
      </c>
      <c r="B2">
        <v>-2</v>
      </c>
      <c r="C2" t="s">
        <v>12</v>
      </c>
      <c r="D2" t="s">
        <v>12</v>
      </c>
      <c r="E2">
        <v>8</v>
      </c>
      <c r="F2">
        <f>17-E2</f>
        <v>9</v>
      </c>
      <c r="G2" t="s">
        <v>286</v>
      </c>
      <c r="H2">
        <v>1</v>
      </c>
      <c r="L2" t="s">
        <v>15</v>
      </c>
      <c r="M2" t="s">
        <v>16</v>
      </c>
      <c r="N2" t="s">
        <v>295</v>
      </c>
      <c r="R2" t="s">
        <v>231</v>
      </c>
      <c r="S2" t="s">
        <v>232</v>
      </c>
      <c r="V2" s="31" t="s">
        <v>278</v>
      </c>
      <c r="W2" t="s">
        <v>279</v>
      </c>
      <c r="X2" t="s">
        <v>280</v>
      </c>
      <c r="Z2" t="s">
        <v>283</v>
      </c>
      <c r="AA2" t="s">
        <v>284</v>
      </c>
    </row>
    <row r="3" spans="1:27" x14ac:dyDescent="0.35">
      <c r="A3" t="s">
        <v>1</v>
      </c>
      <c r="B3">
        <v>-1.75</v>
      </c>
      <c r="C3" t="s">
        <v>12</v>
      </c>
      <c r="D3" t="s">
        <v>12</v>
      </c>
      <c r="E3">
        <v>14</v>
      </c>
      <c r="F3">
        <f t="shared" ref="F3:F10" si="0">17-E3</f>
        <v>3</v>
      </c>
      <c r="G3" t="s">
        <v>287</v>
      </c>
      <c r="H3">
        <v>1</v>
      </c>
      <c r="K3" s="3">
        <v>43466</v>
      </c>
      <c r="L3" s="2">
        <f>HAVERM!B118</f>
        <v>3.6</v>
      </c>
      <c r="M3" t="e">
        <f>NA()</f>
        <v>#N/A</v>
      </c>
      <c r="N3">
        <v>0</v>
      </c>
      <c r="Q3" s="3">
        <v>44562</v>
      </c>
      <c r="R3" s="2">
        <f>((HAVERM!C154/HAVERM!C142)-1)*100</f>
        <v>3.2685512367491176</v>
      </c>
      <c r="S3" s="2">
        <f>[1]Monthly!QH406</f>
        <v>3.4144345590606084</v>
      </c>
      <c r="V3" s="22" t="s">
        <v>243</v>
      </c>
      <c r="W3" s="32">
        <v>604719</v>
      </c>
      <c r="X3" s="32">
        <f>'MPR GDP level'!E11*1000</f>
        <v>604719</v>
      </c>
    </row>
    <row r="4" spans="1:27" x14ac:dyDescent="0.35">
      <c r="A4" t="s">
        <v>2</v>
      </c>
      <c r="B4">
        <v>-1</v>
      </c>
      <c r="C4" t="s">
        <v>13</v>
      </c>
      <c r="D4" t="s">
        <v>12</v>
      </c>
      <c r="E4">
        <v>12</v>
      </c>
      <c r="F4">
        <f t="shared" si="0"/>
        <v>5</v>
      </c>
      <c r="G4" t="s">
        <v>288</v>
      </c>
      <c r="H4">
        <v>0.5</v>
      </c>
      <c r="K4" s="3">
        <v>43497</v>
      </c>
      <c r="L4" s="2">
        <f>HAVERM!B119</f>
        <v>3.6</v>
      </c>
      <c r="M4" t="e">
        <f>NA()</f>
        <v>#N/A</v>
      </c>
      <c r="N4">
        <v>0</v>
      </c>
      <c r="Q4" s="3">
        <v>44593</v>
      </c>
      <c r="R4" s="2">
        <f>((HAVERM!C155/HAVERM!C143)-1)*100</f>
        <v>3.4391534391534417</v>
      </c>
      <c r="S4" s="2">
        <f>[1]Monthly!QH407</f>
        <v>3.6825479227189373</v>
      </c>
      <c r="V4" s="22" t="s">
        <v>244</v>
      </c>
      <c r="W4" s="32">
        <v>481769</v>
      </c>
      <c r="X4" s="32">
        <f>'MPR GDP level'!E12*1000</f>
        <v>481769</v>
      </c>
      <c r="Z4" s="2">
        <f>((W4/W3)-1)*100</f>
        <v>-20.331757394756899</v>
      </c>
      <c r="AA4" s="2">
        <f>((X4/X3)-1)*100</f>
        <v>-20.331757394756899</v>
      </c>
    </row>
    <row r="5" spans="1:27" x14ac:dyDescent="0.35">
      <c r="A5" t="s">
        <v>5</v>
      </c>
      <c r="B5">
        <v>-0.5</v>
      </c>
      <c r="C5" t="s">
        <v>13</v>
      </c>
      <c r="D5" t="s">
        <v>12</v>
      </c>
      <c r="E5">
        <v>13</v>
      </c>
      <c r="F5">
        <f t="shared" si="0"/>
        <v>4</v>
      </c>
      <c r="G5" t="s">
        <v>289</v>
      </c>
      <c r="H5">
        <v>0.25</v>
      </c>
      <c r="K5" s="3">
        <v>43525</v>
      </c>
      <c r="L5" s="2">
        <f>HAVERM!B120</f>
        <v>3.6</v>
      </c>
      <c r="M5" t="e">
        <f>NA()</f>
        <v>#N/A</v>
      </c>
      <c r="N5">
        <v>0</v>
      </c>
      <c r="Q5" s="3">
        <v>44621</v>
      </c>
      <c r="R5" s="2">
        <f>((HAVERM!C156/HAVERM!C144)-1)*100</f>
        <v>3.9612676056338003</v>
      </c>
      <c r="S5" s="2">
        <f>[1]Monthly!QH408</f>
        <v>4.3041571219982755</v>
      </c>
      <c r="V5" s="22" t="s">
        <v>245</v>
      </c>
      <c r="W5" s="32">
        <v>562648</v>
      </c>
      <c r="X5" s="32">
        <f>'MPR GDP level'!E13*1000</f>
        <v>562648</v>
      </c>
      <c r="Z5" s="2">
        <f t="shared" ref="Z5:Z38" si="1">((W5/W4)-1)*100</f>
        <v>16.787921182143318</v>
      </c>
      <c r="AA5" s="2">
        <f t="shared" ref="AA5:AA36" si="2">((X5/X4)-1)*100</f>
        <v>16.787921182143318</v>
      </c>
    </row>
    <row r="6" spans="1:27" x14ac:dyDescent="0.35">
      <c r="A6" t="s">
        <v>3</v>
      </c>
      <c r="B6">
        <v>-0.5</v>
      </c>
      <c r="C6" t="s">
        <v>13</v>
      </c>
      <c r="D6" t="s">
        <v>12</v>
      </c>
      <c r="E6">
        <v>17</v>
      </c>
      <c r="F6">
        <f t="shared" si="0"/>
        <v>0</v>
      </c>
      <c r="G6" t="s">
        <v>290</v>
      </c>
      <c r="H6">
        <v>0.25</v>
      </c>
      <c r="K6" s="3">
        <v>43556</v>
      </c>
      <c r="L6" s="2">
        <f>HAVERM!B121</f>
        <v>3.6</v>
      </c>
      <c r="M6" t="e">
        <f>NA()</f>
        <v>#N/A</v>
      </c>
      <c r="N6">
        <v>0</v>
      </c>
      <c r="Q6" s="3">
        <v>44652</v>
      </c>
      <c r="R6" s="2">
        <f>((HAVERM!C157/HAVERM!C145)-1)*100</f>
        <v>4.7244094488189115</v>
      </c>
      <c r="S6" s="2">
        <f>[1]Monthly!QH409</f>
        <v>5.190256569909435</v>
      </c>
      <c r="V6" s="22" t="s">
        <v>246</v>
      </c>
      <c r="W6" s="32">
        <v>570338</v>
      </c>
      <c r="X6" s="32">
        <f>'MPR GDP level'!E14*1000</f>
        <v>570338</v>
      </c>
      <c r="Z6" s="2">
        <f t="shared" si="1"/>
        <v>1.3667515036043909</v>
      </c>
      <c r="AA6" s="2">
        <f t="shared" si="2"/>
        <v>1.3667515036043909</v>
      </c>
    </row>
    <row r="7" spans="1:27" x14ac:dyDescent="0.35">
      <c r="A7" t="s">
        <v>4</v>
      </c>
      <c r="B7">
        <v>-0.5</v>
      </c>
      <c r="C7" t="s">
        <v>13</v>
      </c>
      <c r="D7" t="s">
        <v>12</v>
      </c>
      <c r="E7">
        <v>12</v>
      </c>
      <c r="F7">
        <f t="shared" si="0"/>
        <v>5</v>
      </c>
      <c r="G7" t="s">
        <v>291</v>
      </c>
      <c r="H7">
        <v>0</v>
      </c>
      <c r="K7" s="3">
        <v>43586</v>
      </c>
      <c r="L7" s="2">
        <f>HAVERM!B122</f>
        <v>3.7</v>
      </c>
      <c r="M7" t="e">
        <f>NA()</f>
        <v>#N/A</v>
      </c>
      <c r="N7">
        <v>0</v>
      </c>
      <c r="Q7" s="3">
        <v>44682</v>
      </c>
      <c r="R7" s="2">
        <f>((HAVERM!C158/HAVERM!C146)-1)*100</f>
        <v>4.8865619546247796</v>
      </c>
      <c r="S7" s="2">
        <f>[1]Monthly!QH410</f>
        <v>5.2311232829309162</v>
      </c>
      <c r="V7" s="22" t="s">
        <v>247</v>
      </c>
      <c r="W7" s="32">
        <v>564411</v>
      </c>
      <c r="X7" s="32">
        <f>'MPR GDP level'!E15*1000</f>
        <v>564411</v>
      </c>
      <c r="Z7" s="2">
        <f t="shared" si="1"/>
        <v>-1.0392083290960752</v>
      </c>
      <c r="AA7" s="2">
        <f t="shared" si="2"/>
        <v>-1.0392083290960752</v>
      </c>
    </row>
    <row r="8" spans="1:27" x14ac:dyDescent="0.35">
      <c r="A8" t="s">
        <v>6</v>
      </c>
      <c r="B8">
        <v>0.5</v>
      </c>
      <c r="C8" t="s">
        <v>13</v>
      </c>
      <c r="D8" t="s">
        <v>13</v>
      </c>
      <c r="E8">
        <v>13</v>
      </c>
      <c r="F8">
        <f t="shared" si="0"/>
        <v>4</v>
      </c>
      <c r="G8" t="s">
        <v>292</v>
      </c>
      <c r="H8">
        <v>-0.5</v>
      </c>
      <c r="K8" s="3">
        <v>43617</v>
      </c>
      <c r="L8" s="2">
        <f>HAVERM!B123</f>
        <v>3.9</v>
      </c>
      <c r="M8" t="e">
        <f>NA()</f>
        <v>#N/A</v>
      </c>
      <c r="N8">
        <v>0</v>
      </c>
      <c r="Q8" s="3">
        <v>44713</v>
      </c>
      <c r="R8" s="2">
        <f>((HAVERM!C159/HAVERM!C147)-1)*100</f>
        <v>5.2173913043478182</v>
      </c>
      <c r="S8" s="2">
        <f>[1]Monthly!QH411</f>
        <v>5.3913727621504481</v>
      </c>
      <c r="V8" s="22" t="s">
        <v>248</v>
      </c>
      <c r="W8" s="32">
        <v>605353</v>
      </c>
      <c r="X8" s="32">
        <f>'MPR GDP level'!E16*1000</f>
        <v>605353</v>
      </c>
      <c r="Z8" s="2">
        <f t="shared" si="1"/>
        <v>7.2539337468617626</v>
      </c>
      <c r="AA8" s="2">
        <f t="shared" si="2"/>
        <v>7.2539337468617626</v>
      </c>
    </row>
    <row r="9" spans="1:27" x14ac:dyDescent="0.35">
      <c r="A9" t="s">
        <v>7</v>
      </c>
      <c r="B9">
        <v>1.5</v>
      </c>
      <c r="C9" t="s">
        <v>13</v>
      </c>
      <c r="D9" t="s">
        <v>13</v>
      </c>
      <c r="E9">
        <v>11</v>
      </c>
      <c r="F9">
        <f t="shared" si="0"/>
        <v>6</v>
      </c>
      <c r="G9" t="s">
        <v>293</v>
      </c>
      <c r="H9">
        <v>-1.4</v>
      </c>
      <c r="K9" s="3">
        <v>43647</v>
      </c>
      <c r="L9" s="2">
        <f>HAVERM!B124</f>
        <v>3.9</v>
      </c>
      <c r="M9" t="e">
        <f>NA()</f>
        <v>#N/A</v>
      </c>
      <c r="N9">
        <v>0</v>
      </c>
      <c r="Q9" s="3">
        <v>44743</v>
      </c>
      <c r="R9" s="2">
        <f>((HAVERM!C160/HAVERM!C148)-1)*100</f>
        <v>5.7241977450130266</v>
      </c>
      <c r="S9" s="2">
        <f>[1]Monthly!QH412</f>
        <v>5.6563703598671911</v>
      </c>
      <c r="V9" s="22" t="s">
        <v>249</v>
      </c>
      <c r="W9" s="32">
        <v>615459</v>
      </c>
      <c r="X9" s="32">
        <f>'MPR GDP level'!E17*1000</f>
        <v>615459</v>
      </c>
      <c r="Z9" s="2">
        <f t="shared" si="1"/>
        <v>1.6694391536838937</v>
      </c>
      <c r="AA9" s="2">
        <f t="shared" si="2"/>
        <v>1.6694391536838937</v>
      </c>
    </row>
    <row r="10" spans="1:27" x14ac:dyDescent="0.35">
      <c r="A10" t="s">
        <v>8</v>
      </c>
      <c r="B10">
        <v>2</v>
      </c>
      <c r="C10" t="s">
        <v>13</v>
      </c>
      <c r="D10" t="s">
        <v>13</v>
      </c>
      <c r="E10">
        <v>13</v>
      </c>
      <c r="F10">
        <f t="shared" si="0"/>
        <v>4</v>
      </c>
      <c r="G10" t="s">
        <v>294</v>
      </c>
      <c r="H10">
        <v>-2</v>
      </c>
      <c r="K10" s="3">
        <v>43678</v>
      </c>
      <c r="L10" s="2">
        <f>HAVERM!B125</f>
        <v>3.9</v>
      </c>
      <c r="M10" t="e">
        <f>NA()</f>
        <v>#N/A</v>
      </c>
      <c r="N10">
        <v>0</v>
      </c>
      <c r="Q10" s="3">
        <v>44774</v>
      </c>
      <c r="R10" s="2">
        <f>((HAVERM!C161/HAVERM!C149)-1)*100</f>
        <v>5.9585492227979264</v>
      </c>
      <c r="S10" s="2">
        <f>[1]Monthly!QH413</f>
        <v>6.0002873717314387</v>
      </c>
      <c r="V10" s="22" t="s">
        <v>250</v>
      </c>
      <c r="W10" s="32">
        <v>624592</v>
      </c>
      <c r="X10" s="32">
        <f>'MPR GDP level'!E18*1000</f>
        <v>624592</v>
      </c>
      <c r="Z10" s="2">
        <f t="shared" si="1"/>
        <v>1.4839331295829705</v>
      </c>
      <c r="AA10" s="2">
        <f t="shared" si="2"/>
        <v>1.4839331295829705</v>
      </c>
    </row>
    <row r="11" spans="1:27" x14ac:dyDescent="0.35">
      <c r="K11" s="3">
        <v>43709</v>
      </c>
      <c r="L11" s="2">
        <f>HAVERM!B126</f>
        <v>3.7</v>
      </c>
      <c r="M11" t="e">
        <f>NA()</f>
        <v>#N/A</v>
      </c>
      <c r="N11">
        <v>0</v>
      </c>
      <c r="Q11" s="3">
        <v>44805</v>
      </c>
      <c r="R11" s="2">
        <f>((HAVERM!C162/HAVERM!C150)-1)*100</f>
        <v>6.1312607944732367</v>
      </c>
      <c r="S11" s="2">
        <f>[1]Monthly!QH414</f>
        <v>5.9818641034669051</v>
      </c>
      <c r="V11" s="22" t="s">
        <v>251</v>
      </c>
      <c r="W11" s="32">
        <v>629149</v>
      </c>
      <c r="X11" s="32">
        <f>'MPR GDP level'!E19*1000</f>
        <v>629149</v>
      </c>
      <c r="Z11" s="2">
        <f t="shared" si="1"/>
        <v>0.72959628045188296</v>
      </c>
      <c r="AA11" s="2">
        <f t="shared" si="2"/>
        <v>0.72959628045188296</v>
      </c>
    </row>
    <row r="12" spans="1:27" x14ac:dyDescent="0.35">
      <c r="K12" s="3">
        <v>43739</v>
      </c>
      <c r="L12" s="2">
        <f>HAVERM!B127</f>
        <v>3.5</v>
      </c>
      <c r="M12" t="e">
        <f>NA()</f>
        <v>#N/A</v>
      </c>
      <c r="N12">
        <v>0</v>
      </c>
      <c r="Q12" s="3">
        <v>44835</v>
      </c>
      <c r="R12" s="2">
        <f>((HAVERM!C163/HAVERM!C151)-1)*100</f>
        <v>6.2660944206008651</v>
      </c>
      <c r="S12" s="2">
        <f>[1]Monthly!QH415</f>
        <v>6.2279616188352538</v>
      </c>
      <c r="V12" s="22" t="s">
        <v>252</v>
      </c>
      <c r="W12" s="32">
        <v>631258</v>
      </c>
      <c r="X12" s="32">
        <f>'MPR GDP level'!E20*1000</f>
        <v>631258</v>
      </c>
      <c r="Z12" s="2">
        <f t="shared" si="1"/>
        <v>0.33521471066473296</v>
      </c>
      <c r="AA12" s="2">
        <f t="shared" si="2"/>
        <v>0.33521471066473296</v>
      </c>
    </row>
    <row r="13" spans="1:27" x14ac:dyDescent="0.35">
      <c r="K13" s="3">
        <v>43770</v>
      </c>
      <c r="L13" s="2">
        <f>HAVERM!B128</f>
        <v>3.3</v>
      </c>
      <c r="M13" t="e">
        <f>NA()</f>
        <v>#N/A</v>
      </c>
      <c r="N13">
        <v>0</v>
      </c>
      <c r="Q13" s="3">
        <v>44866</v>
      </c>
      <c r="R13" s="2">
        <f>((HAVERM!C164/HAVERM!C152)-1)*100</f>
        <v>6.3464837049742817</v>
      </c>
      <c r="S13" s="2">
        <f>[1]Monthly!QH416</f>
        <v>6.6721766858495624</v>
      </c>
      <c r="V13" s="22" t="s">
        <v>253</v>
      </c>
      <c r="W13" s="32">
        <v>631977</v>
      </c>
      <c r="X13" s="32">
        <f>'MPR GDP level'!E21*1000</f>
        <v>631977</v>
      </c>
      <c r="Z13" s="2">
        <f t="shared" si="1"/>
        <v>0.11389954661960022</v>
      </c>
      <c r="AA13" s="2">
        <f t="shared" si="2"/>
        <v>0.11389954661960022</v>
      </c>
    </row>
    <row r="14" spans="1:27" x14ac:dyDescent="0.35">
      <c r="K14" s="3">
        <v>43800</v>
      </c>
      <c r="L14" s="2">
        <f>HAVERM!B129</f>
        <v>3.2</v>
      </c>
      <c r="M14" t="e">
        <f>NA()</f>
        <v>#N/A</v>
      </c>
      <c r="N14">
        <v>0</v>
      </c>
      <c r="Q14" s="3">
        <v>44896</v>
      </c>
      <c r="R14" s="2">
        <f>((HAVERM!C165/HAVERM!C153)-1)*100</f>
        <v>6.8376068376068355</v>
      </c>
      <c r="S14" s="2">
        <f>[1]Monthly!QH417</f>
        <v>6.9554919075712762</v>
      </c>
      <c r="V14" s="22" t="s">
        <v>254</v>
      </c>
      <c r="W14" s="32">
        <v>634044</v>
      </c>
      <c r="X14" s="32">
        <f>'MPR GDP level'!E22*1000</f>
        <v>634044</v>
      </c>
      <c r="Z14" s="2">
        <f t="shared" si="1"/>
        <v>0.32706886484792363</v>
      </c>
      <c r="AA14" s="2">
        <f t="shared" si="2"/>
        <v>0.32706886484792363</v>
      </c>
    </row>
    <row r="15" spans="1:27" x14ac:dyDescent="0.35">
      <c r="G15" t="str">
        <f>LEFT(G2,8)</f>
        <v>Pill</v>
      </c>
      <c r="K15" s="3">
        <v>43831</v>
      </c>
      <c r="L15" s="2">
        <f>HAVERM!B130</f>
        <v>3</v>
      </c>
      <c r="M15" t="e">
        <f>NA()</f>
        <v>#N/A</v>
      </c>
      <c r="N15">
        <v>0</v>
      </c>
      <c r="Q15" s="3">
        <v>44927</v>
      </c>
      <c r="R15" s="2">
        <f>((HAVERM!C166/HAVERM!C154)-1)*100</f>
        <v>5.9024807527801482</v>
      </c>
      <c r="S15" s="2">
        <f>[1]Monthly!QH418</f>
        <v>6.3888859950958832</v>
      </c>
      <c r="V15" s="22" t="s">
        <v>255</v>
      </c>
      <c r="W15" s="32">
        <v>634428</v>
      </c>
      <c r="X15" s="32">
        <f>'MPR GDP level'!E23*1000</f>
        <v>634428</v>
      </c>
      <c r="Z15" s="2">
        <f t="shared" si="1"/>
        <v>6.0563620190401402E-2</v>
      </c>
      <c r="AA15" s="2">
        <f t="shared" si="2"/>
        <v>6.0563620190401402E-2</v>
      </c>
    </row>
    <row r="16" spans="1:27" x14ac:dyDescent="0.35">
      <c r="G16" t="str">
        <f>LEFT(G3,14)</f>
        <v>Mann</v>
      </c>
      <c r="K16" s="3">
        <v>43862</v>
      </c>
      <c r="L16" s="2">
        <f>HAVERM!B131</f>
        <v>2.9</v>
      </c>
      <c r="M16" t="e">
        <f>NA()</f>
        <v>#N/A</v>
      </c>
      <c r="N16">
        <v>0</v>
      </c>
      <c r="Q16" s="3">
        <v>44958</v>
      </c>
      <c r="R16" s="2">
        <f>((HAVERM!C167/HAVERM!C155)-1)*100</f>
        <v>6.6496163682864484</v>
      </c>
      <c r="S16" s="2">
        <f>[1]Monthly!QH419</f>
        <v>7.4140323862877944</v>
      </c>
      <c r="V16" s="22" t="s">
        <v>256</v>
      </c>
      <c r="W16" s="32">
        <v>634694</v>
      </c>
      <c r="X16" s="32">
        <f>'MPR GDP level'!E24*1000</f>
        <v>634694</v>
      </c>
      <c r="Z16" s="2">
        <f t="shared" si="1"/>
        <v>4.1927531571750443E-2</v>
      </c>
      <c r="AA16" s="2">
        <f t="shared" si="2"/>
        <v>4.1927531571750443E-2</v>
      </c>
    </row>
    <row r="17" spans="7:27" x14ac:dyDescent="0.35">
      <c r="G17" t="str">
        <f>LEFT(G4,12)</f>
        <v xml:space="preserve">Greene </v>
      </c>
      <c r="K17" s="3">
        <v>43891</v>
      </c>
      <c r="L17" s="2">
        <f>HAVERM!B132</f>
        <v>2.5</v>
      </c>
      <c r="M17" t="e">
        <f>NA()</f>
        <v>#N/A</v>
      </c>
      <c r="N17">
        <v>0</v>
      </c>
      <c r="Q17" s="3">
        <v>44986</v>
      </c>
      <c r="R17" s="2">
        <f>((HAVERM!C168/HAVERM!C156)-1)*100</f>
        <v>6.6892464013547981</v>
      </c>
      <c r="S17" s="2">
        <f>[1]Monthly!QH420</f>
        <v>7.0935121976274385</v>
      </c>
      <c r="V17" s="22" t="s">
        <v>257</v>
      </c>
      <c r="W17" s="32">
        <v>634327</v>
      </c>
      <c r="X17" s="32">
        <f>'MPR GDP level'!E25*1000</f>
        <v>634327</v>
      </c>
      <c r="Z17" s="2">
        <f t="shared" si="1"/>
        <v>-5.7823139969814807E-2</v>
      </c>
      <c r="AA17" s="2">
        <f t="shared" si="2"/>
        <v>-5.7823139969814807E-2</v>
      </c>
    </row>
    <row r="18" spans="7:27" x14ac:dyDescent="0.35">
      <c r="G18" t="str">
        <f>LEFT(G5,13)</f>
        <v>Bailey</v>
      </c>
      <c r="K18" s="3">
        <v>43922</v>
      </c>
      <c r="L18" s="2">
        <f>HAVERM!B133</f>
        <v>1.3</v>
      </c>
      <c r="M18" t="e">
        <f>NA()</f>
        <v>#N/A</v>
      </c>
      <c r="N18">
        <v>0</v>
      </c>
      <c r="Q18" s="3">
        <v>45017</v>
      </c>
      <c r="R18" s="2">
        <f>((HAVERM!C169/HAVERM!C157)-1)*100</f>
        <v>6.9340016708437702</v>
      </c>
      <c r="S18" s="2">
        <f>[1]Monthly!QH421</f>
        <v>6.758211041698825</v>
      </c>
      <c r="V18" s="22" t="s">
        <v>258</v>
      </c>
      <c r="W18" s="32">
        <v>633011</v>
      </c>
      <c r="X18" s="32">
        <f>'MPR GDP level'!E26*1000</f>
        <v>633011</v>
      </c>
      <c r="Z18" s="2">
        <f t="shared" si="1"/>
        <v>-0.20746397362874092</v>
      </c>
      <c r="AA18" s="2">
        <f t="shared" si="2"/>
        <v>-0.20746397362874092</v>
      </c>
    </row>
    <row r="19" spans="7:27" x14ac:dyDescent="0.35">
      <c r="G19" t="str">
        <f>LEFT(G6,17)</f>
        <v>Lombardelli</v>
      </c>
      <c r="K19" s="3">
        <v>43952</v>
      </c>
      <c r="L19" s="2">
        <f>HAVERM!B134</f>
        <v>-0.1</v>
      </c>
      <c r="M19" t="e">
        <f>NA()</f>
        <v>#N/A</v>
      </c>
      <c r="N19">
        <v>0</v>
      </c>
      <c r="Q19" s="3">
        <v>45047</v>
      </c>
      <c r="R19" s="2">
        <f>((HAVERM!C170/HAVERM!C158)-1)*100</f>
        <v>7.3211314475873479</v>
      </c>
      <c r="S19" s="2">
        <f>[1]Monthly!QH422</f>
        <v>6.9726189579240039</v>
      </c>
      <c r="V19" s="22" t="s">
        <v>259</v>
      </c>
      <c r="W19" s="32">
        <v>638746</v>
      </c>
      <c r="X19" s="32">
        <f>'MPR GDP level'!E27*1000</f>
        <v>638746</v>
      </c>
      <c r="Z19" s="2">
        <f t="shared" si="1"/>
        <v>0.90598741570051544</v>
      </c>
      <c r="AA19" s="2">
        <f t="shared" si="2"/>
        <v>0.90598741570051544</v>
      </c>
    </row>
    <row r="20" spans="7:27" x14ac:dyDescent="0.35">
      <c r="G20" t="str">
        <f>LEFT(G7,12)</f>
        <v>Ramsden</v>
      </c>
      <c r="K20" s="3">
        <v>43983</v>
      </c>
      <c r="L20" s="2">
        <f>HAVERM!B135</f>
        <v>-1.2</v>
      </c>
      <c r="M20" t="e">
        <f>NA()</f>
        <v>#N/A</v>
      </c>
      <c r="N20">
        <v>0</v>
      </c>
      <c r="Q20" s="3">
        <v>45078</v>
      </c>
      <c r="R20" s="2">
        <f>((HAVERM!C171/HAVERM!C159)-1)*100</f>
        <v>7.1900826446280819</v>
      </c>
      <c r="S20" s="2">
        <f>[1]Monthly!QH423</f>
        <v>6.8272077007515364</v>
      </c>
      <c r="V20" s="22" t="s">
        <v>260</v>
      </c>
      <c r="W20" s="32">
        <v>641670</v>
      </c>
      <c r="X20" s="32">
        <f>'MPR GDP level'!E28*1000</f>
        <v>641670</v>
      </c>
      <c r="Z20" s="2">
        <f t="shared" si="1"/>
        <v>0.45777194690848066</v>
      </c>
      <c r="AA20" s="2">
        <f t="shared" si="2"/>
        <v>0.45777194690848066</v>
      </c>
    </row>
    <row r="21" spans="7:27" x14ac:dyDescent="0.35">
      <c r="G21" t="str">
        <f>LEFT(G8,13)</f>
        <v>Breeden</v>
      </c>
      <c r="K21" s="3">
        <v>44013</v>
      </c>
      <c r="L21" s="2">
        <f>HAVERM!B136</f>
        <v>-0.8</v>
      </c>
      <c r="M21" t="e">
        <f>NA()</f>
        <v>#N/A</v>
      </c>
      <c r="N21">
        <v>0</v>
      </c>
      <c r="Q21" s="3">
        <v>45108</v>
      </c>
      <c r="R21" s="2">
        <f>((HAVERM!C172/HAVERM!C160)-1)*100</f>
        <v>7.4651353568498724</v>
      </c>
      <c r="S21" s="2">
        <f>[1]Monthly!QH424</f>
        <v>6.5465998909580714</v>
      </c>
      <c r="V21" s="22" t="s">
        <v>261</v>
      </c>
      <c r="W21" s="32">
        <v>641675</v>
      </c>
      <c r="X21" s="32">
        <f>'MPR GDP level'!E29*1000</f>
        <v>641675</v>
      </c>
      <c r="Z21" s="2">
        <f t="shared" si="1"/>
        <v>7.792167313391829E-4</v>
      </c>
      <c r="AA21" s="2">
        <f t="shared" si="2"/>
        <v>7.792167313391829E-4</v>
      </c>
    </row>
    <row r="22" spans="7:27" x14ac:dyDescent="0.35">
      <c r="G22" t="str">
        <f>LEFT(G9,11)</f>
        <v>Taylor</v>
      </c>
      <c r="K22" s="3">
        <v>44044</v>
      </c>
      <c r="L22" s="2">
        <f>HAVERM!B137</f>
        <v>0.1</v>
      </c>
      <c r="M22" t="e">
        <f>NA()</f>
        <v>#N/A</v>
      </c>
      <c r="N22">
        <v>0</v>
      </c>
      <c r="Q22" s="3">
        <v>45139</v>
      </c>
      <c r="R22" s="2">
        <f>((HAVERM!C173/HAVERM!C161)-1)*100</f>
        <v>6.764466177669104</v>
      </c>
      <c r="S22" s="2">
        <f>[1]Monthly!QH425</f>
        <v>6.3022688360604651</v>
      </c>
      <c r="V22" s="22" t="s">
        <v>262</v>
      </c>
      <c r="W22" s="32">
        <v>642287</v>
      </c>
      <c r="X22" s="32">
        <f>'MPR GDP level'!E30*1000</f>
        <v>642287</v>
      </c>
      <c r="Z22" s="2">
        <f t="shared" si="1"/>
        <v>9.5375384735252311E-2</v>
      </c>
      <c r="AA22" s="2">
        <f t="shared" si="2"/>
        <v>9.5375384735252311E-2</v>
      </c>
    </row>
    <row r="23" spans="7:27" x14ac:dyDescent="0.35">
      <c r="G23" t="str">
        <f>LEFT(G10,13)</f>
        <v>Dhingra</v>
      </c>
      <c r="K23" s="3">
        <v>44075</v>
      </c>
      <c r="L23" s="2">
        <f>HAVERM!B138</f>
        <v>1.4</v>
      </c>
      <c r="M23" t="e">
        <f>NA()</f>
        <v>#N/A</v>
      </c>
      <c r="N23">
        <v>0</v>
      </c>
      <c r="Q23" s="3">
        <v>45170</v>
      </c>
      <c r="R23" s="2">
        <f>((HAVERM!C174/HAVERM!C162)-1)*100</f>
        <v>6.9161920260374377</v>
      </c>
      <c r="S23" s="2">
        <f>[1]Monthly!QH426</f>
        <v>6.422589011373625</v>
      </c>
      <c r="V23" s="22" t="s">
        <v>263</v>
      </c>
      <c r="W23" s="33">
        <v>646833</v>
      </c>
      <c r="X23" s="33">
        <f>'MPR GDP level'!E31*1000</f>
        <v>646140.72200000496</v>
      </c>
      <c r="Y23" s="34"/>
      <c r="Z23" s="35">
        <f t="shared" si="1"/>
        <v>0.70778328068292762</v>
      </c>
      <c r="AA23" s="35">
        <f t="shared" si="2"/>
        <v>0.60000000000077769</v>
      </c>
    </row>
    <row r="24" spans="7:27" x14ac:dyDescent="0.35">
      <c r="K24" s="3">
        <v>44105</v>
      </c>
      <c r="L24" s="2">
        <f>HAVERM!B139</f>
        <v>2.4</v>
      </c>
      <c r="M24" t="e">
        <f>NA()</f>
        <v>#N/A</v>
      </c>
      <c r="N24">
        <v>0</v>
      </c>
      <c r="Q24" s="3">
        <v>45200</v>
      </c>
      <c r="R24" s="2">
        <f>((HAVERM!C175/HAVERM!C163)-1)*100</f>
        <v>6.5428109854604344</v>
      </c>
      <c r="S24" s="2">
        <f>[1]Monthly!QH427</f>
        <v>6.3254069852428429</v>
      </c>
      <c r="V24" s="22" t="s">
        <v>264</v>
      </c>
      <c r="W24" s="33">
        <v>648085.30000000005</v>
      </c>
      <c r="X24" s="33">
        <f>'MPR GDP level'!E32*1000</f>
        <v>646786.862722005</v>
      </c>
      <c r="Y24" s="34"/>
      <c r="Z24" s="35">
        <f t="shared" si="1"/>
        <v>0.19360484081671903</v>
      </c>
      <c r="AA24" s="35">
        <f t="shared" si="2"/>
        <v>0.10000000000001119</v>
      </c>
    </row>
    <row r="25" spans="7:27" x14ac:dyDescent="0.35">
      <c r="K25" s="3">
        <v>44136</v>
      </c>
      <c r="L25" s="2">
        <f>HAVERM!B140</f>
        <v>3.3</v>
      </c>
      <c r="M25" t="e">
        <f>NA()</f>
        <v>#N/A</v>
      </c>
      <c r="N25">
        <v>0</v>
      </c>
      <c r="Q25" s="3">
        <v>45231</v>
      </c>
      <c r="R25" s="2">
        <f>((HAVERM!C176/HAVERM!C164)-1)*100</f>
        <v>6.209677419354831</v>
      </c>
      <c r="S25" s="2">
        <f>[1]Monthly!QH428</f>
        <v>5.7115575036153166</v>
      </c>
      <c r="V25" s="22" t="s">
        <v>265</v>
      </c>
      <c r="W25" s="33">
        <v>649052.30000000005</v>
      </c>
      <c r="X25" s="33">
        <f>'MPR GDP level'!E33*1000</f>
        <v>648584.93020037201</v>
      </c>
      <c r="Y25" s="34"/>
      <c r="Z25" s="35">
        <f t="shared" si="1"/>
        <v>0.14920875384767385</v>
      </c>
      <c r="AA25" s="35">
        <f t="shared" si="2"/>
        <v>0.27799999999997826</v>
      </c>
    </row>
    <row r="26" spans="7:27" x14ac:dyDescent="0.35">
      <c r="K26" s="3">
        <v>44166</v>
      </c>
      <c r="L26" s="2">
        <f>HAVERM!B141</f>
        <v>3.9</v>
      </c>
      <c r="M26" t="e">
        <f>NA()</f>
        <v>#N/A</v>
      </c>
      <c r="N26">
        <v>0</v>
      </c>
      <c r="Q26" s="3">
        <v>45261</v>
      </c>
      <c r="R26" s="2">
        <f>((HAVERM!C177/HAVERM!C165)-1)*100</f>
        <v>6.4000000000000057</v>
      </c>
      <c r="S26" s="2">
        <f>[1]Monthly!QH429</f>
        <v>5.6967030390541851</v>
      </c>
      <c r="V26" s="22" t="s">
        <v>266</v>
      </c>
      <c r="W26" s="33">
        <v>650132.4</v>
      </c>
      <c r="X26" s="33">
        <f>'MPR GDP level'!E34*1000</f>
        <v>650831.62839858595</v>
      </c>
      <c r="Y26" s="34"/>
      <c r="Z26" s="35">
        <f t="shared" si="1"/>
        <v>0.16641185926002944</v>
      </c>
      <c r="AA26" s="35">
        <f t="shared" si="2"/>
        <v>0.34639999999996895</v>
      </c>
    </row>
    <row r="27" spans="7:27" x14ac:dyDescent="0.35">
      <c r="K27" s="3">
        <v>44197</v>
      </c>
      <c r="L27" s="2">
        <f>HAVERM!B142</f>
        <v>4.0999999999999996</v>
      </c>
      <c r="M27" t="e">
        <f>NA()</f>
        <v>#N/A</v>
      </c>
      <c r="N27">
        <v>0</v>
      </c>
      <c r="Q27" s="3">
        <v>45292</v>
      </c>
      <c r="R27" s="2">
        <f>((HAVERM!C178/HAVERM!C166)-1)*100</f>
        <v>6.5428109854604344</v>
      </c>
      <c r="S27" s="2">
        <f>[1]Monthly!QH430</f>
        <v>6.3623903719528307</v>
      </c>
      <c r="V27" s="22" t="s">
        <v>267</v>
      </c>
      <c r="W27" s="33">
        <v>651660.6</v>
      </c>
      <c r="X27" s="33">
        <f>'MPR GDP level'!E35*1000</f>
        <v>652945.81374022504</v>
      </c>
      <c r="Y27" s="34"/>
      <c r="Z27" s="35">
        <f t="shared" si="1"/>
        <v>0.23505981243203689</v>
      </c>
      <c r="AA27" s="35">
        <f t="shared" si="2"/>
        <v>0.32484366914391494</v>
      </c>
    </row>
    <row r="28" spans="7:27" x14ac:dyDescent="0.35">
      <c r="K28" s="3">
        <v>44228</v>
      </c>
      <c r="L28" s="2">
        <f>HAVERM!B143</f>
        <v>4.0999999999999996</v>
      </c>
      <c r="M28" t="e">
        <f>NA()</f>
        <v>#N/A</v>
      </c>
      <c r="N28">
        <v>0</v>
      </c>
      <c r="Q28" s="3">
        <v>45323</v>
      </c>
      <c r="R28" s="2">
        <f>((HAVERM!C179/HAVERM!C167)-1)*100</f>
        <v>6.0751398880895202</v>
      </c>
      <c r="S28" s="2">
        <f>[1]Monthly!QH431</f>
        <v>5.2837115884311059</v>
      </c>
      <c r="V28" s="22" t="s">
        <v>268</v>
      </c>
      <c r="W28" s="33">
        <v>653192.80000000005</v>
      </c>
      <c r="X28" s="33">
        <f>'MPR GDP level'!E36*1000</f>
        <v>655104.70096626598</v>
      </c>
      <c r="Y28" s="34"/>
      <c r="Z28" s="35">
        <f t="shared" si="1"/>
        <v>0.2351223934667912</v>
      </c>
      <c r="AA28" s="35">
        <f t="shared" si="2"/>
        <v>0.33063803773767386</v>
      </c>
    </row>
    <row r="29" spans="7:27" x14ac:dyDescent="0.35">
      <c r="K29" s="3">
        <v>44256</v>
      </c>
      <c r="L29" s="2">
        <f>HAVERM!B144</f>
        <v>4.3</v>
      </c>
      <c r="M29" t="e">
        <f>NA()</f>
        <v>#N/A</v>
      </c>
      <c r="N29">
        <v>0</v>
      </c>
      <c r="Q29" s="3">
        <v>45352</v>
      </c>
      <c r="R29" s="2">
        <f>((HAVERM!C180/HAVERM!C168)-1)*100</f>
        <v>5.9523809523809534</v>
      </c>
      <c r="S29" s="2">
        <f>[1]Monthly!QH432</f>
        <v>5.1433798686348675</v>
      </c>
      <c r="V29" s="22" t="s">
        <v>269</v>
      </c>
      <c r="W29" s="33">
        <v>654825.80000000005</v>
      </c>
      <c r="X29" s="33">
        <f>'MPR GDP level'!E37*1000</f>
        <v>657209.44946190098</v>
      </c>
      <c r="Y29" s="34"/>
      <c r="Z29" s="35">
        <f t="shared" si="1"/>
        <v>0.25000275569480035</v>
      </c>
      <c r="AA29" s="35">
        <f t="shared" si="2"/>
        <v>0.32128429127902258</v>
      </c>
    </row>
    <row r="30" spans="7:27" x14ac:dyDescent="0.35">
      <c r="K30" s="3">
        <v>44287</v>
      </c>
      <c r="L30" s="2">
        <f>HAVERM!B145</f>
        <v>5.7</v>
      </c>
      <c r="M30" t="e">
        <f>NA()</f>
        <v>#N/A</v>
      </c>
      <c r="N30">
        <v>0</v>
      </c>
      <c r="Q30" s="3">
        <v>45383</v>
      </c>
      <c r="R30" s="2">
        <f>((HAVERM!C181/HAVERM!C169)-1)*100</f>
        <v>5.859375</v>
      </c>
      <c r="S30" s="2">
        <f>[1]Monthly!QH433</f>
        <v>5.1603244729934161</v>
      </c>
      <c r="V30" s="22" t="s">
        <v>270</v>
      </c>
      <c r="W30" s="33">
        <v>656757.1</v>
      </c>
      <c r="X30" s="33">
        <f>'MPR GDP level'!E38*1000</f>
        <v>659478.30467645917</v>
      </c>
      <c r="Y30" s="34"/>
      <c r="Z30" s="35">
        <f t="shared" si="1"/>
        <v>0.2949334006082216</v>
      </c>
      <c r="AA30" s="35">
        <f t="shared" si="2"/>
        <v>0.34522559230028005</v>
      </c>
    </row>
    <row r="31" spans="7:27" x14ac:dyDescent="0.35">
      <c r="K31" s="3">
        <v>44317</v>
      </c>
      <c r="L31" s="2">
        <f>HAVERM!B146</f>
        <v>7.2</v>
      </c>
      <c r="M31" t="e">
        <f>NA()</f>
        <v>#N/A</v>
      </c>
      <c r="N31">
        <v>0</v>
      </c>
      <c r="Q31" s="3">
        <v>45413</v>
      </c>
      <c r="R31" s="2">
        <f>((HAVERM!C182/HAVERM!C170)-1)*100</f>
        <v>5.7364341085271331</v>
      </c>
      <c r="S31" s="2">
        <f>[1]Monthly!QH434</f>
        <v>4.8937543879563838</v>
      </c>
      <c r="V31" s="22" t="s">
        <v>271</v>
      </c>
      <c r="W31" s="33">
        <v>658891.6</v>
      </c>
      <c r="X31" s="33">
        <f>'MPR GDP level'!E39*1000</f>
        <v>662004.22702060803</v>
      </c>
      <c r="Y31" s="34"/>
      <c r="Z31" s="35">
        <f t="shared" si="1"/>
        <v>0.32500600298039917</v>
      </c>
      <c r="AA31" s="35">
        <f t="shared" si="2"/>
        <v>0.38301826250191073</v>
      </c>
    </row>
    <row r="32" spans="7:27" x14ac:dyDescent="0.35">
      <c r="K32" s="3">
        <v>44348</v>
      </c>
      <c r="L32" s="2">
        <f>HAVERM!B147</f>
        <v>8.4</v>
      </c>
      <c r="M32" t="e">
        <f>NA()</f>
        <v>#N/A</v>
      </c>
      <c r="N32">
        <v>0</v>
      </c>
      <c r="Q32" s="3">
        <v>45444</v>
      </c>
      <c r="R32" s="2">
        <f>((HAVERM!C183/HAVERM!C171)-1)*100</f>
        <v>5.7054741711642265</v>
      </c>
      <c r="S32" s="2">
        <f>[1]Monthly!QH435</f>
        <v>4.7659306302932247</v>
      </c>
      <c r="V32" s="22" t="s">
        <v>272</v>
      </c>
      <c r="W32" s="33">
        <v>661313.6</v>
      </c>
      <c r="X32" s="33">
        <f>'MPR GDP level'!E40*1000</f>
        <v>664909.163265154</v>
      </c>
      <c r="Y32" s="34"/>
      <c r="Z32" s="35">
        <f t="shared" si="1"/>
        <v>0.36758702038393043</v>
      </c>
      <c r="AA32" s="35">
        <f t="shared" si="2"/>
        <v>0.43880931963529157</v>
      </c>
    </row>
    <row r="33" spans="11:27" x14ac:dyDescent="0.35">
      <c r="K33" s="3">
        <v>44378</v>
      </c>
      <c r="L33" s="2">
        <f>HAVERM!B148</f>
        <v>7.8</v>
      </c>
      <c r="M33" t="e">
        <f>NA()</f>
        <v>#N/A</v>
      </c>
      <c r="N33">
        <v>0</v>
      </c>
      <c r="Q33" s="3">
        <v>45474</v>
      </c>
      <c r="R33" s="2">
        <f>((HAVERM!C184/HAVERM!C172)-1)*100</f>
        <v>5.1908396946565016</v>
      </c>
      <c r="S33" s="2">
        <f>[1]Monthly!QH436</f>
        <v>4.8290598624020076</v>
      </c>
      <c r="V33" s="22" t="s">
        <v>273</v>
      </c>
      <c r="W33" s="33">
        <v>664090.80000000005</v>
      </c>
      <c r="X33" s="33">
        <f>'MPR GDP level'!E41*1000</f>
        <v>668049.37370619515</v>
      </c>
      <c r="Y33" s="34"/>
      <c r="Z33" s="35">
        <f t="shared" si="1"/>
        <v>0.41995204695624011</v>
      </c>
      <c r="AA33" s="35">
        <f t="shared" si="2"/>
        <v>0.47227660777309222</v>
      </c>
    </row>
    <row r="34" spans="11:27" x14ac:dyDescent="0.35">
      <c r="K34" s="3">
        <v>44409</v>
      </c>
      <c r="L34" s="2">
        <f>HAVERM!B149</f>
        <v>6.8</v>
      </c>
      <c r="M34" t="e">
        <f>NA()</f>
        <v>#N/A</v>
      </c>
      <c r="N34">
        <v>0</v>
      </c>
      <c r="Q34" s="3">
        <v>45505</v>
      </c>
      <c r="R34" s="2">
        <f>((HAVERM!C185/HAVERM!C173)-1)*100</f>
        <v>5.5725190839694738</v>
      </c>
      <c r="S34" s="2">
        <f>[1]Monthly!QH437</f>
        <v>4.8032611854924134</v>
      </c>
      <c r="V34" s="22" t="s">
        <v>274</v>
      </c>
      <c r="W34" s="33">
        <v>667145.4</v>
      </c>
      <c r="X34" s="33">
        <f>'MPR GDP level'!E42*1000</f>
        <v>671265.36339121615</v>
      </c>
      <c r="Y34" s="34"/>
      <c r="Z34" s="35">
        <f t="shared" si="1"/>
        <v>0.45996722134984402</v>
      </c>
      <c r="AA34" s="35">
        <f t="shared" si="2"/>
        <v>0.48139999999989858</v>
      </c>
    </row>
    <row r="35" spans="11:27" x14ac:dyDescent="0.35">
      <c r="K35" s="3">
        <v>44440</v>
      </c>
      <c r="L35" s="2">
        <f>HAVERM!B150</f>
        <v>5.6</v>
      </c>
      <c r="M35" t="e">
        <f>NA()</f>
        <v>#N/A</v>
      </c>
      <c r="N35">
        <v>0</v>
      </c>
      <c r="Q35" s="3">
        <v>45536</v>
      </c>
      <c r="R35" s="2">
        <f>((HAVERM!C186/HAVERM!C174)-1)*100</f>
        <v>4.946727549467278</v>
      </c>
      <c r="S35" s="2">
        <f>[1]Monthly!QH438</f>
        <v>4.6551381123994373</v>
      </c>
      <c r="V35" s="22" t="s">
        <v>275</v>
      </c>
      <c r="W35" s="33">
        <v>670214.5</v>
      </c>
      <c r="X35" s="33">
        <f>'MPR GDP level'!E43*1000</f>
        <v>674436.25787704799</v>
      </c>
      <c r="Y35" s="34"/>
      <c r="Z35" s="35">
        <f t="shared" si="1"/>
        <v>0.46003464911845704</v>
      </c>
      <c r="AA35" s="35">
        <f t="shared" si="2"/>
        <v>0.47237570397087314</v>
      </c>
    </row>
    <row r="36" spans="11:27" x14ac:dyDescent="0.35">
      <c r="K36" s="3">
        <v>44470</v>
      </c>
      <c r="L36" s="2">
        <f>HAVERM!B151</f>
        <v>4.8</v>
      </c>
      <c r="M36" t="e">
        <f>NA()</f>
        <v>#N/A</v>
      </c>
      <c r="N36">
        <v>0</v>
      </c>
      <c r="Q36" s="3">
        <v>45566</v>
      </c>
      <c r="R36" s="2">
        <f>((HAVERM!C187/HAVERM!C175)-1)*100</f>
        <v>5.0037907505686041</v>
      </c>
      <c r="S36" s="2">
        <f>[1]Monthly!QH439</f>
        <v>4.2953301154182499</v>
      </c>
      <c r="V36" s="22" t="s">
        <v>276</v>
      </c>
      <c r="W36" s="33">
        <v>673230.3</v>
      </c>
      <c r="X36" s="33">
        <f>'MPR GDP level'!E44*1000</f>
        <v>677557.54887850303</v>
      </c>
      <c r="Y36" s="34"/>
      <c r="Z36" s="35">
        <f t="shared" si="1"/>
        <v>0.44997534371460368</v>
      </c>
      <c r="AA36" s="35">
        <f t="shared" si="2"/>
        <v>0.46280000000000765</v>
      </c>
    </row>
    <row r="37" spans="11:27" x14ac:dyDescent="0.35">
      <c r="K37" s="3">
        <v>44501</v>
      </c>
      <c r="L37" s="2">
        <f>HAVERM!B152</f>
        <v>4.3</v>
      </c>
      <c r="M37" t="e">
        <f>NA()</f>
        <v>#N/A</v>
      </c>
      <c r="N37">
        <v>0</v>
      </c>
      <c r="Q37" s="3">
        <v>45597</v>
      </c>
      <c r="R37" s="2">
        <f>((HAVERM!C188/HAVERM!C176)-1)*100</f>
        <v>5.0113895216401083</v>
      </c>
      <c r="S37" s="2">
        <f>[1]Monthly!QH440</f>
        <v>4.59569591186062</v>
      </c>
      <c r="V37" s="22" t="s">
        <v>281</v>
      </c>
      <c r="W37" s="33">
        <v>676293.3</v>
      </c>
      <c r="X37" s="34"/>
      <c r="Y37" s="34"/>
      <c r="Z37" s="35">
        <f t="shared" si="1"/>
        <v>0.45497060961159352</v>
      </c>
      <c r="AA37" s="35"/>
    </row>
    <row r="38" spans="11:27" x14ac:dyDescent="0.35">
      <c r="K38" s="3">
        <v>44531</v>
      </c>
      <c r="L38" s="2">
        <f>HAVERM!B153</f>
        <v>4.2</v>
      </c>
      <c r="M38" t="e">
        <f>NA()</f>
        <v>#N/A</v>
      </c>
      <c r="N38">
        <v>0</v>
      </c>
      <c r="Q38" s="3">
        <v>45627</v>
      </c>
      <c r="R38" s="2">
        <f>((HAVERM!C189/HAVERM!C177)-1)*100</f>
        <v>4.3609022556390986</v>
      </c>
      <c r="S38" s="2">
        <f>[1]Monthly!QH441</f>
        <v>4.421268161319758</v>
      </c>
      <c r="V38" s="22" t="s">
        <v>282</v>
      </c>
      <c r="W38" s="33">
        <v>679201.6</v>
      </c>
      <c r="X38" s="34"/>
      <c r="Y38" s="34"/>
      <c r="Z38" s="35">
        <f t="shared" si="1"/>
        <v>0.43003531160221709</v>
      </c>
      <c r="AA38" s="35"/>
    </row>
    <row r="39" spans="11:27" x14ac:dyDescent="0.35">
      <c r="K39" s="3">
        <v>44562</v>
      </c>
      <c r="L39" s="2">
        <f>HAVERM!B154</f>
        <v>4.5</v>
      </c>
      <c r="M39" t="e">
        <f>NA()</f>
        <v>#N/A</v>
      </c>
      <c r="N39">
        <v>0</v>
      </c>
      <c r="Q39" s="3">
        <v>45658</v>
      </c>
      <c r="R39" s="2">
        <f>((HAVERM!C190/HAVERM!C178)-1)*100</f>
        <v>5.0037907505686041</v>
      </c>
      <c r="S39" s="2">
        <f>[1]Monthly!QH442</f>
        <v>4.2345706106455827</v>
      </c>
    </row>
    <row r="40" spans="11:27" x14ac:dyDescent="0.35">
      <c r="K40" s="3">
        <v>44593</v>
      </c>
      <c r="L40" s="2">
        <f>HAVERM!B155</f>
        <v>4.9000000000000004</v>
      </c>
      <c r="M40" t="e">
        <f>NA()</f>
        <v>#N/A</v>
      </c>
      <c r="N40">
        <v>0</v>
      </c>
      <c r="Q40" s="3">
        <v>45689</v>
      </c>
      <c r="R40" s="2">
        <f>((HAVERM!C191/HAVERM!C179)-1)*100</f>
        <v>4.9736247174076986</v>
      </c>
      <c r="S40" s="2">
        <f>[1]Monthly!QH443</f>
        <v>4.5106231363713167</v>
      </c>
    </row>
    <row r="41" spans="11:27" x14ac:dyDescent="0.35">
      <c r="K41" s="3">
        <v>44621</v>
      </c>
      <c r="L41" s="2">
        <f>HAVERM!B156</f>
        <v>5.3</v>
      </c>
      <c r="M41" t="e">
        <f>NA()</f>
        <v>#N/A</v>
      </c>
      <c r="N41">
        <v>0</v>
      </c>
      <c r="Q41" s="3">
        <v>45717</v>
      </c>
      <c r="R41" s="2">
        <f>((HAVERM!C192/HAVERM!C180)-1)*100</f>
        <v>4.7191011235955038</v>
      </c>
      <c r="S41" s="2">
        <f>[1]Monthly!QH444</f>
        <v>4.4763402400622265</v>
      </c>
      <c r="W41" t="s">
        <v>279</v>
      </c>
      <c r="X41" t="s">
        <v>285</v>
      </c>
    </row>
    <row r="42" spans="11:27" x14ac:dyDescent="0.35">
      <c r="K42" s="3">
        <v>44652</v>
      </c>
      <c r="L42" s="2">
        <f>HAVERM!B157</f>
        <v>5.2</v>
      </c>
      <c r="M42" t="e">
        <f>NA()</f>
        <v>#N/A</v>
      </c>
      <c r="N42">
        <v>0</v>
      </c>
      <c r="Q42" s="3">
        <v>45748</v>
      </c>
      <c r="R42" s="2">
        <f>((HAVERM!C193/HAVERM!C181)-1)*100</f>
        <v>5.4612546125461403</v>
      </c>
      <c r="S42" s="2">
        <f>[1]Monthly!QH445</f>
        <v>4.2794519592757929</v>
      </c>
      <c r="V42">
        <v>2024</v>
      </c>
      <c r="W42" s="32">
        <f>SUM(W19:W22)</f>
        <v>2564378</v>
      </c>
      <c r="X42" s="32">
        <f>SUM(X19:X22)</f>
        <v>2564378</v>
      </c>
    </row>
    <row r="43" spans="11:27" x14ac:dyDescent="0.35">
      <c r="K43" s="3">
        <v>44682</v>
      </c>
      <c r="L43" s="2">
        <f>HAVERM!B158</f>
        <v>5.4</v>
      </c>
      <c r="M43" t="e">
        <f>NA()</f>
        <v>#N/A</v>
      </c>
      <c r="N43">
        <v>0</v>
      </c>
      <c r="Q43" s="3">
        <v>45778</v>
      </c>
      <c r="R43" s="2"/>
      <c r="S43" s="2"/>
      <c r="V43">
        <v>2025</v>
      </c>
      <c r="W43" s="32">
        <f>SUM(W23:W26)</f>
        <v>2594103</v>
      </c>
      <c r="X43" s="32">
        <f>SUM(X23:X26)</f>
        <v>2592344.1433209679</v>
      </c>
      <c r="Z43" s="2">
        <f>((W43/W42)-1)*100</f>
        <v>1.1591504840549938</v>
      </c>
      <c r="AA43" s="2">
        <f t="shared" ref="AA43:AA44" si="3">((X43/X42)-1)*100</f>
        <v>1.0905624413003023</v>
      </c>
    </row>
    <row r="44" spans="11:27" x14ac:dyDescent="0.35">
      <c r="K44" s="3">
        <v>44713</v>
      </c>
      <c r="L44" s="2">
        <f>HAVERM!B159</f>
        <v>5.7</v>
      </c>
      <c r="M44" t="e">
        <f>NA()</f>
        <v>#N/A</v>
      </c>
      <c r="N44">
        <v>0</v>
      </c>
      <c r="Q44" s="3">
        <v>45809</v>
      </c>
      <c r="R44" s="2"/>
      <c r="S44" s="2"/>
      <c r="V44">
        <v>2026</v>
      </c>
      <c r="W44" s="32">
        <f>SUM(W27:W30)</f>
        <v>2616436.2999999998</v>
      </c>
      <c r="X44" s="32">
        <f>SUM(X27:X30)</f>
        <v>2624738.2688448513</v>
      </c>
      <c r="Z44" s="2">
        <f t="shared" ref="Z44" si="4">((W44/W43)-1)*100</f>
        <v>0.86092572268718914</v>
      </c>
      <c r="AA44" s="2">
        <f t="shared" si="3"/>
        <v>1.2496074492017284</v>
      </c>
    </row>
    <row r="45" spans="11:27" x14ac:dyDescent="0.35">
      <c r="K45" s="3">
        <v>44743</v>
      </c>
      <c r="L45" s="2">
        <f>HAVERM!B160</f>
        <v>6.1</v>
      </c>
      <c r="M45" t="e">
        <f>NA()</f>
        <v>#N/A</v>
      </c>
      <c r="N45">
        <v>0</v>
      </c>
      <c r="Q45" s="3">
        <v>45839</v>
      </c>
      <c r="R45" s="2"/>
      <c r="S45" s="2"/>
    </row>
    <row r="46" spans="11:27" x14ac:dyDescent="0.35">
      <c r="K46" s="3">
        <v>44774</v>
      </c>
      <c r="L46" s="2">
        <f>HAVERM!B161</f>
        <v>6.4</v>
      </c>
      <c r="M46" t="e">
        <f>NA()</f>
        <v>#N/A</v>
      </c>
      <c r="N46">
        <v>0</v>
      </c>
      <c r="Q46" s="3">
        <v>45870</v>
      </c>
      <c r="R46" s="2"/>
      <c r="S46" s="2"/>
    </row>
    <row r="47" spans="11:27" x14ac:dyDescent="0.35">
      <c r="K47" s="3">
        <v>44805</v>
      </c>
      <c r="L47" s="2">
        <f>HAVERM!B162</f>
        <v>6.7</v>
      </c>
      <c r="M47" t="e">
        <f>NA()</f>
        <v>#N/A</v>
      </c>
      <c r="N47">
        <v>0</v>
      </c>
      <c r="Q47" s="3">
        <v>45901</v>
      </c>
      <c r="R47" s="2"/>
      <c r="S47" s="2"/>
    </row>
    <row r="48" spans="11:27" x14ac:dyDescent="0.35">
      <c r="K48" s="3">
        <v>44835</v>
      </c>
      <c r="L48" s="2">
        <f>HAVERM!B163</f>
        <v>7</v>
      </c>
      <c r="M48" t="e">
        <f>NA()</f>
        <v>#N/A</v>
      </c>
      <c r="N48">
        <v>0</v>
      </c>
      <c r="Q48" s="3">
        <v>45931</v>
      </c>
      <c r="R48" s="2"/>
      <c r="S48" s="2"/>
    </row>
    <row r="49" spans="11:19" x14ac:dyDescent="0.35">
      <c r="K49" s="3">
        <v>44866</v>
      </c>
      <c r="L49" s="2">
        <f>HAVERM!B164</f>
        <v>7.3</v>
      </c>
      <c r="M49" t="e">
        <f>NA()</f>
        <v>#N/A</v>
      </c>
      <c r="N49">
        <v>0</v>
      </c>
      <c r="Q49" s="3">
        <v>45962</v>
      </c>
      <c r="R49" s="2"/>
      <c r="S49" s="2"/>
    </row>
    <row r="50" spans="11:19" x14ac:dyDescent="0.35">
      <c r="K50" s="3">
        <v>44896</v>
      </c>
      <c r="L50" s="2">
        <f>HAVERM!B165</f>
        <v>7.3</v>
      </c>
      <c r="M50" t="e">
        <f>NA()</f>
        <v>#N/A</v>
      </c>
      <c r="N50">
        <v>0</v>
      </c>
      <c r="Q50" s="3">
        <v>45992</v>
      </c>
      <c r="R50" s="2"/>
      <c r="S50" s="2"/>
    </row>
    <row r="51" spans="11:19" x14ac:dyDescent="0.35">
      <c r="K51" s="3">
        <v>44927</v>
      </c>
      <c r="L51" s="2">
        <f>HAVERM!B166</f>
        <v>7.1</v>
      </c>
      <c r="M51" t="e">
        <f>NA()</f>
        <v>#N/A</v>
      </c>
      <c r="N51">
        <v>0</v>
      </c>
      <c r="Q51" s="3"/>
    </row>
    <row r="52" spans="11:19" x14ac:dyDescent="0.35">
      <c r="K52" s="3">
        <v>44958</v>
      </c>
      <c r="L52" s="2">
        <f>HAVERM!B167</f>
        <v>7.1</v>
      </c>
      <c r="M52" t="e">
        <f>NA()</f>
        <v>#N/A</v>
      </c>
      <c r="N52">
        <v>0</v>
      </c>
      <c r="Q52" s="3"/>
    </row>
    <row r="53" spans="11:19" x14ac:dyDescent="0.35">
      <c r="K53" s="3">
        <v>44986</v>
      </c>
      <c r="L53" s="2">
        <f>HAVERM!B168</f>
        <v>7.2</v>
      </c>
      <c r="M53" t="e">
        <f>NA()</f>
        <v>#N/A</v>
      </c>
      <c r="N53">
        <v>0</v>
      </c>
    </row>
    <row r="54" spans="11:19" x14ac:dyDescent="0.35">
      <c r="K54" s="3">
        <v>45017</v>
      </c>
      <c r="L54" s="2">
        <f>HAVERM!B169</f>
        <v>7.7</v>
      </c>
      <c r="M54" t="e">
        <f>NA()</f>
        <v>#N/A</v>
      </c>
      <c r="N54">
        <v>0</v>
      </c>
    </row>
    <row r="55" spans="11:19" x14ac:dyDescent="0.35">
      <c r="K55" s="3">
        <v>45047</v>
      </c>
      <c r="L55" s="2">
        <f>HAVERM!B170</f>
        <v>7.9</v>
      </c>
      <c r="M55" t="e">
        <f>NA()</f>
        <v>#N/A</v>
      </c>
      <c r="N55">
        <v>0</v>
      </c>
    </row>
    <row r="56" spans="11:19" x14ac:dyDescent="0.35">
      <c r="K56" s="3">
        <v>45078</v>
      </c>
      <c r="L56" s="2">
        <f>HAVERM!B171</f>
        <v>8.1999999999999993</v>
      </c>
      <c r="M56" t="e">
        <f>NA()</f>
        <v>#N/A</v>
      </c>
      <c r="N56">
        <v>0</v>
      </c>
    </row>
    <row r="57" spans="11:19" x14ac:dyDescent="0.35">
      <c r="K57" s="3">
        <v>45108</v>
      </c>
      <c r="L57" s="2">
        <f>HAVERM!B172</f>
        <v>8.1</v>
      </c>
      <c r="M57" t="e">
        <f>NA()</f>
        <v>#N/A</v>
      </c>
      <c r="N57">
        <v>0</v>
      </c>
    </row>
    <row r="58" spans="11:19" x14ac:dyDescent="0.35">
      <c r="K58" s="3">
        <v>45139</v>
      </c>
      <c r="L58" s="2">
        <f>HAVERM!B173</f>
        <v>8.1</v>
      </c>
      <c r="M58" t="e">
        <f>NA()</f>
        <v>#N/A</v>
      </c>
      <c r="N58">
        <v>0</v>
      </c>
    </row>
    <row r="59" spans="11:19" x14ac:dyDescent="0.35">
      <c r="K59" s="3">
        <v>45170</v>
      </c>
      <c r="L59" s="2">
        <f>HAVERM!B174</f>
        <v>7.8</v>
      </c>
      <c r="M59" t="e">
        <f>NA()</f>
        <v>#N/A</v>
      </c>
      <c r="N59">
        <v>0</v>
      </c>
    </row>
    <row r="60" spans="11:19" x14ac:dyDescent="0.35">
      <c r="K60" s="3">
        <v>45200</v>
      </c>
      <c r="L60" s="2">
        <f>HAVERM!B175</f>
        <v>7.2</v>
      </c>
      <c r="M60" t="e">
        <f>NA()</f>
        <v>#N/A</v>
      </c>
      <c r="N60">
        <v>0</v>
      </c>
    </row>
    <row r="61" spans="11:19" x14ac:dyDescent="0.35">
      <c r="K61" s="3">
        <v>45231</v>
      </c>
      <c r="L61" s="2">
        <f>HAVERM!B176</f>
        <v>6.6</v>
      </c>
      <c r="M61" t="e">
        <f>NA()</f>
        <v>#N/A</v>
      </c>
      <c r="N61">
        <v>0</v>
      </c>
    </row>
    <row r="62" spans="11:19" x14ac:dyDescent="0.35">
      <c r="K62" s="3">
        <v>45261</v>
      </c>
      <c r="L62" s="2">
        <f>HAVERM!B177</f>
        <v>6.2</v>
      </c>
      <c r="M62" t="e">
        <f>NA()</f>
        <v>#N/A</v>
      </c>
      <c r="N62">
        <v>0</v>
      </c>
    </row>
    <row r="63" spans="11:19" x14ac:dyDescent="0.35">
      <c r="K63" s="3">
        <v>45292</v>
      </c>
      <c r="L63" s="2">
        <f>HAVERM!B178</f>
        <v>6.1</v>
      </c>
      <c r="M63" t="e">
        <f>NA()</f>
        <v>#N/A</v>
      </c>
      <c r="N63">
        <v>0</v>
      </c>
    </row>
    <row r="64" spans="11:19" x14ac:dyDescent="0.35">
      <c r="K64" s="3">
        <v>45323</v>
      </c>
      <c r="L64" s="2">
        <f>HAVERM!B179</f>
        <v>5.9</v>
      </c>
      <c r="M64" t="e">
        <f>NA()</f>
        <v>#N/A</v>
      </c>
      <c r="N64">
        <v>0</v>
      </c>
    </row>
    <row r="65" spans="11:14" x14ac:dyDescent="0.35">
      <c r="K65" s="3">
        <v>45352</v>
      </c>
      <c r="L65" s="2">
        <f>HAVERM!B180</f>
        <v>5.8</v>
      </c>
      <c r="M65" t="e">
        <f>NA()</f>
        <v>#N/A</v>
      </c>
      <c r="N65">
        <v>0</v>
      </c>
    </row>
    <row r="66" spans="11:14" x14ac:dyDescent="0.35">
      <c r="K66" s="3">
        <v>45383</v>
      </c>
      <c r="L66" s="2">
        <f>HAVERM!B181</f>
        <v>5.7</v>
      </c>
      <c r="M66" t="e">
        <f>NA()</f>
        <v>#N/A</v>
      </c>
      <c r="N66">
        <v>0</v>
      </c>
    </row>
    <row r="67" spans="11:14" x14ac:dyDescent="0.35">
      <c r="K67" s="3">
        <v>45413</v>
      </c>
      <c r="L67" s="2">
        <f>HAVERM!B182</f>
        <v>5.6</v>
      </c>
      <c r="M67" t="e">
        <f>NA()</f>
        <v>#N/A</v>
      </c>
      <c r="N67">
        <v>0</v>
      </c>
    </row>
    <row r="68" spans="11:14" x14ac:dyDescent="0.35">
      <c r="K68" s="3">
        <v>45444</v>
      </c>
      <c r="L68" s="2">
        <f>HAVERM!B183</f>
        <v>5.4</v>
      </c>
      <c r="M68" t="e">
        <f>NA()</f>
        <v>#N/A</v>
      </c>
      <c r="N68">
        <v>0</v>
      </c>
    </row>
    <row r="69" spans="11:14" x14ac:dyDescent="0.35">
      <c r="K69" s="3">
        <v>45474</v>
      </c>
      <c r="L69" s="2">
        <f>HAVERM!B184</f>
        <v>5.2</v>
      </c>
      <c r="M69" t="e">
        <f>NA()</f>
        <v>#N/A</v>
      </c>
      <c r="N69">
        <v>0</v>
      </c>
    </row>
    <row r="70" spans="11:14" x14ac:dyDescent="0.35">
      <c r="K70" s="3">
        <v>45505</v>
      </c>
      <c r="L70" s="2">
        <f>HAVERM!B185</f>
        <v>5.0999999999999996</v>
      </c>
      <c r="M70" t="e">
        <f>NA()</f>
        <v>#N/A</v>
      </c>
      <c r="N70">
        <v>0</v>
      </c>
    </row>
    <row r="71" spans="11:14" x14ac:dyDescent="0.35">
      <c r="K71" s="3">
        <v>45536</v>
      </c>
      <c r="L71" s="2">
        <f>HAVERM!B186</f>
        <v>5.0999999999999996</v>
      </c>
      <c r="M71" t="e">
        <f>NA()</f>
        <v>#N/A</v>
      </c>
      <c r="N71">
        <v>0</v>
      </c>
    </row>
    <row r="72" spans="11:14" x14ac:dyDescent="0.35">
      <c r="K72" s="3">
        <v>45566</v>
      </c>
      <c r="L72" s="2">
        <f>HAVERM!B187</f>
        <v>5.6</v>
      </c>
      <c r="M72" t="e">
        <f>NA()</f>
        <v>#N/A</v>
      </c>
      <c r="N72">
        <v>0</v>
      </c>
    </row>
    <row r="73" spans="11:14" x14ac:dyDescent="0.35">
      <c r="K73" s="3">
        <v>45597</v>
      </c>
      <c r="L73" s="2">
        <f>HAVERM!B188</f>
        <v>5.9</v>
      </c>
      <c r="M73" t="e">
        <f>NA()</f>
        <v>#N/A</v>
      </c>
      <c r="N73">
        <v>0</v>
      </c>
    </row>
    <row r="74" spans="11:14" x14ac:dyDescent="0.35">
      <c r="K74" s="3">
        <v>45627</v>
      </c>
      <c r="L74" s="2">
        <f>HAVERM!B189</f>
        <v>6.2</v>
      </c>
      <c r="M74" t="e">
        <f>NA()</f>
        <v>#N/A</v>
      </c>
      <c r="N74">
        <v>0</v>
      </c>
    </row>
    <row r="75" spans="11:14" x14ac:dyDescent="0.35">
      <c r="K75" s="3">
        <v>45658</v>
      </c>
      <c r="L75" s="2">
        <f>HAVERM!B190</f>
        <v>5.9</v>
      </c>
      <c r="M75" t="e">
        <f>NA()</f>
        <v>#N/A</v>
      </c>
      <c r="N75">
        <v>0</v>
      </c>
    </row>
    <row r="76" spans="11:14" x14ac:dyDescent="0.35">
      <c r="K76" s="3">
        <v>45689</v>
      </c>
      <c r="L76" s="2">
        <f>HAVERM!B191</f>
        <v>5.9</v>
      </c>
      <c r="M76" t="e">
        <f>NA()</f>
        <v>#N/A</v>
      </c>
      <c r="N76">
        <v>0</v>
      </c>
    </row>
    <row r="77" spans="11:14" x14ac:dyDescent="0.35">
      <c r="K77" s="3">
        <v>45717</v>
      </c>
      <c r="L77" s="2">
        <f>HAVERM!B192</f>
        <v>5.6</v>
      </c>
      <c r="M77" s="2">
        <f>'MPR Chart 2.16'!B91</f>
        <v>5.7590000000000003</v>
      </c>
      <c r="N77">
        <v>0</v>
      </c>
    </row>
    <row r="78" spans="11:14" x14ac:dyDescent="0.35">
      <c r="K78" s="3">
        <v>45748</v>
      </c>
      <c r="L78" s="2"/>
      <c r="M78" t="e">
        <f>NA()</f>
        <v>#N/A</v>
      </c>
      <c r="N78">
        <v>0</v>
      </c>
    </row>
    <row r="79" spans="11:14" x14ac:dyDescent="0.35">
      <c r="K79" s="3">
        <v>45778</v>
      </c>
      <c r="L79" s="2"/>
      <c r="M79" t="e">
        <f>NA()</f>
        <v>#N/A</v>
      </c>
      <c r="N79">
        <v>0</v>
      </c>
    </row>
    <row r="80" spans="11:14" x14ac:dyDescent="0.35">
      <c r="K80" s="3">
        <v>45809</v>
      </c>
      <c r="L80" s="2"/>
      <c r="M80" s="2">
        <f>'MPR Chart 2.16'!B94</f>
        <v>5.202</v>
      </c>
      <c r="N80">
        <v>0</v>
      </c>
    </row>
    <row r="81" spans="11:14" x14ac:dyDescent="0.35">
      <c r="K81" s="3">
        <v>45839</v>
      </c>
      <c r="L81" s="2"/>
      <c r="M81" t="e">
        <f>NA()</f>
        <v>#N/A</v>
      </c>
      <c r="N81">
        <v>0</v>
      </c>
    </row>
    <row r="82" spans="11:14" x14ac:dyDescent="0.35">
      <c r="K82" s="3">
        <v>45870</v>
      </c>
      <c r="L82" s="2"/>
      <c r="M82" t="e">
        <f>NA()</f>
        <v>#N/A</v>
      </c>
      <c r="N82">
        <v>0</v>
      </c>
    </row>
    <row r="83" spans="11:14" x14ac:dyDescent="0.35">
      <c r="K83" s="3">
        <v>45901</v>
      </c>
      <c r="L83" s="2"/>
      <c r="M83" s="2">
        <f>'MPR Chart 2.16'!B97</f>
        <v>4.7110000000000003</v>
      </c>
      <c r="N83">
        <v>0</v>
      </c>
    </row>
    <row r="84" spans="11:14" x14ac:dyDescent="0.35">
      <c r="K84" s="3">
        <v>45931</v>
      </c>
      <c r="L84" s="2"/>
      <c r="M84" t="e">
        <f>NA()</f>
        <v>#N/A</v>
      </c>
      <c r="N84">
        <v>0</v>
      </c>
    </row>
    <row r="85" spans="11:14" x14ac:dyDescent="0.35">
      <c r="K85" s="3">
        <v>45962</v>
      </c>
      <c r="L85" s="2"/>
      <c r="M85" t="e">
        <f>NA()</f>
        <v>#N/A</v>
      </c>
      <c r="N85">
        <v>0</v>
      </c>
    </row>
    <row r="86" spans="11:14" x14ac:dyDescent="0.35">
      <c r="K86" s="3">
        <v>45992</v>
      </c>
      <c r="L86" s="2"/>
      <c r="M86" s="2">
        <f>'MPR Chart 2.16'!B100</f>
        <v>3.8410000000000002</v>
      </c>
      <c r="N86">
        <v>0</v>
      </c>
    </row>
  </sheetData>
  <autoFilter ref="G1:H10" xr:uid="{C0775683-7F8D-4628-88ED-A18A0DE44D9F}">
    <sortState xmlns:xlrd2="http://schemas.microsoft.com/office/spreadsheetml/2017/richdata2" ref="G2:H10">
      <sortCondition descending="1" ref="H1:H10"/>
    </sortState>
  </autoFilter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93CF-C18C-44FE-BDD5-78C6B088D706}">
  <dimension ref="A1:Q155"/>
  <sheetViews>
    <sheetView topLeftCell="A69" zoomScale="85" zoomScaleNormal="85" workbookViewId="0">
      <selection activeCell="C16" sqref="C16"/>
    </sheetView>
  </sheetViews>
  <sheetFormatPr defaultRowHeight="14.5" x14ac:dyDescent="0.35"/>
  <cols>
    <col min="1" max="1" width="22.26953125" style="6" customWidth="1"/>
    <col min="2" max="5" width="20.26953125" style="6" customWidth="1"/>
    <col min="6" max="6" width="10" style="6" customWidth="1"/>
    <col min="7" max="10" width="20.26953125" style="6" customWidth="1"/>
    <col min="12" max="12" width="8.54296875" customWidth="1"/>
  </cols>
  <sheetData>
    <row r="1" spans="1:17" x14ac:dyDescent="0.35">
      <c r="A1" s="4" t="s">
        <v>17</v>
      </c>
      <c r="B1" s="5"/>
      <c r="G1" s="5"/>
    </row>
    <row r="2" spans="1:17" x14ac:dyDescent="0.35">
      <c r="A2" s="7" t="s">
        <v>18</v>
      </c>
      <c r="B2" s="5"/>
      <c r="F2" s="8"/>
      <c r="G2" s="5"/>
    </row>
    <row r="3" spans="1:17" x14ac:dyDescent="0.35">
      <c r="B3" s="5"/>
      <c r="G3" s="5"/>
    </row>
    <row r="4" spans="1:17" ht="28" x14ac:dyDescent="0.35">
      <c r="A4" s="10" t="s">
        <v>19</v>
      </c>
      <c r="B4" s="9" t="s">
        <v>20</v>
      </c>
      <c r="C4" s="9" t="s">
        <v>21</v>
      </c>
      <c r="D4" s="9" t="s">
        <v>22</v>
      </c>
      <c r="E4" s="9" t="s">
        <v>23</v>
      </c>
      <c r="G4" s="9" t="s">
        <v>24</v>
      </c>
      <c r="H4" s="9" t="s">
        <v>25</v>
      </c>
      <c r="I4" s="11" t="s">
        <v>26</v>
      </c>
      <c r="J4" s="11" t="s">
        <v>27</v>
      </c>
      <c r="N4" s="9"/>
      <c r="O4" s="9"/>
      <c r="P4" s="9"/>
      <c r="Q4" s="9"/>
    </row>
    <row r="5" spans="1:17" x14ac:dyDescent="0.35">
      <c r="A5" s="12">
        <v>43131</v>
      </c>
      <c r="B5" s="13">
        <v>2.7</v>
      </c>
      <c r="C5" s="13" t="s">
        <v>28</v>
      </c>
      <c r="D5" s="13" t="str">
        <f>$C$5</f>
        <v>n.a</v>
      </c>
      <c r="E5" s="13" t="str">
        <f t="shared" ref="E5:E68" si="0">$C$5</f>
        <v>n.a</v>
      </c>
      <c r="F5" s="13"/>
      <c r="G5" s="13" t="s">
        <v>28</v>
      </c>
      <c r="H5" s="14" t="s">
        <v>29</v>
      </c>
      <c r="I5" s="13">
        <v>3.1</v>
      </c>
      <c r="J5" s="13" t="s">
        <v>28</v>
      </c>
    </row>
    <row r="6" spans="1:17" x14ac:dyDescent="0.35">
      <c r="A6" s="12">
        <v>43159</v>
      </c>
      <c r="B6" s="13">
        <v>2.9</v>
      </c>
      <c r="C6" s="13" t="s">
        <v>28</v>
      </c>
      <c r="D6" s="13" t="str">
        <f t="shared" ref="D6:E69" si="1">$C$5</f>
        <v>n.a</v>
      </c>
      <c r="E6" s="13" t="str">
        <f t="shared" si="0"/>
        <v>n.a</v>
      </c>
      <c r="F6" s="13"/>
      <c r="G6" s="13" t="s">
        <v>28</v>
      </c>
      <c r="H6" s="13"/>
      <c r="I6" s="13">
        <v>3.3</v>
      </c>
      <c r="J6" s="13" t="s">
        <v>28</v>
      </c>
    </row>
    <row r="7" spans="1:17" x14ac:dyDescent="0.35">
      <c r="A7" s="12">
        <v>43190</v>
      </c>
      <c r="B7" s="13">
        <v>3</v>
      </c>
      <c r="C7" s="13">
        <v>2.9</v>
      </c>
      <c r="D7" s="13" t="str">
        <f t="shared" si="1"/>
        <v>n.a</v>
      </c>
      <c r="E7" s="13" t="str">
        <f t="shared" si="0"/>
        <v>n.a</v>
      </c>
      <c r="F7" s="13"/>
      <c r="G7" s="13" t="s">
        <v>28</v>
      </c>
      <c r="H7" s="13"/>
      <c r="I7" s="13">
        <v>3.2</v>
      </c>
      <c r="J7" s="13" t="s">
        <v>28</v>
      </c>
    </row>
    <row r="8" spans="1:17" x14ac:dyDescent="0.35">
      <c r="A8" s="12">
        <v>43220</v>
      </c>
      <c r="B8" s="13">
        <v>3</v>
      </c>
      <c r="C8" s="13" t="s">
        <v>28</v>
      </c>
      <c r="D8" s="13" t="str">
        <f t="shared" si="1"/>
        <v>n.a</v>
      </c>
      <c r="E8" s="13" t="str">
        <f t="shared" si="0"/>
        <v>n.a</v>
      </c>
      <c r="F8" s="13"/>
      <c r="G8" s="13" t="s">
        <v>28</v>
      </c>
      <c r="H8" s="13"/>
      <c r="I8" s="13">
        <v>3</v>
      </c>
      <c r="J8" s="13" t="s">
        <v>28</v>
      </c>
    </row>
    <row r="9" spans="1:17" x14ac:dyDescent="0.35">
      <c r="A9" s="12">
        <v>43251</v>
      </c>
      <c r="B9" s="13">
        <v>2.9</v>
      </c>
      <c r="C9" s="13" t="s">
        <v>28</v>
      </c>
      <c r="D9" s="13" t="str">
        <f t="shared" si="1"/>
        <v>n.a</v>
      </c>
      <c r="E9" s="13" t="str">
        <f t="shared" si="0"/>
        <v>n.a</v>
      </c>
      <c r="F9" s="13"/>
      <c r="G9" s="13" t="s">
        <v>28</v>
      </c>
      <c r="H9" s="13"/>
      <c r="I9" s="13">
        <v>3.2</v>
      </c>
      <c r="J9" s="13" t="s">
        <v>28</v>
      </c>
    </row>
    <row r="10" spans="1:17" x14ac:dyDescent="0.35">
      <c r="A10" s="12">
        <v>43281</v>
      </c>
      <c r="B10" s="13">
        <v>2.8</v>
      </c>
      <c r="C10" s="13">
        <v>3.1</v>
      </c>
      <c r="D10" s="13" t="str">
        <f t="shared" si="1"/>
        <v>n.a</v>
      </c>
      <c r="E10" s="13" t="str">
        <f t="shared" si="0"/>
        <v>n.a</v>
      </c>
      <c r="F10" s="13"/>
      <c r="G10" s="13" t="s">
        <v>28</v>
      </c>
      <c r="H10" s="13"/>
      <c r="I10" s="13">
        <v>3.4</v>
      </c>
      <c r="J10" s="13" t="s">
        <v>28</v>
      </c>
    </row>
    <row r="11" spans="1:17" x14ac:dyDescent="0.35">
      <c r="A11" s="12">
        <v>43312</v>
      </c>
      <c r="B11" s="13">
        <v>3</v>
      </c>
      <c r="C11" s="13" t="s">
        <v>28</v>
      </c>
      <c r="D11" s="13" t="str">
        <f t="shared" si="1"/>
        <v>n.a</v>
      </c>
      <c r="E11" s="13" t="str">
        <f t="shared" si="0"/>
        <v>n.a</v>
      </c>
      <c r="F11" s="13"/>
      <c r="G11" s="13" t="s">
        <v>28</v>
      </c>
      <c r="H11" s="13"/>
      <c r="I11" s="13">
        <v>3.8</v>
      </c>
      <c r="J11" s="13" t="s">
        <v>28</v>
      </c>
    </row>
    <row r="12" spans="1:17" x14ac:dyDescent="0.35">
      <c r="A12" s="12">
        <v>43343</v>
      </c>
      <c r="B12" s="13">
        <v>3.2</v>
      </c>
      <c r="C12" s="13" t="s">
        <v>28</v>
      </c>
      <c r="D12" s="13" t="str">
        <f t="shared" si="1"/>
        <v>n.a</v>
      </c>
      <c r="E12" s="13" t="str">
        <f t="shared" si="0"/>
        <v>n.a</v>
      </c>
      <c r="F12" s="13"/>
      <c r="G12" s="13" t="s">
        <v>28</v>
      </c>
      <c r="H12" s="13"/>
      <c r="I12" s="13">
        <v>3.9</v>
      </c>
      <c r="J12" s="13" t="s">
        <v>28</v>
      </c>
    </row>
    <row r="13" spans="1:17" x14ac:dyDescent="0.35">
      <c r="A13" s="12">
        <v>43373</v>
      </c>
      <c r="B13" s="13">
        <v>3.3</v>
      </c>
      <c r="C13" s="13">
        <v>3.3</v>
      </c>
      <c r="D13" s="13" t="str">
        <f t="shared" si="1"/>
        <v>n.a</v>
      </c>
      <c r="E13" s="13" t="str">
        <f t="shared" si="0"/>
        <v>n.a</v>
      </c>
      <c r="F13" s="13"/>
      <c r="G13" s="13" t="s">
        <v>28</v>
      </c>
      <c r="H13" s="13"/>
      <c r="I13" s="13">
        <v>3.8</v>
      </c>
      <c r="J13" s="13" t="s">
        <v>28</v>
      </c>
    </row>
    <row r="14" spans="1:17" x14ac:dyDescent="0.35">
      <c r="A14" s="12">
        <v>43404</v>
      </c>
      <c r="B14" s="13">
        <v>3.4</v>
      </c>
      <c r="C14" s="13" t="s">
        <v>28</v>
      </c>
      <c r="D14" s="13" t="str">
        <f t="shared" si="1"/>
        <v>n.a</v>
      </c>
      <c r="E14" s="13" t="str">
        <f t="shared" si="0"/>
        <v>n.a</v>
      </c>
      <c r="F14" s="13"/>
      <c r="G14" s="13" t="s">
        <v>28</v>
      </c>
      <c r="H14" s="13"/>
      <c r="I14" s="13">
        <v>3.8</v>
      </c>
      <c r="J14" s="13" t="s">
        <v>28</v>
      </c>
    </row>
    <row r="15" spans="1:17" x14ac:dyDescent="0.35">
      <c r="A15" s="12">
        <v>43434</v>
      </c>
      <c r="B15" s="13">
        <v>3.4</v>
      </c>
      <c r="C15" s="13" t="s">
        <v>28</v>
      </c>
      <c r="D15" s="13" t="str">
        <f t="shared" si="1"/>
        <v>n.a</v>
      </c>
      <c r="E15" s="13" t="str">
        <f t="shared" si="0"/>
        <v>n.a</v>
      </c>
      <c r="F15" s="13"/>
      <c r="G15" s="13" t="s">
        <v>28</v>
      </c>
      <c r="H15" s="13"/>
      <c r="I15" s="13">
        <v>3.7</v>
      </c>
      <c r="J15" s="13" t="s">
        <v>28</v>
      </c>
    </row>
    <row r="16" spans="1:17" x14ac:dyDescent="0.35">
      <c r="A16" s="12">
        <v>43465</v>
      </c>
      <c r="B16" s="13">
        <v>3.5</v>
      </c>
      <c r="C16" s="13">
        <v>3.5</v>
      </c>
      <c r="D16" s="13" t="str">
        <f t="shared" si="1"/>
        <v>n.a</v>
      </c>
      <c r="E16" s="13" t="str">
        <f t="shared" si="0"/>
        <v>n.a</v>
      </c>
      <c r="F16" s="13"/>
      <c r="G16" s="13" t="s">
        <v>28</v>
      </c>
      <c r="H16" s="13"/>
      <c r="I16" s="13">
        <v>3.7</v>
      </c>
      <c r="J16" s="13" t="s">
        <v>28</v>
      </c>
    </row>
    <row r="17" spans="1:10" x14ac:dyDescent="0.35">
      <c r="A17" s="12">
        <v>43496</v>
      </c>
      <c r="B17" s="13">
        <v>3.6</v>
      </c>
      <c r="C17" s="13" t="s">
        <v>28</v>
      </c>
      <c r="D17" s="13" t="str">
        <f t="shared" si="1"/>
        <v>n.a</v>
      </c>
      <c r="E17" s="13" t="str">
        <f t="shared" si="0"/>
        <v>n.a</v>
      </c>
      <c r="G17" s="13" t="s">
        <v>28</v>
      </c>
      <c r="H17" s="13"/>
      <c r="I17" s="13">
        <v>3.6</v>
      </c>
      <c r="J17" s="13" t="s">
        <v>28</v>
      </c>
    </row>
    <row r="18" spans="1:10" x14ac:dyDescent="0.35">
      <c r="A18" s="12">
        <v>43524</v>
      </c>
      <c r="B18" s="13">
        <v>3.6</v>
      </c>
      <c r="C18" s="13" t="s">
        <v>28</v>
      </c>
      <c r="D18" s="13" t="str">
        <f t="shared" si="1"/>
        <v>n.a</v>
      </c>
      <c r="E18" s="13" t="str">
        <f t="shared" si="0"/>
        <v>n.a</v>
      </c>
      <c r="G18" s="13" t="s">
        <v>28</v>
      </c>
      <c r="H18" s="13"/>
      <c r="I18" s="13">
        <v>3.6</v>
      </c>
      <c r="J18" s="13" t="s">
        <v>28</v>
      </c>
    </row>
    <row r="19" spans="1:10" x14ac:dyDescent="0.35">
      <c r="A19" s="12">
        <v>43555</v>
      </c>
      <c r="B19" s="13">
        <v>3.6</v>
      </c>
      <c r="C19" s="13">
        <v>3.5</v>
      </c>
      <c r="D19" s="13" t="str">
        <f t="shared" si="1"/>
        <v>n.a</v>
      </c>
      <c r="E19" s="13" t="str">
        <f t="shared" si="0"/>
        <v>n.a</v>
      </c>
      <c r="G19" s="13">
        <v>4.4000000000000004</v>
      </c>
      <c r="H19" s="13"/>
      <c r="I19" s="13">
        <v>3.7</v>
      </c>
      <c r="J19" s="13" t="s">
        <v>28</v>
      </c>
    </row>
    <row r="20" spans="1:10" x14ac:dyDescent="0.35">
      <c r="A20" s="12">
        <v>43585</v>
      </c>
      <c r="B20" s="13">
        <v>3.6</v>
      </c>
      <c r="C20" s="13" t="s">
        <v>28</v>
      </c>
      <c r="D20" s="13" t="str">
        <f t="shared" si="1"/>
        <v>n.a</v>
      </c>
      <c r="E20" s="13" t="str">
        <f t="shared" si="0"/>
        <v>n.a</v>
      </c>
      <c r="G20" s="13">
        <v>4.3</v>
      </c>
      <c r="H20" s="13"/>
      <c r="I20" s="13">
        <v>3.7</v>
      </c>
      <c r="J20" s="13" t="s">
        <v>28</v>
      </c>
    </row>
    <row r="21" spans="1:10" x14ac:dyDescent="0.35">
      <c r="A21" s="12">
        <v>43616</v>
      </c>
      <c r="B21" s="13">
        <v>3.7</v>
      </c>
      <c r="C21" s="13" t="s">
        <v>28</v>
      </c>
      <c r="D21" s="13" t="str">
        <f t="shared" si="1"/>
        <v>n.a</v>
      </c>
      <c r="E21" s="13" t="str">
        <f t="shared" si="0"/>
        <v>n.a</v>
      </c>
      <c r="G21" s="13">
        <v>4</v>
      </c>
      <c r="H21" s="13"/>
      <c r="I21" s="13">
        <v>3.7</v>
      </c>
      <c r="J21" s="13" t="s">
        <v>28</v>
      </c>
    </row>
    <row r="22" spans="1:10" x14ac:dyDescent="0.35">
      <c r="A22" s="12">
        <v>43646</v>
      </c>
      <c r="B22" s="13">
        <v>3.9</v>
      </c>
      <c r="C22" s="13">
        <v>3.5</v>
      </c>
      <c r="D22" s="13" t="str">
        <f t="shared" si="1"/>
        <v>n.a</v>
      </c>
      <c r="E22" s="13" t="str">
        <f t="shared" si="0"/>
        <v>n.a</v>
      </c>
      <c r="G22" s="13">
        <v>3.7</v>
      </c>
      <c r="H22" s="13"/>
      <c r="I22" s="13">
        <v>3.4</v>
      </c>
      <c r="J22" s="13" t="s">
        <v>28</v>
      </c>
    </row>
    <row r="23" spans="1:10" x14ac:dyDescent="0.35">
      <c r="A23" s="12">
        <v>43677</v>
      </c>
      <c r="B23" s="13">
        <v>4</v>
      </c>
      <c r="C23" s="13" t="s">
        <v>28</v>
      </c>
      <c r="D23" s="13" t="str">
        <f t="shared" si="1"/>
        <v>n.a</v>
      </c>
      <c r="E23" s="13" t="str">
        <f t="shared" si="0"/>
        <v>n.a</v>
      </c>
      <c r="G23" s="13">
        <v>3.6</v>
      </c>
      <c r="H23" s="13"/>
      <c r="I23" s="13">
        <v>3.4</v>
      </c>
      <c r="J23" s="13" t="s">
        <v>28</v>
      </c>
    </row>
    <row r="24" spans="1:10" x14ac:dyDescent="0.35">
      <c r="A24" s="12">
        <v>43708</v>
      </c>
      <c r="B24" s="13">
        <v>3.9</v>
      </c>
      <c r="C24" s="13" t="s">
        <v>28</v>
      </c>
      <c r="D24" s="13" t="str">
        <f t="shared" si="1"/>
        <v>n.a</v>
      </c>
      <c r="E24" s="13" t="str">
        <f t="shared" si="0"/>
        <v>n.a</v>
      </c>
      <c r="G24" s="13">
        <v>3.5</v>
      </c>
      <c r="H24" s="13"/>
      <c r="I24" s="13">
        <v>3.2</v>
      </c>
      <c r="J24" s="13" t="s">
        <v>28</v>
      </c>
    </row>
    <row r="25" spans="1:10" x14ac:dyDescent="0.35">
      <c r="A25" s="12">
        <v>43738</v>
      </c>
      <c r="B25" s="13">
        <v>3.7</v>
      </c>
      <c r="C25" s="13">
        <v>3.4</v>
      </c>
      <c r="D25" s="13" t="str">
        <f t="shared" si="1"/>
        <v>n.a</v>
      </c>
      <c r="E25" s="13" t="str">
        <f t="shared" si="0"/>
        <v>n.a</v>
      </c>
      <c r="G25" s="13">
        <v>3.5</v>
      </c>
      <c r="H25" s="13"/>
      <c r="I25" s="13">
        <v>3.4</v>
      </c>
      <c r="J25" s="13" t="s">
        <v>28</v>
      </c>
    </row>
    <row r="26" spans="1:10" x14ac:dyDescent="0.35">
      <c r="A26" s="12">
        <v>43769</v>
      </c>
      <c r="B26" s="13">
        <v>3.5</v>
      </c>
      <c r="C26" s="13" t="s">
        <v>28</v>
      </c>
      <c r="D26" s="13" t="str">
        <f t="shared" si="1"/>
        <v>n.a</v>
      </c>
      <c r="E26" s="13" t="str">
        <f t="shared" si="0"/>
        <v>n.a</v>
      </c>
      <c r="G26" s="13">
        <v>3.4</v>
      </c>
      <c r="H26" s="13"/>
      <c r="I26" s="13">
        <v>3.2</v>
      </c>
      <c r="J26" s="13" t="s">
        <v>28</v>
      </c>
    </row>
    <row r="27" spans="1:10" x14ac:dyDescent="0.35">
      <c r="A27" s="12">
        <v>43799</v>
      </c>
      <c r="B27" s="13">
        <v>3.3</v>
      </c>
      <c r="C27" s="13" t="s">
        <v>28</v>
      </c>
      <c r="D27" s="13" t="str">
        <f t="shared" si="1"/>
        <v>n.a</v>
      </c>
      <c r="E27" s="13" t="str">
        <f t="shared" si="0"/>
        <v>n.a</v>
      </c>
      <c r="G27" s="13">
        <v>3.3</v>
      </c>
      <c r="H27" s="13"/>
      <c r="I27" s="13">
        <v>3.1</v>
      </c>
      <c r="J27" s="13" t="s">
        <v>28</v>
      </c>
    </row>
    <row r="28" spans="1:10" x14ac:dyDescent="0.35">
      <c r="A28" s="12">
        <v>43830</v>
      </c>
      <c r="B28" s="13">
        <v>3.2</v>
      </c>
      <c r="C28" s="13">
        <v>3.3</v>
      </c>
      <c r="D28" s="13" t="str">
        <f t="shared" si="1"/>
        <v>n.a</v>
      </c>
      <c r="E28" s="13" t="str">
        <f t="shared" si="0"/>
        <v>n.a</v>
      </c>
      <c r="G28" s="13">
        <v>3.3</v>
      </c>
      <c r="H28" s="13"/>
      <c r="I28" s="13">
        <v>3.1</v>
      </c>
      <c r="J28" s="13" t="s">
        <v>28</v>
      </c>
    </row>
    <row r="29" spans="1:10" x14ac:dyDescent="0.35">
      <c r="A29" s="12">
        <v>43861</v>
      </c>
      <c r="B29" s="13">
        <v>3</v>
      </c>
      <c r="C29" s="13" t="s">
        <v>28</v>
      </c>
      <c r="D29" s="13" t="str">
        <f t="shared" si="1"/>
        <v>n.a</v>
      </c>
      <c r="E29" s="13" t="str">
        <f t="shared" si="0"/>
        <v>n.a</v>
      </c>
      <c r="G29" s="13">
        <v>2.8</v>
      </c>
      <c r="H29" s="13"/>
      <c r="I29" s="13">
        <v>3.4</v>
      </c>
      <c r="J29" s="13" t="s">
        <v>28</v>
      </c>
    </row>
    <row r="30" spans="1:10" x14ac:dyDescent="0.35">
      <c r="A30" s="12">
        <v>43890</v>
      </c>
      <c r="B30" s="13">
        <v>2.9</v>
      </c>
      <c r="C30" s="13" t="s">
        <v>28</v>
      </c>
      <c r="D30" s="13" t="str">
        <f t="shared" si="1"/>
        <v>n.a</v>
      </c>
      <c r="E30" s="13" t="str">
        <f t="shared" si="0"/>
        <v>n.a</v>
      </c>
      <c r="G30" s="13">
        <v>2.2999999999999998</v>
      </c>
      <c r="H30" s="13"/>
      <c r="I30" s="13">
        <v>3.7</v>
      </c>
      <c r="J30" s="13" t="s">
        <v>28</v>
      </c>
    </row>
    <row r="31" spans="1:10" x14ac:dyDescent="0.35">
      <c r="A31" s="12">
        <v>43921</v>
      </c>
      <c r="B31" s="13">
        <v>2.5</v>
      </c>
      <c r="C31" s="13">
        <v>3.1</v>
      </c>
      <c r="D31" s="13" t="str">
        <f t="shared" si="1"/>
        <v>n.a</v>
      </c>
      <c r="E31" s="13" t="str">
        <f t="shared" si="0"/>
        <v>n.a</v>
      </c>
      <c r="G31" s="13">
        <v>1.9</v>
      </c>
      <c r="H31" s="13"/>
      <c r="I31" s="13">
        <v>3.3</v>
      </c>
      <c r="J31" s="13" t="s">
        <v>28</v>
      </c>
    </row>
    <row r="32" spans="1:10" x14ac:dyDescent="0.35">
      <c r="A32" s="12">
        <v>43951</v>
      </c>
      <c r="B32" s="13">
        <v>1.3</v>
      </c>
      <c r="C32" s="13" t="s">
        <v>28</v>
      </c>
      <c r="D32" s="13" t="str">
        <f t="shared" si="1"/>
        <v>n.a</v>
      </c>
      <c r="E32" s="13" t="str">
        <f t="shared" si="0"/>
        <v>n.a</v>
      </c>
      <c r="G32" s="13">
        <v>3.2</v>
      </c>
      <c r="H32" s="13"/>
      <c r="I32" s="13">
        <v>1.3</v>
      </c>
      <c r="J32" s="13" t="s">
        <v>28</v>
      </c>
    </row>
    <row r="33" spans="1:10" x14ac:dyDescent="0.35">
      <c r="A33" s="12">
        <v>43982</v>
      </c>
      <c r="B33" s="13">
        <v>-0.1</v>
      </c>
      <c r="C33" s="13" t="s">
        <v>28</v>
      </c>
      <c r="D33" s="13" t="str">
        <f t="shared" si="1"/>
        <v>n.a</v>
      </c>
      <c r="E33" s="13" t="str">
        <f t="shared" si="0"/>
        <v>n.a</v>
      </c>
      <c r="G33" s="13">
        <v>4.0999999999999996</v>
      </c>
      <c r="H33" s="13"/>
      <c r="I33" s="13">
        <v>-1</v>
      </c>
      <c r="J33" s="13" t="s">
        <v>28</v>
      </c>
    </row>
    <row r="34" spans="1:10" x14ac:dyDescent="0.35">
      <c r="A34" s="12">
        <v>44012</v>
      </c>
      <c r="B34" s="13">
        <v>-1.2</v>
      </c>
      <c r="C34" s="13">
        <v>2</v>
      </c>
      <c r="D34" s="13" t="str">
        <f t="shared" si="1"/>
        <v>n.a</v>
      </c>
      <c r="E34" s="13" t="str">
        <f t="shared" si="0"/>
        <v>n.a</v>
      </c>
      <c r="G34" s="13">
        <v>4.5</v>
      </c>
      <c r="H34" s="13"/>
      <c r="I34" s="13">
        <v>-1.9</v>
      </c>
      <c r="J34" s="13" t="s">
        <v>28</v>
      </c>
    </row>
    <row r="35" spans="1:10" x14ac:dyDescent="0.35">
      <c r="A35" s="12">
        <v>44043</v>
      </c>
      <c r="B35" s="13">
        <v>-0.8</v>
      </c>
      <c r="C35" s="13" t="s">
        <v>28</v>
      </c>
      <c r="D35" s="13" t="str">
        <f t="shared" si="1"/>
        <v>n.a</v>
      </c>
      <c r="E35" s="13" t="str">
        <f t="shared" si="0"/>
        <v>n.a</v>
      </c>
      <c r="G35" s="13">
        <v>3.9</v>
      </c>
      <c r="H35" s="13"/>
      <c r="I35" s="13">
        <v>-0.6</v>
      </c>
      <c r="J35" s="13" t="s">
        <v>28</v>
      </c>
    </row>
    <row r="36" spans="1:10" x14ac:dyDescent="0.35">
      <c r="A36" s="12">
        <v>44074</v>
      </c>
      <c r="B36" s="13">
        <v>0.1</v>
      </c>
      <c r="C36" s="13" t="s">
        <v>28</v>
      </c>
      <c r="D36" s="13" t="str">
        <f t="shared" si="1"/>
        <v>n.a</v>
      </c>
      <c r="E36" s="13" t="str">
        <f t="shared" si="0"/>
        <v>n.a</v>
      </c>
      <c r="G36" s="13">
        <v>3.5</v>
      </c>
      <c r="H36" s="13"/>
      <c r="I36" s="13">
        <v>1.2</v>
      </c>
      <c r="J36" s="13" t="s">
        <v>28</v>
      </c>
    </row>
    <row r="37" spans="1:10" x14ac:dyDescent="0.35">
      <c r="A37" s="12">
        <v>44104</v>
      </c>
      <c r="B37" s="13">
        <v>1.4</v>
      </c>
      <c r="C37" s="13">
        <v>1.3</v>
      </c>
      <c r="D37" s="13" t="str">
        <f t="shared" si="1"/>
        <v>n.a</v>
      </c>
      <c r="E37" s="13" t="str">
        <f t="shared" si="0"/>
        <v>n.a</v>
      </c>
      <c r="G37" s="13">
        <v>3.3</v>
      </c>
      <c r="H37" s="13"/>
      <c r="I37" s="13">
        <v>2.7</v>
      </c>
      <c r="J37" s="13" t="s">
        <v>28</v>
      </c>
    </row>
    <row r="38" spans="1:10" x14ac:dyDescent="0.35">
      <c r="A38" s="12">
        <v>44135</v>
      </c>
      <c r="B38" s="13">
        <v>2.4</v>
      </c>
      <c r="C38" s="13" t="s">
        <v>28</v>
      </c>
      <c r="D38" s="13" t="str">
        <f t="shared" si="1"/>
        <v>n.a</v>
      </c>
      <c r="E38" s="13" t="str">
        <f t="shared" si="0"/>
        <v>n.a</v>
      </c>
      <c r="G38" s="13">
        <v>3.3</v>
      </c>
      <c r="H38" s="13"/>
      <c r="I38" s="13">
        <v>3.7</v>
      </c>
      <c r="J38" s="13" t="s">
        <v>28</v>
      </c>
    </row>
    <row r="39" spans="1:10" x14ac:dyDescent="0.35">
      <c r="A39" s="12">
        <v>44165</v>
      </c>
      <c r="B39" s="13">
        <v>3.3</v>
      </c>
      <c r="C39" s="13" t="s">
        <v>28</v>
      </c>
      <c r="D39" s="13" t="str">
        <f t="shared" si="1"/>
        <v>n.a</v>
      </c>
      <c r="E39" s="13" t="str">
        <f t="shared" si="0"/>
        <v>n.a</v>
      </c>
      <c r="G39" s="13">
        <v>3.3</v>
      </c>
      <c r="H39" s="13"/>
      <c r="I39" s="13">
        <v>4.2</v>
      </c>
      <c r="J39" s="13" t="s">
        <v>28</v>
      </c>
    </row>
    <row r="40" spans="1:10" x14ac:dyDescent="0.35">
      <c r="A40" s="12">
        <v>44196</v>
      </c>
      <c r="B40" s="13">
        <v>3.9</v>
      </c>
      <c r="C40" s="13">
        <v>1.2</v>
      </c>
      <c r="D40" s="13" t="str">
        <f t="shared" si="1"/>
        <v>n.a</v>
      </c>
      <c r="E40" s="13" t="str">
        <f t="shared" si="0"/>
        <v>n.a</v>
      </c>
      <c r="G40" s="13">
        <v>3.4</v>
      </c>
      <c r="H40" s="13"/>
      <c r="I40" s="13">
        <v>4.5</v>
      </c>
      <c r="J40" s="13" t="s">
        <v>28</v>
      </c>
    </row>
    <row r="41" spans="1:10" x14ac:dyDescent="0.35">
      <c r="A41" s="12">
        <v>44227</v>
      </c>
      <c r="B41" s="13">
        <v>4.0999999999999996</v>
      </c>
      <c r="C41" s="13" t="s">
        <v>28</v>
      </c>
      <c r="D41" s="13" t="str">
        <f t="shared" si="1"/>
        <v>n.a</v>
      </c>
      <c r="E41" s="13" t="str">
        <f t="shared" si="0"/>
        <v>n.a</v>
      </c>
      <c r="G41" s="13">
        <v>3.6</v>
      </c>
      <c r="H41" s="13"/>
      <c r="I41" s="13">
        <v>4.2</v>
      </c>
      <c r="J41" s="13" t="s">
        <v>28</v>
      </c>
    </row>
    <row r="42" spans="1:10" x14ac:dyDescent="0.35">
      <c r="A42" s="12">
        <v>44255</v>
      </c>
      <c r="B42" s="13">
        <v>4.2</v>
      </c>
      <c r="C42" s="13" t="s">
        <v>28</v>
      </c>
      <c r="D42" s="13" t="str">
        <f t="shared" si="1"/>
        <v>n.a</v>
      </c>
      <c r="E42" s="13" t="str">
        <f t="shared" si="0"/>
        <v>n.a</v>
      </c>
      <c r="G42" s="13">
        <v>3.7</v>
      </c>
      <c r="H42" s="13"/>
      <c r="I42" s="13">
        <v>4</v>
      </c>
      <c r="J42" s="13" t="s">
        <v>28</v>
      </c>
    </row>
    <row r="43" spans="1:10" x14ac:dyDescent="0.35">
      <c r="A43" s="12">
        <v>44286</v>
      </c>
      <c r="B43" s="13">
        <v>4.3</v>
      </c>
      <c r="C43" s="13">
        <v>0.9</v>
      </c>
      <c r="D43" s="13" t="str">
        <f t="shared" si="1"/>
        <v>n.a</v>
      </c>
      <c r="E43" s="13" t="str">
        <f t="shared" si="0"/>
        <v>n.a</v>
      </c>
      <c r="G43" s="13">
        <v>3.5</v>
      </c>
      <c r="H43" s="13"/>
      <c r="I43" s="13">
        <v>4.4000000000000004</v>
      </c>
      <c r="J43" s="13" t="s">
        <v>28</v>
      </c>
    </row>
    <row r="44" spans="1:10" x14ac:dyDescent="0.35">
      <c r="A44" s="12">
        <v>44316</v>
      </c>
      <c r="B44" s="13">
        <v>5.7</v>
      </c>
      <c r="C44" s="13" t="s">
        <v>28</v>
      </c>
      <c r="D44" s="13" t="str">
        <f t="shared" si="1"/>
        <v>n.a</v>
      </c>
      <c r="E44" s="13" t="str">
        <f t="shared" si="0"/>
        <v>n.a</v>
      </c>
      <c r="G44" s="13">
        <v>2.2999999999999998</v>
      </c>
      <c r="H44" s="13"/>
      <c r="I44" s="13">
        <v>7</v>
      </c>
      <c r="J44" s="13" t="s">
        <v>28</v>
      </c>
    </row>
    <row r="45" spans="1:10" x14ac:dyDescent="0.35">
      <c r="A45" s="12">
        <v>44347</v>
      </c>
      <c r="B45" s="13">
        <v>7.2</v>
      </c>
      <c r="C45" s="13" t="s">
        <v>28</v>
      </c>
      <c r="D45" s="13" t="str">
        <f t="shared" si="1"/>
        <v>n.a</v>
      </c>
      <c r="E45" s="13" t="str">
        <f t="shared" si="0"/>
        <v>n.a</v>
      </c>
      <c r="G45" s="13">
        <v>1.6</v>
      </c>
      <c r="H45" s="13"/>
      <c r="I45" s="13">
        <v>9.5</v>
      </c>
      <c r="J45" s="13" t="s">
        <v>28</v>
      </c>
    </row>
    <row r="46" spans="1:10" x14ac:dyDescent="0.35">
      <c r="A46" s="12">
        <v>44377</v>
      </c>
      <c r="B46" s="13">
        <v>8.4</v>
      </c>
      <c r="C46" s="13">
        <v>1.7</v>
      </c>
      <c r="D46" s="13" t="str">
        <f t="shared" si="1"/>
        <v>n.a</v>
      </c>
      <c r="E46" s="13" t="str">
        <f t="shared" si="0"/>
        <v>n.a</v>
      </c>
      <c r="G46" s="13">
        <v>1.4</v>
      </c>
      <c r="H46" s="13"/>
      <c r="I46" s="13">
        <v>11</v>
      </c>
      <c r="J46" s="13" t="s">
        <v>28</v>
      </c>
    </row>
    <row r="47" spans="1:10" x14ac:dyDescent="0.35">
      <c r="A47" s="12">
        <v>44408</v>
      </c>
      <c r="B47" s="13">
        <v>7.8</v>
      </c>
      <c r="C47" s="13" t="s">
        <v>28</v>
      </c>
      <c r="D47" s="13" t="str">
        <f t="shared" si="1"/>
        <v>n.a</v>
      </c>
      <c r="E47" s="13" t="str">
        <f t="shared" si="0"/>
        <v>n.a</v>
      </c>
      <c r="G47" s="13">
        <v>2.2999999999999998</v>
      </c>
      <c r="H47" s="13"/>
      <c r="I47" s="13">
        <v>9.6</v>
      </c>
      <c r="J47" s="13" t="s">
        <v>28</v>
      </c>
    </row>
    <row r="48" spans="1:10" x14ac:dyDescent="0.35">
      <c r="A48" s="12">
        <v>44439</v>
      </c>
      <c r="B48" s="13">
        <v>6.8</v>
      </c>
      <c r="C48" s="13" t="s">
        <v>28</v>
      </c>
      <c r="D48" s="13" t="str">
        <f t="shared" si="1"/>
        <v>n.a</v>
      </c>
      <c r="E48" s="13" t="str">
        <f t="shared" si="0"/>
        <v>n.a</v>
      </c>
      <c r="G48" s="13">
        <v>3.1</v>
      </c>
      <c r="H48" s="13"/>
      <c r="I48" s="13">
        <v>7.9</v>
      </c>
      <c r="J48" s="13" t="s">
        <v>28</v>
      </c>
    </row>
    <row r="49" spans="1:10" x14ac:dyDescent="0.35">
      <c r="A49" s="12">
        <v>44469</v>
      </c>
      <c r="B49" s="13">
        <v>5.6</v>
      </c>
      <c r="C49" s="13">
        <v>2.7</v>
      </c>
      <c r="D49" s="13" t="str">
        <f t="shared" si="1"/>
        <v>n.a</v>
      </c>
      <c r="E49" s="13" t="str">
        <f t="shared" si="0"/>
        <v>n.a</v>
      </c>
      <c r="G49" s="13">
        <v>3.5</v>
      </c>
      <c r="H49" s="13"/>
      <c r="I49" s="13">
        <v>6.5</v>
      </c>
      <c r="J49" s="13" t="s">
        <v>28</v>
      </c>
    </row>
    <row r="50" spans="1:10" x14ac:dyDescent="0.35">
      <c r="A50" s="12">
        <v>44500</v>
      </c>
      <c r="B50" s="13">
        <v>4.8</v>
      </c>
      <c r="C50" s="13" t="s">
        <v>28</v>
      </c>
      <c r="D50" s="13" t="str">
        <f t="shared" si="1"/>
        <v>n.a</v>
      </c>
      <c r="E50" s="13" t="str">
        <f t="shared" si="0"/>
        <v>n.a</v>
      </c>
      <c r="G50" s="13">
        <v>3.8</v>
      </c>
      <c r="H50" s="13"/>
      <c r="I50" s="13">
        <v>6</v>
      </c>
      <c r="J50" s="13" t="s">
        <v>28</v>
      </c>
    </row>
    <row r="51" spans="1:10" x14ac:dyDescent="0.35">
      <c r="A51" s="12">
        <v>44530</v>
      </c>
      <c r="B51" s="13">
        <v>4.3</v>
      </c>
      <c r="C51" s="13" t="s">
        <v>28</v>
      </c>
      <c r="D51" s="13" t="str">
        <f t="shared" si="1"/>
        <v>n.a</v>
      </c>
      <c r="E51" s="13" t="str">
        <f t="shared" si="0"/>
        <v>n.a</v>
      </c>
      <c r="G51" s="13">
        <v>3.9</v>
      </c>
      <c r="H51" s="13"/>
      <c r="I51" s="13">
        <v>6.1</v>
      </c>
      <c r="J51" s="13" t="s">
        <v>28</v>
      </c>
    </row>
    <row r="52" spans="1:10" x14ac:dyDescent="0.35">
      <c r="A52" s="12">
        <v>44561</v>
      </c>
      <c r="B52" s="13">
        <v>4.2</v>
      </c>
      <c r="C52" s="13">
        <v>3.3</v>
      </c>
      <c r="D52" s="13" t="str">
        <f t="shared" si="1"/>
        <v>n.a</v>
      </c>
      <c r="E52" s="13" t="str">
        <f t="shared" si="0"/>
        <v>n.a</v>
      </c>
      <c r="G52" s="13">
        <v>4</v>
      </c>
      <c r="H52" s="13"/>
      <c r="I52" s="13">
        <v>6.3</v>
      </c>
      <c r="J52" s="13" t="s">
        <v>28</v>
      </c>
    </row>
    <row r="53" spans="1:10" x14ac:dyDescent="0.35">
      <c r="A53" s="12">
        <v>44592</v>
      </c>
      <c r="B53" s="13">
        <v>4.5</v>
      </c>
      <c r="C53" s="13" t="s">
        <v>28</v>
      </c>
      <c r="D53" s="13" t="str">
        <f t="shared" si="1"/>
        <v>n.a</v>
      </c>
      <c r="E53" s="13" t="str">
        <f t="shared" si="0"/>
        <v>n.a</v>
      </c>
      <c r="G53" s="13">
        <v>4</v>
      </c>
      <c r="H53" s="13"/>
      <c r="I53" s="13">
        <v>6.5</v>
      </c>
      <c r="J53" s="13" t="s">
        <v>28</v>
      </c>
    </row>
    <row r="54" spans="1:10" x14ac:dyDescent="0.35">
      <c r="A54" s="12">
        <v>44620</v>
      </c>
      <c r="B54" s="13">
        <v>4.9000000000000004</v>
      </c>
      <c r="C54" s="13" t="s">
        <v>28</v>
      </c>
      <c r="D54" s="13" t="str">
        <f t="shared" si="1"/>
        <v>n.a</v>
      </c>
      <c r="E54" s="13" t="str">
        <f t="shared" si="0"/>
        <v>n.a</v>
      </c>
      <c r="G54" s="13">
        <v>4.2</v>
      </c>
      <c r="H54" s="13"/>
      <c r="I54" s="13">
        <v>6.6</v>
      </c>
      <c r="J54" s="13" t="s">
        <v>28</v>
      </c>
    </row>
    <row r="55" spans="1:10" x14ac:dyDescent="0.35">
      <c r="A55" s="12">
        <v>44651</v>
      </c>
      <c r="B55" s="13">
        <v>5.3</v>
      </c>
      <c r="C55" s="13">
        <v>4.5</v>
      </c>
      <c r="D55" s="13" t="str">
        <f t="shared" si="1"/>
        <v>n.a</v>
      </c>
      <c r="E55" s="13" t="str">
        <f t="shared" si="0"/>
        <v>n.a</v>
      </c>
      <c r="G55" s="13">
        <v>4.7</v>
      </c>
      <c r="H55" s="13"/>
      <c r="I55" s="13">
        <v>6.8</v>
      </c>
      <c r="J55" s="13" t="s">
        <v>28</v>
      </c>
    </row>
    <row r="56" spans="1:10" x14ac:dyDescent="0.35">
      <c r="A56" s="12">
        <v>44681</v>
      </c>
      <c r="B56" s="13">
        <v>5.2</v>
      </c>
      <c r="C56" s="13" t="s">
        <v>28</v>
      </c>
      <c r="D56" s="13" t="str">
        <f t="shared" si="1"/>
        <v>n.a</v>
      </c>
      <c r="E56" s="13" t="str">
        <f t="shared" si="0"/>
        <v>n.a</v>
      </c>
      <c r="G56" s="13">
        <v>5.5</v>
      </c>
      <c r="H56" s="13"/>
      <c r="I56" s="13">
        <v>6.7</v>
      </c>
      <c r="J56" s="13" t="s">
        <v>28</v>
      </c>
    </row>
    <row r="57" spans="1:10" x14ac:dyDescent="0.35">
      <c r="A57" s="12">
        <v>44712</v>
      </c>
      <c r="B57" s="13">
        <v>5.4</v>
      </c>
      <c r="C57" s="13" t="s">
        <v>28</v>
      </c>
      <c r="D57" s="13" t="str">
        <f t="shared" si="1"/>
        <v>n.a</v>
      </c>
      <c r="E57" s="13" t="str">
        <f t="shared" si="0"/>
        <v>n.a</v>
      </c>
      <c r="G57" s="13">
        <v>6.3</v>
      </c>
      <c r="H57" s="13"/>
      <c r="I57" s="13">
        <v>6.8</v>
      </c>
      <c r="J57" s="13">
        <v>5.5</v>
      </c>
    </row>
    <row r="58" spans="1:10" x14ac:dyDescent="0.35">
      <c r="A58" s="12">
        <v>44742</v>
      </c>
      <c r="B58" s="13">
        <v>5.7</v>
      </c>
      <c r="C58" s="13">
        <v>5.4</v>
      </c>
      <c r="D58" s="13" t="str">
        <f t="shared" si="1"/>
        <v>n.a</v>
      </c>
      <c r="E58" s="13" t="str">
        <f t="shared" si="0"/>
        <v>n.a</v>
      </c>
      <c r="G58" s="13">
        <v>6.6</v>
      </c>
      <c r="H58" s="13"/>
      <c r="I58" s="13">
        <v>6.8</v>
      </c>
      <c r="J58" s="13">
        <v>5.6</v>
      </c>
    </row>
    <row r="59" spans="1:10" x14ac:dyDescent="0.35">
      <c r="A59" s="12">
        <v>44773</v>
      </c>
      <c r="B59" s="13">
        <v>6.1</v>
      </c>
      <c r="C59" s="13" t="s">
        <v>28</v>
      </c>
      <c r="D59" s="13" t="str">
        <f t="shared" si="1"/>
        <v>n.a</v>
      </c>
      <c r="E59" s="13" t="str">
        <f t="shared" si="0"/>
        <v>n.a</v>
      </c>
      <c r="G59" s="13">
        <v>6.5</v>
      </c>
      <c r="H59" s="13"/>
      <c r="I59" s="13">
        <v>7.1</v>
      </c>
      <c r="J59" s="13">
        <v>5.5</v>
      </c>
    </row>
    <row r="60" spans="1:10" x14ac:dyDescent="0.35">
      <c r="A60" s="12">
        <v>44804</v>
      </c>
      <c r="B60" s="13">
        <v>6.4</v>
      </c>
      <c r="C60" s="13" t="s">
        <v>28</v>
      </c>
      <c r="D60" s="13" t="str">
        <f t="shared" si="1"/>
        <v>n.a</v>
      </c>
      <c r="E60" s="13" t="str">
        <f t="shared" si="0"/>
        <v>n.a</v>
      </c>
      <c r="G60" s="13">
        <v>6.5</v>
      </c>
      <c r="H60" s="13"/>
      <c r="I60" s="13">
        <v>7.1</v>
      </c>
      <c r="J60" s="13">
        <v>5.8</v>
      </c>
    </row>
    <row r="61" spans="1:10" x14ac:dyDescent="0.35">
      <c r="A61" s="12">
        <v>44834</v>
      </c>
      <c r="B61" s="13">
        <v>6.7</v>
      </c>
      <c r="C61" s="13">
        <v>6.1</v>
      </c>
      <c r="D61" s="13" t="str">
        <f t="shared" si="1"/>
        <v>n.a</v>
      </c>
      <c r="E61" s="13" t="str">
        <f t="shared" si="0"/>
        <v>n.a</v>
      </c>
      <c r="G61" s="13">
        <v>6.4</v>
      </c>
      <c r="H61" s="13"/>
      <c r="I61" s="13">
        <v>7.1</v>
      </c>
      <c r="J61" s="13">
        <v>6.1</v>
      </c>
    </row>
    <row r="62" spans="1:10" x14ac:dyDescent="0.35">
      <c r="A62" s="12">
        <v>44865</v>
      </c>
      <c r="B62" s="13">
        <v>7</v>
      </c>
      <c r="C62" s="13" t="s">
        <v>28</v>
      </c>
      <c r="D62" s="13" t="str">
        <f t="shared" si="1"/>
        <v>n.a</v>
      </c>
      <c r="E62" s="13" t="str">
        <f t="shared" si="0"/>
        <v>n.a</v>
      </c>
      <c r="G62" s="13">
        <v>6.4</v>
      </c>
      <c r="H62" s="13"/>
      <c r="I62" s="13">
        <v>7</v>
      </c>
      <c r="J62" s="13">
        <v>6.3</v>
      </c>
    </row>
    <row r="63" spans="1:10" x14ac:dyDescent="0.35">
      <c r="A63" s="12">
        <v>44895</v>
      </c>
      <c r="B63" s="13">
        <v>7.3</v>
      </c>
      <c r="C63" s="13" t="s">
        <v>28</v>
      </c>
      <c r="D63" s="13" t="str">
        <f t="shared" si="1"/>
        <v>n.a</v>
      </c>
      <c r="E63" s="13" t="str">
        <f t="shared" si="0"/>
        <v>n.a</v>
      </c>
      <c r="G63" s="13">
        <v>6.3</v>
      </c>
      <c r="H63" s="13"/>
      <c r="I63" s="13">
        <v>6.9</v>
      </c>
      <c r="J63" s="13">
        <v>6.2</v>
      </c>
    </row>
    <row r="64" spans="1:10" x14ac:dyDescent="0.35">
      <c r="A64" s="12">
        <v>44926</v>
      </c>
      <c r="B64" s="13">
        <v>7.3</v>
      </c>
      <c r="C64" s="13">
        <v>6.5</v>
      </c>
      <c r="D64" s="13" t="str">
        <f t="shared" si="1"/>
        <v>n.a</v>
      </c>
      <c r="E64" s="13" t="str">
        <f t="shared" si="0"/>
        <v>n.a</v>
      </c>
      <c r="G64" s="13">
        <v>6.4</v>
      </c>
      <c r="H64" s="13"/>
      <c r="I64" s="13">
        <v>6.9</v>
      </c>
      <c r="J64" s="13">
        <v>6.3</v>
      </c>
    </row>
    <row r="65" spans="1:10" x14ac:dyDescent="0.35">
      <c r="A65" s="12">
        <v>44957</v>
      </c>
      <c r="B65" s="13">
        <v>7.1</v>
      </c>
      <c r="C65" s="13" t="s">
        <v>28</v>
      </c>
      <c r="D65" s="13" t="str">
        <f t="shared" si="1"/>
        <v>n.a</v>
      </c>
      <c r="E65" s="13" t="str">
        <f t="shared" si="0"/>
        <v>n.a</v>
      </c>
      <c r="G65" s="13">
        <v>6.4</v>
      </c>
      <c r="H65" s="13"/>
      <c r="I65" s="13">
        <v>7.1</v>
      </c>
      <c r="J65" s="13">
        <v>6.3</v>
      </c>
    </row>
    <row r="66" spans="1:10" x14ac:dyDescent="0.35">
      <c r="A66" s="12">
        <v>44985</v>
      </c>
      <c r="B66" s="13">
        <v>7.1</v>
      </c>
      <c r="C66" s="13" t="s">
        <v>28</v>
      </c>
      <c r="D66" s="13" t="str">
        <f t="shared" si="1"/>
        <v>n.a</v>
      </c>
      <c r="E66" s="13" t="str">
        <f t="shared" si="0"/>
        <v>n.a</v>
      </c>
      <c r="G66" s="13">
        <v>6.5</v>
      </c>
      <c r="H66" s="13"/>
      <c r="I66" s="13">
        <v>7.3</v>
      </c>
      <c r="J66" s="13">
        <v>6.5</v>
      </c>
    </row>
    <row r="67" spans="1:10" x14ac:dyDescent="0.35">
      <c r="A67" s="12">
        <v>45016</v>
      </c>
      <c r="B67" s="13">
        <v>7.2</v>
      </c>
      <c r="C67" s="13">
        <v>6.6</v>
      </c>
      <c r="D67" s="13" t="str">
        <f t="shared" si="1"/>
        <v>n.a</v>
      </c>
      <c r="E67" s="13" t="str">
        <f t="shared" si="0"/>
        <v>n.a</v>
      </c>
      <c r="G67" s="13">
        <v>6.7</v>
      </c>
      <c r="H67" s="13"/>
      <c r="I67" s="13">
        <v>7.4</v>
      </c>
      <c r="J67" s="13">
        <v>6.5</v>
      </c>
    </row>
    <row r="68" spans="1:10" x14ac:dyDescent="0.35">
      <c r="A68" s="12">
        <v>45046</v>
      </c>
      <c r="B68" s="13">
        <v>7.7</v>
      </c>
      <c r="C68" s="13" t="s">
        <v>28</v>
      </c>
      <c r="D68" s="13" t="str">
        <f t="shared" si="1"/>
        <v>n.a</v>
      </c>
      <c r="E68" s="13" t="str">
        <f t="shared" si="0"/>
        <v>n.a</v>
      </c>
      <c r="G68" s="13">
        <v>7</v>
      </c>
      <c r="H68" s="13"/>
      <c r="I68" s="13">
        <v>7.3</v>
      </c>
      <c r="J68" s="13">
        <v>6.6</v>
      </c>
    </row>
    <row r="69" spans="1:10" x14ac:dyDescent="0.35">
      <c r="A69" s="12">
        <v>45077</v>
      </c>
      <c r="B69" s="13">
        <v>7.9</v>
      </c>
      <c r="C69" s="13" t="s">
        <v>28</v>
      </c>
      <c r="D69" s="13" t="str">
        <f t="shared" si="1"/>
        <v>n.a</v>
      </c>
      <c r="E69" s="13" t="str">
        <f t="shared" si="1"/>
        <v>n.a</v>
      </c>
      <c r="G69" s="13">
        <v>7.2</v>
      </c>
      <c r="H69" s="13"/>
      <c r="I69" s="13">
        <v>7.2</v>
      </c>
      <c r="J69" s="13">
        <v>6.6</v>
      </c>
    </row>
    <row r="70" spans="1:10" x14ac:dyDescent="0.35">
      <c r="A70" s="12">
        <v>45107</v>
      </c>
      <c r="B70" s="13">
        <v>8.1999999999999993</v>
      </c>
      <c r="C70" s="13">
        <v>6.6</v>
      </c>
      <c r="D70" s="13" t="str">
        <f t="shared" ref="D70:E104" si="2">$C$5</f>
        <v>n.a</v>
      </c>
      <c r="E70" s="13" t="str">
        <f t="shared" si="2"/>
        <v>n.a</v>
      </c>
      <c r="G70" s="13">
        <v>7.3</v>
      </c>
      <c r="H70" s="13"/>
      <c r="I70" s="13">
        <v>7</v>
      </c>
      <c r="J70" s="13">
        <v>6.8</v>
      </c>
    </row>
    <row r="71" spans="1:10" x14ac:dyDescent="0.35">
      <c r="A71" s="12">
        <v>45138</v>
      </c>
      <c r="B71" s="13">
        <v>8.1</v>
      </c>
      <c r="C71" s="13" t="s">
        <v>28</v>
      </c>
      <c r="D71" s="13" t="str">
        <f t="shared" si="2"/>
        <v>n.a</v>
      </c>
      <c r="E71" s="13" t="str">
        <f t="shared" si="2"/>
        <v>n.a</v>
      </c>
      <c r="G71" s="13">
        <v>7.3</v>
      </c>
      <c r="H71" s="13"/>
      <c r="I71" s="13">
        <v>6.9</v>
      </c>
      <c r="J71" s="13">
        <v>6.8</v>
      </c>
    </row>
    <row r="72" spans="1:10" x14ac:dyDescent="0.35">
      <c r="A72" s="12">
        <v>45169</v>
      </c>
      <c r="B72" s="13">
        <v>8.1</v>
      </c>
      <c r="C72" s="13" t="s">
        <v>28</v>
      </c>
      <c r="D72" s="13" t="str">
        <f t="shared" si="2"/>
        <v>n.a</v>
      </c>
      <c r="E72" s="13" t="str">
        <f t="shared" si="2"/>
        <v>n.a</v>
      </c>
      <c r="G72" s="13">
        <v>7.2</v>
      </c>
      <c r="H72" s="13"/>
      <c r="I72" s="13">
        <v>6.9</v>
      </c>
      <c r="J72" s="13">
        <v>6.9</v>
      </c>
    </row>
    <row r="73" spans="1:10" x14ac:dyDescent="0.35">
      <c r="A73" s="12">
        <v>45199</v>
      </c>
      <c r="B73" s="13">
        <v>7.8</v>
      </c>
      <c r="C73" s="13">
        <v>6.3</v>
      </c>
      <c r="D73" s="13" t="str">
        <f t="shared" si="2"/>
        <v>n.a</v>
      </c>
      <c r="E73" s="13" t="str">
        <f t="shared" si="2"/>
        <v>n.a</v>
      </c>
      <c r="G73" s="13">
        <v>7.1</v>
      </c>
      <c r="H73" s="13"/>
      <c r="I73" s="13">
        <v>7</v>
      </c>
      <c r="J73" s="13">
        <v>6.9</v>
      </c>
    </row>
    <row r="74" spans="1:10" x14ac:dyDescent="0.35">
      <c r="A74" s="12">
        <v>45230</v>
      </c>
      <c r="B74" s="13">
        <v>7.2</v>
      </c>
      <c r="C74" s="13" t="s">
        <v>28</v>
      </c>
      <c r="D74" s="13" t="str">
        <f t="shared" si="2"/>
        <v>n.a</v>
      </c>
      <c r="E74" s="13" t="str">
        <f t="shared" si="2"/>
        <v>n.a</v>
      </c>
      <c r="G74" s="13">
        <v>6.8</v>
      </c>
      <c r="H74" s="13"/>
      <c r="I74" s="13">
        <v>6.7</v>
      </c>
      <c r="J74" s="13">
        <v>6.9</v>
      </c>
    </row>
    <row r="75" spans="1:10" x14ac:dyDescent="0.35">
      <c r="A75" s="12">
        <v>45260</v>
      </c>
      <c r="B75" s="13">
        <v>6.6</v>
      </c>
      <c r="C75" s="13" t="s">
        <v>28</v>
      </c>
      <c r="D75" s="13" t="str">
        <f t="shared" si="2"/>
        <v>n.a</v>
      </c>
      <c r="E75" s="13" t="str">
        <f t="shared" si="2"/>
        <v>n.a</v>
      </c>
      <c r="G75" s="13">
        <v>6.7</v>
      </c>
      <c r="H75" s="13"/>
      <c r="I75" s="13">
        <v>6.3</v>
      </c>
      <c r="J75" s="13">
        <v>7</v>
      </c>
    </row>
    <row r="76" spans="1:10" x14ac:dyDescent="0.35">
      <c r="A76" s="12">
        <v>45291</v>
      </c>
      <c r="B76" s="13">
        <v>6.2</v>
      </c>
      <c r="C76" s="13">
        <v>5.8</v>
      </c>
      <c r="D76" s="13" t="str">
        <f t="shared" si="2"/>
        <v>n.a</v>
      </c>
      <c r="E76" s="13" t="str">
        <f t="shared" si="2"/>
        <v>n.a</v>
      </c>
      <c r="G76" s="13">
        <v>6.6</v>
      </c>
      <c r="H76" s="13"/>
      <c r="I76" s="13">
        <v>6</v>
      </c>
      <c r="J76" s="13">
        <v>6.9</v>
      </c>
    </row>
    <row r="77" spans="1:10" x14ac:dyDescent="0.35">
      <c r="A77" s="12">
        <v>45322</v>
      </c>
      <c r="B77" s="13">
        <v>6.1</v>
      </c>
      <c r="C77" s="13" t="s">
        <v>28</v>
      </c>
      <c r="D77" s="13" t="str">
        <f t="shared" si="2"/>
        <v>n.a</v>
      </c>
      <c r="E77" s="13" t="str">
        <f t="shared" si="2"/>
        <v>n.a</v>
      </c>
      <c r="G77" s="13">
        <v>6.5</v>
      </c>
      <c r="H77" s="13"/>
      <c r="I77" s="13">
        <v>6</v>
      </c>
      <c r="J77" s="13">
        <v>6.9</v>
      </c>
    </row>
    <row r="78" spans="1:10" x14ac:dyDescent="0.35">
      <c r="A78" s="12">
        <v>45351</v>
      </c>
      <c r="B78" s="13">
        <v>5.9</v>
      </c>
      <c r="C78" s="13" t="s">
        <v>28</v>
      </c>
      <c r="D78" s="13" t="str">
        <f t="shared" si="2"/>
        <v>n.a</v>
      </c>
      <c r="E78" s="13" t="str">
        <f t="shared" si="2"/>
        <v>n.a</v>
      </c>
      <c r="G78" s="13">
        <v>6.4</v>
      </c>
      <c r="H78" s="13"/>
      <c r="I78" s="13">
        <v>6</v>
      </c>
      <c r="J78" s="13">
        <v>6.7</v>
      </c>
    </row>
    <row r="79" spans="1:10" x14ac:dyDescent="0.35">
      <c r="A79" s="12">
        <v>45382</v>
      </c>
      <c r="B79" s="13">
        <v>5.8</v>
      </c>
      <c r="C79" s="13">
        <v>5.6</v>
      </c>
      <c r="D79" s="13" t="str">
        <f t="shared" si="2"/>
        <v>n.a</v>
      </c>
      <c r="E79" s="13" t="str">
        <f t="shared" si="2"/>
        <v>n.a</v>
      </c>
      <c r="G79" s="13">
        <v>6.4</v>
      </c>
      <c r="H79" s="13"/>
      <c r="I79" s="13">
        <v>6</v>
      </c>
      <c r="J79" s="13">
        <v>6.4</v>
      </c>
    </row>
    <row r="80" spans="1:10" x14ac:dyDescent="0.35">
      <c r="A80" s="12">
        <v>45412</v>
      </c>
      <c r="B80" s="13">
        <v>5.7</v>
      </c>
      <c r="C80" s="13" t="s">
        <v>28</v>
      </c>
      <c r="D80" s="13" t="str">
        <f t="shared" si="2"/>
        <v>n.a</v>
      </c>
      <c r="E80" s="13" t="str">
        <f t="shared" si="2"/>
        <v>n.a</v>
      </c>
      <c r="G80" s="13">
        <v>6.6</v>
      </c>
      <c r="H80" s="13"/>
      <c r="I80" s="13">
        <v>6.2</v>
      </c>
      <c r="J80" s="13">
        <v>6.2</v>
      </c>
    </row>
    <row r="81" spans="1:10" x14ac:dyDescent="0.35">
      <c r="A81" s="12">
        <v>45443</v>
      </c>
      <c r="B81" s="13">
        <v>5.6</v>
      </c>
      <c r="C81" s="13" t="s">
        <v>28</v>
      </c>
      <c r="D81" s="13" t="str">
        <f t="shared" si="2"/>
        <v>n.a</v>
      </c>
      <c r="E81" s="13" t="str">
        <f t="shared" si="2"/>
        <v>n.a</v>
      </c>
      <c r="G81" s="13">
        <v>6.7</v>
      </c>
      <c r="H81" s="13"/>
      <c r="I81" s="13">
        <v>6.2</v>
      </c>
      <c r="J81" s="13">
        <v>6</v>
      </c>
    </row>
    <row r="82" spans="1:10" x14ac:dyDescent="0.35">
      <c r="A82" s="12">
        <v>45473</v>
      </c>
      <c r="B82" s="13">
        <v>5.4</v>
      </c>
      <c r="C82" s="13">
        <v>5.5</v>
      </c>
      <c r="D82" s="13" t="str">
        <f t="shared" si="2"/>
        <v>n.a</v>
      </c>
      <c r="E82" s="13" t="str">
        <f t="shared" si="2"/>
        <v>n.a</v>
      </c>
      <c r="G82" s="13">
        <v>6.8</v>
      </c>
      <c r="H82" s="13"/>
      <c r="I82" s="13">
        <v>6.2</v>
      </c>
      <c r="J82" s="13">
        <v>6</v>
      </c>
    </row>
    <row r="83" spans="1:10" x14ac:dyDescent="0.35">
      <c r="A83" s="12">
        <v>45504</v>
      </c>
      <c r="B83" s="13">
        <v>5.2</v>
      </c>
      <c r="C83" s="13" t="s">
        <v>28</v>
      </c>
      <c r="D83" s="13" t="str">
        <f t="shared" si="2"/>
        <v>n.a</v>
      </c>
      <c r="E83" s="13" t="str">
        <f t="shared" si="2"/>
        <v>n.a</v>
      </c>
      <c r="G83" s="13">
        <v>6.6</v>
      </c>
      <c r="I83" s="13">
        <v>6.2</v>
      </c>
      <c r="J83" s="13">
        <v>5.9</v>
      </c>
    </row>
    <row r="84" spans="1:10" x14ac:dyDescent="0.35">
      <c r="A84" s="12">
        <v>45535</v>
      </c>
      <c r="B84" s="13">
        <v>5.0999999999999996</v>
      </c>
      <c r="C84" s="13" t="s">
        <v>28</v>
      </c>
      <c r="D84" s="13" t="str">
        <f t="shared" si="2"/>
        <v>n.a</v>
      </c>
      <c r="E84" s="13" t="str">
        <f t="shared" si="2"/>
        <v>n.a</v>
      </c>
      <c r="G84" s="13">
        <v>6.6</v>
      </c>
      <c r="I84" s="13">
        <v>6.1</v>
      </c>
      <c r="J84" s="13">
        <v>5.8</v>
      </c>
    </row>
    <row r="85" spans="1:10" x14ac:dyDescent="0.35">
      <c r="A85" s="12">
        <v>45565</v>
      </c>
      <c r="B85" s="13">
        <v>5.0999999999999996</v>
      </c>
      <c r="C85" s="13">
        <v>5.4</v>
      </c>
      <c r="D85" s="13" t="str">
        <f t="shared" si="2"/>
        <v>n.a</v>
      </c>
      <c r="E85" s="13" t="str">
        <f t="shared" si="2"/>
        <v>n.a</v>
      </c>
      <c r="G85" s="13">
        <v>6.6</v>
      </c>
      <c r="I85" s="13">
        <v>5.9</v>
      </c>
      <c r="J85" s="13">
        <v>5.7</v>
      </c>
    </row>
    <row r="86" spans="1:10" x14ac:dyDescent="0.35">
      <c r="A86" s="12">
        <v>45596</v>
      </c>
      <c r="B86" s="13">
        <v>5.6</v>
      </c>
      <c r="C86" s="13" t="s">
        <v>28</v>
      </c>
      <c r="D86" s="13" t="str">
        <f t="shared" si="2"/>
        <v>n.a</v>
      </c>
      <c r="E86" s="13" t="str">
        <f t="shared" si="2"/>
        <v>n.a</v>
      </c>
      <c r="G86" s="13">
        <v>6.7</v>
      </c>
      <c r="I86" s="13">
        <v>6</v>
      </c>
      <c r="J86" s="13">
        <v>5.6</v>
      </c>
    </row>
    <row r="87" spans="1:10" x14ac:dyDescent="0.35">
      <c r="A87" s="12">
        <v>45626</v>
      </c>
      <c r="B87" s="13">
        <v>5.9</v>
      </c>
      <c r="C87" s="13" t="s">
        <v>28</v>
      </c>
      <c r="D87" s="13" t="str">
        <f t="shared" si="2"/>
        <v>n.a</v>
      </c>
      <c r="E87" s="13" t="str">
        <f t="shared" si="2"/>
        <v>n.a</v>
      </c>
      <c r="G87" s="13">
        <v>6.5</v>
      </c>
      <c r="I87" s="13">
        <v>6.2</v>
      </c>
      <c r="J87" s="13">
        <v>5.5</v>
      </c>
    </row>
    <row r="88" spans="1:10" x14ac:dyDescent="0.35">
      <c r="A88" s="12">
        <v>45657</v>
      </c>
      <c r="B88" s="13">
        <v>6.2</v>
      </c>
      <c r="C88" s="13">
        <v>5.6</v>
      </c>
      <c r="D88" s="13" t="str">
        <f t="shared" si="2"/>
        <v>n.a</v>
      </c>
      <c r="E88" s="13" t="str">
        <f t="shared" si="2"/>
        <v>n.a</v>
      </c>
      <c r="G88" s="13">
        <v>6.4</v>
      </c>
      <c r="I88" s="13">
        <v>6.2</v>
      </c>
      <c r="J88" s="13">
        <v>5.4</v>
      </c>
    </row>
    <row r="89" spans="1:10" x14ac:dyDescent="0.35">
      <c r="A89" s="12">
        <v>45688</v>
      </c>
      <c r="B89" s="13">
        <v>5.9</v>
      </c>
      <c r="C89" s="13" t="s">
        <v>28</v>
      </c>
      <c r="D89" s="13" t="str">
        <f t="shared" si="2"/>
        <v>n.a</v>
      </c>
      <c r="E89" s="13" t="str">
        <f t="shared" si="2"/>
        <v>n.a</v>
      </c>
      <c r="G89" s="13">
        <v>6.2</v>
      </c>
      <c r="I89" s="13">
        <v>6.1</v>
      </c>
      <c r="J89" s="13">
        <v>5.3</v>
      </c>
    </row>
    <row r="90" spans="1:10" x14ac:dyDescent="0.35">
      <c r="A90" s="12">
        <v>45716</v>
      </c>
      <c r="B90" s="13">
        <v>5.9</v>
      </c>
      <c r="C90" s="13" t="s">
        <v>28</v>
      </c>
      <c r="D90" s="13" t="str">
        <f t="shared" si="2"/>
        <v>n.a</v>
      </c>
      <c r="E90" s="13" t="str">
        <f t="shared" si="2"/>
        <v>n.a</v>
      </c>
      <c r="G90" s="13">
        <v>6.1</v>
      </c>
      <c r="I90" s="13">
        <v>5.8</v>
      </c>
      <c r="J90" s="13">
        <v>5.2</v>
      </c>
    </row>
    <row r="91" spans="1:10" ht="45" customHeight="1" x14ac:dyDescent="0.35">
      <c r="A91" s="15" t="s">
        <v>30</v>
      </c>
      <c r="B91" s="16">
        <v>5.7590000000000003</v>
      </c>
      <c r="C91" s="13">
        <v>5.4</v>
      </c>
      <c r="D91" s="13" t="str">
        <f t="shared" si="2"/>
        <v>n.a</v>
      </c>
      <c r="E91" s="13" t="str">
        <f t="shared" si="2"/>
        <v>n.a</v>
      </c>
      <c r="G91" s="13">
        <v>5.8</v>
      </c>
      <c r="I91" s="13">
        <v>5.4</v>
      </c>
      <c r="J91" s="13">
        <v>5</v>
      </c>
    </row>
    <row r="92" spans="1:10" x14ac:dyDescent="0.35">
      <c r="A92" s="12">
        <v>45777</v>
      </c>
      <c r="B92" s="13" t="str">
        <f t="shared" ref="B92:B104" si="3">$C$92</f>
        <v>n.a</v>
      </c>
      <c r="C92" s="13" t="str">
        <f>$C$90</f>
        <v>n.a</v>
      </c>
      <c r="D92" s="13" t="str">
        <f t="shared" si="2"/>
        <v>n.a</v>
      </c>
      <c r="E92" s="13" t="str">
        <f t="shared" si="2"/>
        <v>n.a</v>
      </c>
      <c r="G92" s="13" t="s">
        <v>28</v>
      </c>
      <c r="I92" s="13" t="s">
        <v>28</v>
      </c>
      <c r="J92" s="13">
        <v>4.8</v>
      </c>
    </row>
    <row r="93" spans="1:10" x14ac:dyDescent="0.35">
      <c r="A93" s="12">
        <v>45808</v>
      </c>
      <c r="B93" s="13" t="str">
        <f t="shared" si="3"/>
        <v>n.a</v>
      </c>
      <c r="C93" s="13" t="str">
        <f t="shared" ref="C93:C104" si="4">$C$90</f>
        <v>n.a</v>
      </c>
      <c r="D93" s="13" t="str">
        <f t="shared" si="2"/>
        <v>n.a</v>
      </c>
      <c r="E93" s="13" t="str">
        <f t="shared" si="2"/>
        <v>n.a</v>
      </c>
      <c r="G93" s="13" t="s">
        <v>28</v>
      </c>
      <c r="I93" s="13" t="s">
        <v>28</v>
      </c>
      <c r="J93" s="13" t="s">
        <v>28</v>
      </c>
    </row>
    <row r="94" spans="1:10" ht="47.5" customHeight="1" x14ac:dyDescent="0.35">
      <c r="A94" s="15" t="s">
        <v>31</v>
      </c>
      <c r="B94" s="16">
        <v>5.202</v>
      </c>
      <c r="C94" s="13" t="str">
        <f t="shared" si="4"/>
        <v>n.a</v>
      </c>
      <c r="D94" s="13" t="str">
        <f t="shared" si="2"/>
        <v>n.a</v>
      </c>
      <c r="E94" s="13" t="str">
        <f t="shared" si="2"/>
        <v>n.a</v>
      </c>
      <c r="G94" s="13" t="s">
        <v>28</v>
      </c>
      <c r="I94" s="13" t="s">
        <v>28</v>
      </c>
      <c r="J94" s="13" t="s">
        <v>28</v>
      </c>
    </row>
    <row r="95" spans="1:10" x14ac:dyDescent="0.35">
      <c r="A95" s="12">
        <v>45869</v>
      </c>
      <c r="B95" s="13" t="str">
        <f t="shared" si="3"/>
        <v>n.a</v>
      </c>
      <c r="C95" s="13" t="str">
        <f t="shared" si="4"/>
        <v>n.a</v>
      </c>
      <c r="D95" s="13" t="str">
        <f t="shared" si="2"/>
        <v>n.a</v>
      </c>
      <c r="E95" s="13" t="str">
        <f t="shared" si="2"/>
        <v>n.a</v>
      </c>
      <c r="G95" s="13" t="s">
        <v>28</v>
      </c>
      <c r="I95" s="13" t="s">
        <v>28</v>
      </c>
      <c r="J95" s="13" t="s">
        <v>28</v>
      </c>
    </row>
    <row r="96" spans="1:10" x14ac:dyDescent="0.35">
      <c r="A96" s="12">
        <v>45900</v>
      </c>
      <c r="B96" s="13" t="str">
        <f t="shared" si="3"/>
        <v>n.a</v>
      </c>
      <c r="C96" s="13" t="str">
        <f t="shared" si="4"/>
        <v>n.a</v>
      </c>
      <c r="D96" s="13" t="str">
        <f t="shared" si="2"/>
        <v>n.a</v>
      </c>
      <c r="E96" s="13" t="str">
        <f t="shared" si="2"/>
        <v>n.a</v>
      </c>
      <c r="G96" s="13" t="s">
        <v>28</v>
      </c>
      <c r="I96" s="13" t="s">
        <v>28</v>
      </c>
      <c r="J96" s="13" t="s">
        <v>28</v>
      </c>
    </row>
    <row r="97" spans="1:10" ht="46.5" customHeight="1" x14ac:dyDescent="0.35">
      <c r="A97" s="15" t="s">
        <v>32</v>
      </c>
      <c r="B97" s="16">
        <v>4.7110000000000003</v>
      </c>
      <c r="C97" s="13" t="str">
        <f t="shared" si="4"/>
        <v>n.a</v>
      </c>
      <c r="D97" s="13" t="str">
        <f t="shared" si="2"/>
        <v>n.a</v>
      </c>
      <c r="E97" s="13" t="str">
        <f t="shared" si="2"/>
        <v>n.a</v>
      </c>
      <c r="G97" s="13" t="s">
        <v>28</v>
      </c>
      <c r="I97" s="13" t="s">
        <v>28</v>
      </c>
      <c r="J97" s="13" t="s">
        <v>28</v>
      </c>
    </row>
    <row r="98" spans="1:10" x14ac:dyDescent="0.35">
      <c r="A98" s="12">
        <v>45961</v>
      </c>
      <c r="B98" s="13" t="str">
        <f t="shared" si="3"/>
        <v>n.a</v>
      </c>
      <c r="C98" s="13" t="str">
        <f t="shared" si="4"/>
        <v>n.a</v>
      </c>
      <c r="D98" s="13" t="str">
        <f t="shared" si="2"/>
        <v>n.a</v>
      </c>
      <c r="E98" s="13" t="str">
        <f t="shared" si="2"/>
        <v>n.a</v>
      </c>
      <c r="G98" s="13" t="s">
        <v>28</v>
      </c>
      <c r="I98" s="13" t="s">
        <v>28</v>
      </c>
      <c r="J98" s="13" t="s">
        <v>28</v>
      </c>
    </row>
    <row r="99" spans="1:10" x14ac:dyDescent="0.35">
      <c r="A99" s="12">
        <v>45991</v>
      </c>
      <c r="B99" s="13" t="str">
        <f t="shared" si="3"/>
        <v>n.a</v>
      </c>
      <c r="C99" s="13" t="str">
        <f t="shared" si="4"/>
        <v>n.a</v>
      </c>
      <c r="D99" s="13" t="str">
        <f t="shared" si="2"/>
        <v>n.a</v>
      </c>
      <c r="E99" s="13" t="str">
        <f t="shared" si="2"/>
        <v>n.a</v>
      </c>
      <c r="G99" s="13" t="s">
        <v>28</v>
      </c>
      <c r="I99" s="13" t="s">
        <v>28</v>
      </c>
      <c r="J99" s="13" t="s">
        <v>28</v>
      </c>
    </row>
    <row r="100" spans="1:10" ht="43" customHeight="1" x14ac:dyDescent="0.35">
      <c r="A100" s="15" t="s">
        <v>33</v>
      </c>
      <c r="B100" s="16">
        <v>3.8410000000000002</v>
      </c>
      <c r="C100" s="13" t="str">
        <f t="shared" si="4"/>
        <v>n.a</v>
      </c>
      <c r="D100" s="13" t="str">
        <f t="shared" si="2"/>
        <v>n.a</v>
      </c>
      <c r="E100" s="13" t="str">
        <f t="shared" si="2"/>
        <v>n.a</v>
      </c>
      <c r="G100" s="13" t="s">
        <v>28</v>
      </c>
      <c r="I100" s="13" t="s">
        <v>28</v>
      </c>
      <c r="J100" s="13" t="s">
        <v>28</v>
      </c>
    </row>
    <row r="101" spans="1:10" x14ac:dyDescent="0.35">
      <c r="A101" s="12">
        <v>46053</v>
      </c>
      <c r="B101" s="13" t="str">
        <f t="shared" si="3"/>
        <v>n.a</v>
      </c>
      <c r="C101" s="13" t="str">
        <f t="shared" si="4"/>
        <v>n.a</v>
      </c>
      <c r="D101" s="13">
        <v>3.7</v>
      </c>
      <c r="E101" s="13" t="str">
        <f t="shared" si="2"/>
        <v>n.a</v>
      </c>
      <c r="G101" s="13" t="s">
        <v>28</v>
      </c>
      <c r="I101" s="13" t="s">
        <v>28</v>
      </c>
      <c r="J101" s="13" t="s">
        <v>28</v>
      </c>
    </row>
    <row r="102" spans="1:10" x14ac:dyDescent="0.35">
      <c r="A102" s="12">
        <v>46081</v>
      </c>
      <c r="B102" s="13" t="str">
        <f t="shared" si="3"/>
        <v>n.a</v>
      </c>
      <c r="C102" s="13" t="str">
        <f t="shared" si="4"/>
        <v>n.a</v>
      </c>
      <c r="D102" s="13" t="str">
        <f t="shared" si="2"/>
        <v>n.a</v>
      </c>
      <c r="E102" s="13" t="str">
        <f t="shared" si="2"/>
        <v>n.a</v>
      </c>
      <c r="G102" s="13" t="s">
        <v>28</v>
      </c>
      <c r="I102" s="13" t="s">
        <v>28</v>
      </c>
      <c r="J102" s="13" t="s">
        <v>28</v>
      </c>
    </row>
    <row r="103" spans="1:10" ht="46.5" customHeight="1" x14ac:dyDescent="0.35">
      <c r="A103" s="15" t="s">
        <v>34</v>
      </c>
      <c r="B103" s="16">
        <v>3.5329999999999999</v>
      </c>
      <c r="C103" s="13" t="str">
        <f t="shared" si="4"/>
        <v>n.a</v>
      </c>
      <c r="D103" s="13" t="str">
        <f t="shared" si="2"/>
        <v>n.a</v>
      </c>
      <c r="E103" s="13" t="str">
        <f t="shared" si="2"/>
        <v>n.a</v>
      </c>
      <c r="G103" s="13" t="s">
        <v>28</v>
      </c>
      <c r="I103" s="13" t="s">
        <v>28</v>
      </c>
      <c r="J103" s="13" t="s">
        <v>28</v>
      </c>
    </row>
    <row r="104" spans="1:10" x14ac:dyDescent="0.35">
      <c r="A104" s="12">
        <v>46142</v>
      </c>
      <c r="B104" s="13" t="str">
        <f t="shared" si="3"/>
        <v>n.a</v>
      </c>
      <c r="C104" s="13" t="str">
        <f t="shared" si="4"/>
        <v>n.a</v>
      </c>
      <c r="D104" s="13" t="str">
        <f t="shared" si="2"/>
        <v>n.a</v>
      </c>
      <c r="E104" s="13">
        <v>3.8114400000000002</v>
      </c>
      <c r="G104" s="13" t="s">
        <v>28</v>
      </c>
      <c r="I104" s="13" t="s">
        <v>28</v>
      </c>
      <c r="J104" s="13" t="s">
        <v>28</v>
      </c>
    </row>
    <row r="105" spans="1:10" x14ac:dyDescent="0.35">
      <c r="A105" s="12"/>
      <c r="B105" s="13"/>
      <c r="C105" s="13"/>
      <c r="D105" s="13"/>
      <c r="E105" s="13"/>
    </row>
    <row r="106" spans="1:10" x14ac:dyDescent="0.35">
      <c r="A106" s="12"/>
      <c r="B106" s="13"/>
      <c r="C106" s="13"/>
      <c r="D106" s="13"/>
      <c r="E106" s="13"/>
    </row>
    <row r="107" spans="1:10" x14ac:dyDescent="0.35">
      <c r="A107" s="12"/>
      <c r="B107" s="13"/>
      <c r="C107" s="13"/>
      <c r="D107" s="13"/>
      <c r="E107" s="13"/>
    </row>
    <row r="108" spans="1:10" x14ac:dyDescent="0.35">
      <c r="A108" s="12"/>
      <c r="B108" s="13"/>
      <c r="C108" s="13"/>
      <c r="D108" s="13"/>
      <c r="E108" s="13"/>
    </row>
    <row r="109" spans="1:10" x14ac:dyDescent="0.35">
      <c r="A109" s="12"/>
      <c r="B109" s="13"/>
      <c r="C109" s="13"/>
      <c r="D109" s="13"/>
      <c r="E109" s="13"/>
    </row>
    <row r="110" spans="1:10" x14ac:dyDescent="0.35">
      <c r="A110" s="12"/>
      <c r="B110" s="13"/>
      <c r="C110" s="13"/>
      <c r="D110" s="13"/>
      <c r="E110" s="13"/>
    </row>
    <row r="111" spans="1:10" x14ac:dyDescent="0.35">
      <c r="A111" s="12"/>
      <c r="B111" s="13"/>
      <c r="C111" s="13"/>
      <c r="D111" s="13"/>
      <c r="E111" s="13"/>
    </row>
    <row r="112" spans="1:10" x14ac:dyDescent="0.35">
      <c r="A112" s="12"/>
      <c r="B112" s="13"/>
      <c r="C112" s="13"/>
      <c r="D112" s="13"/>
      <c r="E112" s="13"/>
    </row>
    <row r="113" spans="1:5" x14ac:dyDescent="0.35">
      <c r="A113" s="12"/>
      <c r="B113" s="13"/>
      <c r="C113" s="13"/>
      <c r="D113" s="13"/>
      <c r="E113" s="13"/>
    </row>
    <row r="114" spans="1:5" x14ac:dyDescent="0.35">
      <c r="A114" s="12"/>
      <c r="B114" s="13"/>
      <c r="C114" s="13"/>
      <c r="D114" s="13"/>
      <c r="E114" s="13"/>
    </row>
    <row r="115" spans="1:5" x14ac:dyDescent="0.35">
      <c r="A115" s="12"/>
      <c r="B115" s="13"/>
      <c r="C115" s="13"/>
      <c r="D115" s="13"/>
      <c r="E115" s="13"/>
    </row>
    <row r="116" spans="1:5" x14ac:dyDescent="0.35">
      <c r="A116" s="12"/>
      <c r="B116" s="13"/>
      <c r="C116" s="13"/>
      <c r="D116" s="13"/>
      <c r="E116" s="13"/>
    </row>
    <row r="117" spans="1:5" x14ac:dyDescent="0.35">
      <c r="A117" s="12"/>
      <c r="B117" s="13"/>
      <c r="C117" s="13"/>
      <c r="D117" s="13"/>
      <c r="E117" s="13"/>
    </row>
    <row r="118" spans="1:5" x14ac:dyDescent="0.35">
      <c r="A118" s="12"/>
      <c r="B118" s="13"/>
      <c r="C118" s="13"/>
      <c r="D118" s="13"/>
      <c r="E118" s="13"/>
    </row>
    <row r="119" spans="1:5" x14ac:dyDescent="0.35">
      <c r="A119" s="12"/>
      <c r="B119" s="13"/>
      <c r="C119" s="13"/>
      <c r="D119" s="13"/>
      <c r="E119" s="13"/>
    </row>
    <row r="120" spans="1:5" x14ac:dyDescent="0.35">
      <c r="A120" s="12"/>
      <c r="B120" s="13"/>
      <c r="C120" s="13"/>
      <c r="D120" s="13"/>
      <c r="E120" s="13"/>
    </row>
    <row r="121" spans="1:5" x14ac:dyDescent="0.35">
      <c r="A121" s="12"/>
      <c r="B121" s="13"/>
      <c r="C121" s="13"/>
      <c r="D121" s="13"/>
      <c r="E121" s="13"/>
    </row>
    <row r="122" spans="1:5" x14ac:dyDescent="0.35">
      <c r="A122" s="12"/>
      <c r="B122" s="13"/>
      <c r="C122" s="13"/>
      <c r="D122" s="13"/>
      <c r="E122" s="13"/>
    </row>
    <row r="123" spans="1:5" x14ac:dyDescent="0.35">
      <c r="A123" s="12"/>
      <c r="B123" s="13"/>
      <c r="C123" s="13"/>
      <c r="D123" s="13"/>
      <c r="E123" s="13"/>
    </row>
    <row r="124" spans="1:5" x14ac:dyDescent="0.35">
      <c r="A124" s="12"/>
      <c r="B124" s="13"/>
      <c r="C124" s="13"/>
      <c r="D124" s="13"/>
      <c r="E124" s="13"/>
    </row>
    <row r="125" spans="1:5" x14ac:dyDescent="0.35">
      <c r="A125" s="12"/>
      <c r="B125" s="13"/>
      <c r="C125" s="13"/>
      <c r="D125" s="13"/>
      <c r="E125" s="13"/>
    </row>
    <row r="126" spans="1:5" x14ac:dyDescent="0.35">
      <c r="A126" s="12"/>
      <c r="B126" s="13"/>
      <c r="C126" s="13"/>
      <c r="D126" s="13"/>
      <c r="E126" s="13"/>
    </row>
    <row r="127" spans="1:5" x14ac:dyDescent="0.35">
      <c r="A127" s="12"/>
      <c r="B127" s="13"/>
      <c r="C127" s="13"/>
      <c r="D127" s="13"/>
      <c r="E127" s="13"/>
    </row>
    <row r="128" spans="1:5" x14ac:dyDescent="0.35">
      <c r="A128" s="12"/>
      <c r="B128" s="13"/>
      <c r="C128" s="13"/>
      <c r="D128" s="13"/>
      <c r="E128" s="13"/>
    </row>
    <row r="129" spans="1:5" x14ac:dyDescent="0.35">
      <c r="A129" s="12"/>
      <c r="B129" s="13"/>
      <c r="C129" s="13"/>
      <c r="D129" s="13"/>
      <c r="E129" s="13"/>
    </row>
    <row r="130" spans="1:5" x14ac:dyDescent="0.35">
      <c r="A130" s="12"/>
      <c r="B130" s="13"/>
      <c r="C130" s="13"/>
      <c r="D130" s="13"/>
      <c r="E130" s="13"/>
    </row>
    <row r="131" spans="1:5" x14ac:dyDescent="0.35">
      <c r="A131" s="12"/>
      <c r="B131" s="13"/>
      <c r="C131" s="13"/>
      <c r="D131" s="13"/>
      <c r="E131" s="13"/>
    </row>
    <row r="132" spans="1:5" x14ac:dyDescent="0.35">
      <c r="A132" s="12"/>
      <c r="B132" s="13"/>
      <c r="C132" s="13"/>
      <c r="D132" s="13"/>
      <c r="E132" s="13"/>
    </row>
    <row r="133" spans="1:5" x14ac:dyDescent="0.35">
      <c r="A133" s="12"/>
      <c r="B133" s="13"/>
      <c r="C133" s="13"/>
      <c r="D133" s="13"/>
      <c r="E133" s="13"/>
    </row>
    <row r="134" spans="1:5" x14ac:dyDescent="0.35">
      <c r="A134" s="12"/>
      <c r="B134" s="13"/>
      <c r="C134" s="13"/>
      <c r="D134" s="13"/>
      <c r="E134" s="13"/>
    </row>
    <row r="135" spans="1:5" x14ac:dyDescent="0.35">
      <c r="A135" s="12"/>
      <c r="B135" s="13"/>
      <c r="C135" s="13"/>
      <c r="D135" s="13"/>
      <c r="E135" s="13"/>
    </row>
    <row r="136" spans="1:5" x14ac:dyDescent="0.35">
      <c r="A136" s="12"/>
      <c r="B136" s="13"/>
      <c r="C136" s="13"/>
      <c r="D136" s="13"/>
      <c r="E136" s="13"/>
    </row>
    <row r="137" spans="1:5" x14ac:dyDescent="0.35">
      <c r="A137" s="12"/>
      <c r="B137" s="13"/>
      <c r="C137" s="13"/>
      <c r="D137" s="13"/>
      <c r="E137" s="13"/>
    </row>
    <row r="138" spans="1:5" x14ac:dyDescent="0.35">
      <c r="A138" s="12"/>
      <c r="B138" s="13"/>
      <c r="C138" s="13"/>
      <c r="D138" s="13"/>
      <c r="E138" s="13"/>
    </row>
    <row r="139" spans="1:5" x14ac:dyDescent="0.35">
      <c r="A139" s="12"/>
      <c r="B139" s="13"/>
      <c r="C139" s="13"/>
      <c r="D139" s="13"/>
      <c r="E139" s="13"/>
    </row>
    <row r="140" spans="1:5" x14ac:dyDescent="0.35">
      <c r="A140" s="12"/>
      <c r="B140" s="13"/>
      <c r="C140" s="13"/>
      <c r="D140" s="13"/>
      <c r="E140" s="13"/>
    </row>
    <row r="141" spans="1:5" x14ac:dyDescent="0.35">
      <c r="A141" s="12"/>
      <c r="B141" s="13"/>
      <c r="C141" s="13"/>
      <c r="D141" s="13"/>
      <c r="E141" s="13"/>
    </row>
    <row r="142" spans="1:5" x14ac:dyDescent="0.35">
      <c r="A142" s="12"/>
      <c r="B142" s="13"/>
      <c r="C142" s="13"/>
      <c r="D142" s="13"/>
      <c r="E142" s="13"/>
    </row>
    <row r="143" spans="1:5" x14ac:dyDescent="0.35">
      <c r="A143" s="12"/>
    </row>
    <row r="144" spans="1:5" x14ac:dyDescent="0.35">
      <c r="A144" s="12"/>
    </row>
    <row r="145" spans="1:1" x14ac:dyDescent="0.35">
      <c r="A145" s="12"/>
    </row>
    <row r="146" spans="1:1" x14ac:dyDescent="0.35">
      <c r="A146" s="12"/>
    </row>
    <row r="147" spans="1:1" x14ac:dyDescent="0.35">
      <c r="A147" s="12"/>
    </row>
    <row r="148" spans="1:1" x14ac:dyDescent="0.35">
      <c r="A148" s="12"/>
    </row>
    <row r="149" spans="1:1" x14ac:dyDescent="0.35">
      <c r="A149" s="12"/>
    </row>
    <row r="150" spans="1:1" x14ac:dyDescent="0.35">
      <c r="A150" s="12"/>
    </row>
    <row r="151" spans="1:1" x14ac:dyDescent="0.35">
      <c r="A151" s="12"/>
    </row>
    <row r="152" spans="1:1" x14ac:dyDescent="0.35">
      <c r="A152" s="12"/>
    </row>
    <row r="153" spans="1:1" x14ac:dyDescent="0.35">
      <c r="A153" s="12"/>
    </row>
    <row r="154" spans="1:1" x14ac:dyDescent="0.35">
      <c r="A154" s="12"/>
    </row>
    <row r="155" spans="1:1" x14ac:dyDescent="0.35">
      <c r="A15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42F25-1861-4449-806A-B43E6882E8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8B7CE-350D-4554-A567-4853E1987C9B}">
  <dimension ref="A4:C193"/>
  <sheetViews>
    <sheetView zoomScale="85" zoomScaleNormal="85" workbookViewId="0">
      <pane xSplit="1" ySplit="9" topLeftCell="B118" activePane="bottomRight" state="frozen"/>
      <selection pane="topRight" activeCell="B1" sqref="B1"/>
      <selection pane="bottomLeft" activeCell="A10" sqref="A10"/>
      <selection pane="bottomRight" activeCell="H5" sqref="H5"/>
    </sheetView>
  </sheetViews>
  <sheetFormatPr defaultRowHeight="14.5" x14ac:dyDescent="0.35"/>
  <cols>
    <col min="2" max="2" width="17.6328125" customWidth="1"/>
    <col min="3" max="3" width="15.1796875" customWidth="1"/>
  </cols>
  <sheetData>
    <row r="4" spans="1:3" x14ac:dyDescent="0.35">
      <c r="A4" s="17" t="s">
        <v>36</v>
      </c>
      <c r="B4" t="s">
        <v>35</v>
      </c>
      <c r="C4" t="s">
        <v>233</v>
      </c>
    </row>
    <row r="5" spans="1:3" s="18" customFormat="1" ht="88" customHeight="1" x14ac:dyDescent="0.35">
      <c r="A5" s="18" t="s">
        <v>42</v>
      </c>
      <c r="B5" s="18" t="s">
        <v>47</v>
      </c>
      <c r="C5" s="18" t="s">
        <v>237</v>
      </c>
    </row>
    <row r="6" spans="1:3" ht="1" customHeight="1" x14ac:dyDescent="0.35">
      <c r="A6" t="s">
        <v>41</v>
      </c>
      <c r="B6" t="s">
        <v>46</v>
      </c>
      <c r="C6" t="s">
        <v>236</v>
      </c>
    </row>
    <row r="7" spans="1:3" ht="1" customHeight="1" x14ac:dyDescent="0.35">
      <c r="A7" t="s">
        <v>40</v>
      </c>
      <c r="B7" t="s">
        <v>45</v>
      </c>
      <c r="C7" t="s">
        <v>235</v>
      </c>
    </row>
    <row r="8" spans="1:3" ht="0.5" customHeight="1" x14ac:dyDescent="0.35">
      <c r="A8" t="s">
        <v>39</v>
      </c>
      <c r="B8" t="s">
        <v>44</v>
      </c>
      <c r="C8" t="s">
        <v>44</v>
      </c>
    </row>
    <row r="9" spans="1:3" hidden="1" x14ac:dyDescent="0.35">
      <c r="A9" t="s">
        <v>38</v>
      </c>
      <c r="B9" t="s">
        <v>43</v>
      </c>
      <c r="C9" t="s">
        <v>234</v>
      </c>
    </row>
    <row r="10" spans="1:3" x14ac:dyDescent="0.35">
      <c r="A10" t="s">
        <v>37</v>
      </c>
      <c r="B10" s="2">
        <v>0.5</v>
      </c>
      <c r="C10" s="2">
        <v>83.9</v>
      </c>
    </row>
    <row r="11" spans="1:3" x14ac:dyDescent="0.35">
      <c r="A11" t="s">
        <v>48</v>
      </c>
      <c r="B11" s="2">
        <v>0.7</v>
      </c>
      <c r="C11" s="2">
        <v>84.1</v>
      </c>
    </row>
    <row r="12" spans="1:3" x14ac:dyDescent="0.35">
      <c r="A12" t="s">
        <v>49</v>
      </c>
      <c r="B12" s="2">
        <v>1</v>
      </c>
      <c r="C12" s="2">
        <v>84.4</v>
      </c>
    </row>
    <row r="13" spans="1:3" x14ac:dyDescent="0.35">
      <c r="A13" t="s">
        <v>50</v>
      </c>
      <c r="B13" s="2">
        <v>0.9</v>
      </c>
      <c r="C13" s="2">
        <v>84.9</v>
      </c>
    </row>
    <row r="14" spans="1:3" x14ac:dyDescent="0.35">
      <c r="A14" t="s">
        <v>51</v>
      </c>
      <c r="B14" s="2">
        <v>0.8</v>
      </c>
      <c r="C14" s="2">
        <v>85.2</v>
      </c>
    </row>
    <row r="15" spans="1:3" x14ac:dyDescent="0.35">
      <c r="A15" t="s">
        <v>52</v>
      </c>
      <c r="B15" s="2">
        <v>0.6</v>
      </c>
      <c r="C15" s="2">
        <v>85.7</v>
      </c>
    </row>
    <row r="16" spans="1:3" x14ac:dyDescent="0.35">
      <c r="A16" t="s">
        <v>53</v>
      </c>
      <c r="B16" s="2">
        <v>1</v>
      </c>
      <c r="C16" s="2">
        <v>86.1</v>
      </c>
    </row>
    <row r="17" spans="1:3" x14ac:dyDescent="0.35">
      <c r="A17" t="s">
        <v>54</v>
      </c>
      <c r="B17" s="2">
        <v>1.6</v>
      </c>
      <c r="C17" s="2">
        <v>86.7</v>
      </c>
    </row>
    <row r="18" spans="1:3" x14ac:dyDescent="0.35">
      <c r="A18" t="s">
        <v>55</v>
      </c>
      <c r="B18" s="2">
        <v>2</v>
      </c>
      <c r="C18" s="2">
        <v>85.9</v>
      </c>
    </row>
    <row r="19" spans="1:3" x14ac:dyDescent="0.35">
      <c r="A19" t="s">
        <v>56</v>
      </c>
      <c r="B19" s="2">
        <v>2</v>
      </c>
      <c r="C19" s="2">
        <v>86.3</v>
      </c>
    </row>
    <row r="20" spans="1:3" x14ac:dyDescent="0.35">
      <c r="A20" t="s">
        <v>57</v>
      </c>
      <c r="B20" s="2">
        <v>2</v>
      </c>
      <c r="C20" s="2">
        <v>86.1</v>
      </c>
    </row>
    <row r="21" spans="1:3" x14ac:dyDescent="0.35">
      <c r="A21" t="s">
        <v>58</v>
      </c>
      <c r="B21" s="2">
        <v>1.9</v>
      </c>
      <c r="C21" s="2">
        <v>87.2</v>
      </c>
    </row>
    <row r="22" spans="1:3" x14ac:dyDescent="0.35">
      <c r="A22" t="s">
        <v>59</v>
      </c>
      <c r="B22" s="2">
        <v>1.9</v>
      </c>
      <c r="C22" s="2">
        <v>87.3</v>
      </c>
    </row>
    <row r="23" spans="1:3" x14ac:dyDescent="0.35">
      <c r="A23" t="s">
        <v>60</v>
      </c>
      <c r="B23" s="2">
        <v>1.8</v>
      </c>
      <c r="C23" s="2">
        <v>87.6</v>
      </c>
    </row>
    <row r="24" spans="1:3" x14ac:dyDescent="0.35">
      <c r="A24" t="s">
        <v>61</v>
      </c>
      <c r="B24" s="2">
        <v>1.7</v>
      </c>
      <c r="C24" s="2">
        <v>87.9</v>
      </c>
    </row>
    <row r="25" spans="1:3" x14ac:dyDescent="0.35">
      <c r="A25" t="s">
        <v>62</v>
      </c>
      <c r="B25" s="2">
        <v>1.6</v>
      </c>
      <c r="C25" s="2">
        <v>89.1</v>
      </c>
    </row>
    <row r="26" spans="1:3" x14ac:dyDescent="0.35">
      <c r="A26" t="s">
        <v>63</v>
      </c>
      <c r="B26" s="2">
        <v>1.8</v>
      </c>
      <c r="C26" s="2">
        <v>89</v>
      </c>
    </row>
    <row r="27" spans="1:3" x14ac:dyDescent="0.35">
      <c r="A27" t="s">
        <v>64</v>
      </c>
      <c r="B27" s="2">
        <v>2</v>
      </c>
      <c r="C27" s="2">
        <v>89.3</v>
      </c>
    </row>
    <row r="28" spans="1:3" x14ac:dyDescent="0.35">
      <c r="A28" t="s">
        <v>65</v>
      </c>
      <c r="B28" s="2">
        <v>2</v>
      </c>
      <c r="C28" s="2">
        <v>89.9</v>
      </c>
    </row>
    <row r="29" spans="1:3" x14ac:dyDescent="0.35">
      <c r="A29" t="s">
        <v>66</v>
      </c>
      <c r="B29" s="2">
        <v>1.7</v>
      </c>
      <c r="C29" s="2">
        <v>90.4</v>
      </c>
    </row>
    <row r="30" spans="1:3" x14ac:dyDescent="0.35">
      <c r="A30" t="s">
        <v>67</v>
      </c>
      <c r="B30" s="2">
        <v>1.6</v>
      </c>
      <c r="C30" s="2">
        <v>89.9</v>
      </c>
    </row>
    <row r="31" spans="1:3" x14ac:dyDescent="0.35">
      <c r="A31" t="s">
        <v>68</v>
      </c>
      <c r="B31" s="2">
        <v>1.7</v>
      </c>
      <c r="C31" s="2">
        <v>89.9</v>
      </c>
    </row>
    <row r="32" spans="1:3" x14ac:dyDescent="0.35">
      <c r="A32" t="s">
        <v>69</v>
      </c>
      <c r="B32" s="2">
        <v>1.9</v>
      </c>
      <c r="C32" s="2">
        <v>89.8</v>
      </c>
    </row>
    <row r="33" spans="1:3" x14ac:dyDescent="0.35">
      <c r="A33" t="s">
        <v>70</v>
      </c>
      <c r="B33" s="2">
        <v>2.1</v>
      </c>
      <c r="C33" s="2">
        <v>90.8</v>
      </c>
    </row>
    <row r="34" spans="1:3" x14ac:dyDescent="0.35">
      <c r="A34" t="s">
        <v>71</v>
      </c>
      <c r="B34" s="2">
        <v>1.8</v>
      </c>
      <c r="C34" s="2">
        <v>90.5</v>
      </c>
    </row>
    <row r="35" spans="1:3" x14ac:dyDescent="0.35">
      <c r="A35" t="s">
        <v>72</v>
      </c>
      <c r="B35" s="2">
        <v>1.8</v>
      </c>
      <c r="C35" s="2">
        <v>90.7</v>
      </c>
    </row>
    <row r="36" spans="1:3" x14ac:dyDescent="0.35">
      <c r="A36" t="s">
        <v>73</v>
      </c>
      <c r="B36" s="2">
        <v>1.8</v>
      </c>
      <c r="C36" s="2">
        <v>90.8</v>
      </c>
    </row>
    <row r="37" spans="1:3" x14ac:dyDescent="0.35">
      <c r="A37" t="s">
        <v>74</v>
      </c>
      <c r="B37" s="2">
        <v>2</v>
      </c>
      <c r="C37" s="2">
        <v>91.7</v>
      </c>
    </row>
    <row r="38" spans="1:3" x14ac:dyDescent="0.35">
      <c r="A38" t="s">
        <v>75</v>
      </c>
      <c r="B38" s="2">
        <v>2</v>
      </c>
      <c r="C38" s="2">
        <v>92</v>
      </c>
    </row>
    <row r="39" spans="1:3" x14ac:dyDescent="0.35">
      <c r="A39" t="s">
        <v>76</v>
      </c>
      <c r="B39" s="2">
        <v>2</v>
      </c>
      <c r="C39" s="2">
        <v>92.2</v>
      </c>
    </row>
    <row r="40" spans="1:3" x14ac:dyDescent="0.35">
      <c r="A40" t="s">
        <v>77</v>
      </c>
      <c r="B40" s="2">
        <v>2</v>
      </c>
      <c r="C40" s="2">
        <v>92.9</v>
      </c>
    </row>
    <row r="41" spans="1:3" x14ac:dyDescent="0.35">
      <c r="A41" t="s">
        <v>78</v>
      </c>
      <c r="B41" s="2">
        <v>2</v>
      </c>
      <c r="C41" s="2">
        <v>93.3</v>
      </c>
    </row>
    <row r="42" spans="1:3" x14ac:dyDescent="0.35">
      <c r="A42" t="s">
        <v>79</v>
      </c>
      <c r="B42" s="2">
        <v>1.8</v>
      </c>
      <c r="C42" s="2">
        <v>92.8</v>
      </c>
    </row>
    <row r="43" spans="1:3" x14ac:dyDescent="0.35">
      <c r="A43" t="s">
        <v>80</v>
      </c>
      <c r="B43" s="2">
        <v>1.6</v>
      </c>
      <c r="C43" s="2">
        <v>93.6</v>
      </c>
    </row>
    <row r="44" spans="1:3" x14ac:dyDescent="0.35">
      <c r="A44" t="s">
        <v>81</v>
      </c>
      <c r="B44" s="2">
        <v>1.4</v>
      </c>
      <c r="C44" s="2">
        <v>93.6</v>
      </c>
    </row>
    <row r="45" spans="1:3" x14ac:dyDescent="0.35">
      <c r="A45" t="s">
        <v>82</v>
      </c>
      <c r="B45" s="2">
        <v>1.3</v>
      </c>
      <c r="C45" s="2">
        <v>94.1</v>
      </c>
    </row>
    <row r="46" spans="1:3" x14ac:dyDescent="0.35">
      <c r="A46" t="s">
        <v>83</v>
      </c>
      <c r="B46" s="2">
        <v>1.2</v>
      </c>
      <c r="C46" s="2">
        <v>93.9</v>
      </c>
    </row>
    <row r="47" spans="1:3" x14ac:dyDescent="0.35">
      <c r="A47" t="s">
        <v>84</v>
      </c>
      <c r="B47" s="2">
        <v>1</v>
      </c>
      <c r="C47" s="2">
        <v>94.1</v>
      </c>
    </row>
    <row r="48" spans="1:3" x14ac:dyDescent="0.35">
      <c r="A48" t="s">
        <v>85</v>
      </c>
      <c r="B48" s="2">
        <v>0.8</v>
      </c>
      <c r="C48" s="2">
        <v>94.4</v>
      </c>
    </row>
    <row r="49" spans="1:3" x14ac:dyDescent="0.35">
      <c r="A49" t="s">
        <v>86</v>
      </c>
      <c r="B49" s="2">
        <v>0.9</v>
      </c>
      <c r="C49" s="2">
        <v>94.8</v>
      </c>
    </row>
    <row r="50" spans="1:3" x14ac:dyDescent="0.35">
      <c r="A50" t="s">
        <v>87</v>
      </c>
      <c r="B50" s="2">
        <v>1</v>
      </c>
      <c r="C50" s="2">
        <v>95.3</v>
      </c>
    </row>
    <row r="51" spans="1:3" x14ac:dyDescent="0.35">
      <c r="A51" t="s">
        <v>88</v>
      </c>
      <c r="B51" s="2">
        <v>1.1000000000000001</v>
      </c>
      <c r="C51" s="2">
        <v>95.3</v>
      </c>
    </row>
    <row r="52" spans="1:3" x14ac:dyDescent="0.35">
      <c r="A52" t="s">
        <v>89</v>
      </c>
      <c r="B52" s="2">
        <v>1.1000000000000001</v>
      </c>
      <c r="C52" s="2">
        <v>95.8</v>
      </c>
    </row>
    <row r="53" spans="1:3" x14ac:dyDescent="0.35">
      <c r="A53" t="s">
        <v>90</v>
      </c>
      <c r="B53" s="2">
        <v>1</v>
      </c>
      <c r="C53" s="2">
        <v>96.1</v>
      </c>
    </row>
    <row r="54" spans="1:3" x14ac:dyDescent="0.35">
      <c r="A54" t="s">
        <v>91</v>
      </c>
      <c r="B54" s="2">
        <v>1</v>
      </c>
      <c r="C54" s="2">
        <v>95.9</v>
      </c>
    </row>
    <row r="55" spans="1:3" x14ac:dyDescent="0.35">
      <c r="A55" t="s">
        <v>92</v>
      </c>
      <c r="B55" s="2">
        <v>1</v>
      </c>
      <c r="C55" s="2">
        <v>96.1</v>
      </c>
    </row>
    <row r="56" spans="1:3" x14ac:dyDescent="0.35">
      <c r="A56" t="s">
        <v>93</v>
      </c>
      <c r="B56" s="2">
        <v>1</v>
      </c>
      <c r="C56" s="2">
        <v>96.1</v>
      </c>
    </row>
    <row r="57" spans="1:3" x14ac:dyDescent="0.35">
      <c r="A57" t="s">
        <v>94</v>
      </c>
      <c r="B57" s="2">
        <v>1.2</v>
      </c>
      <c r="C57" s="2">
        <v>96.4</v>
      </c>
    </row>
    <row r="58" spans="1:3" x14ac:dyDescent="0.35">
      <c r="A58" t="s">
        <v>95</v>
      </c>
      <c r="B58" s="2">
        <v>1.4</v>
      </c>
      <c r="C58" s="2">
        <v>96.1</v>
      </c>
    </row>
    <row r="59" spans="1:3" x14ac:dyDescent="0.35">
      <c r="A59" t="s">
        <v>96</v>
      </c>
      <c r="B59" s="2">
        <v>1.6</v>
      </c>
      <c r="C59" s="2">
        <v>96.4</v>
      </c>
    </row>
    <row r="60" spans="1:3" x14ac:dyDescent="0.35">
      <c r="A60" t="s">
        <v>97</v>
      </c>
      <c r="B60" s="2">
        <v>1.4</v>
      </c>
      <c r="C60" s="2">
        <v>96.5</v>
      </c>
    </row>
    <row r="61" spans="1:3" x14ac:dyDescent="0.35">
      <c r="A61" t="s">
        <v>98</v>
      </c>
      <c r="B61" s="2">
        <v>0.9</v>
      </c>
      <c r="C61" s="2">
        <v>97.5</v>
      </c>
    </row>
    <row r="62" spans="1:3" x14ac:dyDescent="0.35">
      <c r="A62" t="s">
        <v>99</v>
      </c>
      <c r="B62" s="2">
        <v>0.8</v>
      </c>
      <c r="C62" s="2">
        <v>97.4</v>
      </c>
    </row>
    <row r="63" spans="1:3" x14ac:dyDescent="0.35">
      <c r="A63" t="s">
        <v>100</v>
      </c>
      <c r="B63" s="2">
        <v>0.9</v>
      </c>
      <c r="C63" s="2">
        <v>97.7</v>
      </c>
    </row>
    <row r="64" spans="1:3" x14ac:dyDescent="0.35">
      <c r="A64" t="s">
        <v>101</v>
      </c>
      <c r="B64" s="2">
        <v>0.9</v>
      </c>
      <c r="C64" s="2">
        <v>98.3</v>
      </c>
    </row>
    <row r="65" spans="1:3" x14ac:dyDescent="0.35">
      <c r="A65" t="s">
        <v>102</v>
      </c>
      <c r="B65" s="2">
        <v>1</v>
      </c>
      <c r="C65" s="2">
        <v>98.6</v>
      </c>
    </row>
    <row r="66" spans="1:3" x14ac:dyDescent="0.35">
      <c r="A66" t="s">
        <v>103</v>
      </c>
      <c r="B66" s="2">
        <v>1.4</v>
      </c>
      <c r="C66" s="2">
        <v>98.2</v>
      </c>
    </row>
    <row r="67" spans="1:3" x14ac:dyDescent="0.35">
      <c r="A67" t="s">
        <v>104</v>
      </c>
      <c r="B67" s="2">
        <v>1.9</v>
      </c>
      <c r="C67" s="2">
        <v>98.5</v>
      </c>
    </row>
    <row r="68" spans="1:3" x14ac:dyDescent="0.35">
      <c r="A68" t="s">
        <v>105</v>
      </c>
      <c r="B68" s="2">
        <v>2.1</v>
      </c>
      <c r="C68" s="2">
        <v>98.3</v>
      </c>
    </row>
    <row r="69" spans="1:3" x14ac:dyDescent="0.35">
      <c r="A69" t="s">
        <v>106</v>
      </c>
      <c r="B69" s="2">
        <v>2</v>
      </c>
      <c r="C69" s="2">
        <v>98.7</v>
      </c>
    </row>
    <row r="70" spans="1:3" x14ac:dyDescent="0.35">
      <c r="A70" t="s">
        <v>107</v>
      </c>
      <c r="B70" s="2">
        <v>1.9</v>
      </c>
      <c r="C70" s="2">
        <v>98.4</v>
      </c>
    </row>
    <row r="71" spans="1:3" x14ac:dyDescent="0.35">
      <c r="A71" t="s">
        <v>108</v>
      </c>
      <c r="B71" s="2">
        <v>2.1</v>
      </c>
      <c r="C71" s="2">
        <v>98.7</v>
      </c>
    </row>
    <row r="72" spans="1:3" x14ac:dyDescent="0.35">
      <c r="A72" t="s">
        <v>109</v>
      </c>
      <c r="B72" s="2">
        <v>2.7</v>
      </c>
      <c r="C72" s="2">
        <v>98.9</v>
      </c>
    </row>
    <row r="73" spans="1:3" x14ac:dyDescent="0.35">
      <c r="A73" t="s">
        <v>110</v>
      </c>
      <c r="B73" s="2">
        <v>3.1</v>
      </c>
      <c r="C73" s="2">
        <v>99.5</v>
      </c>
    </row>
    <row r="74" spans="1:3" x14ac:dyDescent="0.35">
      <c r="A74" t="s">
        <v>111</v>
      </c>
      <c r="B74" s="2">
        <v>3.3</v>
      </c>
      <c r="C74" s="2">
        <v>99.6</v>
      </c>
    </row>
    <row r="75" spans="1:3" x14ac:dyDescent="0.35">
      <c r="A75" t="s">
        <v>112</v>
      </c>
      <c r="B75" s="2">
        <v>3.2</v>
      </c>
      <c r="C75" s="2">
        <v>99.9</v>
      </c>
    </row>
    <row r="76" spans="1:3" x14ac:dyDescent="0.35">
      <c r="A76" t="s">
        <v>113</v>
      </c>
      <c r="B76" s="2">
        <v>3.2</v>
      </c>
      <c r="C76" s="2">
        <v>100.6</v>
      </c>
    </row>
    <row r="77" spans="1:3" x14ac:dyDescent="0.35">
      <c r="A77" t="s">
        <v>114</v>
      </c>
      <c r="B77" s="2">
        <v>3.2</v>
      </c>
      <c r="C77" s="2">
        <v>100.9</v>
      </c>
    </row>
    <row r="78" spans="1:3" x14ac:dyDescent="0.35">
      <c r="A78" t="s">
        <v>115</v>
      </c>
      <c r="B78" s="2">
        <v>2.8</v>
      </c>
      <c r="C78" s="2">
        <v>100.6</v>
      </c>
    </row>
    <row r="79" spans="1:3" x14ac:dyDescent="0.35">
      <c r="A79" t="s">
        <v>116</v>
      </c>
      <c r="B79" s="2">
        <v>2.2000000000000002</v>
      </c>
      <c r="C79" s="2">
        <v>100.7</v>
      </c>
    </row>
    <row r="80" spans="1:3" x14ac:dyDescent="0.35">
      <c r="A80" t="s">
        <v>117</v>
      </c>
      <c r="B80" s="2">
        <v>2</v>
      </c>
      <c r="C80" s="2">
        <v>100.7</v>
      </c>
    </row>
    <row r="81" spans="1:3" x14ac:dyDescent="0.35">
      <c r="A81" t="s">
        <v>118</v>
      </c>
      <c r="B81" s="2">
        <v>2.1</v>
      </c>
      <c r="C81" s="2">
        <v>101.5</v>
      </c>
    </row>
    <row r="82" spans="1:3" x14ac:dyDescent="0.35">
      <c r="A82" t="s">
        <v>119</v>
      </c>
      <c r="B82" s="2">
        <v>2.4</v>
      </c>
      <c r="C82" s="2">
        <v>100.7</v>
      </c>
    </row>
    <row r="83" spans="1:3" x14ac:dyDescent="0.35">
      <c r="A83" t="s">
        <v>120</v>
      </c>
      <c r="B83" s="2">
        <v>2.5</v>
      </c>
      <c r="C83" s="2">
        <v>101.1</v>
      </c>
    </row>
    <row r="84" spans="1:3" x14ac:dyDescent="0.35">
      <c r="A84" t="s">
        <v>121</v>
      </c>
      <c r="B84" s="2">
        <v>2.5</v>
      </c>
      <c r="C84" s="2">
        <v>101.7</v>
      </c>
    </row>
    <row r="85" spans="1:3" x14ac:dyDescent="0.35">
      <c r="A85" t="s">
        <v>122</v>
      </c>
      <c r="B85" s="2">
        <v>2.6</v>
      </c>
      <c r="C85" s="2">
        <v>101.9</v>
      </c>
    </row>
    <row r="86" spans="1:3" x14ac:dyDescent="0.35">
      <c r="A86" t="s">
        <v>123</v>
      </c>
      <c r="B86" s="2">
        <v>2.4</v>
      </c>
      <c r="C86" s="2">
        <v>102.2</v>
      </c>
    </row>
    <row r="87" spans="1:3" x14ac:dyDescent="0.35">
      <c r="A87" t="s">
        <v>124</v>
      </c>
      <c r="B87" s="2">
        <v>2.5</v>
      </c>
      <c r="C87" s="2">
        <v>102.7</v>
      </c>
    </row>
    <row r="88" spans="1:3" x14ac:dyDescent="0.35">
      <c r="A88" t="s">
        <v>125</v>
      </c>
      <c r="B88" s="2">
        <v>2.4</v>
      </c>
      <c r="C88" s="2">
        <v>103.3</v>
      </c>
    </row>
    <row r="89" spans="1:3" x14ac:dyDescent="0.35">
      <c r="A89" t="s">
        <v>126</v>
      </c>
      <c r="B89" s="2">
        <v>2.4</v>
      </c>
      <c r="C89" s="2">
        <v>103.8</v>
      </c>
    </row>
    <row r="90" spans="1:3" x14ac:dyDescent="0.35">
      <c r="A90" t="s">
        <v>127</v>
      </c>
      <c r="B90" s="2">
        <v>2.6</v>
      </c>
      <c r="C90" s="2">
        <v>103.3</v>
      </c>
    </row>
    <row r="91" spans="1:3" x14ac:dyDescent="0.35">
      <c r="A91" t="s">
        <v>128</v>
      </c>
      <c r="B91" s="2">
        <v>2.8</v>
      </c>
      <c r="C91" s="2">
        <v>103.1</v>
      </c>
    </row>
    <row r="92" spans="1:3" x14ac:dyDescent="0.35">
      <c r="A92" t="s">
        <v>129</v>
      </c>
      <c r="B92" s="2">
        <v>2.9</v>
      </c>
      <c r="C92" s="2">
        <v>102.9</v>
      </c>
    </row>
    <row r="93" spans="1:3" x14ac:dyDescent="0.35">
      <c r="A93" t="s">
        <v>130</v>
      </c>
      <c r="B93" s="2">
        <v>2.8</v>
      </c>
      <c r="C93" s="2">
        <v>104</v>
      </c>
    </row>
    <row r="94" spans="1:3" x14ac:dyDescent="0.35">
      <c r="A94" t="s">
        <v>131</v>
      </c>
      <c r="B94" s="2">
        <v>2.6</v>
      </c>
      <c r="C94" s="2">
        <v>103.3</v>
      </c>
    </row>
    <row r="95" spans="1:3" x14ac:dyDescent="0.35">
      <c r="A95" t="s">
        <v>132</v>
      </c>
      <c r="B95" s="2">
        <v>2.2000000000000002</v>
      </c>
      <c r="C95" s="2">
        <v>103.9</v>
      </c>
    </row>
    <row r="96" spans="1:3" x14ac:dyDescent="0.35">
      <c r="A96" t="s">
        <v>133</v>
      </c>
      <c r="B96" s="2">
        <v>2</v>
      </c>
      <c r="C96" s="2">
        <v>103.8</v>
      </c>
    </row>
    <row r="97" spans="1:3" x14ac:dyDescent="0.35">
      <c r="A97" t="s">
        <v>134</v>
      </c>
      <c r="B97" s="2">
        <v>2</v>
      </c>
      <c r="C97" s="2">
        <v>105</v>
      </c>
    </row>
    <row r="98" spans="1:3" x14ac:dyDescent="0.35">
      <c r="A98" t="s">
        <v>135</v>
      </c>
      <c r="B98" s="2">
        <v>2.2000000000000002</v>
      </c>
      <c r="C98" s="2">
        <v>105.1</v>
      </c>
    </row>
    <row r="99" spans="1:3" x14ac:dyDescent="0.35">
      <c r="A99" t="s">
        <v>136</v>
      </c>
      <c r="B99" s="2">
        <v>2.2999999999999998</v>
      </c>
      <c r="C99" s="2">
        <v>105.5</v>
      </c>
    </row>
    <row r="100" spans="1:3" x14ac:dyDescent="0.35">
      <c r="A100" t="s">
        <v>137</v>
      </c>
      <c r="B100" s="2">
        <v>2.2999999999999998</v>
      </c>
      <c r="C100" s="2">
        <v>106</v>
      </c>
    </row>
    <row r="101" spans="1:3" x14ac:dyDescent="0.35">
      <c r="A101" t="s">
        <v>138</v>
      </c>
      <c r="B101" s="2">
        <v>2.2999999999999998</v>
      </c>
      <c r="C101" s="2">
        <v>106.5</v>
      </c>
    </row>
    <row r="102" spans="1:3" x14ac:dyDescent="0.35">
      <c r="A102" t="s">
        <v>139</v>
      </c>
      <c r="B102" s="2">
        <v>2.4</v>
      </c>
      <c r="C102" s="2">
        <v>106.1</v>
      </c>
    </row>
    <row r="103" spans="1:3" x14ac:dyDescent="0.35">
      <c r="A103" t="s">
        <v>140</v>
      </c>
      <c r="B103" s="2">
        <v>2.4</v>
      </c>
      <c r="C103" s="2">
        <v>105.9</v>
      </c>
    </row>
    <row r="104" spans="1:3" x14ac:dyDescent="0.35">
      <c r="A104" t="s">
        <v>141</v>
      </c>
      <c r="B104" s="2">
        <v>2.4</v>
      </c>
      <c r="C104" s="2">
        <v>105.9</v>
      </c>
    </row>
    <row r="105" spans="1:3" x14ac:dyDescent="0.35">
      <c r="A105" t="s">
        <v>142</v>
      </c>
      <c r="B105" s="2">
        <v>2.6</v>
      </c>
      <c r="C105" s="2">
        <v>106.6</v>
      </c>
    </row>
    <row r="106" spans="1:3" x14ac:dyDescent="0.35">
      <c r="A106" t="s">
        <v>143</v>
      </c>
      <c r="B106" s="2">
        <v>2.7</v>
      </c>
      <c r="C106" s="2">
        <v>106.1</v>
      </c>
    </row>
    <row r="107" spans="1:3" x14ac:dyDescent="0.35">
      <c r="A107" t="s">
        <v>144</v>
      </c>
      <c r="B107" s="2">
        <v>2.9</v>
      </c>
      <c r="C107" s="2">
        <v>106.4</v>
      </c>
    </row>
    <row r="108" spans="1:3" x14ac:dyDescent="0.35">
      <c r="A108" t="s">
        <v>145</v>
      </c>
      <c r="B108" s="2">
        <v>3</v>
      </c>
      <c r="C108" s="2">
        <v>106.5</v>
      </c>
    </row>
    <row r="109" spans="1:3" x14ac:dyDescent="0.35">
      <c r="A109" t="s">
        <v>146</v>
      </c>
      <c r="B109" s="2">
        <v>3</v>
      </c>
      <c r="C109" s="2">
        <v>107.2</v>
      </c>
    </row>
    <row r="110" spans="1:3" x14ac:dyDescent="0.35">
      <c r="A110" t="s">
        <v>147</v>
      </c>
      <c r="B110" s="2">
        <v>2.9</v>
      </c>
      <c r="C110" s="2">
        <v>107.6</v>
      </c>
    </row>
    <row r="111" spans="1:3" x14ac:dyDescent="0.35">
      <c r="A111" t="s">
        <v>148</v>
      </c>
      <c r="B111" s="2">
        <v>2.8</v>
      </c>
      <c r="C111" s="2">
        <v>107.9</v>
      </c>
    </row>
    <row r="112" spans="1:3" x14ac:dyDescent="0.35">
      <c r="A112" t="s">
        <v>149</v>
      </c>
      <c r="B112" s="2">
        <v>3</v>
      </c>
      <c r="C112" s="2">
        <v>108.5</v>
      </c>
    </row>
    <row r="113" spans="1:3" x14ac:dyDescent="0.35">
      <c r="A113" t="s">
        <v>150</v>
      </c>
      <c r="B113" s="2">
        <v>3.2</v>
      </c>
      <c r="C113" s="2">
        <v>109.2</v>
      </c>
    </row>
    <row r="114" spans="1:3" x14ac:dyDescent="0.35">
      <c r="A114" t="s">
        <v>151</v>
      </c>
      <c r="B114" s="2">
        <v>3.3</v>
      </c>
      <c r="C114" s="2">
        <v>108.6</v>
      </c>
    </row>
    <row r="115" spans="1:3" x14ac:dyDescent="0.35">
      <c r="A115" t="s">
        <v>152</v>
      </c>
      <c r="B115" s="2">
        <v>3.4</v>
      </c>
      <c r="C115" s="2">
        <v>108.5</v>
      </c>
    </row>
    <row r="116" spans="1:3" x14ac:dyDescent="0.35">
      <c r="A116" t="s">
        <v>153</v>
      </c>
      <c r="B116" s="2">
        <v>3.4</v>
      </c>
      <c r="C116" s="2">
        <v>108.5</v>
      </c>
    </row>
    <row r="117" spans="1:3" x14ac:dyDescent="0.35">
      <c r="A117" t="s">
        <v>154</v>
      </c>
      <c r="B117" s="2">
        <v>3.5</v>
      </c>
      <c r="C117" s="2">
        <v>109.2</v>
      </c>
    </row>
    <row r="118" spans="1:3" x14ac:dyDescent="0.35">
      <c r="A118" t="s">
        <v>155</v>
      </c>
      <c r="B118" s="2">
        <v>3.6</v>
      </c>
      <c r="C118" s="2">
        <v>108.8</v>
      </c>
    </row>
    <row r="119" spans="1:3" x14ac:dyDescent="0.35">
      <c r="A119" t="s">
        <v>156</v>
      </c>
      <c r="B119" s="2">
        <v>3.6</v>
      </c>
      <c r="C119" s="2">
        <v>109</v>
      </c>
    </row>
    <row r="120" spans="1:3" x14ac:dyDescent="0.35">
      <c r="A120" t="s">
        <v>157</v>
      </c>
      <c r="B120" s="2">
        <v>3.6</v>
      </c>
      <c r="C120" s="2">
        <v>109.1</v>
      </c>
    </row>
    <row r="121" spans="1:3" x14ac:dyDescent="0.35">
      <c r="A121" t="s">
        <v>158</v>
      </c>
      <c r="B121" s="2">
        <v>3.6</v>
      </c>
      <c r="C121" s="2">
        <v>110.3</v>
      </c>
    </row>
    <row r="122" spans="1:3" x14ac:dyDescent="0.35">
      <c r="A122" t="s">
        <v>159</v>
      </c>
      <c r="B122" s="2">
        <v>3.7</v>
      </c>
      <c r="C122" s="2">
        <v>110.3</v>
      </c>
    </row>
    <row r="123" spans="1:3" x14ac:dyDescent="0.35">
      <c r="A123" t="s">
        <v>160</v>
      </c>
      <c r="B123" s="2">
        <v>3.9</v>
      </c>
      <c r="C123" s="2">
        <v>110.6</v>
      </c>
    </row>
    <row r="124" spans="1:3" x14ac:dyDescent="0.35">
      <c r="A124" t="s">
        <v>161</v>
      </c>
      <c r="B124" s="2">
        <v>3.9</v>
      </c>
      <c r="C124" s="2">
        <v>111.2</v>
      </c>
    </row>
    <row r="125" spans="1:3" x14ac:dyDescent="0.35">
      <c r="A125" t="s">
        <v>162</v>
      </c>
      <c r="B125" s="2">
        <v>3.9</v>
      </c>
      <c r="C125" s="2">
        <v>111.7</v>
      </c>
    </row>
    <row r="126" spans="1:3" x14ac:dyDescent="0.35">
      <c r="A126" t="s">
        <v>163</v>
      </c>
      <c r="B126" s="2">
        <v>3.7</v>
      </c>
      <c r="C126" s="2">
        <v>111.3</v>
      </c>
    </row>
    <row r="127" spans="1:3" x14ac:dyDescent="0.35">
      <c r="A127" t="s">
        <v>164</v>
      </c>
      <c r="B127" s="2">
        <v>3.5</v>
      </c>
      <c r="C127" s="2">
        <v>111.3</v>
      </c>
    </row>
    <row r="128" spans="1:3" x14ac:dyDescent="0.35">
      <c r="A128" t="s">
        <v>165</v>
      </c>
      <c r="B128" s="2">
        <v>3.3</v>
      </c>
      <c r="C128" s="2">
        <v>111.2</v>
      </c>
    </row>
    <row r="129" spans="1:3" x14ac:dyDescent="0.35">
      <c r="A129" t="s">
        <v>166</v>
      </c>
      <c r="B129" s="2">
        <v>3.2</v>
      </c>
      <c r="C129" s="2">
        <v>111.5</v>
      </c>
    </row>
    <row r="130" spans="1:3" x14ac:dyDescent="0.35">
      <c r="A130" t="s">
        <v>167</v>
      </c>
      <c r="B130" s="2">
        <v>3</v>
      </c>
      <c r="C130" s="2">
        <v>111.3</v>
      </c>
    </row>
    <row r="131" spans="1:3" x14ac:dyDescent="0.35">
      <c r="A131" t="s">
        <v>168</v>
      </c>
      <c r="B131" s="2">
        <v>2.9</v>
      </c>
      <c r="C131" s="2">
        <v>111.7</v>
      </c>
    </row>
    <row r="132" spans="1:3" x14ac:dyDescent="0.35">
      <c r="A132" t="s">
        <v>169</v>
      </c>
      <c r="B132" s="2">
        <v>2.5</v>
      </c>
      <c r="C132" s="2">
        <v>111.9</v>
      </c>
    </row>
    <row r="133" spans="1:3" x14ac:dyDescent="0.35">
      <c r="A133" t="s">
        <v>170</v>
      </c>
      <c r="B133" s="2">
        <v>1.3</v>
      </c>
      <c r="C133" s="2">
        <v>112.5</v>
      </c>
    </row>
    <row r="134" spans="1:3" x14ac:dyDescent="0.35">
      <c r="A134" t="s">
        <v>171</v>
      </c>
      <c r="B134" s="2">
        <v>-0.1</v>
      </c>
      <c r="C134" s="2">
        <v>112.5</v>
      </c>
    </row>
    <row r="135" spans="1:3" x14ac:dyDescent="0.35">
      <c r="A135" t="s">
        <v>172</v>
      </c>
      <c r="B135" s="2">
        <v>-1.2</v>
      </c>
      <c r="C135" s="2">
        <v>112.6</v>
      </c>
    </row>
    <row r="136" spans="1:3" x14ac:dyDescent="0.35">
      <c r="A136" t="s">
        <v>173</v>
      </c>
      <c r="B136" s="2">
        <v>-0.8</v>
      </c>
      <c r="C136" s="2">
        <v>113.5</v>
      </c>
    </row>
    <row r="137" spans="1:3" x14ac:dyDescent="0.35">
      <c r="A137" t="s">
        <v>174</v>
      </c>
      <c r="B137" s="2">
        <v>0.1</v>
      </c>
      <c r="C137" s="2">
        <v>112.4</v>
      </c>
    </row>
    <row r="138" spans="1:3" x14ac:dyDescent="0.35">
      <c r="A138" t="s">
        <v>175</v>
      </c>
      <c r="B138" s="2">
        <v>1.4</v>
      </c>
      <c r="C138" s="2">
        <v>112.9</v>
      </c>
    </row>
    <row r="139" spans="1:3" x14ac:dyDescent="0.35">
      <c r="A139" t="s">
        <v>176</v>
      </c>
      <c r="B139" s="2">
        <v>2.4</v>
      </c>
      <c r="C139" s="2">
        <v>112.8</v>
      </c>
    </row>
    <row r="140" spans="1:3" x14ac:dyDescent="0.35">
      <c r="A140" t="s">
        <v>177</v>
      </c>
      <c r="B140" s="2">
        <v>3.3</v>
      </c>
      <c r="C140" s="2">
        <v>112.8</v>
      </c>
    </row>
    <row r="141" spans="1:3" x14ac:dyDescent="0.35">
      <c r="A141" t="s">
        <v>178</v>
      </c>
      <c r="B141" s="2">
        <v>3.9</v>
      </c>
      <c r="C141" s="2">
        <v>113.1</v>
      </c>
    </row>
    <row r="142" spans="1:3" x14ac:dyDescent="0.35">
      <c r="A142" t="s">
        <v>179</v>
      </c>
      <c r="B142" s="2">
        <v>4.0999999999999996</v>
      </c>
      <c r="C142" s="2">
        <v>113.2</v>
      </c>
    </row>
    <row r="143" spans="1:3" x14ac:dyDescent="0.35">
      <c r="A143" t="s">
        <v>180</v>
      </c>
      <c r="B143" s="2">
        <v>4.0999999999999996</v>
      </c>
      <c r="C143" s="2">
        <v>113.4</v>
      </c>
    </row>
    <row r="144" spans="1:3" x14ac:dyDescent="0.35">
      <c r="A144" t="s">
        <v>181</v>
      </c>
      <c r="B144" s="2">
        <v>4.3</v>
      </c>
      <c r="C144" s="2">
        <v>113.6</v>
      </c>
    </row>
    <row r="145" spans="1:3" x14ac:dyDescent="0.35">
      <c r="A145" t="s">
        <v>182</v>
      </c>
      <c r="B145" s="2">
        <v>5.7</v>
      </c>
      <c r="C145" s="2">
        <v>114.3</v>
      </c>
    </row>
    <row r="146" spans="1:3" x14ac:dyDescent="0.35">
      <c r="A146" t="s">
        <v>183</v>
      </c>
      <c r="B146" s="2">
        <v>7.2</v>
      </c>
      <c r="C146" s="2">
        <v>114.6</v>
      </c>
    </row>
    <row r="147" spans="1:3" x14ac:dyDescent="0.35">
      <c r="A147" t="s">
        <v>184</v>
      </c>
      <c r="B147" s="2">
        <v>8.4</v>
      </c>
      <c r="C147" s="2">
        <v>115</v>
      </c>
    </row>
    <row r="148" spans="1:3" x14ac:dyDescent="0.35">
      <c r="A148" t="s">
        <v>185</v>
      </c>
      <c r="B148" s="2">
        <v>7.8</v>
      </c>
      <c r="C148" s="2">
        <v>115.3</v>
      </c>
    </row>
    <row r="149" spans="1:3" x14ac:dyDescent="0.35">
      <c r="A149" t="s">
        <v>186</v>
      </c>
      <c r="B149" s="2">
        <v>6.8</v>
      </c>
      <c r="C149" s="2">
        <v>115.8</v>
      </c>
    </row>
    <row r="150" spans="1:3" x14ac:dyDescent="0.35">
      <c r="A150" t="s">
        <v>187</v>
      </c>
      <c r="B150" s="2">
        <v>5.6</v>
      </c>
      <c r="C150" s="2">
        <v>115.8</v>
      </c>
    </row>
    <row r="151" spans="1:3" x14ac:dyDescent="0.35">
      <c r="A151" t="s">
        <v>188</v>
      </c>
      <c r="B151" s="2">
        <v>4.8</v>
      </c>
      <c r="C151" s="2">
        <v>116.5</v>
      </c>
    </row>
    <row r="152" spans="1:3" x14ac:dyDescent="0.35">
      <c r="A152" t="s">
        <v>189</v>
      </c>
      <c r="B152" s="2">
        <v>4.3</v>
      </c>
      <c r="C152" s="2">
        <v>116.6</v>
      </c>
    </row>
    <row r="153" spans="1:3" x14ac:dyDescent="0.35">
      <c r="A153" t="s">
        <v>190</v>
      </c>
      <c r="B153" s="2">
        <v>4.2</v>
      </c>
      <c r="C153" s="2">
        <v>117</v>
      </c>
    </row>
    <row r="154" spans="1:3" x14ac:dyDescent="0.35">
      <c r="A154" t="s">
        <v>191</v>
      </c>
      <c r="B154" s="2">
        <v>4.5</v>
      </c>
      <c r="C154" s="2">
        <v>116.9</v>
      </c>
    </row>
    <row r="155" spans="1:3" x14ac:dyDescent="0.35">
      <c r="A155" t="s">
        <v>192</v>
      </c>
      <c r="B155" s="2">
        <v>4.9000000000000004</v>
      </c>
      <c r="C155" s="2">
        <v>117.3</v>
      </c>
    </row>
    <row r="156" spans="1:3" x14ac:dyDescent="0.35">
      <c r="A156" t="s">
        <v>193</v>
      </c>
      <c r="B156" s="2">
        <v>5.3</v>
      </c>
      <c r="C156" s="2">
        <v>118.1</v>
      </c>
    </row>
    <row r="157" spans="1:3" x14ac:dyDescent="0.35">
      <c r="A157" t="s">
        <v>194</v>
      </c>
      <c r="B157" s="2">
        <v>5.2</v>
      </c>
      <c r="C157" s="2">
        <v>119.7</v>
      </c>
    </row>
    <row r="158" spans="1:3" x14ac:dyDescent="0.35">
      <c r="A158" t="s">
        <v>195</v>
      </c>
      <c r="B158" s="2">
        <v>5.4</v>
      </c>
      <c r="C158" s="2">
        <v>120.2</v>
      </c>
    </row>
    <row r="159" spans="1:3" x14ac:dyDescent="0.35">
      <c r="A159" t="s">
        <v>196</v>
      </c>
      <c r="B159" s="2">
        <v>5.7</v>
      </c>
      <c r="C159" s="2">
        <v>121</v>
      </c>
    </row>
    <row r="160" spans="1:3" x14ac:dyDescent="0.35">
      <c r="A160" t="s">
        <v>197</v>
      </c>
      <c r="B160" s="2">
        <v>6.1</v>
      </c>
      <c r="C160" s="2">
        <v>121.9</v>
      </c>
    </row>
    <row r="161" spans="1:3" x14ac:dyDescent="0.35">
      <c r="A161" t="s">
        <v>198</v>
      </c>
      <c r="B161" s="2">
        <v>6.4</v>
      </c>
      <c r="C161" s="2">
        <v>122.7</v>
      </c>
    </row>
    <row r="162" spans="1:3" x14ac:dyDescent="0.35">
      <c r="A162" t="s">
        <v>199</v>
      </c>
      <c r="B162" s="2">
        <v>6.7</v>
      </c>
      <c r="C162" s="2">
        <v>122.9</v>
      </c>
    </row>
    <row r="163" spans="1:3" x14ac:dyDescent="0.35">
      <c r="A163" t="s">
        <v>200</v>
      </c>
      <c r="B163" s="2">
        <v>7</v>
      </c>
      <c r="C163" s="2">
        <v>123.8</v>
      </c>
    </row>
    <row r="164" spans="1:3" x14ac:dyDescent="0.35">
      <c r="A164" t="s">
        <v>201</v>
      </c>
      <c r="B164" s="2">
        <v>7.3</v>
      </c>
      <c r="C164" s="2">
        <v>124</v>
      </c>
    </row>
    <row r="165" spans="1:3" x14ac:dyDescent="0.35">
      <c r="A165" t="s">
        <v>202</v>
      </c>
      <c r="B165" s="2">
        <v>7.3</v>
      </c>
      <c r="C165" s="2">
        <v>125</v>
      </c>
    </row>
    <row r="166" spans="1:3" x14ac:dyDescent="0.35">
      <c r="A166" t="s">
        <v>203</v>
      </c>
      <c r="B166" s="2">
        <v>7.1</v>
      </c>
      <c r="C166" s="2">
        <v>123.8</v>
      </c>
    </row>
    <row r="167" spans="1:3" x14ac:dyDescent="0.35">
      <c r="A167" t="s">
        <v>204</v>
      </c>
      <c r="B167" s="2">
        <v>7.1</v>
      </c>
      <c r="C167" s="2">
        <v>125.1</v>
      </c>
    </row>
    <row r="168" spans="1:3" x14ac:dyDescent="0.35">
      <c r="A168" t="s">
        <v>205</v>
      </c>
      <c r="B168" s="2">
        <v>7.2</v>
      </c>
      <c r="C168" s="2">
        <v>126</v>
      </c>
    </row>
    <row r="169" spans="1:3" x14ac:dyDescent="0.35">
      <c r="A169" t="s">
        <v>206</v>
      </c>
      <c r="B169" s="2">
        <v>7.7</v>
      </c>
      <c r="C169" s="2">
        <v>128</v>
      </c>
    </row>
    <row r="170" spans="1:3" x14ac:dyDescent="0.35">
      <c r="A170" t="s">
        <v>207</v>
      </c>
      <c r="B170" s="2">
        <v>7.9</v>
      </c>
      <c r="C170" s="2">
        <v>129</v>
      </c>
    </row>
    <row r="171" spans="1:3" x14ac:dyDescent="0.35">
      <c r="A171" t="s">
        <v>208</v>
      </c>
      <c r="B171" s="2">
        <v>8.1999999999999993</v>
      </c>
      <c r="C171" s="2">
        <v>129.69999999999999</v>
      </c>
    </row>
    <row r="172" spans="1:3" x14ac:dyDescent="0.35">
      <c r="A172" t="s">
        <v>209</v>
      </c>
      <c r="B172" s="2">
        <v>8.1</v>
      </c>
      <c r="C172" s="2">
        <v>131</v>
      </c>
    </row>
    <row r="173" spans="1:3" x14ac:dyDescent="0.35">
      <c r="A173" t="s">
        <v>210</v>
      </c>
      <c r="B173" s="2">
        <v>8.1</v>
      </c>
      <c r="C173" s="2">
        <v>131</v>
      </c>
    </row>
    <row r="174" spans="1:3" x14ac:dyDescent="0.35">
      <c r="A174" t="s">
        <v>211</v>
      </c>
      <c r="B174" s="2">
        <v>7.8</v>
      </c>
      <c r="C174" s="2">
        <v>131.4</v>
      </c>
    </row>
    <row r="175" spans="1:3" x14ac:dyDescent="0.35">
      <c r="A175" t="s">
        <v>212</v>
      </c>
      <c r="B175" s="2">
        <v>7.2</v>
      </c>
      <c r="C175" s="2">
        <v>131.9</v>
      </c>
    </row>
    <row r="176" spans="1:3" x14ac:dyDescent="0.35">
      <c r="A176" t="s">
        <v>213</v>
      </c>
      <c r="B176" s="2">
        <v>6.6</v>
      </c>
      <c r="C176" s="2">
        <v>131.69999999999999</v>
      </c>
    </row>
    <row r="177" spans="1:3" x14ac:dyDescent="0.35">
      <c r="A177" t="s">
        <v>214</v>
      </c>
      <c r="B177" s="2">
        <v>6.2</v>
      </c>
      <c r="C177" s="2">
        <v>133</v>
      </c>
    </row>
    <row r="178" spans="1:3" x14ac:dyDescent="0.35">
      <c r="A178" t="s">
        <v>215</v>
      </c>
      <c r="B178" s="2">
        <v>6.1</v>
      </c>
      <c r="C178" s="2">
        <v>131.9</v>
      </c>
    </row>
    <row r="179" spans="1:3" x14ac:dyDescent="0.35">
      <c r="A179" t="s">
        <v>216</v>
      </c>
      <c r="B179" s="2">
        <v>5.9</v>
      </c>
      <c r="C179" s="2">
        <v>132.69999999999999</v>
      </c>
    </row>
    <row r="180" spans="1:3" x14ac:dyDescent="0.35">
      <c r="A180" t="s">
        <v>217</v>
      </c>
      <c r="B180" s="2">
        <v>5.8</v>
      </c>
      <c r="C180" s="2">
        <v>133.5</v>
      </c>
    </row>
    <row r="181" spans="1:3" x14ac:dyDescent="0.35">
      <c r="A181" t="s">
        <v>218</v>
      </c>
      <c r="B181" s="2">
        <v>5.7</v>
      </c>
      <c r="C181" s="2">
        <v>135.5</v>
      </c>
    </row>
    <row r="182" spans="1:3" x14ac:dyDescent="0.35">
      <c r="A182" t="s">
        <v>219</v>
      </c>
      <c r="B182" s="2">
        <v>5.6</v>
      </c>
      <c r="C182" s="2">
        <v>136.4</v>
      </c>
    </row>
    <row r="183" spans="1:3" x14ac:dyDescent="0.35">
      <c r="A183" t="s">
        <v>220</v>
      </c>
      <c r="B183" s="2">
        <v>5.4</v>
      </c>
      <c r="C183" s="2">
        <v>137.1</v>
      </c>
    </row>
    <row r="184" spans="1:3" x14ac:dyDescent="0.35">
      <c r="A184" t="s">
        <v>221</v>
      </c>
      <c r="B184" s="2">
        <v>5.2</v>
      </c>
      <c r="C184" s="2">
        <v>137.80000000000001</v>
      </c>
    </row>
    <row r="185" spans="1:3" x14ac:dyDescent="0.35">
      <c r="A185" t="s">
        <v>222</v>
      </c>
      <c r="B185" s="2">
        <v>5.0999999999999996</v>
      </c>
      <c r="C185" s="2">
        <v>138.30000000000001</v>
      </c>
    </row>
    <row r="186" spans="1:3" x14ac:dyDescent="0.35">
      <c r="A186" t="s">
        <v>223</v>
      </c>
      <c r="B186" s="2">
        <v>5.0999999999999996</v>
      </c>
      <c r="C186" s="2">
        <v>137.9</v>
      </c>
    </row>
    <row r="187" spans="1:3" x14ac:dyDescent="0.35">
      <c r="A187" t="s">
        <v>224</v>
      </c>
      <c r="B187" s="2">
        <v>5.6</v>
      </c>
      <c r="C187" s="2">
        <v>138.5</v>
      </c>
    </row>
    <row r="188" spans="1:3" x14ac:dyDescent="0.35">
      <c r="A188" t="s">
        <v>225</v>
      </c>
      <c r="B188" s="2">
        <v>5.9</v>
      </c>
      <c r="C188" s="2">
        <v>138.30000000000001</v>
      </c>
    </row>
    <row r="189" spans="1:3" x14ac:dyDescent="0.35">
      <c r="A189" t="s">
        <v>226</v>
      </c>
      <c r="B189" s="2">
        <v>6.2</v>
      </c>
      <c r="C189" s="2">
        <v>138.80000000000001</v>
      </c>
    </row>
    <row r="190" spans="1:3" x14ac:dyDescent="0.35">
      <c r="A190" t="s">
        <v>227</v>
      </c>
      <c r="B190" s="2">
        <v>5.9</v>
      </c>
      <c r="C190" s="2">
        <v>138.5</v>
      </c>
    </row>
    <row r="191" spans="1:3" x14ac:dyDescent="0.35">
      <c r="A191" t="s">
        <v>228</v>
      </c>
      <c r="B191" s="2">
        <v>5.9</v>
      </c>
      <c r="C191" s="2">
        <v>139.30000000000001</v>
      </c>
    </row>
    <row r="192" spans="1:3" x14ac:dyDescent="0.35">
      <c r="A192" t="s">
        <v>229</v>
      </c>
      <c r="B192" s="2">
        <v>5.6</v>
      </c>
      <c r="C192" s="2">
        <v>139.80000000000001</v>
      </c>
    </row>
    <row r="193" spans="1:3" x14ac:dyDescent="0.35">
      <c r="A193" t="s">
        <v>238</v>
      </c>
      <c r="C193" s="2">
        <v>142.9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EC52-DDB1-484E-BF82-AEC84ECE4B35}">
  <dimension ref="C1:Y46"/>
  <sheetViews>
    <sheetView workbookViewId="0">
      <pane xSplit="4" ySplit="10" topLeftCell="E11" activePane="bottomRight" state="frozen"/>
      <selection pane="topRight" activeCell="E1" sqref="E1"/>
      <selection pane="bottomLeft" activeCell="A16" sqref="A16"/>
      <selection pane="bottomRight" activeCell="D11" sqref="D11:D44"/>
    </sheetView>
  </sheetViews>
  <sheetFormatPr defaultColWidth="8.7265625" defaultRowHeight="14.5" x14ac:dyDescent="0.35"/>
  <cols>
    <col min="1" max="3" width="8.7265625" style="20"/>
    <col min="4" max="4" width="9.7265625" style="20" customWidth="1"/>
    <col min="5" max="5" width="37.453125" style="20" customWidth="1"/>
    <col min="6" max="6" width="44.7265625" style="20" customWidth="1"/>
    <col min="7" max="16384" width="8.7265625" style="20"/>
  </cols>
  <sheetData>
    <row r="1" spans="3:25" ht="7" customHeight="1" x14ac:dyDescent="0.35">
      <c r="C1" s="19"/>
      <c r="D1" s="36"/>
      <c r="E1" s="36"/>
      <c r="F1" s="36"/>
      <c r="G1" s="19"/>
    </row>
    <row r="2" spans="3:25" ht="7" customHeight="1" x14ac:dyDescent="0.35">
      <c r="C2" s="19"/>
      <c r="D2" s="36"/>
      <c r="E2" s="36"/>
      <c r="F2" s="36"/>
      <c r="G2" s="19"/>
    </row>
    <row r="3" spans="3:25" ht="7" customHeight="1" x14ac:dyDescent="0.35">
      <c r="C3" s="19"/>
      <c r="D3" s="36"/>
      <c r="E3" s="36"/>
      <c r="F3" s="36"/>
      <c r="G3" s="19"/>
    </row>
    <row r="4" spans="3:25" x14ac:dyDescent="0.35">
      <c r="C4" s="19"/>
      <c r="D4" s="37" t="s">
        <v>239</v>
      </c>
      <c r="E4" s="37"/>
      <c r="F4" s="37"/>
      <c r="G4" s="19"/>
    </row>
    <row r="5" spans="3:25" x14ac:dyDescent="0.35">
      <c r="C5" s="19"/>
      <c r="D5" s="19"/>
      <c r="E5" s="19"/>
      <c r="F5" s="19"/>
      <c r="G5" s="19"/>
    </row>
    <row r="6" spans="3:25" ht="11" customHeight="1" x14ac:dyDescent="0.35">
      <c r="C6" s="19"/>
      <c r="D6" s="19"/>
      <c r="E6" s="38" t="s">
        <v>240</v>
      </c>
      <c r="F6" s="39" t="s">
        <v>241</v>
      </c>
      <c r="G6" s="21"/>
    </row>
    <row r="7" spans="3:25" ht="11" customHeight="1" x14ac:dyDescent="0.35">
      <c r="C7" s="19"/>
      <c r="D7" s="19"/>
      <c r="E7" s="38"/>
      <c r="F7" s="39"/>
      <c r="G7" s="21"/>
    </row>
    <row r="8" spans="3:25" ht="11" customHeight="1" x14ac:dyDescent="0.35">
      <c r="C8" s="19"/>
      <c r="D8" s="19"/>
      <c r="E8" s="38"/>
      <c r="F8" s="39"/>
      <c r="G8" s="21"/>
    </row>
    <row r="9" spans="3:25" ht="11" customHeight="1" x14ac:dyDescent="0.35">
      <c r="C9" s="19"/>
      <c r="D9" s="19"/>
      <c r="E9" s="38"/>
      <c r="F9" s="39"/>
      <c r="G9" s="21"/>
    </row>
    <row r="10" spans="3:25" x14ac:dyDescent="0.35">
      <c r="C10" s="19"/>
      <c r="D10" s="22" t="s">
        <v>242</v>
      </c>
      <c r="E10" s="23"/>
      <c r="F10" s="24"/>
      <c r="G10" s="19"/>
    </row>
    <row r="11" spans="3:25" ht="14.65" customHeight="1" x14ac:dyDescent="0.35">
      <c r="C11" s="19"/>
      <c r="D11" s="22" t="s">
        <v>243</v>
      </c>
      <c r="E11" s="25">
        <v>604.71900000000005</v>
      </c>
      <c r="F11" s="26">
        <v>604.71900000000005</v>
      </c>
      <c r="G11" s="27"/>
      <c r="M11" s="28"/>
      <c r="N11" s="28"/>
      <c r="O11" s="28"/>
      <c r="P11" s="28"/>
      <c r="Q11" s="28"/>
      <c r="V11" s="28"/>
      <c r="W11" s="28"/>
      <c r="X11" s="28"/>
      <c r="Y11" s="28"/>
    </row>
    <row r="12" spans="3:25" ht="14.65" customHeight="1" x14ac:dyDescent="0.35">
      <c r="C12" s="19"/>
      <c r="D12" s="22" t="s">
        <v>244</v>
      </c>
      <c r="E12" s="25">
        <v>481.76900000000001</v>
      </c>
      <c r="F12" s="26">
        <v>481.76900000000001</v>
      </c>
      <c r="G12" s="27"/>
      <c r="M12" s="28"/>
      <c r="N12" s="28"/>
      <c r="O12" s="28"/>
      <c r="P12" s="28"/>
      <c r="Q12" s="28"/>
      <c r="V12" s="28"/>
      <c r="W12" s="28"/>
      <c r="X12" s="28"/>
      <c r="Y12" s="28"/>
    </row>
    <row r="13" spans="3:25" ht="14.65" customHeight="1" x14ac:dyDescent="0.35">
      <c r="C13" s="19"/>
      <c r="D13" s="22" t="s">
        <v>245</v>
      </c>
      <c r="E13" s="25">
        <v>562.64800000000002</v>
      </c>
      <c r="F13" s="26">
        <v>562.64800000000002</v>
      </c>
      <c r="G13" s="27"/>
      <c r="M13" s="28"/>
      <c r="N13" s="28"/>
      <c r="O13" s="28"/>
      <c r="P13" s="28"/>
      <c r="Q13" s="28"/>
      <c r="V13" s="28"/>
      <c r="W13" s="28"/>
      <c r="X13" s="28"/>
      <c r="Y13" s="28"/>
    </row>
    <row r="14" spans="3:25" ht="14.65" customHeight="1" x14ac:dyDescent="0.35">
      <c r="C14" s="19"/>
      <c r="D14" s="22" t="s">
        <v>246</v>
      </c>
      <c r="E14" s="25">
        <v>570.33799999999997</v>
      </c>
      <c r="F14" s="26">
        <v>570.33799999999997</v>
      </c>
      <c r="G14" s="27"/>
      <c r="M14" s="28"/>
      <c r="N14" s="28"/>
      <c r="O14" s="28"/>
      <c r="P14" s="28"/>
      <c r="Q14" s="28"/>
      <c r="V14" s="28"/>
      <c r="W14" s="28"/>
      <c r="X14" s="28"/>
      <c r="Y14" s="28"/>
    </row>
    <row r="15" spans="3:25" ht="14.65" customHeight="1" x14ac:dyDescent="0.35">
      <c r="C15" s="19"/>
      <c r="D15" s="22" t="s">
        <v>247</v>
      </c>
      <c r="E15" s="25">
        <v>564.41099999999994</v>
      </c>
      <c r="F15" s="26">
        <v>564.41099999999994</v>
      </c>
      <c r="G15" s="27"/>
      <c r="M15" s="28"/>
      <c r="N15" s="28"/>
      <c r="O15" s="28"/>
      <c r="P15" s="28"/>
      <c r="Q15" s="28"/>
      <c r="V15" s="28"/>
      <c r="W15" s="28"/>
      <c r="X15" s="28"/>
      <c r="Y15" s="28"/>
    </row>
    <row r="16" spans="3:25" ht="14.65" customHeight="1" x14ac:dyDescent="0.35">
      <c r="C16" s="19"/>
      <c r="D16" s="22" t="s">
        <v>248</v>
      </c>
      <c r="E16" s="25">
        <v>605.35299999999995</v>
      </c>
      <c r="F16" s="26">
        <v>605.35299999999995</v>
      </c>
      <c r="G16" s="27"/>
      <c r="M16" s="28"/>
      <c r="N16" s="28"/>
      <c r="O16" s="28"/>
      <c r="P16" s="28"/>
      <c r="Q16" s="28"/>
      <c r="V16" s="28"/>
      <c r="W16" s="28"/>
      <c r="X16" s="28"/>
      <c r="Y16" s="28"/>
    </row>
    <row r="17" spans="3:25" ht="14.65" customHeight="1" x14ac:dyDescent="0.35">
      <c r="C17" s="19"/>
      <c r="D17" s="22" t="s">
        <v>249</v>
      </c>
      <c r="E17" s="25">
        <v>615.45899999999995</v>
      </c>
      <c r="F17" s="26">
        <v>615.45899999999995</v>
      </c>
      <c r="G17" s="27"/>
      <c r="M17" s="28"/>
      <c r="N17" s="28"/>
      <c r="O17" s="28"/>
      <c r="P17" s="28"/>
      <c r="Q17" s="28"/>
      <c r="V17" s="28"/>
      <c r="W17" s="28"/>
      <c r="X17" s="28"/>
      <c r="Y17" s="28"/>
    </row>
    <row r="18" spans="3:25" ht="14.65" customHeight="1" x14ac:dyDescent="0.35">
      <c r="C18" s="19"/>
      <c r="D18" s="22" t="s">
        <v>250</v>
      </c>
      <c r="E18" s="25">
        <v>624.59199999999998</v>
      </c>
      <c r="F18" s="26">
        <v>624.59199999999998</v>
      </c>
      <c r="G18" s="27"/>
      <c r="M18" s="28"/>
      <c r="N18" s="28"/>
      <c r="O18" s="28"/>
      <c r="P18" s="28"/>
      <c r="Q18" s="28"/>
      <c r="V18" s="28"/>
      <c r="W18" s="28"/>
      <c r="X18" s="28"/>
      <c r="Y18" s="28"/>
    </row>
    <row r="19" spans="3:25" x14ac:dyDescent="0.35">
      <c r="C19" s="19"/>
      <c r="D19" s="22" t="s">
        <v>251</v>
      </c>
      <c r="E19" s="25">
        <v>629.149</v>
      </c>
      <c r="F19" s="26">
        <v>629.149</v>
      </c>
      <c r="G19" s="27"/>
      <c r="M19" s="28"/>
      <c r="N19" s="28"/>
      <c r="O19" s="28"/>
      <c r="P19" s="28"/>
      <c r="Q19" s="28"/>
      <c r="V19" s="28"/>
      <c r="W19" s="28"/>
      <c r="X19" s="28"/>
      <c r="Y19" s="28"/>
    </row>
    <row r="20" spans="3:25" x14ac:dyDescent="0.35">
      <c r="C20" s="19"/>
      <c r="D20" s="22" t="s">
        <v>252</v>
      </c>
      <c r="E20" s="25">
        <v>631.25800000000004</v>
      </c>
      <c r="F20" s="26">
        <v>631.25800000000004</v>
      </c>
      <c r="G20" s="27"/>
      <c r="M20" s="28"/>
      <c r="N20" s="28"/>
      <c r="O20" s="28"/>
      <c r="P20" s="28"/>
      <c r="Q20" s="28"/>
      <c r="V20" s="28"/>
      <c r="W20" s="28"/>
      <c r="X20" s="28"/>
      <c r="Y20" s="28"/>
    </row>
    <row r="21" spans="3:25" x14ac:dyDescent="0.35">
      <c r="C21" s="19"/>
      <c r="D21" s="22" t="s">
        <v>253</v>
      </c>
      <c r="E21" s="25">
        <v>631.97699999999998</v>
      </c>
      <c r="F21" s="26">
        <v>631.97699999999998</v>
      </c>
      <c r="G21" s="27"/>
      <c r="M21" s="28"/>
      <c r="N21" s="28"/>
      <c r="O21" s="28"/>
      <c r="P21" s="28"/>
      <c r="Q21" s="28"/>
      <c r="V21" s="28"/>
      <c r="W21" s="28"/>
      <c r="X21" s="28"/>
      <c r="Y21" s="28"/>
    </row>
    <row r="22" spans="3:25" x14ac:dyDescent="0.35">
      <c r="C22" s="19"/>
      <c r="D22" s="22" t="s">
        <v>254</v>
      </c>
      <c r="E22" s="25">
        <v>634.04399999999998</v>
      </c>
      <c r="F22" s="26">
        <v>634.04399999999998</v>
      </c>
      <c r="G22" s="27"/>
      <c r="M22" s="28"/>
      <c r="N22" s="28"/>
      <c r="O22" s="28"/>
      <c r="P22" s="28"/>
      <c r="Q22" s="28"/>
      <c r="V22" s="28"/>
      <c r="W22" s="28"/>
      <c r="X22" s="28"/>
      <c r="Y22" s="28"/>
    </row>
    <row r="23" spans="3:25" x14ac:dyDescent="0.35">
      <c r="C23" s="19"/>
      <c r="D23" s="22" t="s">
        <v>255</v>
      </c>
      <c r="E23" s="25">
        <v>634.428</v>
      </c>
      <c r="F23" s="26">
        <v>634.428</v>
      </c>
      <c r="G23" s="27"/>
      <c r="M23" s="28"/>
      <c r="N23" s="28"/>
      <c r="O23" s="28"/>
      <c r="P23" s="28"/>
      <c r="Q23" s="28"/>
      <c r="V23" s="28"/>
      <c r="W23" s="28"/>
      <c r="X23" s="28"/>
      <c r="Y23" s="28"/>
    </row>
    <row r="24" spans="3:25" x14ac:dyDescent="0.35">
      <c r="C24" s="19"/>
      <c r="D24" s="22" t="s">
        <v>256</v>
      </c>
      <c r="E24" s="25">
        <v>634.69399999999996</v>
      </c>
      <c r="F24" s="26">
        <v>634.69399999999996</v>
      </c>
      <c r="G24" s="27"/>
      <c r="M24" s="28"/>
      <c r="N24" s="28"/>
      <c r="O24" s="28"/>
      <c r="P24" s="28"/>
      <c r="Q24" s="28"/>
      <c r="V24" s="28"/>
      <c r="W24" s="28"/>
      <c r="X24" s="28"/>
      <c r="Y24" s="28"/>
    </row>
    <row r="25" spans="3:25" x14ac:dyDescent="0.35">
      <c r="C25" s="19"/>
      <c r="D25" s="22" t="s">
        <v>257</v>
      </c>
      <c r="E25" s="25">
        <v>634.327</v>
      </c>
      <c r="F25" s="26">
        <v>634.327</v>
      </c>
      <c r="G25" s="27"/>
      <c r="M25" s="28"/>
      <c r="N25" s="28"/>
      <c r="O25" s="29"/>
      <c r="P25" s="28"/>
      <c r="Q25" s="28"/>
      <c r="V25" s="28"/>
      <c r="W25" s="28"/>
      <c r="X25" s="28"/>
      <c r="Y25" s="28"/>
    </row>
    <row r="26" spans="3:25" x14ac:dyDescent="0.35">
      <c r="C26" s="19"/>
      <c r="D26" s="22" t="s">
        <v>258</v>
      </c>
      <c r="E26" s="25">
        <v>633.01099999999997</v>
      </c>
      <c r="F26" s="26">
        <v>633.01099999999997</v>
      </c>
      <c r="G26" s="27"/>
      <c r="M26" s="28"/>
      <c r="N26" s="28"/>
      <c r="O26" s="28"/>
      <c r="P26" s="28"/>
      <c r="Q26" s="28"/>
      <c r="V26" s="28"/>
      <c r="W26" s="28"/>
      <c r="X26" s="28"/>
      <c r="Y26" s="28"/>
    </row>
    <row r="27" spans="3:25" x14ac:dyDescent="0.35">
      <c r="C27" s="19"/>
      <c r="D27" s="22" t="s">
        <v>259</v>
      </c>
      <c r="E27" s="25">
        <v>638.74599999999998</v>
      </c>
      <c r="F27" s="26">
        <v>638.74599999999998</v>
      </c>
      <c r="G27" s="27"/>
      <c r="M27" s="28"/>
      <c r="N27" s="28"/>
      <c r="O27" s="28"/>
      <c r="P27" s="28"/>
      <c r="Q27" s="28"/>
      <c r="V27" s="28"/>
      <c r="W27" s="28"/>
      <c r="X27" s="28"/>
      <c r="Y27" s="28"/>
    </row>
    <row r="28" spans="3:25" x14ac:dyDescent="0.35">
      <c r="C28" s="19"/>
      <c r="D28" s="22" t="s">
        <v>260</v>
      </c>
      <c r="E28" s="25">
        <v>641.66999999999996</v>
      </c>
      <c r="F28" s="26">
        <v>641.66999999999996</v>
      </c>
      <c r="G28" s="27"/>
      <c r="M28" s="28"/>
      <c r="N28" s="28"/>
      <c r="O28" s="28"/>
      <c r="P28" s="28"/>
      <c r="Q28" s="28"/>
      <c r="V28" s="28"/>
      <c r="W28" s="28"/>
      <c r="X28" s="28"/>
      <c r="Y28" s="28"/>
    </row>
    <row r="29" spans="3:25" x14ac:dyDescent="0.35">
      <c r="C29" s="19"/>
      <c r="D29" s="22" t="s">
        <v>261</v>
      </c>
      <c r="E29" s="25">
        <v>641.67499999999995</v>
      </c>
      <c r="F29" s="26">
        <v>641.67499999999995</v>
      </c>
      <c r="G29" s="27"/>
      <c r="M29" s="28"/>
      <c r="N29" s="28"/>
      <c r="O29" s="28"/>
      <c r="P29" s="28"/>
      <c r="Q29" s="28"/>
      <c r="V29" s="28"/>
      <c r="W29" s="28"/>
      <c r="X29" s="28"/>
      <c r="Y29" s="28"/>
    </row>
    <row r="30" spans="3:25" x14ac:dyDescent="0.35">
      <c r="C30" s="19"/>
      <c r="D30" s="22" t="s">
        <v>262</v>
      </c>
      <c r="E30" s="25">
        <v>642.28700000000003</v>
      </c>
      <c r="F30" s="26">
        <v>642.28700000000003</v>
      </c>
      <c r="G30" s="27"/>
      <c r="M30" s="28"/>
      <c r="N30" s="28"/>
      <c r="O30" s="28"/>
      <c r="P30" s="28"/>
      <c r="Q30" s="28"/>
      <c r="V30" s="28"/>
      <c r="W30" s="28"/>
      <c r="X30" s="28"/>
      <c r="Y30" s="28"/>
    </row>
    <row r="31" spans="3:25" x14ac:dyDescent="0.35">
      <c r="C31" s="19"/>
      <c r="D31" s="22" t="s">
        <v>263</v>
      </c>
      <c r="E31" s="25">
        <v>646.14072200000498</v>
      </c>
      <c r="F31" s="26">
        <v>646.12365215996999</v>
      </c>
      <c r="G31" s="27"/>
      <c r="M31" s="28"/>
      <c r="N31" s="28"/>
      <c r="O31" s="28"/>
      <c r="P31" s="28"/>
      <c r="Q31" s="28"/>
      <c r="V31" s="28"/>
      <c r="W31" s="28"/>
      <c r="X31" s="28"/>
      <c r="Y31" s="28"/>
    </row>
    <row r="32" spans="3:25" x14ac:dyDescent="0.35">
      <c r="C32" s="19"/>
      <c r="D32" s="22" t="s">
        <v>264</v>
      </c>
      <c r="E32" s="25">
        <v>646.78686272200503</v>
      </c>
      <c r="F32" s="26">
        <v>645.99757638484914</v>
      </c>
      <c r="G32" s="27"/>
      <c r="M32" s="28"/>
      <c r="N32" s="28"/>
      <c r="O32" s="28"/>
      <c r="P32" s="28"/>
      <c r="Q32" s="28"/>
      <c r="V32" s="28"/>
      <c r="W32" s="28"/>
      <c r="X32" s="28"/>
      <c r="Y32" s="28"/>
    </row>
    <row r="33" spans="3:25" x14ac:dyDescent="0.35">
      <c r="C33" s="19"/>
      <c r="D33" s="22" t="s">
        <v>265</v>
      </c>
      <c r="E33" s="25">
        <v>648.58493020037201</v>
      </c>
      <c r="F33" s="26">
        <v>646.39920646154201</v>
      </c>
      <c r="G33" s="27"/>
      <c r="M33" s="28"/>
      <c r="N33" s="28"/>
      <c r="O33" s="28"/>
      <c r="P33" s="28"/>
      <c r="Q33" s="28"/>
      <c r="V33" s="28"/>
      <c r="W33" s="28"/>
      <c r="X33" s="28"/>
      <c r="Y33" s="28"/>
    </row>
    <row r="34" spans="3:25" x14ac:dyDescent="0.35">
      <c r="C34" s="19"/>
      <c r="D34" s="22" t="s">
        <v>266</v>
      </c>
      <c r="E34" s="25">
        <v>650.83162839858596</v>
      </c>
      <c r="F34" s="26">
        <v>647.40808977065001</v>
      </c>
      <c r="G34" s="27"/>
      <c r="M34" s="28"/>
      <c r="N34" s="28"/>
      <c r="O34" s="28"/>
      <c r="P34" s="28"/>
      <c r="Q34" s="28"/>
      <c r="V34" s="28"/>
      <c r="W34" s="28"/>
      <c r="X34" s="28"/>
      <c r="Y34" s="28"/>
    </row>
    <row r="35" spans="3:25" x14ac:dyDescent="0.35">
      <c r="C35" s="19"/>
      <c r="D35" s="22" t="s">
        <v>267</v>
      </c>
      <c r="E35" s="25">
        <v>652.94581374022505</v>
      </c>
      <c r="F35" s="26">
        <v>648.57808608948994</v>
      </c>
      <c r="G35" s="27"/>
      <c r="M35" s="28"/>
      <c r="N35" s="28"/>
      <c r="O35" s="28"/>
      <c r="P35" s="28"/>
      <c r="Q35" s="28"/>
      <c r="V35" s="28"/>
      <c r="W35" s="28"/>
      <c r="X35" s="28"/>
      <c r="Y35" s="28"/>
    </row>
    <row r="36" spans="3:25" x14ac:dyDescent="0.35">
      <c r="C36" s="19"/>
      <c r="D36" s="22" t="s">
        <v>268</v>
      </c>
      <c r="E36" s="25">
        <v>655.10470096626602</v>
      </c>
      <c r="F36" s="26">
        <v>650.08576807946713</v>
      </c>
      <c r="G36" s="27"/>
      <c r="Q36" s="28"/>
      <c r="R36" s="28"/>
      <c r="S36" s="28"/>
      <c r="T36" s="28"/>
    </row>
    <row r="37" spans="3:25" x14ac:dyDescent="0.35">
      <c r="C37" s="19"/>
      <c r="D37" s="22" t="s">
        <v>269</v>
      </c>
      <c r="E37" s="25">
        <v>657.20944946190093</v>
      </c>
      <c r="F37" s="26">
        <v>651.74183023662295</v>
      </c>
      <c r="G37" s="27"/>
      <c r="Q37" s="28"/>
      <c r="R37" s="28"/>
      <c r="S37" s="28"/>
      <c r="T37" s="28"/>
    </row>
    <row r="38" spans="3:25" x14ac:dyDescent="0.35">
      <c r="C38" s="19"/>
      <c r="D38" s="22" t="s">
        <v>270</v>
      </c>
      <c r="E38" s="25">
        <v>659.47830467645917</v>
      </c>
      <c r="F38" s="26">
        <v>653.72104197316196</v>
      </c>
      <c r="G38" s="27"/>
      <c r="Q38" s="28"/>
      <c r="R38" s="28"/>
      <c r="S38" s="28"/>
      <c r="T38" s="28"/>
    </row>
    <row r="39" spans="3:25" x14ac:dyDescent="0.35">
      <c r="C39" s="19"/>
      <c r="D39" s="22" t="s">
        <v>271</v>
      </c>
      <c r="E39" s="25">
        <v>662.00422702060803</v>
      </c>
      <c r="F39" s="26">
        <v>656.06250088919694</v>
      </c>
      <c r="G39" s="19"/>
      <c r="Q39" s="28"/>
      <c r="R39" s="28"/>
      <c r="S39" s="28"/>
      <c r="T39" s="28"/>
    </row>
    <row r="40" spans="3:25" x14ac:dyDescent="0.35">
      <c r="C40" s="19"/>
      <c r="D40" s="22" t="s">
        <v>272</v>
      </c>
      <c r="E40" s="25">
        <v>664.90916326515401</v>
      </c>
      <c r="F40" s="26">
        <v>658.8610827095772</v>
      </c>
      <c r="G40" s="19"/>
      <c r="Q40" s="28"/>
      <c r="R40" s="28"/>
      <c r="S40" s="28"/>
      <c r="T40" s="28"/>
    </row>
    <row r="41" spans="3:25" x14ac:dyDescent="0.35">
      <c r="C41" s="19"/>
      <c r="D41" s="22" t="s">
        <v>273</v>
      </c>
      <c r="E41" s="25">
        <v>668.04937370619518</v>
      </c>
      <c r="F41" s="26">
        <v>661.95728621983505</v>
      </c>
      <c r="G41" s="19"/>
      <c r="Q41" s="28"/>
      <c r="R41" s="28"/>
      <c r="S41" s="28"/>
      <c r="T41" s="28"/>
    </row>
    <row r="42" spans="3:25" x14ac:dyDescent="0.35">
      <c r="C42" s="19"/>
      <c r="D42" s="22" t="s">
        <v>274</v>
      </c>
      <c r="E42" s="25">
        <v>671.26536339121617</v>
      </c>
      <c r="F42" s="26">
        <v>665.18172990135497</v>
      </c>
      <c r="G42" s="19"/>
    </row>
    <row r="43" spans="3:25" x14ac:dyDescent="0.35">
      <c r="C43" s="19"/>
      <c r="D43" s="22" t="s">
        <v>275</v>
      </c>
      <c r="E43" s="25">
        <v>674.43625787704798</v>
      </c>
      <c r="F43" s="26">
        <v>668.40643315054092</v>
      </c>
      <c r="G43" s="19"/>
    </row>
    <row r="44" spans="3:25" x14ac:dyDescent="0.35">
      <c r="C44" s="19"/>
      <c r="D44" s="22" t="s">
        <v>276</v>
      </c>
      <c r="E44" s="25">
        <v>677.55754887850298</v>
      </c>
      <c r="F44" s="26">
        <v>671.621462856427</v>
      </c>
      <c r="G44" s="19"/>
    </row>
    <row r="45" spans="3:25" x14ac:dyDescent="0.35">
      <c r="C45" s="19"/>
      <c r="D45" s="30"/>
      <c r="E45" s="25"/>
      <c r="F45" s="26"/>
      <c r="G45" s="19"/>
    </row>
    <row r="46" spans="3:25" x14ac:dyDescent="0.35">
      <c r="C46" s="19"/>
      <c r="D46" s="30"/>
      <c r="E46" s="25"/>
      <c r="F46" s="26"/>
      <c r="G46" s="19"/>
    </row>
  </sheetData>
  <mergeCells count="4">
    <mergeCell ref="D1:F3"/>
    <mergeCell ref="D4:F4"/>
    <mergeCell ref="E6:E9"/>
    <mergeCell ref="F6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5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Chart Data</vt:lpstr>
      <vt:lpstr>MPR Chart 2.16</vt:lpstr>
      <vt:lpstr>Not used &gt;&gt;&gt;</vt:lpstr>
      <vt:lpstr>HAVERM</vt:lpstr>
      <vt:lpstr>MPR GDP level</vt:lpstr>
      <vt:lpstr>Chart 1</vt:lpstr>
      <vt:lpstr>Chart 2</vt:lpstr>
      <vt:lpstr>Chart 3</vt:lpstr>
      <vt:lpstr>Chart 4</vt:lpstr>
      <vt:lpstr>Chart 1(2)</vt:lpstr>
      <vt:lpstr>Chart 1 (2)</vt:lpstr>
      <vt:lpstr>_DLX1.INC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2025-06-05T16:22:36Z</dcterms:created>
  <dcterms:modified xsi:type="dcterms:W3CDTF">2025-06-12T06:55:54Z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2025-06-05T17:07:14Z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f57c9b3d-ebac-45d7-a460-6f7d39f0bc44</vt:lpwstr>
  </property>
  <property fmtid="{D5CDD505-2E9C-101B-9397-08002B2CF9AE}" pid="8" name="MSIP_Label_3b83b38b-8e91-4f17-8371-95d3d41e26c0_ContentBits">
    <vt:lpwstr>0</vt:lpwstr>
  </property>
</Properties>
</file>