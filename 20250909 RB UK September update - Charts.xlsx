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7DE218EF-E98B-4467-9D34-6DFFDC4098FD}" xr6:coauthVersionLast="47" xr6:coauthVersionMax="47" xr10:uidLastSave="{00000000-0000-0000-0000-000000000000}"/>
  <bookViews>
    <workbookView xWindow="-28920" yWindow="-120" windowWidth="19440" windowHeight="10320" xr2:uid="{78BB029A-841F-4A97-AAB9-20FAB4F70897}"/>
  </bookViews>
  <sheets>
    <sheet name="Chart Data" sheetId="6" r:id="rId1"/>
    <sheet name="DataA" sheetId="9" r:id="rId2"/>
    <sheet name="DataQ" sheetId="5" r:id="rId3"/>
    <sheet name="GMW" sheetId="2" r:id="rId4"/>
    <sheet name="DMO issuance data" sheetId="10" r:id="rId5"/>
  </sheets>
  <externalReferences>
    <externalReference r:id="rId6"/>
  </externalReferences>
  <definedNames>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14" i="10" l="1"/>
  <c r="M314" i="10"/>
  <c r="L314" i="10"/>
  <c r="L280" i="10"/>
  <c r="AC6" i="9"/>
  <c r="AB6" i="9"/>
  <c r="AA6" i="9"/>
  <c r="Z6" i="9"/>
  <c r="Y6" i="9"/>
  <c r="X6" i="9"/>
  <c r="W6" i="9"/>
  <c r="AC5" i="9"/>
  <c r="AB5" i="9"/>
  <c r="AA5" i="9"/>
  <c r="Z5" i="9"/>
  <c r="Y5" i="9"/>
  <c r="X5" i="9"/>
  <c r="W5" i="9"/>
  <c r="AC4" i="9"/>
  <c r="AB4" i="9"/>
  <c r="AA4" i="9"/>
  <c r="Z4" i="9"/>
  <c r="Y4" i="9"/>
  <c r="X4" i="9"/>
  <c r="W4" i="9"/>
  <c r="AC3" i="9"/>
  <c r="AB3" i="9"/>
  <c r="AA3" i="9"/>
  <c r="Z3" i="9"/>
  <c r="Y3" i="9"/>
  <c r="X3" i="9"/>
  <c r="W3" i="9"/>
  <c r="V6" i="9"/>
  <c r="U6" i="9"/>
  <c r="T6" i="9"/>
  <c r="S6" i="9"/>
  <c r="R6" i="9"/>
  <c r="Q6" i="9"/>
  <c r="V5" i="9"/>
  <c r="U5" i="9"/>
  <c r="T5" i="9"/>
  <c r="S5" i="9"/>
  <c r="R5" i="9"/>
  <c r="Q5" i="9"/>
  <c r="V4" i="9"/>
  <c r="U4" i="9"/>
  <c r="T4" i="9"/>
  <c r="S4" i="9"/>
  <c r="R4" i="9"/>
  <c r="Q4" i="9"/>
  <c r="V3" i="9"/>
  <c r="U3" i="9"/>
  <c r="T3" i="9"/>
  <c r="S3" i="9"/>
  <c r="R3" i="9"/>
  <c r="Q3" i="9"/>
  <c r="I6" i="9"/>
  <c r="I5" i="9"/>
  <c r="I4" i="9"/>
  <c r="I3" i="9"/>
  <c r="P6" i="9"/>
  <c r="O6" i="9"/>
  <c r="N6" i="9"/>
  <c r="M6" i="9"/>
  <c r="L6" i="9"/>
  <c r="K6" i="9"/>
  <c r="J6" i="9"/>
  <c r="P5" i="9"/>
  <c r="O5" i="9"/>
  <c r="N5" i="9"/>
  <c r="M5" i="9"/>
  <c r="L5" i="9"/>
  <c r="K5" i="9"/>
  <c r="J5" i="9"/>
  <c r="P4" i="9"/>
  <c r="O4" i="9"/>
  <c r="N4" i="9"/>
  <c r="M4" i="9"/>
  <c r="L4" i="9"/>
  <c r="K4" i="9"/>
  <c r="J4" i="9"/>
  <c r="P3" i="9"/>
  <c r="O3" i="9"/>
  <c r="N3" i="9"/>
  <c r="M3" i="9"/>
  <c r="L3" i="9"/>
  <c r="K3" i="9"/>
  <c r="J3" i="9"/>
  <c r="H6" i="9"/>
  <c r="G6" i="9"/>
  <c r="F6" i="9"/>
  <c r="E6" i="9"/>
  <c r="D6" i="9"/>
  <c r="C6" i="9"/>
  <c r="H5" i="9"/>
  <c r="G5" i="9"/>
  <c r="F5" i="9"/>
  <c r="E5" i="9"/>
  <c r="D5" i="9"/>
  <c r="C5" i="9"/>
  <c r="H4" i="9"/>
  <c r="G4" i="9"/>
  <c r="F4" i="9"/>
  <c r="E4" i="9"/>
  <c r="D4" i="9"/>
  <c r="C4" i="9"/>
  <c r="H3" i="9"/>
  <c r="G3" i="9"/>
  <c r="F3" i="9"/>
  <c r="E3" i="9"/>
  <c r="D3" i="9"/>
  <c r="C3" i="9"/>
  <c r="E18" i="5"/>
  <c r="E22" i="5" s="1"/>
  <c r="E26" i="5" s="1"/>
  <c r="E30" i="5" s="1"/>
  <c r="E34" i="5" s="1"/>
  <c r="E38" i="5" s="1"/>
  <c r="E42" i="5" s="1"/>
  <c r="E46" i="5" s="1"/>
  <c r="E50" i="5" s="1"/>
  <c r="E54" i="5" s="1"/>
  <c r="E58" i="5" s="1"/>
  <c r="E62" i="5" s="1"/>
  <c r="E66" i="5" s="1"/>
  <c r="E70" i="5" s="1"/>
  <c r="E74" i="5" s="1"/>
  <c r="E78" i="5" s="1"/>
  <c r="E82" i="5" s="1"/>
  <c r="E86" i="5" s="1"/>
  <c r="E90" i="5" s="1"/>
  <c r="E94" i="5" s="1"/>
  <c r="E98" i="5" s="1"/>
  <c r="E102" i="5" s="1"/>
  <c r="E106" i="5" s="1"/>
  <c r="E110" i="5" s="1"/>
  <c r="E114" i="5" s="1"/>
  <c r="E118" i="5" s="1"/>
  <c r="E122" i="5" s="1"/>
  <c r="E126" i="5" s="1"/>
  <c r="E130" i="5" s="1"/>
  <c r="E134" i="5" s="1"/>
  <c r="E138" i="5" s="1"/>
  <c r="E142" i="5" s="1"/>
  <c r="E146" i="5" s="1"/>
  <c r="E150" i="5" s="1"/>
  <c r="E154" i="5" s="1"/>
  <c r="E158" i="5" s="1"/>
  <c r="E162" i="5" s="1"/>
  <c r="E166" i="5" s="1"/>
  <c r="E170" i="5" s="1"/>
  <c r="E174" i="5" s="1"/>
  <c r="E178" i="5" s="1"/>
  <c r="E182" i="5" s="1"/>
  <c r="E186" i="5" s="1"/>
  <c r="E190" i="5" s="1"/>
  <c r="E194" i="5" s="1"/>
  <c r="E198" i="5" s="1"/>
  <c r="E202" i="5" s="1"/>
  <c r="E206" i="5" s="1"/>
  <c r="E210" i="5" s="1"/>
  <c r="E214" i="5" s="1"/>
  <c r="E218" i="5" s="1"/>
  <c r="E222" i="5" s="1"/>
  <c r="E226" i="5" s="1"/>
  <c r="E230" i="5" s="1"/>
  <c r="E234" i="5" s="1"/>
  <c r="E238" i="5" s="1"/>
  <c r="E242" i="5" s="1"/>
  <c r="E246" i="5" s="1"/>
  <c r="E250" i="5" s="1"/>
  <c r="E254" i="5" s="1"/>
  <c r="E258" i="5" s="1"/>
  <c r="E262" i="5" s="1"/>
  <c r="E266" i="5" s="1"/>
  <c r="E270" i="5" s="1"/>
  <c r="E274" i="5" s="1"/>
  <c r="E278" i="5" s="1"/>
  <c r="E282" i="5" s="1"/>
  <c r="E286" i="5" s="1"/>
  <c r="E290" i="5" s="1"/>
  <c r="E294" i="5" s="1"/>
  <c r="E298" i="5" s="1"/>
  <c r="E302" i="5" s="1"/>
  <c r="E306" i="5" s="1"/>
  <c r="E310" i="5" s="1"/>
  <c r="E314" i="5" s="1"/>
  <c r="E318" i="5" s="1"/>
  <c r="E322" i="5" s="1"/>
  <c r="E326" i="5" s="1"/>
  <c r="E330" i="5" s="1"/>
  <c r="E334" i="5" s="1"/>
  <c r="E338" i="5" s="1"/>
  <c r="E342" i="5" s="1"/>
  <c r="E346" i="5" s="1"/>
  <c r="E350" i="5" s="1"/>
  <c r="E354" i="5" s="1"/>
  <c r="E358" i="5" s="1"/>
  <c r="E14" i="5"/>
  <c r="B3" i="9"/>
  <c r="B4" i="9"/>
  <c r="B5" i="9"/>
  <c r="B6" i="9"/>
  <c r="G7" i="5" l="1" a="1"/>
  <c r="G7" i="5" s="1"/>
  <c r="G1" i="5"/>
  <c r="K1" i="5" s="1"/>
  <c r="F2" i="9" s="1"/>
  <c r="D15" i="5"/>
  <c r="D19" i="5" s="1"/>
  <c r="D23" i="5" s="1"/>
  <c r="D27" i="5" s="1"/>
  <c r="D31" i="5" s="1"/>
  <c r="D35" i="5" s="1"/>
  <c r="D39" i="5" s="1"/>
  <c r="D43" i="5" s="1"/>
  <c r="D47" i="5" s="1"/>
  <c r="D51" i="5" s="1"/>
  <c r="D55" i="5" s="1"/>
  <c r="D59" i="5" s="1"/>
  <c r="D63" i="5" s="1"/>
  <c r="D67" i="5" s="1"/>
  <c r="D71" i="5" s="1"/>
  <c r="D75" i="5" s="1"/>
  <c r="D79" i="5" s="1"/>
  <c r="D83" i="5" s="1"/>
  <c r="D87" i="5" s="1"/>
  <c r="D91" i="5" s="1"/>
  <c r="D95" i="5" s="1"/>
  <c r="D99" i="5" s="1"/>
  <c r="D103" i="5" s="1"/>
  <c r="D107" i="5" s="1"/>
  <c r="D111" i="5" s="1"/>
  <c r="D115" i="5" s="1"/>
  <c r="D119" i="5" s="1"/>
  <c r="D123" i="5" s="1"/>
  <c r="D127" i="5" s="1"/>
  <c r="D131" i="5" s="1"/>
  <c r="D135" i="5" s="1"/>
  <c r="D139" i="5" s="1"/>
  <c r="D143" i="5" s="1"/>
  <c r="D147" i="5" s="1"/>
  <c r="D151" i="5" s="1"/>
  <c r="D155" i="5" s="1"/>
  <c r="D159" i="5" s="1"/>
  <c r="D163" i="5" s="1"/>
  <c r="D167" i="5" s="1"/>
  <c r="D171" i="5" s="1"/>
  <c r="D175" i="5" s="1"/>
  <c r="D179" i="5" s="1"/>
  <c r="D183" i="5" s="1"/>
  <c r="D187" i="5" s="1"/>
  <c r="D191" i="5" s="1"/>
  <c r="D195" i="5" s="1"/>
  <c r="D199" i="5" s="1"/>
  <c r="D203" i="5" s="1"/>
  <c r="D207" i="5" s="1"/>
  <c r="D211" i="5" s="1"/>
  <c r="D215" i="5" s="1"/>
  <c r="D219" i="5" s="1"/>
  <c r="D223" i="5" s="1"/>
  <c r="D227" i="5" s="1"/>
  <c r="D231" i="5" s="1"/>
  <c r="D235" i="5" s="1"/>
  <c r="D239" i="5" s="1"/>
  <c r="D243" i="5" s="1"/>
  <c r="D247" i="5" s="1"/>
  <c r="D251" i="5" s="1"/>
  <c r="D255" i="5" s="1"/>
  <c r="D259" i="5" s="1"/>
  <c r="D263" i="5" s="1"/>
  <c r="D267" i="5" s="1"/>
  <c r="D271" i="5" s="1"/>
  <c r="D275" i="5" s="1"/>
  <c r="D279" i="5" s="1"/>
  <c r="D283" i="5" s="1"/>
  <c r="D287" i="5" s="1"/>
  <c r="D291" i="5" s="1"/>
  <c r="D295" i="5" s="1"/>
  <c r="D299" i="5" s="1"/>
  <c r="D303" i="5" s="1"/>
  <c r="D307" i="5" s="1"/>
  <c r="D311" i="5" s="1"/>
  <c r="D315" i="5" s="1"/>
  <c r="D319" i="5" s="1"/>
  <c r="D323" i="5" s="1"/>
  <c r="D327" i="5" s="1"/>
  <c r="D331" i="5" s="1"/>
  <c r="D335" i="5" s="1"/>
  <c r="D339" i="5" s="1"/>
  <c r="D343" i="5" s="1"/>
  <c r="D347" i="5" s="1"/>
  <c r="D351" i="5" s="1"/>
  <c r="D355" i="5" s="1"/>
  <c r="D359" i="5" s="1"/>
  <c r="C15" i="5"/>
  <c r="C19" i="5" s="1"/>
  <c r="C23" i="5" s="1"/>
  <c r="C27" i="5" s="1"/>
  <c r="C31" i="5" s="1"/>
  <c r="C35" i="5" s="1"/>
  <c r="C39" i="5" s="1"/>
  <c r="C43" i="5" s="1"/>
  <c r="C47" i="5" s="1"/>
  <c r="C51" i="5" s="1"/>
  <c r="C55" i="5" s="1"/>
  <c r="C59" i="5" s="1"/>
  <c r="C63" i="5" s="1"/>
  <c r="C67" i="5" s="1"/>
  <c r="C71" i="5" s="1"/>
  <c r="C75" i="5" s="1"/>
  <c r="C79" i="5" s="1"/>
  <c r="C83" i="5" s="1"/>
  <c r="C87" i="5" s="1"/>
  <c r="C91" i="5" s="1"/>
  <c r="C95" i="5" s="1"/>
  <c r="C99" i="5" s="1"/>
  <c r="C103" i="5" s="1"/>
  <c r="C107" i="5" s="1"/>
  <c r="C111" i="5" s="1"/>
  <c r="C115" i="5" s="1"/>
  <c r="C119" i="5" s="1"/>
  <c r="C123" i="5" s="1"/>
  <c r="C127" i="5" s="1"/>
  <c r="C131" i="5" s="1"/>
  <c r="C135" i="5" s="1"/>
  <c r="C139" i="5" s="1"/>
  <c r="C143" i="5" s="1"/>
  <c r="C147" i="5" s="1"/>
  <c r="C151" i="5" s="1"/>
  <c r="C155" i="5" s="1"/>
  <c r="C159" i="5" s="1"/>
  <c r="C163" i="5" s="1"/>
  <c r="C167" i="5" s="1"/>
  <c r="C171" i="5" s="1"/>
  <c r="C175" i="5" s="1"/>
  <c r="C179" i="5" s="1"/>
  <c r="C183" i="5" s="1"/>
  <c r="C187" i="5" s="1"/>
  <c r="C191" i="5" s="1"/>
  <c r="C195" i="5" s="1"/>
  <c r="C199" i="5" s="1"/>
  <c r="C203" i="5" s="1"/>
  <c r="C207" i="5" s="1"/>
  <c r="C211" i="5" s="1"/>
  <c r="C215" i="5" s="1"/>
  <c r="C219" i="5" s="1"/>
  <c r="C223" i="5" s="1"/>
  <c r="C227" i="5" s="1"/>
  <c r="C231" i="5" s="1"/>
  <c r="C235" i="5" s="1"/>
  <c r="C239" i="5" s="1"/>
  <c r="C243" i="5" s="1"/>
  <c r="C247" i="5" s="1"/>
  <c r="C251" i="5" s="1"/>
  <c r="C255" i="5" s="1"/>
  <c r="C259" i="5" s="1"/>
  <c r="C263" i="5" s="1"/>
  <c r="C267" i="5" s="1"/>
  <c r="C271" i="5" s="1"/>
  <c r="C275" i="5" s="1"/>
  <c r="C279" i="5" s="1"/>
  <c r="C283" i="5" s="1"/>
  <c r="C287" i="5" s="1"/>
  <c r="C291" i="5" s="1"/>
  <c r="C295" i="5" s="1"/>
  <c r="C299" i="5" s="1"/>
  <c r="C303" i="5" s="1"/>
  <c r="C307" i="5" s="1"/>
  <c r="C311" i="5" s="1"/>
  <c r="C315" i="5" s="1"/>
  <c r="C319" i="5" s="1"/>
  <c r="C323" i="5" s="1"/>
  <c r="C327" i="5" s="1"/>
  <c r="C331" i="5" s="1"/>
  <c r="C335" i="5" s="1"/>
  <c r="C339" i="5" s="1"/>
  <c r="C343" i="5" s="1"/>
  <c r="C347" i="5" s="1"/>
  <c r="C351" i="5" s="1"/>
  <c r="C355" i="5" s="1"/>
  <c r="C359" i="5" s="1"/>
  <c r="C14" i="5"/>
  <c r="C18" i="5" s="1"/>
  <c r="C22" i="5" s="1"/>
  <c r="C26" i="5" s="1"/>
  <c r="C30" i="5" s="1"/>
  <c r="C34" i="5" s="1"/>
  <c r="C38" i="5" s="1"/>
  <c r="C42" i="5" s="1"/>
  <c r="C46" i="5" s="1"/>
  <c r="C50" i="5" s="1"/>
  <c r="C54" i="5" s="1"/>
  <c r="C58" i="5" s="1"/>
  <c r="C62" i="5" s="1"/>
  <c r="C66" i="5" s="1"/>
  <c r="C70" i="5" s="1"/>
  <c r="C74" i="5" s="1"/>
  <c r="C78" i="5" s="1"/>
  <c r="C82" i="5" s="1"/>
  <c r="C86" i="5" s="1"/>
  <c r="C90" i="5" s="1"/>
  <c r="C94" i="5" s="1"/>
  <c r="C98" i="5" s="1"/>
  <c r="C102" i="5" s="1"/>
  <c r="C106" i="5" s="1"/>
  <c r="C110" i="5" s="1"/>
  <c r="C114" i="5" s="1"/>
  <c r="C118" i="5" s="1"/>
  <c r="C122" i="5" s="1"/>
  <c r="C126" i="5" s="1"/>
  <c r="C130" i="5" s="1"/>
  <c r="C134" i="5" s="1"/>
  <c r="C138" i="5" s="1"/>
  <c r="C142" i="5" s="1"/>
  <c r="C146" i="5" s="1"/>
  <c r="C150" i="5" s="1"/>
  <c r="C154" i="5" s="1"/>
  <c r="C158" i="5" s="1"/>
  <c r="C162" i="5" s="1"/>
  <c r="C166" i="5" s="1"/>
  <c r="C170" i="5" s="1"/>
  <c r="C174" i="5" s="1"/>
  <c r="C178" i="5" s="1"/>
  <c r="C182" i="5" s="1"/>
  <c r="C186" i="5" s="1"/>
  <c r="C190" i="5" s="1"/>
  <c r="C194" i="5" s="1"/>
  <c r="C198" i="5" s="1"/>
  <c r="C202" i="5" s="1"/>
  <c r="C206" i="5" s="1"/>
  <c r="C210" i="5" s="1"/>
  <c r="C214" i="5" s="1"/>
  <c r="C218" i="5" s="1"/>
  <c r="C222" i="5" s="1"/>
  <c r="C226" i="5" s="1"/>
  <c r="C230" i="5" s="1"/>
  <c r="C234" i="5" s="1"/>
  <c r="C238" i="5" s="1"/>
  <c r="C242" i="5" s="1"/>
  <c r="C246" i="5" s="1"/>
  <c r="C250" i="5" s="1"/>
  <c r="C254" i="5" s="1"/>
  <c r="C258" i="5" s="1"/>
  <c r="C262" i="5" s="1"/>
  <c r="C266" i="5" s="1"/>
  <c r="C270" i="5" s="1"/>
  <c r="C274" i="5" s="1"/>
  <c r="C278" i="5" s="1"/>
  <c r="C282" i="5" s="1"/>
  <c r="C286" i="5" s="1"/>
  <c r="C290" i="5" s="1"/>
  <c r="C294" i="5" s="1"/>
  <c r="C298" i="5" s="1"/>
  <c r="C302" i="5" s="1"/>
  <c r="C306" i="5" s="1"/>
  <c r="C310" i="5" s="1"/>
  <c r="C314" i="5" s="1"/>
  <c r="C318" i="5" s="1"/>
  <c r="C322" i="5" s="1"/>
  <c r="C326" i="5" s="1"/>
  <c r="C330" i="5" s="1"/>
  <c r="C334" i="5" s="1"/>
  <c r="C338" i="5" s="1"/>
  <c r="C342" i="5" s="1"/>
  <c r="C346" i="5" s="1"/>
  <c r="C350" i="5" s="1"/>
  <c r="C354" i="5" s="1"/>
  <c r="C358" i="5" s="1"/>
  <c r="B14" i="5"/>
  <c r="B18" i="5" s="1"/>
  <c r="B22" i="5" s="1"/>
  <c r="B26" i="5" s="1"/>
  <c r="B30" i="5" s="1"/>
  <c r="B34" i="5" s="1"/>
  <c r="B38" i="5" s="1"/>
  <c r="B42" i="5" s="1"/>
  <c r="B46" i="5" s="1"/>
  <c r="B50" i="5" s="1"/>
  <c r="B54" i="5" s="1"/>
  <c r="B58" i="5" s="1"/>
  <c r="B62" i="5" s="1"/>
  <c r="B66" i="5" s="1"/>
  <c r="B70" i="5" s="1"/>
  <c r="B74" i="5" s="1"/>
  <c r="B78" i="5" s="1"/>
  <c r="B82" i="5" s="1"/>
  <c r="B86" i="5" s="1"/>
  <c r="B90" i="5" s="1"/>
  <c r="B94" i="5" s="1"/>
  <c r="B98" i="5" s="1"/>
  <c r="B102" i="5" s="1"/>
  <c r="B106" i="5" s="1"/>
  <c r="B110" i="5" s="1"/>
  <c r="B114" i="5" s="1"/>
  <c r="B118" i="5" s="1"/>
  <c r="B122" i="5" s="1"/>
  <c r="B126" i="5" s="1"/>
  <c r="B130" i="5" s="1"/>
  <c r="B134" i="5" s="1"/>
  <c r="B138" i="5" s="1"/>
  <c r="B142" i="5" s="1"/>
  <c r="B146" i="5" s="1"/>
  <c r="B150" i="5" s="1"/>
  <c r="B154" i="5" s="1"/>
  <c r="B158" i="5" s="1"/>
  <c r="B162" i="5" s="1"/>
  <c r="B166" i="5" s="1"/>
  <c r="B170" i="5" s="1"/>
  <c r="B174" i="5" s="1"/>
  <c r="B178" i="5" s="1"/>
  <c r="B182" i="5" s="1"/>
  <c r="B186" i="5" s="1"/>
  <c r="B190" i="5" s="1"/>
  <c r="B194" i="5" s="1"/>
  <c r="B198" i="5" s="1"/>
  <c r="B202" i="5" s="1"/>
  <c r="B206" i="5" s="1"/>
  <c r="B210" i="5" s="1"/>
  <c r="B214" i="5" s="1"/>
  <c r="B218" i="5" s="1"/>
  <c r="B222" i="5" s="1"/>
  <c r="B226" i="5" s="1"/>
  <c r="B230" i="5" s="1"/>
  <c r="B234" i="5" s="1"/>
  <c r="B238" i="5" s="1"/>
  <c r="B242" i="5" s="1"/>
  <c r="B246" i="5" s="1"/>
  <c r="B250" i="5" s="1"/>
  <c r="B254" i="5" s="1"/>
  <c r="B258" i="5" s="1"/>
  <c r="B262" i="5" s="1"/>
  <c r="B266" i="5" s="1"/>
  <c r="B270" i="5" s="1"/>
  <c r="B274" i="5" s="1"/>
  <c r="B278" i="5" s="1"/>
  <c r="B282" i="5" s="1"/>
  <c r="B286" i="5" s="1"/>
  <c r="B290" i="5" s="1"/>
  <c r="B294" i="5" s="1"/>
  <c r="B298" i="5" s="1"/>
  <c r="B302" i="5" s="1"/>
  <c r="B306" i="5" s="1"/>
  <c r="B310" i="5" s="1"/>
  <c r="B314" i="5" s="1"/>
  <c r="B318" i="5" s="1"/>
  <c r="B322" i="5" s="1"/>
  <c r="B326" i="5" s="1"/>
  <c r="B330" i="5" s="1"/>
  <c r="B334" i="5" s="1"/>
  <c r="B338" i="5" s="1"/>
  <c r="B342" i="5" s="1"/>
  <c r="B346" i="5" s="1"/>
  <c r="B350" i="5" s="1"/>
  <c r="B354" i="5" s="1"/>
  <c r="B358" i="5" s="1"/>
  <c r="C13" i="5"/>
  <c r="C17" i="5" s="1"/>
  <c r="C21" i="5" s="1"/>
  <c r="C25" i="5" s="1"/>
  <c r="C29" i="5" s="1"/>
  <c r="C33" i="5" s="1"/>
  <c r="C37" i="5" s="1"/>
  <c r="C41" i="5" s="1"/>
  <c r="C45" i="5" s="1"/>
  <c r="C49" i="5" s="1"/>
  <c r="C53" i="5" s="1"/>
  <c r="C57" i="5" s="1"/>
  <c r="C61" i="5" s="1"/>
  <c r="C65" i="5" s="1"/>
  <c r="C69" i="5" s="1"/>
  <c r="C73" i="5" s="1"/>
  <c r="C77" i="5" s="1"/>
  <c r="C81" i="5" s="1"/>
  <c r="C85" i="5" s="1"/>
  <c r="C89" i="5" s="1"/>
  <c r="C93" i="5" s="1"/>
  <c r="C97" i="5" s="1"/>
  <c r="C101" i="5" s="1"/>
  <c r="C105" i="5" s="1"/>
  <c r="C109" i="5" s="1"/>
  <c r="C113" i="5" s="1"/>
  <c r="C117" i="5" s="1"/>
  <c r="C121" i="5" s="1"/>
  <c r="C125" i="5" s="1"/>
  <c r="C129" i="5" s="1"/>
  <c r="C133" i="5" s="1"/>
  <c r="C137" i="5" s="1"/>
  <c r="C141" i="5" s="1"/>
  <c r="C145" i="5" s="1"/>
  <c r="C149" i="5" s="1"/>
  <c r="C153" i="5" s="1"/>
  <c r="C157" i="5" s="1"/>
  <c r="C161" i="5" s="1"/>
  <c r="C165" i="5" s="1"/>
  <c r="C169" i="5" s="1"/>
  <c r="C173" i="5" s="1"/>
  <c r="C177" i="5" s="1"/>
  <c r="C181" i="5" s="1"/>
  <c r="C185" i="5" s="1"/>
  <c r="C189" i="5" s="1"/>
  <c r="C193" i="5" s="1"/>
  <c r="C197" i="5" s="1"/>
  <c r="C201" i="5" s="1"/>
  <c r="C205" i="5" s="1"/>
  <c r="C209" i="5" s="1"/>
  <c r="C213" i="5" s="1"/>
  <c r="C217" i="5" s="1"/>
  <c r="C221" i="5" s="1"/>
  <c r="C225" i="5" s="1"/>
  <c r="C229" i="5" s="1"/>
  <c r="C233" i="5" s="1"/>
  <c r="C237" i="5" s="1"/>
  <c r="C241" i="5" s="1"/>
  <c r="C245" i="5" s="1"/>
  <c r="C249" i="5" s="1"/>
  <c r="C253" i="5" s="1"/>
  <c r="C257" i="5" s="1"/>
  <c r="C261" i="5" s="1"/>
  <c r="C265" i="5" s="1"/>
  <c r="C269" i="5" s="1"/>
  <c r="C273" i="5" s="1"/>
  <c r="C277" i="5" s="1"/>
  <c r="C281" i="5" s="1"/>
  <c r="C285" i="5" s="1"/>
  <c r="C289" i="5" s="1"/>
  <c r="C293" i="5" s="1"/>
  <c r="C297" i="5" s="1"/>
  <c r="C301" i="5" s="1"/>
  <c r="C305" i="5" s="1"/>
  <c r="C309" i="5" s="1"/>
  <c r="C313" i="5" s="1"/>
  <c r="C317" i="5" s="1"/>
  <c r="C321" i="5" s="1"/>
  <c r="C325" i="5" s="1"/>
  <c r="C329" i="5" s="1"/>
  <c r="C333" i="5" s="1"/>
  <c r="C337" i="5" s="1"/>
  <c r="C341" i="5" s="1"/>
  <c r="C345" i="5" s="1"/>
  <c r="C349" i="5" s="1"/>
  <c r="C353" i="5" s="1"/>
  <c r="C357" i="5" s="1"/>
  <c r="B13" i="5"/>
  <c r="B17" i="5" s="1"/>
  <c r="B21" i="5" s="1"/>
  <c r="B25" i="5" s="1"/>
  <c r="B29" i="5" s="1"/>
  <c r="B33" i="5" s="1"/>
  <c r="B37" i="5" s="1"/>
  <c r="B41" i="5" s="1"/>
  <c r="B45" i="5" s="1"/>
  <c r="B49" i="5" s="1"/>
  <c r="B53" i="5" s="1"/>
  <c r="B57" i="5" s="1"/>
  <c r="B61" i="5" s="1"/>
  <c r="B65" i="5" s="1"/>
  <c r="B69" i="5" s="1"/>
  <c r="B73" i="5" s="1"/>
  <c r="B77" i="5" s="1"/>
  <c r="B81" i="5" s="1"/>
  <c r="B85" i="5" s="1"/>
  <c r="B89" i="5" s="1"/>
  <c r="B93" i="5" s="1"/>
  <c r="B97" i="5" s="1"/>
  <c r="B101" i="5" s="1"/>
  <c r="B105" i="5" s="1"/>
  <c r="B109" i="5" s="1"/>
  <c r="B113" i="5" s="1"/>
  <c r="B117" i="5" s="1"/>
  <c r="B121" i="5" s="1"/>
  <c r="B125" i="5" s="1"/>
  <c r="B129" i="5" s="1"/>
  <c r="B133" i="5" s="1"/>
  <c r="B137" i="5" s="1"/>
  <c r="B141" i="5" s="1"/>
  <c r="B145" i="5" s="1"/>
  <c r="B149" i="5" s="1"/>
  <c r="B153" i="5" s="1"/>
  <c r="B157" i="5" s="1"/>
  <c r="B161" i="5" s="1"/>
  <c r="B165" i="5" s="1"/>
  <c r="B169" i="5" s="1"/>
  <c r="B173" i="5" s="1"/>
  <c r="B177" i="5" s="1"/>
  <c r="B181" i="5" s="1"/>
  <c r="B185" i="5" s="1"/>
  <c r="B189" i="5" s="1"/>
  <c r="B193" i="5" s="1"/>
  <c r="B197" i="5" s="1"/>
  <c r="B201" i="5" s="1"/>
  <c r="B205" i="5" s="1"/>
  <c r="B209" i="5" s="1"/>
  <c r="B213" i="5" s="1"/>
  <c r="B217" i="5" s="1"/>
  <c r="B221" i="5" s="1"/>
  <c r="B225" i="5" s="1"/>
  <c r="B229" i="5" s="1"/>
  <c r="B233" i="5" s="1"/>
  <c r="B237" i="5" s="1"/>
  <c r="B241" i="5" s="1"/>
  <c r="B245" i="5" s="1"/>
  <c r="B249" i="5" s="1"/>
  <c r="B253" i="5" s="1"/>
  <c r="B257" i="5" s="1"/>
  <c r="B261" i="5" s="1"/>
  <c r="B265" i="5" s="1"/>
  <c r="B269" i="5" s="1"/>
  <c r="B273" i="5" s="1"/>
  <c r="B277" i="5" s="1"/>
  <c r="B281" i="5" s="1"/>
  <c r="B285" i="5" s="1"/>
  <c r="B289" i="5" s="1"/>
  <c r="B293" i="5" s="1"/>
  <c r="B297" i="5" s="1"/>
  <c r="B301" i="5" s="1"/>
  <c r="B305" i="5" s="1"/>
  <c r="B309" i="5" s="1"/>
  <c r="B313" i="5" s="1"/>
  <c r="B317" i="5" s="1"/>
  <c r="B321" i="5" s="1"/>
  <c r="B325" i="5" s="1"/>
  <c r="B329" i="5" s="1"/>
  <c r="B333" i="5" s="1"/>
  <c r="B337" i="5" s="1"/>
  <c r="B341" i="5" s="1"/>
  <c r="B345" i="5" s="1"/>
  <c r="B349" i="5" s="1"/>
  <c r="B353" i="5" s="1"/>
  <c r="B357" i="5" s="1"/>
  <c r="C12" i="5"/>
  <c r="C16" i="5" s="1"/>
  <c r="C20" i="5" s="1"/>
  <c r="C24" i="5" s="1"/>
  <c r="C28" i="5" s="1"/>
  <c r="C32" i="5" s="1"/>
  <c r="C36" i="5" s="1"/>
  <c r="C40" i="5" s="1"/>
  <c r="C44" i="5" s="1"/>
  <c r="C48" i="5" s="1"/>
  <c r="C52" i="5" s="1"/>
  <c r="C56" i="5" s="1"/>
  <c r="C60" i="5" s="1"/>
  <c r="C64" i="5" s="1"/>
  <c r="C68" i="5" s="1"/>
  <c r="C72" i="5" s="1"/>
  <c r="C76" i="5" s="1"/>
  <c r="C80" i="5" s="1"/>
  <c r="C84" i="5" s="1"/>
  <c r="C88" i="5" s="1"/>
  <c r="C92" i="5" s="1"/>
  <c r="C96" i="5" s="1"/>
  <c r="C100" i="5" s="1"/>
  <c r="C104" i="5" s="1"/>
  <c r="C108" i="5" s="1"/>
  <c r="C112" i="5" s="1"/>
  <c r="C116" i="5" s="1"/>
  <c r="C120" i="5" s="1"/>
  <c r="C124" i="5" s="1"/>
  <c r="C128" i="5" s="1"/>
  <c r="C132" i="5" s="1"/>
  <c r="C136" i="5" s="1"/>
  <c r="C140" i="5" s="1"/>
  <c r="C144" i="5" s="1"/>
  <c r="C148" i="5" s="1"/>
  <c r="C152" i="5" s="1"/>
  <c r="C156" i="5" s="1"/>
  <c r="C160" i="5" s="1"/>
  <c r="C164" i="5" s="1"/>
  <c r="C168" i="5" s="1"/>
  <c r="C172" i="5" s="1"/>
  <c r="C176" i="5" s="1"/>
  <c r="C180" i="5" s="1"/>
  <c r="C184" i="5" s="1"/>
  <c r="C188" i="5" s="1"/>
  <c r="C192" i="5" s="1"/>
  <c r="C196" i="5" s="1"/>
  <c r="C200" i="5" s="1"/>
  <c r="C204" i="5" s="1"/>
  <c r="C208" i="5" s="1"/>
  <c r="C212" i="5" s="1"/>
  <c r="C216" i="5" s="1"/>
  <c r="C220" i="5" s="1"/>
  <c r="C224" i="5" s="1"/>
  <c r="C228" i="5" s="1"/>
  <c r="C232" i="5" s="1"/>
  <c r="C236" i="5" s="1"/>
  <c r="C240" i="5" s="1"/>
  <c r="C244" i="5" s="1"/>
  <c r="C248" i="5" s="1"/>
  <c r="C252" i="5" s="1"/>
  <c r="C256" i="5" s="1"/>
  <c r="C260" i="5" s="1"/>
  <c r="C264" i="5" s="1"/>
  <c r="C268" i="5" s="1"/>
  <c r="C272" i="5" s="1"/>
  <c r="C276" i="5" s="1"/>
  <c r="C280" i="5" s="1"/>
  <c r="C284" i="5" s="1"/>
  <c r="C288" i="5" s="1"/>
  <c r="C292" i="5" s="1"/>
  <c r="C296" i="5" s="1"/>
  <c r="C300" i="5" s="1"/>
  <c r="C304" i="5" s="1"/>
  <c r="C308" i="5" s="1"/>
  <c r="C312" i="5" s="1"/>
  <c r="C316" i="5" s="1"/>
  <c r="C320" i="5" s="1"/>
  <c r="C324" i="5" s="1"/>
  <c r="C328" i="5" s="1"/>
  <c r="C332" i="5" s="1"/>
  <c r="C336" i="5" s="1"/>
  <c r="C340" i="5" s="1"/>
  <c r="C344" i="5" s="1"/>
  <c r="C348" i="5" s="1"/>
  <c r="C352" i="5" s="1"/>
  <c r="C356" i="5" s="1"/>
  <c r="B12" i="5"/>
  <c r="B16" i="5" s="1"/>
  <c r="B20" i="5" s="1"/>
  <c r="B24" i="5" s="1"/>
  <c r="B28" i="5" s="1"/>
  <c r="B32" i="5" s="1"/>
  <c r="B36" i="5" s="1"/>
  <c r="B40" i="5" s="1"/>
  <c r="B44" i="5" s="1"/>
  <c r="B48" i="5" s="1"/>
  <c r="B52" i="5" s="1"/>
  <c r="B56" i="5" s="1"/>
  <c r="B60" i="5" s="1"/>
  <c r="B64" i="5" s="1"/>
  <c r="B68" i="5" s="1"/>
  <c r="B72" i="5" s="1"/>
  <c r="B76" i="5" s="1"/>
  <c r="B80" i="5" s="1"/>
  <c r="B84" i="5" s="1"/>
  <c r="B88" i="5" s="1"/>
  <c r="B92" i="5" s="1"/>
  <c r="B96" i="5" s="1"/>
  <c r="B100" i="5" s="1"/>
  <c r="B104" i="5" s="1"/>
  <c r="B108" i="5" s="1"/>
  <c r="B112" i="5" s="1"/>
  <c r="B116" i="5" s="1"/>
  <c r="B120" i="5" s="1"/>
  <c r="B124" i="5" s="1"/>
  <c r="B128" i="5" s="1"/>
  <c r="B132" i="5" s="1"/>
  <c r="B136" i="5" s="1"/>
  <c r="B140" i="5" s="1"/>
  <c r="B144" i="5" s="1"/>
  <c r="B148" i="5" s="1"/>
  <c r="B152" i="5" s="1"/>
  <c r="B156" i="5" s="1"/>
  <c r="B160" i="5" s="1"/>
  <c r="B164" i="5" s="1"/>
  <c r="B168" i="5" s="1"/>
  <c r="B172" i="5" s="1"/>
  <c r="B176" i="5" s="1"/>
  <c r="B180" i="5" s="1"/>
  <c r="B184" i="5" s="1"/>
  <c r="B188" i="5" s="1"/>
  <c r="B192" i="5" s="1"/>
  <c r="B196" i="5" s="1"/>
  <c r="B200" i="5" s="1"/>
  <c r="B204" i="5" s="1"/>
  <c r="B208" i="5" s="1"/>
  <c r="B212" i="5" s="1"/>
  <c r="B216" i="5" s="1"/>
  <c r="B220" i="5" s="1"/>
  <c r="B224" i="5" s="1"/>
  <c r="B228" i="5" s="1"/>
  <c r="B232" i="5" s="1"/>
  <c r="B236" i="5" s="1"/>
  <c r="B240" i="5" s="1"/>
  <c r="B244" i="5" s="1"/>
  <c r="B248" i="5" s="1"/>
  <c r="B252" i="5" s="1"/>
  <c r="B256" i="5" s="1"/>
  <c r="B260" i="5" s="1"/>
  <c r="B264" i="5" s="1"/>
  <c r="B268" i="5" s="1"/>
  <c r="B272" i="5" s="1"/>
  <c r="B276" i="5" s="1"/>
  <c r="B280" i="5" s="1"/>
  <c r="B284" i="5" s="1"/>
  <c r="B288" i="5" s="1"/>
  <c r="B292" i="5" s="1"/>
  <c r="B296" i="5" s="1"/>
  <c r="B300" i="5" s="1"/>
  <c r="B304" i="5" s="1"/>
  <c r="B308" i="5" s="1"/>
  <c r="B312" i="5" s="1"/>
  <c r="B316" i="5" s="1"/>
  <c r="B320" i="5" s="1"/>
  <c r="B324" i="5" s="1"/>
  <c r="B328" i="5" s="1"/>
  <c r="B332" i="5" s="1"/>
  <c r="B336" i="5" s="1"/>
  <c r="B340" i="5" s="1"/>
  <c r="B344" i="5" s="1"/>
  <c r="B348" i="5" s="1"/>
  <c r="B352" i="5" s="1"/>
  <c r="B356" i="5" s="1"/>
  <c r="B11" i="5"/>
  <c r="B15" i="5" s="1"/>
  <c r="B19" i="5" s="1"/>
  <c r="B23" i="5" s="1"/>
  <c r="B27" i="5" s="1"/>
  <c r="B31" i="5" s="1"/>
  <c r="B35" i="5" s="1"/>
  <c r="B39" i="5" s="1"/>
  <c r="B43" i="5" s="1"/>
  <c r="B47" i="5" s="1"/>
  <c r="B51" i="5" s="1"/>
  <c r="B55" i="5" s="1"/>
  <c r="B59" i="5" s="1"/>
  <c r="B63" i="5" s="1"/>
  <c r="B67" i="5" s="1"/>
  <c r="B71" i="5" s="1"/>
  <c r="B75" i="5" s="1"/>
  <c r="B79" i="5" s="1"/>
  <c r="B83" i="5" s="1"/>
  <c r="B87" i="5" s="1"/>
  <c r="B91" i="5" s="1"/>
  <c r="B95" i="5" s="1"/>
  <c r="B99" i="5" s="1"/>
  <c r="B103" i="5" s="1"/>
  <c r="B107" i="5" s="1"/>
  <c r="B111" i="5" s="1"/>
  <c r="B115" i="5" s="1"/>
  <c r="B119" i="5" s="1"/>
  <c r="B123" i="5" s="1"/>
  <c r="B127" i="5" s="1"/>
  <c r="B131" i="5" s="1"/>
  <c r="B135" i="5" s="1"/>
  <c r="B139" i="5" s="1"/>
  <c r="B143" i="5" s="1"/>
  <c r="B147" i="5" s="1"/>
  <c r="B151" i="5" s="1"/>
  <c r="B155" i="5" s="1"/>
  <c r="B159" i="5" s="1"/>
  <c r="B163" i="5" s="1"/>
  <c r="B167" i="5" s="1"/>
  <c r="B171" i="5" s="1"/>
  <c r="B175" i="5" s="1"/>
  <c r="B179" i="5" s="1"/>
  <c r="B183" i="5" s="1"/>
  <c r="B187" i="5" s="1"/>
  <c r="B191" i="5" s="1"/>
  <c r="B195" i="5" s="1"/>
  <c r="B199" i="5" s="1"/>
  <c r="B203" i="5" s="1"/>
  <c r="B207" i="5" s="1"/>
  <c r="B211" i="5" s="1"/>
  <c r="B215" i="5" s="1"/>
  <c r="B219" i="5" s="1"/>
  <c r="B223" i="5" s="1"/>
  <c r="B227" i="5" s="1"/>
  <c r="B231" i="5" s="1"/>
  <c r="B235" i="5" s="1"/>
  <c r="B239" i="5" s="1"/>
  <c r="B243" i="5" s="1"/>
  <c r="B247" i="5" s="1"/>
  <c r="B251" i="5" s="1"/>
  <c r="B255" i="5" s="1"/>
  <c r="B259" i="5" s="1"/>
  <c r="B263" i="5" s="1"/>
  <c r="B267" i="5" s="1"/>
  <c r="B271" i="5" s="1"/>
  <c r="B275" i="5" s="1"/>
  <c r="B279" i="5" s="1"/>
  <c r="B283" i="5" s="1"/>
  <c r="B287" i="5" s="1"/>
  <c r="B291" i="5" s="1"/>
  <c r="B295" i="5" s="1"/>
  <c r="B299" i="5" s="1"/>
  <c r="B303" i="5" s="1"/>
  <c r="B307" i="5" s="1"/>
  <c r="B311" i="5" s="1"/>
  <c r="B315" i="5" s="1"/>
  <c r="B319" i="5" s="1"/>
  <c r="B323" i="5" s="1"/>
  <c r="B327" i="5" s="1"/>
  <c r="B331" i="5" s="1"/>
  <c r="B335" i="5" s="1"/>
  <c r="B339" i="5" s="1"/>
  <c r="B343" i="5" s="1"/>
  <c r="B347" i="5" s="1"/>
  <c r="B351" i="5" s="1"/>
  <c r="B355" i="5" s="1"/>
  <c r="F8" i="5"/>
  <c r="F9" i="5" s="1"/>
  <c r="F10" i="5" s="1"/>
  <c r="F11" i="5" s="1"/>
  <c r="F12" i="5" s="1"/>
  <c r="G12" i="5" s="1" a="1"/>
  <c r="G12" i="5" s="1"/>
  <c r="I1" i="5" l="1"/>
  <c r="H1" i="5"/>
  <c r="C2" i="9" s="1"/>
  <c r="J1" i="5"/>
  <c r="E2" i="9" s="1"/>
  <c r="L1" i="5"/>
  <c r="G2" i="9" s="1"/>
  <c r="AH1" i="5"/>
  <c r="AC2" i="9" s="1"/>
  <c r="N1" i="5"/>
  <c r="I2" i="9" s="1"/>
  <c r="AG1" i="5"/>
  <c r="AB2" i="9" s="1"/>
  <c r="AA1" i="5"/>
  <c r="V2" i="9" s="1"/>
  <c r="AF1" i="5"/>
  <c r="AA2" i="9" s="1"/>
  <c r="Z1" i="5"/>
  <c r="U2" i="9" s="1"/>
  <c r="AE1" i="5"/>
  <c r="Z2" i="9" s="1"/>
  <c r="Y1" i="5"/>
  <c r="T2" i="9" s="1"/>
  <c r="B2" i="9"/>
  <c r="AD1" i="5"/>
  <c r="Y2" i="9" s="1"/>
  <c r="V1" i="5"/>
  <c r="Q2" i="9" s="1"/>
  <c r="O1" i="5"/>
  <c r="J2" i="9" s="1"/>
  <c r="U1" i="5"/>
  <c r="P2" i="9" s="1"/>
  <c r="AC1" i="5"/>
  <c r="X2" i="9" s="1"/>
  <c r="T1" i="5"/>
  <c r="O2" i="9" s="1"/>
  <c r="AB1" i="5"/>
  <c r="W2" i="9" s="1"/>
  <c r="S1" i="5"/>
  <c r="N2" i="9" s="1"/>
  <c r="R1" i="5"/>
  <c r="M2" i="9" s="1"/>
  <c r="X1" i="5"/>
  <c r="S2" i="9" s="1"/>
  <c r="Q1" i="5"/>
  <c r="L2" i="9" s="1"/>
  <c r="W1" i="5"/>
  <c r="R2" i="9" s="1"/>
  <c r="P1" i="5"/>
  <c r="K2" i="9" s="1"/>
  <c r="K8" i="5" a="1"/>
  <c r="K8" i="5" s="1"/>
  <c r="K9" i="5" a="1"/>
  <c r="K9" i="5" s="1"/>
  <c r="K10" i="5" a="1"/>
  <c r="K10" i="5" s="1"/>
  <c r="K11" i="5" a="1"/>
  <c r="K11" i="5" s="1"/>
  <c r="J7" i="5" a="1"/>
  <c r="J7" i="5" s="1"/>
  <c r="E8" i="9" s="1"/>
  <c r="J11" i="5" a="1"/>
  <c r="J11" i="5" s="1"/>
  <c r="G10" i="5" a="1"/>
  <c r="G10" i="5" s="1"/>
  <c r="K7" i="5" a="1"/>
  <c r="K7" i="5" s="1"/>
  <c r="K12" i="5" a="1"/>
  <c r="K12" i="5" s="1"/>
  <c r="L9" i="5" a="1"/>
  <c r="L9" i="5" s="1"/>
  <c r="L10" i="5" a="1"/>
  <c r="L10" i="5" s="1"/>
  <c r="L11" i="5" a="1"/>
  <c r="L11" i="5" s="1"/>
  <c r="G8" i="5" a="1"/>
  <c r="G8" i="5" s="1"/>
  <c r="B8" i="9" s="1"/>
  <c r="L7" i="5" a="1"/>
  <c r="L7" i="5" s="1"/>
  <c r="L12" i="5" a="1"/>
  <c r="L12" i="5" s="1"/>
  <c r="L8" i="5" a="1"/>
  <c r="L8" i="5" s="1"/>
  <c r="H11" i="5" a="1"/>
  <c r="H11" i="5" s="1"/>
  <c r="H7" i="5" a="1"/>
  <c r="H7" i="5" s="1"/>
  <c r="H12" i="5" a="1"/>
  <c r="H12" i="5" s="1"/>
  <c r="H8" i="5" a="1"/>
  <c r="H8" i="5" s="1"/>
  <c r="H9" i="5" a="1"/>
  <c r="H9" i="5" s="1"/>
  <c r="G9" i="5" a="1"/>
  <c r="G9" i="5" s="1"/>
  <c r="G11" i="5" a="1"/>
  <c r="G11" i="5" s="1"/>
  <c r="I7" i="5" a="1"/>
  <c r="I7" i="5" s="1"/>
  <c r="I12" i="5" a="1"/>
  <c r="I12" i="5" s="1"/>
  <c r="I8" i="5" a="1"/>
  <c r="I8" i="5" s="1"/>
  <c r="I9" i="5" a="1"/>
  <c r="I9" i="5" s="1"/>
  <c r="H10" i="5" a="1"/>
  <c r="H10" i="5" s="1"/>
  <c r="J12" i="5" a="1"/>
  <c r="J12" i="5" s="1"/>
  <c r="J8" i="5" a="1"/>
  <c r="J8" i="5" s="1"/>
  <c r="J9" i="5" a="1"/>
  <c r="J9" i="5" s="1"/>
  <c r="J10" i="5" a="1"/>
  <c r="J10" i="5" s="1"/>
  <c r="I10" i="5" a="1"/>
  <c r="I10" i="5" s="1"/>
  <c r="F13" i="5"/>
  <c r="M1" i="5"/>
  <c r="H2" i="9" s="1"/>
  <c r="C8" i="9" l="1"/>
  <c r="D8" i="9"/>
  <c r="F8" i="9"/>
  <c r="G8" i="9"/>
  <c r="I11" i="5" a="1"/>
  <c r="I11" i="5" s="1"/>
  <c r="D2" i="9"/>
  <c r="T12" i="5" a="1"/>
  <c r="T12" i="5" s="1"/>
  <c r="T13" i="5" a="1"/>
  <c r="T13" i="5" s="1"/>
  <c r="T7" i="5" a="1"/>
  <c r="T7" i="5" s="1"/>
  <c r="T10" i="5" a="1"/>
  <c r="T10" i="5" s="1"/>
  <c r="T11" i="5" a="1"/>
  <c r="T11" i="5" s="1"/>
  <c r="T8" i="5" a="1"/>
  <c r="T8" i="5" s="1"/>
  <c r="T9" i="5" a="1"/>
  <c r="T9" i="5" s="1"/>
  <c r="AE10" i="5" a="1"/>
  <c r="AE10" i="5" s="1"/>
  <c r="AE7" i="5" a="1"/>
  <c r="AE7" i="5" s="1"/>
  <c r="Z8" i="9" s="1"/>
  <c r="AE11" i="5" a="1"/>
  <c r="AE11" i="5" s="1"/>
  <c r="AE13" i="5" a="1"/>
  <c r="AE13" i="5" s="1"/>
  <c r="AE9" i="5" a="1"/>
  <c r="AE9" i="5" s="1"/>
  <c r="AE12" i="5" a="1"/>
  <c r="AE12" i="5" s="1"/>
  <c r="AE8" i="5" a="1"/>
  <c r="AE8" i="5" s="1"/>
  <c r="P12" i="5" a="1"/>
  <c r="P12" i="5" s="1"/>
  <c r="P9" i="5" a="1"/>
  <c r="P9" i="5" s="1"/>
  <c r="P10" i="5" a="1"/>
  <c r="P10" i="5" s="1"/>
  <c r="P7" i="5" a="1"/>
  <c r="P7" i="5" s="1"/>
  <c r="P13" i="5" a="1"/>
  <c r="P13" i="5" s="1"/>
  <c r="P11" i="5" a="1"/>
  <c r="P11" i="5" s="1"/>
  <c r="P8" i="5" a="1"/>
  <c r="P8" i="5" s="1"/>
  <c r="AC8" i="5" a="1"/>
  <c r="AC8" i="5" s="1"/>
  <c r="AC12" i="5" a="1"/>
  <c r="AC12" i="5" s="1"/>
  <c r="AC9" i="5" a="1"/>
  <c r="AC9" i="5" s="1"/>
  <c r="AC13" i="5" a="1"/>
  <c r="AC13" i="5" s="1"/>
  <c r="AC11" i="5" a="1"/>
  <c r="AC11" i="5" s="1"/>
  <c r="AC7" i="5" a="1"/>
  <c r="AC7" i="5" s="1"/>
  <c r="X8" i="9" s="1"/>
  <c r="AC10" i="5" a="1"/>
  <c r="AC10" i="5" s="1"/>
  <c r="Z12" i="5" a="1"/>
  <c r="Z12" i="5" s="1"/>
  <c r="Z11" i="5" a="1"/>
  <c r="Z11" i="5" s="1"/>
  <c r="Z10" i="5" a="1"/>
  <c r="Z10" i="5" s="1"/>
  <c r="U8" i="9" s="1"/>
  <c r="Z13" i="5" a="1"/>
  <c r="Z13" i="5" s="1"/>
  <c r="Z7" i="5" a="1"/>
  <c r="Z7" i="5" s="1"/>
  <c r="Z9" i="5" a="1"/>
  <c r="Z9" i="5" s="1"/>
  <c r="Z8" i="5" a="1"/>
  <c r="Z8" i="5" s="1"/>
  <c r="W9" i="5" a="1"/>
  <c r="W9" i="5" s="1"/>
  <c r="W12" i="5" a="1"/>
  <c r="W12" i="5" s="1"/>
  <c r="W7" i="5" a="1"/>
  <c r="W7" i="5" s="1"/>
  <c r="W10" i="5" a="1"/>
  <c r="W10" i="5" s="1"/>
  <c r="R8" i="9" s="1"/>
  <c r="W11" i="5" a="1"/>
  <c r="W11" i="5" s="1"/>
  <c r="W13" i="5" a="1"/>
  <c r="W13" i="5" s="1"/>
  <c r="W8" i="5" a="1"/>
  <c r="W8" i="5" s="1"/>
  <c r="U12" i="5" a="1"/>
  <c r="U12" i="5" s="1"/>
  <c r="U9" i="5" a="1"/>
  <c r="U9" i="5" s="1"/>
  <c r="U11" i="5" a="1"/>
  <c r="U11" i="5" s="1"/>
  <c r="U8" i="5" a="1"/>
  <c r="U8" i="5" s="1"/>
  <c r="U10" i="5" a="1"/>
  <c r="U10" i="5" s="1"/>
  <c r="P8" i="9" s="1"/>
  <c r="U7" i="5" a="1"/>
  <c r="U7" i="5" s="1"/>
  <c r="U13" i="5" a="1"/>
  <c r="U13" i="5" s="1"/>
  <c r="AF8" i="5" a="1"/>
  <c r="AF8" i="5" s="1"/>
  <c r="AF12" i="5" a="1"/>
  <c r="AF12" i="5" s="1"/>
  <c r="AF11" i="5" a="1"/>
  <c r="AF11" i="5" s="1"/>
  <c r="AF10" i="5" a="1"/>
  <c r="AF10" i="5" s="1"/>
  <c r="AF7" i="5" a="1"/>
  <c r="AF7" i="5" s="1"/>
  <c r="AF13" i="5" a="1"/>
  <c r="AF13" i="5" s="1"/>
  <c r="AF9" i="5" a="1"/>
  <c r="AF9" i="5" s="1"/>
  <c r="Q9" i="5" a="1"/>
  <c r="Q9" i="5" s="1"/>
  <c r="Q13" i="5" a="1"/>
  <c r="Q13" i="5" s="1"/>
  <c r="Q7" i="5" a="1"/>
  <c r="Q7" i="5" s="1"/>
  <c r="Q10" i="5" a="1"/>
  <c r="Q10" i="5" s="1"/>
  <c r="Q12" i="5" a="1"/>
  <c r="Q12" i="5" s="1"/>
  <c r="Q11" i="5" a="1"/>
  <c r="Q11" i="5" s="1"/>
  <c r="Q8" i="5" a="1"/>
  <c r="Q8" i="5" s="1"/>
  <c r="O11" i="5" a="1"/>
  <c r="O11" i="5" s="1"/>
  <c r="O9" i="5" a="1"/>
  <c r="O9" i="5" s="1"/>
  <c r="O7" i="5" a="1"/>
  <c r="O7" i="5" s="1"/>
  <c r="O13" i="5" a="1"/>
  <c r="O13" i="5" s="1"/>
  <c r="O12" i="5" a="1"/>
  <c r="O12" i="5" s="1"/>
  <c r="O8" i="5" a="1"/>
  <c r="O8" i="5" s="1"/>
  <c r="O10" i="5" a="1"/>
  <c r="O10" i="5" s="1"/>
  <c r="AA10" i="5" a="1"/>
  <c r="AA10" i="5" s="1"/>
  <c r="V8" i="9" s="1"/>
  <c r="AA7" i="5" a="1"/>
  <c r="AA7" i="5" s="1"/>
  <c r="AA13" i="5" a="1"/>
  <c r="AA13" i="5" s="1"/>
  <c r="AA11" i="5" a="1"/>
  <c r="AA11" i="5" s="1"/>
  <c r="AA8" i="5" a="1"/>
  <c r="AA8" i="5" s="1"/>
  <c r="AA9" i="5" a="1"/>
  <c r="AA9" i="5" s="1"/>
  <c r="AA12" i="5" a="1"/>
  <c r="AA12" i="5" s="1"/>
  <c r="X10" i="5" a="1"/>
  <c r="X10" i="5" s="1"/>
  <c r="S8" i="9" s="1"/>
  <c r="X9" i="5" a="1"/>
  <c r="X9" i="5" s="1"/>
  <c r="X11" i="5" a="1"/>
  <c r="X11" i="5" s="1"/>
  <c r="X8" i="5" a="1"/>
  <c r="X8" i="5" s="1"/>
  <c r="X7" i="5" a="1"/>
  <c r="X7" i="5" s="1"/>
  <c r="X13" i="5" a="1"/>
  <c r="X13" i="5" s="1"/>
  <c r="X12" i="5" a="1"/>
  <c r="X12" i="5" s="1"/>
  <c r="V9" i="5" a="1"/>
  <c r="V9" i="5" s="1"/>
  <c r="V7" i="5" a="1"/>
  <c r="V7" i="5" s="1"/>
  <c r="V8" i="5" a="1"/>
  <c r="V8" i="5" s="1"/>
  <c r="V11" i="5" a="1"/>
  <c r="V11" i="5" s="1"/>
  <c r="V13" i="5" a="1"/>
  <c r="V13" i="5" s="1"/>
  <c r="V12" i="5" a="1"/>
  <c r="V12" i="5" s="1"/>
  <c r="V10" i="5" a="1"/>
  <c r="V10" i="5" s="1"/>
  <c r="Q8" i="9" s="1"/>
  <c r="AG13" i="5" a="1"/>
  <c r="AG13" i="5" s="1"/>
  <c r="AG9" i="5" a="1"/>
  <c r="AG9" i="5" s="1"/>
  <c r="AG11" i="5" a="1"/>
  <c r="AG11" i="5" s="1"/>
  <c r="AG8" i="5" a="1"/>
  <c r="AG8" i="5" s="1"/>
  <c r="AG12" i="5" a="1"/>
  <c r="AG12" i="5" s="1"/>
  <c r="AG7" i="5" a="1"/>
  <c r="AG7" i="5" s="1"/>
  <c r="AG10" i="5" a="1"/>
  <c r="AG10" i="5" s="1"/>
  <c r="R9" i="5" a="1"/>
  <c r="R9" i="5" s="1"/>
  <c r="R12" i="5" a="1"/>
  <c r="R12" i="5" s="1"/>
  <c r="R13" i="5" a="1"/>
  <c r="R13" i="5" s="1"/>
  <c r="R10" i="5" a="1"/>
  <c r="R10" i="5" s="1"/>
  <c r="R7" i="5" a="1"/>
  <c r="R7" i="5" s="1"/>
  <c r="M8" i="9" s="1"/>
  <c r="R11" i="5" a="1"/>
  <c r="R11" i="5" s="1"/>
  <c r="R8" i="5" a="1"/>
  <c r="R8" i="5" s="1"/>
  <c r="AD13" i="5" a="1"/>
  <c r="AD13" i="5" s="1"/>
  <c r="AD9" i="5" a="1"/>
  <c r="AD9" i="5" s="1"/>
  <c r="AD10" i="5" a="1"/>
  <c r="AD10" i="5" s="1"/>
  <c r="AD12" i="5" a="1"/>
  <c r="AD12" i="5" s="1"/>
  <c r="AD11" i="5" a="1"/>
  <c r="AD11" i="5" s="1"/>
  <c r="AD8" i="5" a="1"/>
  <c r="AD8" i="5" s="1"/>
  <c r="AD7" i="5" a="1"/>
  <c r="AD7" i="5" s="1"/>
  <c r="N8" i="5" a="1"/>
  <c r="N8" i="5" s="1"/>
  <c r="N11" i="5" a="1"/>
  <c r="N11" i="5" s="1"/>
  <c r="N12" i="5" a="1"/>
  <c r="N12" i="5" s="1"/>
  <c r="N9" i="5" a="1"/>
  <c r="N9" i="5" s="1"/>
  <c r="N10" i="5" a="1"/>
  <c r="N10" i="5" s="1"/>
  <c r="N7" i="5" a="1"/>
  <c r="N7" i="5" s="1"/>
  <c r="N13" i="5" a="1"/>
  <c r="N13" i="5" s="1"/>
  <c r="S13" i="5" a="1"/>
  <c r="S13" i="5" s="1"/>
  <c r="S7" i="5" a="1"/>
  <c r="S7" i="5" s="1"/>
  <c r="S11" i="5" a="1"/>
  <c r="S11" i="5" s="1"/>
  <c r="S9" i="5" a="1"/>
  <c r="S9" i="5" s="1"/>
  <c r="S8" i="5" a="1"/>
  <c r="S8" i="5" s="1"/>
  <c r="S12" i="5" a="1"/>
  <c r="S12" i="5" s="1"/>
  <c r="S10" i="5" a="1"/>
  <c r="S10" i="5" s="1"/>
  <c r="AH13" i="5" a="1"/>
  <c r="AH13" i="5" s="1"/>
  <c r="AH10" i="5" a="1"/>
  <c r="AH10" i="5" s="1"/>
  <c r="AH12" i="5" a="1"/>
  <c r="AH12" i="5" s="1"/>
  <c r="AH7" i="5" a="1"/>
  <c r="AH7" i="5" s="1"/>
  <c r="AH9" i="5" a="1"/>
  <c r="AH9" i="5" s="1"/>
  <c r="AH11" i="5" a="1"/>
  <c r="AH11" i="5" s="1"/>
  <c r="AH8" i="5" a="1"/>
  <c r="AH8" i="5" s="1"/>
  <c r="AB13" i="5" a="1"/>
  <c r="AB13" i="5" s="1"/>
  <c r="AB8" i="5" a="1"/>
  <c r="AB8" i="5" s="1"/>
  <c r="AB10" i="5" a="1"/>
  <c r="AB10" i="5" s="1"/>
  <c r="AB7" i="5" a="1"/>
  <c r="AB7" i="5" s="1"/>
  <c r="AB12" i="5" a="1"/>
  <c r="AB12" i="5" s="1"/>
  <c r="AB11" i="5" a="1"/>
  <c r="AB11" i="5" s="1"/>
  <c r="AB9" i="5" a="1"/>
  <c r="AB9" i="5" s="1"/>
  <c r="Y12" i="5" a="1"/>
  <c r="Y12" i="5" s="1"/>
  <c r="Y10" i="5" a="1"/>
  <c r="Y10" i="5" s="1"/>
  <c r="T8" i="9" s="1"/>
  <c r="Y7" i="5" a="1"/>
  <c r="Y7" i="5" s="1"/>
  <c r="Y13" i="5" a="1"/>
  <c r="Y13" i="5" s="1"/>
  <c r="Y9" i="5" a="1"/>
  <c r="Y9" i="5" s="1"/>
  <c r="Y8" i="5" a="1"/>
  <c r="Y8" i="5" s="1"/>
  <c r="Y11" i="5" a="1"/>
  <c r="Y11" i="5" s="1"/>
  <c r="F14" i="5"/>
  <c r="S14" i="5" s="1" a="1"/>
  <c r="S14" i="5" s="1"/>
  <c r="K13" i="5" a="1"/>
  <c r="K13" i="5" s="1"/>
  <c r="L13" i="5" a="1"/>
  <c r="L13" i="5" s="1"/>
  <c r="H13" i="5" a="1"/>
  <c r="H13" i="5" s="1"/>
  <c r="I13" i="5" a="1"/>
  <c r="I13" i="5" s="1"/>
  <c r="M9" i="5" a="1"/>
  <c r="M9" i="5" s="1"/>
  <c r="M10" i="5" a="1"/>
  <c r="M10" i="5" s="1"/>
  <c r="M11" i="5" a="1"/>
  <c r="M11" i="5" s="1"/>
  <c r="M7" i="5" a="1"/>
  <c r="M7" i="5" s="1"/>
  <c r="M12" i="5" a="1"/>
  <c r="M12" i="5" s="1"/>
  <c r="M14" i="5" a="1"/>
  <c r="M14" i="5" s="1"/>
  <c r="M8" i="5" a="1"/>
  <c r="M8" i="5" s="1"/>
  <c r="M13" i="5" a="1"/>
  <c r="M13" i="5" s="1"/>
  <c r="G13" i="5" a="1"/>
  <c r="G13" i="5" s="1"/>
  <c r="J13" i="5" a="1"/>
  <c r="J13" i="5" s="1"/>
  <c r="H8" i="9" l="1"/>
  <c r="AC9" i="9"/>
  <c r="H9" i="9"/>
  <c r="L8" i="9"/>
  <c r="O8" i="9"/>
  <c r="AC8" i="9"/>
  <c r="N9" i="9"/>
  <c r="J8" i="9"/>
  <c r="K8" i="9"/>
  <c r="W8" i="9"/>
  <c r="N8" i="9"/>
  <c r="AB8" i="9"/>
  <c r="Y8" i="9"/>
  <c r="I8" i="9"/>
  <c r="AA8" i="9"/>
  <c r="F15" i="5"/>
  <c r="Y14" i="5" a="1"/>
  <c r="Y14" i="5" s="1"/>
  <c r="T9" i="9" s="1"/>
  <c r="AB14" i="5" a="1"/>
  <c r="AB14" i="5" s="1"/>
  <c r="W9" i="9" s="1"/>
  <c r="AD15" i="5" a="1"/>
  <c r="AD15" i="5" s="1"/>
  <c r="P14" i="5" a="1"/>
  <c r="P14" i="5" s="1"/>
  <c r="K9" i="9" s="1"/>
  <c r="AE14" i="5" a="1"/>
  <c r="AE14" i="5" s="1"/>
  <c r="Z9" i="9" s="1"/>
  <c r="T14" i="5" a="1"/>
  <c r="T14" i="5" s="1"/>
  <c r="O9" i="9" s="1"/>
  <c r="Z14" i="5" a="1"/>
  <c r="Z14" i="5" s="1"/>
  <c r="U9" i="9" s="1"/>
  <c r="W14" i="5" a="1"/>
  <c r="W14" i="5" s="1"/>
  <c r="R9" i="9" s="1"/>
  <c r="AF14" i="5" a="1"/>
  <c r="AF14" i="5" s="1"/>
  <c r="AA9" i="9" s="1"/>
  <c r="AC14" i="5" a="1"/>
  <c r="AC14" i="5" s="1"/>
  <c r="X9" i="9" s="1"/>
  <c r="U14" i="5" a="1"/>
  <c r="U14" i="5" s="1"/>
  <c r="P9" i="9" s="1"/>
  <c r="O14" i="5" a="1"/>
  <c r="O14" i="5" s="1"/>
  <c r="J9" i="9" s="1"/>
  <c r="AG14" i="5" a="1"/>
  <c r="AG14" i="5" s="1"/>
  <c r="AB9" i="9" s="1"/>
  <c r="Q14" i="5" a="1"/>
  <c r="Q14" i="5" s="1"/>
  <c r="L9" i="9" s="1"/>
  <c r="V14" i="5" a="1"/>
  <c r="V14" i="5" s="1"/>
  <c r="Q9" i="9" s="1"/>
  <c r="AA14" i="5" a="1"/>
  <c r="AA14" i="5" s="1"/>
  <c r="V9" i="9" s="1"/>
  <c r="X14" i="5" a="1"/>
  <c r="X14" i="5" s="1"/>
  <c r="S9" i="9" s="1"/>
  <c r="N14" i="5" a="1"/>
  <c r="N14" i="5" s="1"/>
  <c r="I9" i="9" s="1"/>
  <c r="AD14" i="5" a="1"/>
  <c r="AD14" i="5" s="1"/>
  <c r="Y9" i="9" s="1"/>
  <c r="Y15" i="5" a="1"/>
  <c r="Y15" i="5" s="1"/>
  <c r="AH14" i="5" a="1"/>
  <c r="AH14" i="5" s="1"/>
  <c r="R14" i="5" a="1"/>
  <c r="R14" i="5" s="1"/>
  <c r="M9" i="9" s="1"/>
  <c r="M15" i="5" a="1"/>
  <c r="M15" i="5" s="1"/>
  <c r="T15" i="5" a="1"/>
  <c r="T15" i="5" s="1"/>
  <c r="P15" i="5" a="1"/>
  <c r="P15" i="5" s="1"/>
  <c r="AE15" i="5" a="1"/>
  <c r="AE15" i="5" s="1"/>
  <c r="AC15" i="5" a="1"/>
  <c r="AC15" i="5" s="1"/>
  <c r="Z15" i="5" a="1"/>
  <c r="Z15" i="5" s="1"/>
  <c r="U15" i="5" a="1"/>
  <c r="U15" i="5" s="1"/>
  <c r="AF15" i="5" a="1"/>
  <c r="AF15" i="5" s="1"/>
  <c r="W15" i="5" a="1"/>
  <c r="W15" i="5" s="1"/>
  <c r="R15" i="5" a="1"/>
  <c r="R15" i="5" s="1"/>
  <c r="Q15" i="5" a="1"/>
  <c r="Q15" i="5" s="1"/>
  <c r="X15" i="5" a="1"/>
  <c r="X15" i="5" s="1"/>
  <c r="O15" i="5" a="1"/>
  <c r="O15" i="5" s="1"/>
  <c r="V15" i="5" a="1"/>
  <c r="V15" i="5" s="1"/>
  <c r="AG15" i="5" a="1"/>
  <c r="AG15" i="5" s="1"/>
  <c r="AA15" i="5" a="1"/>
  <c r="AA15" i="5" s="1"/>
  <c r="AH15" i="5" a="1"/>
  <c r="AH15" i="5" s="1"/>
  <c r="N15" i="5" a="1"/>
  <c r="N15" i="5" s="1"/>
  <c r="G15" i="5" a="1"/>
  <c r="G15" i="5" s="1"/>
  <c r="L15" i="5" a="1"/>
  <c r="L15" i="5" s="1"/>
  <c r="I15" i="5" a="1"/>
  <c r="I15" i="5" s="1"/>
  <c r="J15" i="5" a="1"/>
  <c r="J15" i="5" s="1"/>
  <c r="K15" i="5" a="1"/>
  <c r="K15" i="5" s="1"/>
  <c r="H15" i="5" a="1"/>
  <c r="H15" i="5" s="1"/>
  <c r="L14" i="5" a="1"/>
  <c r="L14" i="5" s="1"/>
  <c r="G9" i="9" s="1"/>
  <c r="H14" i="5" a="1"/>
  <c r="H14" i="5" s="1"/>
  <c r="C9" i="9" s="1"/>
  <c r="J14" i="5" a="1"/>
  <c r="J14" i="5" s="1"/>
  <c r="E9" i="9" s="1"/>
  <c r="K14" i="5" a="1"/>
  <c r="K14" i="5" s="1"/>
  <c r="F9" i="9" s="1"/>
  <c r="I14" i="5" a="1"/>
  <c r="I14" i="5" s="1"/>
  <c r="D9" i="9" s="1"/>
  <c r="G14" i="5" a="1"/>
  <c r="G14" i="5" s="1"/>
  <c r="B9" i="9" s="1"/>
  <c r="F16" i="5"/>
  <c r="S15" i="5" l="1" a="1"/>
  <c r="S15" i="5" s="1"/>
  <c r="AB15" i="5" a="1"/>
  <c r="AB15" i="5" s="1"/>
  <c r="AE16" i="5" a="1"/>
  <c r="AE16" i="5" s="1"/>
  <c r="T16" i="5" a="1"/>
  <c r="T16" i="5" s="1"/>
  <c r="AC16" i="5" a="1"/>
  <c r="AC16" i="5" s="1"/>
  <c r="P16" i="5" a="1"/>
  <c r="P16" i="5" s="1"/>
  <c r="U16" i="5" a="1"/>
  <c r="U16" i="5" s="1"/>
  <c r="Z16" i="5" a="1"/>
  <c r="Z16" i="5" s="1"/>
  <c r="W16" i="5" a="1"/>
  <c r="W16" i="5" s="1"/>
  <c r="AF16" i="5" a="1"/>
  <c r="AF16" i="5" s="1"/>
  <c r="O16" i="5" a="1"/>
  <c r="O16" i="5" s="1"/>
  <c r="X16" i="5" a="1"/>
  <c r="X16" i="5" s="1"/>
  <c r="R16" i="5" a="1"/>
  <c r="R16" i="5" s="1"/>
  <c r="AG16" i="5" a="1"/>
  <c r="AG16" i="5" s="1"/>
  <c r="Q16" i="5" a="1"/>
  <c r="Q16" i="5" s="1"/>
  <c r="V16" i="5" a="1"/>
  <c r="V16" i="5" s="1"/>
  <c r="AA16" i="5" a="1"/>
  <c r="AA16" i="5" s="1"/>
  <c r="AD16" i="5" a="1"/>
  <c r="AD16" i="5" s="1"/>
  <c r="AB16" i="5" a="1"/>
  <c r="AB16" i="5" s="1"/>
  <c r="AH16" i="5" a="1"/>
  <c r="AH16" i="5" s="1"/>
  <c r="S16" i="5" a="1"/>
  <c r="S16" i="5" s="1"/>
  <c r="Y16" i="5" a="1"/>
  <c r="Y16" i="5" s="1"/>
  <c r="N16" i="5" a="1"/>
  <c r="N16" i="5" s="1"/>
  <c r="I16" i="5" a="1"/>
  <c r="I16" i="5" s="1"/>
  <c r="J16" i="5" a="1"/>
  <c r="J16" i="5" s="1"/>
  <c r="G16" i="5" a="1"/>
  <c r="G16" i="5" s="1"/>
  <c r="K16" i="5" a="1"/>
  <c r="K16" i="5" s="1"/>
  <c r="H16" i="5" a="1"/>
  <c r="H16" i="5" s="1"/>
  <c r="L16" i="5" a="1"/>
  <c r="L16" i="5" s="1"/>
  <c r="M16" i="5" a="1"/>
  <c r="M16" i="5" s="1"/>
  <c r="F17" i="5"/>
  <c r="AC17" i="5" l="1" a="1"/>
  <c r="AC17" i="5" s="1"/>
  <c r="T17" i="5" a="1"/>
  <c r="T17" i="5" s="1"/>
  <c r="AE17" i="5" a="1"/>
  <c r="AE17" i="5" s="1"/>
  <c r="P17" i="5" a="1"/>
  <c r="P17" i="5" s="1"/>
  <c r="W17" i="5" a="1"/>
  <c r="W17" i="5" s="1"/>
  <c r="U17" i="5" a="1"/>
  <c r="U17" i="5" s="1"/>
  <c r="Z17" i="5" a="1"/>
  <c r="Z17" i="5" s="1"/>
  <c r="AF17" i="5" a="1"/>
  <c r="AF17" i="5" s="1"/>
  <c r="AG17" i="5" a="1"/>
  <c r="AG17" i="5" s="1"/>
  <c r="Q17" i="5" a="1"/>
  <c r="Q17" i="5" s="1"/>
  <c r="O17" i="5" a="1"/>
  <c r="O17" i="5" s="1"/>
  <c r="AA17" i="5" a="1"/>
  <c r="AA17" i="5" s="1"/>
  <c r="X17" i="5" a="1"/>
  <c r="X17" i="5" s="1"/>
  <c r="V17" i="5" a="1"/>
  <c r="V17" i="5" s="1"/>
  <c r="AD17" i="5" a="1"/>
  <c r="AD17" i="5" s="1"/>
  <c r="S17" i="5" a="1"/>
  <c r="S17" i="5" s="1"/>
  <c r="AH17" i="5" a="1"/>
  <c r="AH17" i="5" s="1"/>
  <c r="R17" i="5" a="1"/>
  <c r="R17" i="5" s="1"/>
  <c r="Y17" i="5" a="1"/>
  <c r="Y17" i="5" s="1"/>
  <c r="AB17" i="5" a="1"/>
  <c r="AB17" i="5" s="1"/>
  <c r="N17" i="5" a="1"/>
  <c r="N17" i="5" s="1"/>
  <c r="K17" i="5" a="1"/>
  <c r="K17" i="5" s="1"/>
  <c r="G17" i="5" a="1"/>
  <c r="G17" i="5" s="1"/>
  <c r="H17" i="5" a="1"/>
  <c r="H17" i="5" s="1"/>
  <c r="L17" i="5" a="1"/>
  <c r="L17" i="5" s="1"/>
  <c r="I17" i="5" a="1"/>
  <c r="I17" i="5" s="1"/>
  <c r="J17" i="5" a="1"/>
  <c r="J17" i="5" s="1"/>
  <c r="M17" i="5" a="1"/>
  <c r="M17" i="5" s="1"/>
  <c r="F18" i="5"/>
  <c r="W10" i="9" l="1"/>
  <c r="D10" i="9"/>
  <c r="T18" i="5" a="1"/>
  <c r="T18" i="5" s="1"/>
  <c r="O10" i="9" s="1"/>
  <c r="AE18" i="5" a="1"/>
  <c r="AE18" i="5" s="1"/>
  <c r="P18" i="5" a="1"/>
  <c r="P18" i="5" s="1"/>
  <c r="AC18" i="5" a="1"/>
  <c r="AC18" i="5" s="1"/>
  <c r="U18" i="5" a="1"/>
  <c r="U18" i="5" s="1"/>
  <c r="P10" i="9" s="1"/>
  <c r="Z18" i="5" a="1"/>
  <c r="Z18" i="5" s="1"/>
  <c r="U10" i="9" s="1"/>
  <c r="W18" i="5" a="1"/>
  <c r="W18" i="5" s="1"/>
  <c r="R10" i="9" s="1"/>
  <c r="AF18" i="5" a="1"/>
  <c r="AF18" i="5" s="1"/>
  <c r="O18" i="5" a="1"/>
  <c r="O18" i="5" s="1"/>
  <c r="R18" i="5" a="1"/>
  <c r="R18" i="5" s="1"/>
  <c r="M10" i="9" s="1"/>
  <c r="Q18" i="5" a="1"/>
  <c r="Q18" i="5" s="1"/>
  <c r="AA18" i="5" a="1"/>
  <c r="AA18" i="5" s="1"/>
  <c r="V10" i="9" s="1"/>
  <c r="X18" i="5" a="1"/>
  <c r="X18" i="5" s="1"/>
  <c r="S10" i="9" s="1"/>
  <c r="AH18" i="5" a="1"/>
  <c r="AH18" i="5" s="1"/>
  <c r="AC10" i="9" s="1"/>
  <c r="AG18" i="5" a="1"/>
  <c r="AG18" i="5" s="1"/>
  <c r="AD18" i="5" a="1"/>
  <c r="AD18" i="5" s="1"/>
  <c r="Y10" i="9" s="1"/>
  <c r="N18" i="5" a="1"/>
  <c r="N18" i="5" s="1"/>
  <c r="V18" i="5" a="1"/>
  <c r="V18" i="5" s="1"/>
  <c r="Q10" i="9" s="1"/>
  <c r="AB18" i="5" a="1"/>
  <c r="AB18" i="5" s="1"/>
  <c r="S18" i="5" a="1"/>
  <c r="S18" i="5" s="1"/>
  <c r="N10" i="9" s="1"/>
  <c r="Y18" i="5" a="1"/>
  <c r="Y18" i="5" s="1"/>
  <c r="T10" i="9" s="1"/>
  <c r="L18" i="5" a="1"/>
  <c r="L18" i="5" s="1"/>
  <c r="H18" i="5" a="1"/>
  <c r="H18" i="5" s="1"/>
  <c r="G18" i="5" a="1"/>
  <c r="G18" i="5" s="1"/>
  <c r="B10" i="9" s="1"/>
  <c r="K18" i="5" a="1"/>
  <c r="K18" i="5" s="1"/>
  <c r="J18" i="5" a="1"/>
  <c r="J18" i="5" s="1"/>
  <c r="I18" i="5" a="1"/>
  <c r="I18" i="5" s="1"/>
  <c r="M18" i="5" a="1"/>
  <c r="M18" i="5" s="1"/>
  <c r="F19" i="5"/>
  <c r="T19" i="5" l="1" a="1"/>
  <c r="T19" i="5" s="1"/>
  <c r="AE19" i="5" a="1"/>
  <c r="AE19" i="5" s="1"/>
  <c r="AC19" i="5" a="1"/>
  <c r="AC19" i="5" s="1"/>
  <c r="P19" i="5" a="1"/>
  <c r="P19" i="5" s="1"/>
  <c r="W19" i="5" a="1"/>
  <c r="W19" i="5" s="1"/>
  <c r="Z19" i="5" a="1"/>
  <c r="Z19" i="5" s="1"/>
  <c r="U19" i="5" a="1"/>
  <c r="U19" i="5" s="1"/>
  <c r="AF19" i="5" a="1"/>
  <c r="AF19" i="5" s="1"/>
  <c r="AA19" i="5" a="1"/>
  <c r="AA19" i="5" s="1"/>
  <c r="O19" i="5" a="1"/>
  <c r="O19" i="5" s="1"/>
  <c r="V19" i="5" a="1"/>
  <c r="V19" i="5" s="1"/>
  <c r="Q19" i="5" a="1"/>
  <c r="Q19" i="5" s="1"/>
  <c r="R19" i="5" a="1"/>
  <c r="R19" i="5" s="1"/>
  <c r="AG19" i="5" a="1"/>
  <c r="AG19" i="5" s="1"/>
  <c r="X19" i="5" a="1"/>
  <c r="X19" i="5" s="1"/>
  <c r="S19" i="5" a="1"/>
  <c r="S19" i="5" s="1"/>
  <c r="Y19" i="5" a="1"/>
  <c r="Y19" i="5" s="1"/>
  <c r="N19" i="5" a="1"/>
  <c r="N19" i="5" s="1"/>
  <c r="AB19" i="5" a="1"/>
  <c r="AB19" i="5" s="1"/>
  <c r="AD19" i="5" a="1"/>
  <c r="AD19" i="5" s="1"/>
  <c r="AH19" i="5" a="1"/>
  <c r="AH19" i="5" s="1"/>
  <c r="G19" i="5" a="1"/>
  <c r="G19" i="5" s="1"/>
  <c r="H19" i="5" a="1"/>
  <c r="H19" i="5" s="1"/>
  <c r="L19" i="5" a="1"/>
  <c r="L19" i="5" s="1"/>
  <c r="K19" i="5" a="1"/>
  <c r="K19" i="5" s="1"/>
  <c r="J19" i="5" a="1"/>
  <c r="J19" i="5" s="1"/>
  <c r="I19" i="5" a="1"/>
  <c r="I19" i="5" s="1"/>
  <c r="M19" i="5" a="1"/>
  <c r="M19" i="5" s="1"/>
  <c r="F20" i="5"/>
  <c r="T20" i="5" l="1" a="1"/>
  <c r="T20" i="5" s="1"/>
  <c r="P20" i="5" a="1"/>
  <c r="P20" i="5" s="1"/>
  <c r="AC20" i="5" a="1"/>
  <c r="AC20" i="5" s="1"/>
  <c r="AE20" i="5" a="1"/>
  <c r="AE20" i="5" s="1"/>
  <c r="U20" i="5" a="1"/>
  <c r="U20" i="5" s="1"/>
  <c r="Z20" i="5" a="1"/>
  <c r="Z20" i="5" s="1"/>
  <c r="W20" i="5" a="1"/>
  <c r="W20" i="5" s="1"/>
  <c r="AA20" i="5" a="1"/>
  <c r="AA20" i="5" s="1"/>
  <c r="AG20" i="5" a="1"/>
  <c r="AG20" i="5" s="1"/>
  <c r="X20" i="5" a="1"/>
  <c r="X20" i="5" s="1"/>
  <c r="AF20" i="5" a="1"/>
  <c r="AF20" i="5" s="1"/>
  <c r="O20" i="5" a="1"/>
  <c r="O20" i="5" s="1"/>
  <c r="R20" i="5" a="1"/>
  <c r="R20" i="5" s="1"/>
  <c r="V20" i="5" a="1"/>
  <c r="V20" i="5" s="1"/>
  <c r="Q20" i="5" a="1"/>
  <c r="Q20" i="5" s="1"/>
  <c r="Y20" i="5" a="1"/>
  <c r="Y20" i="5" s="1"/>
  <c r="S20" i="5" a="1"/>
  <c r="S20" i="5" s="1"/>
  <c r="N20" i="5" a="1"/>
  <c r="N20" i="5" s="1"/>
  <c r="AB20" i="5" a="1"/>
  <c r="AB20" i="5" s="1"/>
  <c r="AD20" i="5" a="1"/>
  <c r="AD20" i="5" s="1"/>
  <c r="AH20" i="5" a="1"/>
  <c r="AH20" i="5" s="1"/>
  <c r="K20" i="5" a="1"/>
  <c r="K20" i="5" s="1"/>
  <c r="G20" i="5" a="1"/>
  <c r="G20" i="5" s="1"/>
  <c r="H20" i="5" a="1"/>
  <c r="H20" i="5" s="1"/>
  <c r="L20" i="5" a="1"/>
  <c r="L20" i="5" s="1"/>
  <c r="J20" i="5" a="1"/>
  <c r="J20" i="5" s="1"/>
  <c r="I20" i="5" a="1"/>
  <c r="I20" i="5" s="1"/>
  <c r="M20" i="5" a="1"/>
  <c r="M20" i="5" s="1"/>
  <c r="F21" i="5"/>
  <c r="P21" i="5" l="1" a="1"/>
  <c r="P21" i="5" s="1"/>
  <c r="T21" i="5" a="1"/>
  <c r="T21" i="5" s="1"/>
  <c r="AE21" i="5" a="1"/>
  <c r="AE21" i="5" s="1"/>
  <c r="AC21" i="5" a="1"/>
  <c r="AC21" i="5" s="1"/>
  <c r="Z21" i="5" a="1"/>
  <c r="Z21" i="5" s="1"/>
  <c r="AF21" i="5" a="1"/>
  <c r="AF21" i="5" s="1"/>
  <c r="U21" i="5" a="1"/>
  <c r="U21" i="5" s="1"/>
  <c r="W21" i="5" a="1"/>
  <c r="W21" i="5" s="1"/>
  <c r="X21" i="5" a="1"/>
  <c r="X21" i="5" s="1"/>
  <c r="AG21" i="5" a="1"/>
  <c r="AG21" i="5" s="1"/>
  <c r="V21" i="5" a="1"/>
  <c r="V21" i="5" s="1"/>
  <c r="R21" i="5" a="1"/>
  <c r="R21" i="5" s="1"/>
  <c r="AA21" i="5" a="1"/>
  <c r="AA21" i="5" s="1"/>
  <c r="Q21" i="5" a="1"/>
  <c r="Q21" i="5" s="1"/>
  <c r="O21" i="5" a="1"/>
  <c r="O21" i="5" s="1"/>
  <c r="N21" i="5" a="1"/>
  <c r="N21" i="5" s="1"/>
  <c r="AB21" i="5" a="1"/>
  <c r="AB21" i="5" s="1"/>
  <c r="S21" i="5" a="1"/>
  <c r="S21" i="5" s="1"/>
  <c r="AH21" i="5" a="1"/>
  <c r="AH21" i="5" s="1"/>
  <c r="Y21" i="5" a="1"/>
  <c r="Y21" i="5" s="1"/>
  <c r="AD21" i="5" a="1"/>
  <c r="AD21" i="5" s="1"/>
  <c r="G21" i="5" a="1"/>
  <c r="G21" i="5" s="1"/>
  <c r="H21" i="5" a="1"/>
  <c r="H21" i="5" s="1"/>
  <c r="L21" i="5" a="1"/>
  <c r="L21" i="5" s="1"/>
  <c r="I21" i="5" a="1"/>
  <c r="I21" i="5" s="1"/>
  <c r="K21" i="5" a="1"/>
  <c r="K21" i="5" s="1"/>
  <c r="J21" i="5" a="1"/>
  <c r="J21" i="5" s="1"/>
  <c r="M21" i="5" a="1"/>
  <c r="M21" i="5" s="1"/>
  <c r="F22" i="5"/>
  <c r="AE22" i="5" l="1" a="1"/>
  <c r="AE22" i="5" s="1"/>
  <c r="T22" i="5" a="1"/>
  <c r="T22" i="5" s="1"/>
  <c r="P22" i="5" a="1"/>
  <c r="P22" i="5" s="1"/>
  <c r="AC22" i="5" a="1"/>
  <c r="AC22" i="5" s="1"/>
  <c r="U22" i="5" a="1"/>
  <c r="U22" i="5" s="1"/>
  <c r="P11" i="9" s="1"/>
  <c r="Z22" i="5" a="1"/>
  <c r="Z22" i="5" s="1"/>
  <c r="U11" i="9" s="1"/>
  <c r="W22" i="5" a="1"/>
  <c r="W22" i="5" s="1"/>
  <c r="R11" i="9" s="1"/>
  <c r="X22" i="5" a="1"/>
  <c r="X22" i="5" s="1"/>
  <c r="S11" i="9" s="1"/>
  <c r="AG22" i="5" a="1"/>
  <c r="AG22" i="5" s="1"/>
  <c r="Q22" i="5" a="1"/>
  <c r="Q22" i="5" s="1"/>
  <c r="R22" i="5" a="1"/>
  <c r="R22" i="5" s="1"/>
  <c r="M11" i="9" s="1"/>
  <c r="AF22" i="5" a="1"/>
  <c r="AF22" i="5" s="1"/>
  <c r="V22" i="5" a="1"/>
  <c r="V22" i="5" s="1"/>
  <c r="Q11" i="9" s="1"/>
  <c r="O22" i="5" a="1"/>
  <c r="O22" i="5" s="1"/>
  <c r="AA22" i="5" a="1"/>
  <c r="AA22" i="5" s="1"/>
  <c r="V11" i="9" s="1"/>
  <c r="N22" i="5" a="1"/>
  <c r="N22" i="5" s="1"/>
  <c r="S22" i="5" a="1"/>
  <c r="S22" i="5" s="1"/>
  <c r="AB22" i="5" a="1"/>
  <c r="AB22" i="5" s="1"/>
  <c r="AD22" i="5" a="1"/>
  <c r="AD22" i="5" s="1"/>
  <c r="Y22" i="5" a="1"/>
  <c r="Y22" i="5" s="1"/>
  <c r="T11" i="9" s="1"/>
  <c r="AH22" i="5" a="1"/>
  <c r="AH22" i="5" s="1"/>
  <c r="AC11" i="9" s="1"/>
  <c r="G22" i="5" a="1"/>
  <c r="G22" i="5" s="1"/>
  <c r="L22" i="5" a="1"/>
  <c r="L22" i="5" s="1"/>
  <c r="K22" i="5" a="1"/>
  <c r="K22" i="5" s="1"/>
  <c r="H22" i="5" a="1"/>
  <c r="H22" i="5" s="1"/>
  <c r="I22" i="5" a="1"/>
  <c r="I22" i="5" s="1"/>
  <c r="J22" i="5" a="1"/>
  <c r="J22" i="5" s="1"/>
  <c r="M22" i="5" a="1"/>
  <c r="M22" i="5" s="1"/>
  <c r="F23" i="5"/>
  <c r="P23" i="5" l="1" a="1"/>
  <c r="P23" i="5" s="1"/>
  <c r="AE23" i="5" a="1"/>
  <c r="AE23" i="5" s="1"/>
  <c r="T23" i="5" a="1"/>
  <c r="T23" i="5" s="1"/>
  <c r="AC23" i="5" a="1"/>
  <c r="AC23" i="5" s="1"/>
  <c r="W23" i="5" a="1"/>
  <c r="W23" i="5" s="1"/>
  <c r="Z23" i="5" a="1"/>
  <c r="Z23" i="5" s="1"/>
  <c r="AF23" i="5" a="1"/>
  <c r="AF23" i="5" s="1"/>
  <c r="U23" i="5" a="1"/>
  <c r="U23" i="5" s="1"/>
  <c r="X23" i="5" a="1"/>
  <c r="X23" i="5" s="1"/>
  <c r="R23" i="5" a="1"/>
  <c r="R23" i="5" s="1"/>
  <c r="Q23" i="5" a="1"/>
  <c r="Q23" i="5" s="1"/>
  <c r="V23" i="5" a="1"/>
  <c r="V23" i="5" s="1"/>
  <c r="O23" i="5" a="1"/>
  <c r="O23" i="5" s="1"/>
  <c r="AA23" i="5" a="1"/>
  <c r="AA23" i="5" s="1"/>
  <c r="AG23" i="5" a="1"/>
  <c r="AG23" i="5" s="1"/>
  <c r="AB23" i="5" a="1"/>
  <c r="AB23" i="5" s="1"/>
  <c r="Y23" i="5" a="1"/>
  <c r="Y23" i="5" s="1"/>
  <c r="S23" i="5" a="1"/>
  <c r="S23" i="5" s="1"/>
  <c r="AD23" i="5" a="1"/>
  <c r="AD23" i="5" s="1"/>
  <c r="N23" i="5" a="1"/>
  <c r="N23" i="5" s="1"/>
  <c r="AH23" i="5" a="1"/>
  <c r="AH23" i="5" s="1"/>
  <c r="H23" i="5" a="1"/>
  <c r="H23" i="5" s="1"/>
  <c r="K23" i="5" a="1"/>
  <c r="K23" i="5" s="1"/>
  <c r="G23" i="5" a="1"/>
  <c r="G23" i="5" s="1"/>
  <c r="L23" i="5" a="1"/>
  <c r="L23" i="5" s="1"/>
  <c r="I23" i="5" a="1"/>
  <c r="I23" i="5" s="1"/>
  <c r="J23" i="5" a="1"/>
  <c r="J23" i="5" s="1"/>
  <c r="M23" i="5" a="1"/>
  <c r="M23" i="5" s="1"/>
  <c r="F24" i="5"/>
  <c r="AE24" i="5" l="1" a="1"/>
  <c r="AE24" i="5" s="1"/>
  <c r="P24" i="5" a="1"/>
  <c r="P24" i="5" s="1"/>
  <c r="AC24" i="5" a="1"/>
  <c r="AC24" i="5" s="1"/>
  <c r="T24" i="5" a="1"/>
  <c r="T24" i="5" s="1"/>
  <c r="U24" i="5" a="1"/>
  <c r="U24" i="5" s="1"/>
  <c r="Z24" i="5" a="1"/>
  <c r="Z24" i="5" s="1"/>
  <c r="W24" i="5" a="1"/>
  <c r="W24" i="5" s="1"/>
  <c r="Q24" i="5" a="1"/>
  <c r="Q24" i="5" s="1"/>
  <c r="AF24" i="5" a="1"/>
  <c r="AF24" i="5" s="1"/>
  <c r="AA24" i="5" a="1"/>
  <c r="AA24" i="5" s="1"/>
  <c r="X24" i="5" a="1"/>
  <c r="X24" i="5" s="1"/>
  <c r="O24" i="5" a="1"/>
  <c r="O24" i="5" s="1"/>
  <c r="V24" i="5" a="1"/>
  <c r="V24" i="5" s="1"/>
  <c r="AD24" i="5" a="1"/>
  <c r="AD24" i="5" s="1"/>
  <c r="S24" i="5" a="1"/>
  <c r="S24" i="5" s="1"/>
  <c r="R24" i="5" a="1"/>
  <c r="R24" i="5" s="1"/>
  <c r="AB24" i="5" a="1"/>
  <c r="AB24" i="5" s="1"/>
  <c r="AG24" i="5" a="1"/>
  <c r="AG24" i="5" s="1"/>
  <c r="N24" i="5" a="1"/>
  <c r="N24" i="5" s="1"/>
  <c r="Y24" i="5" a="1"/>
  <c r="Y24" i="5" s="1"/>
  <c r="AH24" i="5" a="1"/>
  <c r="AH24" i="5" s="1"/>
  <c r="H24" i="5" a="1"/>
  <c r="H24" i="5" s="1"/>
  <c r="L24" i="5" a="1"/>
  <c r="L24" i="5" s="1"/>
  <c r="G24" i="5" a="1"/>
  <c r="G24" i="5" s="1"/>
  <c r="K24" i="5" a="1"/>
  <c r="K24" i="5" s="1"/>
  <c r="J24" i="5" a="1"/>
  <c r="J24" i="5" s="1"/>
  <c r="I24" i="5" a="1"/>
  <c r="I24" i="5" s="1"/>
  <c r="M24" i="5" a="1"/>
  <c r="M24" i="5" s="1"/>
  <c r="F25" i="5"/>
  <c r="P25" i="5" l="1" a="1"/>
  <c r="P25" i="5" s="1"/>
  <c r="AC25" i="5" a="1"/>
  <c r="AC25" i="5" s="1"/>
  <c r="T25" i="5" a="1"/>
  <c r="T25" i="5" s="1"/>
  <c r="AE25" i="5" a="1"/>
  <c r="AE25" i="5" s="1"/>
  <c r="AF25" i="5" a="1"/>
  <c r="AF25" i="5" s="1"/>
  <c r="Z25" i="5" a="1"/>
  <c r="Z25" i="5" s="1"/>
  <c r="W25" i="5" a="1"/>
  <c r="W25" i="5" s="1"/>
  <c r="U25" i="5" a="1"/>
  <c r="U25" i="5" s="1"/>
  <c r="X25" i="5" a="1"/>
  <c r="X25" i="5" s="1"/>
  <c r="V25" i="5" a="1"/>
  <c r="V25" i="5" s="1"/>
  <c r="R25" i="5" a="1"/>
  <c r="R25" i="5" s="1"/>
  <c r="O25" i="5" a="1"/>
  <c r="O25" i="5" s="1"/>
  <c r="AG25" i="5" a="1"/>
  <c r="AG25" i="5" s="1"/>
  <c r="Q25" i="5" a="1"/>
  <c r="Q25" i="5" s="1"/>
  <c r="AA25" i="5" a="1"/>
  <c r="AA25" i="5" s="1"/>
  <c r="AD25" i="5" a="1"/>
  <c r="AD25" i="5" s="1"/>
  <c r="AH25" i="5" a="1"/>
  <c r="AH25" i="5" s="1"/>
  <c r="Y25" i="5" a="1"/>
  <c r="Y25" i="5" s="1"/>
  <c r="S25" i="5" a="1"/>
  <c r="S25" i="5" s="1"/>
  <c r="N25" i="5" a="1"/>
  <c r="N25" i="5" s="1"/>
  <c r="AB25" i="5" a="1"/>
  <c r="AB25" i="5" s="1"/>
  <c r="J25" i="5" a="1"/>
  <c r="J25" i="5" s="1"/>
  <c r="L25" i="5" a="1"/>
  <c r="L25" i="5" s="1"/>
  <c r="H25" i="5" a="1"/>
  <c r="H25" i="5" s="1"/>
  <c r="K25" i="5" a="1"/>
  <c r="K25" i="5" s="1"/>
  <c r="I25" i="5" a="1"/>
  <c r="I25" i="5" s="1"/>
  <c r="G25" i="5" a="1"/>
  <c r="G25" i="5" s="1"/>
  <c r="M25" i="5" a="1"/>
  <c r="M25" i="5" s="1"/>
  <c r="F26" i="5"/>
  <c r="Z12" i="9" l="1"/>
  <c r="AC12" i="9"/>
  <c r="AE26" i="5" a="1"/>
  <c r="AE26" i="5" s="1"/>
  <c r="AC26" i="5" a="1"/>
  <c r="AC26" i="5" s="1"/>
  <c r="P26" i="5" a="1"/>
  <c r="P26" i="5" s="1"/>
  <c r="T26" i="5" a="1"/>
  <c r="T26" i="5" s="1"/>
  <c r="O12" i="9" s="1"/>
  <c r="AF26" i="5" a="1"/>
  <c r="AF26" i="5" s="1"/>
  <c r="U26" i="5" a="1"/>
  <c r="U26" i="5" s="1"/>
  <c r="P12" i="9" s="1"/>
  <c r="Z26" i="5" a="1"/>
  <c r="Z26" i="5" s="1"/>
  <c r="U12" i="9" s="1"/>
  <c r="W26" i="5" a="1"/>
  <c r="W26" i="5" s="1"/>
  <c r="R12" i="9" s="1"/>
  <c r="AG26" i="5" a="1"/>
  <c r="AG26" i="5" s="1"/>
  <c r="R26" i="5" a="1"/>
  <c r="R26" i="5" s="1"/>
  <c r="O26" i="5" a="1"/>
  <c r="O26" i="5" s="1"/>
  <c r="J12" i="9" s="1"/>
  <c r="AA26" i="5" a="1"/>
  <c r="AA26" i="5" s="1"/>
  <c r="V12" i="9" s="1"/>
  <c r="V26" i="5" a="1"/>
  <c r="V26" i="5" s="1"/>
  <c r="Q12" i="9" s="1"/>
  <c r="X26" i="5" a="1"/>
  <c r="X26" i="5" s="1"/>
  <c r="S12" i="9" s="1"/>
  <c r="Q26" i="5" a="1"/>
  <c r="Q26" i="5" s="1"/>
  <c r="AH26" i="5" a="1"/>
  <c r="AH26" i="5" s="1"/>
  <c r="AD26" i="5" a="1"/>
  <c r="AD26" i="5" s="1"/>
  <c r="N26" i="5" a="1"/>
  <c r="N26" i="5" s="1"/>
  <c r="Y26" i="5" a="1"/>
  <c r="Y26" i="5" s="1"/>
  <c r="T12" i="9" s="1"/>
  <c r="AB26" i="5" a="1"/>
  <c r="AB26" i="5" s="1"/>
  <c r="S26" i="5" a="1"/>
  <c r="S26" i="5" s="1"/>
  <c r="N12" i="9" s="1"/>
  <c r="K26" i="5" a="1"/>
  <c r="K26" i="5" s="1"/>
  <c r="F12" i="9" s="1"/>
  <c r="L26" i="5" a="1"/>
  <c r="L26" i="5" s="1"/>
  <c r="H26" i="5" a="1"/>
  <c r="H26" i="5" s="1"/>
  <c r="G26" i="5" a="1"/>
  <c r="G26" i="5" s="1"/>
  <c r="J26" i="5" a="1"/>
  <c r="J26" i="5" s="1"/>
  <c r="I26" i="5" a="1"/>
  <c r="I26" i="5" s="1"/>
  <c r="M26" i="5" a="1"/>
  <c r="M26" i="5" s="1"/>
  <c r="F27" i="5"/>
  <c r="AC27" i="5" l="1" a="1"/>
  <c r="AC27" i="5" s="1"/>
  <c r="P27" i="5" a="1"/>
  <c r="P27" i="5" s="1"/>
  <c r="AE27" i="5" a="1"/>
  <c r="AE27" i="5" s="1"/>
  <c r="T27" i="5" a="1"/>
  <c r="T27" i="5" s="1"/>
  <c r="U27" i="5" a="1"/>
  <c r="U27" i="5" s="1"/>
  <c r="AF27" i="5" a="1"/>
  <c r="AF27" i="5" s="1"/>
  <c r="Z27" i="5" a="1"/>
  <c r="Z27" i="5" s="1"/>
  <c r="W27" i="5" a="1"/>
  <c r="W27" i="5" s="1"/>
  <c r="V27" i="5" a="1"/>
  <c r="V27" i="5" s="1"/>
  <c r="X27" i="5" a="1"/>
  <c r="X27" i="5" s="1"/>
  <c r="AG27" i="5" a="1"/>
  <c r="AG27" i="5" s="1"/>
  <c r="Q27" i="5" a="1"/>
  <c r="Q27" i="5" s="1"/>
  <c r="AA27" i="5" a="1"/>
  <c r="AA27" i="5" s="1"/>
  <c r="O27" i="5" a="1"/>
  <c r="O27" i="5" s="1"/>
  <c r="AB27" i="5" a="1"/>
  <c r="AB27" i="5" s="1"/>
  <c r="R27" i="5" a="1"/>
  <c r="R27" i="5" s="1"/>
  <c r="AD27" i="5" a="1"/>
  <c r="AD27" i="5" s="1"/>
  <c r="S27" i="5" a="1"/>
  <c r="S27" i="5" s="1"/>
  <c r="AH27" i="5" a="1"/>
  <c r="AH27" i="5" s="1"/>
  <c r="Y27" i="5" a="1"/>
  <c r="Y27" i="5" s="1"/>
  <c r="N27" i="5" a="1"/>
  <c r="N27" i="5" s="1"/>
  <c r="L27" i="5" a="1"/>
  <c r="L27" i="5" s="1"/>
  <c r="H27" i="5" a="1"/>
  <c r="H27" i="5" s="1"/>
  <c r="K27" i="5" a="1"/>
  <c r="K27" i="5" s="1"/>
  <c r="I27" i="5" a="1"/>
  <c r="I27" i="5" s="1"/>
  <c r="J27" i="5" a="1"/>
  <c r="J27" i="5" s="1"/>
  <c r="G27" i="5" a="1"/>
  <c r="G27" i="5" s="1"/>
  <c r="M27" i="5" a="1"/>
  <c r="M27" i="5" s="1"/>
  <c r="F28" i="5"/>
  <c r="T28" i="5" l="1" a="1"/>
  <c r="T28" i="5" s="1"/>
  <c r="AE28" i="5" a="1"/>
  <c r="AE28" i="5" s="1"/>
  <c r="AC28" i="5" a="1"/>
  <c r="AC28" i="5" s="1"/>
  <c r="P28" i="5" a="1"/>
  <c r="P28" i="5" s="1"/>
  <c r="Z28" i="5" a="1"/>
  <c r="Z28" i="5" s="1"/>
  <c r="W28" i="5" a="1"/>
  <c r="W28" i="5" s="1"/>
  <c r="U28" i="5" a="1"/>
  <c r="U28" i="5" s="1"/>
  <c r="X28" i="5" a="1"/>
  <c r="X28" i="5" s="1"/>
  <c r="R28" i="5" a="1"/>
  <c r="R28" i="5" s="1"/>
  <c r="Q28" i="5" a="1"/>
  <c r="Q28" i="5" s="1"/>
  <c r="AF28" i="5" a="1"/>
  <c r="AF28" i="5" s="1"/>
  <c r="AA28" i="5" a="1"/>
  <c r="AA28" i="5" s="1"/>
  <c r="O28" i="5" a="1"/>
  <c r="O28" i="5" s="1"/>
  <c r="AG28" i="5" a="1"/>
  <c r="AG28" i="5" s="1"/>
  <c r="V28" i="5" a="1"/>
  <c r="V28" i="5" s="1"/>
  <c r="AH28" i="5" a="1"/>
  <c r="AH28" i="5" s="1"/>
  <c r="AD28" i="5" a="1"/>
  <c r="AD28" i="5" s="1"/>
  <c r="S28" i="5" a="1"/>
  <c r="S28" i="5" s="1"/>
  <c r="N28" i="5" a="1"/>
  <c r="N28" i="5" s="1"/>
  <c r="AB28" i="5" a="1"/>
  <c r="AB28" i="5" s="1"/>
  <c r="Y28" i="5" a="1"/>
  <c r="Y28" i="5" s="1"/>
  <c r="K28" i="5" a="1"/>
  <c r="K28" i="5" s="1"/>
  <c r="L28" i="5" a="1"/>
  <c r="L28" i="5" s="1"/>
  <c r="H28" i="5" a="1"/>
  <c r="H28" i="5" s="1"/>
  <c r="I28" i="5" a="1"/>
  <c r="I28" i="5" s="1"/>
  <c r="J28" i="5" a="1"/>
  <c r="J28" i="5" s="1"/>
  <c r="G28" i="5" a="1"/>
  <c r="G28" i="5" s="1"/>
  <c r="M28" i="5" a="1"/>
  <c r="M28" i="5" s="1"/>
  <c r="F29" i="5"/>
  <c r="AE29" i="5" l="1" a="1"/>
  <c r="AE29" i="5" s="1"/>
  <c r="AC29" i="5" a="1"/>
  <c r="AC29" i="5" s="1"/>
  <c r="P29" i="5" a="1"/>
  <c r="P29" i="5" s="1"/>
  <c r="T29" i="5" a="1"/>
  <c r="T29" i="5" s="1"/>
  <c r="Z29" i="5" a="1"/>
  <c r="Z29" i="5" s="1"/>
  <c r="U29" i="5" a="1"/>
  <c r="U29" i="5" s="1"/>
  <c r="W29" i="5" a="1"/>
  <c r="W29" i="5" s="1"/>
  <c r="AF29" i="5" a="1"/>
  <c r="AF29" i="5" s="1"/>
  <c r="R29" i="5" a="1"/>
  <c r="R29" i="5" s="1"/>
  <c r="AG29" i="5" a="1"/>
  <c r="AG29" i="5" s="1"/>
  <c r="X29" i="5" a="1"/>
  <c r="X29" i="5" s="1"/>
  <c r="O29" i="5" a="1"/>
  <c r="O29" i="5" s="1"/>
  <c r="AA29" i="5" a="1"/>
  <c r="AA29" i="5" s="1"/>
  <c r="Q29" i="5" a="1"/>
  <c r="Q29" i="5" s="1"/>
  <c r="V29" i="5" a="1"/>
  <c r="V29" i="5" s="1"/>
  <c r="AB29" i="5" a="1"/>
  <c r="AB29" i="5" s="1"/>
  <c r="AH29" i="5" a="1"/>
  <c r="AH29" i="5" s="1"/>
  <c r="AD29" i="5" a="1"/>
  <c r="AD29" i="5" s="1"/>
  <c r="S29" i="5" a="1"/>
  <c r="S29" i="5" s="1"/>
  <c r="N29" i="5" a="1"/>
  <c r="N29" i="5" s="1"/>
  <c r="Y29" i="5" a="1"/>
  <c r="Y29" i="5" s="1"/>
  <c r="L29" i="5" a="1"/>
  <c r="L29" i="5" s="1"/>
  <c r="K29" i="5" a="1"/>
  <c r="K29" i="5" s="1"/>
  <c r="H29" i="5" a="1"/>
  <c r="H29" i="5" s="1"/>
  <c r="G29" i="5" a="1"/>
  <c r="G29" i="5" s="1"/>
  <c r="I29" i="5" a="1"/>
  <c r="I29" i="5" s="1"/>
  <c r="J29" i="5" a="1"/>
  <c r="J29" i="5" s="1"/>
  <c r="M29" i="5" a="1"/>
  <c r="M29" i="5" s="1"/>
  <c r="F30" i="5"/>
  <c r="O13" i="9" l="1"/>
  <c r="Y13" i="9"/>
  <c r="AC30" i="5" a="1"/>
  <c r="AC30" i="5" s="1"/>
  <c r="AE30" i="5" a="1"/>
  <c r="AE30" i="5" s="1"/>
  <c r="T30" i="5" a="1"/>
  <c r="T30" i="5" s="1"/>
  <c r="P30" i="5" a="1"/>
  <c r="P30" i="5" s="1"/>
  <c r="U30" i="5" a="1"/>
  <c r="U30" i="5" s="1"/>
  <c r="P13" i="9" s="1"/>
  <c r="Z30" i="5" a="1"/>
  <c r="Z30" i="5" s="1"/>
  <c r="U13" i="9" s="1"/>
  <c r="W30" i="5" a="1"/>
  <c r="W30" i="5" s="1"/>
  <c r="R13" i="9" s="1"/>
  <c r="AF30" i="5" a="1"/>
  <c r="AF30" i="5" s="1"/>
  <c r="X30" i="5" a="1"/>
  <c r="X30" i="5" s="1"/>
  <c r="S13" i="9" s="1"/>
  <c r="AG30" i="5" a="1"/>
  <c r="AG30" i="5" s="1"/>
  <c r="O30" i="5" a="1"/>
  <c r="O30" i="5" s="1"/>
  <c r="AA30" i="5" a="1"/>
  <c r="AA30" i="5" s="1"/>
  <c r="V13" i="9" s="1"/>
  <c r="V30" i="5" a="1"/>
  <c r="V30" i="5" s="1"/>
  <c r="Q13" i="9" s="1"/>
  <c r="Q30" i="5" a="1"/>
  <c r="Q30" i="5" s="1"/>
  <c r="L13" i="9" s="1"/>
  <c r="AD30" i="5" a="1"/>
  <c r="AD30" i="5" s="1"/>
  <c r="N30" i="5" a="1"/>
  <c r="N30" i="5" s="1"/>
  <c r="AB30" i="5" a="1"/>
  <c r="AB30" i="5" s="1"/>
  <c r="Y30" i="5" a="1"/>
  <c r="Y30" i="5" s="1"/>
  <c r="T13" i="9" s="1"/>
  <c r="S30" i="5" a="1"/>
  <c r="S30" i="5" s="1"/>
  <c r="R30" i="5" a="1"/>
  <c r="R30" i="5" s="1"/>
  <c r="AH30" i="5" a="1"/>
  <c r="AH30" i="5" s="1"/>
  <c r="K30" i="5" a="1"/>
  <c r="K30" i="5" s="1"/>
  <c r="H30" i="5" a="1"/>
  <c r="H30" i="5" s="1"/>
  <c r="G30" i="5" a="1"/>
  <c r="G30" i="5" s="1"/>
  <c r="L30" i="5" a="1"/>
  <c r="L30" i="5" s="1"/>
  <c r="I30" i="5" a="1"/>
  <c r="I30" i="5" s="1"/>
  <c r="J30" i="5" a="1"/>
  <c r="J30" i="5" s="1"/>
  <c r="M30" i="5" a="1"/>
  <c r="M30" i="5" s="1"/>
  <c r="F31" i="5"/>
  <c r="AE31" i="5" l="1" a="1"/>
  <c r="AE31" i="5" s="1"/>
  <c r="P31" i="5" a="1"/>
  <c r="P31" i="5" s="1"/>
  <c r="AC31" i="5" a="1"/>
  <c r="AC31" i="5" s="1"/>
  <c r="T31" i="5" a="1"/>
  <c r="T31" i="5" s="1"/>
  <c r="U31" i="5" a="1"/>
  <c r="U31" i="5" s="1"/>
  <c r="W31" i="5" a="1"/>
  <c r="W31" i="5" s="1"/>
  <c r="Z31" i="5" a="1"/>
  <c r="Z31" i="5" s="1"/>
  <c r="AF31" i="5" a="1"/>
  <c r="AF31" i="5" s="1"/>
  <c r="X31" i="5" a="1"/>
  <c r="X31" i="5" s="1"/>
  <c r="AG31" i="5" a="1"/>
  <c r="AG31" i="5" s="1"/>
  <c r="Q31" i="5" a="1"/>
  <c r="Q31" i="5" s="1"/>
  <c r="O31" i="5" a="1"/>
  <c r="O31" i="5" s="1"/>
  <c r="R31" i="5" a="1"/>
  <c r="R31" i="5" s="1"/>
  <c r="AA31" i="5" a="1"/>
  <c r="AA31" i="5" s="1"/>
  <c r="V31" i="5" a="1"/>
  <c r="V31" i="5" s="1"/>
  <c r="Y31" i="5" a="1"/>
  <c r="Y31" i="5" s="1"/>
  <c r="N31" i="5" a="1"/>
  <c r="N31" i="5" s="1"/>
  <c r="AD31" i="5" a="1"/>
  <c r="AD31" i="5" s="1"/>
  <c r="AH31" i="5" a="1"/>
  <c r="AH31" i="5" s="1"/>
  <c r="S31" i="5" a="1"/>
  <c r="S31" i="5" s="1"/>
  <c r="AB31" i="5" a="1"/>
  <c r="AB31" i="5" s="1"/>
  <c r="G31" i="5" a="1"/>
  <c r="G31" i="5" s="1"/>
  <c r="H31" i="5" a="1"/>
  <c r="H31" i="5" s="1"/>
  <c r="I31" i="5" a="1"/>
  <c r="I31" i="5" s="1"/>
  <c r="J31" i="5" a="1"/>
  <c r="J31" i="5" s="1"/>
  <c r="K31" i="5" a="1"/>
  <c r="K31" i="5" s="1"/>
  <c r="L31" i="5" a="1"/>
  <c r="L31" i="5" s="1"/>
  <c r="M31" i="5" a="1"/>
  <c r="M31" i="5" s="1"/>
  <c r="F32" i="5"/>
  <c r="AE32" i="5" l="1" a="1"/>
  <c r="AE32" i="5" s="1"/>
  <c r="AC32" i="5" a="1"/>
  <c r="AC32" i="5" s="1"/>
  <c r="P32" i="5" a="1"/>
  <c r="P32" i="5" s="1"/>
  <c r="T32" i="5" a="1"/>
  <c r="T32" i="5" s="1"/>
  <c r="AF32" i="5" a="1"/>
  <c r="AF32" i="5" s="1"/>
  <c r="Z32" i="5" a="1"/>
  <c r="Z32" i="5" s="1"/>
  <c r="W32" i="5" a="1"/>
  <c r="W32" i="5" s="1"/>
  <c r="U32" i="5" a="1"/>
  <c r="U32" i="5" s="1"/>
  <c r="V32" i="5" a="1"/>
  <c r="V32" i="5" s="1"/>
  <c r="O32" i="5" a="1"/>
  <c r="O32" i="5" s="1"/>
  <c r="AA32" i="5" a="1"/>
  <c r="AA32" i="5" s="1"/>
  <c r="R32" i="5" a="1"/>
  <c r="R32" i="5" s="1"/>
  <c r="Q32" i="5" a="1"/>
  <c r="Q32" i="5" s="1"/>
  <c r="X32" i="5" a="1"/>
  <c r="X32" i="5" s="1"/>
  <c r="Y32" i="5" a="1"/>
  <c r="Y32" i="5" s="1"/>
  <c r="AG32" i="5" a="1"/>
  <c r="AG32" i="5" s="1"/>
  <c r="AD32" i="5" a="1"/>
  <c r="AD32" i="5" s="1"/>
  <c r="S32" i="5" a="1"/>
  <c r="S32" i="5" s="1"/>
  <c r="N32" i="5" a="1"/>
  <c r="N32" i="5" s="1"/>
  <c r="AB32" i="5" a="1"/>
  <c r="AB32" i="5" s="1"/>
  <c r="AH32" i="5" a="1"/>
  <c r="AH32" i="5" s="1"/>
  <c r="G32" i="5" a="1"/>
  <c r="G32" i="5" s="1"/>
  <c r="L32" i="5" a="1"/>
  <c r="L32" i="5" s="1"/>
  <c r="H32" i="5" a="1"/>
  <c r="H32" i="5" s="1"/>
  <c r="K32" i="5" a="1"/>
  <c r="K32" i="5" s="1"/>
  <c r="J32" i="5" a="1"/>
  <c r="J32" i="5" s="1"/>
  <c r="I32" i="5" a="1"/>
  <c r="I32" i="5" s="1"/>
  <c r="M32" i="5" a="1"/>
  <c r="M32" i="5" s="1"/>
  <c r="F33" i="5"/>
  <c r="AE33" i="5" l="1" a="1"/>
  <c r="AE33" i="5" s="1"/>
  <c r="T33" i="5" a="1"/>
  <c r="T33" i="5" s="1"/>
  <c r="P33" i="5" a="1"/>
  <c r="P33" i="5" s="1"/>
  <c r="AC33" i="5" a="1"/>
  <c r="AC33" i="5" s="1"/>
  <c r="U33" i="5" a="1"/>
  <c r="U33" i="5" s="1"/>
  <c r="Z33" i="5" a="1"/>
  <c r="Z33" i="5" s="1"/>
  <c r="W33" i="5" a="1"/>
  <c r="W33" i="5" s="1"/>
  <c r="Q33" i="5" a="1"/>
  <c r="Q33" i="5" s="1"/>
  <c r="O33" i="5" a="1"/>
  <c r="O33" i="5" s="1"/>
  <c r="V33" i="5" a="1"/>
  <c r="V33" i="5" s="1"/>
  <c r="R33" i="5" a="1"/>
  <c r="R33" i="5" s="1"/>
  <c r="AD33" i="5" a="1"/>
  <c r="AD33" i="5" s="1"/>
  <c r="AF33" i="5" a="1"/>
  <c r="AF33" i="5" s="1"/>
  <c r="X33" i="5" a="1"/>
  <c r="X33" i="5" s="1"/>
  <c r="AA33" i="5" a="1"/>
  <c r="AA33" i="5" s="1"/>
  <c r="AG33" i="5" a="1"/>
  <c r="AG33" i="5" s="1"/>
  <c r="AH33" i="5" a="1"/>
  <c r="AH33" i="5" s="1"/>
  <c r="AB33" i="5" a="1"/>
  <c r="AB33" i="5" s="1"/>
  <c r="N33" i="5" a="1"/>
  <c r="N33" i="5" s="1"/>
  <c r="Y33" i="5" a="1"/>
  <c r="Y33" i="5" s="1"/>
  <c r="S33" i="5" a="1"/>
  <c r="S33" i="5" s="1"/>
  <c r="K33" i="5" a="1"/>
  <c r="K33" i="5" s="1"/>
  <c r="H33" i="5" a="1"/>
  <c r="H33" i="5" s="1"/>
  <c r="L33" i="5" a="1"/>
  <c r="L33" i="5" s="1"/>
  <c r="G33" i="5" a="1"/>
  <c r="G33" i="5" s="1"/>
  <c r="I33" i="5" a="1"/>
  <c r="I33" i="5" s="1"/>
  <c r="J33" i="5" a="1"/>
  <c r="J33" i="5" s="1"/>
  <c r="M33" i="5" a="1"/>
  <c r="M33" i="5" s="1"/>
  <c r="F34" i="5"/>
  <c r="W14" i="9" l="1"/>
  <c r="T34" i="5" a="1"/>
  <c r="T34" i="5" s="1"/>
  <c r="O14" i="9" s="1"/>
  <c r="P34" i="5" a="1"/>
  <c r="P34" i="5" s="1"/>
  <c r="AE34" i="5" a="1"/>
  <c r="AE34" i="5" s="1"/>
  <c r="AC34" i="5" a="1"/>
  <c r="AC34" i="5" s="1"/>
  <c r="AF34" i="5" a="1"/>
  <c r="AF34" i="5" s="1"/>
  <c r="W34" i="5" a="1"/>
  <c r="W34" i="5" s="1"/>
  <c r="R14" i="9" s="1"/>
  <c r="U34" i="5" a="1"/>
  <c r="U34" i="5" s="1"/>
  <c r="P14" i="9" s="1"/>
  <c r="Z34" i="5" a="1"/>
  <c r="Z34" i="5" s="1"/>
  <c r="U14" i="9" s="1"/>
  <c r="Q34" i="5" a="1"/>
  <c r="Q34" i="5" s="1"/>
  <c r="V34" i="5" a="1"/>
  <c r="V34" i="5" s="1"/>
  <c r="Q14" i="9" s="1"/>
  <c r="AG34" i="5" a="1"/>
  <c r="AG34" i="5" s="1"/>
  <c r="AD34" i="5" a="1"/>
  <c r="AD34" i="5" s="1"/>
  <c r="Y14" i="9" s="1"/>
  <c r="O34" i="5" a="1"/>
  <c r="O34" i="5" s="1"/>
  <c r="AA34" i="5" a="1"/>
  <c r="AA34" i="5" s="1"/>
  <c r="V14" i="9" s="1"/>
  <c r="X34" i="5" a="1"/>
  <c r="X34" i="5" s="1"/>
  <c r="S14" i="9" s="1"/>
  <c r="AB34" i="5" a="1"/>
  <c r="AB34" i="5" s="1"/>
  <c r="S34" i="5" a="1"/>
  <c r="S34" i="5" s="1"/>
  <c r="Y34" i="5" a="1"/>
  <c r="Y34" i="5" s="1"/>
  <c r="T14" i="9" s="1"/>
  <c r="N34" i="5" a="1"/>
  <c r="N34" i="5" s="1"/>
  <c r="AH34" i="5" a="1"/>
  <c r="AH34" i="5" s="1"/>
  <c r="AC14" i="9" s="1"/>
  <c r="R34" i="5" a="1"/>
  <c r="R34" i="5" s="1"/>
  <c r="K34" i="5" a="1"/>
  <c r="K34" i="5" s="1"/>
  <c r="H34" i="5" a="1"/>
  <c r="H34" i="5" s="1"/>
  <c r="I34" i="5" a="1"/>
  <c r="I34" i="5" s="1"/>
  <c r="L34" i="5" a="1"/>
  <c r="L34" i="5" s="1"/>
  <c r="J34" i="5" a="1"/>
  <c r="J34" i="5" s="1"/>
  <c r="E14" i="9" s="1"/>
  <c r="G34" i="5" a="1"/>
  <c r="G34" i="5" s="1"/>
  <c r="M34" i="5" a="1"/>
  <c r="M34" i="5" s="1"/>
  <c r="F35" i="5"/>
  <c r="P35" i="5" l="1" a="1"/>
  <c r="P35" i="5" s="1"/>
  <c r="T35" i="5" a="1"/>
  <c r="T35" i="5" s="1"/>
  <c r="AE35" i="5" a="1"/>
  <c r="AE35" i="5" s="1"/>
  <c r="AC35" i="5" a="1"/>
  <c r="AC35" i="5" s="1"/>
  <c r="U35" i="5" a="1"/>
  <c r="U35" i="5" s="1"/>
  <c r="AF35" i="5" a="1"/>
  <c r="AF35" i="5" s="1"/>
  <c r="Z35" i="5" a="1"/>
  <c r="Z35" i="5" s="1"/>
  <c r="W35" i="5" a="1"/>
  <c r="W35" i="5" s="1"/>
  <c r="Q35" i="5" a="1"/>
  <c r="Q35" i="5" s="1"/>
  <c r="AA35" i="5" a="1"/>
  <c r="AA35" i="5" s="1"/>
  <c r="X35" i="5" a="1"/>
  <c r="X35" i="5" s="1"/>
  <c r="V35" i="5" a="1"/>
  <c r="V35" i="5" s="1"/>
  <c r="AG35" i="5" a="1"/>
  <c r="AG35" i="5" s="1"/>
  <c r="O35" i="5" a="1"/>
  <c r="O35" i="5" s="1"/>
  <c r="AD35" i="5" a="1"/>
  <c r="AD35" i="5" s="1"/>
  <c r="Y35" i="5" a="1"/>
  <c r="Y35" i="5" s="1"/>
  <c r="R35" i="5" a="1"/>
  <c r="R35" i="5" s="1"/>
  <c r="AH35" i="5" a="1"/>
  <c r="AH35" i="5" s="1"/>
  <c r="AB35" i="5" a="1"/>
  <c r="AB35" i="5" s="1"/>
  <c r="S35" i="5" a="1"/>
  <c r="S35" i="5" s="1"/>
  <c r="N35" i="5" a="1"/>
  <c r="N35" i="5" s="1"/>
  <c r="H35" i="5" a="1"/>
  <c r="H35" i="5" s="1"/>
  <c r="J35" i="5" a="1"/>
  <c r="J35" i="5" s="1"/>
  <c r="K35" i="5" a="1"/>
  <c r="K35" i="5" s="1"/>
  <c r="I35" i="5" a="1"/>
  <c r="I35" i="5" s="1"/>
  <c r="L35" i="5" a="1"/>
  <c r="L35" i="5" s="1"/>
  <c r="G35" i="5" a="1"/>
  <c r="G35" i="5" s="1"/>
  <c r="M35" i="5" a="1"/>
  <c r="M35" i="5" s="1"/>
  <c r="F36" i="5"/>
  <c r="T36" i="5" l="1" a="1"/>
  <c r="T36" i="5" s="1"/>
  <c r="AE36" i="5" a="1"/>
  <c r="AE36" i="5" s="1"/>
  <c r="P36" i="5" a="1"/>
  <c r="P36" i="5" s="1"/>
  <c r="AC36" i="5" a="1"/>
  <c r="AC36" i="5" s="1"/>
  <c r="Z36" i="5" a="1"/>
  <c r="Z36" i="5" s="1"/>
  <c r="W36" i="5" a="1"/>
  <c r="W36" i="5" s="1"/>
  <c r="U36" i="5" a="1"/>
  <c r="U36" i="5" s="1"/>
  <c r="V36" i="5" a="1"/>
  <c r="V36" i="5" s="1"/>
  <c r="AG36" i="5" a="1"/>
  <c r="AG36" i="5" s="1"/>
  <c r="R36" i="5" a="1"/>
  <c r="R36" i="5" s="1"/>
  <c r="AF36" i="5" a="1"/>
  <c r="AF36" i="5" s="1"/>
  <c r="AA36" i="5" a="1"/>
  <c r="AA36" i="5" s="1"/>
  <c r="X36" i="5" a="1"/>
  <c r="X36" i="5" s="1"/>
  <c r="Q36" i="5" a="1"/>
  <c r="Q36" i="5" s="1"/>
  <c r="O36" i="5" a="1"/>
  <c r="O36" i="5" s="1"/>
  <c r="Y36" i="5" a="1"/>
  <c r="Y36" i="5" s="1"/>
  <c r="N36" i="5" a="1"/>
  <c r="N36" i="5" s="1"/>
  <c r="AD36" i="5" a="1"/>
  <c r="AD36" i="5" s="1"/>
  <c r="AH36" i="5" a="1"/>
  <c r="AH36" i="5" s="1"/>
  <c r="S36" i="5" a="1"/>
  <c r="S36" i="5" s="1"/>
  <c r="AB36" i="5" a="1"/>
  <c r="AB36" i="5" s="1"/>
  <c r="H36" i="5" a="1"/>
  <c r="H36" i="5" s="1"/>
  <c r="K36" i="5" a="1"/>
  <c r="K36" i="5" s="1"/>
  <c r="J36" i="5" a="1"/>
  <c r="J36" i="5" s="1"/>
  <c r="G36" i="5" a="1"/>
  <c r="G36" i="5" s="1"/>
  <c r="I36" i="5" a="1"/>
  <c r="I36" i="5" s="1"/>
  <c r="L36" i="5" a="1"/>
  <c r="L36" i="5" s="1"/>
  <c r="M36" i="5" a="1"/>
  <c r="M36" i="5" s="1"/>
  <c r="F37" i="5"/>
  <c r="AC37" i="5" l="1" a="1"/>
  <c r="AC37" i="5" s="1"/>
  <c r="AE37" i="5" a="1"/>
  <c r="AE37" i="5" s="1"/>
  <c r="P37" i="5" a="1"/>
  <c r="P37" i="5" s="1"/>
  <c r="T37" i="5" a="1"/>
  <c r="T37" i="5" s="1"/>
  <c r="AF37" i="5" a="1"/>
  <c r="AF37" i="5" s="1"/>
  <c r="W37" i="5" a="1"/>
  <c r="W37" i="5" s="1"/>
  <c r="U37" i="5" a="1"/>
  <c r="U37" i="5" s="1"/>
  <c r="Z37" i="5" a="1"/>
  <c r="Z37" i="5" s="1"/>
  <c r="Q37" i="5" a="1"/>
  <c r="Q37" i="5" s="1"/>
  <c r="X37" i="5" a="1"/>
  <c r="X37" i="5" s="1"/>
  <c r="AA37" i="5" a="1"/>
  <c r="AA37" i="5" s="1"/>
  <c r="AG37" i="5" a="1"/>
  <c r="AG37" i="5" s="1"/>
  <c r="O37" i="5" a="1"/>
  <c r="O37" i="5" s="1"/>
  <c r="V37" i="5" a="1"/>
  <c r="V37" i="5" s="1"/>
  <c r="N37" i="5" a="1"/>
  <c r="N37" i="5" s="1"/>
  <c r="AB37" i="5" a="1"/>
  <c r="AB37" i="5" s="1"/>
  <c r="Y37" i="5" a="1"/>
  <c r="Y37" i="5" s="1"/>
  <c r="AD37" i="5" a="1"/>
  <c r="AD37" i="5" s="1"/>
  <c r="AH37" i="5" a="1"/>
  <c r="AH37" i="5" s="1"/>
  <c r="S37" i="5" a="1"/>
  <c r="S37" i="5" s="1"/>
  <c r="R37" i="5" a="1"/>
  <c r="R37" i="5" s="1"/>
  <c r="K37" i="5" a="1"/>
  <c r="K37" i="5" s="1"/>
  <c r="L37" i="5" a="1"/>
  <c r="L37" i="5" s="1"/>
  <c r="I37" i="5" a="1"/>
  <c r="I37" i="5" s="1"/>
  <c r="G37" i="5" a="1"/>
  <c r="G37" i="5" s="1"/>
  <c r="J37" i="5" a="1"/>
  <c r="J37" i="5" s="1"/>
  <c r="H37" i="5" a="1"/>
  <c r="H37" i="5" s="1"/>
  <c r="M37" i="5" a="1"/>
  <c r="M37" i="5" s="1"/>
  <c r="F38" i="5"/>
  <c r="X15" i="9" l="1"/>
  <c r="O15" i="9"/>
  <c r="P38" i="5" a="1"/>
  <c r="P38" i="5" s="1"/>
  <c r="K15" i="9" s="1"/>
  <c r="T38" i="5" a="1"/>
  <c r="T38" i="5" s="1"/>
  <c r="AE38" i="5" a="1"/>
  <c r="AE38" i="5" s="1"/>
  <c r="AC38" i="5" a="1"/>
  <c r="AC38" i="5" s="1"/>
  <c r="W38" i="5" a="1"/>
  <c r="W38" i="5" s="1"/>
  <c r="R15" i="9" s="1"/>
  <c r="Z38" i="5" a="1"/>
  <c r="Z38" i="5" s="1"/>
  <c r="U15" i="9" s="1"/>
  <c r="U38" i="5" a="1"/>
  <c r="U38" i="5" s="1"/>
  <c r="P15" i="9" s="1"/>
  <c r="AF38" i="5" a="1"/>
  <c r="AF38" i="5" s="1"/>
  <c r="AG38" i="5" a="1"/>
  <c r="AG38" i="5" s="1"/>
  <c r="AA38" i="5" a="1"/>
  <c r="AA38" i="5" s="1"/>
  <c r="V15" i="9" s="1"/>
  <c r="R38" i="5" a="1"/>
  <c r="R38" i="5" s="1"/>
  <c r="V38" i="5" a="1"/>
  <c r="V38" i="5" s="1"/>
  <c r="Q15" i="9" s="1"/>
  <c r="O38" i="5" a="1"/>
  <c r="O38" i="5" s="1"/>
  <c r="X38" i="5" a="1"/>
  <c r="X38" i="5" s="1"/>
  <c r="S15" i="9" s="1"/>
  <c r="Q38" i="5" a="1"/>
  <c r="Q38" i="5" s="1"/>
  <c r="S38" i="5" a="1"/>
  <c r="S38" i="5" s="1"/>
  <c r="N15" i="9" s="1"/>
  <c r="AB38" i="5" a="1"/>
  <c r="AB38" i="5" s="1"/>
  <c r="AD38" i="5" a="1"/>
  <c r="AD38" i="5" s="1"/>
  <c r="N38" i="5" a="1"/>
  <c r="N38" i="5" s="1"/>
  <c r="Y38" i="5" a="1"/>
  <c r="Y38" i="5" s="1"/>
  <c r="T15" i="9" s="1"/>
  <c r="AH38" i="5" a="1"/>
  <c r="AH38" i="5" s="1"/>
  <c r="G38" i="5" a="1"/>
  <c r="G38" i="5" s="1"/>
  <c r="L38" i="5" a="1"/>
  <c r="L38" i="5" s="1"/>
  <c r="G15" i="9" s="1"/>
  <c r="K38" i="5" a="1"/>
  <c r="K38" i="5" s="1"/>
  <c r="H38" i="5" a="1"/>
  <c r="H38" i="5" s="1"/>
  <c r="J38" i="5" a="1"/>
  <c r="J38" i="5" s="1"/>
  <c r="I38" i="5" a="1"/>
  <c r="I38" i="5" s="1"/>
  <c r="M38" i="5" a="1"/>
  <c r="M38" i="5" s="1"/>
  <c r="F39" i="5"/>
  <c r="P39" i="5" l="1" a="1"/>
  <c r="P39" i="5" s="1"/>
  <c r="T39" i="5" a="1"/>
  <c r="T39" i="5" s="1"/>
  <c r="AE39" i="5" a="1"/>
  <c r="AE39" i="5" s="1"/>
  <c r="AC39" i="5" a="1"/>
  <c r="AC39" i="5" s="1"/>
  <c r="W39" i="5" a="1"/>
  <c r="W39" i="5" s="1"/>
  <c r="AF39" i="5" a="1"/>
  <c r="AF39" i="5" s="1"/>
  <c r="Z39" i="5" a="1"/>
  <c r="Z39" i="5" s="1"/>
  <c r="U39" i="5" a="1"/>
  <c r="U39" i="5" s="1"/>
  <c r="O39" i="5" a="1"/>
  <c r="O39" i="5" s="1"/>
  <c r="Q39" i="5" a="1"/>
  <c r="Q39" i="5" s="1"/>
  <c r="AA39" i="5" a="1"/>
  <c r="AA39" i="5" s="1"/>
  <c r="X39" i="5" a="1"/>
  <c r="X39" i="5" s="1"/>
  <c r="AG39" i="5" a="1"/>
  <c r="AG39" i="5" s="1"/>
  <c r="V39" i="5" a="1"/>
  <c r="V39" i="5" s="1"/>
  <c r="AD39" i="5" a="1"/>
  <c r="AD39" i="5" s="1"/>
  <c r="S39" i="5" a="1"/>
  <c r="S39" i="5" s="1"/>
  <c r="Y39" i="5" a="1"/>
  <c r="Y39" i="5" s="1"/>
  <c r="AB39" i="5" a="1"/>
  <c r="AB39" i="5" s="1"/>
  <c r="N39" i="5" a="1"/>
  <c r="N39" i="5" s="1"/>
  <c r="AH39" i="5" a="1"/>
  <c r="AH39" i="5" s="1"/>
  <c r="R39" i="5" a="1"/>
  <c r="R39" i="5" s="1"/>
  <c r="K39" i="5" a="1"/>
  <c r="K39" i="5" s="1"/>
  <c r="L39" i="5" a="1"/>
  <c r="L39" i="5" s="1"/>
  <c r="H39" i="5" a="1"/>
  <c r="H39" i="5" s="1"/>
  <c r="G39" i="5" a="1"/>
  <c r="G39" i="5" s="1"/>
  <c r="I39" i="5" a="1"/>
  <c r="I39" i="5" s="1"/>
  <c r="J39" i="5" a="1"/>
  <c r="J39" i="5" s="1"/>
  <c r="M39" i="5" a="1"/>
  <c r="M39" i="5" s="1"/>
  <c r="F40" i="5"/>
  <c r="P40" i="5" l="1" a="1"/>
  <c r="P40" i="5" s="1"/>
  <c r="T40" i="5" a="1"/>
  <c r="T40" i="5" s="1"/>
  <c r="AE40" i="5" a="1"/>
  <c r="AE40" i="5" s="1"/>
  <c r="AC40" i="5" a="1"/>
  <c r="AC40" i="5" s="1"/>
  <c r="W40" i="5" a="1"/>
  <c r="W40" i="5" s="1"/>
  <c r="Z40" i="5" a="1"/>
  <c r="Z40" i="5" s="1"/>
  <c r="AF40" i="5" a="1"/>
  <c r="AF40" i="5" s="1"/>
  <c r="U40" i="5" a="1"/>
  <c r="U40" i="5" s="1"/>
  <c r="X40" i="5" a="1"/>
  <c r="X40" i="5" s="1"/>
  <c r="AG40" i="5" a="1"/>
  <c r="AG40" i="5" s="1"/>
  <c r="V40" i="5" a="1"/>
  <c r="V40" i="5" s="1"/>
  <c r="Q40" i="5" a="1"/>
  <c r="Q40" i="5" s="1"/>
  <c r="AA40" i="5" a="1"/>
  <c r="AA40" i="5" s="1"/>
  <c r="O40" i="5" a="1"/>
  <c r="O40" i="5" s="1"/>
  <c r="R40" i="5" a="1"/>
  <c r="R40" i="5" s="1"/>
  <c r="AB40" i="5" a="1"/>
  <c r="AB40" i="5" s="1"/>
  <c r="N40" i="5" a="1"/>
  <c r="N40" i="5" s="1"/>
  <c r="AH40" i="5" a="1"/>
  <c r="AH40" i="5" s="1"/>
  <c r="Y40" i="5" a="1"/>
  <c r="Y40" i="5" s="1"/>
  <c r="AD40" i="5" a="1"/>
  <c r="AD40" i="5" s="1"/>
  <c r="S40" i="5" a="1"/>
  <c r="S40" i="5" s="1"/>
  <c r="G40" i="5" a="1"/>
  <c r="G40" i="5" s="1"/>
  <c r="L40" i="5" a="1"/>
  <c r="L40" i="5" s="1"/>
  <c r="H40" i="5" a="1"/>
  <c r="H40" i="5" s="1"/>
  <c r="J40" i="5" a="1"/>
  <c r="J40" i="5" s="1"/>
  <c r="I40" i="5" a="1"/>
  <c r="I40" i="5" s="1"/>
  <c r="K40" i="5" a="1"/>
  <c r="K40" i="5" s="1"/>
  <c r="M40" i="5" a="1"/>
  <c r="M40" i="5" s="1"/>
  <c r="F41" i="5"/>
  <c r="P41" i="5" l="1" a="1"/>
  <c r="P41" i="5" s="1"/>
  <c r="T41" i="5" a="1"/>
  <c r="T41" i="5" s="1"/>
  <c r="AE41" i="5" a="1"/>
  <c r="AE41" i="5" s="1"/>
  <c r="AC41" i="5" a="1"/>
  <c r="AC41" i="5" s="1"/>
  <c r="AF41" i="5" a="1"/>
  <c r="AF41" i="5" s="1"/>
  <c r="Z41" i="5" a="1"/>
  <c r="Z41" i="5" s="1"/>
  <c r="U41" i="5" a="1"/>
  <c r="U41" i="5" s="1"/>
  <c r="W41" i="5" a="1"/>
  <c r="W41" i="5" s="1"/>
  <c r="O41" i="5" a="1"/>
  <c r="O41" i="5" s="1"/>
  <c r="AA41" i="5" a="1"/>
  <c r="AA41" i="5" s="1"/>
  <c r="AG41" i="5" a="1"/>
  <c r="AG41" i="5" s="1"/>
  <c r="Q41" i="5" a="1"/>
  <c r="Q41" i="5" s="1"/>
  <c r="V41" i="5" a="1"/>
  <c r="V41" i="5" s="1"/>
  <c r="X41" i="5" a="1"/>
  <c r="X41" i="5" s="1"/>
  <c r="R41" i="5" a="1"/>
  <c r="R41" i="5" s="1"/>
  <c r="S41" i="5" a="1"/>
  <c r="S41" i="5" s="1"/>
  <c r="AH41" i="5" a="1"/>
  <c r="AH41" i="5" s="1"/>
  <c r="AB41" i="5" a="1"/>
  <c r="AB41" i="5" s="1"/>
  <c r="N41" i="5" a="1"/>
  <c r="N41" i="5" s="1"/>
  <c r="Y41" i="5" a="1"/>
  <c r="Y41" i="5" s="1"/>
  <c r="AD41" i="5" a="1"/>
  <c r="AD41" i="5" s="1"/>
  <c r="L41" i="5" a="1"/>
  <c r="L41" i="5" s="1"/>
  <c r="H41" i="5" a="1"/>
  <c r="H41" i="5" s="1"/>
  <c r="K41" i="5" a="1"/>
  <c r="K41" i="5" s="1"/>
  <c r="I41" i="5" a="1"/>
  <c r="I41" i="5" s="1"/>
  <c r="J41" i="5" a="1"/>
  <c r="J41" i="5" s="1"/>
  <c r="G41" i="5" a="1"/>
  <c r="G41" i="5" s="1"/>
  <c r="M41" i="5" a="1"/>
  <c r="M41" i="5" s="1"/>
  <c r="F42" i="5"/>
  <c r="O16" i="9" l="1"/>
  <c r="AE42" i="5" a="1"/>
  <c r="AE42" i="5" s="1"/>
  <c r="P42" i="5" a="1"/>
  <c r="P42" i="5" s="1"/>
  <c r="K16" i="9" s="1"/>
  <c r="T42" i="5" a="1"/>
  <c r="T42" i="5" s="1"/>
  <c r="AC42" i="5" a="1"/>
  <c r="AC42" i="5" s="1"/>
  <c r="X16" i="9" s="1"/>
  <c r="W42" i="5" a="1"/>
  <c r="W42" i="5" s="1"/>
  <c r="R16" i="9" s="1"/>
  <c r="Z42" i="5" a="1"/>
  <c r="Z42" i="5" s="1"/>
  <c r="U16" i="9" s="1"/>
  <c r="U42" i="5" a="1"/>
  <c r="U42" i="5" s="1"/>
  <c r="P16" i="9" s="1"/>
  <c r="AF42" i="5" a="1"/>
  <c r="AF42" i="5" s="1"/>
  <c r="AA16" i="9" s="1"/>
  <c r="Q42" i="5" a="1"/>
  <c r="Q42" i="5" s="1"/>
  <c r="AA42" i="5" a="1"/>
  <c r="AA42" i="5" s="1"/>
  <c r="V16" i="9" s="1"/>
  <c r="X42" i="5" a="1"/>
  <c r="X42" i="5" s="1"/>
  <c r="S16" i="9" s="1"/>
  <c r="O42" i="5" a="1"/>
  <c r="O42" i="5" s="1"/>
  <c r="R42" i="5" a="1"/>
  <c r="R42" i="5" s="1"/>
  <c r="AG42" i="5" a="1"/>
  <c r="AG42" i="5" s="1"/>
  <c r="AB16" i="9" s="1"/>
  <c r="V42" i="5" a="1"/>
  <c r="V42" i="5" s="1"/>
  <c r="Q16" i="9" s="1"/>
  <c r="AB42" i="5" a="1"/>
  <c r="AB42" i="5" s="1"/>
  <c r="W16" i="9" s="1"/>
  <c r="N42" i="5" a="1"/>
  <c r="N42" i="5" s="1"/>
  <c r="AD42" i="5" a="1"/>
  <c r="AD42" i="5" s="1"/>
  <c r="S42" i="5" a="1"/>
  <c r="S42" i="5" s="1"/>
  <c r="Y42" i="5" a="1"/>
  <c r="Y42" i="5" s="1"/>
  <c r="T16" i="9" s="1"/>
  <c r="AH42" i="5" a="1"/>
  <c r="AH42" i="5" s="1"/>
  <c r="AC16" i="9" s="1"/>
  <c r="L42" i="5" a="1"/>
  <c r="L42" i="5" s="1"/>
  <c r="K42" i="5" a="1"/>
  <c r="K42" i="5" s="1"/>
  <c r="H42" i="5" a="1"/>
  <c r="H42" i="5" s="1"/>
  <c r="J42" i="5" a="1"/>
  <c r="J42" i="5" s="1"/>
  <c r="I42" i="5" a="1"/>
  <c r="I42" i="5" s="1"/>
  <c r="G42" i="5" a="1"/>
  <c r="G42" i="5" s="1"/>
  <c r="M42" i="5" a="1"/>
  <c r="M42" i="5" s="1"/>
  <c r="F43" i="5"/>
  <c r="AE43" i="5" l="1" a="1"/>
  <c r="AE43" i="5" s="1"/>
  <c r="T43" i="5" a="1"/>
  <c r="T43" i="5" s="1"/>
  <c r="AC43" i="5" a="1"/>
  <c r="AC43" i="5" s="1"/>
  <c r="P43" i="5" a="1"/>
  <c r="P43" i="5" s="1"/>
  <c r="Z43" i="5" a="1"/>
  <c r="Z43" i="5" s="1"/>
  <c r="W43" i="5" a="1"/>
  <c r="W43" i="5" s="1"/>
  <c r="AF43" i="5" a="1"/>
  <c r="AF43" i="5" s="1"/>
  <c r="U43" i="5" a="1"/>
  <c r="U43" i="5" s="1"/>
  <c r="Q43" i="5" a="1"/>
  <c r="Q43" i="5" s="1"/>
  <c r="O43" i="5" a="1"/>
  <c r="O43" i="5" s="1"/>
  <c r="V43" i="5" a="1"/>
  <c r="V43" i="5" s="1"/>
  <c r="X43" i="5" a="1"/>
  <c r="X43" i="5" s="1"/>
  <c r="AG43" i="5" a="1"/>
  <c r="AG43" i="5" s="1"/>
  <c r="AA43" i="5" a="1"/>
  <c r="AA43" i="5" s="1"/>
  <c r="S43" i="5" a="1"/>
  <c r="S43" i="5" s="1"/>
  <c r="AB43" i="5" a="1"/>
  <c r="AB43" i="5" s="1"/>
  <c r="R43" i="5" a="1"/>
  <c r="R43" i="5" s="1"/>
  <c r="N43" i="5" a="1"/>
  <c r="N43" i="5" s="1"/>
  <c r="AH43" i="5" a="1"/>
  <c r="AH43" i="5" s="1"/>
  <c r="AD43" i="5" a="1"/>
  <c r="AD43" i="5" s="1"/>
  <c r="Y43" i="5" a="1"/>
  <c r="Y43" i="5" s="1"/>
  <c r="H43" i="5" a="1"/>
  <c r="H43" i="5" s="1"/>
  <c r="L43" i="5" a="1"/>
  <c r="L43" i="5" s="1"/>
  <c r="K43" i="5" a="1"/>
  <c r="K43" i="5" s="1"/>
  <c r="G43" i="5" a="1"/>
  <c r="G43" i="5" s="1"/>
  <c r="J43" i="5" a="1"/>
  <c r="J43" i="5" s="1"/>
  <c r="I43" i="5" a="1"/>
  <c r="I43" i="5" s="1"/>
  <c r="M43" i="5" a="1"/>
  <c r="M43" i="5" s="1"/>
  <c r="F44" i="5"/>
  <c r="P44" i="5" l="1" a="1"/>
  <c r="P44" i="5" s="1"/>
  <c r="AC44" i="5" a="1"/>
  <c r="AC44" i="5" s="1"/>
  <c r="AE44" i="5" a="1"/>
  <c r="AE44" i="5" s="1"/>
  <c r="T44" i="5" a="1"/>
  <c r="T44" i="5" s="1"/>
  <c r="Z44" i="5" a="1"/>
  <c r="Z44" i="5" s="1"/>
  <c r="U44" i="5" a="1"/>
  <c r="U44" i="5" s="1"/>
  <c r="AF44" i="5" a="1"/>
  <c r="AF44" i="5" s="1"/>
  <c r="W44" i="5" a="1"/>
  <c r="W44" i="5" s="1"/>
  <c r="X44" i="5" a="1"/>
  <c r="X44" i="5" s="1"/>
  <c r="V44" i="5" a="1"/>
  <c r="V44" i="5" s="1"/>
  <c r="AG44" i="5" a="1"/>
  <c r="AG44" i="5" s="1"/>
  <c r="R44" i="5" a="1"/>
  <c r="R44" i="5" s="1"/>
  <c r="O44" i="5" a="1"/>
  <c r="O44" i="5" s="1"/>
  <c r="AA44" i="5" a="1"/>
  <c r="AA44" i="5" s="1"/>
  <c r="Q44" i="5" a="1"/>
  <c r="Q44" i="5" s="1"/>
  <c r="N44" i="5" a="1"/>
  <c r="N44" i="5" s="1"/>
  <c r="AB44" i="5" a="1"/>
  <c r="AB44" i="5" s="1"/>
  <c r="S44" i="5" a="1"/>
  <c r="S44" i="5" s="1"/>
  <c r="AH44" i="5" a="1"/>
  <c r="AH44" i="5" s="1"/>
  <c r="Y44" i="5" a="1"/>
  <c r="Y44" i="5" s="1"/>
  <c r="AD44" i="5" a="1"/>
  <c r="AD44" i="5" s="1"/>
  <c r="K44" i="5" a="1"/>
  <c r="K44" i="5" s="1"/>
  <c r="L44" i="5" a="1"/>
  <c r="L44" i="5" s="1"/>
  <c r="H44" i="5" a="1"/>
  <c r="H44" i="5" s="1"/>
  <c r="I44" i="5" a="1"/>
  <c r="I44" i="5" s="1"/>
  <c r="G44" i="5" a="1"/>
  <c r="G44" i="5" s="1"/>
  <c r="J44" i="5" a="1"/>
  <c r="J44" i="5" s="1"/>
  <c r="M44" i="5" a="1"/>
  <c r="M44" i="5" s="1"/>
  <c r="F45" i="5"/>
  <c r="AC45" i="5" l="1" a="1"/>
  <c r="AC45" i="5" s="1"/>
  <c r="AE45" i="5" a="1"/>
  <c r="AE45" i="5" s="1"/>
  <c r="T45" i="5" a="1"/>
  <c r="T45" i="5" s="1"/>
  <c r="P45" i="5" a="1"/>
  <c r="P45" i="5" s="1"/>
  <c r="Z45" i="5" a="1"/>
  <c r="Z45" i="5" s="1"/>
  <c r="U45" i="5" a="1"/>
  <c r="U45" i="5" s="1"/>
  <c r="W45" i="5" a="1"/>
  <c r="W45" i="5" s="1"/>
  <c r="R45" i="5" a="1"/>
  <c r="R45" i="5" s="1"/>
  <c r="Q45" i="5" a="1"/>
  <c r="Q45" i="5" s="1"/>
  <c r="O45" i="5" a="1"/>
  <c r="O45" i="5" s="1"/>
  <c r="V45" i="5" a="1"/>
  <c r="V45" i="5" s="1"/>
  <c r="AF45" i="5" a="1"/>
  <c r="AF45" i="5" s="1"/>
  <c r="X45" i="5" a="1"/>
  <c r="X45" i="5" s="1"/>
  <c r="AA45" i="5" a="1"/>
  <c r="AA45" i="5" s="1"/>
  <c r="AD45" i="5" a="1"/>
  <c r="AD45" i="5" s="1"/>
  <c r="AH45" i="5" a="1"/>
  <c r="AH45" i="5" s="1"/>
  <c r="S45" i="5" a="1"/>
  <c r="S45" i="5" s="1"/>
  <c r="AB45" i="5" a="1"/>
  <c r="AB45" i="5" s="1"/>
  <c r="N45" i="5" a="1"/>
  <c r="N45" i="5" s="1"/>
  <c r="AG45" i="5" a="1"/>
  <c r="AG45" i="5" s="1"/>
  <c r="Y45" i="5" a="1"/>
  <c r="Y45" i="5" s="1"/>
  <c r="K45" i="5" a="1"/>
  <c r="K45" i="5" s="1"/>
  <c r="L45" i="5" a="1"/>
  <c r="L45" i="5" s="1"/>
  <c r="G45" i="5" a="1"/>
  <c r="G45" i="5" s="1"/>
  <c r="H45" i="5" a="1"/>
  <c r="H45" i="5" s="1"/>
  <c r="J45" i="5" a="1"/>
  <c r="J45" i="5" s="1"/>
  <c r="I45" i="5" a="1"/>
  <c r="I45" i="5" s="1"/>
  <c r="M45" i="5" a="1"/>
  <c r="M45" i="5" s="1"/>
  <c r="F46" i="5"/>
  <c r="D17" i="9" l="1"/>
  <c r="O17" i="9"/>
  <c r="Z17" i="9"/>
  <c r="X17" i="9"/>
  <c r="T46" i="5" a="1"/>
  <c r="T46" i="5" s="1"/>
  <c r="P46" i="5" a="1"/>
  <c r="P46" i="5" s="1"/>
  <c r="K17" i="9" s="1"/>
  <c r="AE46" i="5" a="1"/>
  <c r="AE46" i="5" s="1"/>
  <c r="AC46" i="5" a="1"/>
  <c r="AC46" i="5" s="1"/>
  <c r="AF46" i="5" a="1"/>
  <c r="AF46" i="5" s="1"/>
  <c r="U46" i="5" a="1"/>
  <c r="U46" i="5" s="1"/>
  <c r="P17" i="9" s="1"/>
  <c r="W46" i="5" a="1"/>
  <c r="W46" i="5" s="1"/>
  <c r="R17" i="9" s="1"/>
  <c r="Z46" i="5" a="1"/>
  <c r="Z46" i="5" s="1"/>
  <c r="U17" i="9" s="1"/>
  <c r="V46" i="5" a="1"/>
  <c r="V46" i="5" s="1"/>
  <c r="Q17" i="9" s="1"/>
  <c r="AA46" i="5" a="1"/>
  <c r="AA46" i="5" s="1"/>
  <c r="V17" i="9" s="1"/>
  <c r="O46" i="5" a="1"/>
  <c r="O46" i="5" s="1"/>
  <c r="AG46" i="5" a="1"/>
  <c r="AG46" i="5" s="1"/>
  <c r="X46" i="5" a="1"/>
  <c r="X46" i="5" s="1"/>
  <c r="S17" i="9" s="1"/>
  <c r="Q46" i="5" a="1"/>
  <c r="Q46" i="5" s="1"/>
  <c r="AD46" i="5" a="1"/>
  <c r="AD46" i="5" s="1"/>
  <c r="S46" i="5" a="1"/>
  <c r="S46" i="5" s="1"/>
  <c r="N46" i="5" a="1"/>
  <c r="N46" i="5" s="1"/>
  <c r="I17" i="9" s="1"/>
  <c r="Y46" i="5" a="1"/>
  <c r="Y46" i="5" s="1"/>
  <c r="T17" i="9" s="1"/>
  <c r="AB46" i="5" a="1"/>
  <c r="AB46" i="5" s="1"/>
  <c r="R46" i="5" a="1"/>
  <c r="R46" i="5" s="1"/>
  <c r="M17" i="9" s="1"/>
  <c r="AH46" i="5" a="1"/>
  <c r="AH46" i="5" s="1"/>
  <c r="G46" i="5" a="1"/>
  <c r="G46" i="5" s="1"/>
  <c r="K46" i="5" a="1"/>
  <c r="K46" i="5" s="1"/>
  <c r="I46" i="5" a="1"/>
  <c r="I46" i="5" s="1"/>
  <c r="H46" i="5" a="1"/>
  <c r="H46" i="5" s="1"/>
  <c r="J46" i="5" a="1"/>
  <c r="J46" i="5" s="1"/>
  <c r="E17" i="9" s="1"/>
  <c r="L46" i="5" a="1"/>
  <c r="L46" i="5" s="1"/>
  <c r="M46" i="5" a="1"/>
  <c r="M46" i="5" s="1"/>
  <c r="F47" i="5"/>
  <c r="T47" i="5" l="1" a="1"/>
  <c r="T47" i="5" s="1"/>
  <c r="AC47" i="5" a="1"/>
  <c r="AC47" i="5" s="1"/>
  <c r="P47" i="5" a="1"/>
  <c r="P47" i="5" s="1"/>
  <c r="AE47" i="5" a="1"/>
  <c r="AE47" i="5" s="1"/>
  <c r="Z47" i="5" a="1"/>
  <c r="Z47" i="5" s="1"/>
  <c r="U47" i="5" a="1"/>
  <c r="U47" i="5" s="1"/>
  <c r="W47" i="5" a="1"/>
  <c r="W47" i="5" s="1"/>
  <c r="O47" i="5" a="1"/>
  <c r="O47" i="5" s="1"/>
  <c r="AA47" i="5" a="1"/>
  <c r="AA47" i="5" s="1"/>
  <c r="X47" i="5" a="1"/>
  <c r="X47" i="5" s="1"/>
  <c r="Q47" i="5" a="1"/>
  <c r="Q47" i="5" s="1"/>
  <c r="V47" i="5" a="1"/>
  <c r="V47" i="5" s="1"/>
  <c r="AG47" i="5" a="1"/>
  <c r="AG47" i="5" s="1"/>
  <c r="AF47" i="5" a="1"/>
  <c r="AF47" i="5" s="1"/>
  <c r="R47" i="5" a="1"/>
  <c r="R47" i="5" s="1"/>
  <c r="AB47" i="5" a="1"/>
  <c r="AB47" i="5" s="1"/>
  <c r="S47" i="5" a="1"/>
  <c r="S47" i="5" s="1"/>
  <c r="AH47" i="5" a="1"/>
  <c r="AH47" i="5" s="1"/>
  <c r="N47" i="5" a="1"/>
  <c r="N47" i="5" s="1"/>
  <c r="Y47" i="5" a="1"/>
  <c r="Y47" i="5" s="1"/>
  <c r="AD47" i="5" a="1"/>
  <c r="AD47" i="5" s="1"/>
  <c r="G47" i="5" a="1"/>
  <c r="G47" i="5" s="1"/>
  <c r="K47" i="5" a="1"/>
  <c r="K47" i="5" s="1"/>
  <c r="L47" i="5" a="1"/>
  <c r="L47" i="5" s="1"/>
  <c r="J47" i="5" a="1"/>
  <c r="J47" i="5" s="1"/>
  <c r="H47" i="5" a="1"/>
  <c r="H47" i="5" s="1"/>
  <c r="I47" i="5" a="1"/>
  <c r="I47" i="5" s="1"/>
  <c r="M47" i="5" a="1"/>
  <c r="M47" i="5" s="1"/>
  <c r="F48" i="5"/>
  <c r="AC48" i="5" l="1" a="1"/>
  <c r="AC48" i="5" s="1"/>
  <c r="P48" i="5" a="1"/>
  <c r="P48" i="5" s="1"/>
  <c r="AE48" i="5" a="1"/>
  <c r="AE48" i="5" s="1"/>
  <c r="T48" i="5" a="1"/>
  <c r="T48" i="5" s="1"/>
  <c r="Z48" i="5" a="1"/>
  <c r="Z48" i="5" s="1"/>
  <c r="U48" i="5" a="1"/>
  <c r="U48" i="5" s="1"/>
  <c r="W48" i="5" a="1"/>
  <c r="W48" i="5" s="1"/>
  <c r="R48" i="5" a="1"/>
  <c r="R48" i="5" s="1"/>
  <c r="X48" i="5" a="1"/>
  <c r="X48" i="5" s="1"/>
  <c r="AA48" i="5" a="1"/>
  <c r="AA48" i="5" s="1"/>
  <c r="AF48" i="5" a="1"/>
  <c r="AF48" i="5" s="1"/>
  <c r="Q48" i="5" a="1"/>
  <c r="Q48" i="5" s="1"/>
  <c r="O48" i="5" a="1"/>
  <c r="O48" i="5" s="1"/>
  <c r="S48" i="5" a="1"/>
  <c r="S48" i="5" s="1"/>
  <c r="Y48" i="5" a="1"/>
  <c r="Y48" i="5" s="1"/>
  <c r="N48" i="5" a="1"/>
  <c r="N48" i="5" s="1"/>
  <c r="AG48" i="5" a="1"/>
  <c r="AG48" i="5" s="1"/>
  <c r="AB48" i="5" a="1"/>
  <c r="AB48" i="5" s="1"/>
  <c r="AH48" i="5" a="1"/>
  <c r="AH48" i="5" s="1"/>
  <c r="V48" i="5" a="1"/>
  <c r="V48" i="5" s="1"/>
  <c r="AD48" i="5" a="1"/>
  <c r="AD48" i="5" s="1"/>
  <c r="G48" i="5" a="1"/>
  <c r="G48" i="5" s="1"/>
  <c r="L48" i="5" a="1"/>
  <c r="L48" i="5" s="1"/>
  <c r="H48" i="5" a="1"/>
  <c r="H48" i="5" s="1"/>
  <c r="J48" i="5" a="1"/>
  <c r="J48" i="5" s="1"/>
  <c r="K48" i="5" a="1"/>
  <c r="K48" i="5" s="1"/>
  <c r="I48" i="5" a="1"/>
  <c r="I48" i="5" s="1"/>
  <c r="M48" i="5" a="1"/>
  <c r="M48" i="5" s="1"/>
  <c r="F49" i="5"/>
  <c r="AC49" i="5" l="1" a="1"/>
  <c r="AC49" i="5" s="1"/>
  <c r="P49" i="5" a="1"/>
  <c r="P49" i="5" s="1"/>
  <c r="T49" i="5" a="1"/>
  <c r="T49" i="5" s="1"/>
  <c r="AE49" i="5" a="1"/>
  <c r="AE49" i="5" s="1"/>
  <c r="U49" i="5" a="1"/>
  <c r="U49" i="5" s="1"/>
  <c r="Z49" i="5" a="1"/>
  <c r="Z49" i="5" s="1"/>
  <c r="AF49" i="5" a="1"/>
  <c r="AF49" i="5" s="1"/>
  <c r="W49" i="5" a="1"/>
  <c r="W49" i="5" s="1"/>
  <c r="R49" i="5" a="1"/>
  <c r="R49" i="5" s="1"/>
  <c r="O49" i="5" a="1"/>
  <c r="O49" i="5" s="1"/>
  <c r="X49" i="5" a="1"/>
  <c r="X49" i="5" s="1"/>
  <c r="AA49" i="5" a="1"/>
  <c r="AA49" i="5" s="1"/>
  <c r="AG49" i="5" a="1"/>
  <c r="AG49" i="5" s="1"/>
  <c r="V49" i="5" a="1"/>
  <c r="V49" i="5" s="1"/>
  <c r="Q49" i="5" a="1"/>
  <c r="Q49" i="5" s="1"/>
  <c r="N49" i="5" a="1"/>
  <c r="N49" i="5" s="1"/>
  <c r="AD49" i="5" a="1"/>
  <c r="AD49" i="5" s="1"/>
  <c r="Y49" i="5" a="1"/>
  <c r="Y49" i="5" s="1"/>
  <c r="S49" i="5" a="1"/>
  <c r="S49" i="5" s="1"/>
  <c r="AH49" i="5" a="1"/>
  <c r="AH49" i="5" s="1"/>
  <c r="AB49" i="5" a="1"/>
  <c r="AB49" i="5" s="1"/>
  <c r="L49" i="5" a="1"/>
  <c r="L49" i="5" s="1"/>
  <c r="K49" i="5" a="1"/>
  <c r="K49" i="5" s="1"/>
  <c r="H49" i="5" a="1"/>
  <c r="H49" i="5" s="1"/>
  <c r="I49" i="5" a="1"/>
  <c r="I49" i="5" s="1"/>
  <c r="G49" i="5" a="1"/>
  <c r="G49" i="5" s="1"/>
  <c r="J49" i="5" a="1"/>
  <c r="J49" i="5" s="1"/>
  <c r="M49" i="5" a="1"/>
  <c r="M49" i="5" s="1"/>
  <c r="F50" i="5"/>
  <c r="AE50" i="5" l="1" a="1"/>
  <c r="AE50" i="5" s="1"/>
  <c r="P50" i="5" a="1"/>
  <c r="P50" i="5" s="1"/>
  <c r="AC50" i="5" a="1"/>
  <c r="AC50" i="5" s="1"/>
  <c r="T50" i="5" a="1"/>
  <c r="T50" i="5" s="1"/>
  <c r="Z50" i="5" a="1"/>
  <c r="Z50" i="5" s="1"/>
  <c r="U18" i="9" s="1"/>
  <c r="U50" i="5" a="1"/>
  <c r="U50" i="5" s="1"/>
  <c r="P18" i="9" s="1"/>
  <c r="W50" i="5" a="1"/>
  <c r="W50" i="5" s="1"/>
  <c r="R18" i="9" s="1"/>
  <c r="AF50" i="5" a="1"/>
  <c r="AF50" i="5" s="1"/>
  <c r="AA50" i="5" a="1"/>
  <c r="AA50" i="5" s="1"/>
  <c r="V18" i="9" s="1"/>
  <c r="X50" i="5" a="1"/>
  <c r="X50" i="5" s="1"/>
  <c r="S18" i="9" s="1"/>
  <c r="AG50" i="5" a="1"/>
  <c r="AG50" i="5" s="1"/>
  <c r="Q50" i="5" a="1"/>
  <c r="Q50" i="5" s="1"/>
  <c r="O50" i="5" a="1"/>
  <c r="O50" i="5" s="1"/>
  <c r="V50" i="5" a="1"/>
  <c r="V50" i="5" s="1"/>
  <c r="Q18" i="9" s="1"/>
  <c r="R50" i="5" a="1"/>
  <c r="R50" i="5" s="1"/>
  <c r="AH50" i="5" a="1"/>
  <c r="AH50" i="5" s="1"/>
  <c r="AD50" i="5" a="1"/>
  <c r="AD50" i="5" s="1"/>
  <c r="Y18" i="9" s="1"/>
  <c r="N50" i="5" a="1"/>
  <c r="N50" i="5" s="1"/>
  <c r="S50" i="5" a="1"/>
  <c r="S50" i="5" s="1"/>
  <c r="Y50" i="5" a="1"/>
  <c r="Y50" i="5" s="1"/>
  <c r="T18" i="9" s="1"/>
  <c r="AB50" i="5" a="1"/>
  <c r="AB50" i="5" s="1"/>
  <c r="L50" i="5" a="1"/>
  <c r="L50" i="5" s="1"/>
  <c r="H50" i="5" a="1"/>
  <c r="H50" i="5" s="1"/>
  <c r="J50" i="5" a="1"/>
  <c r="J50" i="5" s="1"/>
  <c r="K50" i="5" a="1"/>
  <c r="K50" i="5" s="1"/>
  <c r="G50" i="5" a="1"/>
  <c r="G50" i="5" s="1"/>
  <c r="B18" i="9" s="1"/>
  <c r="I50" i="5" a="1"/>
  <c r="I50" i="5" s="1"/>
  <c r="D18" i="9" s="1"/>
  <c r="M50" i="5" a="1"/>
  <c r="M50" i="5" s="1"/>
  <c r="F51" i="5"/>
  <c r="T51" i="5" l="1" a="1"/>
  <c r="T51" i="5" s="1"/>
  <c r="P51" i="5" a="1"/>
  <c r="P51" i="5" s="1"/>
  <c r="AE51" i="5" a="1"/>
  <c r="AE51" i="5" s="1"/>
  <c r="AC51" i="5" a="1"/>
  <c r="AC51" i="5" s="1"/>
  <c r="W51" i="5" a="1"/>
  <c r="W51" i="5" s="1"/>
  <c r="AF51" i="5" a="1"/>
  <c r="AF51" i="5" s="1"/>
  <c r="Z51" i="5" a="1"/>
  <c r="Z51" i="5" s="1"/>
  <c r="U51" i="5" a="1"/>
  <c r="U51" i="5" s="1"/>
  <c r="AG51" i="5" a="1"/>
  <c r="AG51" i="5" s="1"/>
  <c r="Q51" i="5" a="1"/>
  <c r="Q51" i="5" s="1"/>
  <c r="O51" i="5" a="1"/>
  <c r="O51" i="5" s="1"/>
  <c r="AA51" i="5" a="1"/>
  <c r="AA51" i="5" s="1"/>
  <c r="X51" i="5" a="1"/>
  <c r="X51" i="5" s="1"/>
  <c r="V51" i="5" a="1"/>
  <c r="V51" i="5" s="1"/>
  <c r="R51" i="5" a="1"/>
  <c r="R51" i="5" s="1"/>
  <c r="Y51" i="5" a="1"/>
  <c r="Y51" i="5" s="1"/>
  <c r="AD51" i="5" a="1"/>
  <c r="AD51" i="5" s="1"/>
  <c r="N51" i="5" a="1"/>
  <c r="N51" i="5" s="1"/>
  <c r="AB51" i="5" a="1"/>
  <c r="AB51" i="5" s="1"/>
  <c r="S51" i="5" a="1"/>
  <c r="S51" i="5" s="1"/>
  <c r="AH51" i="5" a="1"/>
  <c r="AH51" i="5" s="1"/>
  <c r="L51" i="5" a="1"/>
  <c r="L51" i="5" s="1"/>
  <c r="G51" i="5" a="1"/>
  <c r="G51" i="5" s="1"/>
  <c r="H51" i="5" a="1"/>
  <c r="H51" i="5" s="1"/>
  <c r="J51" i="5" a="1"/>
  <c r="J51" i="5" s="1"/>
  <c r="K51" i="5" a="1"/>
  <c r="K51" i="5" s="1"/>
  <c r="I51" i="5" a="1"/>
  <c r="I51" i="5" s="1"/>
  <c r="M51" i="5" a="1"/>
  <c r="M51" i="5" s="1"/>
  <c r="F52" i="5"/>
  <c r="P52" i="5" l="1" a="1"/>
  <c r="P52" i="5" s="1"/>
  <c r="T52" i="5" a="1"/>
  <c r="T52" i="5" s="1"/>
  <c r="AC52" i="5" a="1"/>
  <c r="AC52" i="5" s="1"/>
  <c r="AE52" i="5" a="1"/>
  <c r="AE52" i="5" s="1"/>
  <c r="U52" i="5" a="1"/>
  <c r="U52" i="5" s="1"/>
  <c r="W52" i="5" a="1"/>
  <c r="W52" i="5" s="1"/>
  <c r="Z52" i="5" a="1"/>
  <c r="Z52" i="5" s="1"/>
  <c r="AF52" i="5" a="1"/>
  <c r="AF52" i="5" s="1"/>
  <c r="AG52" i="5" a="1"/>
  <c r="AG52" i="5" s="1"/>
  <c r="Q52" i="5" a="1"/>
  <c r="Q52" i="5" s="1"/>
  <c r="O52" i="5" a="1"/>
  <c r="O52" i="5" s="1"/>
  <c r="AA52" i="5" a="1"/>
  <c r="AA52" i="5" s="1"/>
  <c r="V52" i="5" a="1"/>
  <c r="V52" i="5" s="1"/>
  <c r="R52" i="5" a="1"/>
  <c r="R52" i="5" s="1"/>
  <c r="X52" i="5" a="1"/>
  <c r="X52" i="5" s="1"/>
  <c r="AB52" i="5" a="1"/>
  <c r="AB52" i="5" s="1"/>
  <c r="AH52" i="5" a="1"/>
  <c r="AH52" i="5" s="1"/>
  <c r="N52" i="5" a="1"/>
  <c r="N52" i="5" s="1"/>
  <c r="S52" i="5" a="1"/>
  <c r="S52" i="5" s="1"/>
  <c r="Y52" i="5" a="1"/>
  <c r="Y52" i="5" s="1"/>
  <c r="AD52" i="5" a="1"/>
  <c r="AD52" i="5" s="1"/>
  <c r="L52" i="5" a="1"/>
  <c r="L52" i="5" s="1"/>
  <c r="H52" i="5" a="1"/>
  <c r="H52" i="5" s="1"/>
  <c r="K52" i="5" a="1"/>
  <c r="K52" i="5" s="1"/>
  <c r="G52" i="5" a="1"/>
  <c r="G52" i="5" s="1"/>
  <c r="I52" i="5" a="1"/>
  <c r="I52" i="5" s="1"/>
  <c r="J52" i="5" a="1"/>
  <c r="J52" i="5" s="1"/>
  <c r="M52" i="5" a="1"/>
  <c r="M52" i="5" s="1"/>
  <c r="F53" i="5"/>
  <c r="T53" i="5" l="1" a="1"/>
  <c r="T53" i="5" s="1"/>
  <c r="AE53" i="5" a="1"/>
  <c r="AE53" i="5" s="1"/>
  <c r="AC53" i="5" a="1"/>
  <c r="AC53" i="5" s="1"/>
  <c r="P53" i="5" a="1"/>
  <c r="P53" i="5" s="1"/>
  <c r="AF53" i="5" a="1"/>
  <c r="AF53" i="5" s="1"/>
  <c r="W53" i="5" a="1"/>
  <c r="W53" i="5" s="1"/>
  <c r="U53" i="5" a="1"/>
  <c r="U53" i="5" s="1"/>
  <c r="Z53" i="5" a="1"/>
  <c r="Z53" i="5" s="1"/>
  <c r="O53" i="5" a="1"/>
  <c r="O53" i="5" s="1"/>
  <c r="X53" i="5" a="1"/>
  <c r="X53" i="5" s="1"/>
  <c r="V53" i="5" a="1"/>
  <c r="V53" i="5" s="1"/>
  <c r="R53" i="5" a="1"/>
  <c r="R53" i="5" s="1"/>
  <c r="AA53" i="5" a="1"/>
  <c r="AA53" i="5" s="1"/>
  <c r="AD53" i="5" a="1"/>
  <c r="AD53" i="5" s="1"/>
  <c r="AG53" i="5" a="1"/>
  <c r="AG53" i="5" s="1"/>
  <c r="Q53" i="5" a="1"/>
  <c r="Q53" i="5" s="1"/>
  <c r="N53" i="5" a="1"/>
  <c r="N53" i="5" s="1"/>
  <c r="AB53" i="5" a="1"/>
  <c r="AB53" i="5" s="1"/>
  <c r="Y53" i="5" a="1"/>
  <c r="Y53" i="5" s="1"/>
  <c r="S53" i="5" a="1"/>
  <c r="S53" i="5" s="1"/>
  <c r="AH53" i="5" a="1"/>
  <c r="AH53" i="5" s="1"/>
  <c r="L53" i="5" a="1"/>
  <c r="L53" i="5" s="1"/>
  <c r="G53" i="5" a="1"/>
  <c r="G53" i="5" s="1"/>
  <c r="H53" i="5" a="1"/>
  <c r="H53" i="5" s="1"/>
  <c r="K53" i="5" a="1"/>
  <c r="K53" i="5" s="1"/>
  <c r="J53" i="5" a="1"/>
  <c r="J53" i="5" s="1"/>
  <c r="I53" i="5" a="1"/>
  <c r="I53" i="5" s="1"/>
  <c r="M53" i="5" a="1"/>
  <c r="M53" i="5" s="1"/>
  <c r="F54" i="5"/>
  <c r="K19" i="9" l="1"/>
  <c r="AE54" i="5" a="1"/>
  <c r="AE54" i="5" s="1"/>
  <c r="Z19" i="9" s="1"/>
  <c r="P54" i="5" a="1"/>
  <c r="P54" i="5" s="1"/>
  <c r="T54" i="5" a="1"/>
  <c r="T54" i="5" s="1"/>
  <c r="O19" i="9" s="1"/>
  <c r="AC54" i="5" a="1"/>
  <c r="AC54" i="5" s="1"/>
  <c r="X19" i="9" s="1"/>
  <c r="W54" i="5" a="1"/>
  <c r="W54" i="5" s="1"/>
  <c r="R19" i="9" s="1"/>
  <c r="AF54" i="5" a="1"/>
  <c r="AF54" i="5" s="1"/>
  <c r="Z54" i="5" a="1"/>
  <c r="Z54" i="5" s="1"/>
  <c r="U19" i="9" s="1"/>
  <c r="U54" i="5" a="1"/>
  <c r="U54" i="5" s="1"/>
  <c r="P19" i="9" s="1"/>
  <c r="AA54" i="5" a="1"/>
  <c r="AA54" i="5" s="1"/>
  <c r="V19" i="9" s="1"/>
  <c r="V54" i="5" a="1"/>
  <c r="V54" i="5" s="1"/>
  <c r="Q19" i="9" s="1"/>
  <c r="R54" i="5" a="1"/>
  <c r="R54" i="5" s="1"/>
  <c r="AG54" i="5" a="1"/>
  <c r="AG54" i="5" s="1"/>
  <c r="Q54" i="5" a="1"/>
  <c r="Q54" i="5" s="1"/>
  <c r="O54" i="5" a="1"/>
  <c r="O54" i="5" s="1"/>
  <c r="X54" i="5" a="1"/>
  <c r="X54" i="5" s="1"/>
  <c r="S19" i="9" s="1"/>
  <c r="N54" i="5" a="1"/>
  <c r="N54" i="5" s="1"/>
  <c r="AB54" i="5" a="1"/>
  <c r="AB54" i="5" s="1"/>
  <c r="W19" i="9" s="1"/>
  <c r="S54" i="5" a="1"/>
  <c r="S54" i="5" s="1"/>
  <c r="AD54" i="5" a="1"/>
  <c r="AD54" i="5" s="1"/>
  <c r="Y54" i="5" a="1"/>
  <c r="Y54" i="5" s="1"/>
  <c r="T19" i="9" s="1"/>
  <c r="AH54" i="5" a="1"/>
  <c r="AH54" i="5" s="1"/>
  <c r="K54" i="5" a="1"/>
  <c r="K54" i="5" s="1"/>
  <c r="G54" i="5" a="1"/>
  <c r="G54" i="5" s="1"/>
  <c r="B19" i="9" s="1"/>
  <c r="H54" i="5" a="1"/>
  <c r="H54" i="5" s="1"/>
  <c r="L54" i="5" a="1"/>
  <c r="L54" i="5" s="1"/>
  <c r="J54" i="5" a="1"/>
  <c r="J54" i="5" s="1"/>
  <c r="I54" i="5" a="1"/>
  <c r="I54" i="5" s="1"/>
  <c r="M54" i="5" a="1"/>
  <c r="M54" i="5" s="1"/>
  <c r="F55" i="5"/>
  <c r="AE55" i="5" l="1" a="1"/>
  <c r="AE55" i="5" s="1"/>
  <c r="T55" i="5" a="1"/>
  <c r="T55" i="5" s="1"/>
  <c r="P55" i="5" a="1"/>
  <c r="P55" i="5" s="1"/>
  <c r="AC55" i="5" a="1"/>
  <c r="AC55" i="5" s="1"/>
  <c r="W55" i="5" a="1"/>
  <c r="W55" i="5" s="1"/>
  <c r="Z55" i="5" a="1"/>
  <c r="Z55" i="5" s="1"/>
  <c r="U55" i="5" a="1"/>
  <c r="U55" i="5" s="1"/>
  <c r="Q55" i="5" a="1"/>
  <c r="Q55" i="5" s="1"/>
  <c r="AA55" i="5" a="1"/>
  <c r="AA55" i="5" s="1"/>
  <c r="X55" i="5" a="1"/>
  <c r="X55" i="5" s="1"/>
  <c r="AG55" i="5" a="1"/>
  <c r="AG55" i="5" s="1"/>
  <c r="V55" i="5" a="1"/>
  <c r="V55" i="5" s="1"/>
  <c r="AF55" i="5" a="1"/>
  <c r="AF55" i="5" s="1"/>
  <c r="R55" i="5" a="1"/>
  <c r="R55" i="5" s="1"/>
  <c r="AD55" i="5" a="1"/>
  <c r="AD55" i="5" s="1"/>
  <c r="O55" i="5" a="1"/>
  <c r="O55" i="5" s="1"/>
  <c r="N55" i="5" a="1"/>
  <c r="N55" i="5" s="1"/>
  <c r="Y55" i="5" a="1"/>
  <c r="Y55" i="5" s="1"/>
  <c r="S55" i="5" a="1"/>
  <c r="S55" i="5" s="1"/>
  <c r="AH55" i="5" a="1"/>
  <c r="AH55" i="5" s="1"/>
  <c r="AB55" i="5" a="1"/>
  <c r="AB55" i="5" s="1"/>
  <c r="G55" i="5" a="1"/>
  <c r="G55" i="5" s="1"/>
  <c r="K55" i="5" a="1"/>
  <c r="K55" i="5" s="1"/>
  <c r="J55" i="5" a="1"/>
  <c r="J55" i="5" s="1"/>
  <c r="L55" i="5" a="1"/>
  <c r="L55" i="5" s="1"/>
  <c r="H55" i="5" a="1"/>
  <c r="H55" i="5" s="1"/>
  <c r="I55" i="5" a="1"/>
  <c r="I55" i="5" s="1"/>
  <c r="M55" i="5" a="1"/>
  <c r="M55" i="5" s="1"/>
  <c r="F56" i="5"/>
  <c r="AC56" i="5" l="1" a="1"/>
  <c r="AC56" i="5" s="1"/>
  <c r="P56" i="5" a="1"/>
  <c r="P56" i="5" s="1"/>
  <c r="T56" i="5" a="1"/>
  <c r="T56" i="5" s="1"/>
  <c r="AE56" i="5" a="1"/>
  <c r="AE56" i="5" s="1"/>
  <c r="W56" i="5" a="1"/>
  <c r="W56" i="5" s="1"/>
  <c r="AF56" i="5" a="1"/>
  <c r="AF56" i="5" s="1"/>
  <c r="Z56" i="5" a="1"/>
  <c r="Z56" i="5" s="1"/>
  <c r="U56" i="5" a="1"/>
  <c r="U56" i="5" s="1"/>
  <c r="V56" i="5" a="1"/>
  <c r="V56" i="5" s="1"/>
  <c r="AG56" i="5" a="1"/>
  <c r="AG56" i="5" s="1"/>
  <c r="AD56" i="5" a="1"/>
  <c r="AD56" i="5" s="1"/>
  <c r="X56" i="5" a="1"/>
  <c r="X56" i="5" s="1"/>
  <c r="AA56" i="5" a="1"/>
  <c r="AA56" i="5" s="1"/>
  <c r="O56" i="5" a="1"/>
  <c r="O56" i="5" s="1"/>
  <c r="Q56" i="5" a="1"/>
  <c r="Q56" i="5" s="1"/>
  <c r="N56" i="5" a="1"/>
  <c r="N56" i="5" s="1"/>
  <c r="R56" i="5" a="1"/>
  <c r="R56" i="5" s="1"/>
  <c r="AB56" i="5" a="1"/>
  <c r="AB56" i="5" s="1"/>
  <c r="Y56" i="5" a="1"/>
  <c r="Y56" i="5" s="1"/>
  <c r="AH56" i="5" a="1"/>
  <c r="AH56" i="5" s="1"/>
  <c r="S56" i="5" a="1"/>
  <c r="S56" i="5" s="1"/>
  <c r="G56" i="5" a="1"/>
  <c r="G56" i="5" s="1"/>
  <c r="L56" i="5" a="1"/>
  <c r="L56" i="5" s="1"/>
  <c r="H56" i="5" a="1"/>
  <c r="H56" i="5" s="1"/>
  <c r="K56" i="5" a="1"/>
  <c r="K56" i="5" s="1"/>
  <c r="I56" i="5" a="1"/>
  <c r="I56" i="5" s="1"/>
  <c r="J56" i="5" a="1"/>
  <c r="J56" i="5" s="1"/>
  <c r="M56" i="5" a="1"/>
  <c r="M56" i="5" s="1"/>
  <c r="F57" i="5"/>
  <c r="AC57" i="5" l="1" a="1"/>
  <c r="AC57" i="5" s="1"/>
  <c r="P57" i="5" a="1"/>
  <c r="P57" i="5" s="1"/>
  <c r="T57" i="5" a="1"/>
  <c r="T57" i="5" s="1"/>
  <c r="AE57" i="5" a="1"/>
  <c r="AE57" i="5" s="1"/>
  <c r="Z57" i="5" a="1"/>
  <c r="Z57" i="5" s="1"/>
  <c r="U57" i="5" a="1"/>
  <c r="U57" i="5" s="1"/>
  <c r="W57" i="5" a="1"/>
  <c r="W57" i="5" s="1"/>
  <c r="AA57" i="5" a="1"/>
  <c r="AA57" i="5" s="1"/>
  <c r="X57" i="5" a="1"/>
  <c r="X57" i="5" s="1"/>
  <c r="V57" i="5" a="1"/>
  <c r="V57" i="5" s="1"/>
  <c r="AG57" i="5" a="1"/>
  <c r="AG57" i="5" s="1"/>
  <c r="AF57" i="5" a="1"/>
  <c r="AF57" i="5" s="1"/>
  <c r="R57" i="5" a="1"/>
  <c r="R57" i="5" s="1"/>
  <c r="O57" i="5" a="1"/>
  <c r="O57" i="5" s="1"/>
  <c r="Q57" i="5" a="1"/>
  <c r="Q57" i="5" s="1"/>
  <c r="N57" i="5" a="1"/>
  <c r="N57" i="5" s="1"/>
  <c r="Y57" i="5" a="1"/>
  <c r="Y57" i="5" s="1"/>
  <c r="AD57" i="5" a="1"/>
  <c r="AD57" i="5" s="1"/>
  <c r="AH57" i="5" a="1"/>
  <c r="AH57" i="5" s="1"/>
  <c r="AB57" i="5" a="1"/>
  <c r="AB57" i="5" s="1"/>
  <c r="S57" i="5" a="1"/>
  <c r="S57" i="5" s="1"/>
  <c r="L57" i="5" a="1"/>
  <c r="L57" i="5" s="1"/>
  <c r="H57" i="5" a="1"/>
  <c r="H57" i="5" s="1"/>
  <c r="K57" i="5" a="1"/>
  <c r="K57" i="5" s="1"/>
  <c r="I57" i="5" a="1"/>
  <c r="I57" i="5" s="1"/>
  <c r="J57" i="5" a="1"/>
  <c r="J57" i="5" s="1"/>
  <c r="G57" i="5" a="1"/>
  <c r="G57" i="5" s="1"/>
  <c r="M57" i="5" a="1"/>
  <c r="M57" i="5" s="1"/>
  <c r="F58" i="5"/>
  <c r="M20" i="9" l="1"/>
  <c r="Y20" i="9"/>
  <c r="P58" i="5" a="1"/>
  <c r="P58" i="5" s="1"/>
  <c r="AE58" i="5" a="1"/>
  <c r="AE58" i="5" s="1"/>
  <c r="AC58" i="5" a="1"/>
  <c r="AC58" i="5" s="1"/>
  <c r="T58" i="5" a="1"/>
  <c r="T58" i="5" s="1"/>
  <c r="Z58" i="5" a="1"/>
  <c r="Z58" i="5" s="1"/>
  <c r="U20" i="9" s="1"/>
  <c r="W58" i="5" a="1"/>
  <c r="W58" i="5" s="1"/>
  <c r="R20" i="9" s="1"/>
  <c r="AF58" i="5" a="1"/>
  <c r="AF58" i="5" s="1"/>
  <c r="AA20" i="9" s="1"/>
  <c r="U58" i="5" a="1"/>
  <c r="U58" i="5" s="1"/>
  <c r="P20" i="9" s="1"/>
  <c r="X58" i="5" a="1"/>
  <c r="X58" i="5" s="1"/>
  <c r="S20" i="9" s="1"/>
  <c r="V58" i="5" a="1"/>
  <c r="V58" i="5" s="1"/>
  <c r="Q20" i="9" s="1"/>
  <c r="AG58" i="5" a="1"/>
  <c r="AG58" i="5" s="1"/>
  <c r="O58" i="5" a="1"/>
  <c r="O58" i="5" s="1"/>
  <c r="R58" i="5" a="1"/>
  <c r="R58" i="5" s="1"/>
  <c r="Q58" i="5" a="1"/>
  <c r="Q58" i="5" s="1"/>
  <c r="AA58" i="5" a="1"/>
  <c r="AA58" i="5" s="1"/>
  <c r="V20" i="9" s="1"/>
  <c r="AH58" i="5" a="1"/>
  <c r="AH58" i="5" s="1"/>
  <c r="AB58" i="5" a="1"/>
  <c r="AB58" i="5" s="1"/>
  <c r="W20" i="9" s="1"/>
  <c r="Y58" i="5" a="1"/>
  <c r="Y58" i="5" s="1"/>
  <c r="T20" i="9" s="1"/>
  <c r="S58" i="5" a="1"/>
  <c r="S58" i="5" s="1"/>
  <c r="AD58" i="5" a="1"/>
  <c r="AD58" i="5" s="1"/>
  <c r="N58" i="5" a="1"/>
  <c r="N58" i="5" s="1"/>
  <c r="I20" i="9" s="1"/>
  <c r="H58" i="5" a="1"/>
  <c r="H58" i="5" s="1"/>
  <c r="L58" i="5" a="1"/>
  <c r="L58" i="5" s="1"/>
  <c r="K58" i="5" a="1"/>
  <c r="K58" i="5" s="1"/>
  <c r="J58" i="5" a="1"/>
  <c r="J58" i="5" s="1"/>
  <c r="G58" i="5" a="1"/>
  <c r="G58" i="5" s="1"/>
  <c r="I58" i="5" a="1"/>
  <c r="I58" i="5" s="1"/>
  <c r="M58" i="5" a="1"/>
  <c r="M58" i="5" s="1"/>
  <c r="F59" i="5"/>
  <c r="AE59" i="5" l="1" a="1"/>
  <c r="AE59" i="5" s="1"/>
  <c r="P59" i="5" a="1"/>
  <c r="P59" i="5" s="1"/>
  <c r="T59" i="5" a="1"/>
  <c r="T59" i="5" s="1"/>
  <c r="AC59" i="5" a="1"/>
  <c r="AC59" i="5" s="1"/>
  <c r="W59" i="5" a="1"/>
  <c r="W59" i="5" s="1"/>
  <c r="AF59" i="5" a="1"/>
  <c r="AF59" i="5" s="1"/>
  <c r="U59" i="5" a="1"/>
  <c r="U59" i="5" s="1"/>
  <c r="Z59" i="5" a="1"/>
  <c r="Z59" i="5" s="1"/>
  <c r="R59" i="5" a="1"/>
  <c r="R59" i="5" s="1"/>
  <c r="X59" i="5" a="1"/>
  <c r="X59" i="5" s="1"/>
  <c r="AG59" i="5" a="1"/>
  <c r="AG59" i="5" s="1"/>
  <c r="O59" i="5" a="1"/>
  <c r="O59" i="5" s="1"/>
  <c r="Q59" i="5" a="1"/>
  <c r="Q59" i="5" s="1"/>
  <c r="V59" i="5" a="1"/>
  <c r="V59" i="5" s="1"/>
  <c r="AA59" i="5" a="1"/>
  <c r="AA59" i="5" s="1"/>
  <c r="S59" i="5" a="1"/>
  <c r="S59" i="5" s="1"/>
  <c r="AB59" i="5" a="1"/>
  <c r="AB59" i="5" s="1"/>
  <c r="AD59" i="5" a="1"/>
  <c r="AD59" i="5" s="1"/>
  <c r="N59" i="5" a="1"/>
  <c r="N59" i="5" s="1"/>
  <c r="AH59" i="5" a="1"/>
  <c r="AH59" i="5" s="1"/>
  <c r="Y59" i="5" a="1"/>
  <c r="Y59" i="5" s="1"/>
  <c r="L59" i="5" a="1"/>
  <c r="L59" i="5" s="1"/>
  <c r="I59" i="5" a="1"/>
  <c r="I59" i="5" s="1"/>
  <c r="G59" i="5" a="1"/>
  <c r="G59" i="5" s="1"/>
  <c r="K59" i="5" a="1"/>
  <c r="K59" i="5" s="1"/>
  <c r="J59" i="5" a="1"/>
  <c r="J59" i="5" s="1"/>
  <c r="H59" i="5" a="1"/>
  <c r="H59" i="5" s="1"/>
  <c r="M59" i="5" a="1"/>
  <c r="M59" i="5" s="1"/>
  <c r="F60" i="5"/>
  <c r="T60" i="5" l="1" a="1"/>
  <c r="T60" i="5" s="1"/>
  <c r="P60" i="5" a="1"/>
  <c r="P60" i="5" s="1"/>
  <c r="AC60" i="5" a="1"/>
  <c r="AC60" i="5" s="1"/>
  <c r="AE60" i="5" a="1"/>
  <c r="AE60" i="5" s="1"/>
  <c r="Z60" i="5" a="1"/>
  <c r="Z60" i="5" s="1"/>
  <c r="AF60" i="5" a="1"/>
  <c r="AF60" i="5" s="1"/>
  <c r="U60" i="5" a="1"/>
  <c r="U60" i="5" s="1"/>
  <c r="W60" i="5" a="1"/>
  <c r="W60" i="5" s="1"/>
  <c r="Q60" i="5" a="1"/>
  <c r="Q60" i="5" s="1"/>
  <c r="O60" i="5" a="1"/>
  <c r="O60" i="5" s="1"/>
  <c r="R60" i="5" a="1"/>
  <c r="R60" i="5" s="1"/>
  <c r="AA60" i="5" a="1"/>
  <c r="AA60" i="5" s="1"/>
  <c r="X60" i="5" a="1"/>
  <c r="X60" i="5" s="1"/>
  <c r="S60" i="5" a="1"/>
  <c r="S60" i="5" s="1"/>
  <c r="AB60" i="5" a="1"/>
  <c r="AB60" i="5" s="1"/>
  <c r="AH60" i="5" a="1"/>
  <c r="AH60" i="5" s="1"/>
  <c r="Y60" i="5" a="1"/>
  <c r="Y60" i="5" s="1"/>
  <c r="V60" i="5" a="1"/>
  <c r="V60" i="5" s="1"/>
  <c r="N60" i="5" a="1"/>
  <c r="N60" i="5" s="1"/>
  <c r="AG60" i="5" a="1"/>
  <c r="AG60" i="5" s="1"/>
  <c r="AD60" i="5" a="1"/>
  <c r="AD60" i="5" s="1"/>
  <c r="L60" i="5" a="1"/>
  <c r="L60" i="5" s="1"/>
  <c r="G60" i="5" a="1"/>
  <c r="G60" i="5" s="1"/>
  <c r="H60" i="5" a="1"/>
  <c r="H60" i="5" s="1"/>
  <c r="J60" i="5" a="1"/>
  <c r="J60" i="5" s="1"/>
  <c r="K60" i="5" a="1"/>
  <c r="K60" i="5" s="1"/>
  <c r="I60" i="5" a="1"/>
  <c r="I60" i="5" s="1"/>
  <c r="M60" i="5" a="1"/>
  <c r="M60" i="5" s="1"/>
  <c r="F61" i="5"/>
  <c r="AE61" i="5" l="1" a="1"/>
  <c r="AE61" i="5" s="1"/>
  <c r="AC61" i="5" a="1"/>
  <c r="AC61" i="5" s="1"/>
  <c r="T61" i="5" a="1"/>
  <c r="T61" i="5" s="1"/>
  <c r="P61" i="5" a="1"/>
  <c r="P61" i="5" s="1"/>
  <c r="U61" i="5" a="1"/>
  <c r="U61" i="5" s="1"/>
  <c r="AF61" i="5" a="1"/>
  <c r="AF61" i="5" s="1"/>
  <c r="W61" i="5" a="1"/>
  <c r="W61" i="5" s="1"/>
  <c r="Z61" i="5" a="1"/>
  <c r="Z61" i="5" s="1"/>
  <c r="V61" i="5" a="1"/>
  <c r="V61" i="5" s="1"/>
  <c r="AG61" i="5" a="1"/>
  <c r="AG61" i="5" s="1"/>
  <c r="Q61" i="5" a="1"/>
  <c r="Q61" i="5" s="1"/>
  <c r="R61" i="5" a="1"/>
  <c r="R61" i="5" s="1"/>
  <c r="X61" i="5" a="1"/>
  <c r="X61" i="5" s="1"/>
  <c r="O61" i="5" a="1"/>
  <c r="O61" i="5" s="1"/>
  <c r="AA61" i="5" a="1"/>
  <c r="AA61" i="5" s="1"/>
  <c r="AD61" i="5" a="1"/>
  <c r="AD61" i="5" s="1"/>
  <c r="S61" i="5" a="1"/>
  <c r="S61" i="5" s="1"/>
  <c r="AH61" i="5" a="1"/>
  <c r="AH61" i="5" s="1"/>
  <c r="N61" i="5" a="1"/>
  <c r="N61" i="5" s="1"/>
  <c r="Y61" i="5" a="1"/>
  <c r="Y61" i="5" s="1"/>
  <c r="AB61" i="5" a="1"/>
  <c r="AB61" i="5" s="1"/>
  <c r="K61" i="5" a="1"/>
  <c r="K61" i="5" s="1"/>
  <c r="G61" i="5" a="1"/>
  <c r="G61" i="5" s="1"/>
  <c r="L61" i="5" a="1"/>
  <c r="L61" i="5" s="1"/>
  <c r="H61" i="5" a="1"/>
  <c r="H61" i="5" s="1"/>
  <c r="J61" i="5" a="1"/>
  <c r="J61" i="5" s="1"/>
  <c r="I61" i="5" a="1"/>
  <c r="I61" i="5" s="1"/>
  <c r="M61" i="5" a="1"/>
  <c r="M61" i="5" s="1"/>
  <c r="F62" i="5"/>
  <c r="C21" i="9" l="1"/>
  <c r="AC62" i="5" a="1"/>
  <c r="AC62" i="5" s="1"/>
  <c r="AE62" i="5" a="1"/>
  <c r="AE62" i="5" s="1"/>
  <c r="T62" i="5" a="1"/>
  <c r="T62" i="5" s="1"/>
  <c r="P62" i="5" a="1"/>
  <c r="P62" i="5" s="1"/>
  <c r="AF62" i="5" a="1"/>
  <c r="AF62" i="5" s="1"/>
  <c r="U62" i="5" a="1"/>
  <c r="U62" i="5" s="1"/>
  <c r="P21" i="9" s="1"/>
  <c r="Z62" i="5" a="1"/>
  <c r="Z62" i="5" s="1"/>
  <c r="U21" i="9" s="1"/>
  <c r="W62" i="5" a="1"/>
  <c r="W62" i="5" s="1"/>
  <c r="R21" i="9" s="1"/>
  <c r="AA62" i="5" a="1"/>
  <c r="AA62" i="5" s="1"/>
  <c r="V21" i="9" s="1"/>
  <c r="Q62" i="5" a="1"/>
  <c r="Q62" i="5" s="1"/>
  <c r="V62" i="5" a="1"/>
  <c r="V62" i="5" s="1"/>
  <c r="Q21" i="9" s="1"/>
  <c r="O62" i="5" a="1"/>
  <c r="O62" i="5" s="1"/>
  <c r="X62" i="5" a="1"/>
  <c r="X62" i="5" s="1"/>
  <c r="S21" i="9" s="1"/>
  <c r="R62" i="5" a="1"/>
  <c r="R62" i="5" s="1"/>
  <c r="AG62" i="5" a="1"/>
  <c r="AG62" i="5" s="1"/>
  <c r="Y62" i="5" a="1"/>
  <c r="Y62" i="5" s="1"/>
  <c r="T21" i="9" s="1"/>
  <c r="AD62" i="5" a="1"/>
  <c r="AD62" i="5" s="1"/>
  <c r="Y21" i="9" s="1"/>
  <c r="S62" i="5" a="1"/>
  <c r="S62" i="5" s="1"/>
  <c r="AH62" i="5" a="1"/>
  <c r="AH62" i="5" s="1"/>
  <c r="AC21" i="9" s="1"/>
  <c r="AB62" i="5" a="1"/>
  <c r="AB62" i="5" s="1"/>
  <c r="N62" i="5" a="1"/>
  <c r="N62" i="5" s="1"/>
  <c r="K62" i="5" a="1"/>
  <c r="K62" i="5" s="1"/>
  <c r="H62" i="5" a="1"/>
  <c r="H62" i="5" s="1"/>
  <c r="I62" i="5" a="1"/>
  <c r="I62" i="5" s="1"/>
  <c r="G62" i="5" a="1"/>
  <c r="G62" i="5" s="1"/>
  <c r="L62" i="5" a="1"/>
  <c r="L62" i="5" s="1"/>
  <c r="J62" i="5" a="1"/>
  <c r="J62" i="5" s="1"/>
  <c r="M62" i="5" a="1"/>
  <c r="M62" i="5" s="1"/>
  <c r="H21" i="9" s="1"/>
  <c r="F63" i="5"/>
  <c r="AC63" i="5" l="1" a="1"/>
  <c r="AC63" i="5" s="1"/>
  <c r="P63" i="5" a="1"/>
  <c r="P63" i="5" s="1"/>
  <c r="AE63" i="5" a="1"/>
  <c r="AE63" i="5" s="1"/>
  <c r="T63" i="5" a="1"/>
  <c r="T63" i="5" s="1"/>
  <c r="U63" i="5" a="1"/>
  <c r="U63" i="5" s="1"/>
  <c r="W63" i="5" a="1"/>
  <c r="W63" i="5" s="1"/>
  <c r="Z63" i="5" a="1"/>
  <c r="Z63" i="5" s="1"/>
  <c r="AF63" i="5" a="1"/>
  <c r="AF63" i="5" s="1"/>
  <c r="O63" i="5" a="1"/>
  <c r="O63" i="5" s="1"/>
  <c r="X63" i="5" a="1"/>
  <c r="X63" i="5" s="1"/>
  <c r="AG63" i="5" a="1"/>
  <c r="AG63" i="5" s="1"/>
  <c r="R63" i="5" a="1"/>
  <c r="R63" i="5" s="1"/>
  <c r="AA63" i="5" a="1"/>
  <c r="AA63" i="5" s="1"/>
  <c r="V63" i="5" a="1"/>
  <c r="V63" i="5" s="1"/>
  <c r="AD63" i="5" a="1"/>
  <c r="AD63" i="5" s="1"/>
  <c r="Q63" i="5" a="1"/>
  <c r="Q63" i="5" s="1"/>
  <c r="AB63" i="5" a="1"/>
  <c r="AB63" i="5" s="1"/>
  <c r="S63" i="5" a="1"/>
  <c r="S63" i="5" s="1"/>
  <c r="AH63" i="5" a="1"/>
  <c r="AH63" i="5" s="1"/>
  <c r="Y63" i="5" a="1"/>
  <c r="Y63" i="5" s="1"/>
  <c r="N63" i="5" a="1"/>
  <c r="N63" i="5" s="1"/>
  <c r="G63" i="5" a="1"/>
  <c r="G63" i="5" s="1"/>
  <c r="L63" i="5" a="1"/>
  <c r="L63" i="5" s="1"/>
  <c r="K63" i="5" a="1"/>
  <c r="K63" i="5" s="1"/>
  <c r="H63" i="5" a="1"/>
  <c r="H63" i="5" s="1"/>
  <c r="J63" i="5" a="1"/>
  <c r="J63" i="5" s="1"/>
  <c r="I63" i="5" a="1"/>
  <c r="I63" i="5" s="1"/>
  <c r="M63" i="5" a="1"/>
  <c r="M63" i="5" s="1"/>
  <c r="F64" i="5"/>
  <c r="AE64" i="5" l="1" a="1"/>
  <c r="AE64" i="5" s="1"/>
  <c r="P64" i="5" a="1"/>
  <c r="P64" i="5" s="1"/>
  <c r="T64" i="5" a="1"/>
  <c r="T64" i="5" s="1"/>
  <c r="AC64" i="5" a="1"/>
  <c r="AC64" i="5" s="1"/>
  <c r="U64" i="5" a="1"/>
  <c r="U64" i="5" s="1"/>
  <c r="W64" i="5" a="1"/>
  <c r="W64" i="5" s="1"/>
  <c r="Z64" i="5" a="1"/>
  <c r="Z64" i="5" s="1"/>
  <c r="AF64" i="5" a="1"/>
  <c r="AF64" i="5" s="1"/>
  <c r="X64" i="5" a="1"/>
  <c r="X64" i="5" s="1"/>
  <c r="V64" i="5" a="1"/>
  <c r="V64" i="5" s="1"/>
  <c r="Q64" i="5" a="1"/>
  <c r="Q64" i="5" s="1"/>
  <c r="AA64" i="5" a="1"/>
  <c r="AA64" i="5" s="1"/>
  <c r="O64" i="5" a="1"/>
  <c r="O64" i="5" s="1"/>
  <c r="R64" i="5" a="1"/>
  <c r="R64" i="5" s="1"/>
  <c r="AG64" i="5" a="1"/>
  <c r="AG64" i="5" s="1"/>
  <c r="Y64" i="5" a="1"/>
  <c r="Y64" i="5" s="1"/>
  <c r="AB64" i="5" a="1"/>
  <c r="AB64" i="5" s="1"/>
  <c r="AD64" i="5" a="1"/>
  <c r="AD64" i="5" s="1"/>
  <c r="AH64" i="5" a="1"/>
  <c r="AH64" i="5" s="1"/>
  <c r="N64" i="5" a="1"/>
  <c r="N64" i="5" s="1"/>
  <c r="S64" i="5" a="1"/>
  <c r="S64" i="5" s="1"/>
  <c r="K64" i="5" a="1"/>
  <c r="K64" i="5" s="1"/>
  <c r="J64" i="5" a="1"/>
  <c r="J64" i="5" s="1"/>
  <c r="L64" i="5" a="1"/>
  <c r="L64" i="5" s="1"/>
  <c r="H64" i="5" a="1"/>
  <c r="H64" i="5" s="1"/>
  <c r="G64" i="5" a="1"/>
  <c r="G64" i="5" s="1"/>
  <c r="I64" i="5" a="1"/>
  <c r="I64" i="5" s="1"/>
  <c r="M64" i="5" a="1"/>
  <c r="M64" i="5" s="1"/>
  <c r="F65" i="5"/>
  <c r="P65" i="5" l="1" a="1"/>
  <c r="P65" i="5" s="1"/>
  <c r="AE65" i="5" a="1"/>
  <c r="AE65" i="5" s="1"/>
  <c r="AC65" i="5" a="1"/>
  <c r="AC65" i="5" s="1"/>
  <c r="T65" i="5" a="1"/>
  <c r="T65" i="5" s="1"/>
  <c r="Z65" i="5" a="1"/>
  <c r="Z65" i="5" s="1"/>
  <c r="U65" i="5" a="1"/>
  <c r="U65" i="5" s="1"/>
  <c r="AF65" i="5" a="1"/>
  <c r="AF65" i="5" s="1"/>
  <c r="W65" i="5" a="1"/>
  <c r="W65" i="5" s="1"/>
  <c r="AA65" i="5" a="1"/>
  <c r="AA65" i="5" s="1"/>
  <c r="X65" i="5" a="1"/>
  <c r="X65" i="5" s="1"/>
  <c r="AG65" i="5" a="1"/>
  <c r="AG65" i="5" s="1"/>
  <c r="Q65" i="5" a="1"/>
  <c r="Q65" i="5" s="1"/>
  <c r="O65" i="5" a="1"/>
  <c r="O65" i="5" s="1"/>
  <c r="V65" i="5" a="1"/>
  <c r="V65" i="5" s="1"/>
  <c r="AD65" i="5" a="1"/>
  <c r="AD65" i="5" s="1"/>
  <c r="AB65" i="5" a="1"/>
  <c r="AB65" i="5" s="1"/>
  <c r="R65" i="5" a="1"/>
  <c r="R65" i="5" s="1"/>
  <c r="AH65" i="5" a="1"/>
  <c r="AH65" i="5" s="1"/>
  <c r="Y65" i="5" a="1"/>
  <c r="Y65" i="5" s="1"/>
  <c r="S65" i="5" a="1"/>
  <c r="S65" i="5" s="1"/>
  <c r="N65" i="5" a="1"/>
  <c r="N65" i="5" s="1"/>
  <c r="H65" i="5" a="1"/>
  <c r="H65" i="5" s="1"/>
  <c r="K65" i="5" a="1"/>
  <c r="K65" i="5" s="1"/>
  <c r="L65" i="5" a="1"/>
  <c r="L65" i="5" s="1"/>
  <c r="I65" i="5" a="1"/>
  <c r="I65" i="5" s="1"/>
  <c r="G65" i="5" a="1"/>
  <c r="G65" i="5" s="1"/>
  <c r="J65" i="5" a="1"/>
  <c r="J65" i="5" s="1"/>
  <c r="M65" i="5" a="1"/>
  <c r="M65" i="5" s="1"/>
  <c r="F66" i="5"/>
  <c r="K22" i="9" l="1"/>
  <c r="AC66" i="5" a="1"/>
  <c r="AC66" i="5" s="1"/>
  <c r="T66" i="5" a="1"/>
  <c r="T66" i="5" s="1"/>
  <c r="P66" i="5" a="1"/>
  <c r="P66" i="5" s="1"/>
  <c r="AE66" i="5" a="1"/>
  <c r="AE66" i="5" s="1"/>
  <c r="Z66" i="5" a="1"/>
  <c r="Z66" i="5" s="1"/>
  <c r="U22" i="9" s="1"/>
  <c r="W66" i="5" a="1"/>
  <c r="W66" i="5" s="1"/>
  <c r="R22" i="9" s="1"/>
  <c r="U66" i="5" a="1"/>
  <c r="U66" i="5" s="1"/>
  <c r="P22" i="9" s="1"/>
  <c r="AF66" i="5" a="1"/>
  <c r="AF66" i="5" s="1"/>
  <c r="Q66" i="5" a="1"/>
  <c r="Q66" i="5" s="1"/>
  <c r="AG66" i="5" a="1"/>
  <c r="AG66" i="5" s="1"/>
  <c r="V66" i="5" a="1"/>
  <c r="V66" i="5" s="1"/>
  <c r="Q22" i="9" s="1"/>
  <c r="AA66" i="5" a="1"/>
  <c r="AA66" i="5" s="1"/>
  <c r="V22" i="9" s="1"/>
  <c r="X66" i="5" a="1"/>
  <c r="X66" i="5" s="1"/>
  <c r="S22" i="9" s="1"/>
  <c r="R66" i="5" a="1"/>
  <c r="R66" i="5" s="1"/>
  <c r="O66" i="5" a="1"/>
  <c r="O66" i="5" s="1"/>
  <c r="J22" i="9" s="1"/>
  <c r="AH66" i="5" a="1"/>
  <c r="AH66" i="5" s="1"/>
  <c r="AD66" i="5" a="1"/>
  <c r="AD66" i="5" s="1"/>
  <c r="S66" i="5" a="1"/>
  <c r="S66" i="5" s="1"/>
  <c r="N66" i="5" a="1"/>
  <c r="N66" i="5" s="1"/>
  <c r="Y66" i="5" a="1"/>
  <c r="Y66" i="5" s="1"/>
  <c r="T22" i="9" s="1"/>
  <c r="AB66" i="5" a="1"/>
  <c r="AB66" i="5" s="1"/>
  <c r="K66" i="5" a="1"/>
  <c r="K66" i="5" s="1"/>
  <c r="H66" i="5" a="1"/>
  <c r="H66" i="5" s="1"/>
  <c r="G66" i="5" a="1"/>
  <c r="G66" i="5" s="1"/>
  <c r="L66" i="5" a="1"/>
  <c r="L66" i="5" s="1"/>
  <c r="J66" i="5" a="1"/>
  <c r="J66" i="5" s="1"/>
  <c r="I66" i="5" a="1"/>
  <c r="I66" i="5" s="1"/>
  <c r="M66" i="5" a="1"/>
  <c r="M66" i="5" s="1"/>
  <c r="F67" i="5"/>
  <c r="AE67" i="5" l="1" a="1"/>
  <c r="AE67" i="5" s="1"/>
  <c r="T67" i="5" a="1"/>
  <c r="T67" i="5" s="1"/>
  <c r="P67" i="5" a="1"/>
  <c r="P67" i="5" s="1"/>
  <c r="AC67" i="5" a="1"/>
  <c r="AC67" i="5" s="1"/>
  <c r="W67" i="5" a="1"/>
  <c r="W67" i="5" s="1"/>
  <c r="AF67" i="5" a="1"/>
  <c r="AF67" i="5" s="1"/>
  <c r="U67" i="5" a="1"/>
  <c r="U67" i="5" s="1"/>
  <c r="Z67" i="5" a="1"/>
  <c r="Z67" i="5" s="1"/>
  <c r="V67" i="5" a="1"/>
  <c r="V67" i="5" s="1"/>
  <c r="O67" i="5" a="1"/>
  <c r="O67" i="5" s="1"/>
  <c r="Q67" i="5" a="1"/>
  <c r="Q67" i="5" s="1"/>
  <c r="AA67" i="5" a="1"/>
  <c r="AA67" i="5" s="1"/>
  <c r="R67" i="5" a="1"/>
  <c r="R67" i="5" s="1"/>
  <c r="X67" i="5" a="1"/>
  <c r="X67" i="5" s="1"/>
  <c r="AG67" i="5" a="1"/>
  <c r="AG67" i="5" s="1"/>
  <c r="AH67" i="5" a="1"/>
  <c r="AH67" i="5" s="1"/>
  <c r="Y67" i="5" a="1"/>
  <c r="Y67" i="5" s="1"/>
  <c r="AB67" i="5" a="1"/>
  <c r="AB67" i="5" s="1"/>
  <c r="AD67" i="5" a="1"/>
  <c r="AD67" i="5" s="1"/>
  <c r="N67" i="5" a="1"/>
  <c r="N67" i="5" s="1"/>
  <c r="S67" i="5" a="1"/>
  <c r="S67" i="5" s="1"/>
  <c r="K67" i="5" a="1"/>
  <c r="K67" i="5" s="1"/>
  <c r="H67" i="5" a="1"/>
  <c r="H67" i="5" s="1"/>
  <c r="G67" i="5" a="1"/>
  <c r="G67" i="5" s="1"/>
  <c r="L67" i="5" a="1"/>
  <c r="L67" i="5" s="1"/>
  <c r="I67" i="5" a="1"/>
  <c r="I67" i="5" s="1"/>
  <c r="J67" i="5" a="1"/>
  <c r="J67" i="5" s="1"/>
  <c r="M67" i="5" a="1"/>
  <c r="M67" i="5" s="1"/>
  <c r="F68" i="5"/>
  <c r="T68" i="5" l="1" a="1"/>
  <c r="T68" i="5" s="1"/>
  <c r="AE68" i="5" a="1"/>
  <c r="AE68" i="5" s="1"/>
  <c r="P68" i="5" a="1"/>
  <c r="P68" i="5" s="1"/>
  <c r="AC68" i="5" a="1"/>
  <c r="AC68" i="5" s="1"/>
  <c r="U68" i="5" a="1"/>
  <c r="U68" i="5" s="1"/>
  <c r="W68" i="5" a="1"/>
  <c r="W68" i="5" s="1"/>
  <c r="Z68" i="5" a="1"/>
  <c r="Z68" i="5" s="1"/>
  <c r="O68" i="5" a="1"/>
  <c r="O68" i="5" s="1"/>
  <c r="AF68" i="5" a="1"/>
  <c r="AF68" i="5" s="1"/>
  <c r="X68" i="5" a="1"/>
  <c r="X68" i="5" s="1"/>
  <c r="AG68" i="5" a="1"/>
  <c r="AG68" i="5" s="1"/>
  <c r="Q68" i="5" a="1"/>
  <c r="Q68" i="5" s="1"/>
  <c r="AA68" i="5" a="1"/>
  <c r="AA68" i="5" s="1"/>
  <c r="V68" i="5" a="1"/>
  <c r="V68" i="5" s="1"/>
  <c r="AD68" i="5" a="1"/>
  <c r="AD68" i="5" s="1"/>
  <c r="Y68" i="5" a="1"/>
  <c r="Y68" i="5" s="1"/>
  <c r="AH68" i="5" a="1"/>
  <c r="AH68" i="5" s="1"/>
  <c r="AB68" i="5" a="1"/>
  <c r="AB68" i="5" s="1"/>
  <c r="N68" i="5" a="1"/>
  <c r="N68" i="5" s="1"/>
  <c r="S68" i="5" a="1"/>
  <c r="S68" i="5" s="1"/>
  <c r="R68" i="5" a="1"/>
  <c r="R68" i="5" s="1"/>
  <c r="G68" i="5" a="1"/>
  <c r="G68" i="5" s="1"/>
  <c r="I68" i="5" a="1"/>
  <c r="I68" i="5" s="1"/>
  <c r="K68" i="5" a="1"/>
  <c r="K68" i="5" s="1"/>
  <c r="L68" i="5" a="1"/>
  <c r="L68" i="5" s="1"/>
  <c r="J68" i="5" a="1"/>
  <c r="J68" i="5" s="1"/>
  <c r="H68" i="5" a="1"/>
  <c r="H68" i="5" s="1"/>
  <c r="M68" i="5" a="1"/>
  <c r="M68" i="5" s="1"/>
  <c r="F69" i="5"/>
  <c r="AE69" i="5" l="1" a="1"/>
  <c r="AE69" i="5" s="1"/>
  <c r="T69" i="5" a="1"/>
  <c r="T69" i="5" s="1"/>
  <c r="P69" i="5" a="1"/>
  <c r="P69" i="5" s="1"/>
  <c r="AC69" i="5" a="1"/>
  <c r="AC69" i="5" s="1"/>
  <c r="W69" i="5" a="1"/>
  <c r="W69" i="5" s="1"/>
  <c r="Z69" i="5" a="1"/>
  <c r="Z69" i="5" s="1"/>
  <c r="U69" i="5" a="1"/>
  <c r="U69" i="5" s="1"/>
  <c r="Q69" i="5" a="1"/>
  <c r="Q69" i="5" s="1"/>
  <c r="AF69" i="5" a="1"/>
  <c r="AF69" i="5" s="1"/>
  <c r="O69" i="5" a="1"/>
  <c r="O69" i="5" s="1"/>
  <c r="AG69" i="5" a="1"/>
  <c r="AG69" i="5" s="1"/>
  <c r="V69" i="5" a="1"/>
  <c r="V69" i="5" s="1"/>
  <c r="AA69" i="5" a="1"/>
  <c r="AA69" i="5" s="1"/>
  <c r="X69" i="5" a="1"/>
  <c r="X69" i="5" s="1"/>
  <c r="N69" i="5" a="1"/>
  <c r="N69" i="5" s="1"/>
  <c r="AH69" i="5" a="1"/>
  <c r="AH69" i="5" s="1"/>
  <c r="Y69" i="5" a="1"/>
  <c r="Y69" i="5" s="1"/>
  <c r="R69" i="5" a="1"/>
  <c r="R69" i="5" s="1"/>
  <c r="AD69" i="5" a="1"/>
  <c r="AD69" i="5" s="1"/>
  <c r="AB69" i="5" a="1"/>
  <c r="AB69" i="5" s="1"/>
  <c r="S69" i="5" a="1"/>
  <c r="S69" i="5" s="1"/>
  <c r="L69" i="5" a="1"/>
  <c r="L69" i="5" s="1"/>
  <c r="H69" i="5" a="1"/>
  <c r="H69" i="5" s="1"/>
  <c r="G69" i="5" a="1"/>
  <c r="G69" i="5" s="1"/>
  <c r="K69" i="5" a="1"/>
  <c r="K69" i="5" s="1"/>
  <c r="J69" i="5" a="1"/>
  <c r="J69" i="5" s="1"/>
  <c r="I69" i="5" a="1"/>
  <c r="I69" i="5" s="1"/>
  <c r="M69" i="5" a="1"/>
  <c r="M69" i="5" s="1"/>
  <c r="F70" i="5"/>
  <c r="C23" i="9" l="1"/>
  <c r="X23" i="9"/>
  <c r="O23" i="9"/>
  <c r="AE70" i="5" a="1"/>
  <c r="AE70" i="5" s="1"/>
  <c r="AC70" i="5" a="1"/>
  <c r="AC70" i="5" s="1"/>
  <c r="P70" i="5" a="1"/>
  <c r="P70" i="5" s="1"/>
  <c r="T70" i="5" a="1"/>
  <c r="T70" i="5" s="1"/>
  <c r="W70" i="5" a="1"/>
  <c r="W70" i="5" s="1"/>
  <c r="R23" i="9" s="1"/>
  <c r="Z70" i="5" a="1"/>
  <c r="Z70" i="5" s="1"/>
  <c r="U23" i="9" s="1"/>
  <c r="U70" i="5" a="1"/>
  <c r="U70" i="5" s="1"/>
  <c r="P23" i="9" s="1"/>
  <c r="Q70" i="5" a="1"/>
  <c r="Q70" i="5" s="1"/>
  <c r="O70" i="5" a="1"/>
  <c r="O70" i="5" s="1"/>
  <c r="AA70" i="5" a="1"/>
  <c r="AA70" i="5" s="1"/>
  <c r="V23" i="9" s="1"/>
  <c r="V70" i="5" a="1"/>
  <c r="V70" i="5" s="1"/>
  <c r="Q23" i="9" s="1"/>
  <c r="AF70" i="5" a="1"/>
  <c r="AF70" i="5" s="1"/>
  <c r="X70" i="5" a="1"/>
  <c r="X70" i="5" s="1"/>
  <c r="S23" i="9" s="1"/>
  <c r="AG70" i="5" a="1"/>
  <c r="AG70" i="5" s="1"/>
  <c r="Y70" i="5" a="1"/>
  <c r="Y70" i="5" s="1"/>
  <c r="T23" i="9" s="1"/>
  <c r="AD70" i="5" a="1"/>
  <c r="AD70" i="5" s="1"/>
  <c r="Y23" i="9" s="1"/>
  <c r="R70" i="5" a="1"/>
  <c r="R70" i="5" s="1"/>
  <c r="N70" i="5" a="1"/>
  <c r="N70" i="5" s="1"/>
  <c r="I23" i="9" s="1"/>
  <c r="S70" i="5" a="1"/>
  <c r="S70" i="5" s="1"/>
  <c r="AH70" i="5" a="1"/>
  <c r="AH70" i="5" s="1"/>
  <c r="AB70" i="5" a="1"/>
  <c r="AB70" i="5" s="1"/>
  <c r="G70" i="5" a="1"/>
  <c r="G70" i="5" s="1"/>
  <c r="K70" i="5" a="1"/>
  <c r="K70" i="5" s="1"/>
  <c r="H70" i="5" a="1"/>
  <c r="H70" i="5" s="1"/>
  <c r="J70" i="5" a="1"/>
  <c r="J70" i="5" s="1"/>
  <c r="I70" i="5" a="1"/>
  <c r="I70" i="5" s="1"/>
  <c r="L70" i="5" a="1"/>
  <c r="L70" i="5" s="1"/>
  <c r="M70" i="5" a="1"/>
  <c r="M70" i="5" s="1"/>
  <c r="F71" i="5"/>
  <c r="AC71" i="5" l="1" a="1"/>
  <c r="AC71" i="5" s="1"/>
  <c r="P71" i="5" a="1"/>
  <c r="P71" i="5" s="1"/>
  <c r="AE71" i="5" a="1"/>
  <c r="AE71" i="5" s="1"/>
  <c r="T71" i="5" a="1"/>
  <c r="T71" i="5" s="1"/>
  <c r="W71" i="5" a="1"/>
  <c r="W71" i="5" s="1"/>
  <c r="AF71" i="5" a="1"/>
  <c r="AF71" i="5" s="1"/>
  <c r="Z71" i="5" a="1"/>
  <c r="Z71" i="5" s="1"/>
  <c r="U71" i="5" a="1"/>
  <c r="U71" i="5" s="1"/>
  <c r="X71" i="5" a="1"/>
  <c r="X71" i="5" s="1"/>
  <c r="V71" i="5" a="1"/>
  <c r="V71" i="5" s="1"/>
  <c r="Q71" i="5" a="1"/>
  <c r="Q71" i="5" s="1"/>
  <c r="AA71" i="5" a="1"/>
  <c r="AA71" i="5" s="1"/>
  <c r="AG71" i="5" a="1"/>
  <c r="AG71" i="5" s="1"/>
  <c r="O71" i="5" a="1"/>
  <c r="O71" i="5" s="1"/>
  <c r="AH71" i="5" a="1"/>
  <c r="AH71" i="5" s="1"/>
  <c r="R71" i="5" a="1"/>
  <c r="R71" i="5" s="1"/>
  <c r="AD71" i="5" a="1"/>
  <c r="AD71" i="5" s="1"/>
  <c r="AB71" i="5" a="1"/>
  <c r="AB71" i="5" s="1"/>
  <c r="S71" i="5" a="1"/>
  <c r="S71" i="5" s="1"/>
  <c r="Y71" i="5" a="1"/>
  <c r="Y71" i="5" s="1"/>
  <c r="N71" i="5" a="1"/>
  <c r="N71" i="5" s="1"/>
  <c r="G71" i="5" a="1"/>
  <c r="G71" i="5" s="1"/>
  <c r="L71" i="5" a="1"/>
  <c r="L71" i="5" s="1"/>
  <c r="H71" i="5" a="1"/>
  <c r="H71" i="5" s="1"/>
  <c r="K71" i="5" a="1"/>
  <c r="K71" i="5" s="1"/>
  <c r="J71" i="5" a="1"/>
  <c r="J71" i="5" s="1"/>
  <c r="I71" i="5" a="1"/>
  <c r="I71" i="5" s="1"/>
  <c r="M71" i="5" a="1"/>
  <c r="M71" i="5" s="1"/>
  <c r="F72" i="5"/>
  <c r="AC72" i="5" l="1" a="1"/>
  <c r="AC72" i="5" s="1"/>
  <c r="T72" i="5" a="1"/>
  <c r="T72" i="5" s="1"/>
  <c r="AE72" i="5" a="1"/>
  <c r="AE72" i="5" s="1"/>
  <c r="P72" i="5" a="1"/>
  <c r="P72" i="5" s="1"/>
  <c r="Z72" i="5" a="1"/>
  <c r="Z72" i="5" s="1"/>
  <c r="W72" i="5" a="1"/>
  <c r="W72" i="5" s="1"/>
  <c r="U72" i="5" a="1"/>
  <c r="U72" i="5" s="1"/>
  <c r="AG72" i="5" a="1"/>
  <c r="AG72" i="5" s="1"/>
  <c r="R72" i="5" a="1"/>
  <c r="R72" i="5" s="1"/>
  <c r="V72" i="5" a="1"/>
  <c r="V72" i="5" s="1"/>
  <c r="Q72" i="5" a="1"/>
  <c r="Q72" i="5" s="1"/>
  <c r="O72" i="5" a="1"/>
  <c r="O72" i="5" s="1"/>
  <c r="AA72" i="5" a="1"/>
  <c r="AA72" i="5" s="1"/>
  <c r="X72" i="5" a="1"/>
  <c r="X72" i="5" s="1"/>
  <c r="AF72" i="5" a="1"/>
  <c r="AF72" i="5" s="1"/>
  <c r="Y72" i="5" a="1"/>
  <c r="Y72" i="5" s="1"/>
  <c r="AB72" i="5" a="1"/>
  <c r="AB72" i="5" s="1"/>
  <c r="AD72" i="5" a="1"/>
  <c r="AD72" i="5" s="1"/>
  <c r="N72" i="5" a="1"/>
  <c r="N72" i="5" s="1"/>
  <c r="S72" i="5" a="1"/>
  <c r="S72" i="5" s="1"/>
  <c r="AH72" i="5" a="1"/>
  <c r="AH72" i="5" s="1"/>
  <c r="L72" i="5" a="1"/>
  <c r="L72" i="5" s="1"/>
  <c r="K72" i="5" a="1"/>
  <c r="K72" i="5" s="1"/>
  <c r="G72" i="5" a="1"/>
  <c r="G72" i="5" s="1"/>
  <c r="H72" i="5" a="1"/>
  <c r="H72" i="5" s="1"/>
  <c r="J72" i="5" a="1"/>
  <c r="J72" i="5" s="1"/>
  <c r="I72" i="5" a="1"/>
  <c r="I72" i="5" s="1"/>
  <c r="M72" i="5" a="1"/>
  <c r="M72" i="5" s="1"/>
  <c r="F73" i="5"/>
  <c r="AE73" i="5" l="1" a="1"/>
  <c r="AE73" i="5" s="1"/>
  <c r="AC73" i="5" a="1"/>
  <c r="AC73" i="5" s="1"/>
  <c r="T73" i="5" a="1"/>
  <c r="T73" i="5" s="1"/>
  <c r="P73" i="5" a="1"/>
  <c r="P73" i="5" s="1"/>
  <c r="W73" i="5" a="1"/>
  <c r="W73" i="5" s="1"/>
  <c r="U73" i="5" a="1"/>
  <c r="U73" i="5" s="1"/>
  <c r="AF73" i="5" a="1"/>
  <c r="AF73" i="5" s="1"/>
  <c r="Z73" i="5" a="1"/>
  <c r="Z73" i="5" s="1"/>
  <c r="AA73" i="5" a="1"/>
  <c r="AA73" i="5" s="1"/>
  <c r="Q73" i="5" a="1"/>
  <c r="Q73" i="5" s="1"/>
  <c r="R73" i="5" a="1"/>
  <c r="R73" i="5" s="1"/>
  <c r="O73" i="5" a="1"/>
  <c r="O73" i="5" s="1"/>
  <c r="V73" i="5" a="1"/>
  <c r="V73" i="5" s="1"/>
  <c r="AG73" i="5" a="1"/>
  <c r="AG73" i="5" s="1"/>
  <c r="X73" i="5" a="1"/>
  <c r="X73" i="5" s="1"/>
  <c r="AD73" i="5" a="1"/>
  <c r="AD73" i="5" s="1"/>
  <c r="S73" i="5" a="1"/>
  <c r="S73" i="5" s="1"/>
  <c r="AB73" i="5" a="1"/>
  <c r="AB73" i="5" s="1"/>
  <c r="N73" i="5" a="1"/>
  <c r="N73" i="5" s="1"/>
  <c r="AH73" i="5" a="1"/>
  <c r="AH73" i="5" s="1"/>
  <c r="Y73" i="5" a="1"/>
  <c r="Y73" i="5" s="1"/>
  <c r="J73" i="5" a="1"/>
  <c r="J73" i="5" s="1"/>
  <c r="K73" i="5" a="1"/>
  <c r="K73" i="5" s="1"/>
  <c r="G73" i="5" a="1"/>
  <c r="G73" i="5" s="1"/>
  <c r="L73" i="5" a="1"/>
  <c r="L73" i="5" s="1"/>
  <c r="H73" i="5" a="1"/>
  <c r="H73" i="5" s="1"/>
  <c r="I73" i="5" a="1"/>
  <c r="I73" i="5" s="1"/>
  <c r="M73" i="5" a="1"/>
  <c r="M73" i="5" s="1"/>
  <c r="F74" i="5"/>
  <c r="P74" i="5" l="1" a="1"/>
  <c r="P74" i="5" s="1"/>
  <c r="AC74" i="5" a="1"/>
  <c r="AC74" i="5" s="1"/>
  <c r="T74" i="5" a="1"/>
  <c r="T74" i="5" s="1"/>
  <c r="AE74" i="5" a="1"/>
  <c r="AE74" i="5" s="1"/>
  <c r="Z74" i="5" a="1"/>
  <c r="Z74" i="5" s="1"/>
  <c r="U24" i="9" s="1"/>
  <c r="W74" i="5" a="1"/>
  <c r="W74" i="5" s="1"/>
  <c r="R24" i="9" s="1"/>
  <c r="AF74" i="5" a="1"/>
  <c r="AF74" i="5" s="1"/>
  <c r="U74" i="5" a="1"/>
  <c r="U74" i="5" s="1"/>
  <c r="P24" i="9" s="1"/>
  <c r="AA74" i="5" a="1"/>
  <c r="AA74" i="5" s="1"/>
  <c r="V24" i="9" s="1"/>
  <c r="V74" i="5" a="1"/>
  <c r="V74" i="5" s="1"/>
  <c r="Q24" i="9" s="1"/>
  <c r="Q74" i="5" a="1"/>
  <c r="Q74" i="5" s="1"/>
  <c r="L24" i="9" s="1"/>
  <c r="AG74" i="5" a="1"/>
  <c r="AG74" i="5" s="1"/>
  <c r="R74" i="5" a="1"/>
  <c r="R74" i="5" s="1"/>
  <c r="O74" i="5" a="1"/>
  <c r="O74" i="5" s="1"/>
  <c r="X74" i="5" a="1"/>
  <c r="X74" i="5" s="1"/>
  <c r="S24" i="9" s="1"/>
  <c r="Y74" i="5" a="1"/>
  <c r="Y74" i="5" s="1"/>
  <c r="T24" i="9" s="1"/>
  <c r="AD74" i="5" a="1"/>
  <c r="AD74" i="5" s="1"/>
  <c r="S74" i="5" a="1"/>
  <c r="S74" i="5" s="1"/>
  <c r="N74" i="5" a="1"/>
  <c r="N74" i="5" s="1"/>
  <c r="AB74" i="5" a="1"/>
  <c r="AB74" i="5" s="1"/>
  <c r="AH74" i="5" a="1"/>
  <c r="AH74" i="5" s="1"/>
  <c r="AC24" i="9" s="1"/>
  <c r="K74" i="5" a="1"/>
  <c r="K74" i="5" s="1"/>
  <c r="G74" i="5" a="1"/>
  <c r="G74" i="5" s="1"/>
  <c r="L74" i="5" a="1"/>
  <c r="L74" i="5" s="1"/>
  <c r="J74" i="5" a="1"/>
  <c r="J74" i="5" s="1"/>
  <c r="I74" i="5" a="1"/>
  <c r="I74" i="5" s="1"/>
  <c r="H74" i="5" a="1"/>
  <c r="H74" i="5" s="1"/>
  <c r="M74" i="5" a="1"/>
  <c r="M74" i="5" s="1"/>
  <c r="F75" i="5"/>
  <c r="AE75" i="5" l="1" a="1"/>
  <c r="AE75" i="5" s="1"/>
  <c r="P75" i="5" a="1"/>
  <c r="P75" i="5" s="1"/>
  <c r="T75" i="5" a="1"/>
  <c r="T75" i="5" s="1"/>
  <c r="AC75" i="5" a="1"/>
  <c r="AC75" i="5" s="1"/>
  <c r="Z75" i="5" a="1"/>
  <c r="Z75" i="5" s="1"/>
  <c r="U75" i="5" a="1"/>
  <c r="U75" i="5" s="1"/>
  <c r="AF75" i="5" a="1"/>
  <c r="AF75" i="5" s="1"/>
  <c r="W75" i="5" a="1"/>
  <c r="W75" i="5" s="1"/>
  <c r="AA75" i="5" a="1"/>
  <c r="AA75" i="5" s="1"/>
  <c r="X75" i="5" a="1"/>
  <c r="X75" i="5" s="1"/>
  <c r="R75" i="5" a="1"/>
  <c r="R75" i="5" s="1"/>
  <c r="AD75" i="5" a="1"/>
  <c r="AD75" i="5" s="1"/>
  <c r="O75" i="5" a="1"/>
  <c r="O75" i="5" s="1"/>
  <c r="AG75" i="5" a="1"/>
  <c r="AG75" i="5" s="1"/>
  <c r="V75" i="5" a="1"/>
  <c r="V75" i="5" s="1"/>
  <c r="Q75" i="5" a="1"/>
  <c r="Q75" i="5" s="1"/>
  <c r="AB75" i="5" a="1"/>
  <c r="AB75" i="5" s="1"/>
  <c r="S75" i="5" a="1"/>
  <c r="S75" i="5" s="1"/>
  <c r="Y75" i="5" a="1"/>
  <c r="Y75" i="5" s="1"/>
  <c r="AH75" i="5" a="1"/>
  <c r="AH75" i="5" s="1"/>
  <c r="N75" i="5" a="1"/>
  <c r="N75" i="5" s="1"/>
  <c r="H75" i="5" a="1"/>
  <c r="H75" i="5" s="1"/>
  <c r="G75" i="5" a="1"/>
  <c r="G75" i="5" s="1"/>
  <c r="L75" i="5" a="1"/>
  <c r="L75" i="5" s="1"/>
  <c r="K75" i="5" a="1"/>
  <c r="K75" i="5" s="1"/>
  <c r="J75" i="5" a="1"/>
  <c r="J75" i="5" s="1"/>
  <c r="I75" i="5" a="1"/>
  <c r="I75" i="5" s="1"/>
  <c r="M75" i="5" a="1"/>
  <c r="M75" i="5" s="1"/>
  <c r="F76" i="5"/>
  <c r="T76" i="5" l="1" a="1"/>
  <c r="T76" i="5" s="1"/>
  <c r="AE76" i="5" a="1"/>
  <c r="AE76" i="5" s="1"/>
  <c r="P76" i="5" a="1"/>
  <c r="P76" i="5" s="1"/>
  <c r="AC76" i="5" a="1"/>
  <c r="AC76" i="5" s="1"/>
  <c r="U76" i="5" a="1"/>
  <c r="U76" i="5" s="1"/>
  <c r="Z76" i="5" a="1"/>
  <c r="Z76" i="5" s="1"/>
  <c r="W76" i="5" a="1"/>
  <c r="W76" i="5" s="1"/>
  <c r="AF76" i="5" a="1"/>
  <c r="AF76" i="5" s="1"/>
  <c r="AA76" i="5" a="1"/>
  <c r="AA76" i="5" s="1"/>
  <c r="Q76" i="5" a="1"/>
  <c r="Q76" i="5" s="1"/>
  <c r="X76" i="5" a="1"/>
  <c r="X76" i="5" s="1"/>
  <c r="R76" i="5" a="1"/>
  <c r="R76" i="5" s="1"/>
  <c r="V76" i="5" a="1"/>
  <c r="V76" i="5" s="1"/>
  <c r="AG76" i="5" a="1"/>
  <c r="AG76" i="5" s="1"/>
  <c r="O76" i="5" a="1"/>
  <c r="O76" i="5" s="1"/>
  <c r="AH76" i="5" a="1"/>
  <c r="AH76" i="5" s="1"/>
  <c r="N76" i="5" a="1"/>
  <c r="N76" i="5" s="1"/>
  <c r="S76" i="5" a="1"/>
  <c r="S76" i="5" s="1"/>
  <c r="AB76" i="5" a="1"/>
  <c r="AB76" i="5" s="1"/>
  <c r="AD76" i="5" a="1"/>
  <c r="AD76" i="5" s="1"/>
  <c r="Y76" i="5" a="1"/>
  <c r="Y76" i="5" s="1"/>
  <c r="K76" i="5" a="1"/>
  <c r="K76" i="5" s="1"/>
  <c r="G76" i="5" a="1"/>
  <c r="G76" i="5" s="1"/>
  <c r="L76" i="5" a="1"/>
  <c r="L76" i="5" s="1"/>
  <c r="I76" i="5" a="1"/>
  <c r="I76" i="5" s="1"/>
  <c r="H76" i="5" a="1"/>
  <c r="H76" i="5" s="1"/>
  <c r="J76" i="5" a="1"/>
  <c r="J76" i="5" s="1"/>
  <c r="M76" i="5" a="1"/>
  <c r="M76" i="5" s="1"/>
  <c r="F77" i="5"/>
  <c r="AC77" i="5" l="1" a="1"/>
  <c r="AC77" i="5" s="1"/>
  <c r="AE77" i="5" a="1"/>
  <c r="AE77" i="5" s="1"/>
  <c r="T77" i="5" a="1"/>
  <c r="T77" i="5" s="1"/>
  <c r="P77" i="5" a="1"/>
  <c r="P77" i="5" s="1"/>
  <c r="AF77" i="5" a="1"/>
  <c r="AF77" i="5" s="1"/>
  <c r="U77" i="5" a="1"/>
  <c r="U77" i="5" s="1"/>
  <c r="Z77" i="5" a="1"/>
  <c r="Z77" i="5" s="1"/>
  <c r="W77" i="5" a="1"/>
  <c r="W77" i="5" s="1"/>
  <c r="Q77" i="5" a="1"/>
  <c r="Q77" i="5" s="1"/>
  <c r="V77" i="5" a="1"/>
  <c r="V77" i="5" s="1"/>
  <c r="O77" i="5" a="1"/>
  <c r="O77" i="5" s="1"/>
  <c r="AA77" i="5" a="1"/>
  <c r="AA77" i="5" s="1"/>
  <c r="R77" i="5" a="1"/>
  <c r="R77" i="5" s="1"/>
  <c r="X77" i="5" a="1"/>
  <c r="X77" i="5" s="1"/>
  <c r="AG77" i="5" a="1"/>
  <c r="AG77" i="5" s="1"/>
  <c r="AB77" i="5" a="1"/>
  <c r="AB77" i="5" s="1"/>
  <c r="AH77" i="5" a="1"/>
  <c r="AH77" i="5" s="1"/>
  <c r="S77" i="5" a="1"/>
  <c r="S77" i="5" s="1"/>
  <c r="Y77" i="5" a="1"/>
  <c r="Y77" i="5" s="1"/>
  <c r="AD77" i="5" a="1"/>
  <c r="AD77" i="5" s="1"/>
  <c r="N77" i="5" a="1"/>
  <c r="N77" i="5" s="1"/>
  <c r="G77" i="5" a="1"/>
  <c r="G77" i="5" s="1"/>
  <c r="L77" i="5" a="1"/>
  <c r="L77" i="5" s="1"/>
  <c r="H77" i="5" a="1"/>
  <c r="H77" i="5" s="1"/>
  <c r="K77" i="5" a="1"/>
  <c r="K77" i="5" s="1"/>
  <c r="I77" i="5" a="1"/>
  <c r="I77" i="5" s="1"/>
  <c r="J77" i="5" a="1"/>
  <c r="J77" i="5" s="1"/>
  <c r="M77" i="5" a="1"/>
  <c r="M77" i="5" s="1"/>
  <c r="F78" i="5"/>
  <c r="P78" i="5" l="1" a="1"/>
  <c r="P78" i="5" s="1"/>
  <c r="K25" i="9" s="1"/>
  <c r="AC78" i="5" a="1"/>
  <c r="AC78" i="5" s="1"/>
  <c r="T78" i="5" a="1"/>
  <c r="T78" i="5" s="1"/>
  <c r="O25" i="9" s="1"/>
  <c r="AE78" i="5" a="1"/>
  <c r="AE78" i="5" s="1"/>
  <c r="Z25" i="9" s="1"/>
  <c r="AF78" i="5" a="1"/>
  <c r="AF78" i="5" s="1"/>
  <c r="Z78" i="5" a="1"/>
  <c r="Z78" i="5" s="1"/>
  <c r="U25" i="9" s="1"/>
  <c r="W78" i="5" a="1"/>
  <c r="W78" i="5" s="1"/>
  <c r="R25" i="9" s="1"/>
  <c r="U78" i="5" a="1"/>
  <c r="U78" i="5" s="1"/>
  <c r="P25" i="9" s="1"/>
  <c r="O78" i="5" a="1"/>
  <c r="O78" i="5" s="1"/>
  <c r="X78" i="5" a="1"/>
  <c r="X78" i="5" s="1"/>
  <c r="S25" i="9" s="1"/>
  <c r="V78" i="5" a="1"/>
  <c r="V78" i="5" s="1"/>
  <c r="Q25" i="9" s="1"/>
  <c r="AG78" i="5" a="1"/>
  <c r="AG78" i="5" s="1"/>
  <c r="Q78" i="5" a="1"/>
  <c r="Q78" i="5" s="1"/>
  <c r="AA78" i="5" a="1"/>
  <c r="AA78" i="5" s="1"/>
  <c r="V25" i="9" s="1"/>
  <c r="AH78" i="5" a="1"/>
  <c r="AH78" i="5" s="1"/>
  <c r="Y78" i="5" a="1"/>
  <c r="Y78" i="5" s="1"/>
  <c r="T25" i="9" s="1"/>
  <c r="R78" i="5" a="1"/>
  <c r="R78" i="5" s="1"/>
  <c r="M25" i="9" s="1"/>
  <c r="AD78" i="5" a="1"/>
  <c r="AD78" i="5" s="1"/>
  <c r="AB78" i="5" a="1"/>
  <c r="AB78" i="5" s="1"/>
  <c r="N78" i="5" a="1"/>
  <c r="N78" i="5" s="1"/>
  <c r="S78" i="5" a="1"/>
  <c r="S78" i="5" s="1"/>
  <c r="N25" i="9" s="1"/>
  <c r="G78" i="5" a="1"/>
  <c r="G78" i="5" s="1"/>
  <c r="K78" i="5" a="1"/>
  <c r="K78" i="5" s="1"/>
  <c r="H78" i="5" a="1"/>
  <c r="H78" i="5" s="1"/>
  <c r="C25" i="9" s="1"/>
  <c r="L78" i="5" a="1"/>
  <c r="L78" i="5" s="1"/>
  <c r="J78" i="5" a="1"/>
  <c r="J78" i="5" s="1"/>
  <c r="I78" i="5" a="1"/>
  <c r="I78" i="5" s="1"/>
  <c r="M78" i="5" a="1"/>
  <c r="M78" i="5" s="1"/>
  <c r="F79" i="5"/>
  <c r="T79" i="5" l="1" a="1"/>
  <c r="T79" i="5" s="1"/>
  <c r="AE79" i="5" a="1"/>
  <c r="AE79" i="5" s="1"/>
  <c r="P79" i="5" a="1"/>
  <c r="P79" i="5" s="1"/>
  <c r="Z79" i="5" a="1"/>
  <c r="Z79" i="5" s="1"/>
  <c r="U79" i="5" a="1"/>
  <c r="U79" i="5" s="1"/>
  <c r="W79" i="5" a="1"/>
  <c r="W79" i="5" s="1"/>
  <c r="AF79" i="5" a="1"/>
  <c r="AF79" i="5" s="1"/>
  <c r="AC79" i="5" a="1"/>
  <c r="AC79" i="5" s="1"/>
  <c r="Q79" i="5" a="1"/>
  <c r="Q79" i="5" s="1"/>
  <c r="AG79" i="5" a="1"/>
  <c r="AG79" i="5" s="1"/>
  <c r="R79" i="5" a="1"/>
  <c r="R79" i="5" s="1"/>
  <c r="X79" i="5" a="1"/>
  <c r="X79" i="5" s="1"/>
  <c r="AD79" i="5" a="1"/>
  <c r="AD79" i="5" s="1"/>
  <c r="AA79" i="5" a="1"/>
  <c r="AA79" i="5" s="1"/>
  <c r="O79" i="5" a="1"/>
  <c r="O79" i="5" s="1"/>
  <c r="V79" i="5" a="1"/>
  <c r="V79" i="5" s="1"/>
  <c r="Y79" i="5" a="1"/>
  <c r="Y79" i="5" s="1"/>
  <c r="N79" i="5" a="1"/>
  <c r="N79" i="5" s="1"/>
  <c r="AH79" i="5" a="1"/>
  <c r="AH79" i="5" s="1"/>
  <c r="AB79" i="5" a="1"/>
  <c r="AB79" i="5" s="1"/>
  <c r="S79" i="5" a="1"/>
  <c r="S79" i="5" s="1"/>
  <c r="H79" i="5" a="1"/>
  <c r="H79" i="5" s="1"/>
  <c r="K79" i="5" a="1"/>
  <c r="K79" i="5" s="1"/>
  <c r="I79" i="5" a="1"/>
  <c r="I79" i="5" s="1"/>
  <c r="G79" i="5" a="1"/>
  <c r="G79" i="5" s="1"/>
  <c r="L79" i="5" a="1"/>
  <c r="L79" i="5" s="1"/>
  <c r="J79" i="5" a="1"/>
  <c r="J79" i="5" s="1"/>
  <c r="M79" i="5" a="1"/>
  <c r="M79" i="5" s="1"/>
  <c r="F80" i="5"/>
  <c r="AC80" i="5" l="1" a="1"/>
  <c r="AC80" i="5" s="1"/>
  <c r="P80" i="5" a="1"/>
  <c r="P80" i="5" s="1"/>
  <c r="T80" i="5" a="1"/>
  <c r="T80" i="5" s="1"/>
  <c r="AE80" i="5" a="1"/>
  <c r="AE80" i="5" s="1"/>
  <c r="AF80" i="5" a="1"/>
  <c r="AF80" i="5" s="1"/>
  <c r="W80" i="5" a="1"/>
  <c r="W80" i="5" s="1"/>
  <c r="Z80" i="5" a="1"/>
  <c r="Z80" i="5" s="1"/>
  <c r="U80" i="5" a="1"/>
  <c r="U80" i="5" s="1"/>
  <c r="AG80" i="5" a="1"/>
  <c r="AG80" i="5" s="1"/>
  <c r="AA80" i="5" a="1"/>
  <c r="AA80" i="5" s="1"/>
  <c r="X80" i="5" a="1"/>
  <c r="X80" i="5" s="1"/>
  <c r="V80" i="5" a="1"/>
  <c r="V80" i="5" s="1"/>
  <c r="Q80" i="5" a="1"/>
  <c r="Q80" i="5" s="1"/>
  <c r="O80" i="5" a="1"/>
  <c r="O80" i="5" s="1"/>
  <c r="R80" i="5" a="1"/>
  <c r="R80" i="5" s="1"/>
  <c r="AD80" i="5" a="1"/>
  <c r="AD80" i="5" s="1"/>
  <c r="S80" i="5" a="1"/>
  <c r="S80" i="5" s="1"/>
  <c r="AH80" i="5" a="1"/>
  <c r="AH80" i="5" s="1"/>
  <c r="AB80" i="5" a="1"/>
  <c r="AB80" i="5" s="1"/>
  <c r="N80" i="5" a="1"/>
  <c r="N80" i="5" s="1"/>
  <c r="Y80" i="5" a="1"/>
  <c r="Y80" i="5" s="1"/>
  <c r="L80" i="5" a="1"/>
  <c r="L80" i="5" s="1"/>
  <c r="H80" i="5" a="1"/>
  <c r="H80" i="5" s="1"/>
  <c r="K80" i="5" a="1"/>
  <c r="K80" i="5" s="1"/>
  <c r="G80" i="5" a="1"/>
  <c r="G80" i="5" s="1"/>
  <c r="J80" i="5" a="1"/>
  <c r="J80" i="5" s="1"/>
  <c r="I80" i="5" a="1"/>
  <c r="I80" i="5" s="1"/>
  <c r="M80" i="5" a="1"/>
  <c r="M80" i="5" s="1"/>
  <c r="F81" i="5"/>
  <c r="AC81" i="5" l="1" a="1"/>
  <c r="AC81" i="5" s="1"/>
  <c r="T81" i="5" a="1"/>
  <c r="T81" i="5" s="1"/>
  <c r="AE81" i="5" a="1"/>
  <c r="AE81" i="5" s="1"/>
  <c r="P81" i="5" a="1"/>
  <c r="P81" i="5" s="1"/>
  <c r="Z81" i="5" a="1"/>
  <c r="Z81" i="5" s="1"/>
  <c r="AF81" i="5" a="1"/>
  <c r="AF81" i="5" s="1"/>
  <c r="W81" i="5" a="1"/>
  <c r="W81" i="5" s="1"/>
  <c r="U81" i="5" a="1"/>
  <c r="U81" i="5" s="1"/>
  <c r="AA81" i="5" a="1"/>
  <c r="AA81" i="5" s="1"/>
  <c r="V81" i="5" a="1"/>
  <c r="V81" i="5" s="1"/>
  <c r="O81" i="5" a="1"/>
  <c r="O81" i="5" s="1"/>
  <c r="Q81" i="5" a="1"/>
  <c r="Q81" i="5" s="1"/>
  <c r="X81" i="5" a="1"/>
  <c r="X81" i="5" s="1"/>
  <c r="AG81" i="5" a="1"/>
  <c r="AG81" i="5" s="1"/>
  <c r="R81" i="5" a="1"/>
  <c r="R81" i="5" s="1"/>
  <c r="AD81" i="5" a="1"/>
  <c r="AD81" i="5" s="1"/>
  <c r="S81" i="5" a="1"/>
  <c r="S81" i="5" s="1"/>
  <c r="AH81" i="5" a="1"/>
  <c r="AH81" i="5" s="1"/>
  <c r="AB81" i="5" a="1"/>
  <c r="AB81" i="5" s="1"/>
  <c r="N81" i="5" a="1"/>
  <c r="N81" i="5" s="1"/>
  <c r="Y81" i="5" a="1"/>
  <c r="Y81" i="5" s="1"/>
  <c r="H81" i="5" a="1"/>
  <c r="H81" i="5" s="1"/>
  <c r="G81" i="5" a="1"/>
  <c r="G81" i="5" s="1"/>
  <c r="L81" i="5" a="1"/>
  <c r="L81" i="5" s="1"/>
  <c r="I81" i="5" a="1"/>
  <c r="I81" i="5" s="1"/>
  <c r="J81" i="5" a="1"/>
  <c r="J81" i="5" s="1"/>
  <c r="K81" i="5" a="1"/>
  <c r="K81" i="5" s="1"/>
  <c r="M81" i="5" a="1"/>
  <c r="M81" i="5" s="1"/>
  <c r="F82" i="5"/>
  <c r="O26" i="9" l="1"/>
  <c r="T82" i="5" a="1"/>
  <c r="T82" i="5" s="1"/>
  <c r="AC82" i="5" a="1"/>
  <c r="AC82" i="5" s="1"/>
  <c r="AE82" i="5" a="1"/>
  <c r="AE82" i="5" s="1"/>
  <c r="P82" i="5" a="1"/>
  <c r="P82" i="5" s="1"/>
  <c r="W82" i="5" a="1"/>
  <c r="W82" i="5" s="1"/>
  <c r="R26" i="9" s="1"/>
  <c r="Z82" i="5" a="1"/>
  <c r="Z82" i="5" s="1"/>
  <c r="U26" i="9" s="1"/>
  <c r="AF82" i="5" a="1"/>
  <c r="AF82" i="5" s="1"/>
  <c r="U82" i="5" a="1"/>
  <c r="U82" i="5" s="1"/>
  <c r="P26" i="9" s="1"/>
  <c r="V82" i="5" a="1"/>
  <c r="V82" i="5" s="1"/>
  <c r="Q26" i="9" s="1"/>
  <c r="R82" i="5" a="1"/>
  <c r="R82" i="5" s="1"/>
  <c r="Q82" i="5" a="1"/>
  <c r="Q82" i="5" s="1"/>
  <c r="AA82" i="5" a="1"/>
  <c r="AA82" i="5" s="1"/>
  <c r="V26" i="9" s="1"/>
  <c r="AG82" i="5" a="1"/>
  <c r="AG82" i="5" s="1"/>
  <c r="O82" i="5" a="1"/>
  <c r="O82" i="5" s="1"/>
  <c r="X82" i="5" a="1"/>
  <c r="X82" i="5" s="1"/>
  <c r="S26" i="9" s="1"/>
  <c r="AH82" i="5" a="1"/>
  <c r="AH82" i="5" s="1"/>
  <c r="AB82" i="5" a="1"/>
  <c r="AB82" i="5" s="1"/>
  <c r="S82" i="5" a="1"/>
  <c r="S82" i="5" s="1"/>
  <c r="N26" i="9" s="1"/>
  <c r="N82" i="5" a="1"/>
  <c r="N82" i="5" s="1"/>
  <c r="AD82" i="5" a="1"/>
  <c r="AD82" i="5" s="1"/>
  <c r="Y82" i="5" a="1"/>
  <c r="Y82" i="5" s="1"/>
  <c r="T26" i="9" s="1"/>
  <c r="L82" i="5" a="1"/>
  <c r="L82" i="5" s="1"/>
  <c r="G82" i="5" a="1"/>
  <c r="G82" i="5" s="1"/>
  <c r="K82" i="5" a="1"/>
  <c r="K82" i="5" s="1"/>
  <c r="H82" i="5" a="1"/>
  <c r="H82" i="5" s="1"/>
  <c r="I82" i="5" a="1"/>
  <c r="I82" i="5" s="1"/>
  <c r="J82" i="5" a="1"/>
  <c r="J82" i="5" s="1"/>
  <c r="M82" i="5" a="1"/>
  <c r="M82" i="5" s="1"/>
  <c r="F83" i="5"/>
  <c r="T83" i="5" l="1" a="1"/>
  <c r="T83" i="5" s="1"/>
  <c r="AC83" i="5" a="1"/>
  <c r="AC83" i="5" s="1"/>
  <c r="P83" i="5" a="1"/>
  <c r="P83" i="5" s="1"/>
  <c r="AE83" i="5" a="1"/>
  <c r="AE83" i="5" s="1"/>
  <c r="AF83" i="5" a="1"/>
  <c r="AF83" i="5" s="1"/>
  <c r="Z83" i="5" a="1"/>
  <c r="Z83" i="5" s="1"/>
  <c r="U83" i="5" a="1"/>
  <c r="U83" i="5" s="1"/>
  <c r="W83" i="5" a="1"/>
  <c r="W83" i="5" s="1"/>
  <c r="Q83" i="5" a="1"/>
  <c r="Q83" i="5" s="1"/>
  <c r="O83" i="5" a="1"/>
  <c r="O83" i="5" s="1"/>
  <c r="AG83" i="5" a="1"/>
  <c r="AG83" i="5" s="1"/>
  <c r="AA83" i="5" a="1"/>
  <c r="AA83" i="5" s="1"/>
  <c r="X83" i="5" a="1"/>
  <c r="X83" i="5" s="1"/>
  <c r="Y83" i="5" a="1"/>
  <c r="Y83" i="5" s="1"/>
  <c r="V83" i="5" a="1"/>
  <c r="V83" i="5" s="1"/>
  <c r="AH83" i="5" a="1"/>
  <c r="AH83" i="5" s="1"/>
  <c r="AD83" i="5" a="1"/>
  <c r="AD83" i="5" s="1"/>
  <c r="N83" i="5" a="1"/>
  <c r="N83" i="5" s="1"/>
  <c r="S83" i="5" a="1"/>
  <c r="S83" i="5" s="1"/>
  <c r="AB83" i="5" a="1"/>
  <c r="AB83" i="5" s="1"/>
  <c r="R83" i="5" a="1"/>
  <c r="R83" i="5" s="1"/>
  <c r="J83" i="5" a="1"/>
  <c r="J83" i="5" s="1"/>
  <c r="K83" i="5" a="1"/>
  <c r="K83" i="5" s="1"/>
  <c r="G83" i="5" a="1"/>
  <c r="G83" i="5" s="1"/>
  <c r="L83" i="5" a="1"/>
  <c r="L83" i="5" s="1"/>
  <c r="H83" i="5" a="1"/>
  <c r="H83" i="5" s="1"/>
  <c r="I83" i="5" a="1"/>
  <c r="I83" i="5" s="1"/>
  <c r="M83" i="5" a="1"/>
  <c r="M83" i="5" s="1"/>
  <c r="F84" i="5"/>
  <c r="AC84" i="5" l="1" a="1"/>
  <c r="AC84" i="5" s="1"/>
  <c r="T84" i="5" a="1"/>
  <c r="T84" i="5" s="1"/>
  <c r="AE84" i="5" a="1"/>
  <c r="AE84" i="5" s="1"/>
  <c r="P84" i="5" a="1"/>
  <c r="P84" i="5" s="1"/>
  <c r="AF84" i="5" a="1"/>
  <c r="AF84" i="5" s="1"/>
  <c r="Z84" i="5" a="1"/>
  <c r="Z84" i="5" s="1"/>
  <c r="W84" i="5" a="1"/>
  <c r="W84" i="5" s="1"/>
  <c r="U84" i="5" a="1"/>
  <c r="U84" i="5" s="1"/>
  <c r="Q84" i="5" a="1"/>
  <c r="Q84" i="5" s="1"/>
  <c r="AG84" i="5" a="1"/>
  <c r="AG84" i="5" s="1"/>
  <c r="O84" i="5" a="1"/>
  <c r="O84" i="5" s="1"/>
  <c r="X84" i="5" a="1"/>
  <c r="X84" i="5" s="1"/>
  <c r="V84" i="5" a="1"/>
  <c r="V84" i="5" s="1"/>
  <c r="AD84" i="5" a="1"/>
  <c r="AD84" i="5" s="1"/>
  <c r="AA84" i="5" a="1"/>
  <c r="AA84" i="5" s="1"/>
  <c r="Y84" i="5" a="1"/>
  <c r="Y84" i="5" s="1"/>
  <c r="AH84" i="5" a="1"/>
  <c r="AH84" i="5" s="1"/>
  <c r="N84" i="5" a="1"/>
  <c r="N84" i="5" s="1"/>
  <c r="AB84" i="5" a="1"/>
  <c r="AB84" i="5" s="1"/>
  <c r="R84" i="5" a="1"/>
  <c r="R84" i="5" s="1"/>
  <c r="S84" i="5" a="1"/>
  <c r="S84" i="5" s="1"/>
  <c r="G84" i="5" a="1"/>
  <c r="G84" i="5" s="1"/>
  <c r="K84" i="5" a="1"/>
  <c r="K84" i="5" s="1"/>
  <c r="I84" i="5" a="1"/>
  <c r="I84" i="5" s="1"/>
  <c r="H84" i="5" a="1"/>
  <c r="H84" i="5" s="1"/>
  <c r="J84" i="5" a="1"/>
  <c r="J84" i="5" s="1"/>
  <c r="L84" i="5" a="1"/>
  <c r="L84" i="5" s="1"/>
  <c r="M84" i="5" a="1"/>
  <c r="M84" i="5" s="1"/>
  <c r="F85" i="5"/>
  <c r="T85" i="5" l="1" a="1"/>
  <c r="T85" i="5" s="1"/>
  <c r="AC85" i="5" a="1"/>
  <c r="AC85" i="5" s="1"/>
  <c r="AE85" i="5" a="1"/>
  <c r="AE85" i="5" s="1"/>
  <c r="P85" i="5" a="1"/>
  <c r="P85" i="5" s="1"/>
  <c r="W85" i="5" a="1"/>
  <c r="W85" i="5" s="1"/>
  <c r="U85" i="5" a="1"/>
  <c r="U85" i="5" s="1"/>
  <c r="AF85" i="5" a="1"/>
  <c r="AF85" i="5" s="1"/>
  <c r="Z85" i="5" a="1"/>
  <c r="Z85" i="5" s="1"/>
  <c r="AG85" i="5" a="1"/>
  <c r="AG85" i="5" s="1"/>
  <c r="Q85" i="5" a="1"/>
  <c r="Q85" i="5" s="1"/>
  <c r="O85" i="5" a="1"/>
  <c r="O85" i="5" s="1"/>
  <c r="V85" i="5" a="1"/>
  <c r="V85" i="5" s="1"/>
  <c r="AA85" i="5" a="1"/>
  <c r="AA85" i="5" s="1"/>
  <c r="X85" i="5" a="1"/>
  <c r="X85" i="5" s="1"/>
  <c r="AD85" i="5" a="1"/>
  <c r="AD85" i="5" s="1"/>
  <c r="AH85" i="5" a="1"/>
  <c r="AH85" i="5" s="1"/>
  <c r="Y85" i="5" a="1"/>
  <c r="Y85" i="5" s="1"/>
  <c r="N85" i="5" a="1"/>
  <c r="N85" i="5" s="1"/>
  <c r="R85" i="5" a="1"/>
  <c r="R85" i="5" s="1"/>
  <c r="S85" i="5" a="1"/>
  <c r="S85" i="5" s="1"/>
  <c r="AB85" i="5" a="1"/>
  <c r="AB85" i="5" s="1"/>
  <c r="G85" i="5" a="1"/>
  <c r="G85" i="5" s="1"/>
  <c r="L85" i="5" a="1"/>
  <c r="L85" i="5" s="1"/>
  <c r="K85" i="5" a="1"/>
  <c r="K85" i="5" s="1"/>
  <c r="H85" i="5" a="1"/>
  <c r="H85" i="5" s="1"/>
  <c r="I85" i="5" a="1"/>
  <c r="I85" i="5" s="1"/>
  <c r="J85" i="5" a="1"/>
  <c r="J85" i="5" s="1"/>
  <c r="M85" i="5" a="1"/>
  <c r="M85" i="5" s="1"/>
  <c r="F86" i="5"/>
  <c r="Z27" i="9" l="1"/>
  <c r="T86" i="5" a="1"/>
  <c r="T86" i="5" s="1"/>
  <c r="AE86" i="5" a="1"/>
  <c r="AE86" i="5" s="1"/>
  <c r="P86" i="5" a="1"/>
  <c r="P86" i="5" s="1"/>
  <c r="AC86" i="5" a="1"/>
  <c r="AC86" i="5" s="1"/>
  <c r="U86" i="5" a="1"/>
  <c r="U86" i="5" s="1"/>
  <c r="P27" i="9" s="1"/>
  <c r="AF86" i="5" a="1"/>
  <c r="AF86" i="5" s="1"/>
  <c r="W86" i="5" a="1"/>
  <c r="W86" i="5" s="1"/>
  <c r="R27" i="9" s="1"/>
  <c r="Z86" i="5" a="1"/>
  <c r="Z86" i="5" s="1"/>
  <c r="U27" i="9" s="1"/>
  <c r="V86" i="5" a="1"/>
  <c r="V86" i="5" s="1"/>
  <c r="Q27" i="9" s="1"/>
  <c r="Q86" i="5" a="1"/>
  <c r="Q86" i="5" s="1"/>
  <c r="O86" i="5" a="1"/>
  <c r="O86" i="5" s="1"/>
  <c r="X86" i="5" a="1"/>
  <c r="X86" i="5" s="1"/>
  <c r="S27" i="9" s="1"/>
  <c r="AD86" i="5" a="1"/>
  <c r="AD86" i="5" s="1"/>
  <c r="AA86" i="5" a="1"/>
  <c r="AA86" i="5" s="1"/>
  <c r="V27" i="9" s="1"/>
  <c r="AG86" i="5" a="1"/>
  <c r="AG86" i="5" s="1"/>
  <c r="AB27" i="9" s="1"/>
  <c r="N86" i="5" a="1"/>
  <c r="N86" i="5" s="1"/>
  <c r="R86" i="5" a="1"/>
  <c r="R86" i="5" s="1"/>
  <c r="S86" i="5" a="1"/>
  <c r="S86" i="5" s="1"/>
  <c r="AH86" i="5" a="1"/>
  <c r="AH86" i="5" s="1"/>
  <c r="AB86" i="5" a="1"/>
  <c r="AB86" i="5" s="1"/>
  <c r="Y86" i="5" a="1"/>
  <c r="Y86" i="5" s="1"/>
  <c r="T27" i="9" s="1"/>
  <c r="G86" i="5" a="1"/>
  <c r="G86" i="5" s="1"/>
  <c r="L86" i="5" a="1"/>
  <c r="L86" i="5" s="1"/>
  <c r="K86" i="5" a="1"/>
  <c r="K86" i="5" s="1"/>
  <c r="I86" i="5" a="1"/>
  <c r="I86" i="5" s="1"/>
  <c r="H86" i="5" a="1"/>
  <c r="H86" i="5" s="1"/>
  <c r="J86" i="5" a="1"/>
  <c r="J86" i="5" s="1"/>
  <c r="M86" i="5" a="1"/>
  <c r="M86" i="5" s="1"/>
  <c r="F87" i="5"/>
  <c r="P87" i="5" l="1" a="1"/>
  <c r="P87" i="5" s="1"/>
  <c r="AC87" i="5" a="1"/>
  <c r="AC87" i="5" s="1"/>
  <c r="T87" i="5" a="1"/>
  <c r="T87" i="5" s="1"/>
  <c r="AE87" i="5" a="1"/>
  <c r="AE87" i="5" s="1"/>
  <c r="W87" i="5" a="1"/>
  <c r="W87" i="5" s="1"/>
  <c r="U87" i="5" a="1"/>
  <c r="U87" i="5" s="1"/>
  <c r="Z87" i="5" a="1"/>
  <c r="Z87" i="5" s="1"/>
  <c r="AF87" i="5" a="1"/>
  <c r="AF87" i="5" s="1"/>
  <c r="O87" i="5" a="1"/>
  <c r="O87" i="5" s="1"/>
  <c r="AA87" i="5" a="1"/>
  <c r="AA87" i="5" s="1"/>
  <c r="V87" i="5" a="1"/>
  <c r="V87" i="5" s="1"/>
  <c r="R87" i="5" a="1"/>
  <c r="R87" i="5" s="1"/>
  <c r="X87" i="5" a="1"/>
  <c r="X87" i="5" s="1"/>
  <c r="Q87" i="5" a="1"/>
  <c r="Q87" i="5" s="1"/>
  <c r="AH87" i="5" a="1"/>
  <c r="AH87" i="5" s="1"/>
  <c r="AD87" i="5" a="1"/>
  <c r="AD87" i="5" s="1"/>
  <c r="AG87" i="5" a="1"/>
  <c r="AG87" i="5" s="1"/>
  <c r="S87" i="5" a="1"/>
  <c r="S87" i="5" s="1"/>
  <c r="N87" i="5" a="1"/>
  <c r="N87" i="5" s="1"/>
  <c r="AB87" i="5" a="1"/>
  <c r="AB87" i="5" s="1"/>
  <c r="Y87" i="5" a="1"/>
  <c r="Y87" i="5" s="1"/>
  <c r="L87" i="5" a="1"/>
  <c r="L87" i="5" s="1"/>
  <c r="K87" i="5" a="1"/>
  <c r="K87" i="5" s="1"/>
  <c r="H87" i="5" a="1"/>
  <c r="H87" i="5" s="1"/>
  <c r="G87" i="5" a="1"/>
  <c r="G87" i="5" s="1"/>
  <c r="I87" i="5" a="1"/>
  <c r="I87" i="5" s="1"/>
  <c r="J87" i="5" a="1"/>
  <c r="J87" i="5" s="1"/>
  <c r="M87" i="5" a="1"/>
  <c r="M87" i="5" s="1"/>
  <c r="F88" i="5"/>
  <c r="AC88" i="5" l="1" a="1"/>
  <c r="AC88" i="5" s="1"/>
  <c r="AE88" i="5" a="1"/>
  <c r="AE88" i="5" s="1"/>
  <c r="T88" i="5" a="1"/>
  <c r="T88" i="5" s="1"/>
  <c r="P88" i="5" a="1"/>
  <c r="P88" i="5" s="1"/>
  <c r="W88" i="5" a="1"/>
  <c r="W88" i="5" s="1"/>
  <c r="Z88" i="5" a="1"/>
  <c r="Z88" i="5" s="1"/>
  <c r="U88" i="5" a="1"/>
  <c r="U88" i="5" s="1"/>
  <c r="AF88" i="5" a="1"/>
  <c r="AF88" i="5" s="1"/>
  <c r="AG88" i="5" a="1"/>
  <c r="AG88" i="5" s="1"/>
  <c r="AA88" i="5" a="1"/>
  <c r="AA88" i="5" s="1"/>
  <c r="Q88" i="5" a="1"/>
  <c r="Q88" i="5" s="1"/>
  <c r="O88" i="5" a="1"/>
  <c r="O88" i="5" s="1"/>
  <c r="V88" i="5" a="1"/>
  <c r="V88" i="5" s="1"/>
  <c r="X88" i="5" a="1"/>
  <c r="X88" i="5" s="1"/>
  <c r="S88" i="5" a="1"/>
  <c r="S88" i="5" s="1"/>
  <c r="Y88" i="5" a="1"/>
  <c r="Y88" i="5" s="1"/>
  <c r="N88" i="5" a="1"/>
  <c r="N88" i="5" s="1"/>
  <c r="AH88" i="5" a="1"/>
  <c r="AH88" i="5" s="1"/>
  <c r="R88" i="5" a="1"/>
  <c r="R88" i="5" s="1"/>
  <c r="AB88" i="5" a="1"/>
  <c r="AB88" i="5" s="1"/>
  <c r="AD88" i="5" a="1"/>
  <c r="AD88" i="5" s="1"/>
  <c r="K88" i="5" a="1"/>
  <c r="K88" i="5" s="1"/>
  <c r="I88" i="5" a="1"/>
  <c r="I88" i="5" s="1"/>
  <c r="L88" i="5" a="1"/>
  <c r="L88" i="5" s="1"/>
  <c r="H88" i="5" a="1"/>
  <c r="H88" i="5" s="1"/>
  <c r="J88" i="5" a="1"/>
  <c r="J88" i="5" s="1"/>
  <c r="G88" i="5" a="1"/>
  <c r="G88" i="5" s="1"/>
  <c r="M88" i="5" a="1"/>
  <c r="M88" i="5" s="1"/>
  <c r="F89" i="5"/>
  <c r="AC89" i="5" l="1" a="1"/>
  <c r="AC89" i="5" s="1"/>
  <c r="AE89" i="5" a="1"/>
  <c r="AE89" i="5" s="1"/>
  <c r="T89" i="5" a="1"/>
  <c r="T89" i="5" s="1"/>
  <c r="P89" i="5" a="1"/>
  <c r="P89" i="5" s="1"/>
  <c r="W89" i="5" a="1"/>
  <c r="W89" i="5" s="1"/>
  <c r="U89" i="5" a="1"/>
  <c r="U89" i="5" s="1"/>
  <c r="AF89" i="5" a="1"/>
  <c r="AF89" i="5" s="1"/>
  <c r="Z89" i="5" a="1"/>
  <c r="Z89" i="5" s="1"/>
  <c r="Q89" i="5" a="1"/>
  <c r="Q89" i="5" s="1"/>
  <c r="AA89" i="5" a="1"/>
  <c r="AA89" i="5" s="1"/>
  <c r="V89" i="5" a="1"/>
  <c r="V89" i="5" s="1"/>
  <c r="AG89" i="5" a="1"/>
  <c r="AG89" i="5" s="1"/>
  <c r="R89" i="5" a="1"/>
  <c r="R89" i="5" s="1"/>
  <c r="X89" i="5" a="1"/>
  <c r="X89" i="5" s="1"/>
  <c r="O89" i="5" a="1"/>
  <c r="O89" i="5" s="1"/>
  <c r="S89" i="5" a="1"/>
  <c r="S89" i="5" s="1"/>
  <c r="AH89" i="5" a="1"/>
  <c r="AH89" i="5" s="1"/>
  <c r="Y89" i="5" a="1"/>
  <c r="Y89" i="5" s="1"/>
  <c r="AB89" i="5" a="1"/>
  <c r="AB89" i="5" s="1"/>
  <c r="N89" i="5" a="1"/>
  <c r="N89" i="5" s="1"/>
  <c r="AD89" i="5" a="1"/>
  <c r="AD89" i="5" s="1"/>
  <c r="H89" i="5" a="1"/>
  <c r="H89" i="5" s="1"/>
  <c r="L89" i="5" a="1"/>
  <c r="L89" i="5" s="1"/>
  <c r="I89" i="5" a="1"/>
  <c r="I89" i="5" s="1"/>
  <c r="K89" i="5" a="1"/>
  <c r="K89" i="5" s="1"/>
  <c r="J89" i="5" a="1"/>
  <c r="J89" i="5" s="1"/>
  <c r="G89" i="5" a="1"/>
  <c r="G89" i="5" s="1"/>
  <c r="M89" i="5" a="1"/>
  <c r="M89" i="5" s="1"/>
  <c r="F90" i="5"/>
  <c r="AB28" i="9" l="1"/>
  <c r="K28" i="9"/>
  <c r="AC28" i="9"/>
  <c r="L28" i="9"/>
  <c r="AC90" i="5" a="1"/>
  <c r="AC90" i="5" s="1"/>
  <c r="T90" i="5" a="1"/>
  <c r="T90" i="5" s="1"/>
  <c r="AE90" i="5" a="1"/>
  <c r="AE90" i="5" s="1"/>
  <c r="Z28" i="9" s="1"/>
  <c r="P90" i="5" a="1"/>
  <c r="P90" i="5" s="1"/>
  <c r="W90" i="5" a="1"/>
  <c r="W90" i="5" s="1"/>
  <c r="R28" i="9" s="1"/>
  <c r="U90" i="5" a="1"/>
  <c r="U90" i="5" s="1"/>
  <c r="P28" i="9" s="1"/>
  <c r="Z90" i="5" a="1"/>
  <c r="Z90" i="5" s="1"/>
  <c r="U28" i="9" s="1"/>
  <c r="AF90" i="5" a="1"/>
  <c r="AF90" i="5" s="1"/>
  <c r="AA28" i="9" s="1"/>
  <c r="X90" i="5" a="1"/>
  <c r="X90" i="5" s="1"/>
  <c r="S28" i="9" s="1"/>
  <c r="AG90" i="5" a="1"/>
  <c r="AG90" i="5" s="1"/>
  <c r="R90" i="5" a="1"/>
  <c r="R90" i="5" s="1"/>
  <c r="V90" i="5" a="1"/>
  <c r="V90" i="5" s="1"/>
  <c r="Q28" i="9" s="1"/>
  <c r="O90" i="5" a="1"/>
  <c r="O90" i="5" s="1"/>
  <c r="J28" i="9" s="1"/>
  <c r="AD90" i="5" a="1"/>
  <c r="AD90" i="5" s="1"/>
  <c r="AA90" i="5" a="1"/>
  <c r="AA90" i="5" s="1"/>
  <c r="V28" i="9" s="1"/>
  <c r="Q90" i="5" a="1"/>
  <c r="Q90" i="5" s="1"/>
  <c r="S90" i="5" a="1"/>
  <c r="S90" i="5" s="1"/>
  <c r="N90" i="5" a="1"/>
  <c r="N90" i="5" s="1"/>
  <c r="AB90" i="5" a="1"/>
  <c r="AB90" i="5" s="1"/>
  <c r="AH90" i="5" a="1"/>
  <c r="AH90" i="5" s="1"/>
  <c r="Y90" i="5" a="1"/>
  <c r="Y90" i="5" s="1"/>
  <c r="T28" i="9" s="1"/>
  <c r="H90" i="5" a="1"/>
  <c r="H90" i="5" s="1"/>
  <c r="L90" i="5" a="1"/>
  <c r="L90" i="5" s="1"/>
  <c r="K90" i="5" a="1"/>
  <c r="K90" i="5" s="1"/>
  <c r="J90" i="5" a="1"/>
  <c r="J90" i="5" s="1"/>
  <c r="I90" i="5" a="1"/>
  <c r="I90" i="5" s="1"/>
  <c r="G90" i="5" a="1"/>
  <c r="G90" i="5" s="1"/>
  <c r="M90" i="5" a="1"/>
  <c r="M90" i="5" s="1"/>
  <c r="F91" i="5"/>
  <c r="AE91" i="5" l="1" a="1"/>
  <c r="AE91" i="5" s="1"/>
  <c r="AC91" i="5" a="1"/>
  <c r="AC91" i="5" s="1"/>
  <c r="P91" i="5" a="1"/>
  <c r="P91" i="5" s="1"/>
  <c r="T91" i="5" a="1"/>
  <c r="T91" i="5" s="1"/>
  <c r="Z91" i="5" a="1"/>
  <c r="Z91" i="5" s="1"/>
  <c r="W91" i="5" a="1"/>
  <c r="W91" i="5" s="1"/>
  <c r="U91" i="5" a="1"/>
  <c r="U91" i="5" s="1"/>
  <c r="Q91" i="5" a="1"/>
  <c r="Q91" i="5" s="1"/>
  <c r="AF91" i="5" a="1"/>
  <c r="AF91" i="5" s="1"/>
  <c r="X91" i="5" a="1"/>
  <c r="X91" i="5" s="1"/>
  <c r="O91" i="5" a="1"/>
  <c r="O91" i="5" s="1"/>
  <c r="AA91" i="5" a="1"/>
  <c r="AA91" i="5" s="1"/>
  <c r="AG91" i="5" a="1"/>
  <c r="AG91" i="5" s="1"/>
  <c r="R91" i="5" a="1"/>
  <c r="R91" i="5" s="1"/>
  <c r="AB91" i="5" a="1"/>
  <c r="AB91" i="5" s="1"/>
  <c r="AH91" i="5" a="1"/>
  <c r="AH91" i="5" s="1"/>
  <c r="AD91" i="5" a="1"/>
  <c r="AD91" i="5" s="1"/>
  <c r="N91" i="5" a="1"/>
  <c r="N91" i="5" s="1"/>
  <c r="Y91" i="5" a="1"/>
  <c r="Y91" i="5" s="1"/>
  <c r="S91" i="5" a="1"/>
  <c r="S91" i="5" s="1"/>
  <c r="V91" i="5" a="1"/>
  <c r="V91" i="5" s="1"/>
  <c r="L91" i="5" a="1"/>
  <c r="L91" i="5" s="1"/>
  <c r="H91" i="5" a="1"/>
  <c r="H91" i="5" s="1"/>
  <c r="K91" i="5" a="1"/>
  <c r="K91" i="5" s="1"/>
  <c r="I91" i="5" a="1"/>
  <c r="I91" i="5" s="1"/>
  <c r="J91" i="5" a="1"/>
  <c r="J91" i="5" s="1"/>
  <c r="G91" i="5" a="1"/>
  <c r="G91" i="5" s="1"/>
  <c r="M91" i="5" a="1"/>
  <c r="M91" i="5" s="1"/>
  <c r="F92" i="5"/>
  <c r="AE92" i="5" l="1" a="1"/>
  <c r="AE92" i="5" s="1"/>
  <c r="AC92" i="5" a="1"/>
  <c r="AC92" i="5" s="1"/>
  <c r="P92" i="5" a="1"/>
  <c r="P92" i="5" s="1"/>
  <c r="T92" i="5" a="1"/>
  <c r="T92" i="5" s="1"/>
  <c r="Z92" i="5" a="1"/>
  <c r="Z92" i="5" s="1"/>
  <c r="U92" i="5" a="1"/>
  <c r="U92" i="5" s="1"/>
  <c r="AF92" i="5" a="1"/>
  <c r="AF92" i="5" s="1"/>
  <c r="W92" i="5" a="1"/>
  <c r="W92" i="5" s="1"/>
  <c r="AA92" i="5" a="1"/>
  <c r="AA92" i="5" s="1"/>
  <c r="O92" i="5" a="1"/>
  <c r="O92" i="5" s="1"/>
  <c r="AG92" i="5" a="1"/>
  <c r="AG92" i="5" s="1"/>
  <c r="Q92" i="5" a="1"/>
  <c r="Q92" i="5" s="1"/>
  <c r="X92" i="5" a="1"/>
  <c r="X92" i="5" s="1"/>
  <c r="V92" i="5" a="1"/>
  <c r="V92" i="5" s="1"/>
  <c r="AB92" i="5" a="1"/>
  <c r="AB92" i="5" s="1"/>
  <c r="Y92" i="5" a="1"/>
  <c r="Y92" i="5" s="1"/>
  <c r="R92" i="5" a="1"/>
  <c r="R92" i="5" s="1"/>
  <c r="AH92" i="5" a="1"/>
  <c r="AH92" i="5" s="1"/>
  <c r="S92" i="5" a="1"/>
  <c r="S92" i="5" s="1"/>
  <c r="AD92" i="5" a="1"/>
  <c r="AD92" i="5" s="1"/>
  <c r="N92" i="5" a="1"/>
  <c r="N92" i="5" s="1"/>
  <c r="G92" i="5" a="1"/>
  <c r="G92" i="5" s="1"/>
  <c r="L92" i="5" a="1"/>
  <c r="L92" i="5" s="1"/>
  <c r="K92" i="5" a="1"/>
  <c r="K92" i="5" s="1"/>
  <c r="J92" i="5" a="1"/>
  <c r="J92" i="5" s="1"/>
  <c r="H92" i="5" a="1"/>
  <c r="H92" i="5" s="1"/>
  <c r="I92" i="5" a="1"/>
  <c r="I92" i="5" s="1"/>
  <c r="M92" i="5" a="1"/>
  <c r="M92" i="5" s="1"/>
  <c r="F93" i="5"/>
  <c r="AC93" i="5" l="1" a="1"/>
  <c r="AC93" i="5" s="1"/>
  <c r="T93" i="5" a="1"/>
  <c r="T93" i="5" s="1"/>
  <c r="P93" i="5" a="1"/>
  <c r="P93" i="5" s="1"/>
  <c r="AE93" i="5" a="1"/>
  <c r="AE93" i="5" s="1"/>
  <c r="U93" i="5" a="1"/>
  <c r="U93" i="5" s="1"/>
  <c r="Z93" i="5" a="1"/>
  <c r="Z93" i="5" s="1"/>
  <c r="W93" i="5" a="1"/>
  <c r="W93" i="5" s="1"/>
  <c r="AF93" i="5" a="1"/>
  <c r="AF93" i="5" s="1"/>
  <c r="O93" i="5" a="1"/>
  <c r="O93" i="5" s="1"/>
  <c r="Q93" i="5" a="1"/>
  <c r="Q93" i="5" s="1"/>
  <c r="X93" i="5" a="1"/>
  <c r="X93" i="5" s="1"/>
  <c r="V93" i="5" a="1"/>
  <c r="V93" i="5" s="1"/>
  <c r="AG93" i="5" a="1"/>
  <c r="AG93" i="5" s="1"/>
  <c r="AA93" i="5" a="1"/>
  <c r="AA93" i="5" s="1"/>
  <c r="S93" i="5" a="1"/>
  <c r="S93" i="5" s="1"/>
  <c r="AD93" i="5" a="1"/>
  <c r="AD93" i="5" s="1"/>
  <c r="N93" i="5" a="1"/>
  <c r="N93" i="5" s="1"/>
  <c r="R93" i="5" a="1"/>
  <c r="R93" i="5" s="1"/>
  <c r="AH93" i="5" a="1"/>
  <c r="AH93" i="5" s="1"/>
  <c r="AB93" i="5" a="1"/>
  <c r="AB93" i="5" s="1"/>
  <c r="Y93" i="5" a="1"/>
  <c r="Y93" i="5" s="1"/>
  <c r="G93" i="5" a="1"/>
  <c r="G93" i="5" s="1"/>
  <c r="I93" i="5" a="1"/>
  <c r="I93" i="5" s="1"/>
  <c r="L93" i="5" a="1"/>
  <c r="L93" i="5" s="1"/>
  <c r="K93" i="5" a="1"/>
  <c r="K93" i="5" s="1"/>
  <c r="H93" i="5" a="1"/>
  <c r="H93" i="5" s="1"/>
  <c r="J93" i="5" a="1"/>
  <c r="J93" i="5" s="1"/>
  <c r="M93" i="5" a="1"/>
  <c r="M93" i="5" s="1"/>
  <c r="F94" i="5"/>
  <c r="L29" i="9" l="1"/>
  <c r="T94" i="5" a="1"/>
  <c r="T94" i="5" s="1"/>
  <c r="P94" i="5" a="1"/>
  <c r="P94" i="5" s="1"/>
  <c r="AE94" i="5" a="1"/>
  <c r="AE94" i="5" s="1"/>
  <c r="AC94" i="5" a="1"/>
  <c r="AC94" i="5" s="1"/>
  <c r="Z94" i="5" a="1"/>
  <c r="Z94" i="5" s="1"/>
  <c r="U29" i="9" s="1"/>
  <c r="U94" i="5" a="1"/>
  <c r="U94" i="5" s="1"/>
  <c r="P29" i="9" s="1"/>
  <c r="AF94" i="5" a="1"/>
  <c r="AF94" i="5" s="1"/>
  <c r="W94" i="5" a="1"/>
  <c r="W94" i="5" s="1"/>
  <c r="R29" i="9" s="1"/>
  <c r="V94" i="5" a="1"/>
  <c r="V94" i="5" s="1"/>
  <c r="Q29" i="9" s="1"/>
  <c r="X94" i="5" a="1"/>
  <c r="X94" i="5" s="1"/>
  <c r="S29" i="9" s="1"/>
  <c r="Q94" i="5" a="1"/>
  <c r="Q94" i="5" s="1"/>
  <c r="AA94" i="5" a="1"/>
  <c r="AA94" i="5" s="1"/>
  <c r="V29" i="9" s="1"/>
  <c r="AG94" i="5" a="1"/>
  <c r="AG94" i="5" s="1"/>
  <c r="O94" i="5" a="1"/>
  <c r="O94" i="5" s="1"/>
  <c r="S94" i="5" a="1"/>
  <c r="S94" i="5" s="1"/>
  <c r="AH94" i="5" a="1"/>
  <c r="AH94" i="5" s="1"/>
  <c r="AD94" i="5" a="1"/>
  <c r="AD94" i="5" s="1"/>
  <c r="R94" i="5" a="1"/>
  <c r="R94" i="5" s="1"/>
  <c r="N94" i="5" a="1"/>
  <c r="N94" i="5" s="1"/>
  <c r="I29" i="9" s="1"/>
  <c r="AB94" i="5" a="1"/>
  <c r="AB94" i="5" s="1"/>
  <c r="Y94" i="5" a="1"/>
  <c r="Y94" i="5" s="1"/>
  <c r="T29" i="9" s="1"/>
  <c r="G94" i="5" a="1"/>
  <c r="G94" i="5" s="1"/>
  <c r="J94" i="5" a="1"/>
  <c r="J94" i="5" s="1"/>
  <c r="L94" i="5" a="1"/>
  <c r="L94" i="5" s="1"/>
  <c r="H94" i="5" a="1"/>
  <c r="H94" i="5" s="1"/>
  <c r="I94" i="5" a="1"/>
  <c r="I94" i="5" s="1"/>
  <c r="K94" i="5" a="1"/>
  <c r="K94" i="5" s="1"/>
  <c r="M94" i="5" a="1"/>
  <c r="M94" i="5" s="1"/>
  <c r="F95" i="5"/>
  <c r="AC95" i="5" l="1" a="1"/>
  <c r="AC95" i="5" s="1"/>
  <c r="P95" i="5" a="1"/>
  <c r="P95" i="5" s="1"/>
  <c r="T95" i="5" a="1"/>
  <c r="T95" i="5" s="1"/>
  <c r="AE95" i="5" a="1"/>
  <c r="AE95" i="5" s="1"/>
  <c r="Z95" i="5" a="1"/>
  <c r="Z95" i="5" s="1"/>
  <c r="W95" i="5" a="1"/>
  <c r="W95" i="5" s="1"/>
  <c r="AF95" i="5" a="1"/>
  <c r="AF95" i="5" s="1"/>
  <c r="U95" i="5" a="1"/>
  <c r="U95" i="5" s="1"/>
  <c r="O95" i="5" a="1"/>
  <c r="O95" i="5" s="1"/>
  <c r="X95" i="5" a="1"/>
  <c r="X95" i="5" s="1"/>
  <c r="AG95" i="5" a="1"/>
  <c r="AG95" i="5" s="1"/>
  <c r="Q95" i="5" a="1"/>
  <c r="Q95" i="5" s="1"/>
  <c r="AA95" i="5" a="1"/>
  <c r="AA95" i="5" s="1"/>
  <c r="AD95" i="5" a="1"/>
  <c r="AD95" i="5" s="1"/>
  <c r="V95" i="5" a="1"/>
  <c r="V95" i="5" s="1"/>
  <c r="AB95" i="5" a="1"/>
  <c r="AB95" i="5" s="1"/>
  <c r="Y95" i="5" a="1"/>
  <c r="Y95" i="5" s="1"/>
  <c r="N95" i="5" a="1"/>
  <c r="N95" i="5" s="1"/>
  <c r="R95" i="5" a="1"/>
  <c r="R95" i="5" s="1"/>
  <c r="S95" i="5" a="1"/>
  <c r="S95" i="5" s="1"/>
  <c r="AH95" i="5" a="1"/>
  <c r="AH95" i="5" s="1"/>
  <c r="H95" i="5" a="1"/>
  <c r="H95" i="5" s="1"/>
  <c r="L95" i="5" a="1"/>
  <c r="L95" i="5" s="1"/>
  <c r="K95" i="5" a="1"/>
  <c r="K95" i="5" s="1"/>
  <c r="G95" i="5" a="1"/>
  <c r="G95" i="5" s="1"/>
  <c r="I95" i="5" a="1"/>
  <c r="I95" i="5" s="1"/>
  <c r="J95" i="5" a="1"/>
  <c r="J95" i="5" s="1"/>
  <c r="M95" i="5" a="1"/>
  <c r="M95" i="5" s="1"/>
  <c r="F96" i="5"/>
  <c r="AC96" i="5" l="1" a="1"/>
  <c r="AC96" i="5" s="1"/>
  <c r="AE96" i="5" a="1"/>
  <c r="AE96" i="5" s="1"/>
  <c r="P96" i="5" a="1"/>
  <c r="P96" i="5" s="1"/>
  <c r="T96" i="5" a="1"/>
  <c r="T96" i="5" s="1"/>
  <c r="Z96" i="5" a="1"/>
  <c r="Z96" i="5" s="1"/>
  <c r="W96" i="5" a="1"/>
  <c r="W96" i="5" s="1"/>
  <c r="AF96" i="5" a="1"/>
  <c r="AF96" i="5" s="1"/>
  <c r="U96" i="5" a="1"/>
  <c r="U96" i="5" s="1"/>
  <c r="X96" i="5" a="1"/>
  <c r="X96" i="5" s="1"/>
  <c r="V96" i="5" a="1"/>
  <c r="V96" i="5" s="1"/>
  <c r="AA96" i="5" a="1"/>
  <c r="AA96" i="5" s="1"/>
  <c r="AG96" i="5" a="1"/>
  <c r="AG96" i="5" s="1"/>
  <c r="Q96" i="5" a="1"/>
  <c r="Q96" i="5" s="1"/>
  <c r="R96" i="5" a="1"/>
  <c r="R96" i="5" s="1"/>
  <c r="O96" i="5" a="1"/>
  <c r="O96" i="5" s="1"/>
  <c r="AB96" i="5" a="1"/>
  <c r="AB96" i="5" s="1"/>
  <c r="N96" i="5" a="1"/>
  <c r="N96" i="5" s="1"/>
  <c r="Y96" i="5" a="1"/>
  <c r="Y96" i="5" s="1"/>
  <c r="S96" i="5" a="1"/>
  <c r="S96" i="5" s="1"/>
  <c r="AH96" i="5" a="1"/>
  <c r="AH96" i="5" s="1"/>
  <c r="AD96" i="5" a="1"/>
  <c r="AD96" i="5" s="1"/>
  <c r="K96" i="5" a="1"/>
  <c r="K96" i="5" s="1"/>
  <c r="L96" i="5" a="1"/>
  <c r="L96" i="5" s="1"/>
  <c r="I96" i="5" a="1"/>
  <c r="I96" i="5" s="1"/>
  <c r="J96" i="5" a="1"/>
  <c r="J96" i="5" s="1"/>
  <c r="H96" i="5" a="1"/>
  <c r="H96" i="5" s="1"/>
  <c r="G96" i="5" a="1"/>
  <c r="G96" i="5" s="1"/>
  <c r="M96" i="5" a="1"/>
  <c r="M96" i="5" s="1"/>
  <c r="F97" i="5"/>
  <c r="P97" i="5" l="1" a="1"/>
  <c r="P97" i="5" s="1"/>
  <c r="T97" i="5" a="1"/>
  <c r="T97" i="5" s="1"/>
  <c r="AE97" i="5" a="1"/>
  <c r="AE97" i="5" s="1"/>
  <c r="AC97" i="5" a="1"/>
  <c r="AC97" i="5" s="1"/>
  <c r="Z97" i="5" a="1"/>
  <c r="Z97" i="5" s="1"/>
  <c r="AF97" i="5" a="1"/>
  <c r="AF97" i="5" s="1"/>
  <c r="W97" i="5" a="1"/>
  <c r="W97" i="5" s="1"/>
  <c r="U97" i="5" a="1"/>
  <c r="U97" i="5" s="1"/>
  <c r="X97" i="5" a="1"/>
  <c r="X97" i="5" s="1"/>
  <c r="AA97" i="5" a="1"/>
  <c r="AA97" i="5" s="1"/>
  <c r="AD97" i="5" a="1"/>
  <c r="AD97" i="5" s="1"/>
  <c r="V97" i="5" a="1"/>
  <c r="V97" i="5" s="1"/>
  <c r="O97" i="5" a="1"/>
  <c r="O97" i="5" s="1"/>
  <c r="R97" i="5" a="1"/>
  <c r="R97" i="5" s="1"/>
  <c r="AG97" i="5" a="1"/>
  <c r="AG97" i="5" s="1"/>
  <c r="Q97" i="5" a="1"/>
  <c r="Q97" i="5" s="1"/>
  <c r="N97" i="5" a="1"/>
  <c r="N97" i="5" s="1"/>
  <c r="S97" i="5" a="1"/>
  <c r="S97" i="5" s="1"/>
  <c r="AH97" i="5" a="1"/>
  <c r="AH97" i="5" s="1"/>
  <c r="Y97" i="5" a="1"/>
  <c r="Y97" i="5" s="1"/>
  <c r="AB97" i="5" a="1"/>
  <c r="AB97" i="5" s="1"/>
  <c r="K97" i="5" a="1"/>
  <c r="K97" i="5" s="1"/>
  <c r="L97" i="5" a="1"/>
  <c r="L97" i="5" s="1"/>
  <c r="H97" i="5" a="1"/>
  <c r="H97" i="5" s="1"/>
  <c r="J97" i="5" a="1"/>
  <c r="J97" i="5" s="1"/>
  <c r="G97" i="5" a="1"/>
  <c r="G97" i="5" s="1"/>
  <c r="I97" i="5" a="1"/>
  <c r="I97" i="5" s="1"/>
  <c r="M97" i="5" a="1"/>
  <c r="M97" i="5" s="1"/>
  <c r="F98" i="5"/>
  <c r="F30" i="9" l="1"/>
  <c r="N30" i="9"/>
  <c r="T98" i="5" a="1"/>
  <c r="T98" i="5" s="1"/>
  <c r="P98" i="5" a="1"/>
  <c r="P98" i="5" s="1"/>
  <c r="K30" i="9" s="1"/>
  <c r="AC98" i="5" a="1"/>
  <c r="AC98" i="5" s="1"/>
  <c r="AE98" i="5" a="1"/>
  <c r="AE98" i="5" s="1"/>
  <c r="W98" i="5" a="1"/>
  <c r="W98" i="5" s="1"/>
  <c r="R30" i="9" s="1"/>
  <c r="U98" i="5" a="1"/>
  <c r="U98" i="5" s="1"/>
  <c r="P30" i="9" s="1"/>
  <c r="Z98" i="5" a="1"/>
  <c r="Z98" i="5" s="1"/>
  <c r="U30" i="9" s="1"/>
  <c r="AF98" i="5" a="1"/>
  <c r="AF98" i="5" s="1"/>
  <c r="O98" i="5" a="1"/>
  <c r="O98" i="5" s="1"/>
  <c r="AG98" i="5" a="1"/>
  <c r="AG98" i="5" s="1"/>
  <c r="Q98" i="5" a="1"/>
  <c r="Q98" i="5" s="1"/>
  <c r="L30" i="9" s="1"/>
  <c r="V98" i="5" a="1"/>
  <c r="V98" i="5" s="1"/>
  <c r="Q30" i="9" s="1"/>
  <c r="AA98" i="5" a="1"/>
  <c r="AA98" i="5" s="1"/>
  <c r="V30" i="9" s="1"/>
  <c r="X98" i="5" a="1"/>
  <c r="X98" i="5" s="1"/>
  <c r="S30" i="9" s="1"/>
  <c r="AH98" i="5" a="1"/>
  <c r="AH98" i="5" s="1"/>
  <c r="AB98" i="5" a="1"/>
  <c r="AB98" i="5" s="1"/>
  <c r="AD98" i="5" a="1"/>
  <c r="AD98" i="5" s="1"/>
  <c r="N98" i="5" a="1"/>
  <c r="N98" i="5" s="1"/>
  <c r="Y98" i="5" a="1"/>
  <c r="Y98" i="5" s="1"/>
  <c r="T30" i="9" s="1"/>
  <c r="S98" i="5" a="1"/>
  <c r="S98" i="5" s="1"/>
  <c r="R98" i="5" a="1"/>
  <c r="R98" i="5" s="1"/>
  <c r="L98" i="5" a="1"/>
  <c r="L98" i="5" s="1"/>
  <c r="K98" i="5" a="1"/>
  <c r="K98" i="5" s="1"/>
  <c r="H98" i="5" a="1"/>
  <c r="H98" i="5" s="1"/>
  <c r="J98" i="5" a="1"/>
  <c r="J98" i="5" s="1"/>
  <c r="I98" i="5" a="1"/>
  <c r="I98" i="5" s="1"/>
  <c r="G98" i="5" a="1"/>
  <c r="G98" i="5" s="1"/>
  <c r="M98" i="5" a="1"/>
  <c r="M98" i="5" s="1"/>
  <c r="F99" i="5"/>
  <c r="AE99" i="5" l="1" a="1"/>
  <c r="AE99" i="5" s="1"/>
  <c r="T99" i="5" a="1"/>
  <c r="T99" i="5" s="1"/>
  <c r="P99" i="5" a="1"/>
  <c r="P99" i="5" s="1"/>
  <c r="AC99" i="5" a="1"/>
  <c r="AC99" i="5" s="1"/>
  <c r="U99" i="5" a="1"/>
  <c r="U99" i="5" s="1"/>
  <c r="W99" i="5" a="1"/>
  <c r="W99" i="5" s="1"/>
  <c r="Z99" i="5" a="1"/>
  <c r="Z99" i="5" s="1"/>
  <c r="R99" i="5" a="1"/>
  <c r="R99" i="5" s="1"/>
  <c r="AD99" i="5" a="1"/>
  <c r="AD99" i="5" s="1"/>
  <c r="O99" i="5" a="1"/>
  <c r="O99" i="5" s="1"/>
  <c r="AG99" i="5" a="1"/>
  <c r="AG99" i="5" s="1"/>
  <c r="V99" i="5" a="1"/>
  <c r="V99" i="5" s="1"/>
  <c r="AF99" i="5" a="1"/>
  <c r="AF99" i="5" s="1"/>
  <c r="Q99" i="5" a="1"/>
  <c r="Q99" i="5" s="1"/>
  <c r="AA99" i="5" a="1"/>
  <c r="AA99" i="5" s="1"/>
  <c r="X99" i="5" a="1"/>
  <c r="X99" i="5" s="1"/>
  <c r="N99" i="5" a="1"/>
  <c r="N99" i="5" s="1"/>
  <c r="S99" i="5" a="1"/>
  <c r="S99" i="5" s="1"/>
  <c r="Y99" i="5" a="1"/>
  <c r="Y99" i="5" s="1"/>
  <c r="AB99" i="5" a="1"/>
  <c r="AB99" i="5" s="1"/>
  <c r="AH99" i="5" a="1"/>
  <c r="AH99" i="5" s="1"/>
  <c r="G99" i="5" a="1"/>
  <c r="G99" i="5" s="1"/>
  <c r="L99" i="5" a="1"/>
  <c r="L99" i="5" s="1"/>
  <c r="K99" i="5" a="1"/>
  <c r="K99" i="5" s="1"/>
  <c r="H99" i="5" a="1"/>
  <c r="H99" i="5" s="1"/>
  <c r="J99" i="5" a="1"/>
  <c r="J99" i="5" s="1"/>
  <c r="I99" i="5" a="1"/>
  <c r="I99" i="5" s="1"/>
  <c r="M99" i="5" a="1"/>
  <c r="M99" i="5" s="1"/>
  <c r="F100" i="5"/>
  <c r="T100" i="5" l="1" a="1"/>
  <c r="T100" i="5" s="1"/>
  <c r="P100" i="5" a="1"/>
  <c r="P100" i="5" s="1"/>
  <c r="AC100" i="5" a="1"/>
  <c r="AC100" i="5" s="1"/>
  <c r="AE100" i="5" a="1"/>
  <c r="AE100" i="5" s="1"/>
  <c r="W100" i="5" a="1"/>
  <c r="W100" i="5" s="1"/>
  <c r="U100" i="5" a="1"/>
  <c r="U100" i="5" s="1"/>
  <c r="Z100" i="5" a="1"/>
  <c r="Z100" i="5" s="1"/>
  <c r="Q100" i="5" a="1"/>
  <c r="Q100" i="5" s="1"/>
  <c r="X100" i="5" a="1"/>
  <c r="X100" i="5" s="1"/>
  <c r="AG100" i="5" a="1"/>
  <c r="AG100" i="5" s="1"/>
  <c r="AF100" i="5" a="1"/>
  <c r="AF100" i="5" s="1"/>
  <c r="O100" i="5" a="1"/>
  <c r="O100" i="5" s="1"/>
  <c r="AA100" i="5" a="1"/>
  <c r="AA100" i="5" s="1"/>
  <c r="R100" i="5" a="1"/>
  <c r="R100" i="5" s="1"/>
  <c r="V100" i="5" a="1"/>
  <c r="V100" i="5" s="1"/>
  <c r="AD100" i="5" a="1"/>
  <c r="AD100" i="5" s="1"/>
  <c r="S100" i="5" a="1"/>
  <c r="S100" i="5" s="1"/>
  <c r="N100" i="5" a="1"/>
  <c r="N100" i="5" s="1"/>
  <c r="AH100" i="5" a="1"/>
  <c r="AH100" i="5" s="1"/>
  <c r="AB100" i="5" a="1"/>
  <c r="AB100" i="5" s="1"/>
  <c r="Y100" i="5" a="1"/>
  <c r="Y100" i="5" s="1"/>
  <c r="G100" i="5" a="1"/>
  <c r="G100" i="5" s="1"/>
  <c r="L100" i="5" a="1"/>
  <c r="L100" i="5" s="1"/>
  <c r="H100" i="5" a="1"/>
  <c r="H100" i="5" s="1"/>
  <c r="J100" i="5" a="1"/>
  <c r="J100" i="5" s="1"/>
  <c r="I100" i="5" a="1"/>
  <c r="I100" i="5" s="1"/>
  <c r="K100" i="5" a="1"/>
  <c r="K100" i="5" s="1"/>
  <c r="M100" i="5" a="1"/>
  <c r="M100" i="5" s="1"/>
  <c r="F101" i="5"/>
  <c r="AC101" i="5" l="1" a="1"/>
  <c r="AC101" i="5" s="1"/>
  <c r="P101" i="5" a="1"/>
  <c r="P101" i="5" s="1"/>
  <c r="AE101" i="5" a="1"/>
  <c r="AE101" i="5" s="1"/>
  <c r="T101" i="5" a="1"/>
  <c r="T101" i="5" s="1"/>
  <c r="Z101" i="5" a="1"/>
  <c r="Z101" i="5" s="1"/>
  <c r="AF101" i="5" a="1"/>
  <c r="AF101" i="5" s="1"/>
  <c r="W101" i="5" a="1"/>
  <c r="W101" i="5" s="1"/>
  <c r="U101" i="5" a="1"/>
  <c r="U101" i="5" s="1"/>
  <c r="O101" i="5" a="1"/>
  <c r="O101" i="5" s="1"/>
  <c r="R101" i="5" a="1"/>
  <c r="R101" i="5" s="1"/>
  <c r="AG101" i="5" a="1"/>
  <c r="AG101" i="5" s="1"/>
  <c r="X101" i="5" a="1"/>
  <c r="X101" i="5" s="1"/>
  <c r="V101" i="5" a="1"/>
  <c r="V101" i="5" s="1"/>
  <c r="Q101" i="5" a="1"/>
  <c r="Q101" i="5" s="1"/>
  <c r="AA101" i="5" a="1"/>
  <c r="AA101" i="5" s="1"/>
  <c r="N101" i="5" a="1"/>
  <c r="N101" i="5" s="1"/>
  <c r="AD101" i="5" a="1"/>
  <c r="AD101" i="5" s="1"/>
  <c r="S101" i="5" a="1"/>
  <c r="S101" i="5" s="1"/>
  <c r="AH101" i="5" a="1"/>
  <c r="AH101" i="5" s="1"/>
  <c r="AB101" i="5" a="1"/>
  <c r="AB101" i="5" s="1"/>
  <c r="Y101" i="5" a="1"/>
  <c r="Y101" i="5" s="1"/>
  <c r="G101" i="5" a="1"/>
  <c r="G101" i="5" s="1"/>
  <c r="K101" i="5" a="1"/>
  <c r="K101" i="5" s="1"/>
  <c r="H101" i="5" a="1"/>
  <c r="H101" i="5" s="1"/>
  <c r="L101" i="5" a="1"/>
  <c r="L101" i="5" s="1"/>
  <c r="J101" i="5" a="1"/>
  <c r="J101" i="5" s="1"/>
  <c r="I101" i="5" a="1"/>
  <c r="I101" i="5" s="1"/>
  <c r="M101" i="5" a="1"/>
  <c r="M101" i="5" s="1"/>
  <c r="F102" i="5"/>
  <c r="W31" i="9" l="1"/>
  <c r="AC102" i="5" a="1"/>
  <c r="AC102" i="5" s="1"/>
  <c r="T102" i="5" a="1"/>
  <c r="T102" i="5" s="1"/>
  <c r="AE102" i="5" a="1"/>
  <c r="AE102" i="5" s="1"/>
  <c r="P102" i="5" a="1"/>
  <c r="P102" i="5" s="1"/>
  <c r="K31" i="9" s="1"/>
  <c r="Z102" i="5" a="1"/>
  <c r="Z102" i="5" s="1"/>
  <c r="U31" i="9" s="1"/>
  <c r="U102" i="5" a="1"/>
  <c r="U102" i="5" s="1"/>
  <c r="P31" i="9" s="1"/>
  <c r="AF102" i="5" a="1"/>
  <c r="AF102" i="5" s="1"/>
  <c r="W102" i="5" a="1"/>
  <c r="W102" i="5" s="1"/>
  <c r="R31" i="9" s="1"/>
  <c r="O102" i="5" a="1"/>
  <c r="O102" i="5" s="1"/>
  <c r="J31" i="9" s="1"/>
  <c r="X102" i="5" a="1"/>
  <c r="X102" i="5" s="1"/>
  <c r="S31" i="9" s="1"/>
  <c r="V102" i="5" a="1"/>
  <c r="V102" i="5" s="1"/>
  <c r="Q31" i="9" s="1"/>
  <c r="AA102" i="5" a="1"/>
  <c r="AA102" i="5" s="1"/>
  <c r="V31" i="9" s="1"/>
  <c r="Q102" i="5" a="1"/>
  <c r="Q102" i="5" s="1"/>
  <c r="AB102" i="5" a="1"/>
  <c r="AB102" i="5" s="1"/>
  <c r="AD102" i="5" a="1"/>
  <c r="AD102" i="5" s="1"/>
  <c r="AH102" i="5" a="1"/>
  <c r="AH102" i="5" s="1"/>
  <c r="Y102" i="5" a="1"/>
  <c r="Y102" i="5" s="1"/>
  <c r="T31" i="9" s="1"/>
  <c r="AG102" i="5" a="1"/>
  <c r="AG102" i="5" s="1"/>
  <c r="N102" i="5" a="1"/>
  <c r="N102" i="5" s="1"/>
  <c r="S102" i="5" a="1"/>
  <c r="S102" i="5" s="1"/>
  <c r="R102" i="5" a="1"/>
  <c r="R102" i="5" s="1"/>
  <c r="L102" i="5" a="1"/>
  <c r="L102" i="5" s="1"/>
  <c r="K102" i="5" a="1"/>
  <c r="K102" i="5" s="1"/>
  <c r="H102" i="5" a="1"/>
  <c r="H102" i="5" s="1"/>
  <c r="G102" i="5" a="1"/>
  <c r="G102" i="5" s="1"/>
  <c r="I102" i="5" a="1"/>
  <c r="I102" i="5" s="1"/>
  <c r="J102" i="5" a="1"/>
  <c r="J102" i="5" s="1"/>
  <c r="M102" i="5" a="1"/>
  <c r="M102" i="5" s="1"/>
  <c r="F103" i="5"/>
  <c r="T103" i="5" l="1" a="1"/>
  <c r="T103" i="5" s="1"/>
  <c r="P103" i="5" a="1"/>
  <c r="P103" i="5" s="1"/>
  <c r="AE103" i="5" a="1"/>
  <c r="AE103" i="5" s="1"/>
  <c r="AC103" i="5" a="1"/>
  <c r="AC103" i="5" s="1"/>
  <c r="W103" i="5" a="1"/>
  <c r="W103" i="5" s="1"/>
  <c r="U103" i="5" a="1"/>
  <c r="U103" i="5" s="1"/>
  <c r="AF103" i="5" a="1"/>
  <c r="AF103" i="5" s="1"/>
  <c r="Z103" i="5" a="1"/>
  <c r="Z103" i="5" s="1"/>
  <c r="AG103" i="5" a="1"/>
  <c r="AG103" i="5" s="1"/>
  <c r="Q103" i="5" a="1"/>
  <c r="Q103" i="5" s="1"/>
  <c r="AA103" i="5" a="1"/>
  <c r="AA103" i="5" s="1"/>
  <c r="R103" i="5" a="1"/>
  <c r="R103" i="5" s="1"/>
  <c r="X103" i="5" a="1"/>
  <c r="X103" i="5" s="1"/>
  <c r="O103" i="5" a="1"/>
  <c r="O103" i="5" s="1"/>
  <c r="S103" i="5" a="1"/>
  <c r="S103" i="5" s="1"/>
  <c r="Y103" i="5" a="1"/>
  <c r="Y103" i="5" s="1"/>
  <c r="AD103" i="5" a="1"/>
  <c r="AD103" i="5" s="1"/>
  <c r="AB103" i="5" a="1"/>
  <c r="AB103" i="5" s="1"/>
  <c r="N103" i="5" a="1"/>
  <c r="N103" i="5" s="1"/>
  <c r="V103" i="5" a="1"/>
  <c r="V103" i="5" s="1"/>
  <c r="AH103" i="5" a="1"/>
  <c r="AH103" i="5" s="1"/>
  <c r="L103" i="5" a="1"/>
  <c r="L103" i="5" s="1"/>
  <c r="H103" i="5" a="1"/>
  <c r="H103" i="5" s="1"/>
  <c r="K103" i="5" a="1"/>
  <c r="K103" i="5" s="1"/>
  <c r="J103" i="5" a="1"/>
  <c r="J103" i="5" s="1"/>
  <c r="I103" i="5" a="1"/>
  <c r="I103" i="5" s="1"/>
  <c r="G103" i="5" a="1"/>
  <c r="G103" i="5" s="1"/>
  <c r="M103" i="5" a="1"/>
  <c r="M103" i="5" s="1"/>
  <c r="F104" i="5"/>
  <c r="AC104" i="5" l="1" a="1"/>
  <c r="AC104" i="5" s="1"/>
  <c r="P104" i="5" a="1"/>
  <c r="P104" i="5" s="1"/>
  <c r="T104" i="5" a="1"/>
  <c r="T104" i="5" s="1"/>
  <c r="AE104" i="5" a="1"/>
  <c r="AE104" i="5" s="1"/>
  <c r="AF104" i="5" a="1"/>
  <c r="AF104" i="5" s="1"/>
  <c r="W104" i="5" a="1"/>
  <c r="W104" i="5" s="1"/>
  <c r="U104" i="5" a="1"/>
  <c r="U104" i="5" s="1"/>
  <c r="Z104" i="5" a="1"/>
  <c r="Z104" i="5" s="1"/>
  <c r="AA104" i="5" a="1"/>
  <c r="AA104" i="5" s="1"/>
  <c r="V104" i="5" a="1"/>
  <c r="V104" i="5" s="1"/>
  <c r="Q104" i="5" a="1"/>
  <c r="Q104" i="5" s="1"/>
  <c r="AG104" i="5" a="1"/>
  <c r="AG104" i="5" s="1"/>
  <c r="O104" i="5" a="1"/>
  <c r="O104" i="5" s="1"/>
  <c r="X104" i="5" a="1"/>
  <c r="X104" i="5" s="1"/>
  <c r="R104" i="5" a="1"/>
  <c r="R104" i="5" s="1"/>
  <c r="N104" i="5" a="1"/>
  <c r="N104" i="5" s="1"/>
  <c r="Y104" i="5" a="1"/>
  <c r="Y104" i="5" s="1"/>
  <c r="AB104" i="5" a="1"/>
  <c r="AB104" i="5" s="1"/>
  <c r="AD104" i="5" a="1"/>
  <c r="AD104" i="5" s="1"/>
  <c r="S104" i="5" a="1"/>
  <c r="S104" i="5" s="1"/>
  <c r="AH104" i="5" a="1"/>
  <c r="AH104" i="5" s="1"/>
  <c r="L104" i="5" a="1"/>
  <c r="L104" i="5" s="1"/>
  <c r="K104" i="5" a="1"/>
  <c r="K104" i="5" s="1"/>
  <c r="G104" i="5" a="1"/>
  <c r="G104" i="5" s="1"/>
  <c r="H104" i="5" a="1"/>
  <c r="H104" i="5" s="1"/>
  <c r="J104" i="5" a="1"/>
  <c r="J104" i="5" s="1"/>
  <c r="I104" i="5" a="1"/>
  <c r="I104" i="5" s="1"/>
  <c r="M104" i="5" a="1"/>
  <c r="M104" i="5" s="1"/>
  <c r="F105" i="5"/>
  <c r="AE105" i="5" l="1" a="1"/>
  <c r="AE105" i="5" s="1"/>
  <c r="T105" i="5" a="1"/>
  <c r="T105" i="5" s="1"/>
  <c r="P105" i="5" a="1"/>
  <c r="P105" i="5" s="1"/>
  <c r="AC105" i="5" a="1"/>
  <c r="AC105" i="5" s="1"/>
  <c r="Z105" i="5" a="1"/>
  <c r="Z105" i="5" s="1"/>
  <c r="AF105" i="5" a="1"/>
  <c r="AF105" i="5" s="1"/>
  <c r="W105" i="5" a="1"/>
  <c r="W105" i="5" s="1"/>
  <c r="U105" i="5" a="1"/>
  <c r="U105" i="5" s="1"/>
  <c r="X105" i="5" a="1"/>
  <c r="X105" i="5" s="1"/>
  <c r="Q105" i="5" a="1"/>
  <c r="Q105" i="5" s="1"/>
  <c r="V105" i="5" a="1"/>
  <c r="V105" i="5" s="1"/>
  <c r="O105" i="5" a="1"/>
  <c r="O105" i="5" s="1"/>
  <c r="AA105" i="5" a="1"/>
  <c r="AA105" i="5" s="1"/>
  <c r="S105" i="5" a="1"/>
  <c r="S105" i="5" s="1"/>
  <c r="AH105" i="5" a="1"/>
  <c r="AH105" i="5" s="1"/>
  <c r="AB105" i="5" a="1"/>
  <c r="AB105" i="5" s="1"/>
  <c r="AD105" i="5" a="1"/>
  <c r="AD105" i="5" s="1"/>
  <c r="N105" i="5" a="1"/>
  <c r="N105" i="5" s="1"/>
  <c r="AG105" i="5" a="1"/>
  <c r="AG105" i="5" s="1"/>
  <c r="Y105" i="5" a="1"/>
  <c r="Y105" i="5" s="1"/>
  <c r="R105" i="5" a="1"/>
  <c r="R105" i="5" s="1"/>
  <c r="H105" i="5" a="1"/>
  <c r="H105" i="5" s="1"/>
  <c r="K105" i="5" a="1"/>
  <c r="K105" i="5" s="1"/>
  <c r="L105" i="5" a="1"/>
  <c r="L105" i="5" s="1"/>
  <c r="G105" i="5" a="1"/>
  <c r="G105" i="5" s="1"/>
  <c r="J105" i="5" a="1"/>
  <c r="J105" i="5" s="1"/>
  <c r="I105" i="5" a="1"/>
  <c r="I105" i="5" s="1"/>
  <c r="M105" i="5" a="1"/>
  <c r="M105" i="5" s="1"/>
  <c r="F106" i="5"/>
  <c r="M32" i="9" l="1"/>
  <c r="L32" i="9"/>
  <c r="T106" i="5" a="1"/>
  <c r="T106" i="5" s="1"/>
  <c r="AE106" i="5" a="1"/>
  <c r="AE106" i="5" s="1"/>
  <c r="AC106" i="5" a="1"/>
  <c r="AC106" i="5" s="1"/>
  <c r="P106" i="5" a="1"/>
  <c r="P106" i="5" s="1"/>
  <c r="U106" i="5" a="1"/>
  <c r="U106" i="5" s="1"/>
  <c r="P32" i="9" s="1"/>
  <c r="AF106" i="5" a="1"/>
  <c r="AF106" i="5" s="1"/>
  <c r="Z106" i="5" a="1"/>
  <c r="Z106" i="5" s="1"/>
  <c r="U32" i="9" s="1"/>
  <c r="W106" i="5" a="1"/>
  <c r="W106" i="5" s="1"/>
  <c r="R32" i="9" s="1"/>
  <c r="V106" i="5" a="1"/>
  <c r="V106" i="5" s="1"/>
  <c r="Q32" i="9" s="1"/>
  <c r="R106" i="5" a="1"/>
  <c r="R106" i="5" s="1"/>
  <c r="X106" i="5" a="1"/>
  <c r="X106" i="5" s="1"/>
  <c r="S32" i="9" s="1"/>
  <c r="AA106" i="5" a="1"/>
  <c r="AA106" i="5" s="1"/>
  <c r="V32" i="9" s="1"/>
  <c r="AG106" i="5" a="1"/>
  <c r="AG106" i="5" s="1"/>
  <c r="Q106" i="5" a="1"/>
  <c r="Q106" i="5" s="1"/>
  <c r="O106" i="5" a="1"/>
  <c r="O106" i="5" s="1"/>
  <c r="S106" i="5" a="1"/>
  <c r="S106" i="5" s="1"/>
  <c r="AH106" i="5" a="1"/>
  <c r="AH106" i="5" s="1"/>
  <c r="AB106" i="5" a="1"/>
  <c r="AB106" i="5" s="1"/>
  <c r="W32" i="9" s="1"/>
  <c r="Y106" i="5" a="1"/>
  <c r="Y106" i="5" s="1"/>
  <c r="T32" i="9" s="1"/>
  <c r="AD106" i="5" a="1"/>
  <c r="AD106" i="5" s="1"/>
  <c r="N106" i="5" a="1"/>
  <c r="N106" i="5" s="1"/>
  <c r="G106" i="5" a="1"/>
  <c r="G106" i="5" s="1"/>
  <c r="H106" i="5" a="1"/>
  <c r="H106" i="5" s="1"/>
  <c r="K106" i="5" a="1"/>
  <c r="K106" i="5" s="1"/>
  <c r="L106" i="5" a="1"/>
  <c r="L106" i="5" s="1"/>
  <c r="I106" i="5" a="1"/>
  <c r="I106" i="5" s="1"/>
  <c r="J106" i="5" a="1"/>
  <c r="J106" i="5" s="1"/>
  <c r="M106" i="5" a="1"/>
  <c r="M106" i="5" s="1"/>
  <c r="F107" i="5"/>
  <c r="AC107" i="5" l="1" a="1"/>
  <c r="AC107" i="5" s="1"/>
  <c r="T107" i="5" a="1"/>
  <c r="T107" i="5" s="1"/>
  <c r="AE107" i="5" a="1"/>
  <c r="AE107" i="5" s="1"/>
  <c r="P107" i="5" a="1"/>
  <c r="P107" i="5" s="1"/>
  <c r="AF107" i="5" a="1"/>
  <c r="AF107" i="5" s="1"/>
  <c r="U107" i="5" a="1"/>
  <c r="U107" i="5" s="1"/>
  <c r="Z107" i="5" a="1"/>
  <c r="Z107" i="5" s="1"/>
  <c r="W107" i="5" a="1"/>
  <c r="W107" i="5" s="1"/>
  <c r="AA107" i="5" a="1"/>
  <c r="AA107" i="5" s="1"/>
  <c r="AG107" i="5" a="1"/>
  <c r="AG107" i="5" s="1"/>
  <c r="Q107" i="5" a="1"/>
  <c r="Q107" i="5" s="1"/>
  <c r="AD107" i="5" a="1"/>
  <c r="AD107" i="5" s="1"/>
  <c r="X107" i="5" a="1"/>
  <c r="X107" i="5" s="1"/>
  <c r="V107" i="5" a="1"/>
  <c r="V107" i="5" s="1"/>
  <c r="O107" i="5" a="1"/>
  <c r="O107" i="5" s="1"/>
  <c r="R107" i="5" a="1"/>
  <c r="R107" i="5" s="1"/>
  <c r="N107" i="5" a="1"/>
  <c r="N107" i="5" s="1"/>
  <c r="S107" i="5" a="1"/>
  <c r="S107" i="5" s="1"/>
  <c r="Y107" i="5" a="1"/>
  <c r="Y107" i="5" s="1"/>
  <c r="AB107" i="5" a="1"/>
  <c r="AB107" i="5" s="1"/>
  <c r="AH107" i="5" a="1"/>
  <c r="AH107" i="5" s="1"/>
  <c r="G107" i="5" a="1"/>
  <c r="G107" i="5" s="1"/>
  <c r="H107" i="5" a="1"/>
  <c r="H107" i="5" s="1"/>
  <c r="L107" i="5" a="1"/>
  <c r="L107" i="5" s="1"/>
  <c r="I107" i="5" a="1"/>
  <c r="I107" i="5" s="1"/>
  <c r="J107" i="5" a="1"/>
  <c r="J107" i="5" s="1"/>
  <c r="K107" i="5" a="1"/>
  <c r="K107" i="5" s="1"/>
  <c r="M107" i="5" a="1"/>
  <c r="M107" i="5" s="1"/>
  <c r="F108" i="5"/>
  <c r="T108" i="5" l="1" a="1"/>
  <c r="T108" i="5" s="1"/>
  <c r="P108" i="5" a="1"/>
  <c r="P108" i="5" s="1"/>
  <c r="AC108" i="5" a="1"/>
  <c r="AC108" i="5" s="1"/>
  <c r="AE108" i="5" a="1"/>
  <c r="AE108" i="5" s="1"/>
  <c r="W108" i="5" a="1"/>
  <c r="W108" i="5" s="1"/>
  <c r="Z108" i="5" a="1"/>
  <c r="Z108" i="5" s="1"/>
  <c r="U108" i="5" a="1"/>
  <c r="U108" i="5" s="1"/>
  <c r="AF108" i="5" a="1"/>
  <c r="AF108" i="5" s="1"/>
  <c r="AG108" i="5" a="1"/>
  <c r="AG108" i="5" s="1"/>
  <c r="AA108" i="5" a="1"/>
  <c r="AA108" i="5" s="1"/>
  <c r="X108" i="5" a="1"/>
  <c r="X108" i="5" s="1"/>
  <c r="V108" i="5" a="1"/>
  <c r="V108" i="5" s="1"/>
  <c r="Q108" i="5" a="1"/>
  <c r="Q108" i="5" s="1"/>
  <c r="O108" i="5" a="1"/>
  <c r="O108" i="5" s="1"/>
  <c r="R108" i="5" a="1"/>
  <c r="R108" i="5" s="1"/>
  <c r="Y108" i="5" a="1"/>
  <c r="Y108" i="5" s="1"/>
  <c r="AH108" i="5" a="1"/>
  <c r="AH108" i="5" s="1"/>
  <c r="N108" i="5" a="1"/>
  <c r="N108" i="5" s="1"/>
  <c r="AB108" i="5" a="1"/>
  <c r="AB108" i="5" s="1"/>
  <c r="AD108" i="5" a="1"/>
  <c r="AD108" i="5" s="1"/>
  <c r="S108" i="5" a="1"/>
  <c r="S108" i="5" s="1"/>
  <c r="G108" i="5" a="1"/>
  <c r="G108" i="5" s="1"/>
  <c r="L108" i="5" a="1"/>
  <c r="L108" i="5" s="1"/>
  <c r="K108" i="5" a="1"/>
  <c r="K108" i="5" s="1"/>
  <c r="J108" i="5" a="1"/>
  <c r="J108" i="5" s="1"/>
  <c r="H108" i="5" a="1"/>
  <c r="H108" i="5" s="1"/>
  <c r="I108" i="5" a="1"/>
  <c r="I108" i="5" s="1"/>
  <c r="M108" i="5" a="1"/>
  <c r="M108" i="5" s="1"/>
  <c r="F109" i="5"/>
  <c r="AE109" i="5" l="1" a="1"/>
  <c r="AE109" i="5" s="1"/>
  <c r="T109" i="5" a="1"/>
  <c r="T109" i="5" s="1"/>
  <c r="AC109" i="5" a="1"/>
  <c r="AC109" i="5" s="1"/>
  <c r="P109" i="5" a="1"/>
  <c r="P109" i="5" s="1"/>
  <c r="W109" i="5" a="1"/>
  <c r="W109" i="5" s="1"/>
  <c r="Z109" i="5" a="1"/>
  <c r="Z109" i="5" s="1"/>
  <c r="AF109" i="5" a="1"/>
  <c r="AF109" i="5" s="1"/>
  <c r="U109" i="5" a="1"/>
  <c r="U109" i="5" s="1"/>
  <c r="V109" i="5" a="1"/>
  <c r="V109" i="5" s="1"/>
  <c r="R109" i="5" a="1"/>
  <c r="R109" i="5" s="1"/>
  <c r="Q109" i="5" a="1"/>
  <c r="Q109" i="5" s="1"/>
  <c r="O109" i="5" a="1"/>
  <c r="O109" i="5" s="1"/>
  <c r="AA109" i="5" a="1"/>
  <c r="AA109" i="5" s="1"/>
  <c r="X109" i="5" a="1"/>
  <c r="X109" i="5" s="1"/>
  <c r="AH109" i="5" a="1"/>
  <c r="AH109" i="5" s="1"/>
  <c r="N109" i="5" a="1"/>
  <c r="N109" i="5" s="1"/>
  <c r="S109" i="5" a="1"/>
  <c r="S109" i="5" s="1"/>
  <c r="AG109" i="5" a="1"/>
  <c r="AG109" i="5" s="1"/>
  <c r="AB109" i="5" a="1"/>
  <c r="AB109" i="5" s="1"/>
  <c r="Y109" i="5" a="1"/>
  <c r="Y109" i="5" s="1"/>
  <c r="AD109" i="5" a="1"/>
  <c r="AD109" i="5" s="1"/>
  <c r="L109" i="5" a="1"/>
  <c r="L109" i="5" s="1"/>
  <c r="K109" i="5" a="1"/>
  <c r="K109" i="5" s="1"/>
  <c r="H109" i="5" a="1"/>
  <c r="H109" i="5" s="1"/>
  <c r="G109" i="5" a="1"/>
  <c r="G109" i="5" s="1"/>
  <c r="I109" i="5" a="1"/>
  <c r="I109" i="5" s="1"/>
  <c r="J109" i="5" a="1"/>
  <c r="J109" i="5" s="1"/>
  <c r="M109" i="5" a="1"/>
  <c r="M109" i="5" s="1"/>
  <c r="F110" i="5"/>
  <c r="M33" i="9" l="1"/>
  <c r="P110" i="5" a="1"/>
  <c r="P110" i="5" s="1"/>
  <c r="K33" i="9" s="1"/>
  <c r="T110" i="5" a="1"/>
  <c r="T110" i="5" s="1"/>
  <c r="AE110" i="5" a="1"/>
  <c r="AE110" i="5" s="1"/>
  <c r="AC110" i="5" a="1"/>
  <c r="AC110" i="5" s="1"/>
  <c r="Z110" i="5" a="1"/>
  <c r="Z110" i="5" s="1"/>
  <c r="U33" i="9" s="1"/>
  <c r="AF110" i="5" a="1"/>
  <c r="AF110" i="5" s="1"/>
  <c r="AA33" i="9" s="1"/>
  <c r="W110" i="5" a="1"/>
  <c r="W110" i="5" s="1"/>
  <c r="R33" i="9" s="1"/>
  <c r="U110" i="5" a="1"/>
  <c r="U110" i="5" s="1"/>
  <c r="P33" i="9" s="1"/>
  <c r="V110" i="5" a="1"/>
  <c r="V110" i="5" s="1"/>
  <c r="Q33" i="9" s="1"/>
  <c r="AA110" i="5" a="1"/>
  <c r="AA110" i="5" s="1"/>
  <c r="V33" i="9" s="1"/>
  <c r="X110" i="5" a="1"/>
  <c r="X110" i="5" s="1"/>
  <c r="S33" i="9" s="1"/>
  <c r="O110" i="5" a="1"/>
  <c r="O110" i="5" s="1"/>
  <c r="AD110" i="5" a="1"/>
  <c r="AD110" i="5" s="1"/>
  <c r="AG110" i="5" a="1"/>
  <c r="AG110" i="5" s="1"/>
  <c r="Q110" i="5" a="1"/>
  <c r="Q110" i="5" s="1"/>
  <c r="AH110" i="5" a="1"/>
  <c r="AH110" i="5" s="1"/>
  <c r="N110" i="5" a="1"/>
  <c r="N110" i="5" s="1"/>
  <c r="S110" i="5" a="1"/>
  <c r="S110" i="5" s="1"/>
  <c r="N33" i="9" s="1"/>
  <c r="AB110" i="5" a="1"/>
  <c r="AB110" i="5" s="1"/>
  <c r="R110" i="5" a="1"/>
  <c r="R110" i="5" s="1"/>
  <c r="Y110" i="5" a="1"/>
  <c r="Y110" i="5" s="1"/>
  <c r="T33" i="9" s="1"/>
  <c r="K110" i="5" a="1"/>
  <c r="K110" i="5" s="1"/>
  <c r="J110" i="5" a="1"/>
  <c r="J110" i="5" s="1"/>
  <c r="I110" i="5" a="1"/>
  <c r="I110" i="5" s="1"/>
  <c r="G110" i="5" a="1"/>
  <c r="G110" i="5" s="1"/>
  <c r="L110" i="5" a="1"/>
  <c r="L110" i="5" s="1"/>
  <c r="H110" i="5" a="1"/>
  <c r="H110" i="5" s="1"/>
  <c r="M110" i="5" a="1"/>
  <c r="M110" i="5" s="1"/>
  <c r="F111" i="5"/>
  <c r="AE111" i="5" l="1" a="1"/>
  <c r="AE111" i="5" s="1"/>
  <c r="P111" i="5" a="1"/>
  <c r="P111" i="5" s="1"/>
  <c r="AC111" i="5" a="1"/>
  <c r="AC111" i="5" s="1"/>
  <c r="T111" i="5" a="1"/>
  <c r="T111" i="5" s="1"/>
  <c r="U111" i="5" a="1"/>
  <c r="U111" i="5" s="1"/>
  <c r="AF111" i="5" a="1"/>
  <c r="AF111" i="5" s="1"/>
  <c r="W111" i="5" a="1"/>
  <c r="W111" i="5" s="1"/>
  <c r="Z111" i="5" a="1"/>
  <c r="Z111" i="5" s="1"/>
  <c r="O111" i="5" a="1"/>
  <c r="O111" i="5" s="1"/>
  <c r="AA111" i="5" a="1"/>
  <c r="AA111" i="5" s="1"/>
  <c r="AG111" i="5" a="1"/>
  <c r="AG111" i="5" s="1"/>
  <c r="Q111" i="5" a="1"/>
  <c r="Q111" i="5" s="1"/>
  <c r="X111" i="5" a="1"/>
  <c r="X111" i="5" s="1"/>
  <c r="Y111" i="5" a="1"/>
  <c r="Y111" i="5" s="1"/>
  <c r="R111" i="5" a="1"/>
  <c r="R111" i="5" s="1"/>
  <c r="AB111" i="5" a="1"/>
  <c r="AB111" i="5" s="1"/>
  <c r="AD111" i="5" a="1"/>
  <c r="AD111" i="5" s="1"/>
  <c r="N111" i="5" a="1"/>
  <c r="N111" i="5" s="1"/>
  <c r="S111" i="5" a="1"/>
  <c r="S111" i="5" s="1"/>
  <c r="AH111" i="5" a="1"/>
  <c r="AH111" i="5" s="1"/>
  <c r="V111" i="5" a="1"/>
  <c r="V111" i="5" s="1"/>
  <c r="K111" i="5" a="1"/>
  <c r="K111" i="5" s="1"/>
  <c r="H111" i="5" a="1"/>
  <c r="H111" i="5" s="1"/>
  <c r="L111" i="5" a="1"/>
  <c r="L111" i="5" s="1"/>
  <c r="G111" i="5" a="1"/>
  <c r="G111" i="5" s="1"/>
  <c r="J111" i="5" a="1"/>
  <c r="J111" i="5" s="1"/>
  <c r="I111" i="5" a="1"/>
  <c r="I111" i="5" s="1"/>
  <c r="M111" i="5" a="1"/>
  <c r="M111" i="5" s="1"/>
  <c r="F112" i="5"/>
  <c r="P112" i="5" l="1" a="1"/>
  <c r="P112" i="5" s="1"/>
  <c r="T112" i="5" a="1"/>
  <c r="T112" i="5" s="1"/>
  <c r="AC112" i="5" a="1"/>
  <c r="AC112" i="5" s="1"/>
  <c r="AE112" i="5" a="1"/>
  <c r="AE112" i="5" s="1"/>
  <c r="Z112" i="5" a="1"/>
  <c r="Z112" i="5" s="1"/>
  <c r="W112" i="5" a="1"/>
  <c r="W112" i="5" s="1"/>
  <c r="U112" i="5" a="1"/>
  <c r="U112" i="5" s="1"/>
  <c r="AF112" i="5" a="1"/>
  <c r="AF112" i="5" s="1"/>
  <c r="Q112" i="5" a="1"/>
  <c r="Q112" i="5" s="1"/>
  <c r="V112" i="5" a="1"/>
  <c r="V112" i="5" s="1"/>
  <c r="AA112" i="5" a="1"/>
  <c r="AA112" i="5" s="1"/>
  <c r="O112" i="5" a="1"/>
  <c r="O112" i="5" s="1"/>
  <c r="R112" i="5" a="1"/>
  <c r="R112" i="5" s="1"/>
  <c r="X112" i="5" a="1"/>
  <c r="X112" i="5" s="1"/>
  <c r="AG112" i="5" a="1"/>
  <c r="AG112" i="5" s="1"/>
  <c r="Y112" i="5" a="1"/>
  <c r="Y112" i="5" s="1"/>
  <c r="N112" i="5" a="1"/>
  <c r="N112" i="5" s="1"/>
  <c r="AH112" i="5" a="1"/>
  <c r="AH112" i="5" s="1"/>
  <c r="AD112" i="5" a="1"/>
  <c r="AD112" i="5" s="1"/>
  <c r="AB112" i="5" a="1"/>
  <c r="AB112" i="5" s="1"/>
  <c r="S112" i="5" a="1"/>
  <c r="S112" i="5" s="1"/>
  <c r="L112" i="5" a="1"/>
  <c r="L112" i="5" s="1"/>
  <c r="K112" i="5" a="1"/>
  <c r="K112" i="5" s="1"/>
  <c r="G112" i="5" a="1"/>
  <c r="G112" i="5" s="1"/>
  <c r="H112" i="5" a="1"/>
  <c r="H112" i="5" s="1"/>
  <c r="J112" i="5" a="1"/>
  <c r="J112" i="5" s="1"/>
  <c r="I112" i="5" a="1"/>
  <c r="I112" i="5" s="1"/>
  <c r="M112" i="5" a="1"/>
  <c r="M112" i="5" s="1"/>
  <c r="F113" i="5"/>
  <c r="P113" i="5" l="1" a="1"/>
  <c r="P113" i="5" s="1"/>
  <c r="AE113" i="5" a="1"/>
  <c r="AE113" i="5" s="1"/>
  <c r="T113" i="5" a="1"/>
  <c r="T113" i="5" s="1"/>
  <c r="AC113" i="5" a="1"/>
  <c r="AC113" i="5" s="1"/>
  <c r="W113" i="5" a="1"/>
  <c r="W113" i="5" s="1"/>
  <c r="AF113" i="5" a="1"/>
  <c r="AF113" i="5" s="1"/>
  <c r="Z113" i="5" a="1"/>
  <c r="Z113" i="5" s="1"/>
  <c r="U113" i="5" a="1"/>
  <c r="U113" i="5" s="1"/>
  <c r="O113" i="5" a="1"/>
  <c r="O113" i="5" s="1"/>
  <c r="AG113" i="5" a="1"/>
  <c r="AG113" i="5" s="1"/>
  <c r="R113" i="5" a="1"/>
  <c r="R113" i="5" s="1"/>
  <c r="V113" i="5" a="1"/>
  <c r="V113" i="5" s="1"/>
  <c r="AD113" i="5" a="1"/>
  <c r="AD113" i="5" s="1"/>
  <c r="Q113" i="5" a="1"/>
  <c r="Q113" i="5" s="1"/>
  <c r="AA113" i="5" a="1"/>
  <c r="AA113" i="5" s="1"/>
  <c r="X113" i="5" a="1"/>
  <c r="X113" i="5" s="1"/>
  <c r="N113" i="5" a="1"/>
  <c r="N113" i="5" s="1"/>
  <c r="S113" i="5" a="1"/>
  <c r="S113" i="5" s="1"/>
  <c r="Y113" i="5" a="1"/>
  <c r="Y113" i="5" s="1"/>
  <c r="AB113" i="5" a="1"/>
  <c r="AB113" i="5" s="1"/>
  <c r="AH113" i="5" a="1"/>
  <c r="AH113" i="5" s="1"/>
  <c r="K113" i="5" a="1"/>
  <c r="K113" i="5" s="1"/>
  <c r="H113" i="5" a="1"/>
  <c r="H113" i="5" s="1"/>
  <c r="G113" i="5" a="1"/>
  <c r="G113" i="5" s="1"/>
  <c r="J113" i="5" a="1"/>
  <c r="J113" i="5" s="1"/>
  <c r="I113" i="5" a="1"/>
  <c r="I113" i="5" s="1"/>
  <c r="L113" i="5" a="1"/>
  <c r="L113" i="5" s="1"/>
  <c r="M113" i="5" a="1"/>
  <c r="M113" i="5" s="1"/>
  <c r="F114" i="5"/>
  <c r="Y34" i="9" l="1"/>
  <c r="Z34" i="9"/>
  <c r="P114" i="5" a="1"/>
  <c r="P114" i="5" s="1"/>
  <c r="AC114" i="5" a="1"/>
  <c r="AC114" i="5" s="1"/>
  <c r="T114" i="5" a="1"/>
  <c r="T114" i="5" s="1"/>
  <c r="AE114" i="5" a="1"/>
  <c r="AE114" i="5" s="1"/>
  <c r="Z114" i="5" a="1"/>
  <c r="Z114" i="5" s="1"/>
  <c r="U34" i="9" s="1"/>
  <c r="W114" i="5" a="1"/>
  <c r="W114" i="5" s="1"/>
  <c r="R34" i="9" s="1"/>
  <c r="U114" i="5" a="1"/>
  <c r="U114" i="5" s="1"/>
  <c r="P34" i="9" s="1"/>
  <c r="AF114" i="5" a="1"/>
  <c r="AF114" i="5" s="1"/>
  <c r="R114" i="5" a="1"/>
  <c r="R114" i="5" s="1"/>
  <c r="O114" i="5" a="1"/>
  <c r="O114" i="5" s="1"/>
  <c r="X114" i="5" a="1"/>
  <c r="X114" i="5" s="1"/>
  <c r="S34" i="9" s="1"/>
  <c r="AA114" i="5" a="1"/>
  <c r="AA114" i="5" s="1"/>
  <c r="V34" i="9" s="1"/>
  <c r="Q114" i="5" a="1"/>
  <c r="Q114" i="5" s="1"/>
  <c r="AG114" i="5" a="1"/>
  <c r="AG114" i="5" s="1"/>
  <c r="AH114" i="5" a="1"/>
  <c r="AH114" i="5" s="1"/>
  <c r="V114" i="5" a="1"/>
  <c r="V114" i="5" s="1"/>
  <c r="Q34" i="9" s="1"/>
  <c r="N114" i="5" a="1"/>
  <c r="N114" i="5" s="1"/>
  <c r="I34" i="9" s="1"/>
  <c r="Y114" i="5" a="1"/>
  <c r="Y114" i="5" s="1"/>
  <c r="T34" i="9" s="1"/>
  <c r="S114" i="5" a="1"/>
  <c r="S114" i="5" s="1"/>
  <c r="AB114" i="5" a="1"/>
  <c r="AB114" i="5" s="1"/>
  <c r="AD114" i="5" a="1"/>
  <c r="AD114" i="5" s="1"/>
  <c r="G114" i="5" a="1"/>
  <c r="G114" i="5" s="1"/>
  <c r="K114" i="5" a="1"/>
  <c r="K114" i="5" s="1"/>
  <c r="F34" i="9" s="1"/>
  <c r="L114" i="5" a="1"/>
  <c r="L114" i="5" s="1"/>
  <c r="H114" i="5" a="1"/>
  <c r="H114" i="5" s="1"/>
  <c r="J114" i="5" a="1"/>
  <c r="J114" i="5" s="1"/>
  <c r="I114" i="5" a="1"/>
  <c r="I114" i="5" s="1"/>
  <c r="M114" i="5" a="1"/>
  <c r="M114" i="5" s="1"/>
  <c r="F115" i="5"/>
  <c r="T115" i="5" l="1" a="1"/>
  <c r="T115" i="5" s="1"/>
  <c r="P115" i="5" a="1"/>
  <c r="P115" i="5" s="1"/>
  <c r="AE115" i="5" a="1"/>
  <c r="AE115" i="5" s="1"/>
  <c r="AC115" i="5" a="1"/>
  <c r="AC115" i="5" s="1"/>
  <c r="AF115" i="5" a="1"/>
  <c r="AF115" i="5" s="1"/>
  <c r="W115" i="5" a="1"/>
  <c r="W115" i="5" s="1"/>
  <c r="U115" i="5" a="1"/>
  <c r="U115" i="5" s="1"/>
  <c r="Z115" i="5" a="1"/>
  <c r="Z115" i="5" s="1"/>
  <c r="Q115" i="5" a="1"/>
  <c r="Q115" i="5" s="1"/>
  <c r="O115" i="5" a="1"/>
  <c r="O115" i="5" s="1"/>
  <c r="V115" i="5" a="1"/>
  <c r="V115" i="5" s="1"/>
  <c r="AG115" i="5" a="1"/>
  <c r="AG115" i="5" s="1"/>
  <c r="AA115" i="5" a="1"/>
  <c r="AA115" i="5" s="1"/>
  <c r="X115" i="5" a="1"/>
  <c r="X115" i="5" s="1"/>
  <c r="AH115" i="5" a="1"/>
  <c r="AH115" i="5" s="1"/>
  <c r="S115" i="5" a="1"/>
  <c r="S115" i="5" s="1"/>
  <c r="Y115" i="5" a="1"/>
  <c r="Y115" i="5" s="1"/>
  <c r="N115" i="5" a="1"/>
  <c r="N115" i="5" s="1"/>
  <c r="R115" i="5" a="1"/>
  <c r="R115" i="5" s="1"/>
  <c r="AD115" i="5" a="1"/>
  <c r="AD115" i="5" s="1"/>
  <c r="AB115" i="5" a="1"/>
  <c r="AB115" i="5" s="1"/>
  <c r="G115" i="5" a="1"/>
  <c r="G115" i="5" s="1"/>
  <c r="K115" i="5" a="1"/>
  <c r="K115" i="5" s="1"/>
  <c r="H115" i="5" a="1"/>
  <c r="H115" i="5" s="1"/>
  <c r="L115" i="5" a="1"/>
  <c r="L115" i="5" s="1"/>
  <c r="I115" i="5" a="1"/>
  <c r="I115" i="5" s="1"/>
  <c r="J115" i="5" a="1"/>
  <c r="J115" i="5" s="1"/>
  <c r="M115" i="5" a="1"/>
  <c r="M115" i="5" s="1"/>
  <c r="F116" i="5"/>
  <c r="T116" i="5" l="1" a="1"/>
  <c r="T116" i="5" s="1"/>
  <c r="AE116" i="5" a="1"/>
  <c r="AE116" i="5" s="1"/>
  <c r="P116" i="5" a="1"/>
  <c r="P116" i="5" s="1"/>
  <c r="AC116" i="5" a="1"/>
  <c r="AC116" i="5" s="1"/>
  <c r="Z116" i="5" a="1"/>
  <c r="Z116" i="5" s="1"/>
  <c r="AF116" i="5" a="1"/>
  <c r="AF116" i="5" s="1"/>
  <c r="W116" i="5" a="1"/>
  <c r="W116" i="5" s="1"/>
  <c r="U116" i="5" a="1"/>
  <c r="U116" i="5" s="1"/>
  <c r="R116" i="5" a="1"/>
  <c r="R116" i="5" s="1"/>
  <c r="V116" i="5" a="1"/>
  <c r="V116" i="5" s="1"/>
  <c r="Q116" i="5" a="1"/>
  <c r="Q116" i="5" s="1"/>
  <c r="AA116" i="5" a="1"/>
  <c r="AA116" i="5" s="1"/>
  <c r="O116" i="5" a="1"/>
  <c r="O116" i="5" s="1"/>
  <c r="AG116" i="5" a="1"/>
  <c r="AG116" i="5" s="1"/>
  <c r="X116" i="5" a="1"/>
  <c r="X116" i="5" s="1"/>
  <c r="N116" i="5" a="1"/>
  <c r="N116" i="5" s="1"/>
  <c r="AD116" i="5" a="1"/>
  <c r="AD116" i="5" s="1"/>
  <c r="S116" i="5" a="1"/>
  <c r="S116" i="5" s="1"/>
  <c r="Y116" i="5" a="1"/>
  <c r="Y116" i="5" s="1"/>
  <c r="AH116" i="5" a="1"/>
  <c r="AH116" i="5" s="1"/>
  <c r="AB116" i="5" a="1"/>
  <c r="AB116" i="5" s="1"/>
  <c r="G116" i="5" a="1"/>
  <c r="G116" i="5" s="1"/>
  <c r="K116" i="5" a="1"/>
  <c r="K116" i="5" s="1"/>
  <c r="H116" i="5" a="1"/>
  <c r="H116" i="5" s="1"/>
  <c r="L116" i="5" a="1"/>
  <c r="L116" i="5" s="1"/>
  <c r="J116" i="5" a="1"/>
  <c r="J116" i="5" s="1"/>
  <c r="I116" i="5" a="1"/>
  <c r="I116" i="5" s="1"/>
  <c r="M116" i="5" a="1"/>
  <c r="M116" i="5" s="1"/>
  <c r="F117" i="5"/>
  <c r="AE117" i="5" l="1" a="1"/>
  <c r="AE117" i="5" s="1"/>
  <c r="T117" i="5" a="1"/>
  <c r="T117" i="5" s="1"/>
  <c r="P117" i="5" a="1"/>
  <c r="P117" i="5" s="1"/>
  <c r="AC117" i="5" a="1"/>
  <c r="AC117" i="5" s="1"/>
  <c r="W117" i="5" a="1"/>
  <c r="W117" i="5" s="1"/>
  <c r="U117" i="5" a="1"/>
  <c r="U117" i="5" s="1"/>
  <c r="Z117" i="5" a="1"/>
  <c r="Z117" i="5" s="1"/>
  <c r="AF117" i="5" a="1"/>
  <c r="AF117" i="5" s="1"/>
  <c r="V117" i="5" a="1"/>
  <c r="V117" i="5" s="1"/>
  <c r="Q117" i="5" a="1"/>
  <c r="Q117" i="5" s="1"/>
  <c r="X117" i="5" a="1"/>
  <c r="X117" i="5" s="1"/>
  <c r="AG117" i="5" a="1"/>
  <c r="AG117" i="5" s="1"/>
  <c r="R117" i="5" a="1"/>
  <c r="R117" i="5" s="1"/>
  <c r="AA117" i="5" a="1"/>
  <c r="AA117" i="5" s="1"/>
  <c r="O117" i="5" a="1"/>
  <c r="O117" i="5" s="1"/>
  <c r="AH117" i="5" a="1"/>
  <c r="AH117" i="5" s="1"/>
  <c r="AD117" i="5" a="1"/>
  <c r="AD117" i="5" s="1"/>
  <c r="N117" i="5" a="1"/>
  <c r="N117" i="5" s="1"/>
  <c r="AB117" i="5" a="1"/>
  <c r="AB117" i="5" s="1"/>
  <c r="S117" i="5" a="1"/>
  <c r="S117" i="5" s="1"/>
  <c r="Y117" i="5" a="1"/>
  <c r="Y117" i="5" s="1"/>
  <c r="K117" i="5" a="1"/>
  <c r="K117" i="5" s="1"/>
  <c r="H117" i="5" a="1"/>
  <c r="H117" i="5" s="1"/>
  <c r="L117" i="5" a="1"/>
  <c r="L117" i="5" s="1"/>
  <c r="G117" i="5" a="1"/>
  <c r="G117" i="5" s="1"/>
  <c r="I117" i="5" a="1"/>
  <c r="I117" i="5" s="1"/>
  <c r="J117" i="5" a="1"/>
  <c r="J117" i="5" s="1"/>
  <c r="M117" i="5" a="1"/>
  <c r="M117" i="5" s="1"/>
  <c r="F118" i="5"/>
  <c r="E35" i="9" l="1"/>
  <c r="AE118" i="5" a="1"/>
  <c r="AE118" i="5" s="1"/>
  <c r="Z35" i="9" s="1"/>
  <c r="P118" i="5" a="1"/>
  <c r="P118" i="5" s="1"/>
  <c r="T118" i="5" a="1"/>
  <c r="T118" i="5" s="1"/>
  <c r="AC118" i="5" a="1"/>
  <c r="AC118" i="5" s="1"/>
  <c r="Z118" i="5" a="1"/>
  <c r="Z118" i="5" s="1"/>
  <c r="U35" i="9" s="1"/>
  <c r="W118" i="5" a="1"/>
  <c r="W118" i="5" s="1"/>
  <c r="R35" i="9" s="1"/>
  <c r="U118" i="5" a="1"/>
  <c r="U118" i="5" s="1"/>
  <c r="P35" i="9" s="1"/>
  <c r="AF118" i="5" a="1"/>
  <c r="AF118" i="5" s="1"/>
  <c r="AA35" i="9" s="1"/>
  <c r="O118" i="5" a="1"/>
  <c r="O118" i="5" s="1"/>
  <c r="J35" i="9" s="1"/>
  <c r="X118" i="5" a="1"/>
  <c r="X118" i="5" s="1"/>
  <c r="S35" i="9" s="1"/>
  <c r="V118" i="5" a="1"/>
  <c r="V118" i="5" s="1"/>
  <c r="Q35" i="9" s="1"/>
  <c r="AA118" i="5" a="1"/>
  <c r="AA118" i="5" s="1"/>
  <c r="V35" i="9" s="1"/>
  <c r="AG118" i="5" a="1"/>
  <c r="AG118" i="5" s="1"/>
  <c r="Q118" i="5" a="1"/>
  <c r="Q118" i="5" s="1"/>
  <c r="AB118" i="5" a="1"/>
  <c r="AB118" i="5" s="1"/>
  <c r="Y118" i="5" a="1"/>
  <c r="Y118" i="5" s="1"/>
  <c r="T35" i="9" s="1"/>
  <c r="AH118" i="5" a="1"/>
  <c r="AH118" i="5" s="1"/>
  <c r="R118" i="5" a="1"/>
  <c r="R118" i="5" s="1"/>
  <c r="S118" i="5" a="1"/>
  <c r="S118" i="5" s="1"/>
  <c r="AD118" i="5" a="1"/>
  <c r="AD118" i="5" s="1"/>
  <c r="N118" i="5" a="1"/>
  <c r="N118" i="5" s="1"/>
  <c r="K118" i="5" a="1"/>
  <c r="K118" i="5" s="1"/>
  <c r="L118" i="5" a="1"/>
  <c r="L118" i="5" s="1"/>
  <c r="H118" i="5" a="1"/>
  <c r="H118" i="5" s="1"/>
  <c r="J118" i="5" a="1"/>
  <c r="J118" i="5" s="1"/>
  <c r="I118" i="5" a="1"/>
  <c r="I118" i="5" s="1"/>
  <c r="G118" i="5" a="1"/>
  <c r="G118" i="5" s="1"/>
  <c r="M118" i="5" a="1"/>
  <c r="M118" i="5" s="1"/>
  <c r="F119" i="5"/>
  <c r="P119" i="5" l="1" a="1"/>
  <c r="P119" i="5" s="1"/>
  <c r="T119" i="5" a="1"/>
  <c r="T119" i="5" s="1"/>
  <c r="AC119" i="5" a="1"/>
  <c r="AC119" i="5" s="1"/>
  <c r="AE119" i="5" a="1"/>
  <c r="AE119" i="5" s="1"/>
  <c r="U119" i="5" a="1"/>
  <c r="U119" i="5" s="1"/>
  <c r="W119" i="5" a="1"/>
  <c r="W119" i="5" s="1"/>
  <c r="AF119" i="5" a="1"/>
  <c r="AF119" i="5" s="1"/>
  <c r="Z119" i="5" a="1"/>
  <c r="Z119" i="5" s="1"/>
  <c r="R119" i="5" a="1"/>
  <c r="R119" i="5" s="1"/>
  <c r="X119" i="5" a="1"/>
  <c r="X119" i="5" s="1"/>
  <c r="Q119" i="5" a="1"/>
  <c r="Q119" i="5" s="1"/>
  <c r="V119" i="5" a="1"/>
  <c r="V119" i="5" s="1"/>
  <c r="AA119" i="5" a="1"/>
  <c r="AA119" i="5" s="1"/>
  <c r="AG119" i="5" a="1"/>
  <c r="AG119" i="5" s="1"/>
  <c r="O119" i="5" a="1"/>
  <c r="O119" i="5" s="1"/>
  <c r="N119" i="5" a="1"/>
  <c r="N119" i="5" s="1"/>
  <c r="S119" i="5" a="1"/>
  <c r="S119" i="5" s="1"/>
  <c r="AH119" i="5" a="1"/>
  <c r="AH119" i="5" s="1"/>
  <c r="AB119" i="5" a="1"/>
  <c r="AB119" i="5" s="1"/>
  <c r="Y119" i="5" a="1"/>
  <c r="Y119" i="5" s="1"/>
  <c r="AD119" i="5" a="1"/>
  <c r="AD119" i="5" s="1"/>
  <c r="K119" i="5" a="1"/>
  <c r="K119" i="5" s="1"/>
  <c r="H119" i="5" a="1"/>
  <c r="H119" i="5" s="1"/>
  <c r="L119" i="5" a="1"/>
  <c r="L119" i="5" s="1"/>
  <c r="G119" i="5" a="1"/>
  <c r="G119" i="5" s="1"/>
  <c r="I119" i="5" a="1"/>
  <c r="I119" i="5" s="1"/>
  <c r="J119" i="5" a="1"/>
  <c r="J119" i="5" s="1"/>
  <c r="M119" i="5" a="1"/>
  <c r="M119" i="5" s="1"/>
  <c r="F120" i="5"/>
  <c r="T120" i="5" l="1" a="1"/>
  <c r="T120" i="5" s="1"/>
  <c r="AE120" i="5" a="1"/>
  <c r="AE120" i="5" s="1"/>
  <c r="AC120" i="5" a="1"/>
  <c r="AC120" i="5" s="1"/>
  <c r="P120" i="5" a="1"/>
  <c r="P120" i="5" s="1"/>
  <c r="AF120" i="5" a="1"/>
  <c r="AF120" i="5" s="1"/>
  <c r="U120" i="5" a="1"/>
  <c r="U120" i="5" s="1"/>
  <c r="Z120" i="5" a="1"/>
  <c r="Z120" i="5" s="1"/>
  <c r="W120" i="5" a="1"/>
  <c r="W120" i="5" s="1"/>
  <c r="X120" i="5" a="1"/>
  <c r="X120" i="5" s="1"/>
  <c r="AG120" i="5" a="1"/>
  <c r="AG120" i="5" s="1"/>
  <c r="Q120" i="5" a="1"/>
  <c r="Q120" i="5" s="1"/>
  <c r="O120" i="5" a="1"/>
  <c r="O120" i="5" s="1"/>
  <c r="AA120" i="5" a="1"/>
  <c r="AA120" i="5" s="1"/>
  <c r="AD120" i="5" a="1"/>
  <c r="AD120" i="5" s="1"/>
  <c r="AB120" i="5" a="1"/>
  <c r="AB120" i="5" s="1"/>
  <c r="Y120" i="5" a="1"/>
  <c r="Y120" i="5" s="1"/>
  <c r="V120" i="5" a="1"/>
  <c r="V120" i="5" s="1"/>
  <c r="N120" i="5" a="1"/>
  <c r="N120" i="5" s="1"/>
  <c r="S120" i="5" a="1"/>
  <c r="S120" i="5" s="1"/>
  <c r="AH120" i="5" a="1"/>
  <c r="AH120" i="5" s="1"/>
  <c r="R120" i="5" a="1"/>
  <c r="R120" i="5" s="1"/>
  <c r="H120" i="5" a="1"/>
  <c r="H120" i="5" s="1"/>
  <c r="G120" i="5" a="1"/>
  <c r="G120" i="5" s="1"/>
  <c r="L120" i="5" a="1"/>
  <c r="L120" i="5" s="1"/>
  <c r="K120" i="5" a="1"/>
  <c r="K120" i="5" s="1"/>
  <c r="I120" i="5" a="1"/>
  <c r="I120" i="5" s="1"/>
  <c r="J120" i="5" a="1"/>
  <c r="J120" i="5" s="1"/>
  <c r="M120" i="5" a="1"/>
  <c r="M120" i="5" s="1"/>
  <c r="F121" i="5"/>
  <c r="AE121" i="5" l="1" a="1"/>
  <c r="AE121" i="5" s="1"/>
  <c r="P121" i="5" a="1"/>
  <c r="P121" i="5" s="1"/>
  <c r="AC121" i="5" a="1"/>
  <c r="AC121" i="5" s="1"/>
  <c r="T121" i="5" a="1"/>
  <c r="T121" i="5" s="1"/>
  <c r="Z121" i="5" a="1"/>
  <c r="Z121" i="5" s="1"/>
  <c r="W121" i="5" a="1"/>
  <c r="W121" i="5" s="1"/>
  <c r="U121" i="5" a="1"/>
  <c r="U121" i="5" s="1"/>
  <c r="AF121" i="5" a="1"/>
  <c r="AF121" i="5" s="1"/>
  <c r="Q121" i="5" a="1"/>
  <c r="Q121" i="5" s="1"/>
  <c r="X121" i="5" a="1"/>
  <c r="X121" i="5" s="1"/>
  <c r="R121" i="5" a="1"/>
  <c r="R121" i="5" s="1"/>
  <c r="O121" i="5" a="1"/>
  <c r="O121" i="5" s="1"/>
  <c r="AG121" i="5" a="1"/>
  <c r="AG121" i="5" s="1"/>
  <c r="AA121" i="5" a="1"/>
  <c r="AA121" i="5" s="1"/>
  <c r="N121" i="5" a="1"/>
  <c r="N121" i="5" s="1"/>
  <c r="AH121" i="5" a="1"/>
  <c r="AH121" i="5" s="1"/>
  <c r="AB121" i="5" a="1"/>
  <c r="AB121" i="5" s="1"/>
  <c r="V121" i="5" a="1"/>
  <c r="V121" i="5" s="1"/>
  <c r="AD121" i="5" a="1"/>
  <c r="AD121" i="5" s="1"/>
  <c r="Y121" i="5" a="1"/>
  <c r="Y121" i="5" s="1"/>
  <c r="S121" i="5" a="1"/>
  <c r="S121" i="5" s="1"/>
  <c r="K121" i="5" a="1"/>
  <c r="K121" i="5" s="1"/>
  <c r="G121" i="5" a="1"/>
  <c r="G121" i="5" s="1"/>
  <c r="L121" i="5" a="1"/>
  <c r="L121" i="5" s="1"/>
  <c r="I121" i="5" a="1"/>
  <c r="I121" i="5" s="1"/>
  <c r="J121" i="5" a="1"/>
  <c r="J121" i="5" s="1"/>
  <c r="H121" i="5" a="1"/>
  <c r="H121" i="5" s="1"/>
  <c r="M121" i="5" a="1"/>
  <c r="M121" i="5" s="1"/>
  <c r="F122" i="5"/>
  <c r="O36" i="9" l="1"/>
  <c r="T122" i="5" a="1"/>
  <c r="T122" i="5" s="1"/>
  <c r="P122" i="5" a="1"/>
  <c r="P122" i="5" s="1"/>
  <c r="AC122" i="5" a="1"/>
  <c r="AC122" i="5" s="1"/>
  <c r="AE122" i="5" a="1"/>
  <c r="AE122" i="5" s="1"/>
  <c r="Z36" i="9" s="1"/>
  <c r="Z122" i="5" a="1"/>
  <c r="Z122" i="5" s="1"/>
  <c r="U36" i="9" s="1"/>
  <c r="W122" i="5" a="1"/>
  <c r="W122" i="5" s="1"/>
  <c r="R36" i="9" s="1"/>
  <c r="AF122" i="5" a="1"/>
  <c r="AF122" i="5" s="1"/>
  <c r="U122" i="5" a="1"/>
  <c r="U122" i="5" s="1"/>
  <c r="P36" i="9" s="1"/>
  <c r="X122" i="5" a="1"/>
  <c r="X122" i="5" s="1"/>
  <c r="S36" i="9" s="1"/>
  <c r="O122" i="5" a="1"/>
  <c r="O122" i="5" s="1"/>
  <c r="R122" i="5" a="1"/>
  <c r="R122" i="5" s="1"/>
  <c r="AA122" i="5" a="1"/>
  <c r="AA122" i="5" s="1"/>
  <c r="V36" i="9" s="1"/>
  <c r="V122" i="5" a="1"/>
  <c r="V122" i="5" s="1"/>
  <c r="Q36" i="9" s="1"/>
  <c r="Q122" i="5" a="1"/>
  <c r="Q122" i="5" s="1"/>
  <c r="S122" i="5" a="1"/>
  <c r="S122" i="5" s="1"/>
  <c r="N122" i="5" a="1"/>
  <c r="N122" i="5" s="1"/>
  <c r="I36" i="9" s="1"/>
  <c r="Y122" i="5" a="1"/>
  <c r="Y122" i="5" s="1"/>
  <c r="T36" i="9" s="1"/>
  <c r="AH122" i="5" a="1"/>
  <c r="AH122" i="5" s="1"/>
  <c r="AB122" i="5" a="1"/>
  <c r="AB122" i="5" s="1"/>
  <c r="AG122" i="5" a="1"/>
  <c r="AG122" i="5" s="1"/>
  <c r="AB36" i="9" s="1"/>
  <c r="AD122" i="5" a="1"/>
  <c r="AD122" i="5" s="1"/>
  <c r="L122" i="5" a="1"/>
  <c r="L122" i="5" s="1"/>
  <c r="H122" i="5" a="1"/>
  <c r="H122" i="5" s="1"/>
  <c r="J122" i="5" a="1"/>
  <c r="J122" i="5" s="1"/>
  <c r="I122" i="5" a="1"/>
  <c r="I122" i="5" s="1"/>
  <c r="G122" i="5" a="1"/>
  <c r="G122" i="5" s="1"/>
  <c r="K122" i="5" a="1"/>
  <c r="K122" i="5" s="1"/>
  <c r="M122" i="5" a="1"/>
  <c r="M122" i="5" s="1"/>
  <c r="F123" i="5"/>
  <c r="AE123" i="5" l="1" a="1"/>
  <c r="AE123" i="5" s="1"/>
  <c r="AC123" i="5" a="1"/>
  <c r="AC123" i="5" s="1"/>
  <c r="P123" i="5" a="1"/>
  <c r="P123" i="5" s="1"/>
  <c r="T123" i="5" a="1"/>
  <c r="T123" i="5" s="1"/>
  <c r="Z123" i="5" a="1"/>
  <c r="Z123" i="5" s="1"/>
  <c r="AF123" i="5" a="1"/>
  <c r="AF123" i="5" s="1"/>
  <c r="U123" i="5" a="1"/>
  <c r="U123" i="5" s="1"/>
  <c r="W123" i="5" a="1"/>
  <c r="W123" i="5" s="1"/>
  <c r="X123" i="5" a="1"/>
  <c r="X123" i="5" s="1"/>
  <c r="AG123" i="5" a="1"/>
  <c r="AG123" i="5" s="1"/>
  <c r="AA123" i="5" a="1"/>
  <c r="AA123" i="5" s="1"/>
  <c r="O123" i="5" a="1"/>
  <c r="O123" i="5" s="1"/>
  <c r="V123" i="5" a="1"/>
  <c r="V123" i="5" s="1"/>
  <c r="Q123" i="5" a="1"/>
  <c r="Q123" i="5" s="1"/>
  <c r="AH123" i="5" a="1"/>
  <c r="AH123" i="5" s="1"/>
  <c r="R123" i="5" a="1"/>
  <c r="R123" i="5" s="1"/>
  <c r="N123" i="5" a="1"/>
  <c r="N123" i="5" s="1"/>
  <c r="S123" i="5" a="1"/>
  <c r="S123" i="5" s="1"/>
  <c r="AD123" i="5" a="1"/>
  <c r="AD123" i="5" s="1"/>
  <c r="AB123" i="5" a="1"/>
  <c r="AB123" i="5" s="1"/>
  <c r="Y123" i="5" a="1"/>
  <c r="Y123" i="5" s="1"/>
  <c r="G123" i="5" a="1"/>
  <c r="G123" i="5" s="1"/>
  <c r="H123" i="5" a="1"/>
  <c r="H123" i="5" s="1"/>
  <c r="L123" i="5" a="1"/>
  <c r="L123" i="5" s="1"/>
  <c r="K123" i="5" a="1"/>
  <c r="K123" i="5" s="1"/>
  <c r="J123" i="5" a="1"/>
  <c r="J123" i="5" s="1"/>
  <c r="I123" i="5" a="1"/>
  <c r="I123" i="5" s="1"/>
  <c r="M123" i="5" a="1"/>
  <c r="M123" i="5" s="1"/>
  <c r="F124" i="5"/>
  <c r="P124" i="5" l="1" a="1"/>
  <c r="P124" i="5" s="1"/>
  <c r="AE124" i="5" a="1"/>
  <c r="AE124" i="5" s="1"/>
  <c r="T124" i="5" a="1"/>
  <c r="T124" i="5" s="1"/>
  <c r="AC124" i="5" a="1"/>
  <c r="AC124" i="5" s="1"/>
  <c r="W124" i="5" a="1"/>
  <c r="W124" i="5" s="1"/>
  <c r="U124" i="5" a="1"/>
  <c r="U124" i="5" s="1"/>
  <c r="Z124" i="5" a="1"/>
  <c r="Z124" i="5" s="1"/>
  <c r="AF124" i="5" a="1"/>
  <c r="AF124" i="5" s="1"/>
  <c r="O124" i="5" a="1"/>
  <c r="O124" i="5" s="1"/>
  <c r="AG124" i="5" a="1"/>
  <c r="AG124" i="5" s="1"/>
  <c r="AA124" i="5" a="1"/>
  <c r="AA124" i="5" s="1"/>
  <c r="V124" i="5" a="1"/>
  <c r="V124" i="5" s="1"/>
  <c r="Q124" i="5" a="1"/>
  <c r="Q124" i="5" s="1"/>
  <c r="X124" i="5" a="1"/>
  <c r="X124" i="5" s="1"/>
  <c r="S124" i="5" a="1"/>
  <c r="S124" i="5" s="1"/>
  <c r="AD124" i="5" a="1"/>
  <c r="AD124" i="5" s="1"/>
  <c r="N124" i="5" a="1"/>
  <c r="N124" i="5" s="1"/>
  <c r="AB124" i="5" a="1"/>
  <c r="AB124" i="5" s="1"/>
  <c r="AH124" i="5" a="1"/>
  <c r="AH124" i="5" s="1"/>
  <c r="Y124" i="5" a="1"/>
  <c r="Y124" i="5" s="1"/>
  <c r="R124" i="5" a="1"/>
  <c r="R124" i="5" s="1"/>
  <c r="G124" i="5" a="1"/>
  <c r="G124" i="5" s="1"/>
  <c r="L124" i="5" a="1"/>
  <c r="L124" i="5" s="1"/>
  <c r="H124" i="5" a="1"/>
  <c r="H124" i="5" s="1"/>
  <c r="K124" i="5" a="1"/>
  <c r="K124" i="5" s="1"/>
  <c r="I124" i="5" a="1"/>
  <c r="I124" i="5" s="1"/>
  <c r="J124" i="5" a="1"/>
  <c r="J124" i="5" s="1"/>
  <c r="M124" i="5" a="1"/>
  <c r="M124" i="5" s="1"/>
  <c r="F125" i="5"/>
  <c r="AC125" i="5" l="1" a="1"/>
  <c r="AC125" i="5" s="1"/>
  <c r="AE125" i="5" a="1"/>
  <c r="AE125" i="5" s="1"/>
  <c r="P125" i="5" a="1"/>
  <c r="P125" i="5" s="1"/>
  <c r="T125" i="5" a="1"/>
  <c r="T125" i="5" s="1"/>
  <c r="AF125" i="5" a="1"/>
  <c r="AF125" i="5" s="1"/>
  <c r="Z125" i="5" a="1"/>
  <c r="Z125" i="5" s="1"/>
  <c r="W125" i="5" a="1"/>
  <c r="W125" i="5" s="1"/>
  <c r="U125" i="5" a="1"/>
  <c r="U125" i="5" s="1"/>
  <c r="R125" i="5" a="1"/>
  <c r="R125" i="5" s="1"/>
  <c r="Q125" i="5" a="1"/>
  <c r="Q125" i="5" s="1"/>
  <c r="AG125" i="5" a="1"/>
  <c r="AG125" i="5" s="1"/>
  <c r="AA125" i="5" a="1"/>
  <c r="AA125" i="5" s="1"/>
  <c r="X125" i="5" a="1"/>
  <c r="X125" i="5" s="1"/>
  <c r="V125" i="5" a="1"/>
  <c r="V125" i="5" s="1"/>
  <c r="O125" i="5" a="1"/>
  <c r="O125" i="5" s="1"/>
  <c r="S125" i="5" a="1"/>
  <c r="S125" i="5" s="1"/>
  <c r="AH125" i="5" a="1"/>
  <c r="AH125" i="5" s="1"/>
  <c r="N125" i="5" a="1"/>
  <c r="N125" i="5" s="1"/>
  <c r="AD125" i="5" a="1"/>
  <c r="AD125" i="5" s="1"/>
  <c r="Y125" i="5" a="1"/>
  <c r="Y125" i="5" s="1"/>
  <c r="AB125" i="5" a="1"/>
  <c r="AB125" i="5" s="1"/>
  <c r="L125" i="5" a="1"/>
  <c r="L125" i="5" s="1"/>
  <c r="K125" i="5" a="1"/>
  <c r="K125" i="5" s="1"/>
  <c r="I125" i="5" a="1"/>
  <c r="I125" i="5" s="1"/>
  <c r="H125" i="5" a="1"/>
  <c r="H125" i="5" s="1"/>
  <c r="J125" i="5" a="1"/>
  <c r="J125" i="5" s="1"/>
  <c r="G125" i="5" a="1"/>
  <c r="G125" i="5" s="1"/>
  <c r="M125" i="5" a="1"/>
  <c r="M125" i="5" s="1"/>
  <c r="F126" i="5"/>
  <c r="T126" i="5" l="1" a="1"/>
  <c r="T126" i="5" s="1"/>
  <c r="P126" i="5" a="1"/>
  <c r="P126" i="5" s="1"/>
  <c r="AE126" i="5" a="1"/>
  <c r="AE126" i="5" s="1"/>
  <c r="AC126" i="5" a="1"/>
  <c r="AC126" i="5" s="1"/>
  <c r="U126" i="5" a="1"/>
  <c r="U126" i="5" s="1"/>
  <c r="P37" i="9" s="1"/>
  <c r="W126" i="5" a="1"/>
  <c r="W126" i="5" s="1"/>
  <c r="R37" i="9" s="1"/>
  <c r="Z126" i="5" a="1"/>
  <c r="Z126" i="5" s="1"/>
  <c r="U37" i="9" s="1"/>
  <c r="AF126" i="5" a="1"/>
  <c r="AF126" i="5" s="1"/>
  <c r="AA126" i="5" a="1"/>
  <c r="AA126" i="5" s="1"/>
  <c r="V37" i="9" s="1"/>
  <c r="V126" i="5" a="1"/>
  <c r="V126" i="5" s="1"/>
  <c r="Q37" i="9" s="1"/>
  <c r="Q126" i="5" a="1"/>
  <c r="Q126" i="5" s="1"/>
  <c r="R126" i="5" a="1"/>
  <c r="R126" i="5" s="1"/>
  <c r="AG126" i="5" a="1"/>
  <c r="AG126" i="5" s="1"/>
  <c r="O126" i="5" a="1"/>
  <c r="O126" i="5" s="1"/>
  <c r="X126" i="5" a="1"/>
  <c r="X126" i="5" s="1"/>
  <c r="S37" i="9" s="1"/>
  <c r="N126" i="5" a="1"/>
  <c r="N126" i="5" s="1"/>
  <c r="AB126" i="5" a="1"/>
  <c r="AB126" i="5" s="1"/>
  <c r="AD126" i="5" a="1"/>
  <c r="AD126" i="5" s="1"/>
  <c r="S126" i="5" a="1"/>
  <c r="S126" i="5" s="1"/>
  <c r="N37" i="9" s="1"/>
  <c r="AH126" i="5" a="1"/>
  <c r="AH126" i="5" s="1"/>
  <c r="Y126" i="5" a="1"/>
  <c r="Y126" i="5" s="1"/>
  <c r="T37" i="9" s="1"/>
  <c r="K126" i="5" a="1"/>
  <c r="K126" i="5" s="1"/>
  <c r="L126" i="5" a="1"/>
  <c r="L126" i="5" s="1"/>
  <c r="H126" i="5" a="1"/>
  <c r="H126" i="5" s="1"/>
  <c r="G126" i="5" a="1"/>
  <c r="G126" i="5" s="1"/>
  <c r="B37" i="9" s="1"/>
  <c r="J126" i="5" a="1"/>
  <c r="J126" i="5" s="1"/>
  <c r="I126" i="5" a="1"/>
  <c r="I126" i="5" s="1"/>
  <c r="D37" i="9" s="1"/>
  <c r="M126" i="5" a="1"/>
  <c r="M126" i="5" s="1"/>
  <c r="F127" i="5"/>
  <c r="AC127" i="5" l="1" a="1"/>
  <c r="AC127" i="5" s="1"/>
  <c r="P127" i="5" a="1"/>
  <c r="P127" i="5" s="1"/>
  <c r="AE127" i="5" a="1"/>
  <c r="AE127" i="5" s="1"/>
  <c r="T127" i="5" a="1"/>
  <c r="T127" i="5" s="1"/>
  <c r="W127" i="5" a="1"/>
  <c r="W127" i="5" s="1"/>
  <c r="U127" i="5" a="1"/>
  <c r="U127" i="5" s="1"/>
  <c r="AF127" i="5" a="1"/>
  <c r="AF127" i="5" s="1"/>
  <c r="Z127" i="5" a="1"/>
  <c r="Z127" i="5" s="1"/>
  <c r="Q127" i="5" a="1"/>
  <c r="Q127" i="5" s="1"/>
  <c r="V127" i="5" a="1"/>
  <c r="V127" i="5" s="1"/>
  <c r="AA127" i="5" a="1"/>
  <c r="AA127" i="5" s="1"/>
  <c r="X127" i="5" a="1"/>
  <c r="X127" i="5" s="1"/>
  <c r="O127" i="5" a="1"/>
  <c r="O127" i="5" s="1"/>
  <c r="AG127" i="5" a="1"/>
  <c r="AG127" i="5" s="1"/>
  <c r="R127" i="5" a="1"/>
  <c r="R127" i="5" s="1"/>
  <c r="S127" i="5" a="1"/>
  <c r="S127" i="5" s="1"/>
  <c r="Y127" i="5" a="1"/>
  <c r="Y127" i="5" s="1"/>
  <c r="AD127" i="5" a="1"/>
  <c r="AD127" i="5" s="1"/>
  <c r="N127" i="5" a="1"/>
  <c r="N127" i="5" s="1"/>
  <c r="AB127" i="5" a="1"/>
  <c r="AB127" i="5" s="1"/>
  <c r="AH127" i="5" a="1"/>
  <c r="AH127" i="5" s="1"/>
  <c r="H127" i="5" a="1"/>
  <c r="H127" i="5" s="1"/>
  <c r="K127" i="5" a="1"/>
  <c r="K127" i="5" s="1"/>
  <c r="G127" i="5" a="1"/>
  <c r="G127" i="5" s="1"/>
  <c r="L127" i="5" a="1"/>
  <c r="L127" i="5" s="1"/>
  <c r="J127" i="5" a="1"/>
  <c r="J127" i="5" s="1"/>
  <c r="I127" i="5" a="1"/>
  <c r="I127" i="5" s="1"/>
  <c r="M127" i="5" a="1"/>
  <c r="M127" i="5" s="1"/>
  <c r="F128" i="5"/>
  <c r="P128" i="5" l="1" a="1"/>
  <c r="P128" i="5" s="1"/>
  <c r="AC128" i="5" a="1"/>
  <c r="AC128" i="5" s="1"/>
  <c r="T128" i="5" a="1"/>
  <c r="T128" i="5" s="1"/>
  <c r="AE128" i="5" a="1"/>
  <c r="AE128" i="5" s="1"/>
  <c r="Z128" i="5" a="1"/>
  <c r="Z128" i="5" s="1"/>
  <c r="W128" i="5" a="1"/>
  <c r="W128" i="5" s="1"/>
  <c r="U128" i="5" a="1"/>
  <c r="U128" i="5" s="1"/>
  <c r="AF128" i="5" a="1"/>
  <c r="AF128" i="5" s="1"/>
  <c r="Q128" i="5" a="1"/>
  <c r="Q128" i="5" s="1"/>
  <c r="O128" i="5" a="1"/>
  <c r="O128" i="5" s="1"/>
  <c r="AA128" i="5" a="1"/>
  <c r="AA128" i="5" s="1"/>
  <c r="X128" i="5" a="1"/>
  <c r="X128" i="5" s="1"/>
  <c r="R128" i="5" a="1"/>
  <c r="R128" i="5" s="1"/>
  <c r="V128" i="5" a="1"/>
  <c r="V128" i="5" s="1"/>
  <c r="AG128" i="5" a="1"/>
  <c r="AG128" i="5" s="1"/>
  <c r="AB128" i="5" a="1"/>
  <c r="AB128" i="5" s="1"/>
  <c r="S128" i="5" a="1"/>
  <c r="S128" i="5" s="1"/>
  <c r="Y128" i="5" a="1"/>
  <c r="Y128" i="5" s="1"/>
  <c r="N128" i="5" a="1"/>
  <c r="N128" i="5" s="1"/>
  <c r="AH128" i="5" a="1"/>
  <c r="AH128" i="5" s="1"/>
  <c r="AD128" i="5" a="1"/>
  <c r="AD128" i="5" s="1"/>
  <c r="H128" i="5" a="1"/>
  <c r="H128" i="5" s="1"/>
  <c r="G128" i="5" a="1"/>
  <c r="G128" i="5" s="1"/>
  <c r="L128" i="5" a="1"/>
  <c r="L128" i="5" s="1"/>
  <c r="K128" i="5" a="1"/>
  <c r="K128" i="5" s="1"/>
  <c r="I128" i="5" a="1"/>
  <c r="I128" i="5" s="1"/>
  <c r="J128" i="5" a="1"/>
  <c r="J128" i="5" s="1"/>
  <c r="M128" i="5" a="1"/>
  <c r="M128" i="5" s="1"/>
  <c r="F129" i="5"/>
  <c r="AE129" i="5" l="1" a="1"/>
  <c r="AE129" i="5" s="1"/>
  <c r="T129" i="5" a="1"/>
  <c r="T129" i="5" s="1"/>
  <c r="AC129" i="5" a="1"/>
  <c r="AC129" i="5" s="1"/>
  <c r="P129" i="5" a="1"/>
  <c r="P129" i="5" s="1"/>
  <c r="Z129" i="5" a="1"/>
  <c r="Z129" i="5" s="1"/>
  <c r="W129" i="5" a="1"/>
  <c r="W129" i="5" s="1"/>
  <c r="U129" i="5" a="1"/>
  <c r="U129" i="5" s="1"/>
  <c r="AF129" i="5" a="1"/>
  <c r="AF129" i="5" s="1"/>
  <c r="Q129" i="5" a="1"/>
  <c r="Q129" i="5" s="1"/>
  <c r="AA129" i="5" a="1"/>
  <c r="AA129" i="5" s="1"/>
  <c r="AG129" i="5" a="1"/>
  <c r="AG129" i="5" s="1"/>
  <c r="AD129" i="5" a="1"/>
  <c r="AD129" i="5" s="1"/>
  <c r="O129" i="5" a="1"/>
  <c r="O129" i="5" s="1"/>
  <c r="X129" i="5" a="1"/>
  <c r="X129" i="5" s="1"/>
  <c r="V129" i="5" a="1"/>
  <c r="V129" i="5" s="1"/>
  <c r="N129" i="5" a="1"/>
  <c r="N129" i="5" s="1"/>
  <c r="AB129" i="5" a="1"/>
  <c r="AB129" i="5" s="1"/>
  <c r="Y129" i="5" a="1"/>
  <c r="Y129" i="5" s="1"/>
  <c r="S129" i="5" a="1"/>
  <c r="S129" i="5" s="1"/>
  <c r="R129" i="5" a="1"/>
  <c r="R129" i="5" s="1"/>
  <c r="AH129" i="5" a="1"/>
  <c r="AH129" i="5" s="1"/>
  <c r="L129" i="5" a="1"/>
  <c r="L129" i="5" s="1"/>
  <c r="K129" i="5" a="1"/>
  <c r="K129" i="5" s="1"/>
  <c r="G129" i="5" a="1"/>
  <c r="G129" i="5" s="1"/>
  <c r="H129" i="5" a="1"/>
  <c r="H129" i="5" s="1"/>
  <c r="I129" i="5" a="1"/>
  <c r="I129" i="5" s="1"/>
  <c r="J129" i="5" a="1"/>
  <c r="J129" i="5" s="1"/>
  <c r="M129" i="5" a="1"/>
  <c r="M129" i="5" s="1"/>
  <c r="F130" i="5"/>
  <c r="Y38" i="9" l="1"/>
  <c r="W38" i="9"/>
  <c r="AE130" i="5" a="1"/>
  <c r="AE130" i="5" s="1"/>
  <c r="T130" i="5" a="1"/>
  <c r="T130" i="5" s="1"/>
  <c r="P130" i="5" a="1"/>
  <c r="P130" i="5" s="1"/>
  <c r="AC130" i="5" a="1"/>
  <c r="AC130" i="5" s="1"/>
  <c r="X38" i="9" s="1"/>
  <c r="W130" i="5" a="1"/>
  <c r="W130" i="5" s="1"/>
  <c r="R38" i="9" s="1"/>
  <c r="U130" i="5" a="1"/>
  <c r="U130" i="5" s="1"/>
  <c r="P38" i="9" s="1"/>
  <c r="Z130" i="5" a="1"/>
  <c r="Z130" i="5" s="1"/>
  <c r="U38" i="9" s="1"/>
  <c r="AF130" i="5" a="1"/>
  <c r="AF130" i="5" s="1"/>
  <c r="Q130" i="5" a="1"/>
  <c r="Q130" i="5" s="1"/>
  <c r="AD130" i="5" a="1"/>
  <c r="AD130" i="5" s="1"/>
  <c r="O130" i="5" a="1"/>
  <c r="O130" i="5" s="1"/>
  <c r="J38" i="9" s="1"/>
  <c r="AA130" i="5" a="1"/>
  <c r="AA130" i="5" s="1"/>
  <c r="V38" i="9" s="1"/>
  <c r="R130" i="5" a="1"/>
  <c r="R130" i="5" s="1"/>
  <c r="X130" i="5" a="1"/>
  <c r="X130" i="5" s="1"/>
  <c r="S38" i="9" s="1"/>
  <c r="V130" i="5" a="1"/>
  <c r="V130" i="5" s="1"/>
  <c r="Q38" i="9" s="1"/>
  <c r="N130" i="5" a="1"/>
  <c r="N130" i="5" s="1"/>
  <c r="S130" i="5" a="1"/>
  <c r="S130" i="5" s="1"/>
  <c r="Y130" i="5" a="1"/>
  <c r="Y130" i="5" s="1"/>
  <c r="T38" i="9" s="1"/>
  <c r="AB130" i="5" a="1"/>
  <c r="AB130" i="5" s="1"/>
  <c r="AG130" i="5" a="1"/>
  <c r="AG130" i="5" s="1"/>
  <c r="AH130" i="5" a="1"/>
  <c r="AH130" i="5" s="1"/>
  <c r="G130" i="5" a="1"/>
  <c r="G130" i="5" s="1"/>
  <c r="L130" i="5" a="1"/>
  <c r="L130" i="5" s="1"/>
  <c r="K130" i="5" a="1"/>
  <c r="K130" i="5" s="1"/>
  <c r="H130" i="5" a="1"/>
  <c r="H130" i="5" s="1"/>
  <c r="I130" i="5" a="1"/>
  <c r="I130" i="5" s="1"/>
  <c r="D38" i="9" s="1"/>
  <c r="J130" i="5" a="1"/>
  <c r="J130" i="5" s="1"/>
  <c r="M130" i="5" a="1"/>
  <c r="M130" i="5" s="1"/>
  <c r="F131" i="5"/>
  <c r="AE131" i="5" l="1" a="1"/>
  <c r="AE131" i="5" s="1"/>
  <c r="P131" i="5" a="1"/>
  <c r="P131" i="5" s="1"/>
  <c r="T131" i="5" a="1"/>
  <c r="T131" i="5" s="1"/>
  <c r="AC131" i="5" a="1"/>
  <c r="AC131" i="5" s="1"/>
  <c r="AF131" i="5" a="1"/>
  <c r="AF131" i="5" s="1"/>
  <c r="U131" i="5" a="1"/>
  <c r="U131" i="5" s="1"/>
  <c r="Z131" i="5" a="1"/>
  <c r="Z131" i="5" s="1"/>
  <c r="W131" i="5" a="1"/>
  <c r="W131" i="5" s="1"/>
  <c r="Q131" i="5" a="1"/>
  <c r="Q131" i="5" s="1"/>
  <c r="AG131" i="5" a="1"/>
  <c r="AG131" i="5" s="1"/>
  <c r="O131" i="5" a="1"/>
  <c r="O131" i="5" s="1"/>
  <c r="AA131" i="5" a="1"/>
  <c r="AA131" i="5" s="1"/>
  <c r="X131" i="5" a="1"/>
  <c r="X131" i="5" s="1"/>
  <c r="S131" i="5" a="1"/>
  <c r="S131" i="5" s="1"/>
  <c r="AH131" i="5" a="1"/>
  <c r="AH131" i="5" s="1"/>
  <c r="N131" i="5" a="1"/>
  <c r="N131" i="5" s="1"/>
  <c r="AD131" i="5" a="1"/>
  <c r="AD131" i="5" s="1"/>
  <c r="AB131" i="5" a="1"/>
  <c r="AB131" i="5" s="1"/>
  <c r="V131" i="5" a="1"/>
  <c r="V131" i="5" s="1"/>
  <c r="R131" i="5" a="1"/>
  <c r="R131" i="5" s="1"/>
  <c r="Y131" i="5" a="1"/>
  <c r="Y131" i="5" s="1"/>
  <c r="G131" i="5" a="1"/>
  <c r="G131" i="5" s="1"/>
  <c r="L131" i="5" a="1"/>
  <c r="L131" i="5" s="1"/>
  <c r="K131" i="5" a="1"/>
  <c r="K131" i="5" s="1"/>
  <c r="H131" i="5" a="1"/>
  <c r="H131" i="5" s="1"/>
  <c r="I131" i="5" a="1"/>
  <c r="I131" i="5" s="1"/>
  <c r="J131" i="5" a="1"/>
  <c r="J131" i="5" s="1"/>
  <c r="M131" i="5" a="1"/>
  <c r="M131" i="5" s="1"/>
  <c r="F132" i="5"/>
  <c r="AC132" i="5" l="1" a="1"/>
  <c r="AC132" i="5" s="1"/>
  <c r="P132" i="5" a="1"/>
  <c r="P132" i="5" s="1"/>
  <c r="T132" i="5" a="1"/>
  <c r="T132" i="5" s="1"/>
  <c r="AE132" i="5" a="1"/>
  <c r="AE132" i="5" s="1"/>
  <c r="W132" i="5" a="1"/>
  <c r="W132" i="5" s="1"/>
  <c r="U132" i="5" a="1"/>
  <c r="U132" i="5" s="1"/>
  <c r="Z132" i="5" a="1"/>
  <c r="Z132" i="5" s="1"/>
  <c r="AF132" i="5" a="1"/>
  <c r="AF132" i="5" s="1"/>
  <c r="O132" i="5" a="1"/>
  <c r="O132" i="5" s="1"/>
  <c r="V132" i="5" a="1"/>
  <c r="V132" i="5" s="1"/>
  <c r="R132" i="5" a="1"/>
  <c r="R132" i="5" s="1"/>
  <c r="Q132" i="5" a="1"/>
  <c r="Q132" i="5" s="1"/>
  <c r="AG132" i="5" a="1"/>
  <c r="AG132" i="5" s="1"/>
  <c r="AA132" i="5" a="1"/>
  <c r="AA132" i="5" s="1"/>
  <c r="X132" i="5" a="1"/>
  <c r="X132" i="5" s="1"/>
  <c r="Y132" i="5" a="1"/>
  <c r="Y132" i="5" s="1"/>
  <c r="AD132" i="5" a="1"/>
  <c r="AD132" i="5" s="1"/>
  <c r="S132" i="5" a="1"/>
  <c r="S132" i="5" s="1"/>
  <c r="N132" i="5" a="1"/>
  <c r="N132" i="5" s="1"/>
  <c r="AH132" i="5" a="1"/>
  <c r="AH132" i="5" s="1"/>
  <c r="AB132" i="5" a="1"/>
  <c r="AB132" i="5" s="1"/>
  <c r="L132" i="5" a="1"/>
  <c r="L132" i="5" s="1"/>
  <c r="K132" i="5" a="1"/>
  <c r="K132" i="5" s="1"/>
  <c r="H132" i="5" a="1"/>
  <c r="H132" i="5" s="1"/>
  <c r="J132" i="5" a="1"/>
  <c r="J132" i="5" s="1"/>
  <c r="G132" i="5" a="1"/>
  <c r="G132" i="5" s="1"/>
  <c r="I132" i="5" a="1"/>
  <c r="I132" i="5" s="1"/>
  <c r="M132" i="5" a="1"/>
  <c r="M132" i="5" s="1"/>
  <c r="F133" i="5"/>
  <c r="T133" i="5" l="1" a="1"/>
  <c r="T133" i="5" s="1"/>
  <c r="P133" i="5" a="1"/>
  <c r="P133" i="5" s="1"/>
  <c r="AC133" i="5" a="1"/>
  <c r="AC133" i="5" s="1"/>
  <c r="AE133" i="5" a="1"/>
  <c r="AE133" i="5" s="1"/>
  <c r="Z133" i="5" a="1"/>
  <c r="Z133" i="5" s="1"/>
  <c r="W133" i="5" a="1"/>
  <c r="W133" i="5" s="1"/>
  <c r="U133" i="5" a="1"/>
  <c r="U133" i="5" s="1"/>
  <c r="X133" i="5" a="1"/>
  <c r="X133" i="5" s="1"/>
  <c r="V133" i="5" a="1"/>
  <c r="V133" i="5" s="1"/>
  <c r="O133" i="5" a="1"/>
  <c r="O133" i="5" s="1"/>
  <c r="AA133" i="5" a="1"/>
  <c r="AA133" i="5" s="1"/>
  <c r="R133" i="5" a="1"/>
  <c r="R133" i="5" s="1"/>
  <c r="Q133" i="5" a="1"/>
  <c r="Q133" i="5" s="1"/>
  <c r="AG133" i="5" a="1"/>
  <c r="AG133" i="5" s="1"/>
  <c r="AF133" i="5" a="1"/>
  <c r="AF133" i="5" s="1"/>
  <c r="N133" i="5" a="1"/>
  <c r="N133" i="5" s="1"/>
  <c r="S133" i="5" a="1"/>
  <c r="S133" i="5" s="1"/>
  <c r="AD133" i="5" a="1"/>
  <c r="AD133" i="5" s="1"/>
  <c r="AB133" i="5" a="1"/>
  <c r="AB133" i="5" s="1"/>
  <c r="AH133" i="5" a="1"/>
  <c r="AH133" i="5" s="1"/>
  <c r="Y133" i="5" a="1"/>
  <c r="Y133" i="5" s="1"/>
  <c r="L133" i="5" a="1"/>
  <c r="L133" i="5" s="1"/>
  <c r="H133" i="5" a="1"/>
  <c r="H133" i="5" s="1"/>
  <c r="K133" i="5" a="1"/>
  <c r="K133" i="5" s="1"/>
  <c r="I133" i="5" a="1"/>
  <c r="I133" i="5" s="1"/>
  <c r="G133" i="5" a="1"/>
  <c r="G133" i="5" s="1"/>
  <c r="J133" i="5" a="1"/>
  <c r="J133" i="5" s="1"/>
  <c r="M133" i="5" a="1"/>
  <c r="M133" i="5" s="1"/>
  <c r="F134" i="5"/>
  <c r="AC134" i="5" l="1" a="1"/>
  <c r="AC134" i="5" s="1"/>
  <c r="T134" i="5" a="1"/>
  <c r="T134" i="5" s="1"/>
  <c r="AE134" i="5" a="1"/>
  <c r="AE134" i="5" s="1"/>
  <c r="P134" i="5" a="1"/>
  <c r="P134" i="5" s="1"/>
  <c r="U134" i="5" a="1"/>
  <c r="U134" i="5" s="1"/>
  <c r="P39" i="9" s="1"/>
  <c r="Z134" i="5" a="1"/>
  <c r="Z134" i="5" s="1"/>
  <c r="U39" i="9" s="1"/>
  <c r="W134" i="5" a="1"/>
  <c r="W134" i="5" s="1"/>
  <c r="R39" i="9" s="1"/>
  <c r="AF134" i="5" a="1"/>
  <c r="AF134" i="5" s="1"/>
  <c r="V134" i="5" a="1"/>
  <c r="V134" i="5" s="1"/>
  <c r="Q39" i="9" s="1"/>
  <c r="AG134" i="5" a="1"/>
  <c r="AG134" i="5" s="1"/>
  <c r="AA134" i="5" a="1"/>
  <c r="AA134" i="5" s="1"/>
  <c r="V39" i="9" s="1"/>
  <c r="AD134" i="5" a="1"/>
  <c r="AD134" i="5" s="1"/>
  <c r="Q134" i="5" a="1"/>
  <c r="Q134" i="5" s="1"/>
  <c r="X134" i="5" a="1"/>
  <c r="X134" i="5" s="1"/>
  <c r="S39" i="9" s="1"/>
  <c r="R134" i="5" a="1"/>
  <c r="R134" i="5" s="1"/>
  <c r="O134" i="5" a="1"/>
  <c r="O134" i="5" s="1"/>
  <c r="S134" i="5" a="1"/>
  <c r="S134" i="5" s="1"/>
  <c r="N134" i="5" a="1"/>
  <c r="N134" i="5" s="1"/>
  <c r="Y134" i="5" a="1"/>
  <c r="Y134" i="5" s="1"/>
  <c r="T39" i="9" s="1"/>
  <c r="AH134" i="5" a="1"/>
  <c r="AH134" i="5" s="1"/>
  <c r="AB134" i="5" a="1"/>
  <c r="AB134" i="5" s="1"/>
  <c r="H134" i="5" a="1"/>
  <c r="H134" i="5" s="1"/>
  <c r="L134" i="5" a="1"/>
  <c r="L134" i="5" s="1"/>
  <c r="G39" i="9" s="1"/>
  <c r="G134" i="5" a="1"/>
  <c r="G134" i="5" s="1"/>
  <c r="K134" i="5" a="1"/>
  <c r="K134" i="5" s="1"/>
  <c r="J134" i="5" a="1"/>
  <c r="J134" i="5" s="1"/>
  <c r="I134" i="5" a="1"/>
  <c r="I134" i="5" s="1"/>
  <c r="M134" i="5" a="1"/>
  <c r="M134" i="5" s="1"/>
  <c r="F135" i="5"/>
  <c r="AC135" i="5" l="1" a="1"/>
  <c r="AC135" i="5" s="1"/>
  <c r="AE135" i="5" a="1"/>
  <c r="AE135" i="5" s="1"/>
  <c r="T135" i="5" a="1"/>
  <c r="T135" i="5" s="1"/>
  <c r="P135" i="5" a="1"/>
  <c r="P135" i="5" s="1"/>
  <c r="U135" i="5" a="1"/>
  <c r="U135" i="5" s="1"/>
  <c r="Z135" i="5" a="1"/>
  <c r="Z135" i="5" s="1"/>
  <c r="AF135" i="5" a="1"/>
  <c r="AF135" i="5" s="1"/>
  <c r="W135" i="5" a="1"/>
  <c r="W135" i="5" s="1"/>
  <c r="V135" i="5" a="1"/>
  <c r="V135" i="5" s="1"/>
  <c r="Q135" i="5" a="1"/>
  <c r="Q135" i="5" s="1"/>
  <c r="O135" i="5" a="1"/>
  <c r="O135" i="5" s="1"/>
  <c r="AA135" i="5" a="1"/>
  <c r="AA135" i="5" s="1"/>
  <c r="AG135" i="5" a="1"/>
  <c r="AG135" i="5" s="1"/>
  <c r="X135" i="5" a="1"/>
  <c r="X135" i="5" s="1"/>
  <c r="R135" i="5" a="1"/>
  <c r="R135" i="5" s="1"/>
  <c r="N135" i="5" a="1"/>
  <c r="N135" i="5" s="1"/>
  <c r="AB135" i="5" a="1"/>
  <c r="AB135" i="5" s="1"/>
  <c r="S135" i="5" a="1"/>
  <c r="S135" i="5" s="1"/>
  <c r="AH135" i="5" a="1"/>
  <c r="AH135" i="5" s="1"/>
  <c r="Y135" i="5" a="1"/>
  <c r="Y135" i="5" s="1"/>
  <c r="AD135" i="5" a="1"/>
  <c r="AD135" i="5" s="1"/>
  <c r="L135" i="5" a="1"/>
  <c r="L135" i="5" s="1"/>
  <c r="G135" i="5" a="1"/>
  <c r="G135" i="5" s="1"/>
  <c r="K135" i="5" a="1"/>
  <c r="K135" i="5" s="1"/>
  <c r="H135" i="5" a="1"/>
  <c r="H135" i="5" s="1"/>
  <c r="I135" i="5" a="1"/>
  <c r="I135" i="5" s="1"/>
  <c r="J135" i="5" a="1"/>
  <c r="J135" i="5" s="1"/>
  <c r="M135" i="5" a="1"/>
  <c r="M135" i="5" s="1"/>
  <c r="F136" i="5"/>
  <c r="T136" i="5" l="1" a="1"/>
  <c r="T136" i="5" s="1"/>
  <c r="P136" i="5" a="1"/>
  <c r="P136" i="5" s="1"/>
  <c r="AE136" i="5" a="1"/>
  <c r="AE136" i="5" s="1"/>
  <c r="AC136" i="5" a="1"/>
  <c r="AC136" i="5" s="1"/>
  <c r="U136" i="5" a="1"/>
  <c r="U136" i="5" s="1"/>
  <c r="Z136" i="5" a="1"/>
  <c r="Z136" i="5" s="1"/>
  <c r="W136" i="5" a="1"/>
  <c r="W136" i="5" s="1"/>
  <c r="AF136" i="5" a="1"/>
  <c r="AF136" i="5" s="1"/>
  <c r="AA136" i="5" a="1"/>
  <c r="AA136" i="5" s="1"/>
  <c r="X136" i="5" a="1"/>
  <c r="X136" i="5" s="1"/>
  <c r="O136" i="5" a="1"/>
  <c r="O136" i="5" s="1"/>
  <c r="R136" i="5" a="1"/>
  <c r="R136" i="5" s="1"/>
  <c r="Q136" i="5" a="1"/>
  <c r="Q136" i="5" s="1"/>
  <c r="AD136" i="5" a="1"/>
  <c r="AD136" i="5" s="1"/>
  <c r="N136" i="5" a="1"/>
  <c r="N136" i="5" s="1"/>
  <c r="AG136" i="5" a="1"/>
  <c r="AG136" i="5" s="1"/>
  <c r="V136" i="5" a="1"/>
  <c r="V136" i="5" s="1"/>
  <c r="Y136" i="5" a="1"/>
  <c r="Y136" i="5" s="1"/>
  <c r="AH136" i="5" a="1"/>
  <c r="AH136" i="5" s="1"/>
  <c r="AB136" i="5" a="1"/>
  <c r="AB136" i="5" s="1"/>
  <c r="S136" i="5" a="1"/>
  <c r="S136" i="5" s="1"/>
  <c r="L136" i="5" a="1"/>
  <c r="L136" i="5" s="1"/>
  <c r="K136" i="5" a="1"/>
  <c r="K136" i="5" s="1"/>
  <c r="G136" i="5" a="1"/>
  <c r="G136" i="5" s="1"/>
  <c r="H136" i="5" a="1"/>
  <c r="H136" i="5" s="1"/>
  <c r="J136" i="5" a="1"/>
  <c r="J136" i="5" s="1"/>
  <c r="I136" i="5" a="1"/>
  <c r="I136" i="5" s="1"/>
  <c r="M136" i="5" a="1"/>
  <c r="M136" i="5" s="1"/>
  <c r="F137" i="5"/>
  <c r="T137" i="5" l="1" a="1"/>
  <c r="T137" i="5" s="1"/>
  <c r="AE137" i="5" a="1"/>
  <c r="AE137" i="5" s="1"/>
  <c r="P137" i="5" a="1"/>
  <c r="P137" i="5" s="1"/>
  <c r="Z137" i="5" a="1"/>
  <c r="Z137" i="5" s="1"/>
  <c r="U137" i="5" a="1"/>
  <c r="U137" i="5" s="1"/>
  <c r="AC137" i="5" a="1"/>
  <c r="AC137" i="5" s="1"/>
  <c r="W137" i="5" a="1"/>
  <c r="W137" i="5" s="1"/>
  <c r="AA137" i="5" a="1"/>
  <c r="AA137" i="5" s="1"/>
  <c r="AG137" i="5" a="1"/>
  <c r="AG137" i="5" s="1"/>
  <c r="X137" i="5" a="1"/>
  <c r="X137" i="5" s="1"/>
  <c r="Q137" i="5" a="1"/>
  <c r="Q137" i="5" s="1"/>
  <c r="AF137" i="5" a="1"/>
  <c r="AF137" i="5" s="1"/>
  <c r="O137" i="5" a="1"/>
  <c r="O137" i="5" s="1"/>
  <c r="V137" i="5" a="1"/>
  <c r="V137" i="5" s="1"/>
  <c r="AD137" i="5" a="1"/>
  <c r="AD137" i="5" s="1"/>
  <c r="N137" i="5" a="1"/>
  <c r="N137" i="5" s="1"/>
  <c r="S137" i="5" a="1"/>
  <c r="S137" i="5" s="1"/>
  <c r="AH137" i="5" a="1"/>
  <c r="AH137" i="5" s="1"/>
  <c r="Y137" i="5" a="1"/>
  <c r="Y137" i="5" s="1"/>
  <c r="R137" i="5" a="1"/>
  <c r="R137" i="5" s="1"/>
  <c r="AB137" i="5" a="1"/>
  <c r="AB137" i="5" s="1"/>
  <c r="G137" i="5" a="1"/>
  <c r="G137" i="5" s="1"/>
  <c r="H137" i="5" a="1"/>
  <c r="H137" i="5" s="1"/>
  <c r="K137" i="5" a="1"/>
  <c r="K137" i="5" s="1"/>
  <c r="I137" i="5" a="1"/>
  <c r="I137" i="5" s="1"/>
  <c r="L137" i="5" a="1"/>
  <c r="L137" i="5" s="1"/>
  <c r="J137" i="5" a="1"/>
  <c r="J137" i="5" s="1"/>
  <c r="M137" i="5" a="1"/>
  <c r="M137" i="5" s="1"/>
  <c r="F138" i="5"/>
  <c r="J40" i="9" l="1"/>
  <c r="Z40" i="9"/>
  <c r="AE138" i="5" a="1"/>
  <c r="AE138" i="5" s="1"/>
  <c r="T138" i="5" a="1"/>
  <c r="T138" i="5" s="1"/>
  <c r="AC138" i="5" a="1"/>
  <c r="AC138" i="5" s="1"/>
  <c r="P138" i="5" a="1"/>
  <c r="P138" i="5" s="1"/>
  <c r="W138" i="5" a="1"/>
  <c r="W138" i="5" s="1"/>
  <c r="R40" i="9" s="1"/>
  <c r="Z138" i="5" a="1"/>
  <c r="Z138" i="5" s="1"/>
  <c r="U40" i="9" s="1"/>
  <c r="U138" i="5" a="1"/>
  <c r="U138" i="5" s="1"/>
  <c r="P40" i="9" s="1"/>
  <c r="AF138" i="5" a="1"/>
  <c r="AF138" i="5" s="1"/>
  <c r="R138" i="5" a="1"/>
  <c r="R138" i="5" s="1"/>
  <c r="Q138" i="5" a="1"/>
  <c r="Q138" i="5" s="1"/>
  <c r="L40" i="9" s="1"/>
  <c r="V138" i="5" a="1"/>
  <c r="V138" i="5" s="1"/>
  <c r="Q40" i="9" s="1"/>
  <c r="AG138" i="5" a="1"/>
  <c r="AG138" i="5" s="1"/>
  <c r="AB40" i="9" s="1"/>
  <c r="X138" i="5" a="1"/>
  <c r="X138" i="5" s="1"/>
  <c r="S40" i="9" s="1"/>
  <c r="O138" i="5" a="1"/>
  <c r="O138" i="5" s="1"/>
  <c r="AA138" i="5" a="1"/>
  <c r="AA138" i="5" s="1"/>
  <c r="V40" i="9" s="1"/>
  <c r="S138" i="5" a="1"/>
  <c r="S138" i="5" s="1"/>
  <c r="N40" i="9" s="1"/>
  <c r="AB138" i="5" a="1"/>
  <c r="AB138" i="5" s="1"/>
  <c r="Y138" i="5" a="1"/>
  <c r="Y138" i="5" s="1"/>
  <c r="T40" i="9" s="1"/>
  <c r="N138" i="5" a="1"/>
  <c r="N138" i="5" s="1"/>
  <c r="AD138" i="5" a="1"/>
  <c r="AD138" i="5" s="1"/>
  <c r="AH138" i="5" a="1"/>
  <c r="AH138" i="5" s="1"/>
  <c r="G138" i="5" a="1"/>
  <c r="G138" i="5" s="1"/>
  <c r="K138" i="5" a="1"/>
  <c r="K138" i="5" s="1"/>
  <c r="L138" i="5" a="1"/>
  <c r="L138" i="5" s="1"/>
  <c r="H138" i="5" a="1"/>
  <c r="H138" i="5" s="1"/>
  <c r="J138" i="5" a="1"/>
  <c r="J138" i="5" s="1"/>
  <c r="I138" i="5" a="1"/>
  <c r="I138" i="5" s="1"/>
  <c r="M138" i="5" a="1"/>
  <c r="M138" i="5" s="1"/>
  <c r="F139" i="5"/>
  <c r="AC139" i="5" l="1" a="1"/>
  <c r="AC139" i="5" s="1"/>
  <c r="P139" i="5" a="1"/>
  <c r="P139" i="5" s="1"/>
  <c r="T139" i="5" a="1"/>
  <c r="T139" i="5" s="1"/>
  <c r="AE139" i="5" a="1"/>
  <c r="AE139" i="5" s="1"/>
  <c r="AF139" i="5" a="1"/>
  <c r="AF139" i="5" s="1"/>
  <c r="Z139" i="5" a="1"/>
  <c r="Z139" i="5" s="1"/>
  <c r="U139" i="5" a="1"/>
  <c r="U139" i="5" s="1"/>
  <c r="W139" i="5" a="1"/>
  <c r="W139" i="5" s="1"/>
  <c r="X139" i="5" a="1"/>
  <c r="X139" i="5" s="1"/>
  <c r="V139" i="5" a="1"/>
  <c r="V139" i="5" s="1"/>
  <c r="AG139" i="5" a="1"/>
  <c r="AG139" i="5" s="1"/>
  <c r="R139" i="5" a="1"/>
  <c r="R139" i="5" s="1"/>
  <c r="AD139" i="5" a="1"/>
  <c r="AD139" i="5" s="1"/>
  <c r="O139" i="5" a="1"/>
  <c r="O139" i="5" s="1"/>
  <c r="AA139" i="5" a="1"/>
  <c r="AA139" i="5" s="1"/>
  <c r="Q139" i="5" a="1"/>
  <c r="Q139" i="5" s="1"/>
  <c r="S139" i="5" a="1"/>
  <c r="S139" i="5" s="1"/>
  <c r="AB139" i="5" a="1"/>
  <c r="AB139" i="5" s="1"/>
  <c r="AH139" i="5" a="1"/>
  <c r="AH139" i="5" s="1"/>
  <c r="Y139" i="5" a="1"/>
  <c r="Y139" i="5" s="1"/>
  <c r="N139" i="5" a="1"/>
  <c r="N139" i="5" s="1"/>
  <c r="L139" i="5" a="1"/>
  <c r="L139" i="5" s="1"/>
  <c r="K139" i="5" a="1"/>
  <c r="K139" i="5" s="1"/>
  <c r="H139" i="5" a="1"/>
  <c r="H139" i="5" s="1"/>
  <c r="J139" i="5" a="1"/>
  <c r="J139" i="5" s="1"/>
  <c r="G139" i="5" a="1"/>
  <c r="G139" i="5" s="1"/>
  <c r="I139" i="5" a="1"/>
  <c r="I139" i="5" s="1"/>
  <c r="M139" i="5" a="1"/>
  <c r="M139" i="5" s="1"/>
  <c r="F140" i="5"/>
  <c r="T140" i="5" l="1" a="1"/>
  <c r="T140" i="5" s="1"/>
  <c r="AE140" i="5" a="1"/>
  <c r="AE140" i="5" s="1"/>
  <c r="P140" i="5" a="1"/>
  <c r="P140" i="5" s="1"/>
  <c r="AC140" i="5" a="1"/>
  <c r="AC140" i="5" s="1"/>
  <c r="AF140" i="5" a="1"/>
  <c r="AF140" i="5" s="1"/>
  <c r="W140" i="5" a="1"/>
  <c r="W140" i="5" s="1"/>
  <c r="Z140" i="5" a="1"/>
  <c r="Z140" i="5" s="1"/>
  <c r="U140" i="5" a="1"/>
  <c r="U140" i="5" s="1"/>
  <c r="Q140" i="5" a="1"/>
  <c r="Q140" i="5" s="1"/>
  <c r="V140" i="5" a="1"/>
  <c r="V140" i="5" s="1"/>
  <c r="AG140" i="5" a="1"/>
  <c r="AG140" i="5" s="1"/>
  <c r="X140" i="5" a="1"/>
  <c r="X140" i="5" s="1"/>
  <c r="AA140" i="5" a="1"/>
  <c r="AA140" i="5" s="1"/>
  <c r="O140" i="5" a="1"/>
  <c r="O140" i="5" s="1"/>
  <c r="AD140" i="5" a="1"/>
  <c r="AD140" i="5" s="1"/>
  <c r="N140" i="5" a="1"/>
  <c r="N140" i="5" s="1"/>
  <c r="S140" i="5" a="1"/>
  <c r="S140" i="5" s="1"/>
  <c r="R140" i="5" a="1"/>
  <c r="R140" i="5" s="1"/>
  <c r="AH140" i="5" a="1"/>
  <c r="AH140" i="5" s="1"/>
  <c r="AB140" i="5" a="1"/>
  <c r="AB140" i="5" s="1"/>
  <c r="Y140" i="5" a="1"/>
  <c r="Y140" i="5" s="1"/>
  <c r="L140" i="5" a="1"/>
  <c r="L140" i="5" s="1"/>
  <c r="K140" i="5" a="1"/>
  <c r="K140" i="5" s="1"/>
  <c r="G140" i="5" a="1"/>
  <c r="G140" i="5" s="1"/>
  <c r="J140" i="5" a="1"/>
  <c r="J140" i="5" s="1"/>
  <c r="H140" i="5" a="1"/>
  <c r="H140" i="5" s="1"/>
  <c r="I140" i="5" a="1"/>
  <c r="I140" i="5" s="1"/>
  <c r="M140" i="5" a="1"/>
  <c r="M140" i="5" s="1"/>
  <c r="F141" i="5"/>
  <c r="AE141" i="5" l="1" a="1"/>
  <c r="AE141" i="5" s="1"/>
  <c r="AC141" i="5" a="1"/>
  <c r="AC141" i="5" s="1"/>
  <c r="T141" i="5" a="1"/>
  <c r="T141" i="5" s="1"/>
  <c r="P141" i="5" a="1"/>
  <c r="P141" i="5" s="1"/>
  <c r="U141" i="5" a="1"/>
  <c r="U141" i="5" s="1"/>
  <c r="AF141" i="5" a="1"/>
  <c r="AF141" i="5" s="1"/>
  <c r="W141" i="5" a="1"/>
  <c r="W141" i="5" s="1"/>
  <c r="Z141" i="5" a="1"/>
  <c r="Z141" i="5" s="1"/>
  <c r="R141" i="5" a="1"/>
  <c r="R141" i="5" s="1"/>
  <c r="V141" i="5" a="1"/>
  <c r="V141" i="5" s="1"/>
  <c r="AD141" i="5" a="1"/>
  <c r="AD141" i="5" s="1"/>
  <c r="X141" i="5" a="1"/>
  <c r="X141" i="5" s="1"/>
  <c r="AA141" i="5" a="1"/>
  <c r="AA141" i="5" s="1"/>
  <c r="Q141" i="5" a="1"/>
  <c r="Q141" i="5" s="1"/>
  <c r="O141" i="5" a="1"/>
  <c r="O141" i="5" s="1"/>
  <c r="AG141" i="5" a="1"/>
  <c r="AG141" i="5" s="1"/>
  <c r="S141" i="5" a="1"/>
  <c r="S141" i="5" s="1"/>
  <c r="N141" i="5" a="1"/>
  <c r="N141" i="5" s="1"/>
  <c r="Y141" i="5" a="1"/>
  <c r="Y141" i="5" s="1"/>
  <c r="AH141" i="5" a="1"/>
  <c r="AH141" i="5" s="1"/>
  <c r="AB141" i="5" a="1"/>
  <c r="AB141" i="5" s="1"/>
  <c r="G141" i="5" a="1"/>
  <c r="G141" i="5" s="1"/>
  <c r="K141" i="5" a="1"/>
  <c r="K141" i="5" s="1"/>
  <c r="L141" i="5" a="1"/>
  <c r="L141" i="5" s="1"/>
  <c r="H141" i="5" a="1"/>
  <c r="H141" i="5" s="1"/>
  <c r="I141" i="5" a="1"/>
  <c r="I141" i="5" s="1"/>
  <c r="J141" i="5" a="1"/>
  <c r="J141" i="5" s="1"/>
  <c r="M141" i="5" a="1"/>
  <c r="M141" i="5" s="1"/>
  <c r="F142" i="5"/>
  <c r="E41" i="9" l="1"/>
  <c r="AC142" i="5" a="1"/>
  <c r="AC142" i="5" s="1"/>
  <c r="AE142" i="5" a="1"/>
  <c r="AE142" i="5" s="1"/>
  <c r="Z41" i="9" s="1"/>
  <c r="P142" i="5" a="1"/>
  <c r="P142" i="5" s="1"/>
  <c r="T142" i="5" a="1"/>
  <c r="T142" i="5" s="1"/>
  <c r="W142" i="5" a="1"/>
  <c r="W142" i="5" s="1"/>
  <c r="R41" i="9" s="1"/>
  <c r="Z142" i="5" a="1"/>
  <c r="Z142" i="5" s="1"/>
  <c r="U41" i="9" s="1"/>
  <c r="U142" i="5" a="1"/>
  <c r="U142" i="5" s="1"/>
  <c r="P41" i="9" s="1"/>
  <c r="AF142" i="5" a="1"/>
  <c r="AF142" i="5" s="1"/>
  <c r="AA41" i="9" s="1"/>
  <c r="R142" i="5" a="1"/>
  <c r="R142" i="5" s="1"/>
  <c r="V142" i="5" a="1"/>
  <c r="V142" i="5" s="1"/>
  <c r="Q41" i="9" s="1"/>
  <c r="AG142" i="5" a="1"/>
  <c r="AG142" i="5" s="1"/>
  <c r="Q142" i="5" a="1"/>
  <c r="Q142" i="5" s="1"/>
  <c r="X142" i="5" a="1"/>
  <c r="X142" i="5" s="1"/>
  <c r="S41" i="9" s="1"/>
  <c r="O142" i="5" a="1"/>
  <c r="O142" i="5" s="1"/>
  <c r="AA142" i="5" a="1"/>
  <c r="AA142" i="5" s="1"/>
  <c r="V41" i="9" s="1"/>
  <c r="AD142" i="5" a="1"/>
  <c r="AD142" i="5" s="1"/>
  <c r="Y142" i="5" a="1"/>
  <c r="Y142" i="5" s="1"/>
  <c r="T41" i="9" s="1"/>
  <c r="N142" i="5" a="1"/>
  <c r="N142" i="5" s="1"/>
  <c r="S142" i="5" a="1"/>
  <c r="S142" i="5" s="1"/>
  <c r="AB142" i="5" a="1"/>
  <c r="AB142" i="5" s="1"/>
  <c r="AH142" i="5" a="1"/>
  <c r="AH142" i="5" s="1"/>
  <c r="K142" i="5" a="1"/>
  <c r="K142" i="5" s="1"/>
  <c r="L142" i="5" a="1"/>
  <c r="L142" i="5" s="1"/>
  <c r="G142" i="5" a="1"/>
  <c r="G142" i="5" s="1"/>
  <c r="H142" i="5" a="1"/>
  <c r="H142" i="5" s="1"/>
  <c r="I142" i="5" a="1"/>
  <c r="I142" i="5" s="1"/>
  <c r="J142" i="5" a="1"/>
  <c r="J142" i="5" s="1"/>
  <c r="M142" i="5" a="1"/>
  <c r="M142" i="5" s="1"/>
  <c r="F143" i="5"/>
  <c r="P143" i="5" l="1" a="1"/>
  <c r="P143" i="5" s="1"/>
  <c r="AE143" i="5" a="1"/>
  <c r="AE143" i="5" s="1"/>
  <c r="AC143" i="5" a="1"/>
  <c r="AC143" i="5" s="1"/>
  <c r="T143" i="5" a="1"/>
  <c r="T143" i="5" s="1"/>
  <c r="U143" i="5" a="1"/>
  <c r="U143" i="5" s="1"/>
  <c r="Z143" i="5" a="1"/>
  <c r="Z143" i="5" s="1"/>
  <c r="AF143" i="5" a="1"/>
  <c r="AF143" i="5" s="1"/>
  <c r="W143" i="5" a="1"/>
  <c r="W143" i="5" s="1"/>
  <c r="R143" i="5" a="1"/>
  <c r="R143" i="5" s="1"/>
  <c r="Q143" i="5" a="1"/>
  <c r="Q143" i="5" s="1"/>
  <c r="AA143" i="5" a="1"/>
  <c r="AA143" i="5" s="1"/>
  <c r="O143" i="5" a="1"/>
  <c r="O143" i="5" s="1"/>
  <c r="AG143" i="5" a="1"/>
  <c r="AG143" i="5" s="1"/>
  <c r="V143" i="5" a="1"/>
  <c r="V143" i="5" s="1"/>
  <c r="X143" i="5" a="1"/>
  <c r="X143" i="5" s="1"/>
  <c r="N143" i="5" a="1"/>
  <c r="N143" i="5" s="1"/>
  <c r="AD143" i="5" a="1"/>
  <c r="AD143" i="5" s="1"/>
  <c r="AB143" i="5" a="1"/>
  <c r="AB143" i="5" s="1"/>
  <c r="S143" i="5" a="1"/>
  <c r="S143" i="5" s="1"/>
  <c r="AH143" i="5" a="1"/>
  <c r="AH143" i="5" s="1"/>
  <c r="Y143" i="5" a="1"/>
  <c r="Y143" i="5" s="1"/>
  <c r="L143" i="5" a="1"/>
  <c r="L143" i="5" s="1"/>
  <c r="K143" i="5" a="1"/>
  <c r="K143" i="5" s="1"/>
  <c r="G143" i="5" a="1"/>
  <c r="G143" i="5" s="1"/>
  <c r="H143" i="5" a="1"/>
  <c r="H143" i="5" s="1"/>
  <c r="J143" i="5" a="1"/>
  <c r="J143" i="5" s="1"/>
  <c r="I143" i="5" a="1"/>
  <c r="I143" i="5" s="1"/>
  <c r="M143" i="5" a="1"/>
  <c r="M143" i="5" s="1"/>
  <c r="F144" i="5"/>
  <c r="T144" i="5" l="1" a="1"/>
  <c r="T144" i="5" s="1"/>
  <c r="AC144" i="5" a="1"/>
  <c r="AC144" i="5" s="1"/>
  <c r="AE144" i="5" a="1"/>
  <c r="AE144" i="5" s="1"/>
  <c r="P144" i="5" a="1"/>
  <c r="P144" i="5" s="1"/>
  <c r="W144" i="5" a="1"/>
  <c r="W144" i="5" s="1"/>
  <c r="U144" i="5" a="1"/>
  <c r="U144" i="5" s="1"/>
  <c r="Z144" i="5" a="1"/>
  <c r="Z144" i="5" s="1"/>
  <c r="AF144" i="5" a="1"/>
  <c r="AF144" i="5" s="1"/>
  <c r="Q144" i="5" a="1"/>
  <c r="Q144" i="5" s="1"/>
  <c r="O144" i="5" a="1"/>
  <c r="O144" i="5" s="1"/>
  <c r="AG144" i="5" a="1"/>
  <c r="AG144" i="5" s="1"/>
  <c r="R144" i="5" a="1"/>
  <c r="R144" i="5" s="1"/>
  <c r="AA144" i="5" a="1"/>
  <c r="AA144" i="5" s="1"/>
  <c r="X144" i="5" a="1"/>
  <c r="X144" i="5" s="1"/>
  <c r="V144" i="5" a="1"/>
  <c r="V144" i="5" s="1"/>
  <c r="N144" i="5" a="1"/>
  <c r="N144" i="5" s="1"/>
  <c r="AB144" i="5" a="1"/>
  <c r="AB144" i="5" s="1"/>
  <c r="AD144" i="5" a="1"/>
  <c r="AD144" i="5" s="1"/>
  <c r="S144" i="5" a="1"/>
  <c r="S144" i="5" s="1"/>
  <c r="AH144" i="5" a="1"/>
  <c r="AH144" i="5" s="1"/>
  <c r="Y144" i="5" a="1"/>
  <c r="Y144" i="5" s="1"/>
  <c r="H144" i="5" a="1"/>
  <c r="H144" i="5" s="1"/>
  <c r="K144" i="5" a="1"/>
  <c r="K144" i="5" s="1"/>
  <c r="G144" i="5" a="1"/>
  <c r="G144" i="5" s="1"/>
  <c r="I144" i="5" a="1"/>
  <c r="I144" i="5" s="1"/>
  <c r="L144" i="5" a="1"/>
  <c r="L144" i="5" s="1"/>
  <c r="J144" i="5" a="1"/>
  <c r="J144" i="5" s="1"/>
  <c r="M144" i="5" a="1"/>
  <c r="M144" i="5" s="1"/>
  <c r="F145" i="5"/>
  <c r="T145" i="5" l="1" a="1"/>
  <c r="T145" i="5" s="1"/>
  <c r="P145" i="5" a="1"/>
  <c r="P145" i="5" s="1"/>
  <c r="AE145" i="5" a="1"/>
  <c r="AE145" i="5" s="1"/>
  <c r="AC145" i="5" a="1"/>
  <c r="AC145" i="5" s="1"/>
  <c r="AF145" i="5" a="1"/>
  <c r="AF145" i="5" s="1"/>
  <c r="Z145" i="5" a="1"/>
  <c r="Z145" i="5" s="1"/>
  <c r="U145" i="5" a="1"/>
  <c r="U145" i="5" s="1"/>
  <c r="W145" i="5" a="1"/>
  <c r="W145" i="5" s="1"/>
  <c r="O145" i="5" a="1"/>
  <c r="O145" i="5" s="1"/>
  <c r="X145" i="5" a="1"/>
  <c r="X145" i="5" s="1"/>
  <c r="V145" i="5" a="1"/>
  <c r="V145" i="5" s="1"/>
  <c r="AA145" i="5" a="1"/>
  <c r="AA145" i="5" s="1"/>
  <c r="Q145" i="5" a="1"/>
  <c r="Q145" i="5" s="1"/>
  <c r="AG145" i="5" a="1"/>
  <c r="AG145" i="5" s="1"/>
  <c r="S145" i="5" a="1"/>
  <c r="S145" i="5" s="1"/>
  <c r="AH145" i="5" a="1"/>
  <c r="AH145" i="5" s="1"/>
  <c r="N145" i="5" a="1"/>
  <c r="N145" i="5" s="1"/>
  <c r="AD145" i="5" a="1"/>
  <c r="AD145" i="5" s="1"/>
  <c r="R145" i="5" a="1"/>
  <c r="R145" i="5" s="1"/>
  <c r="AB145" i="5" a="1"/>
  <c r="AB145" i="5" s="1"/>
  <c r="Y145" i="5" a="1"/>
  <c r="Y145" i="5" s="1"/>
  <c r="G145" i="5" a="1"/>
  <c r="G145" i="5" s="1"/>
  <c r="K145" i="5" a="1"/>
  <c r="K145" i="5" s="1"/>
  <c r="L145" i="5" a="1"/>
  <c r="L145" i="5" s="1"/>
  <c r="H145" i="5" a="1"/>
  <c r="H145" i="5" s="1"/>
  <c r="J145" i="5" a="1"/>
  <c r="J145" i="5" s="1"/>
  <c r="I145" i="5" a="1"/>
  <c r="I145" i="5" s="1"/>
  <c r="M145" i="5" a="1"/>
  <c r="M145" i="5" s="1"/>
  <c r="F146" i="5"/>
  <c r="E42" i="9" l="1"/>
  <c r="AE146" i="5" a="1"/>
  <c r="AE146" i="5" s="1"/>
  <c r="AC146" i="5" a="1"/>
  <c r="AC146" i="5" s="1"/>
  <c r="P146" i="5" a="1"/>
  <c r="P146" i="5" s="1"/>
  <c r="T146" i="5" a="1"/>
  <c r="T146" i="5" s="1"/>
  <c r="U146" i="5" a="1"/>
  <c r="U146" i="5" s="1"/>
  <c r="P42" i="9" s="1"/>
  <c r="Z146" i="5" a="1"/>
  <c r="Z146" i="5" s="1"/>
  <c r="U42" i="9" s="1"/>
  <c r="W146" i="5" a="1"/>
  <c r="W146" i="5" s="1"/>
  <c r="R42" i="9" s="1"/>
  <c r="AF146" i="5" a="1"/>
  <c r="AF146" i="5" s="1"/>
  <c r="X146" i="5" a="1"/>
  <c r="X146" i="5" s="1"/>
  <c r="S42" i="9" s="1"/>
  <c r="AG146" i="5" a="1"/>
  <c r="AG146" i="5" s="1"/>
  <c r="AA146" i="5" a="1"/>
  <c r="AA146" i="5" s="1"/>
  <c r="V42" i="9" s="1"/>
  <c r="R146" i="5" a="1"/>
  <c r="R146" i="5" s="1"/>
  <c r="O146" i="5" a="1"/>
  <c r="O146" i="5" s="1"/>
  <c r="J42" i="9" s="1"/>
  <c r="V146" i="5" a="1"/>
  <c r="V146" i="5" s="1"/>
  <c r="Q42" i="9" s="1"/>
  <c r="Q146" i="5" a="1"/>
  <c r="Q146" i="5" s="1"/>
  <c r="L42" i="9" s="1"/>
  <c r="AD146" i="5" a="1"/>
  <c r="AD146" i="5" s="1"/>
  <c r="AH146" i="5" a="1"/>
  <c r="AH146" i="5" s="1"/>
  <c r="Y146" i="5" a="1"/>
  <c r="Y146" i="5" s="1"/>
  <c r="T42" i="9" s="1"/>
  <c r="AB146" i="5" a="1"/>
  <c r="AB146" i="5" s="1"/>
  <c r="N146" i="5" a="1"/>
  <c r="N146" i="5" s="1"/>
  <c r="S146" i="5" a="1"/>
  <c r="S146" i="5" s="1"/>
  <c r="G146" i="5" a="1"/>
  <c r="G146" i="5" s="1"/>
  <c r="L146" i="5" a="1"/>
  <c r="L146" i="5" s="1"/>
  <c r="K146" i="5" a="1"/>
  <c r="K146" i="5" s="1"/>
  <c r="J146" i="5" a="1"/>
  <c r="J146" i="5" s="1"/>
  <c r="H146" i="5" a="1"/>
  <c r="H146" i="5" s="1"/>
  <c r="C42" i="9" s="1"/>
  <c r="I146" i="5" a="1"/>
  <c r="I146" i="5" s="1"/>
  <c r="M146" i="5" a="1"/>
  <c r="M146" i="5" s="1"/>
  <c r="F147" i="5"/>
  <c r="T147" i="5" l="1" a="1"/>
  <c r="T147" i="5" s="1"/>
  <c r="P147" i="5" a="1"/>
  <c r="P147" i="5" s="1"/>
  <c r="AC147" i="5" a="1"/>
  <c r="AC147" i="5" s="1"/>
  <c r="AE147" i="5" a="1"/>
  <c r="AE147" i="5" s="1"/>
  <c r="W147" i="5" a="1"/>
  <c r="W147" i="5" s="1"/>
  <c r="U147" i="5" a="1"/>
  <c r="U147" i="5" s="1"/>
  <c r="Z147" i="5" a="1"/>
  <c r="Z147" i="5" s="1"/>
  <c r="AF147" i="5" a="1"/>
  <c r="AF147" i="5" s="1"/>
  <c r="O147" i="5" a="1"/>
  <c r="O147" i="5" s="1"/>
  <c r="R147" i="5" a="1"/>
  <c r="R147" i="5" s="1"/>
  <c r="AG147" i="5" a="1"/>
  <c r="AG147" i="5" s="1"/>
  <c r="AD147" i="5" a="1"/>
  <c r="AD147" i="5" s="1"/>
  <c r="X147" i="5" a="1"/>
  <c r="X147" i="5" s="1"/>
  <c r="AA147" i="5" a="1"/>
  <c r="AA147" i="5" s="1"/>
  <c r="Q147" i="5" a="1"/>
  <c r="Q147" i="5" s="1"/>
  <c r="S147" i="5" a="1"/>
  <c r="S147" i="5" s="1"/>
  <c r="AB147" i="5" a="1"/>
  <c r="AB147" i="5" s="1"/>
  <c r="V147" i="5" a="1"/>
  <c r="V147" i="5" s="1"/>
  <c r="N147" i="5" a="1"/>
  <c r="N147" i="5" s="1"/>
  <c r="Y147" i="5" a="1"/>
  <c r="Y147" i="5" s="1"/>
  <c r="AH147" i="5" a="1"/>
  <c r="AH147" i="5" s="1"/>
  <c r="L147" i="5" a="1"/>
  <c r="L147" i="5" s="1"/>
  <c r="H147" i="5" a="1"/>
  <c r="H147" i="5" s="1"/>
  <c r="I147" i="5" a="1"/>
  <c r="I147" i="5" s="1"/>
  <c r="J147" i="5" a="1"/>
  <c r="J147" i="5" s="1"/>
  <c r="G147" i="5" a="1"/>
  <c r="G147" i="5" s="1"/>
  <c r="K147" i="5" a="1"/>
  <c r="K147" i="5" s="1"/>
  <c r="M147" i="5" a="1"/>
  <c r="M147" i="5" s="1"/>
  <c r="F148" i="5"/>
  <c r="T148" i="5" l="1" a="1"/>
  <c r="T148" i="5" s="1"/>
  <c r="AE148" i="5" a="1"/>
  <c r="AE148" i="5" s="1"/>
  <c r="P148" i="5" a="1"/>
  <c r="P148" i="5" s="1"/>
  <c r="AC148" i="5" a="1"/>
  <c r="AC148" i="5" s="1"/>
  <c r="Z148" i="5" a="1"/>
  <c r="Z148" i="5" s="1"/>
  <c r="AF148" i="5" a="1"/>
  <c r="AF148" i="5" s="1"/>
  <c r="W148" i="5" a="1"/>
  <c r="W148" i="5" s="1"/>
  <c r="U148" i="5" a="1"/>
  <c r="U148" i="5" s="1"/>
  <c r="AA148" i="5" a="1"/>
  <c r="AA148" i="5" s="1"/>
  <c r="V148" i="5" a="1"/>
  <c r="V148" i="5" s="1"/>
  <c r="O148" i="5" a="1"/>
  <c r="O148" i="5" s="1"/>
  <c r="AG148" i="5" a="1"/>
  <c r="AG148" i="5" s="1"/>
  <c r="X148" i="5" a="1"/>
  <c r="X148" i="5" s="1"/>
  <c r="R148" i="5" a="1"/>
  <c r="R148" i="5" s="1"/>
  <c r="Q148" i="5" a="1"/>
  <c r="Q148" i="5" s="1"/>
  <c r="N148" i="5" a="1"/>
  <c r="N148" i="5" s="1"/>
  <c r="S148" i="5" a="1"/>
  <c r="S148" i="5" s="1"/>
  <c r="AH148" i="5" a="1"/>
  <c r="AH148" i="5" s="1"/>
  <c r="AB148" i="5" a="1"/>
  <c r="AB148" i="5" s="1"/>
  <c r="Y148" i="5" a="1"/>
  <c r="Y148" i="5" s="1"/>
  <c r="AD148" i="5" a="1"/>
  <c r="AD148" i="5" s="1"/>
  <c r="K148" i="5" a="1"/>
  <c r="K148" i="5" s="1"/>
  <c r="L148" i="5" a="1"/>
  <c r="L148" i="5" s="1"/>
  <c r="H148" i="5" a="1"/>
  <c r="H148" i="5" s="1"/>
  <c r="G148" i="5" a="1"/>
  <c r="G148" i="5" s="1"/>
  <c r="I148" i="5" a="1"/>
  <c r="I148" i="5" s="1"/>
  <c r="J148" i="5" a="1"/>
  <c r="J148" i="5" s="1"/>
  <c r="M148" i="5" a="1"/>
  <c r="M148" i="5" s="1"/>
  <c r="F149" i="5"/>
  <c r="P149" i="5" l="1" a="1"/>
  <c r="P149" i="5" s="1"/>
  <c r="AE149" i="5" a="1"/>
  <c r="AE149" i="5" s="1"/>
  <c r="T149" i="5" a="1"/>
  <c r="T149" i="5" s="1"/>
  <c r="AC149" i="5" a="1"/>
  <c r="AC149" i="5" s="1"/>
  <c r="W149" i="5" a="1"/>
  <c r="W149" i="5" s="1"/>
  <c r="U149" i="5" a="1"/>
  <c r="U149" i="5" s="1"/>
  <c r="AF149" i="5" a="1"/>
  <c r="AF149" i="5" s="1"/>
  <c r="Z149" i="5" a="1"/>
  <c r="Z149" i="5" s="1"/>
  <c r="V149" i="5" a="1"/>
  <c r="V149" i="5" s="1"/>
  <c r="O149" i="5" a="1"/>
  <c r="O149" i="5" s="1"/>
  <c r="AG149" i="5" a="1"/>
  <c r="AG149" i="5" s="1"/>
  <c r="X149" i="5" a="1"/>
  <c r="X149" i="5" s="1"/>
  <c r="AA149" i="5" a="1"/>
  <c r="AA149" i="5" s="1"/>
  <c r="Q149" i="5" a="1"/>
  <c r="Q149" i="5" s="1"/>
  <c r="S149" i="5" a="1"/>
  <c r="S149" i="5" s="1"/>
  <c r="AH149" i="5" a="1"/>
  <c r="AH149" i="5" s="1"/>
  <c r="AD149" i="5" a="1"/>
  <c r="AD149" i="5" s="1"/>
  <c r="Y149" i="5" a="1"/>
  <c r="Y149" i="5" s="1"/>
  <c r="N149" i="5" a="1"/>
  <c r="N149" i="5" s="1"/>
  <c r="AB149" i="5" a="1"/>
  <c r="AB149" i="5" s="1"/>
  <c r="R149" i="5" a="1"/>
  <c r="R149" i="5" s="1"/>
  <c r="K149" i="5" a="1"/>
  <c r="K149" i="5" s="1"/>
  <c r="G149" i="5" a="1"/>
  <c r="G149" i="5" s="1"/>
  <c r="L149" i="5" a="1"/>
  <c r="L149" i="5" s="1"/>
  <c r="J149" i="5" a="1"/>
  <c r="J149" i="5" s="1"/>
  <c r="H149" i="5" a="1"/>
  <c r="H149" i="5" s="1"/>
  <c r="I149" i="5" a="1"/>
  <c r="I149" i="5" s="1"/>
  <c r="M149" i="5" a="1"/>
  <c r="M149" i="5" s="1"/>
  <c r="F150" i="5"/>
  <c r="N43" i="9" l="1"/>
  <c r="I43" i="9"/>
  <c r="AC150" i="5" a="1"/>
  <c r="AC150" i="5" s="1"/>
  <c r="AE150" i="5" a="1"/>
  <c r="AE150" i="5" s="1"/>
  <c r="T150" i="5" a="1"/>
  <c r="T150" i="5" s="1"/>
  <c r="P150" i="5" a="1"/>
  <c r="P150" i="5" s="1"/>
  <c r="U150" i="5" a="1"/>
  <c r="U150" i="5" s="1"/>
  <c r="P43" i="9" s="1"/>
  <c r="W150" i="5" a="1"/>
  <c r="W150" i="5" s="1"/>
  <c r="R43" i="9" s="1"/>
  <c r="Z150" i="5" a="1"/>
  <c r="Z150" i="5" s="1"/>
  <c r="U43" i="9" s="1"/>
  <c r="AF150" i="5" a="1"/>
  <c r="AF150" i="5" s="1"/>
  <c r="X150" i="5" a="1"/>
  <c r="X150" i="5" s="1"/>
  <c r="S43" i="9" s="1"/>
  <c r="R150" i="5" a="1"/>
  <c r="R150" i="5" s="1"/>
  <c r="M43" i="9" s="1"/>
  <c r="AA150" i="5" a="1"/>
  <c r="AA150" i="5" s="1"/>
  <c r="V43" i="9" s="1"/>
  <c r="O150" i="5" a="1"/>
  <c r="O150" i="5" s="1"/>
  <c r="AG150" i="5" a="1"/>
  <c r="AG150" i="5" s="1"/>
  <c r="Q150" i="5" a="1"/>
  <c r="Q150" i="5" s="1"/>
  <c r="V150" i="5" a="1"/>
  <c r="V150" i="5" s="1"/>
  <c r="Q43" i="9" s="1"/>
  <c r="AB150" i="5" a="1"/>
  <c r="AB150" i="5" s="1"/>
  <c r="W43" i="9" s="1"/>
  <c r="S150" i="5" a="1"/>
  <c r="S150" i="5" s="1"/>
  <c r="N150" i="5" a="1"/>
  <c r="N150" i="5" s="1"/>
  <c r="AH150" i="5" a="1"/>
  <c r="AH150" i="5" s="1"/>
  <c r="Y150" i="5" a="1"/>
  <c r="Y150" i="5" s="1"/>
  <c r="T43" i="9" s="1"/>
  <c r="AD150" i="5" a="1"/>
  <c r="AD150" i="5" s="1"/>
  <c r="G150" i="5" a="1"/>
  <c r="G150" i="5" s="1"/>
  <c r="L150" i="5" a="1"/>
  <c r="L150" i="5" s="1"/>
  <c r="K150" i="5" a="1"/>
  <c r="K150" i="5" s="1"/>
  <c r="J150" i="5" a="1"/>
  <c r="J150" i="5" s="1"/>
  <c r="H150" i="5" a="1"/>
  <c r="H150" i="5" s="1"/>
  <c r="I150" i="5" a="1"/>
  <c r="I150" i="5" s="1"/>
  <c r="M150" i="5" a="1"/>
  <c r="M150" i="5" s="1"/>
  <c r="H43" i="9" s="1"/>
  <c r="F151" i="5"/>
  <c r="AE151" i="5" l="1" a="1"/>
  <c r="AE151" i="5" s="1"/>
  <c r="P151" i="5" a="1"/>
  <c r="P151" i="5" s="1"/>
  <c r="T151" i="5" a="1"/>
  <c r="T151" i="5" s="1"/>
  <c r="W151" i="5" a="1"/>
  <c r="W151" i="5" s="1"/>
  <c r="U151" i="5" a="1"/>
  <c r="U151" i="5" s="1"/>
  <c r="AC151" i="5" a="1"/>
  <c r="AC151" i="5" s="1"/>
  <c r="AF151" i="5" a="1"/>
  <c r="AF151" i="5" s="1"/>
  <c r="Z151" i="5" a="1"/>
  <c r="Z151" i="5" s="1"/>
  <c r="O151" i="5" a="1"/>
  <c r="O151" i="5" s="1"/>
  <c r="X151" i="5" a="1"/>
  <c r="X151" i="5" s="1"/>
  <c r="AA151" i="5" a="1"/>
  <c r="AA151" i="5" s="1"/>
  <c r="V151" i="5" a="1"/>
  <c r="V151" i="5" s="1"/>
  <c r="Q151" i="5" a="1"/>
  <c r="Q151" i="5" s="1"/>
  <c r="AG151" i="5" a="1"/>
  <c r="AG151" i="5" s="1"/>
  <c r="N151" i="5" a="1"/>
  <c r="N151" i="5" s="1"/>
  <c r="AH151" i="5" a="1"/>
  <c r="AH151" i="5" s="1"/>
  <c r="Y151" i="5" a="1"/>
  <c r="Y151" i="5" s="1"/>
  <c r="S151" i="5" a="1"/>
  <c r="S151" i="5" s="1"/>
  <c r="R151" i="5" a="1"/>
  <c r="R151" i="5" s="1"/>
  <c r="AD151" i="5" a="1"/>
  <c r="AD151" i="5" s="1"/>
  <c r="AB151" i="5" a="1"/>
  <c r="AB151" i="5" s="1"/>
  <c r="L151" i="5" a="1"/>
  <c r="L151" i="5" s="1"/>
  <c r="G151" i="5" a="1"/>
  <c r="G151" i="5" s="1"/>
  <c r="H151" i="5" a="1"/>
  <c r="H151" i="5" s="1"/>
  <c r="K151" i="5" a="1"/>
  <c r="K151" i="5" s="1"/>
  <c r="I151" i="5" a="1"/>
  <c r="I151" i="5" s="1"/>
  <c r="J151" i="5" a="1"/>
  <c r="J151" i="5" s="1"/>
  <c r="M151" i="5" a="1"/>
  <c r="M151" i="5" s="1"/>
  <c r="F152" i="5"/>
  <c r="T152" i="5" l="1" a="1"/>
  <c r="T152" i="5" s="1"/>
  <c r="AE152" i="5" a="1"/>
  <c r="AE152" i="5" s="1"/>
  <c r="P152" i="5" a="1"/>
  <c r="P152" i="5" s="1"/>
  <c r="AC152" i="5" a="1"/>
  <c r="AC152" i="5" s="1"/>
  <c r="Z152" i="5" a="1"/>
  <c r="Z152" i="5" s="1"/>
  <c r="W152" i="5" a="1"/>
  <c r="W152" i="5" s="1"/>
  <c r="AF152" i="5" a="1"/>
  <c r="AF152" i="5" s="1"/>
  <c r="U152" i="5" a="1"/>
  <c r="U152" i="5" s="1"/>
  <c r="Q152" i="5" a="1"/>
  <c r="Q152" i="5" s="1"/>
  <c r="AA152" i="5" a="1"/>
  <c r="AA152" i="5" s="1"/>
  <c r="O152" i="5" a="1"/>
  <c r="O152" i="5" s="1"/>
  <c r="X152" i="5" a="1"/>
  <c r="X152" i="5" s="1"/>
  <c r="V152" i="5" a="1"/>
  <c r="V152" i="5" s="1"/>
  <c r="N152" i="5" a="1"/>
  <c r="N152" i="5" s="1"/>
  <c r="R152" i="5" a="1"/>
  <c r="R152" i="5" s="1"/>
  <c r="AH152" i="5" a="1"/>
  <c r="AH152" i="5" s="1"/>
  <c r="Y152" i="5" a="1"/>
  <c r="Y152" i="5" s="1"/>
  <c r="AG152" i="5" a="1"/>
  <c r="AG152" i="5" s="1"/>
  <c r="AD152" i="5" a="1"/>
  <c r="AD152" i="5" s="1"/>
  <c r="S152" i="5" a="1"/>
  <c r="S152" i="5" s="1"/>
  <c r="AB152" i="5" a="1"/>
  <c r="AB152" i="5" s="1"/>
  <c r="L152" i="5" a="1"/>
  <c r="L152" i="5" s="1"/>
  <c r="G152" i="5" a="1"/>
  <c r="G152" i="5" s="1"/>
  <c r="K152" i="5" a="1"/>
  <c r="K152" i="5" s="1"/>
  <c r="H152" i="5" a="1"/>
  <c r="H152" i="5" s="1"/>
  <c r="J152" i="5" a="1"/>
  <c r="J152" i="5" s="1"/>
  <c r="I152" i="5" a="1"/>
  <c r="I152" i="5" s="1"/>
  <c r="M152" i="5" a="1"/>
  <c r="M152" i="5" s="1"/>
  <c r="F153" i="5"/>
  <c r="P153" i="5" l="1" a="1"/>
  <c r="P153" i="5" s="1"/>
  <c r="T153" i="5" a="1"/>
  <c r="T153" i="5" s="1"/>
  <c r="AC153" i="5" a="1"/>
  <c r="AC153" i="5" s="1"/>
  <c r="AE153" i="5" a="1"/>
  <c r="AE153" i="5" s="1"/>
  <c r="W153" i="5" a="1"/>
  <c r="W153" i="5" s="1"/>
  <c r="Z153" i="5" a="1"/>
  <c r="Z153" i="5" s="1"/>
  <c r="U153" i="5" a="1"/>
  <c r="U153" i="5" s="1"/>
  <c r="AF153" i="5" a="1"/>
  <c r="AF153" i="5" s="1"/>
  <c r="V153" i="5" a="1"/>
  <c r="V153" i="5" s="1"/>
  <c r="O153" i="5" a="1"/>
  <c r="O153" i="5" s="1"/>
  <c r="X153" i="5" a="1"/>
  <c r="X153" i="5" s="1"/>
  <c r="R153" i="5" a="1"/>
  <c r="R153" i="5" s="1"/>
  <c r="AA153" i="5" a="1"/>
  <c r="AA153" i="5" s="1"/>
  <c r="AG153" i="5" a="1"/>
  <c r="AG153" i="5" s="1"/>
  <c r="Q153" i="5" a="1"/>
  <c r="Q153" i="5" s="1"/>
  <c r="AD153" i="5" a="1"/>
  <c r="AD153" i="5" s="1"/>
  <c r="AB153" i="5" a="1"/>
  <c r="AB153" i="5" s="1"/>
  <c r="Y153" i="5" a="1"/>
  <c r="Y153" i="5" s="1"/>
  <c r="AH153" i="5" a="1"/>
  <c r="AH153" i="5" s="1"/>
  <c r="S153" i="5" a="1"/>
  <c r="S153" i="5" s="1"/>
  <c r="N153" i="5" a="1"/>
  <c r="N153" i="5" s="1"/>
  <c r="G153" i="5" a="1"/>
  <c r="G153" i="5" s="1"/>
  <c r="K153" i="5" a="1"/>
  <c r="K153" i="5" s="1"/>
  <c r="L153" i="5" a="1"/>
  <c r="L153" i="5" s="1"/>
  <c r="H153" i="5" a="1"/>
  <c r="H153" i="5" s="1"/>
  <c r="J153" i="5" a="1"/>
  <c r="J153" i="5" s="1"/>
  <c r="I153" i="5" a="1"/>
  <c r="I153" i="5" s="1"/>
  <c r="M153" i="5" a="1"/>
  <c r="M153" i="5" s="1"/>
  <c r="F154" i="5"/>
  <c r="Y44" i="9" l="1"/>
  <c r="AC154" i="5" a="1"/>
  <c r="AC154" i="5" s="1"/>
  <c r="AE154" i="5" a="1"/>
  <c r="AE154" i="5" s="1"/>
  <c r="P154" i="5" a="1"/>
  <c r="P154" i="5" s="1"/>
  <c r="T154" i="5" a="1"/>
  <c r="T154" i="5" s="1"/>
  <c r="Z154" i="5" a="1"/>
  <c r="Z154" i="5" s="1"/>
  <c r="U44" i="9" s="1"/>
  <c r="U154" i="5" a="1"/>
  <c r="U154" i="5" s="1"/>
  <c r="P44" i="9" s="1"/>
  <c r="AF154" i="5" a="1"/>
  <c r="AF154" i="5" s="1"/>
  <c r="W154" i="5" a="1"/>
  <c r="W154" i="5" s="1"/>
  <c r="R44" i="9" s="1"/>
  <c r="V154" i="5" a="1"/>
  <c r="V154" i="5" s="1"/>
  <c r="Q44" i="9" s="1"/>
  <c r="O154" i="5" a="1"/>
  <c r="O154" i="5" s="1"/>
  <c r="Q154" i="5" a="1"/>
  <c r="Q154" i="5" s="1"/>
  <c r="L44" i="9" s="1"/>
  <c r="R154" i="5" a="1"/>
  <c r="R154" i="5" s="1"/>
  <c r="AD154" i="5" a="1"/>
  <c r="AD154" i="5" s="1"/>
  <c r="AA154" i="5" a="1"/>
  <c r="AA154" i="5" s="1"/>
  <c r="V44" i="9" s="1"/>
  <c r="X154" i="5" a="1"/>
  <c r="X154" i="5" s="1"/>
  <c r="S44" i="9" s="1"/>
  <c r="AB154" i="5" a="1"/>
  <c r="AB154" i="5" s="1"/>
  <c r="Y154" i="5" a="1"/>
  <c r="Y154" i="5" s="1"/>
  <c r="T44" i="9" s="1"/>
  <c r="AG154" i="5" a="1"/>
  <c r="AG154" i="5" s="1"/>
  <c r="N154" i="5" a="1"/>
  <c r="N154" i="5" s="1"/>
  <c r="AH154" i="5" a="1"/>
  <c r="AH154" i="5" s="1"/>
  <c r="S154" i="5" a="1"/>
  <c r="S154" i="5" s="1"/>
  <c r="N44" i="9" s="1"/>
  <c r="G154" i="5" a="1"/>
  <c r="G154" i="5" s="1"/>
  <c r="B44" i="9" s="1"/>
  <c r="L154" i="5" a="1"/>
  <c r="L154" i="5" s="1"/>
  <c r="K154" i="5" a="1"/>
  <c r="K154" i="5" s="1"/>
  <c r="H154" i="5" a="1"/>
  <c r="H154" i="5" s="1"/>
  <c r="J154" i="5" a="1"/>
  <c r="J154" i="5" s="1"/>
  <c r="I154" i="5" a="1"/>
  <c r="I154" i="5" s="1"/>
  <c r="M154" i="5" a="1"/>
  <c r="M154" i="5" s="1"/>
  <c r="F155" i="5"/>
  <c r="T155" i="5" l="1" a="1"/>
  <c r="T155" i="5" s="1"/>
  <c r="AE155" i="5" a="1"/>
  <c r="AE155" i="5" s="1"/>
  <c r="P155" i="5" a="1"/>
  <c r="P155" i="5" s="1"/>
  <c r="AC155" i="5" a="1"/>
  <c r="AC155" i="5" s="1"/>
  <c r="U155" i="5" a="1"/>
  <c r="U155" i="5" s="1"/>
  <c r="W155" i="5" a="1"/>
  <c r="W155" i="5" s="1"/>
  <c r="AF155" i="5" a="1"/>
  <c r="AF155" i="5" s="1"/>
  <c r="Z155" i="5" a="1"/>
  <c r="Z155" i="5" s="1"/>
  <c r="O155" i="5" a="1"/>
  <c r="O155" i="5" s="1"/>
  <c r="V155" i="5" a="1"/>
  <c r="V155" i="5" s="1"/>
  <c r="AA155" i="5" a="1"/>
  <c r="AA155" i="5" s="1"/>
  <c r="X155" i="5" a="1"/>
  <c r="X155" i="5" s="1"/>
  <c r="Q155" i="5" a="1"/>
  <c r="Q155" i="5" s="1"/>
  <c r="AG155" i="5" a="1"/>
  <c r="AG155" i="5" s="1"/>
  <c r="AH155" i="5" a="1"/>
  <c r="AH155" i="5" s="1"/>
  <c r="Y155" i="5" a="1"/>
  <c r="Y155" i="5" s="1"/>
  <c r="S155" i="5" a="1"/>
  <c r="S155" i="5" s="1"/>
  <c r="AD155" i="5" a="1"/>
  <c r="AD155" i="5" s="1"/>
  <c r="R155" i="5" a="1"/>
  <c r="R155" i="5" s="1"/>
  <c r="N155" i="5" a="1"/>
  <c r="N155" i="5" s="1"/>
  <c r="AB155" i="5" a="1"/>
  <c r="AB155" i="5" s="1"/>
  <c r="H155" i="5" a="1"/>
  <c r="H155" i="5" s="1"/>
  <c r="K155" i="5" a="1"/>
  <c r="K155" i="5" s="1"/>
  <c r="J155" i="5" a="1"/>
  <c r="J155" i="5" s="1"/>
  <c r="G155" i="5" a="1"/>
  <c r="G155" i="5" s="1"/>
  <c r="L155" i="5" a="1"/>
  <c r="L155" i="5" s="1"/>
  <c r="I155" i="5" a="1"/>
  <c r="I155" i="5" s="1"/>
  <c r="M155" i="5" a="1"/>
  <c r="M155" i="5" s="1"/>
  <c r="F156" i="5"/>
  <c r="T156" i="5" l="1" a="1"/>
  <c r="T156" i="5" s="1"/>
  <c r="AE156" i="5" a="1"/>
  <c r="AE156" i="5" s="1"/>
  <c r="P156" i="5" a="1"/>
  <c r="P156" i="5" s="1"/>
  <c r="AC156" i="5" a="1"/>
  <c r="AC156" i="5" s="1"/>
  <c r="Z156" i="5" a="1"/>
  <c r="Z156" i="5" s="1"/>
  <c r="AF156" i="5" a="1"/>
  <c r="AF156" i="5" s="1"/>
  <c r="W156" i="5" a="1"/>
  <c r="W156" i="5" s="1"/>
  <c r="U156" i="5" a="1"/>
  <c r="U156" i="5" s="1"/>
  <c r="O156" i="5" a="1"/>
  <c r="O156" i="5" s="1"/>
  <c r="Q156" i="5" a="1"/>
  <c r="Q156" i="5" s="1"/>
  <c r="V156" i="5" a="1"/>
  <c r="V156" i="5" s="1"/>
  <c r="AG156" i="5" a="1"/>
  <c r="AG156" i="5" s="1"/>
  <c r="AA156" i="5" a="1"/>
  <c r="AA156" i="5" s="1"/>
  <c r="X156" i="5" a="1"/>
  <c r="X156" i="5" s="1"/>
  <c r="AH156" i="5" a="1"/>
  <c r="AH156" i="5" s="1"/>
  <c r="AB156" i="5" a="1"/>
  <c r="AB156" i="5" s="1"/>
  <c r="Y156" i="5" a="1"/>
  <c r="Y156" i="5" s="1"/>
  <c r="S156" i="5" a="1"/>
  <c r="S156" i="5" s="1"/>
  <c r="N156" i="5" a="1"/>
  <c r="N156" i="5" s="1"/>
  <c r="AD156" i="5" a="1"/>
  <c r="AD156" i="5" s="1"/>
  <c r="R156" i="5" a="1"/>
  <c r="R156" i="5" s="1"/>
  <c r="K156" i="5" a="1"/>
  <c r="K156" i="5" s="1"/>
  <c r="L156" i="5" a="1"/>
  <c r="L156" i="5" s="1"/>
  <c r="H156" i="5" a="1"/>
  <c r="H156" i="5" s="1"/>
  <c r="I156" i="5" a="1"/>
  <c r="I156" i="5" s="1"/>
  <c r="G156" i="5" a="1"/>
  <c r="G156" i="5" s="1"/>
  <c r="J156" i="5" a="1"/>
  <c r="J156" i="5" s="1"/>
  <c r="M156" i="5" a="1"/>
  <c r="M156" i="5" s="1"/>
  <c r="F157" i="5"/>
  <c r="P157" i="5" l="1" a="1"/>
  <c r="P157" i="5" s="1"/>
  <c r="AE157" i="5" a="1"/>
  <c r="AE157" i="5" s="1"/>
  <c r="T157" i="5" a="1"/>
  <c r="T157" i="5" s="1"/>
  <c r="AC157" i="5" a="1"/>
  <c r="AC157" i="5" s="1"/>
  <c r="Z157" i="5" a="1"/>
  <c r="Z157" i="5" s="1"/>
  <c r="AF157" i="5" a="1"/>
  <c r="AF157" i="5" s="1"/>
  <c r="W157" i="5" a="1"/>
  <c r="W157" i="5" s="1"/>
  <c r="U157" i="5" a="1"/>
  <c r="U157" i="5" s="1"/>
  <c r="O157" i="5" a="1"/>
  <c r="O157" i="5" s="1"/>
  <c r="AA157" i="5" a="1"/>
  <c r="AA157" i="5" s="1"/>
  <c r="AG157" i="5" a="1"/>
  <c r="AG157" i="5" s="1"/>
  <c r="R157" i="5" a="1"/>
  <c r="R157" i="5" s="1"/>
  <c r="V157" i="5" a="1"/>
  <c r="V157" i="5" s="1"/>
  <c r="Q157" i="5" a="1"/>
  <c r="Q157" i="5" s="1"/>
  <c r="X157" i="5" a="1"/>
  <c r="X157" i="5" s="1"/>
  <c r="S157" i="5" a="1"/>
  <c r="S157" i="5" s="1"/>
  <c r="AH157" i="5" a="1"/>
  <c r="AH157" i="5" s="1"/>
  <c r="AD157" i="5" a="1"/>
  <c r="AD157" i="5" s="1"/>
  <c r="Y157" i="5" a="1"/>
  <c r="Y157" i="5" s="1"/>
  <c r="N157" i="5" a="1"/>
  <c r="N157" i="5" s="1"/>
  <c r="AB157" i="5" a="1"/>
  <c r="AB157" i="5" s="1"/>
  <c r="L157" i="5" a="1"/>
  <c r="L157" i="5" s="1"/>
  <c r="H157" i="5" a="1"/>
  <c r="H157" i="5" s="1"/>
  <c r="I157" i="5" a="1"/>
  <c r="I157" i="5" s="1"/>
  <c r="G157" i="5" a="1"/>
  <c r="G157" i="5" s="1"/>
  <c r="J157" i="5" a="1"/>
  <c r="J157" i="5" s="1"/>
  <c r="K157" i="5" a="1"/>
  <c r="K157" i="5" s="1"/>
  <c r="M157" i="5" a="1"/>
  <c r="M157" i="5" s="1"/>
  <c r="F158" i="5"/>
  <c r="Z45" i="9" l="1"/>
  <c r="K45" i="9"/>
  <c r="T158" i="5" a="1"/>
  <c r="T158" i="5" s="1"/>
  <c r="AE158" i="5" a="1"/>
  <c r="AE158" i="5" s="1"/>
  <c r="AC158" i="5" a="1"/>
  <c r="AC158" i="5" s="1"/>
  <c r="P158" i="5" a="1"/>
  <c r="P158" i="5" s="1"/>
  <c r="Z158" i="5" a="1"/>
  <c r="Z158" i="5" s="1"/>
  <c r="U45" i="9" s="1"/>
  <c r="U158" i="5" a="1"/>
  <c r="U158" i="5" s="1"/>
  <c r="P45" i="9" s="1"/>
  <c r="W158" i="5" a="1"/>
  <c r="W158" i="5" s="1"/>
  <c r="R45" i="9" s="1"/>
  <c r="AF158" i="5" a="1"/>
  <c r="AF158" i="5" s="1"/>
  <c r="AG158" i="5" a="1"/>
  <c r="AG158" i="5" s="1"/>
  <c r="O158" i="5" a="1"/>
  <c r="O158" i="5" s="1"/>
  <c r="R158" i="5" a="1"/>
  <c r="R158" i="5" s="1"/>
  <c r="X158" i="5" a="1"/>
  <c r="X158" i="5" s="1"/>
  <c r="S45" i="9" s="1"/>
  <c r="V158" i="5" a="1"/>
  <c r="V158" i="5" s="1"/>
  <c r="Q45" i="9" s="1"/>
  <c r="Q158" i="5" a="1"/>
  <c r="Q158" i="5" s="1"/>
  <c r="AA158" i="5" a="1"/>
  <c r="AA158" i="5" s="1"/>
  <c r="V45" i="9" s="1"/>
  <c r="N158" i="5" a="1"/>
  <c r="N158" i="5" s="1"/>
  <c r="AH158" i="5" a="1"/>
  <c r="AH158" i="5" s="1"/>
  <c r="Y158" i="5" a="1"/>
  <c r="Y158" i="5" s="1"/>
  <c r="T45" i="9" s="1"/>
  <c r="S158" i="5" a="1"/>
  <c r="S158" i="5" s="1"/>
  <c r="AB158" i="5" a="1"/>
  <c r="AB158" i="5" s="1"/>
  <c r="AD158" i="5" a="1"/>
  <c r="AD158" i="5" s="1"/>
  <c r="L158" i="5" a="1"/>
  <c r="L158" i="5" s="1"/>
  <c r="K158" i="5" a="1"/>
  <c r="K158" i="5" s="1"/>
  <c r="H158" i="5" a="1"/>
  <c r="H158" i="5" s="1"/>
  <c r="J158" i="5" a="1"/>
  <c r="J158" i="5" s="1"/>
  <c r="G158" i="5" a="1"/>
  <c r="G158" i="5" s="1"/>
  <c r="I158" i="5" a="1"/>
  <c r="I158" i="5" s="1"/>
  <c r="M158" i="5" a="1"/>
  <c r="M158" i="5" s="1"/>
  <c r="F159" i="5"/>
  <c r="P159" i="5" l="1" a="1"/>
  <c r="P159" i="5" s="1"/>
  <c r="T159" i="5" a="1"/>
  <c r="T159" i="5" s="1"/>
  <c r="AE159" i="5" a="1"/>
  <c r="AE159" i="5" s="1"/>
  <c r="Z159" i="5" a="1"/>
  <c r="Z159" i="5" s="1"/>
  <c r="AC159" i="5" a="1"/>
  <c r="AC159" i="5" s="1"/>
  <c r="W159" i="5" a="1"/>
  <c r="W159" i="5" s="1"/>
  <c r="U159" i="5" a="1"/>
  <c r="U159" i="5" s="1"/>
  <c r="Q159" i="5" a="1"/>
  <c r="Q159" i="5" s="1"/>
  <c r="V159" i="5" a="1"/>
  <c r="V159" i="5" s="1"/>
  <c r="R159" i="5" a="1"/>
  <c r="R159" i="5" s="1"/>
  <c r="X159" i="5" a="1"/>
  <c r="X159" i="5" s="1"/>
  <c r="AG159" i="5" a="1"/>
  <c r="AG159" i="5" s="1"/>
  <c r="AD159" i="5" a="1"/>
  <c r="AD159" i="5" s="1"/>
  <c r="AF159" i="5" a="1"/>
  <c r="AF159" i="5" s="1"/>
  <c r="O159" i="5" a="1"/>
  <c r="O159" i="5" s="1"/>
  <c r="AA159" i="5" a="1"/>
  <c r="AA159" i="5" s="1"/>
  <c r="AB159" i="5" a="1"/>
  <c r="AB159" i="5" s="1"/>
  <c r="AH159" i="5" a="1"/>
  <c r="AH159" i="5" s="1"/>
  <c r="S159" i="5" a="1"/>
  <c r="S159" i="5" s="1"/>
  <c r="N159" i="5" a="1"/>
  <c r="N159" i="5" s="1"/>
  <c r="Y159" i="5" a="1"/>
  <c r="Y159" i="5" s="1"/>
  <c r="H159" i="5" a="1"/>
  <c r="H159" i="5" s="1"/>
  <c r="K159" i="5" a="1"/>
  <c r="K159" i="5" s="1"/>
  <c r="L159" i="5" a="1"/>
  <c r="L159" i="5" s="1"/>
  <c r="J159" i="5" a="1"/>
  <c r="J159" i="5" s="1"/>
  <c r="G159" i="5" a="1"/>
  <c r="G159" i="5" s="1"/>
  <c r="I159" i="5" a="1"/>
  <c r="I159" i="5" s="1"/>
  <c r="M159" i="5" a="1"/>
  <c r="M159" i="5" s="1"/>
  <c r="F160" i="5"/>
  <c r="P160" i="5" l="1" a="1"/>
  <c r="P160" i="5" s="1"/>
  <c r="T160" i="5" a="1"/>
  <c r="T160" i="5" s="1"/>
  <c r="AC160" i="5" a="1"/>
  <c r="AC160" i="5" s="1"/>
  <c r="AE160" i="5" a="1"/>
  <c r="AE160" i="5" s="1"/>
  <c r="AF160" i="5" a="1"/>
  <c r="AF160" i="5" s="1"/>
  <c r="Z160" i="5" a="1"/>
  <c r="Z160" i="5" s="1"/>
  <c r="W160" i="5" a="1"/>
  <c r="W160" i="5" s="1"/>
  <c r="U160" i="5" a="1"/>
  <c r="U160" i="5" s="1"/>
  <c r="AG160" i="5" a="1"/>
  <c r="AG160" i="5" s="1"/>
  <c r="X160" i="5" a="1"/>
  <c r="X160" i="5" s="1"/>
  <c r="Q160" i="5" a="1"/>
  <c r="Q160" i="5" s="1"/>
  <c r="AA160" i="5" a="1"/>
  <c r="AA160" i="5" s="1"/>
  <c r="V160" i="5" a="1"/>
  <c r="V160" i="5" s="1"/>
  <c r="O160" i="5" a="1"/>
  <c r="O160" i="5" s="1"/>
  <c r="N160" i="5" a="1"/>
  <c r="N160" i="5" s="1"/>
  <c r="S160" i="5" a="1"/>
  <c r="S160" i="5" s="1"/>
  <c r="AH160" i="5" a="1"/>
  <c r="AH160" i="5" s="1"/>
  <c r="R160" i="5" a="1"/>
  <c r="R160" i="5" s="1"/>
  <c r="AB160" i="5" a="1"/>
  <c r="AB160" i="5" s="1"/>
  <c r="Y160" i="5" a="1"/>
  <c r="Y160" i="5" s="1"/>
  <c r="AD160" i="5" a="1"/>
  <c r="AD160" i="5" s="1"/>
  <c r="G160" i="5" a="1"/>
  <c r="G160" i="5" s="1"/>
  <c r="L160" i="5" a="1"/>
  <c r="L160" i="5" s="1"/>
  <c r="H160" i="5" a="1"/>
  <c r="H160" i="5" s="1"/>
  <c r="K160" i="5" a="1"/>
  <c r="K160" i="5" s="1"/>
  <c r="I160" i="5" a="1"/>
  <c r="I160" i="5" s="1"/>
  <c r="J160" i="5" a="1"/>
  <c r="J160" i="5" s="1"/>
  <c r="M160" i="5" a="1"/>
  <c r="M160" i="5" s="1"/>
  <c r="F161" i="5"/>
  <c r="T161" i="5" l="1" a="1"/>
  <c r="T161" i="5" s="1"/>
  <c r="P161" i="5" a="1"/>
  <c r="P161" i="5" s="1"/>
  <c r="AE161" i="5" a="1"/>
  <c r="AE161" i="5" s="1"/>
  <c r="AC161" i="5" a="1"/>
  <c r="AC161" i="5" s="1"/>
  <c r="Z161" i="5" a="1"/>
  <c r="Z161" i="5" s="1"/>
  <c r="U161" i="5" a="1"/>
  <c r="U161" i="5" s="1"/>
  <c r="AF161" i="5" a="1"/>
  <c r="AF161" i="5" s="1"/>
  <c r="W161" i="5" a="1"/>
  <c r="W161" i="5" s="1"/>
  <c r="AG161" i="5" a="1"/>
  <c r="AG161" i="5" s="1"/>
  <c r="R161" i="5" a="1"/>
  <c r="R161" i="5" s="1"/>
  <c r="Q161" i="5" a="1"/>
  <c r="Q161" i="5" s="1"/>
  <c r="AA161" i="5" a="1"/>
  <c r="AA161" i="5" s="1"/>
  <c r="X161" i="5" a="1"/>
  <c r="X161" i="5" s="1"/>
  <c r="V161" i="5" a="1"/>
  <c r="V161" i="5" s="1"/>
  <c r="O161" i="5" a="1"/>
  <c r="O161" i="5" s="1"/>
  <c r="AD161" i="5" a="1"/>
  <c r="AD161" i="5" s="1"/>
  <c r="S161" i="5" a="1"/>
  <c r="S161" i="5" s="1"/>
  <c r="AB161" i="5" a="1"/>
  <c r="AB161" i="5" s="1"/>
  <c r="Y161" i="5" a="1"/>
  <c r="Y161" i="5" s="1"/>
  <c r="N161" i="5" a="1"/>
  <c r="N161" i="5" s="1"/>
  <c r="AH161" i="5" a="1"/>
  <c r="AH161" i="5" s="1"/>
  <c r="G161" i="5" a="1"/>
  <c r="G161" i="5" s="1"/>
  <c r="K161" i="5" a="1"/>
  <c r="K161" i="5" s="1"/>
  <c r="L161" i="5" a="1"/>
  <c r="L161" i="5" s="1"/>
  <c r="J161" i="5" a="1"/>
  <c r="J161" i="5" s="1"/>
  <c r="H161" i="5" a="1"/>
  <c r="H161" i="5" s="1"/>
  <c r="I161" i="5" a="1"/>
  <c r="I161" i="5" s="1"/>
  <c r="M161" i="5" a="1"/>
  <c r="M161" i="5" s="1"/>
  <c r="F162" i="5"/>
  <c r="F46" i="9" l="1"/>
  <c r="M46" i="9"/>
  <c r="P162" i="5" a="1"/>
  <c r="P162" i="5" s="1"/>
  <c r="AE162" i="5" a="1"/>
  <c r="AE162" i="5" s="1"/>
  <c r="AC162" i="5" a="1"/>
  <c r="AC162" i="5" s="1"/>
  <c r="X46" i="9" s="1"/>
  <c r="T162" i="5" a="1"/>
  <c r="T162" i="5" s="1"/>
  <c r="W162" i="5" a="1"/>
  <c r="W162" i="5" s="1"/>
  <c r="R46" i="9" s="1"/>
  <c r="U162" i="5" a="1"/>
  <c r="U162" i="5" s="1"/>
  <c r="P46" i="9" s="1"/>
  <c r="AF162" i="5" a="1"/>
  <c r="AF162" i="5" s="1"/>
  <c r="Z162" i="5" a="1"/>
  <c r="Z162" i="5" s="1"/>
  <c r="U46" i="9" s="1"/>
  <c r="AA162" i="5" a="1"/>
  <c r="AA162" i="5" s="1"/>
  <c r="V46" i="9" s="1"/>
  <c r="X162" i="5" a="1"/>
  <c r="X162" i="5" s="1"/>
  <c r="S46" i="9" s="1"/>
  <c r="V162" i="5" a="1"/>
  <c r="V162" i="5" s="1"/>
  <c r="Q46" i="9" s="1"/>
  <c r="AG162" i="5" a="1"/>
  <c r="AG162" i="5" s="1"/>
  <c r="Q162" i="5" a="1"/>
  <c r="Q162" i="5" s="1"/>
  <c r="O162" i="5" a="1"/>
  <c r="O162" i="5" s="1"/>
  <c r="N162" i="5" a="1"/>
  <c r="N162" i="5" s="1"/>
  <c r="S162" i="5" a="1"/>
  <c r="S162" i="5" s="1"/>
  <c r="R162" i="5" a="1"/>
  <c r="R162" i="5" s="1"/>
  <c r="AB162" i="5" a="1"/>
  <c r="AB162" i="5" s="1"/>
  <c r="AH162" i="5" a="1"/>
  <c r="AH162" i="5" s="1"/>
  <c r="Y162" i="5" a="1"/>
  <c r="Y162" i="5" s="1"/>
  <c r="T46" i="9" s="1"/>
  <c r="AD162" i="5" a="1"/>
  <c r="AD162" i="5" s="1"/>
  <c r="K162" i="5" a="1"/>
  <c r="K162" i="5" s="1"/>
  <c r="H162" i="5" a="1"/>
  <c r="H162" i="5" s="1"/>
  <c r="G162" i="5" a="1"/>
  <c r="G162" i="5" s="1"/>
  <c r="J162" i="5" a="1"/>
  <c r="J162" i="5" s="1"/>
  <c r="I162" i="5" a="1"/>
  <c r="I162" i="5" s="1"/>
  <c r="L162" i="5" a="1"/>
  <c r="L162" i="5" s="1"/>
  <c r="M162" i="5" a="1"/>
  <c r="M162" i="5" s="1"/>
  <c r="F163" i="5"/>
  <c r="P163" i="5" l="1" a="1"/>
  <c r="P163" i="5" s="1"/>
  <c r="T163" i="5" a="1"/>
  <c r="T163" i="5" s="1"/>
  <c r="AE163" i="5" a="1"/>
  <c r="AE163" i="5" s="1"/>
  <c r="AC163" i="5" a="1"/>
  <c r="AC163" i="5" s="1"/>
  <c r="U163" i="5" a="1"/>
  <c r="U163" i="5" s="1"/>
  <c r="Z163" i="5" a="1"/>
  <c r="Z163" i="5" s="1"/>
  <c r="AF163" i="5" a="1"/>
  <c r="AF163" i="5" s="1"/>
  <c r="W163" i="5" a="1"/>
  <c r="W163" i="5" s="1"/>
  <c r="Q163" i="5" a="1"/>
  <c r="Q163" i="5" s="1"/>
  <c r="AA163" i="5" a="1"/>
  <c r="AA163" i="5" s="1"/>
  <c r="AG163" i="5" a="1"/>
  <c r="AG163" i="5" s="1"/>
  <c r="V163" i="5" a="1"/>
  <c r="V163" i="5" s="1"/>
  <c r="R163" i="5" a="1"/>
  <c r="R163" i="5" s="1"/>
  <c r="O163" i="5" a="1"/>
  <c r="O163" i="5" s="1"/>
  <c r="X163" i="5" a="1"/>
  <c r="X163" i="5" s="1"/>
  <c r="S163" i="5" a="1"/>
  <c r="S163" i="5" s="1"/>
  <c r="AB163" i="5" a="1"/>
  <c r="AB163" i="5" s="1"/>
  <c r="AH163" i="5" a="1"/>
  <c r="AH163" i="5" s="1"/>
  <c r="AD163" i="5" a="1"/>
  <c r="AD163" i="5" s="1"/>
  <c r="Y163" i="5" a="1"/>
  <c r="Y163" i="5" s="1"/>
  <c r="N163" i="5" a="1"/>
  <c r="N163" i="5" s="1"/>
  <c r="K163" i="5" a="1"/>
  <c r="K163" i="5" s="1"/>
  <c r="H163" i="5" a="1"/>
  <c r="H163" i="5" s="1"/>
  <c r="L163" i="5" a="1"/>
  <c r="L163" i="5" s="1"/>
  <c r="I163" i="5" a="1"/>
  <c r="I163" i="5" s="1"/>
  <c r="G163" i="5" a="1"/>
  <c r="G163" i="5" s="1"/>
  <c r="J163" i="5" a="1"/>
  <c r="J163" i="5" s="1"/>
  <c r="M163" i="5" a="1"/>
  <c r="M163" i="5" s="1"/>
  <c r="F164" i="5"/>
  <c r="AE164" i="5" l="1" a="1"/>
  <c r="AE164" i="5" s="1"/>
  <c r="T164" i="5" a="1"/>
  <c r="T164" i="5" s="1"/>
  <c r="P164" i="5" a="1"/>
  <c r="P164" i="5" s="1"/>
  <c r="AC164" i="5" a="1"/>
  <c r="AC164" i="5" s="1"/>
  <c r="U164" i="5" a="1"/>
  <c r="U164" i="5" s="1"/>
  <c r="W164" i="5" a="1"/>
  <c r="W164" i="5" s="1"/>
  <c r="AF164" i="5" a="1"/>
  <c r="AF164" i="5" s="1"/>
  <c r="Z164" i="5" a="1"/>
  <c r="Z164" i="5" s="1"/>
  <c r="Q164" i="5" a="1"/>
  <c r="Q164" i="5" s="1"/>
  <c r="O164" i="5" a="1"/>
  <c r="O164" i="5" s="1"/>
  <c r="AA164" i="5" a="1"/>
  <c r="AA164" i="5" s="1"/>
  <c r="V164" i="5" a="1"/>
  <c r="V164" i="5" s="1"/>
  <c r="AG164" i="5" a="1"/>
  <c r="AG164" i="5" s="1"/>
  <c r="X164" i="5" a="1"/>
  <c r="X164" i="5" s="1"/>
  <c r="R164" i="5" a="1"/>
  <c r="R164" i="5" s="1"/>
  <c r="N164" i="5" a="1"/>
  <c r="N164" i="5" s="1"/>
  <c r="AB164" i="5" a="1"/>
  <c r="AB164" i="5" s="1"/>
  <c r="AH164" i="5" a="1"/>
  <c r="AH164" i="5" s="1"/>
  <c r="Y164" i="5" a="1"/>
  <c r="Y164" i="5" s="1"/>
  <c r="AD164" i="5" a="1"/>
  <c r="AD164" i="5" s="1"/>
  <c r="S164" i="5" a="1"/>
  <c r="S164" i="5" s="1"/>
  <c r="H164" i="5" a="1"/>
  <c r="H164" i="5" s="1"/>
  <c r="K164" i="5" a="1"/>
  <c r="K164" i="5" s="1"/>
  <c r="L164" i="5" a="1"/>
  <c r="L164" i="5" s="1"/>
  <c r="I164" i="5" a="1"/>
  <c r="I164" i="5" s="1"/>
  <c r="G164" i="5" a="1"/>
  <c r="G164" i="5" s="1"/>
  <c r="J164" i="5" a="1"/>
  <c r="J164" i="5" s="1"/>
  <c r="M164" i="5" a="1"/>
  <c r="M164" i="5" s="1"/>
  <c r="F165" i="5"/>
  <c r="T165" i="5" l="1" a="1"/>
  <c r="T165" i="5" s="1"/>
  <c r="AE165" i="5" a="1"/>
  <c r="AE165" i="5" s="1"/>
  <c r="AC165" i="5" a="1"/>
  <c r="AC165" i="5" s="1"/>
  <c r="P165" i="5" a="1"/>
  <c r="P165" i="5" s="1"/>
  <c r="U165" i="5" a="1"/>
  <c r="U165" i="5" s="1"/>
  <c r="W165" i="5" a="1"/>
  <c r="W165" i="5" s="1"/>
  <c r="AF165" i="5" a="1"/>
  <c r="AF165" i="5" s="1"/>
  <c r="Z165" i="5" a="1"/>
  <c r="Z165" i="5" s="1"/>
  <c r="AA165" i="5" a="1"/>
  <c r="AA165" i="5" s="1"/>
  <c r="R165" i="5" a="1"/>
  <c r="R165" i="5" s="1"/>
  <c r="Q165" i="5" a="1"/>
  <c r="Q165" i="5" s="1"/>
  <c r="AG165" i="5" a="1"/>
  <c r="AG165" i="5" s="1"/>
  <c r="O165" i="5" a="1"/>
  <c r="O165" i="5" s="1"/>
  <c r="X165" i="5" a="1"/>
  <c r="X165" i="5" s="1"/>
  <c r="V165" i="5" a="1"/>
  <c r="V165" i="5" s="1"/>
  <c r="N165" i="5" a="1"/>
  <c r="N165" i="5" s="1"/>
  <c r="Y165" i="5" a="1"/>
  <c r="Y165" i="5" s="1"/>
  <c r="AH165" i="5" a="1"/>
  <c r="AH165" i="5" s="1"/>
  <c r="AB165" i="5" a="1"/>
  <c r="AB165" i="5" s="1"/>
  <c r="S165" i="5" a="1"/>
  <c r="S165" i="5" s="1"/>
  <c r="AD165" i="5" a="1"/>
  <c r="AD165" i="5" s="1"/>
  <c r="H165" i="5" a="1"/>
  <c r="H165" i="5" s="1"/>
  <c r="L165" i="5" a="1"/>
  <c r="L165" i="5" s="1"/>
  <c r="I165" i="5" a="1"/>
  <c r="I165" i="5" s="1"/>
  <c r="K165" i="5" a="1"/>
  <c r="K165" i="5" s="1"/>
  <c r="G165" i="5" a="1"/>
  <c r="G165" i="5" s="1"/>
  <c r="J165" i="5" a="1"/>
  <c r="J165" i="5" s="1"/>
  <c r="M165" i="5" a="1"/>
  <c r="M165" i="5" s="1"/>
  <c r="F166" i="5"/>
  <c r="T166" i="5" l="1" a="1"/>
  <c r="T166" i="5" s="1"/>
  <c r="O47" i="9" s="1"/>
  <c r="AE166" i="5" a="1"/>
  <c r="AE166" i="5" s="1"/>
  <c r="Z47" i="9" s="1"/>
  <c r="AC166" i="5" a="1"/>
  <c r="AC166" i="5" s="1"/>
  <c r="P166" i="5" a="1"/>
  <c r="P166" i="5" s="1"/>
  <c r="Z166" i="5" a="1"/>
  <c r="Z166" i="5" s="1"/>
  <c r="U47" i="9" s="1"/>
  <c r="W166" i="5" a="1"/>
  <c r="W166" i="5" s="1"/>
  <c r="R47" i="9" s="1"/>
  <c r="U166" i="5" a="1"/>
  <c r="U166" i="5" s="1"/>
  <c r="P47" i="9" s="1"/>
  <c r="AF166" i="5" a="1"/>
  <c r="AF166" i="5" s="1"/>
  <c r="AA166" i="5" a="1"/>
  <c r="AA166" i="5" s="1"/>
  <c r="V47" i="9" s="1"/>
  <c r="X166" i="5" a="1"/>
  <c r="X166" i="5" s="1"/>
  <c r="S47" i="9" s="1"/>
  <c r="V166" i="5" a="1"/>
  <c r="V166" i="5" s="1"/>
  <c r="Q47" i="9" s="1"/>
  <c r="AG166" i="5" a="1"/>
  <c r="AG166" i="5" s="1"/>
  <c r="R166" i="5" a="1"/>
  <c r="R166" i="5" s="1"/>
  <c r="Q166" i="5" a="1"/>
  <c r="Q166" i="5" s="1"/>
  <c r="O166" i="5" a="1"/>
  <c r="O166" i="5" s="1"/>
  <c r="AB166" i="5" a="1"/>
  <c r="AB166" i="5" s="1"/>
  <c r="S166" i="5" a="1"/>
  <c r="S166" i="5" s="1"/>
  <c r="Y166" i="5" a="1"/>
  <c r="Y166" i="5" s="1"/>
  <c r="T47" i="9" s="1"/>
  <c r="AH166" i="5" a="1"/>
  <c r="AH166" i="5" s="1"/>
  <c r="N166" i="5" a="1"/>
  <c r="N166" i="5" s="1"/>
  <c r="AD166" i="5" a="1"/>
  <c r="AD166" i="5" s="1"/>
  <c r="K166" i="5" a="1"/>
  <c r="K166" i="5" s="1"/>
  <c r="L166" i="5" a="1"/>
  <c r="L166" i="5" s="1"/>
  <c r="J166" i="5" a="1"/>
  <c r="J166" i="5" s="1"/>
  <c r="G166" i="5" a="1"/>
  <c r="G166" i="5" s="1"/>
  <c r="H166" i="5" a="1"/>
  <c r="H166" i="5" s="1"/>
  <c r="I166" i="5" a="1"/>
  <c r="I166" i="5" s="1"/>
  <c r="M166" i="5" a="1"/>
  <c r="M166" i="5" s="1"/>
  <c r="F167" i="5"/>
  <c r="P167" i="5" l="1" a="1"/>
  <c r="P167" i="5" s="1"/>
  <c r="T167" i="5" a="1"/>
  <c r="T167" i="5" s="1"/>
  <c r="AC167" i="5" a="1"/>
  <c r="AC167" i="5" s="1"/>
  <c r="AE167" i="5" a="1"/>
  <c r="AE167" i="5" s="1"/>
  <c r="U167" i="5" a="1"/>
  <c r="U167" i="5" s="1"/>
  <c r="Z167" i="5" a="1"/>
  <c r="Z167" i="5" s="1"/>
  <c r="W167" i="5" a="1"/>
  <c r="W167" i="5" s="1"/>
  <c r="AF167" i="5" a="1"/>
  <c r="AF167" i="5" s="1"/>
  <c r="Q167" i="5" a="1"/>
  <c r="Q167" i="5" s="1"/>
  <c r="AA167" i="5" a="1"/>
  <c r="AA167" i="5" s="1"/>
  <c r="X167" i="5" a="1"/>
  <c r="X167" i="5" s="1"/>
  <c r="O167" i="5" a="1"/>
  <c r="O167" i="5" s="1"/>
  <c r="V167" i="5" a="1"/>
  <c r="V167" i="5" s="1"/>
  <c r="AD167" i="5" a="1"/>
  <c r="AD167" i="5" s="1"/>
  <c r="AG167" i="5" a="1"/>
  <c r="AG167" i="5" s="1"/>
  <c r="R167" i="5" a="1"/>
  <c r="R167" i="5" s="1"/>
  <c r="AH167" i="5" a="1"/>
  <c r="AH167" i="5" s="1"/>
  <c r="AB167" i="5" a="1"/>
  <c r="AB167" i="5" s="1"/>
  <c r="Y167" i="5" a="1"/>
  <c r="Y167" i="5" s="1"/>
  <c r="S167" i="5" a="1"/>
  <c r="S167" i="5" s="1"/>
  <c r="N167" i="5" a="1"/>
  <c r="N167" i="5" s="1"/>
  <c r="G167" i="5" a="1"/>
  <c r="G167" i="5" s="1"/>
  <c r="K167" i="5" a="1"/>
  <c r="K167" i="5" s="1"/>
  <c r="H167" i="5" a="1"/>
  <c r="H167" i="5" s="1"/>
  <c r="L167" i="5" a="1"/>
  <c r="L167" i="5" s="1"/>
  <c r="J167" i="5" a="1"/>
  <c r="J167" i="5" s="1"/>
  <c r="I167" i="5" a="1"/>
  <c r="I167" i="5" s="1"/>
  <c r="M167" i="5" a="1"/>
  <c r="M167" i="5" s="1"/>
  <c r="F168" i="5"/>
  <c r="T168" i="5" l="1" a="1"/>
  <c r="T168" i="5" s="1"/>
  <c r="P168" i="5" a="1"/>
  <c r="P168" i="5" s="1"/>
  <c r="AE168" i="5" a="1"/>
  <c r="AE168" i="5" s="1"/>
  <c r="AC168" i="5" a="1"/>
  <c r="AC168" i="5" s="1"/>
  <c r="Z168" i="5" a="1"/>
  <c r="Z168" i="5" s="1"/>
  <c r="AF168" i="5" a="1"/>
  <c r="AF168" i="5" s="1"/>
  <c r="U168" i="5" a="1"/>
  <c r="U168" i="5" s="1"/>
  <c r="W168" i="5" a="1"/>
  <c r="W168" i="5" s="1"/>
  <c r="O168" i="5" a="1"/>
  <c r="O168" i="5" s="1"/>
  <c r="R168" i="5" a="1"/>
  <c r="R168" i="5" s="1"/>
  <c r="Q168" i="5" a="1"/>
  <c r="Q168" i="5" s="1"/>
  <c r="V168" i="5" a="1"/>
  <c r="V168" i="5" s="1"/>
  <c r="AG168" i="5" a="1"/>
  <c r="AG168" i="5" s="1"/>
  <c r="AA168" i="5" a="1"/>
  <c r="AA168" i="5" s="1"/>
  <c r="X168" i="5" a="1"/>
  <c r="X168" i="5" s="1"/>
  <c r="AH168" i="5" a="1"/>
  <c r="AH168" i="5" s="1"/>
  <c r="Y168" i="5" a="1"/>
  <c r="Y168" i="5" s="1"/>
  <c r="S168" i="5" a="1"/>
  <c r="S168" i="5" s="1"/>
  <c r="AD168" i="5" a="1"/>
  <c r="AD168" i="5" s="1"/>
  <c r="N168" i="5" a="1"/>
  <c r="N168" i="5" s="1"/>
  <c r="AB168" i="5" a="1"/>
  <c r="AB168" i="5" s="1"/>
  <c r="G168" i="5" a="1"/>
  <c r="G168" i="5" s="1"/>
  <c r="H168" i="5" a="1"/>
  <c r="H168" i="5" s="1"/>
  <c r="L168" i="5" a="1"/>
  <c r="L168" i="5" s="1"/>
  <c r="K168" i="5" a="1"/>
  <c r="K168" i="5" s="1"/>
  <c r="I168" i="5" a="1"/>
  <c r="I168" i="5" s="1"/>
  <c r="J168" i="5" a="1"/>
  <c r="J168" i="5" s="1"/>
  <c r="M168" i="5" a="1"/>
  <c r="M168" i="5" s="1"/>
  <c r="F169" i="5"/>
  <c r="T169" i="5" l="1" a="1"/>
  <c r="T169" i="5" s="1"/>
  <c r="AC169" i="5" a="1"/>
  <c r="AC169" i="5" s="1"/>
  <c r="P169" i="5" a="1"/>
  <c r="P169" i="5" s="1"/>
  <c r="AE169" i="5" a="1"/>
  <c r="AE169" i="5" s="1"/>
  <c r="U169" i="5" a="1"/>
  <c r="U169" i="5" s="1"/>
  <c r="W169" i="5" a="1"/>
  <c r="W169" i="5" s="1"/>
  <c r="Z169" i="5" a="1"/>
  <c r="Z169" i="5" s="1"/>
  <c r="AA169" i="5" a="1"/>
  <c r="AA169" i="5" s="1"/>
  <c r="O169" i="5" a="1"/>
  <c r="O169" i="5" s="1"/>
  <c r="AG169" i="5" a="1"/>
  <c r="AG169" i="5" s="1"/>
  <c r="AF169" i="5" a="1"/>
  <c r="AF169" i="5" s="1"/>
  <c r="Q169" i="5" a="1"/>
  <c r="Q169" i="5" s="1"/>
  <c r="X169" i="5" a="1"/>
  <c r="X169" i="5" s="1"/>
  <c r="V169" i="5" a="1"/>
  <c r="V169" i="5" s="1"/>
  <c r="AB169" i="5" a="1"/>
  <c r="AB169" i="5" s="1"/>
  <c r="AH169" i="5" a="1"/>
  <c r="AH169" i="5" s="1"/>
  <c r="N169" i="5" a="1"/>
  <c r="N169" i="5" s="1"/>
  <c r="Y169" i="5" a="1"/>
  <c r="Y169" i="5" s="1"/>
  <c r="S169" i="5" a="1"/>
  <c r="S169" i="5" s="1"/>
  <c r="R169" i="5" a="1"/>
  <c r="R169" i="5" s="1"/>
  <c r="AD169" i="5" a="1"/>
  <c r="AD169" i="5" s="1"/>
  <c r="L169" i="5" a="1"/>
  <c r="L169" i="5" s="1"/>
  <c r="H169" i="5" a="1"/>
  <c r="H169" i="5" s="1"/>
  <c r="K169" i="5" a="1"/>
  <c r="K169" i="5" s="1"/>
  <c r="I169" i="5" a="1"/>
  <c r="I169" i="5" s="1"/>
  <c r="J169" i="5" a="1"/>
  <c r="J169" i="5" s="1"/>
  <c r="G169" i="5" a="1"/>
  <c r="G169" i="5" s="1"/>
  <c r="M169" i="5" a="1"/>
  <c r="M169" i="5" s="1"/>
  <c r="F170" i="5"/>
  <c r="J48" i="9" l="1"/>
  <c r="O48" i="9"/>
  <c r="P170" i="5" a="1"/>
  <c r="P170" i="5" s="1"/>
  <c r="AE170" i="5" a="1"/>
  <c r="AE170" i="5" s="1"/>
  <c r="T170" i="5" a="1"/>
  <c r="T170" i="5" s="1"/>
  <c r="AC170" i="5" a="1"/>
  <c r="AC170" i="5" s="1"/>
  <c r="AF170" i="5" a="1"/>
  <c r="AF170" i="5" s="1"/>
  <c r="W170" i="5" a="1"/>
  <c r="W170" i="5" s="1"/>
  <c r="R48" i="9" s="1"/>
  <c r="Z170" i="5" a="1"/>
  <c r="Z170" i="5" s="1"/>
  <c r="U48" i="9" s="1"/>
  <c r="U170" i="5" a="1"/>
  <c r="U170" i="5" s="1"/>
  <c r="P48" i="9" s="1"/>
  <c r="V170" i="5" a="1"/>
  <c r="V170" i="5" s="1"/>
  <c r="Q48" i="9" s="1"/>
  <c r="AG170" i="5" a="1"/>
  <c r="AG170" i="5" s="1"/>
  <c r="Q170" i="5" a="1"/>
  <c r="Q170" i="5" s="1"/>
  <c r="AA170" i="5" a="1"/>
  <c r="AA170" i="5" s="1"/>
  <c r="V48" i="9" s="1"/>
  <c r="O170" i="5" a="1"/>
  <c r="O170" i="5" s="1"/>
  <c r="X170" i="5" a="1"/>
  <c r="X170" i="5" s="1"/>
  <c r="S48" i="9" s="1"/>
  <c r="AD170" i="5" a="1"/>
  <c r="AD170" i="5" s="1"/>
  <c r="S170" i="5" a="1"/>
  <c r="S170" i="5" s="1"/>
  <c r="AH170" i="5" a="1"/>
  <c r="AH170" i="5" s="1"/>
  <c r="R170" i="5" a="1"/>
  <c r="R170" i="5" s="1"/>
  <c r="N170" i="5" a="1"/>
  <c r="N170" i="5" s="1"/>
  <c r="Y170" i="5" a="1"/>
  <c r="Y170" i="5" s="1"/>
  <c r="T48" i="9" s="1"/>
  <c r="AB170" i="5" a="1"/>
  <c r="AB170" i="5" s="1"/>
  <c r="W48" i="9" s="1"/>
  <c r="K170" i="5" a="1"/>
  <c r="K170" i="5" s="1"/>
  <c r="L170" i="5" a="1"/>
  <c r="L170" i="5" s="1"/>
  <c r="J170" i="5" a="1"/>
  <c r="J170" i="5" s="1"/>
  <c r="H170" i="5" a="1"/>
  <c r="H170" i="5" s="1"/>
  <c r="G170" i="5" a="1"/>
  <c r="G170" i="5" s="1"/>
  <c r="I170" i="5" a="1"/>
  <c r="I170" i="5" s="1"/>
  <c r="M170" i="5" a="1"/>
  <c r="M170" i="5" s="1"/>
  <c r="F171" i="5"/>
  <c r="P171" i="5" l="1" a="1"/>
  <c r="P171" i="5" s="1"/>
  <c r="AE171" i="5" a="1"/>
  <c r="AE171" i="5" s="1"/>
  <c r="AC171" i="5" a="1"/>
  <c r="AC171" i="5" s="1"/>
  <c r="T171" i="5" a="1"/>
  <c r="T171" i="5" s="1"/>
  <c r="U171" i="5" a="1"/>
  <c r="U171" i="5" s="1"/>
  <c r="AF171" i="5" a="1"/>
  <c r="AF171" i="5" s="1"/>
  <c r="Z171" i="5" a="1"/>
  <c r="Z171" i="5" s="1"/>
  <c r="W171" i="5" a="1"/>
  <c r="W171" i="5" s="1"/>
  <c r="AD171" i="5" a="1"/>
  <c r="AD171" i="5" s="1"/>
  <c r="Q171" i="5" a="1"/>
  <c r="Q171" i="5" s="1"/>
  <c r="R171" i="5" a="1"/>
  <c r="R171" i="5" s="1"/>
  <c r="O171" i="5" a="1"/>
  <c r="O171" i="5" s="1"/>
  <c r="X171" i="5" a="1"/>
  <c r="X171" i="5" s="1"/>
  <c r="AA171" i="5" a="1"/>
  <c r="AA171" i="5" s="1"/>
  <c r="V171" i="5" a="1"/>
  <c r="V171" i="5" s="1"/>
  <c r="Y171" i="5" a="1"/>
  <c r="Y171" i="5" s="1"/>
  <c r="AG171" i="5" a="1"/>
  <c r="AG171" i="5" s="1"/>
  <c r="AH171" i="5" a="1"/>
  <c r="AH171" i="5" s="1"/>
  <c r="S171" i="5" a="1"/>
  <c r="S171" i="5" s="1"/>
  <c r="AB171" i="5" a="1"/>
  <c r="AB171" i="5" s="1"/>
  <c r="N171" i="5" a="1"/>
  <c r="N171" i="5" s="1"/>
  <c r="K171" i="5" a="1"/>
  <c r="K171" i="5" s="1"/>
  <c r="L171" i="5" a="1"/>
  <c r="L171" i="5" s="1"/>
  <c r="G171" i="5" a="1"/>
  <c r="G171" i="5" s="1"/>
  <c r="I171" i="5" a="1"/>
  <c r="I171" i="5" s="1"/>
  <c r="H171" i="5" a="1"/>
  <c r="H171" i="5" s="1"/>
  <c r="J171" i="5" a="1"/>
  <c r="J171" i="5" s="1"/>
  <c r="M171" i="5" a="1"/>
  <c r="M171" i="5" s="1"/>
  <c r="F172" i="5"/>
  <c r="P172" i="5" l="1" a="1"/>
  <c r="P172" i="5" s="1"/>
  <c r="T172" i="5" a="1"/>
  <c r="T172" i="5" s="1"/>
  <c r="AE172" i="5" a="1"/>
  <c r="AE172" i="5" s="1"/>
  <c r="AF172" i="5" a="1"/>
  <c r="AF172" i="5" s="1"/>
  <c r="AC172" i="5" a="1"/>
  <c r="AC172" i="5" s="1"/>
  <c r="U172" i="5" a="1"/>
  <c r="U172" i="5" s="1"/>
  <c r="Z172" i="5" a="1"/>
  <c r="Z172" i="5" s="1"/>
  <c r="W172" i="5" a="1"/>
  <c r="W172" i="5" s="1"/>
  <c r="R172" i="5" a="1"/>
  <c r="R172" i="5" s="1"/>
  <c r="O172" i="5" a="1"/>
  <c r="O172" i="5" s="1"/>
  <c r="AA172" i="5" a="1"/>
  <c r="AA172" i="5" s="1"/>
  <c r="AG172" i="5" a="1"/>
  <c r="AG172" i="5" s="1"/>
  <c r="Q172" i="5" a="1"/>
  <c r="Q172" i="5" s="1"/>
  <c r="X172" i="5" a="1"/>
  <c r="X172" i="5" s="1"/>
  <c r="AD172" i="5" a="1"/>
  <c r="AD172" i="5" s="1"/>
  <c r="AB172" i="5" a="1"/>
  <c r="AB172" i="5" s="1"/>
  <c r="N172" i="5" a="1"/>
  <c r="N172" i="5" s="1"/>
  <c r="S172" i="5" a="1"/>
  <c r="S172" i="5" s="1"/>
  <c r="V172" i="5" a="1"/>
  <c r="V172" i="5" s="1"/>
  <c r="Y172" i="5" a="1"/>
  <c r="Y172" i="5" s="1"/>
  <c r="AH172" i="5" a="1"/>
  <c r="AH172" i="5" s="1"/>
  <c r="K172" i="5" a="1"/>
  <c r="K172" i="5" s="1"/>
  <c r="G172" i="5" a="1"/>
  <c r="G172" i="5" s="1"/>
  <c r="H172" i="5" a="1"/>
  <c r="H172" i="5" s="1"/>
  <c r="J172" i="5" a="1"/>
  <c r="J172" i="5" s="1"/>
  <c r="L172" i="5" a="1"/>
  <c r="L172" i="5" s="1"/>
  <c r="I172" i="5" a="1"/>
  <c r="I172" i="5" s="1"/>
  <c r="M172" i="5" a="1"/>
  <c r="M172" i="5" s="1"/>
  <c r="F173" i="5"/>
  <c r="AE173" i="5" l="1" a="1"/>
  <c r="AE173" i="5" s="1"/>
  <c r="AC173" i="5" a="1"/>
  <c r="AC173" i="5" s="1"/>
  <c r="T173" i="5" a="1"/>
  <c r="T173" i="5" s="1"/>
  <c r="P173" i="5" a="1"/>
  <c r="P173" i="5" s="1"/>
  <c r="Z173" i="5" a="1"/>
  <c r="Z173" i="5" s="1"/>
  <c r="W173" i="5" a="1"/>
  <c r="W173" i="5" s="1"/>
  <c r="AF173" i="5" a="1"/>
  <c r="AF173" i="5" s="1"/>
  <c r="U173" i="5" a="1"/>
  <c r="U173" i="5" s="1"/>
  <c r="O173" i="5" a="1"/>
  <c r="O173" i="5" s="1"/>
  <c r="V173" i="5" a="1"/>
  <c r="V173" i="5" s="1"/>
  <c r="AG173" i="5" a="1"/>
  <c r="AG173" i="5" s="1"/>
  <c r="Q173" i="5" a="1"/>
  <c r="Q173" i="5" s="1"/>
  <c r="X173" i="5" a="1"/>
  <c r="X173" i="5" s="1"/>
  <c r="AA173" i="5" a="1"/>
  <c r="AA173" i="5" s="1"/>
  <c r="AH173" i="5" a="1"/>
  <c r="AH173" i="5" s="1"/>
  <c r="N173" i="5" a="1"/>
  <c r="N173" i="5" s="1"/>
  <c r="Y173" i="5" a="1"/>
  <c r="Y173" i="5" s="1"/>
  <c r="R173" i="5" a="1"/>
  <c r="R173" i="5" s="1"/>
  <c r="S173" i="5" a="1"/>
  <c r="S173" i="5" s="1"/>
  <c r="AD173" i="5" a="1"/>
  <c r="AD173" i="5" s="1"/>
  <c r="AB173" i="5" a="1"/>
  <c r="AB173" i="5" s="1"/>
  <c r="K173" i="5" a="1"/>
  <c r="K173" i="5" s="1"/>
  <c r="L173" i="5" a="1"/>
  <c r="L173" i="5" s="1"/>
  <c r="G173" i="5" a="1"/>
  <c r="G173" i="5" s="1"/>
  <c r="H173" i="5" a="1"/>
  <c r="H173" i="5" s="1"/>
  <c r="J173" i="5" a="1"/>
  <c r="J173" i="5" s="1"/>
  <c r="I173" i="5" a="1"/>
  <c r="I173" i="5" s="1"/>
  <c r="M173" i="5" a="1"/>
  <c r="M173" i="5" s="1"/>
  <c r="F174" i="5"/>
  <c r="Y49" i="9" l="1"/>
  <c r="C49" i="9"/>
  <c r="T174" i="5" a="1"/>
  <c r="T174" i="5" s="1"/>
  <c r="P174" i="5" a="1"/>
  <c r="P174" i="5" s="1"/>
  <c r="K49" i="9" s="1"/>
  <c r="AE174" i="5" a="1"/>
  <c r="AE174" i="5" s="1"/>
  <c r="Z49" i="9" s="1"/>
  <c r="AC174" i="5" a="1"/>
  <c r="AC174" i="5" s="1"/>
  <c r="Z174" i="5" a="1"/>
  <c r="Z174" i="5" s="1"/>
  <c r="U49" i="9" s="1"/>
  <c r="W174" i="5" a="1"/>
  <c r="W174" i="5" s="1"/>
  <c r="R49" i="9" s="1"/>
  <c r="U174" i="5" a="1"/>
  <c r="U174" i="5" s="1"/>
  <c r="P49" i="9" s="1"/>
  <c r="AF174" i="5" a="1"/>
  <c r="AF174" i="5" s="1"/>
  <c r="X174" i="5" a="1"/>
  <c r="X174" i="5" s="1"/>
  <c r="S49" i="9" s="1"/>
  <c r="V174" i="5" a="1"/>
  <c r="V174" i="5" s="1"/>
  <c r="Q49" i="9" s="1"/>
  <c r="Q174" i="5" a="1"/>
  <c r="Q174" i="5" s="1"/>
  <c r="O174" i="5" a="1"/>
  <c r="O174" i="5" s="1"/>
  <c r="AA174" i="5" a="1"/>
  <c r="AA174" i="5" s="1"/>
  <c r="V49" i="9" s="1"/>
  <c r="AG174" i="5" a="1"/>
  <c r="AG174" i="5" s="1"/>
  <c r="R174" i="5" a="1"/>
  <c r="R174" i="5" s="1"/>
  <c r="AD174" i="5" a="1"/>
  <c r="AD174" i="5" s="1"/>
  <c r="AH174" i="5" a="1"/>
  <c r="AH174" i="5" s="1"/>
  <c r="Y174" i="5" a="1"/>
  <c r="Y174" i="5" s="1"/>
  <c r="T49" i="9" s="1"/>
  <c r="N174" i="5" a="1"/>
  <c r="N174" i="5" s="1"/>
  <c r="AB174" i="5" a="1"/>
  <c r="AB174" i="5" s="1"/>
  <c r="S174" i="5" a="1"/>
  <c r="S174" i="5" s="1"/>
  <c r="N49" i="9" s="1"/>
  <c r="G174" i="5" a="1"/>
  <c r="G174" i="5" s="1"/>
  <c r="H174" i="5" a="1"/>
  <c r="H174" i="5" s="1"/>
  <c r="L174" i="5" a="1"/>
  <c r="L174" i="5" s="1"/>
  <c r="K174" i="5" a="1"/>
  <c r="K174" i="5" s="1"/>
  <c r="F49" i="9" s="1"/>
  <c r="I174" i="5" a="1"/>
  <c r="I174" i="5" s="1"/>
  <c r="J174" i="5" a="1"/>
  <c r="J174" i="5" s="1"/>
  <c r="M174" i="5" a="1"/>
  <c r="M174" i="5" s="1"/>
  <c r="F175" i="5"/>
  <c r="P175" i="5" l="1" a="1"/>
  <c r="P175" i="5" s="1"/>
  <c r="AC175" i="5" a="1"/>
  <c r="AC175" i="5" s="1"/>
  <c r="T175" i="5" a="1"/>
  <c r="T175" i="5" s="1"/>
  <c r="AE175" i="5" a="1"/>
  <c r="AE175" i="5" s="1"/>
  <c r="AF175" i="5" a="1"/>
  <c r="AF175" i="5" s="1"/>
  <c r="U175" i="5" a="1"/>
  <c r="U175" i="5" s="1"/>
  <c r="Z175" i="5" a="1"/>
  <c r="Z175" i="5" s="1"/>
  <c r="W175" i="5" a="1"/>
  <c r="W175" i="5" s="1"/>
  <c r="R175" i="5" a="1"/>
  <c r="R175" i="5" s="1"/>
  <c r="AD175" i="5" a="1"/>
  <c r="AD175" i="5" s="1"/>
  <c r="V175" i="5" a="1"/>
  <c r="V175" i="5" s="1"/>
  <c r="AA175" i="5" a="1"/>
  <c r="AA175" i="5" s="1"/>
  <c r="Q175" i="5" a="1"/>
  <c r="Q175" i="5" s="1"/>
  <c r="O175" i="5" a="1"/>
  <c r="O175" i="5" s="1"/>
  <c r="X175" i="5" a="1"/>
  <c r="X175" i="5" s="1"/>
  <c r="S175" i="5" a="1"/>
  <c r="S175" i="5" s="1"/>
  <c r="AB175" i="5" a="1"/>
  <c r="AB175" i="5" s="1"/>
  <c r="AH175" i="5" a="1"/>
  <c r="AH175" i="5" s="1"/>
  <c r="N175" i="5" a="1"/>
  <c r="N175" i="5" s="1"/>
  <c r="Y175" i="5" a="1"/>
  <c r="Y175" i="5" s="1"/>
  <c r="AG175" i="5" a="1"/>
  <c r="AG175" i="5" s="1"/>
  <c r="G175" i="5" a="1"/>
  <c r="G175" i="5" s="1"/>
  <c r="H175" i="5" a="1"/>
  <c r="H175" i="5" s="1"/>
  <c r="L175" i="5" a="1"/>
  <c r="L175" i="5" s="1"/>
  <c r="K175" i="5" a="1"/>
  <c r="K175" i="5" s="1"/>
  <c r="I175" i="5" a="1"/>
  <c r="I175" i="5" s="1"/>
  <c r="J175" i="5" a="1"/>
  <c r="J175" i="5" s="1"/>
  <c r="M175" i="5" a="1"/>
  <c r="M175" i="5" s="1"/>
  <c r="F176" i="5"/>
  <c r="T176" i="5" l="1" a="1"/>
  <c r="T176" i="5" s="1"/>
  <c r="AE176" i="5" a="1"/>
  <c r="AE176" i="5" s="1"/>
  <c r="P176" i="5" a="1"/>
  <c r="P176" i="5" s="1"/>
  <c r="AC176" i="5" a="1"/>
  <c r="AC176" i="5" s="1"/>
  <c r="W176" i="5" a="1"/>
  <c r="W176" i="5" s="1"/>
  <c r="U176" i="5" a="1"/>
  <c r="U176" i="5" s="1"/>
  <c r="Z176" i="5" a="1"/>
  <c r="Z176" i="5" s="1"/>
  <c r="AF176" i="5" a="1"/>
  <c r="AF176" i="5" s="1"/>
  <c r="AG176" i="5" a="1"/>
  <c r="AG176" i="5" s="1"/>
  <c r="AA176" i="5" a="1"/>
  <c r="AA176" i="5" s="1"/>
  <c r="Q176" i="5" a="1"/>
  <c r="Q176" i="5" s="1"/>
  <c r="O176" i="5" a="1"/>
  <c r="O176" i="5" s="1"/>
  <c r="V176" i="5" a="1"/>
  <c r="V176" i="5" s="1"/>
  <c r="X176" i="5" a="1"/>
  <c r="X176" i="5" s="1"/>
  <c r="AD176" i="5" a="1"/>
  <c r="AD176" i="5" s="1"/>
  <c r="S176" i="5" a="1"/>
  <c r="S176" i="5" s="1"/>
  <c r="N176" i="5" a="1"/>
  <c r="N176" i="5" s="1"/>
  <c r="AB176" i="5" a="1"/>
  <c r="AB176" i="5" s="1"/>
  <c r="R176" i="5" a="1"/>
  <c r="R176" i="5" s="1"/>
  <c r="Y176" i="5" a="1"/>
  <c r="Y176" i="5" s="1"/>
  <c r="AH176" i="5" a="1"/>
  <c r="AH176" i="5" s="1"/>
  <c r="G176" i="5" a="1"/>
  <c r="G176" i="5" s="1"/>
  <c r="K176" i="5" a="1"/>
  <c r="K176" i="5" s="1"/>
  <c r="L176" i="5" a="1"/>
  <c r="L176" i="5" s="1"/>
  <c r="H176" i="5" a="1"/>
  <c r="H176" i="5" s="1"/>
  <c r="I176" i="5" a="1"/>
  <c r="I176" i="5" s="1"/>
  <c r="J176" i="5" a="1"/>
  <c r="J176" i="5" s="1"/>
  <c r="M176" i="5" a="1"/>
  <c r="M176" i="5" s="1"/>
  <c r="F177" i="5"/>
  <c r="P177" i="5" l="1" a="1"/>
  <c r="P177" i="5" s="1"/>
  <c r="T177" i="5" a="1"/>
  <c r="T177" i="5" s="1"/>
  <c r="AE177" i="5" a="1"/>
  <c r="AE177" i="5" s="1"/>
  <c r="AC177" i="5" a="1"/>
  <c r="AC177" i="5" s="1"/>
  <c r="W177" i="5" a="1"/>
  <c r="W177" i="5" s="1"/>
  <c r="Z177" i="5" a="1"/>
  <c r="Z177" i="5" s="1"/>
  <c r="U177" i="5" a="1"/>
  <c r="U177" i="5" s="1"/>
  <c r="AF177" i="5" a="1"/>
  <c r="AF177" i="5" s="1"/>
  <c r="Q177" i="5" a="1"/>
  <c r="Q177" i="5" s="1"/>
  <c r="AD177" i="5" a="1"/>
  <c r="AD177" i="5" s="1"/>
  <c r="X177" i="5" a="1"/>
  <c r="X177" i="5" s="1"/>
  <c r="O177" i="5" a="1"/>
  <c r="O177" i="5" s="1"/>
  <c r="AA177" i="5" a="1"/>
  <c r="AA177" i="5" s="1"/>
  <c r="AG177" i="5" a="1"/>
  <c r="AG177" i="5" s="1"/>
  <c r="AH177" i="5" a="1"/>
  <c r="AH177" i="5" s="1"/>
  <c r="Y177" i="5" a="1"/>
  <c r="Y177" i="5" s="1"/>
  <c r="N177" i="5" a="1"/>
  <c r="N177" i="5" s="1"/>
  <c r="S177" i="5" a="1"/>
  <c r="S177" i="5" s="1"/>
  <c r="R177" i="5" a="1"/>
  <c r="R177" i="5" s="1"/>
  <c r="V177" i="5" a="1"/>
  <c r="V177" i="5" s="1"/>
  <c r="AB177" i="5" a="1"/>
  <c r="AB177" i="5" s="1"/>
  <c r="K177" i="5" a="1"/>
  <c r="K177" i="5" s="1"/>
  <c r="H177" i="5" a="1"/>
  <c r="H177" i="5" s="1"/>
  <c r="L177" i="5" a="1"/>
  <c r="L177" i="5" s="1"/>
  <c r="J177" i="5" a="1"/>
  <c r="J177" i="5" s="1"/>
  <c r="I177" i="5" a="1"/>
  <c r="I177" i="5" s="1"/>
  <c r="G177" i="5" a="1"/>
  <c r="G177" i="5" s="1"/>
  <c r="M177" i="5" a="1"/>
  <c r="M177" i="5" s="1"/>
  <c r="F178" i="5"/>
  <c r="J50" i="9" l="1"/>
  <c r="P178" i="5" a="1"/>
  <c r="P178" i="5" s="1"/>
  <c r="AE178" i="5" a="1"/>
  <c r="AE178" i="5" s="1"/>
  <c r="Z50" i="9" s="1"/>
  <c r="AC178" i="5" a="1"/>
  <c r="AC178" i="5" s="1"/>
  <c r="T178" i="5" a="1"/>
  <c r="T178" i="5" s="1"/>
  <c r="U178" i="5" a="1"/>
  <c r="U178" i="5" s="1"/>
  <c r="P50" i="9" s="1"/>
  <c r="Z178" i="5" a="1"/>
  <c r="Z178" i="5" s="1"/>
  <c r="U50" i="9" s="1"/>
  <c r="W178" i="5" a="1"/>
  <c r="W178" i="5" s="1"/>
  <c r="R50" i="9" s="1"/>
  <c r="AF178" i="5" a="1"/>
  <c r="AF178" i="5" s="1"/>
  <c r="AA50" i="9" s="1"/>
  <c r="AG178" i="5" a="1"/>
  <c r="AG178" i="5" s="1"/>
  <c r="X178" i="5" a="1"/>
  <c r="X178" i="5" s="1"/>
  <c r="S50" i="9" s="1"/>
  <c r="AA178" i="5" a="1"/>
  <c r="AA178" i="5" s="1"/>
  <c r="V50" i="9" s="1"/>
  <c r="V178" i="5" a="1"/>
  <c r="V178" i="5" s="1"/>
  <c r="Q50" i="9" s="1"/>
  <c r="Q178" i="5" a="1"/>
  <c r="Q178" i="5" s="1"/>
  <c r="O178" i="5" a="1"/>
  <c r="O178" i="5" s="1"/>
  <c r="AD178" i="5" a="1"/>
  <c r="AD178" i="5" s="1"/>
  <c r="Y50" i="9" s="1"/>
  <c r="AH178" i="5" a="1"/>
  <c r="AH178" i="5" s="1"/>
  <c r="AB178" i="5" a="1"/>
  <c r="AB178" i="5" s="1"/>
  <c r="R178" i="5" a="1"/>
  <c r="R178" i="5" s="1"/>
  <c r="S178" i="5" a="1"/>
  <c r="S178" i="5" s="1"/>
  <c r="N178" i="5" a="1"/>
  <c r="N178" i="5" s="1"/>
  <c r="Y178" i="5" a="1"/>
  <c r="Y178" i="5" s="1"/>
  <c r="T50" i="9" s="1"/>
  <c r="K178" i="5" a="1"/>
  <c r="K178" i="5" s="1"/>
  <c r="L178" i="5" a="1"/>
  <c r="L178" i="5" s="1"/>
  <c r="H178" i="5" a="1"/>
  <c r="H178" i="5" s="1"/>
  <c r="J178" i="5" a="1"/>
  <c r="J178" i="5" s="1"/>
  <c r="I178" i="5" a="1"/>
  <c r="I178" i="5" s="1"/>
  <c r="G178" i="5" a="1"/>
  <c r="G178" i="5" s="1"/>
  <c r="M178" i="5" a="1"/>
  <c r="M178" i="5" s="1"/>
  <c r="H50" i="9" s="1"/>
  <c r="F179" i="5"/>
  <c r="T179" i="5" l="1" a="1"/>
  <c r="T179" i="5" s="1"/>
  <c r="P179" i="5" a="1"/>
  <c r="P179" i="5" s="1"/>
  <c r="AE179" i="5" a="1"/>
  <c r="AE179" i="5" s="1"/>
  <c r="AC179" i="5" a="1"/>
  <c r="AC179" i="5" s="1"/>
  <c r="W179" i="5" a="1"/>
  <c r="W179" i="5" s="1"/>
  <c r="U179" i="5" a="1"/>
  <c r="U179" i="5" s="1"/>
  <c r="Z179" i="5" a="1"/>
  <c r="Z179" i="5" s="1"/>
  <c r="AF179" i="5" a="1"/>
  <c r="AF179" i="5" s="1"/>
  <c r="X179" i="5" a="1"/>
  <c r="X179" i="5" s="1"/>
  <c r="V179" i="5" a="1"/>
  <c r="V179" i="5" s="1"/>
  <c r="O179" i="5" a="1"/>
  <c r="O179" i="5" s="1"/>
  <c r="AG179" i="5" a="1"/>
  <c r="AG179" i="5" s="1"/>
  <c r="AA179" i="5" a="1"/>
  <c r="AA179" i="5" s="1"/>
  <c r="Q179" i="5" a="1"/>
  <c r="Q179" i="5" s="1"/>
  <c r="AB179" i="5" a="1"/>
  <c r="AB179" i="5" s="1"/>
  <c r="R179" i="5" a="1"/>
  <c r="R179" i="5" s="1"/>
  <c r="S179" i="5" a="1"/>
  <c r="S179" i="5" s="1"/>
  <c r="Y179" i="5" a="1"/>
  <c r="Y179" i="5" s="1"/>
  <c r="N179" i="5" a="1"/>
  <c r="N179" i="5" s="1"/>
  <c r="AD179" i="5" a="1"/>
  <c r="AD179" i="5" s="1"/>
  <c r="AH179" i="5" a="1"/>
  <c r="AH179" i="5" s="1"/>
  <c r="L179" i="5" a="1"/>
  <c r="L179" i="5" s="1"/>
  <c r="K179" i="5" a="1"/>
  <c r="K179" i="5" s="1"/>
  <c r="H179" i="5" a="1"/>
  <c r="H179" i="5" s="1"/>
  <c r="G179" i="5" a="1"/>
  <c r="G179" i="5" s="1"/>
  <c r="I179" i="5" a="1"/>
  <c r="I179" i="5" s="1"/>
  <c r="J179" i="5" a="1"/>
  <c r="J179" i="5" s="1"/>
  <c r="M179" i="5" a="1"/>
  <c r="M179" i="5" s="1"/>
  <c r="F180" i="5"/>
  <c r="AC180" i="5" l="1" a="1"/>
  <c r="AC180" i="5" s="1"/>
  <c r="T180" i="5" a="1"/>
  <c r="T180" i="5" s="1"/>
  <c r="AE180" i="5" a="1"/>
  <c r="AE180" i="5" s="1"/>
  <c r="P180" i="5" a="1"/>
  <c r="P180" i="5" s="1"/>
  <c r="Z180" i="5" a="1"/>
  <c r="Z180" i="5" s="1"/>
  <c r="W180" i="5" a="1"/>
  <c r="W180" i="5" s="1"/>
  <c r="AF180" i="5" a="1"/>
  <c r="AF180" i="5" s="1"/>
  <c r="U180" i="5" a="1"/>
  <c r="U180" i="5" s="1"/>
  <c r="X180" i="5" a="1"/>
  <c r="X180" i="5" s="1"/>
  <c r="O180" i="5" a="1"/>
  <c r="O180" i="5" s="1"/>
  <c r="AA180" i="5" a="1"/>
  <c r="AA180" i="5" s="1"/>
  <c r="V180" i="5" a="1"/>
  <c r="V180" i="5" s="1"/>
  <c r="Q180" i="5" a="1"/>
  <c r="Q180" i="5" s="1"/>
  <c r="R180" i="5" a="1"/>
  <c r="R180" i="5" s="1"/>
  <c r="S180" i="5" a="1"/>
  <c r="S180" i="5" s="1"/>
  <c r="AH180" i="5" a="1"/>
  <c r="AH180" i="5" s="1"/>
  <c r="Y180" i="5" a="1"/>
  <c r="Y180" i="5" s="1"/>
  <c r="N180" i="5" a="1"/>
  <c r="N180" i="5" s="1"/>
  <c r="AB180" i="5" a="1"/>
  <c r="AB180" i="5" s="1"/>
  <c r="AD180" i="5" a="1"/>
  <c r="AD180" i="5" s="1"/>
  <c r="AG180" i="5" a="1"/>
  <c r="AG180" i="5" s="1"/>
  <c r="K180" i="5" a="1"/>
  <c r="K180" i="5" s="1"/>
  <c r="H180" i="5" a="1"/>
  <c r="H180" i="5" s="1"/>
  <c r="G180" i="5" a="1"/>
  <c r="G180" i="5" s="1"/>
  <c r="L180" i="5" a="1"/>
  <c r="L180" i="5" s="1"/>
  <c r="I180" i="5" a="1"/>
  <c r="I180" i="5" s="1"/>
  <c r="J180" i="5" a="1"/>
  <c r="J180" i="5" s="1"/>
  <c r="M180" i="5" a="1"/>
  <c r="M180" i="5" s="1"/>
  <c r="F181" i="5"/>
  <c r="T181" i="5" l="1" a="1"/>
  <c r="T181" i="5" s="1"/>
  <c r="P181" i="5" a="1"/>
  <c r="P181" i="5" s="1"/>
  <c r="AE181" i="5" a="1"/>
  <c r="AE181" i="5" s="1"/>
  <c r="AC181" i="5" a="1"/>
  <c r="AC181" i="5" s="1"/>
  <c r="Z181" i="5" a="1"/>
  <c r="Z181" i="5" s="1"/>
  <c r="U181" i="5" a="1"/>
  <c r="U181" i="5" s="1"/>
  <c r="W181" i="5" a="1"/>
  <c r="W181" i="5" s="1"/>
  <c r="AF181" i="5" a="1"/>
  <c r="AF181" i="5" s="1"/>
  <c r="X181" i="5" a="1"/>
  <c r="X181" i="5" s="1"/>
  <c r="AG181" i="5" a="1"/>
  <c r="AG181" i="5" s="1"/>
  <c r="R181" i="5" a="1"/>
  <c r="R181" i="5" s="1"/>
  <c r="V181" i="5" a="1"/>
  <c r="V181" i="5" s="1"/>
  <c r="O181" i="5" a="1"/>
  <c r="O181" i="5" s="1"/>
  <c r="AA181" i="5" a="1"/>
  <c r="AA181" i="5" s="1"/>
  <c r="Q181" i="5" a="1"/>
  <c r="Q181" i="5" s="1"/>
  <c r="N181" i="5" a="1"/>
  <c r="N181" i="5" s="1"/>
  <c r="AD181" i="5" a="1"/>
  <c r="AD181" i="5" s="1"/>
  <c r="AB181" i="5" a="1"/>
  <c r="AB181" i="5" s="1"/>
  <c r="Y181" i="5" a="1"/>
  <c r="Y181" i="5" s="1"/>
  <c r="S181" i="5" a="1"/>
  <c r="S181" i="5" s="1"/>
  <c r="AH181" i="5" a="1"/>
  <c r="AH181" i="5" s="1"/>
  <c r="K181" i="5" a="1"/>
  <c r="K181" i="5" s="1"/>
  <c r="L181" i="5" a="1"/>
  <c r="L181" i="5" s="1"/>
  <c r="H181" i="5" a="1"/>
  <c r="H181" i="5" s="1"/>
  <c r="G181" i="5" a="1"/>
  <c r="G181" i="5" s="1"/>
  <c r="J181" i="5" a="1"/>
  <c r="J181" i="5" s="1"/>
  <c r="I181" i="5" a="1"/>
  <c r="I181" i="5" s="1"/>
  <c r="M181" i="5" a="1"/>
  <c r="M181" i="5" s="1"/>
  <c r="F182" i="5"/>
  <c r="H51" i="9" l="1"/>
  <c r="B51" i="9"/>
  <c r="AE182" i="5" a="1"/>
  <c r="AE182" i="5" s="1"/>
  <c r="AC182" i="5" a="1"/>
  <c r="AC182" i="5" s="1"/>
  <c r="P182" i="5" a="1"/>
  <c r="P182" i="5" s="1"/>
  <c r="T182" i="5" a="1"/>
  <c r="T182" i="5" s="1"/>
  <c r="W182" i="5" a="1"/>
  <c r="W182" i="5" s="1"/>
  <c r="R51" i="9" s="1"/>
  <c r="Z182" i="5" a="1"/>
  <c r="Z182" i="5" s="1"/>
  <c r="U51" i="9" s="1"/>
  <c r="U182" i="5" a="1"/>
  <c r="U182" i="5" s="1"/>
  <c r="P51" i="9" s="1"/>
  <c r="AF182" i="5" a="1"/>
  <c r="AF182" i="5" s="1"/>
  <c r="X182" i="5" a="1"/>
  <c r="X182" i="5" s="1"/>
  <c r="S51" i="9" s="1"/>
  <c r="AA182" i="5" a="1"/>
  <c r="AA182" i="5" s="1"/>
  <c r="V51" i="9" s="1"/>
  <c r="AG182" i="5" a="1"/>
  <c r="AG182" i="5" s="1"/>
  <c r="R182" i="5" a="1"/>
  <c r="R182" i="5" s="1"/>
  <c r="Q182" i="5" a="1"/>
  <c r="Q182" i="5" s="1"/>
  <c r="O182" i="5" a="1"/>
  <c r="O182" i="5" s="1"/>
  <c r="V182" i="5" a="1"/>
  <c r="V182" i="5" s="1"/>
  <c r="Q51" i="9" s="1"/>
  <c r="AD182" i="5" a="1"/>
  <c r="AD182" i="5" s="1"/>
  <c r="N182" i="5" a="1"/>
  <c r="N182" i="5" s="1"/>
  <c r="AH182" i="5" a="1"/>
  <c r="AH182" i="5" s="1"/>
  <c r="AC51" i="9" s="1"/>
  <c r="AB182" i="5" a="1"/>
  <c r="AB182" i="5" s="1"/>
  <c r="S182" i="5" a="1"/>
  <c r="S182" i="5" s="1"/>
  <c r="Y182" i="5" a="1"/>
  <c r="Y182" i="5" s="1"/>
  <c r="T51" i="9" s="1"/>
  <c r="G182" i="5" a="1"/>
  <c r="G182" i="5" s="1"/>
  <c r="H182" i="5" a="1"/>
  <c r="H182" i="5" s="1"/>
  <c r="C51" i="9" s="1"/>
  <c r="J182" i="5" a="1"/>
  <c r="J182" i="5" s="1"/>
  <c r="L182" i="5" a="1"/>
  <c r="L182" i="5" s="1"/>
  <c r="I182" i="5" a="1"/>
  <c r="I182" i="5" s="1"/>
  <c r="D51" i="9" s="1"/>
  <c r="K182" i="5" a="1"/>
  <c r="K182" i="5" s="1"/>
  <c r="M182" i="5" a="1"/>
  <c r="M182" i="5" s="1"/>
  <c r="F183" i="5"/>
  <c r="AC183" i="5" l="1" a="1"/>
  <c r="AC183" i="5" s="1"/>
  <c r="P183" i="5" a="1"/>
  <c r="P183" i="5" s="1"/>
  <c r="T183" i="5" a="1"/>
  <c r="T183" i="5" s="1"/>
  <c r="AE183" i="5" a="1"/>
  <c r="AE183" i="5" s="1"/>
  <c r="W183" i="5" a="1"/>
  <c r="W183" i="5" s="1"/>
  <c r="Z183" i="5" a="1"/>
  <c r="Z183" i="5" s="1"/>
  <c r="U183" i="5" a="1"/>
  <c r="U183" i="5" s="1"/>
  <c r="AF183" i="5" a="1"/>
  <c r="AF183" i="5" s="1"/>
  <c r="O183" i="5" a="1"/>
  <c r="O183" i="5" s="1"/>
  <c r="AG183" i="5" a="1"/>
  <c r="AG183" i="5" s="1"/>
  <c r="AA183" i="5" a="1"/>
  <c r="AA183" i="5" s="1"/>
  <c r="X183" i="5" a="1"/>
  <c r="X183" i="5" s="1"/>
  <c r="V183" i="5" a="1"/>
  <c r="V183" i="5" s="1"/>
  <c r="AD183" i="5" a="1"/>
  <c r="AD183" i="5" s="1"/>
  <c r="Q183" i="5" a="1"/>
  <c r="Q183" i="5" s="1"/>
  <c r="R183" i="5" a="1"/>
  <c r="R183" i="5" s="1"/>
  <c r="S183" i="5" a="1"/>
  <c r="S183" i="5" s="1"/>
  <c r="AB183" i="5" a="1"/>
  <c r="AB183" i="5" s="1"/>
  <c r="N183" i="5" a="1"/>
  <c r="N183" i="5" s="1"/>
  <c r="AH183" i="5" a="1"/>
  <c r="AH183" i="5" s="1"/>
  <c r="Y183" i="5" a="1"/>
  <c r="Y183" i="5" s="1"/>
  <c r="G183" i="5" a="1"/>
  <c r="G183" i="5" s="1"/>
  <c r="H183" i="5" a="1"/>
  <c r="H183" i="5" s="1"/>
  <c r="K183" i="5" a="1"/>
  <c r="K183" i="5" s="1"/>
  <c r="L183" i="5" a="1"/>
  <c r="L183" i="5" s="1"/>
  <c r="I183" i="5" a="1"/>
  <c r="I183" i="5" s="1"/>
  <c r="J183" i="5" a="1"/>
  <c r="J183" i="5" s="1"/>
  <c r="M183" i="5" a="1"/>
  <c r="M183" i="5" s="1"/>
  <c r="F184" i="5"/>
  <c r="AE184" i="5" l="1" a="1"/>
  <c r="AE184" i="5" s="1"/>
  <c r="T184" i="5" a="1"/>
  <c r="T184" i="5" s="1"/>
  <c r="P184" i="5" a="1"/>
  <c r="P184" i="5" s="1"/>
  <c r="AC184" i="5" a="1"/>
  <c r="AC184" i="5" s="1"/>
  <c r="AF184" i="5" a="1"/>
  <c r="AF184" i="5" s="1"/>
  <c r="Z184" i="5" a="1"/>
  <c r="Z184" i="5" s="1"/>
  <c r="W184" i="5" a="1"/>
  <c r="W184" i="5" s="1"/>
  <c r="U184" i="5" a="1"/>
  <c r="U184" i="5" s="1"/>
  <c r="V184" i="5" a="1"/>
  <c r="V184" i="5" s="1"/>
  <c r="AG184" i="5" a="1"/>
  <c r="AG184" i="5" s="1"/>
  <c r="O184" i="5" a="1"/>
  <c r="O184" i="5" s="1"/>
  <c r="Q184" i="5" a="1"/>
  <c r="Q184" i="5" s="1"/>
  <c r="AA184" i="5" a="1"/>
  <c r="AA184" i="5" s="1"/>
  <c r="X184" i="5" a="1"/>
  <c r="X184" i="5" s="1"/>
  <c r="Y184" i="5" a="1"/>
  <c r="Y184" i="5" s="1"/>
  <c r="AD184" i="5" a="1"/>
  <c r="AD184" i="5" s="1"/>
  <c r="S184" i="5" a="1"/>
  <c r="S184" i="5" s="1"/>
  <c r="R184" i="5" a="1"/>
  <c r="R184" i="5" s="1"/>
  <c r="N184" i="5" a="1"/>
  <c r="N184" i="5" s="1"/>
  <c r="AB184" i="5" a="1"/>
  <c r="AB184" i="5" s="1"/>
  <c r="AH184" i="5" a="1"/>
  <c r="AH184" i="5" s="1"/>
  <c r="G184" i="5" a="1"/>
  <c r="G184" i="5" s="1"/>
  <c r="H184" i="5" a="1"/>
  <c r="H184" i="5" s="1"/>
  <c r="L184" i="5" a="1"/>
  <c r="L184" i="5" s="1"/>
  <c r="K184" i="5" a="1"/>
  <c r="K184" i="5" s="1"/>
  <c r="I184" i="5" a="1"/>
  <c r="I184" i="5" s="1"/>
  <c r="J184" i="5" a="1"/>
  <c r="J184" i="5" s="1"/>
  <c r="M184" i="5" a="1"/>
  <c r="M184" i="5" s="1"/>
  <c r="F185" i="5"/>
  <c r="AC185" i="5" l="1" a="1"/>
  <c r="AC185" i="5" s="1"/>
  <c r="AE185" i="5" a="1"/>
  <c r="AE185" i="5" s="1"/>
  <c r="P185" i="5" a="1"/>
  <c r="P185" i="5" s="1"/>
  <c r="T185" i="5" a="1"/>
  <c r="T185" i="5" s="1"/>
  <c r="W185" i="5" a="1"/>
  <c r="W185" i="5" s="1"/>
  <c r="AF185" i="5" a="1"/>
  <c r="AF185" i="5" s="1"/>
  <c r="Z185" i="5" a="1"/>
  <c r="Z185" i="5" s="1"/>
  <c r="U185" i="5" a="1"/>
  <c r="U185" i="5" s="1"/>
  <c r="Q185" i="5" a="1"/>
  <c r="Q185" i="5" s="1"/>
  <c r="AA185" i="5" a="1"/>
  <c r="AA185" i="5" s="1"/>
  <c r="O185" i="5" a="1"/>
  <c r="O185" i="5" s="1"/>
  <c r="V185" i="5" a="1"/>
  <c r="V185" i="5" s="1"/>
  <c r="AG185" i="5" a="1"/>
  <c r="AG185" i="5" s="1"/>
  <c r="X185" i="5" a="1"/>
  <c r="X185" i="5" s="1"/>
  <c r="S185" i="5" a="1"/>
  <c r="S185" i="5" s="1"/>
  <c r="Y185" i="5" a="1"/>
  <c r="Y185" i="5" s="1"/>
  <c r="AH185" i="5" a="1"/>
  <c r="AH185" i="5" s="1"/>
  <c r="N185" i="5" a="1"/>
  <c r="N185" i="5" s="1"/>
  <c r="AD185" i="5" a="1"/>
  <c r="AD185" i="5" s="1"/>
  <c r="R185" i="5" a="1"/>
  <c r="R185" i="5" s="1"/>
  <c r="AB185" i="5" a="1"/>
  <c r="AB185" i="5" s="1"/>
  <c r="L185" i="5" a="1"/>
  <c r="L185" i="5" s="1"/>
  <c r="H185" i="5" a="1"/>
  <c r="H185" i="5" s="1"/>
  <c r="K185" i="5" a="1"/>
  <c r="K185" i="5" s="1"/>
  <c r="I185" i="5" a="1"/>
  <c r="I185" i="5" s="1"/>
  <c r="J185" i="5" a="1"/>
  <c r="J185" i="5" s="1"/>
  <c r="G185" i="5" a="1"/>
  <c r="G185" i="5" s="1"/>
  <c r="M185" i="5" a="1"/>
  <c r="M185" i="5" s="1"/>
  <c r="F186" i="5"/>
  <c r="AC52" i="9" l="1"/>
  <c r="AE186" i="5" a="1"/>
  <c r="AE186" i="5" s="1"/>
  <c r="T186" i="5" a="1"/>
  <c r="T186" i="5" s="1"/>
  <c r="O52" i="9" s="1"/>
  <c r="P186" i="5" a="1"/>
  <c r="P186" i="5" s="1"/>
  <c r="AC186" i="5" a="1"/>
  <c r="AC186" i="5" s="1"/>
  <c r="W186" i="5" a="1"/>
  <c r="W186" i="5" s="1"/>
  <c r="R52" i="9" s="1"/>
  <c r="AF186" i="5" a="1"/>
  <c r="AF186" i="5" s="1"/>
  <c r="U186" i="5" a="1"/>
  <c r="U186" i="5" s="1"/>
  <c r="P52" i="9" s="1"/>
  <c r="Z186" i="5" a="1"/>
  <c r="Z186" i="5" s="1"/>
  <c r="U52" i="9" s="1"/>
  <c r="AA186" i="5" a="1"/>
  <c r="AA186" i="5" s="1"/>
  <c r="V52" i="9" s="1"/>
  <c r="V186" i="5" a="1"/>
  <c r="V186" i="5" s="1"/>
  <c r="Q52" i="9" s="1"/>
  <c r="R186" i="5" a="1"/>
  <c r="R186" i="5" s="1"/>
  <c r="Q186" i="5" a="1"/>
  <c r="Q186" i="5" s="1"/>
  <c r="AD186" i="5" a="1"/>
  <c r="AD186" i="5" s="1"/>
  <c r="X186" i="5" a="1"/>
  <c r="X186" i="5" s="1"/>
  <c r="S52" i="9" s="1"/>
  <c r="O186" i="5" a="1"/>
  <c r="O186" i="5" s="1"/>
  <c r="Y186" i="5" a="1"/>
  <c r="Y186" i="5" s="1"/>
  <c r="T52" i="9" s="1"/>
  <c r="AH186" i="5" a="1"/>
  <c r="AH186" i="5" s="1"/>
  <c r="N186" i="5" a="1"/>
  <c r="N186" i="5" s="1"/>
  <c r="AG186" i="5" a="1"/>
  <c r="AG186" i="5" s="1"/>
  <c r="AB52" i="9" s="1"/>
  <c r="S186" i="5" a="1"/>
  <c r="S186" i="5" s="1"/>
  <c r="AB186" i="5" a="1"/>
  <c r="AB186" i="5" s="1"/>
  <c r="L186" i="5" a="1"/>
  <c r="L186" i="5" s="1"/>
  <c r="H186" i="5" a="1"/>
  <c r="H186" i="5" s="1"/>
  <c r="K186" i="5" a="1"/>
  <c r="K186" i="5" s="1"/>
  <c r="I186" i="5" a="1"/>
  <c r="I186" i="5" s="1"/>
  <c r="J186" i="5" a="1"/>
  <c r="J186" i="5" s="1"/>
  <c r="G186" i="5" a="1"/>
  <c r="G186" i="5" s="1"/>
  <c r="B52" i="9" s="1"/>
  <c r="M186" i="5" a="1"/>
  <c r="M186" i="5" s="1"/>
  <c r="F187" i="5"/>
  <c r="T187" i="5" l="1" a="1"/>
  <c r="T187" i="5" s="1"/>
  <c r="AE187" i="5" a="1"/>
  <c r="AE187" i="5" s="1"/>
  <c r="P187" i="5" a="1"/>
  <c r="P187" i="5" s="1"/>
  <c r="AC187" i="5" a="1"/>
  <c r="AC187" i="5" s="1"/>
  <c r="U187" i="5" a="1"/>
  <c r="U187" i="5" s="1"/>
  <c r="AF187" i="5" a="1"/>
  <c r="AF187" i="5" s="1"/>
  <c r="Z187" i="5" a="1"/>
  <c r="Z187" i="5" s="1"/>
  <c r="W187" i="5" a="1"/>
  <c r="W187" i="5" s="1"/>
  <c r="AD187" i="5" a="1"/>
  <c r="AD187" i="5" s="1"/>
  <c r="V187" i="5" a="1"/>
  <c r="V187" i="5" s="1"/>
  <c r="AG187" i="5" a="1"/>
  <c r="AG187" i="5" s="1"/>
  <c r="R187" i="5" a="1"/>
  <c r="R187" i="5" s="1"/>
  <c r="Q187" i="5" a="1"/>
  <c r="Q187" i="5" s="1"/>
  <c r="X187" i="5" a="1"/>
  <c r="X187" i="5" s="1"/>
  <c r="O187" i="5" a="1"/>
  <c r="O187" i="5" s="1"/>
  <c r="AA187" i="5" a="1"/>
  <c r="AA187" i="5" s="1"/>
  <c r="S187" i="5" a="1"/>
  <c r="S187" i="5" s="1"/>
  <c r="Y187" i="5" a="1"/>
  <c r="Y187" i="5" s="1"/>
  <c r="N187" i="5" a="1"/>
  <c r="N187" i="5" s="1"/>
  <c r="AB187" i="5" a="1"/>
  <c r="AB187" i="5" s="1"/>
  <c r="AH187" i="5" a="1"/>
  <c r="AH187" i="5" s="1"/>
  <c r="L187" i="5" a="1"/>
  <c r="L187" i="5" s="1"/>
  <c r="H187" i="5" a="1"/>
  <c r="H187" i="5" s="1"/>
  <c r="K187" i="5" a="1"/>
  <c r="K187" i="5" s="1"/>
  <c r="G187" i="5" a="1"/>
  <c r="G187" i="5" s="1"/>
  <c r="I187" i="5" a="1"/>
  <c r="I187" i="5" s="1"/>
  <c r="J187" i="5" a="1"/>
  <c r="J187" i="5" s="1"/>
  <c r="M187" i="5" a="1"/>
  <c r="M187" i="5" s="1"/>
  <c r="F188" i="5"/>
  <c r="P188" i="5" l="1" a="1"/>
  <c r="P188" i="5" s="1"/>
  <c r="AC188" i="5" a="1"/>
  <c r="AC188" i="5" s="1"/>
  <c r="T188" i="5" a="1"/>
  <c r="T188" i="5" s="1"/>
  <c r="AE188" i="5" a="1"/>
  <c r="AE188" i="5" s="1"/>
  <c r="Z188" i="5" a="1"/>
  <c r="Z188" i="5" s="1"/>
  <c r="AF188" i="5" a="1"/>
  <c r="AF188" i="5" s="1"/>
  <c r="W188" i="5" a="1"/>
  <c r="W188" i="5" s="1"/>
  <c r="U188" i="5" a="1"/>
  <c r="U188" i="5" s="1"/>
  <c r="O188" i="5" a="1"/>
  <c r="O188" i="5" s="1"/>
  <c r="AA188" i="5" a="1"/>
  <c r="AA188" i="5" s="1"/>
  <c r="AG188" i="5" a="1"/>
  <c r="AG188" i="5" s="1"/>
  <c r="R188" i="5" a="1"/>
  <c r="R188" i="5" s="1"/>
  <c r="AD188" i="5" a="1"/>
  <c r="AD188" i="5" s="1"/>
  <c r="X188" i="5" a="1"/>
  <c r="X188" i="5" s="1"/>
  <c r="Q188" i="5" a="1"/>
  <c r="Q188" i="5" s="1"/>
  <c r="V188" i="5" a="1"/>
  <c r="V188" i="5" s="1"/>
  <c r="AH188" i="5" a="1"/>
  <c r="AH188" i="5" s="1"/>
  <c r="Y188" i="5" a="1"/>
  <c r="Y188" i="5" s="1"/>
  <c r="N188" i="5" a="1"/>
  <c r="N188" i="5" s="1"/>
  <c r="S188" i="5" a="1"/>
  <c r="S188" i="5" s="1"/>
  <c r="AB188" i="5" a="1"/>
  <c r="AB188" i="5" s="1"/>
  <c r="L188" i="5" a="1"/>
  <c r="L188" i="5" s="1"/>
  <c r="K188" i="5" a="1"/>
  <c r="K188" i="5" s="1"/>
  <c r="G188" i="5" a="1"/>
  <c r="G188" i="5" s="1"/>
  <c r="H188" i="5" a="1"/>
  <c r="H188" i="5" s="1"/>
  <c r="I188" i="5" a="1"/>
  <c r="I188" i="5" s="1"/>
  <c r="J188" i="5" a="1"/>
  <c r="J188" i="5" s="1"/>
  <c r="M188" i="5" a="1"/>
  <c r="M188" i="5" s="1"/>
  <c r="F189" i="5"/>
  <c r="P189" i="5" l="1" a="1"/>
  <c r="P189" i="5" s="1"/>
  <c r="AC189" i="5" a="1"/>
  <c r="AC189" i="5" s="1"/>
  <c r="T189" i="5" a="1"/>
  <c r="T189" i="5" s="1"/>
  <c r="AE189" i="5" a="1"/>
  <c r="AE189" i="5" s="1"/>
  <c r="Z189" i="5" a="1"/>
  <c r="Z189" i="5" s="1"/>
  <c r="W189" i="5" a="1"/>
  <c r="W189" i="5" s="1"/>
  <c r="U189" i="5" a="1"/>
  <c r="U189" i="5" s="1"/>
  <c r="AF189" i="5" a="1"/>
  <c r="AF189" i="5" s="1"/>
  <c r="X189" i="5" a="1"/>
  <c r="X189" i="5" s="1"/>
  <c r="Q189" i="5" a="1"/>
  <c r="Q189" i="5" s="1"/>
  <c r="AG189" i="5" a="1"/>
  <c r="AG189" i="5" s="1"/>
  <c r="O189" i="5" a="1"/>
  <c r="O189" i="5" s="1"/>
  <c r="AA189" i="5" a="1"/>
  <c r="AA189" i="5" s="1"/>
  <c r="R189" i="5" a="1"/>
  <c r="R189" i="5" s="1"/>
  <c r="Y189" i="5" a="1"/>
  <c r="Y189" i="5" s="1"/>
  <c r="S189" i="5" a="1"/>
  <c r="S189" i="5" s="1"/>
  <c r="V189" i="5" a="1"/>
  <c r="V189" i="5" s="1"/>
  <c r="AH189" i="5" a="1"/>
  <c r="AH189" i="5" s="1"/>
  <c r="AD189" i="5" a="1"/>
  <c r="AD189" i="5" s="1"/>
  <c r="N189" i="5" a="1"/>
  <c r="N189" i="5" s="1"/>
  <c r="AB189" i="5" a="1"/>
  <c r="AB189" i="5" s="1"/>
  <c r="G189" i="5" a="1"/>
  <c r="G189" i="5" s="1"/>
  <c r="H189" i="5" a="1"/>
  <c r="H189" i="5" s="1"/>
  <c r="L189" i="5" a="1"/>
  <c r="L189" i="5" s="1"/>
  <c r="I189" i="5" a="1"/>
  <c r="I189" i="5" s="1"/>
  <c r="K189" i="5" a="1"/>
  <c r="K189" i="5" s="1"/>
  <c r="J189" i="5" a="1"/>
  <c r="J189" i="5" s="1"/>
  <c r="M189" i="5" a="1"/>
  <c r="M189" i="5" s="1"/>
  <c r="F190" i="5"/>
  <c r="Z53" i="9" l="1"/>
  <c r="AC53" i="9"/>
  <c r="AE190" i="5" a="1"/>
  <c r="AE190" i="5" s="1"/>
  <c r="T190" i="5" a="1"/>
  <c r="T190" i="5" s="1"/>
  <c r="P190" i="5" a="1"/>
  <c r="P190" i="5" s="1"/>
  <c r="AC190" i="5" a="1"/>
  <c r="AC190" i="5" s="1"/>
  <c r="X53" i="9" s="1"/>
  <c r="Z190" i="5" a="1"/>
  <c r="Z190" i="5" s="1"/>
  <c r="U53" i="9" s="1"/>
  <c r="W190" i="5" a="1"/>
  <c r="W190" i="5" s="1"/>
  <c r="R53" i="9" s="1"/>
  <c r="U190" i="5" a="1"/>
  <c r="U190" i="5" s="1"/>
  <c r="P53" i="9" s="1"/>
  <c r="AF190" i="5" a="1"/>
  <c r="AF190" i="5" s="1"/>
  <c r="Q190" i="5" a="1"/>
  <c r="Q190" i="5" s="1"/>
  <c r="O190" i="5" a="1"/>
  <c r="O190" i="5" s="1"/>
  <c r="X190" i="5" a="1"/>
  <c r="X190" i="5" s="1"/>
  <c r="S53" i="9" s="1"/>
  <c r="AG190" i="5" a="1"/>
  <c r="AG190" i="5" s="1"/>
  <c r="V190" i="5" a="1"/>
  <c r="V190" i="5" s="1"/>
  <c r="Q53" i="9" s="1"/>
  <c r="R190" i="5" a="1"/>
  <c r="R190" i="5" s="1"/>
  <c r="AA190" i="5" a="1"/>
  <c r="AA190" i="5" s="1"/>
  <c r="V53" i="9" s="1"/>
  <c r="AD190" i="5" a="1"/>
  <c r="AD190" i="5" s="1"/>
  <c r="N190" i="5" a="1"/>
  <c r="N190" i="5" s="1"/>
  <c r="AH190" i="5" a="1"/>
  <c r="AH190" i="5" s="1"/>
  <c r="AB190" i="5" a="1"/>
  <c r="AB190" i="5" s="1"/>
  <c r="Y190" i="5" a="1"/>
  <c r="Y190" i="5" s="1"/>
  <c r="T53" i="9" s="1"/>
  <c r="S190" i="5" a="1"/>
  <c r="S190" i="5" s="1"/>
  <c r="N53" i="9" s="1"/>
  <c r="K190" i="5" a="1"/>
  <c r="K190" i="5" s="1"/>
  <c r="H190" i="5" a="1"/>
  <c r="H190" i="5" s="1"/>
  <c r="L190" i="5" a="1"/>
  <c r="L190" i="5" s="1"/>
  <c r="J190" i="5" a="1"/>
  <c r="J190" i="5" s="1"/>
  <c r="G190" i="5" a="1"/>
  <c r="G190" i="5" s="1"/>
  <c r="I190" i="5" a="1"/>
  <c r="I190" i="5" s="1"/>
  <c r="D53" i="9" s="1"/>
  <c r="M190" i="5" a="1"/>
  <c r="M190" i="5" s="1"/>
  <c r="H53" i="9" s="1"/>
  <c r="F191" i="5"/>
  <c r="T191" i="5" l="1" a="1"/>
  <c r="T191" i="5" s="1"/>
  <c r="AC191" i="5" a="1"/>
  <c r="AC191" i="5" s="1"/>
  <c r="P191" i="5" a="1"/>
  <c r="P191" i="5" s="1"/>
  <c r="AE191" i="5" a="1"/>
  <c r="AE191" i="5" s="1"/>
  <c r="W191" i="5" a="1"/>
  <c r="W191" i="5" s="1"/>
  <c r="U191" i="5" a="1"/>
  <c r="U191" i="5" s="1"/>
  <c r="Z191" i="5" a="1"/>
  <c r="Z191" i="5" s="1"/>
  <c r="X191" i="5" a="1"/>
  <c r="X191" i="5" s="1"/>
  <c r="AG191" i="5" a="1"/>
  <c r="AG191" i="5" s="1"/>
  <c r="V191" i="5" a="1"/>
  <c r="V191" i="5" s="1"/>
  <c r="R191" i="5" a="1"/>
  <c r="R191" i="5" s="1"/>
  <c r="AA191" i="5" a="1"/>
  <c r="AA191" i="5" s="1"/>
  <c r="O191" i="5" a="1"/>
  <c r="O191" i="5" s="1"/>
  <c r="AF191" i="5" a="1"/>
  <c r="AF191" i="5" s="1"/>
  <c r="Q191" i="5" a="1"/>
  <c r="Q191" i="5" s="1"/>
  <c r="Y191" i="5" a="1"/>
  <c r="Y191" i="5" s="1"/>
  <c r="AD191" i="5" a="1"/>
  <c r="AD191" i="5" s="1"/>
  <c r="N191" i="5" a="1"/>
  <c r="N191" i="5" s="1"/>
  <c r="AH191" i="5" a="1"/>
  <c r="AH191" i="5" s="1"/>
  <c r="S191" i="5" a="1"/>
  <c r="S191" i="5" s="1"/>
  <c r="AB191" i="5" a="1"/>
  <c r="AB191" i="5" s="1"/>
  <c r="G191" i="5" a="1"/>
  <c r="G191" i="5" s="1"/>
  <c r="L191" i="5" a="1"/>
  <c r="L191" i="5" s="1"/>
  <c r="H191" i="5" a="1"/>
  <c r="H191" i="5" s="1"/>
  <c r="I191" i="5" a="1"/>
  <c r="I191" i="5" s="1"/>
  <c r="J191" i="5" a="1"/>
  <c r="J191" i="5" s="1"/>
  <c r="K191" i="5" a="1"/>
  <c r="K191" i="5" s="1"/>
  <c r="M191" i="5" a="1"/>
  <c r="M191" i="5" s="1"/>
  <c r="F192" i="5"/>
  <c r="AC192" i="5" l="1" a="1"/>
  <c r="AC192" i="5" s="1"/>
  <c r="P192" i="5" a="1"/>
  <c r="P192" i="5" s="1"/>
  <c r="AE192" i="5" a="1"/>
  <c r="AE192" i="5" s="1"/>
  <c r="T192" i="5" a="1"/>
  <c r="T192" i="5" s="1"/>
  <c r="Z192" i="5" a="1"/>
  <c r="Z192" i="5" s="1"/>
  <c r="AF192" i="5" a="1"/>
  <c r="AF192" i="5" s="1"/>
  <c r="W192" i="5" a="1"/>
  <c r="W192" i="5" s="1"/>
  <c r="U192" i="5" a="1"/>
  <c r="U192" i="5" s="1"/>
  <c r="AG192" i="5" a="1"/>
  <c r="AG192" i="5" s="1"/>
  <c r="Q192" i="5" a="1"/>
  <c r="Q192" i="5" s="1"/>
  <c r="AA192" i="5" a="1"/>
  <c r="AA192" i="5" s="1"/>
  <c r="V192" i="5" a="1"/>
  <c r="V192" i="5" s="1"/>
  <c r="R192" i="5" a="1"/>
  <c r="R192" i="5" s="1"/>
  <c r="AD192" i="5" a="1"/>
  <c r="AD192" i="5" s="1"/>
  <c r="O192" i="5" a="1"/>
  <c r="O192" i="5" s="1"/>
  <c r="X192" i="5" a="1"/>
  <c r="X192" i="5" s="1"/>
  <c r="Y192" i="5" a="1"/>
  <c r="Y192" i="5" s="1"/>
  <c r="AB192" i="5" a="1"/>
  <c r="AB192" i="5" s="1"/>
  <c r="S192" i="5" a="1"/>
  <c r="S192" i="5" s="1"/>
  <c r="N192" i="5" a="1"/>
  <c r="N192" i="5" s="1"/>
  <c r="AH192" i="5" a="1"/>
  <c r="AH192" i="5" s="1"/>
  <c r="L192" i="5" a="1"/>
  <c r="L192" i="5" s="1"/>
  <c r="H192" i="5" a="1"/>
  <c r="H192" i="5" s="1"/>
  <c r="K192" i="5" a="1"/>
  <c r="K192" i="5" s="1"/>
  <c r="G192" i="5" a="1"/>
  <c r="G192" i="5" s="1"/>
  <c r="J192" i="5" a="1"/>
  <c r="J192" i="5" s="1"/>
  <c r="I192" i="5" a="1"/>
  <c r="I192" i="5" s="1"/>
  <c r="M192" i="5" a="1"/>
  <c r="M192" i="5" s="1"/>
  <c r="F193" i="5"/>
  <c r="AC193" i="5" l="1" a="1"/>
  <c r="AC193" i="5" s="1"/>
  <c r="T193" i="5" a="1"/>
  <c r="T193" i="5" s="1"/>
  <c r="AE193" i="5" a="1"/>
  <c r="AE193" i="5" s="1"/>
  <c r="P193" i="5" a="1"/>
  <c r="P193" i="5" s="1"/>
  <c r="W193" i="5" a="1"/>
  <c r="W193" i="5" s="1"/>
  <c r="U193" i="5" a="1"/>
  <c r="U193" i="5" s="1"/>
  <c r="Z193" i="5" a="1"/>
  <c r="Z193" i="5" s="1"/>
  <c r="AF193" i="5" a="1"/>
  <c r="AF193" i="5" s="1"/>
  <c r="O193" i="5" a="1"/>
  <c r="O193" i="5" s="1"/>
  <c r="X193" i="5" a="1"/>
  <c r="X193" i="5" s="1"/>
  <c r="V193" i="5" a="1"/>
  <c r="V193" i="5" s="1"/>
  <c r="AG193" i="5" a="1"/>
  <c r="AG193" i="5" s="1"/>
  <c r="Q193" i="5" a="1"/>
  <c r="Q193" i="5" s="1"/>
  <c r="AA193" i="5" a="1"/>
  <c r="AA193" i="5" s="1"/>
  <c r="N193" i="5" a="1"/>
  <c r="N193" i="5" s="1"/>
  <c r="S193" i="5" a="1"/>
  <c r="S193" i="5" s="1"/>
  <c r="R193" i="5" a="1"/>
  <c r="R193" i="5" s="1"/>
  <c r="AB193" i="5" a="1"/>
  <c r="AB193" i="5" s="1"/>
  <c r="AD193" i="5" a="1"/>
  <c r="AD193" i="5" s="1"/>
  <c r="AH193" i="5" a="1"/>
  <c r="AH193" i="5" s="1"/>
  <c r="Y193" i="5" a="1"/>
  <c r="Y193" i="5" s="1"/>
  <c r="L193" i="5" a="1"/>
  <c r="L193" i="5" s="1"/>
  <c r="I193" i="5" a="1"/>
  <c r="I193" i="5" s="1"/>
  <c r="K193" i="5" a="1"/>
  <c r="K193" i="5" s="1"/>
  <c r="H193" i="5" a="1"/>
  <c r="H193" i="5" s="1"/>
  <c r="G193" i="5" a="1"/>
  <c r="G193" i="5" s="1"/>
  <c r="J193" i="5" a="1"/>
  <c r="J193" i="5" s="1"/>
  <c r="M193" i="5" a="1"/>
  <c r="M193" i="5" s="1"/>
  <c r="F194" i="5"/>
  <c r="AB54" i="9" l="1"/>
  <c r="J54" i="9"/>
  <c r="P194" i="5" a="1"/>
  <c r="P194" i="5" s="1"/>
  <c r="K54" i="9" s="1"/>
  <c r="AC194" i="5" a="1"/>
  <c r="AC194" i="5" s="1"/>
  <c r="T194" i="5" a="1"/>
  <c r="T194" i="5" s="1"/>
  <c r="AE194" i="5" a="1"/>
  <c r="AE194" i="5" s="1"/>
  <c r="U194" i="5" a="1"/>
  <c r="U194" i="5" s="1"/>
  <c r="P54" i="9" s="1"/>
  <c r="W194" i="5" a="1"/>
  <c r="W194" i="5" s="1"/>
  <c r="R54" i="9" s="1"/>
  <c r="Z194" i="5" a="1"/>
  <c r="Z194" i="5" s="1"/>
  <c r="U54" i="9" s="1"/>
  <c r="AF194" i="5" a="1"/>
  <c r="AF194" i="5" s="1"/>
  <c r="R194" i="5" a="1"/>
  <c r="R194" i="5" s="1"/>
  <c r="V194" i="5" a="1"/>
  <c r="V194" i="5" s="1"/>
  <c r="Q54" i="9" s="1"/>
  <c r="O194" i="5" a="1"/>
  <c r="O194" i="5" s="1"/>
  <c r="AG194" i="5" a="1"/>
  <c r="AG194" i="5" s="1"/>
  <c r="Q194" i="5" a="1"/>
  <c r="Q194" i="5" s="1"/>
  <c r="AA194" i="5" a="1"/>
  <c r="AA194" i="5" s="1"/>
  <c r="V54" i="9" s="1"/>
  <c r="X194" i="5" a="1"/>
  <c r="X194" i="5" s="1"/>
  <c r="S54" i="9" s="1"/>
  <c r="Y194" i="5" a="1"/>
  <c r="Y194" i="5" s="1"/>
  <c r="T54" i="9" s="1"/>
  <c r="S194" i="5" a="1"/>
  <c r="S194" i="5" s="1"/>
  <c r="AH194" i="5" a="1"/>
  <c r="AH194" i="5" s="1"/>
  <c r="AD194" i="5" a="1"/>
  <c r="AD194" i="5" s="1"/>
  <c r="N194" i="5" a="1"/>
  <c r="N194" i="5" s="1"/>
  <c r="I54" i="9" s="1"/>
  <c r="AB194" i="5" a="1"/>
  <c r="AB194" i="5" s="1"/>
  <c r="G194" i="5" a="1"/>
  <c r="G194" i="5" s="1"/>
  <c r="K194" i="5" a="1"/>
  <c r="K194" i="5" s="1"/>
  <c r="F54" i="9" s="1"/>
  <c r="L194" i="5" a="1"/>
  <c r="L194" i="5" s="1"/>
  <c r="J194" i="5" a="1"/>
  <c r="J194" i="5" s="1"/>
  <c r="H194" i="5" a="1"/>
  <c r="H194" i="5" s="1"/>
  <c r="I194" i="5" a="1"/>
  <c r="I194" i="5" s="1"/>
  <c r="M194" i="5" a="1"/>
  <c r="M194" i="5" s="1"/>
  <c r="H54" i="9" s="1"/>
  <c r="F195" i="5"/>
  <c r="P195" i="5" l="1" a="1"/>
  <c r="P195" i="5" s="1"/>
  <c r="T195" i="5" a="1"/>
  <c r="T195" i="5" s="1"/>
  <c r="AE195" i="5" a="1"/>
  <c r="AE195" i="5" s="1"/>
  <c r="AC195" i="5" a="1"/>
  <c r="AC195" i="5" s="1"/>
  <c r="Z195" i="5" a="1"/>
  <c r="Z195" i="5" s="1"/>
  <c r="W195" i="5" a="1"/>
  <c r="W195" i="5" s="1"/>
  <c r="U195" i="5" a="1"/>
  <c r="U195" i="5" s="1"/>
  <c r="AF195" i="5" a="1"/>
  <c r="AF195" i="5" s="1"/>
  <c r="X195" i="5" a="1"/>
  <c r="X195" i="5" s="1"/>
  <c r="AG195" i="5" a="1"/>
  <c r="AG195" i="5" s="1"/>
  <c r="Q195" i="5" a="1"/>
  <c r="Q195" i="5" s="1"/>
  <c r="AA195" i="5" a="1"/>
  <c r="AA195" i="5" s="1"/>
  <c r="O195" i="5" a="1"/>
  <c r="O195" i="5" s="1"/>
  <c r="V195" i="5" a="1"/>
  <c r="V195" i="5" s="1"/>
  <c r="R195" i="5" a="1"/>
  <c r="R195" i="5" s="1"/>
  <c r="AB195" i="5" a="1"/>
  <c r="AB195" i="5" s="1"/>
  <c r="AH195" i="5" a="1"/>
  <c r="AH195" i="5" s="1"/>
  <c r="AD195" i="5" a="1"/>
  <c r="AD195" i="5" s="1"/>
  <c r="Y195" i="5" a="1"/>
  <c r="Y195" i="5" s="1"/>
  <c r="S195" i="5" a="1"/>
  <c r="S195" i="5" s="1"/>
  <c r="N195" i="5" a="1"/>
  <c r="N195" i="5" s="1"/>
  <c r="L195" i="5" a="1"/>
  <c r="L195" i="5" s="1"/>
  <c r="G195" i="5" a="1"/>
  <c r="G195" i="5" s="1"/>
  <c r="H195" i="5" a="1"/>
  <c r="H195" i="5" s="1"/>
  <c r="K195" i="5" a="1"/>
  <c r="K195" i="5" s="1"/>
  <c r="J195" i="5" a="1"/>
  <c r="J195" i="5" s="1"/>
  <c r="I195" i="5" a="1"/>
  <c r="I195" i="5" s="1"/>
  <c r="M195" i="5" a="1"/>
  <c r="M195" i="5" s="1"/>
  <c r="F196" i="5"/>
  <c r="T196" i="5" l="1" a="1"/>
  <c r="T196" i="5" s="1"/>
  <c r="AE196" i="5" a="1"/>
  <c r="AE196" i="5" s="1"/>
  <c r="AC196" i="5" a="1"/>
  <c r="AC196" i="5" s="1"/>
  <c r="P196" i="5" a="1"/>
  <c r="P196" i="5" s="1"/>
  <c r="Z196" i="5" a="1"/>
  <c r="Z196" i="5" s="1"/>
  <c r="AF196" i="5" a="1"/>
  <c r="AF196" i="5" s="1"/>
  <c r="W196" i="5" a="1"/>
  <c r="W196" i="5" s="1"/>
  <c r="U196" i="5" a="1"/>
  <c r="U196" i="5" s="1"/>
  <c r="AA196" i="5" a="1"/>
  <c r="AA196" i="5" s="1"/>
  <c r="AG196" i="5" a="1"/>
  <c r="AG196" i="5" s="1"/>
  <c r="X196" i="5" a="1"/>
  <c r="X196" i="5" s="1"/>
  <c r="Q196" i="5" a="1"/>
  <c r="Q196" i="5" s="1"/>
  <c r="O196" i="5" a="1"/>
  <c r="O196" i="5" s="1"/>
  <c r="V196" i="5" a="1"/>
  <c r="V196" i="5" s="1"/>
  <c r="AB196" i="5" a="1"/>
  <c r="AB196" i="5" s="1"/>
  <c r="S196" i="5" a="1"/>
  <c r="S196" i="5" s="1"/>
  <c r="R196" i="5" a="1"/>
  <c r="R196" i="5" s="1"/>
  <c r="AD196" i="5" a="1"/>
  <c r="AD196" i="5" s="1"/>
  <c r="AH196" i="5" a="1"/>
  <c r="AH196" i="5" s="1"/>
  <c r="Y196" i="5" a="1"/>
  <c r="Y196" i="5" s="1"/>
  <c r="N196" i="5" a="1"/>
  <c r="N196" i="5" s="1"/>
  <c r="L196" i="5" a="1"/>
  <c r="L196" i="5" s="1"/>
  <c r="G196" i="5" a="1"/>
  <c r="G196" i="5" s="1"/>
  <c r="K196" i="5" a="1"/>
  <c r="K196" i="5" s="1"/>
  <c r="H196" i="5" a="1"/>
  <c r="H196" i="5" s="1"/>
  <c r="I196" i="5" a="1"/>
  <c r="I196" i="5" s="1"/>
  <c r="J196" i="5" a="1"/>
  <c r="J196" i="5" s="1"/>
  <c r="M196" i="5" a="1"/>
  <c r="M196" i="5" s="1"/>
  <c r="F197" i="5"/>
  <c r="AE197" i="5" l="1" a="1"/>
  <c r="AE197" i="5" s="1"/>
  <c r="T197" i="5" a="1"/>
  <c r="T197" i="5" s="1"/>
  <c r="AC197" i="5" a="1"/>
  <c r="AC197" i="5" s="1"/>
  <c r="P197" i="5" a="1"/>
  <c r="P197" i="5" s="1"/>
  <c r="U197" i="5" a="1"/>
  <c r="U197" i="5" s="1"/>
  <c r="W197" i="5" a="1"/>
  <c r="W197" i="5" s="1"/>
  <c r="Z197" i="5" a="1"/>
  <c r="Z197" i="5" s="1"/>
  <c r="AF197" i="5" a="1"/>
  <c r="AF197" i="5" s="1"/>
  <c r="V197" i="5" a="1"/>
  <c r="V197" i="5" s="1"/>
  <c r="Q197" i="5" a="1"/>
  <c r="Q197" i="5" s="1"/>
  <c r="AA197" i="5" a="1"/>
  <c r="AA197" i="5" s="1"/>
  <c r="O197" i="5" a="1"/>
  <c r="O197" i="5" s="1"/>
  <c r="X197" i="5" a="1"/>
  <c r="X197" i="5" s="1"/>
  <c r="AG197" i="5" a="1"/>
  <c r="AG197" i="5" s="1"/>
  <c r="AD197" i="5" a="1"/>
  <c r="AD197" i="5" s="1"/>
  <c r="AH197" i="5" a="1"/>
  <c r="AH197" i="5" s="1"/>
  <c r="AB197" i="5" a="1"/>
  <c r="AB197" i="5" s="1"/>
  <c r="Y197" i="5" a="1"/>
  <c r="Y197" i="5" s="1"/>
  <c r="R197" i="5" a="1"/>
  <c r="R197" i="5" s="1"/>
  <c r="N197" i="5" a="1"/>
  <c r="N197" i="5" s="1"/>
  <c r="S197" i="5" a="1"/>
  <c r="S197" i="5" s="1"/>
  <c r="L197" i="5" a="1"/>
  <c r="L197" i="5" s="1"/>
  <c r="H197" i="5" a="1"/>
  <c r="H197" i="5" s="1"/>
  <c r="G197" i="5" a="1"/>
  <c r="G197" i="5" s="1"/>
  <c r="I197" i="5" a="1"/>
  <c r="I197" i="5" s="1"/>
  <c r="J197" i="5" a="1"/>
  <c r="J197" i="5" s="1"/>
  <c r="K197" i="5" a="1"/>
  <c r="K197" i="5" s="1"/>
  <c r="M197" i="5" a="1"/>
  <c r="M197" i="5" s="1"/>
  <c r="F198" i="5"/>
  <c r="T198" i="5" l="1" a="1"/>
  <c r="T198" i="5" s="1"/>
  <c r="AE198" i="5" a="1"/>
  <c r="AE198" i="5" s="1"/>
  <c r="P198" i="5" a="1"/>
  <c r="P198" i="5" s="1"/>
  <c r="K55" i="9" s="1"/>
  <c r="AC198" i="5" a="1"/>
  <c r="AC198" i="5" s="1"/>
  <c r="AF198" i="5" a="1"/>
  <c r="AF198" i="5" s="1"/>
  <c r="W198" i="5" a="1"/>
  <c r="W198" i="5" s="1"/>
  <c r="R55" i="9" s="1"/>
  <c r="Z198" i="5" a="1"/>
  <c r="Z198" i="5" s="1"/>
  <c r="U55" i="9" s="1"/>
  <c r="U198" i="5" a="1"/>
  <c r="U198" i="5" s="1"/>
  <c r="P55" i="9" s="1"/>
  <c r="AA198" i="5" a="1"/>
  <c r="AA198" i="5" s="1"/>
  <c r="V55" i="9" s="1"/>
  <c r="X198" i="5" a="1"/>
  <c r="X198" i="5" s="1"/>
  <c r="S55" i="9" s="1"/>
  <c r="Q198" i="5" a="1"/>
  <c r="Q198" i="5" s="1"/>
  <c r="R198" i="5" a="1"/>
  <c r="R198" i="5" s="1"/>
  <c r="V198" i="5" a="1"/>
  <c r="V198" i="5" s="1"/>
  <c r="Q55" i="9" s="1"/>
  <c r="AG198" i="5" a="1"/>
  <c r="AG198" i="5" s="1"/>
  <c r="AB55" i="9" s="1"/>
  <c r="AD198" i="5" a="1"/>
  <c r="AD198" i="5" s="1"/>
  <c r="O198" i="5" a="1"/>
  <c r="O198" i="5" s="1"/>
  <c r="J55" i="9" s="1"/>
  <c r="N198" i="5" a="1"/>
  <c r="N198" i="5" s="1"/>
  <c r="AB198" i="5" a="1"/>
  <c r="AB198" i="5" s="1"/>
  <c r="Y198" i="5" a="1"/>
  <c r="Y198" i="5" s="1"/>
  <c r="T55" i="9" s="1"/>
  <c r="AH198" i="5" a="1"/>
  <c r="AH198" i="5" s="1"/>
  <c r="S198" i="5" a="1"/>
  <c r="S198" i="5" s="1"/>
  <c r="G198" i="5" a="1"/>
  <c r="G198" i="5" s="1"/>
  <c r="L198" i="5" a="1"/>
  <c r="L198" i="5" s="1"/>
  <c r="K198" i="5" a="1"/>
  <c r="K198" i="5" s="1"/>
  <c r="I198" i="5" a="1"/>
  <c r="I198" i="5" s="1"/>
  <c r="H198" i="5" a="1"/>
  <c r="H198" i="5" s="1"/>
  <c r="J198" i="5" a="1"/>
  <c r="J198" i="5" s="1"/>
  <c r="M198" i="5" a="1"/>
  <c r="M198" i="5" s="1"/>
  <c r="H55" i="9" s="1"/>
  <c r="F199" i="5"/>
  <c r="T199" i="5" l="1" a="1"/>
  <c r="T199" i="5" s="1"/>
  <c r="AE199" i="5" a="1"/>
  <c r="AE199" i="5" s="1"/>
  <c r="AC199" i="5" a="1"/>
  <c r="AC199" i="5" s="1"/>
  <c r="P199" i="5" a="1"/>
  <c r="P199" i="5" s="1"/>
  <c r="W199" i="5" a="1"/>
  <c r="W199" i="5" s="1"/>
  <c r="U199" i="5" a="1"/>
  <c r="U199" i="5" s="1"/>
  <c r="Z199" i="5" a="1"/>
  <c r="Z199" i="5" s="1"/>
  <c r="O199" i="5" a="1"/>
  <c r="O199" i="5" s="1"/>
  <c r="V199" i="5" a="1"/>
  <c r="V199" i="5" s="1"/>
  <c r="AD199" i="5" a="1"/>
  <c r="AD199" i="5" s="1"/>
  <c r="Q199" i="5" a="1"/>
  <c r="Q199" i="5" s="1"/>
  <c r="AG199" i="5" a="1"/>
  <c r="AG199" i="5" s="1"/>
  <c r="R199" i="5" a="1"/>
  <c r="R199" i="5" s="1"/>
  <c r="AF199" i="5" a="1"/>
  <c r="AF199" i="5" s="1"/>
  <c r="AA199" i="5" a="1"/>
  <c r="AA199" i="5" s="1"/>
  <c r="X199" i="5" a="1"/>
  <c r="X199" i="5" s="1"/>
  <c r="S199" i="5" a="1"/>
  <c r="S199" i="5" s="1"/>
  <c r="N199" i="5" a="1"/>
  <c r="N199" i="5" s="1"/>
  <c r="AB199" i="5" a="1"/>
  <c r="AB199" i="5" s="1"/>
  <c r="Y199" i="5" a="1"/>
  <c r="Y199" i="5" s="1"/>
  <c r="AH199" i="5" a="1"/>
  <c r="AH199" i="5" s="1"/>
  <c r="G199" i="5" a="1"/>
  <c r="G199" i="5" s="1"/>
  <c r="K199" i="5" a="1"/>
  <c r="K199" i="5" s="1"/>
  <c r="L199" i="5" a="1"/>
  <c r="L199" i="5" s="1"/>
  <c r="H199" i="5" a="1"/>
  <c r="H199" i="5" s="1"/>
  <c r="I199" i="5" a="1"/>
  <c r="I199" i="5" s="1"/>
  <c r="J199" i="5" a="1"/>
  <c r="J199" i="5" s="1"/>
  <c r="M199" i="5" a="1"/>
  <c r="M199" i="5" s="1"/>
  <c r="F200" i="5"/>
  <c r="AE200" i="5" l="1" a="1"/>
  <c r="AE200" i="5" s="1"/>
  <c r="P200" i="5" a="1"/>
  <c r="P200" i="5" s="1"/>
  <c r="T200" i="5" a="1"/>
  <c r="T200" i="5" s="1"/>
  <c r="AC200" i="5" a="1"/>
  <c r="AC200" i="5" s="1"/>
  <c r="U200" i="5" a="1"/>
  <c r="U200" i="5" s="1"/>
  <c r="Z200" i="5" a="1"/>
  <c r="Z200" i="5" s="1"/>
  <c r="W200" i="5" a="1"/>
  <c r="W200" i="5" s="1"/>
  <c r="Q200" i="5" a="1"/>
  <c r="Q200" i="5" s="1"/>
  <c r="R200" i="5" a="1"/>
  <c r="R200" i="5" s="1"/>
  <c r="AF200" i="5" a="1"/>
  <c r="AF200" i="5" s="1"/>
  <c r="O200" i="5" a="1"/>
  <c r="O200" i="5" s="1"/>
  <c r="AG200" i="5" a="1"/>
  <c r="AG200" i="5" s="1"/>
  <c r="V200" i="5" a="1"/>
  <c r="V200" i="5" s="1"/>
  <c r="AA200" i="5" a="1"/>
  <c r="AA200" i="5" s="1"/>
  <c r="X200" i="5" a="1"/>
  <c r="X200" i="5" s="1"/>
  <c r="AH200" i="5" a="1"/>
  <c r="AH200" i="5" s="1"/>
  <c r="AB200" i="5" a="1"/>
  <c r="AB200" i="5" s="1"/>
  <c r="Y200" i="5" a="1"/>
  <c r="Y200" i="5" s="1"/>
  <c r="AD200" i="5" a="1"/>
  <c r="AD200" i="5" s="1"/>
  <c r="N200" i="5" a="1"/>
  <c r="N200" i="5" s="1"/>
  <c r="S200" i="5" a="1"/>
  <c r="S200" i="5" s="1"/>
  <c r="L200" i="5" a="1"/>
  <c r="L200" i="5" s="1"/>
  <c r="K200" i="5" a="1"/>
  <c r="K200" i="5" s="1"/>
  <c r="H200" i="5" a="1"/>
  <c r="H200" i="5" s="1"/>
  <c r="G200" i="5" a="1"/>
  <c r="G200" i="5" s="1"/>
  <c r="I200" i="5" a="1"/>
  <c r="I200" i="5" s="1"/>
  <c r="J200" i="5" a="1"/>
  <c r="J200" i="5" s="1"/>
  <c r="M200" i="5" a="1"/>
  <c r="M200" i="5" s="1"/>
  <c r="F201" i="5"/>
  <c r="T201" i="5" l="1" a="1"/>
  <c r="T201" i="5" s="1"/>
  <c r="AE201" i="5" a="1"/>
  <c r="AE201" i="5" s="1"/>
  <c r="AC201" i="5" a="1"/>
  <c r="AC201" i="5" s="1"/>
  <c r="P201" i="5" a="1"/>
  <c r="P201" i="5" s="1"/>
  <c r="Z201" i="5" a="1"/>
  <c r="Z201" i="5" s="1"/>
  <c r="W201" i="5" a="1"/>
  <c r="W201" i="5" s="1"/>
  <c r="U201" i="5" a="1"/>
  <c r="U201" i="5" s="1"/>
  <c r="O201" i="5" a="1"/>
  <c r="O201" i="5" s="1"/>
  <c r="AA201" i="5" a="1"/>
  <c r="AA201" i="5" s="1"/>
  <c r="Q201" i="5" a="1"/>
  <c r="Q201" i="5" s="1"/>
  <c r="AD201" i="5" a="1"/>
  <c r="AD201" i="5" s="1"/>
  <c r="X201" i="5" a="1"/>
  <c r="X201" i="5" s="1"/>
  <c r="AF201" i="5" a="1"/>
  <c r="AF201" i="5" s="1"/>
  <c r="AG201" i="5" a="1"/>
  <c r="AG201" i="5" s="1"/>
  <c r="R201" i="5" a="1"/>
  <c r="R201" i="5" s="1"/>
  <c r="N201" i="5" a="1"/>
  <c r="N201" i="5" s="1"/>
  <c r="S201" i="5" a="1"/>
  <c r="S201" i="5" s="1"/>
  <c r="AB201" i="5" a="1"/>
  <c r="AB201" i="5" s="1"/>
  <c r="V201" i="5" a="1"/>
  <c r="V201" i="5" s="1"/>
  <c r="AH201" i="5" a="1"/>
  <c r="AH201" i="5" s="1"/>
  <c r="Y201" i="5" a="1"/>
  <c r="Y201" i="5" s="1"/>
  <c r="I201" i="5" a="1"/>
  <c r="I201" i="5" s="1"/>
  <c r="G201" i="5" a="1"/>
  <c r="G201" i="5" s="1"/>
  <c r="K201" i="5" a="1"/>
  <c r="K201" i="5" s="1"/>
  <c r="H201" i="5" a="1"/>
  <c r="H201" i="5" s="1"/>
  <c r="J201" i="5" a="1"/>
  <c r="J201" i="5" s="1"/>
  <c r="L201" i="5" a="1"/>
  <c r="L201" i="5" s="1"/>
  <c r="M201" i="5" a="1"/>
  <c r="M201" i="5" s="1"/>
  <c r="F202" i="5"/>
  <c r="AA56" i="9" l="1"/>
  <c r="E56" i="9"/>
  <c r="T202" i="5" a="1"/>
  <c r="T202" i="5" s="1"/>
  <c r="AE202" i="5" a="1"/>
  <c r="AE202" i="5" s="1"/>
  <c r="P202" i="5" a="1"/>
  <c r="P202" i="5" s="1"/>
  <c r="AC202" i="5" a="1"/>
  <c r="AC202" i="5" s="1"/>
  <c r="U202" i="5" a="1"/>
  <c r="U202" i="5" s="1"/>
  <c r="P56" i="9" s="1"/>
  <c r="W202" i="5" a="1"/>
  <c r="W202" i="5" s="1"/>
  <c r="R56" i="9" s="1"/>
  <c r="AF202" i="5" a="1"/>
  <c r="AF202" i="5" s="1"/>
  <c r="Z202" i="5" a="1"/>
  <c r="Z202" i="5" s="1"/>
  <c r="U56" i="9" s="1"/>
  <c r="AG202" i="5" a="1"/>
  <c r="AG202" i="5" s="1"/>
  <c r="AB56" i="9" s="1"/>
  <c r="AA202" i="5" a="1"/>
  <c r="AA202" i="5" s="1"/>
  <c r="V56" i="9" s="1"/>
  <c r="O202" i="5" a="1"/>
  <c r="O202" i="5" s="1"/>
  <c r="V202" i="5" a="1"/>
  <c r="V202" i="5" s="1"/>
  <c r="Q56" i="9" s="1"/>
  <c r="X202" i="5" a="1"/>
  <c r="X202" i="5" s="1"/>
  <c r="S56" i="9" s="1"/>
  <c r="Q202" i="5" a="1"/>
  <c r="Q202" i="5" s="1"/>
  <c r="R202" i="5" a="1"/>
  <c r="R202" i="5" s="1"/>
  <c r="AH202" i="5" a="1"/>
  <c r="AH202" i="5" s="1"/>
  <c r="S202" i="5" a="1"/>
  <c r="S202" i="5" s="1"/>
  <c r="AD202" i="5" a="1"/>
  <c r="AD202" i="5" s="1"/>
  <c r="Y56" i="9" s="1"/>
  <c r="AB202" i="5" a="1"/>
  <c r="AB202" i="5" s="1"/>
  <c r="Y202" i="5" a="1"/>
  <c r="Y202" i="5" s="1"/>
  <c r="T56" i="9" s="1"/>
  <c r="N202" i="5" a="1"/>
  <c r="N202" i="5" s="1"/>
  <c r="K202" i="5" a="1"/>
  <c r="K202" i="5" s="1"/>
  <c r="G202" i="5" a="1"/>
  <c r="G202" i="5" s="1"/>
  <c r="H202" i="5" a="1"/>
  <c r="H202" i="5" s="1"/>
  <c r="L202" i="5" a="1"/>
  <c r="L202" i="5" s="1"/>
  <c r="J202" i="5" a="1"/>
  <c r="J202" i="5" s="1"/>
  <c r="I202" i="5" a="1"/>
  <c r="I202" i="5" s="1"/>
  <c r="M202" i="5" a="1"/>
  <c r="M202" i="5" s="1"/>
  <c r="F203" i="5"/>
  <c r="AC203" i="5" l="1" a="1"/>
  <c r="AC203" i="5" s="1"/>
  <c r="P203" i="5" a="1"/>
  <c r="P203" i="5" s="1"/>
  <c r="T203" i="5" a="1"/>
  <c r="T203" i="5" s="1"/>
  <c r="AE203" i="5" a="1"/>
  <c r="AE203" i="5" s="1"/>
  <c r="W203" i="5" a="1"/>
  <c r="W203" i="5" s="1"/>
  <c r="U203" i="5" a="1"/>
  <c r="U203" i="5" s="1"/>
  <c r="Z203" i="5" a="1"/>
  <c r="Z203" i="5" s="1"/>
  <c r="AF203" i="5" a="1"/>
  <c r="AF203" i="5" s="1"/>
  <c r="Q203" i="5" a="1"/>
  <c r="Q203" i="5" s="1"/>
  <c r="AA203" i="5" a="1"/>
  <c r="AA203" i="5" s="1"/>
  <c r="X203" i="5" a="1"/>
  <c r="X203" i="5" s="1"/>
  <c r="O203" i="5" a="1"/>
  <c r="O203" i="5" s="1"/>
  <c r="V203" i="5" a="1"/>
  <c r="V203" i="5" s="1"/>
  <c r="R203" i="5" a="1"/>
  <c r="R203" i="5" s="1"/>
  <c r="AB203" i="5" a="1"/>
  <c r="AB203" i="5" s="1"/>
  <c r="AG203" i="5" a="1"/>
  <c r="AG203" i="5" s="1"/>
  <c r="S203" i="5" a="1"/>
  <c r="S203" i="5" s="1"/>
  <c r="Y203" i="5" a="1"/>
  <c r="Y203" i="5" s="1"/>
  <c r="N203" i="5" a="1"/>
  <c r="N203" i="5" s="1"/>
  <c r="AD203" i="5" a="1"/>
  <c r="AD203" i="5" s="1"/>
  <c r="AH203" i="5" a="1"/>
  <c r="AH203" i="5" s="1"/>
  <c r="K203" i="5" a="1"/>
  <c r="K203" i="5" s="1"/>
  <c r="G203" i="5" a="1"/>
  <c r="G203" i="5" s="1"/>
  <c r="H203" i="5" a="1"/>
  <c r="H203" i="5" s="1"/>
  <c r="L203" i="5" a="1"/>
  <c r="L203" i="5" s="1"/>
  <c r="J203" i="5" a="1"/>
  <c r="J203" i="5" s="1"/>
  <c r="I203" i="5" a="1"/>
  <c r="I203" i="5" s="1"/>
  <c r="M203" i="5" a="1"/>
  <c r="M203" i="5" s="1"/>
  <c r="F204" i="5"/>
  <c r="AE204" i="5" l="1" a="1"/>
  <c r="AE204" i="5" s="1"/>
  <c r="P204" i="5" a="1"/>
  <c r="P204" i="5" s="1"/>
  <c r="T204" i="5" a="1"/>
  <c r="T204" i="5" s="1"/>
  <c r="U204" i="5" a="1"/>
  <c r="U204" i="5" s="1"/>
  <c r="AC204" i="5" a="1"/>
  <c r="AC204" i="5" s="1"/>
  <c r="Z204" i="5" a="1"/>
  <c r="Z204" i="5" s="1"/>
  <c r="W204" i="5" a="1"/>
  <c r="W204" i="5" s="1"/>
  <c r="X204" i="5" a="1"/>
  <c r="X204" i="5" s="1"/>
  <c r="V204" i="5" a="1"/>
  <c r="V204" i="5" s="1"/>
  <c r="Q204" i="5" a="1"/>
  <c r="Q204" i="5" s="1"/>
  <c r="AG204" i="5" a="1"/>
  <c r="AG204" i="5" s="1"/>
  <c r="AA204" i="5" a="1"/>
  <c r="AA204" i="5" s="1"/>
  <c r="R204" i="5" a="1"/>
  <c r="R204" i="5" s="1"/>
  <c r="AF204" i="5" a="1"/>
  <c r="AF204" i="5" s="1"/>
  <c r="O204" i="5" a="1"/>
  <c r="O204" i="5" s="1"/>
  <c r="Y204" i="5" a="1"/>
  <c r="Y204" i="5" s="1"/>
  <c r="S204" i="5" a="1"/>
  <c r="S204" i="5" s="1"/>
  <c r="AD204" i="5" a="1"/>
  <c r="AD204" i="5" s="1"/>
  <c r="N204" i="5" a="1"/>
  <c r="N204" i="5" s="1"/>
  <c r="AB204" i="5" a="1"/>
  <c r="AB204" i="5" s="1"/>
  <c r="AH204" i="5" a="1"/>
  <c r="AH204" i="5" s="1"/>
  <c r="L204" i="5" a="1"/>
  <c r="L204" i="5" s="1"/>
  <c r="K204" i="5" a="1"/>
  <c r="K204" i="5" s="1"/>
  <c r="H204" i="5" a="1"/>
  <c r="H204" i="5" s="1"/>
  <c r="G204" i="5" a="1"/>
  <c r="G204" i="5" s="1"/>
  <c r="I204" i="5" a="1"/>
  <c r="I204" i="5" s="1"/>
  <c r="J204" i="5" a="1"/>
  <c r="J204" i="5" s="1"/>
  <c r="M204" i="5" a="1"/>
  <c r="M204" i="5" s="1"/>
  <c r="F205" i="5"/>
  <c r="P205" i="5" l="1" a="1"/>
  <c r="P205" i="5" s="1"/>
  <c r="AE205" i="5" a="1"/>
  <c r="AE205" i="5" s="1"/>
  <c r="AC205" i="5" a="1"/>
  <c r="AC205" i="5" s="1"/>
  <c r="T205" i="5" a="1"/>
  <c r="T205" i="5" s="1"/>
  <c r="AF205" i="5" a="1"/>
  <c r="AF205" i="5" s="1"/>
  <c r="Z205" i="5" a="1"/>
  <c r="Z205" i="5" s="1"/>
  <c r="W205" i="5" a="1"/>
  <c r="W205" i="5" s="1"/>
  <c r="U205" i="5" a="1"/>
  <c r="U205" i="5" s="1"/>
  <c r="V205" i="5" a="1"/>
  <c r="V205" i="5" s="1"/>
  <c r="AA205" i="5" a="1"/>
  <c r="AA205" i="5" s="1"/>
  <c r="X205" i="5" a="1"/>
  <c r="X205" i="5" s="1"/>
  <c r="R205" i="5" a="1"/>
  <c r="R205" i="5" s="1"/>
  <c r="AG205" i="5" a="1"/>
  <c r="AG205" i="5" s="1"/>
  <c r="Q205" i="5" a="1"/>
  <c r="Q205" i="5" s="1"/>
  <c r="AD205" i="5" a="1"/>
  <c r="AD205" i="5" s="1"/>
  <c r="O205" i="5" a="1"/>
  <c r="O205" i="5" s="1"/>
  <c r="Y205" i="5" a="1"/>
  <c r="Y205" i="5" s="1"/>
  <c r="N205" i="5" a="1"/>
  <c r="N205" i="5" s="1"/>
  <c r="S205" i="5" a="1"/>
  <c r="S205" i="5" s="1"/>
  <c r="AB205" i="5" a="1"/>
  <c r="AB205" i="5" s="1"/>
  <c r="AH205" i="5" a="1"/>
  <c r="AH205" i="5" s="1"/>
  <c r="G205" i="5" a="1"/>
  <c r="G205" i="5" s="1"/>
  <c r="L205" i="5" a="1"/>
  <c r="L205" i="5" s="1"/>
  <c r="H205" i="5" a="1"/>
  <c r="H205" i="5" s="1"/>
  <c r="K205" i="5" a="1"/>
  <c r="K205" i="5" s="1"/>
  <c r="I205" i="5" a="1"/>
  <c r="I205" i="5" s="1"/>
  <c r="J205" i="5" a="1"/>
  <c r="J205" i="5" s="1"/>
  <c r="M205" i="5" a="1"/>
  <c r="M205" i="5" s="1"/>
  <c r="F206" i="5"/>
  <c r="AA57" i="9" l="1"/>
  <c r="W57" i="9"/>
  <c r="Z57" i="9"/>
  <c r="H57" i="9"/>
  <c r="AE206" i="5" a="1"/>
  <c r="AE206" i="5" s="1"/>
  <c r="P206" i="5" a="1"/>
  <c r="P206" i="5" s="1"/>
  <c r="K57" i="9" s="1"/>
  <c r="AC206" i="5" a="1"/>
  <c r="AC206" i="5" s="1"/>
  <c r="T206" i="5" a="1"/>
  <c r="T206" i="5" s="1"/>
  <c r="Z206" i="5" a="1"/>
  <c r="Z206" i="5" s="1"/>
  <c r="U57" i="9" s="1"/>
  <c r="AF206" i="5" a="1"/>
  <c r="AF206" i="5" s="1"/>
  <c r="W206" i="5" a="1"/>
  <c r="W206" i="5" s="1"/>
  <c r="R57" i="9" s="1"/>
  <c r="U206" i="5" a="1"/>
  <c r="U206" i="5" s="1"/>
  <c r="P57" i="9" s="1"/>
  <c r="AG206" i="5" a="1"/>
  <c r="AG206" i="5" s="1"/>
  <c r="V206" i="5" a="1"/>
  <c r="V206" i="5" s="1"/>
  <c r="Q57" i="9" s="1"/>
  <c r="AA206" i="5" a="1"/>
  <c r="AA206" i="5" s="1"/>
  <c r="V57" i="9" s="1"/>
  <c r="X206" i="5" a="1"/>
  <c r="X206" i="5" s="1"/>
  <c r="S57" i="9" s="1"/>
  <c r="O206" i="5" a="1"/>
  <c r="O206" i="5" s="1"/>
  <c r="R206" i="5" a="1"/>
  <c r="R206" i="5" s="1"/>
  <c r="Q206" i="5" a="1"/>
  <c r="Q206" i="5" s="1"/>
  <c r="L57" i="9" s="1"/>
  <c r="Y206" i="5" a="1"/>
  <c r="Y206" i="5" s="1"/>
  <c r="T57" i="9" s="1"/>
  <c r="N206" i="5" a="1"/>
  <c r="N206" i="5" s="1"/>
  <c r="AD206" i="5" a="1"/>
  <c r="AD206" i="5" s="1"/>
  <c r="AB206" i="5" a="1"/>
  <c r="AB206" i="5" s="1"/>
  <c r="S206" i="5" a="1"/>
  <c r="S206" i="5" s="1"/>
  <c r="AH206" i="5" a="1"/>
  <c r="AH206" i="5" s="1"/>
  <c r="AC57" i="9" s="1"/>
  <c r="G206" i="5" a="1"/>
  <c r="G206" i="5" s="1"/>
  <c r="L206" i="5" a="1"/>
  <c r="L206" i="5" s="1"/>
  <c r="H206" i="5" a="1"/>
  <c r="H206" i="5" s="1"/>
  <c r="K206" i="5" a="1"/>
  <c r="K206" i="5" s="1"/>
  <c r="I206" i="5" a="1"/>
  <c r="I206" i="5" s="1"/>
  <c r="J206" i="5" a="1"/>
  <c r="J206" i="5" s="1"/>
  <c r="M206" i="5" a="1"/>
  <c r="M206" i="5" s="1"/>
  <c r="F207" i="5"/>
  <c r="T207" i="5" l="1" a="1"/>
  <c r="T207" i="5" s="1"/>
  <c r="AE207" i="5" a="1"/>
  <c r="AE207" i="5" s="1"/>
  <c r="AC207" i="5" a="1"/>
  <c r="AC207" i="5" s="1"/>
  <c r="P207" i="5" a="1"/>
  <c r="P207" i="5" s="1"/>
  <c r="W207" i="5" a="1"/>
  <c r="W207" i="5" s="1"/>
  <c r="Z207" i="5" a="1"/>
  <c r="Z207" i="5" s="1"/>
  <c r="U207" i="5" a="1"/>
  <c r="U207" i="5" s="1"/>
  <c r="AF207" i="5" a="1"/>
  <c r="AF207" i="5" s="1"/>
  <c r="X207" i="5" a="1"/>
  <c r="X207" i="5" s="1"/>
  <c r="AG207" i="5" a="1"/>
  <c r="AG207" i="5" s="1"/>
  <c r="AD207" i="5" a="1"/>
  <c r="AD207" i="5" s="1"/>
  <c r="V207" i="5" a="1"/>
  <c r="V207" i="5" s="1"/>
  <c r="AA207" i="5" a="1"/>
  <c r="AA207" i="5" s="1"/>
  <c r="R207" i="5" a="1"/>
  <c r="R207" i="5" s="1"/>
  <c r="Q207" i="5" a="1"/>
  <c r="Q207" i="5" s="1"/>
  <c r="O207" i="5" a="1"/>
  <c r="O207" i="5" s="1"/>
  <c r="AH207" i="5" a="1"/>
  <c r="AH207" i="5" s="1"/>
  <c r="Y207" i="5" a="1"/>
  <c r="Y207" i="5" s="1"/>
  <c r="N207" i="5" a="1"/>
  <c r="N207" i="5" s="1"/>
  <c r="S207" i="5" a="1"/>
  <c r="S207" i="5" s="1"/>
  <c r="AB207" i="5" a="1"/>
  <c r="AB207" i="5" s="1"/>
  <c r="K207" i="5" a="1"/>
  <c r="K207" i="5" s="1"/>
  <c r="L207" i="5" a="1"/>
  <c r="L207" i="5" s="1"/>
  <c r="H207" i="5" a="1"/>
  <c r="H207" i="5" s="1"/>
  <c r="J207" i="5" a="1"/>
  <c r="J207" i="5" s="1"/>
  <c r="I207" i="5" a="1"/>
  <c r="I207" i="5" s="1"/>
  <c r="G207" i="5" a="1"/>
  <c r="G207" i="5" s="1"/>
  <c r="M207" i="5" a="1"/>
  <c r="M207" i="5" s="1"/>
  <c r="F208" i="5"/>
  <c r="T208" i="5" l="1" a="1"/>
  <c r="T208" i="5" s="1"/>
  <c r="P208" i="5" a="1"/>
  <c r="P208" i="5" s="1"/>
  <c r="AE208" i="5" a="1"/>
  <c r="AE208" i="5" s="1"/>
  <c r="W208" i="5" a="1"/>
  <c r="W208" i="5" s="1"/>
  <c r="Z208" i="5" a="1"/>
  <c r="Z208" i="5" s="1"/>
  <c r="AC208" i="5" a="1"/>
  <c r="AC208" i="5" s="1"/>
  <c r="U208" i="5" a="1"/>
  <c r="U208" i="5" s="1"/>
  <c r="Q208" i="5" a="1"/>
  <c r="Q208" i="5" s="1"/>
  <c r="AA208" i="5" a="1"/>
  <c r="AA208" i="5" s="1"/>
  <c r="AF208" i="5" a="1"/>
  <c r="AF208" i="5" s="1"/>
  <c r="O208" i="5" a="1"/>
  <c r="O208" i="5" s="1"/>
  <c r="X208" i="5" a="1"/>
  <c r="X208" i="5" s="1"/>
  <c r="R208" i="5" a="1"/>
  <c r="R208" i="5" s="1"/>
  <c r="V208" i="5" a="1"/>
  <c r="V208" i="5" s="1"/>
  <c r="S208" i="5" a="1"/>
  <c r="S208" i="5" s="1"/>
  <c r="AH208" i="5" a="1"/>
  <c r="AH208" i="5" s="1"/>
  <c r="N208" i="5" a="1"/>
  <c r="N208" i="5" s="1"/>
  <c r="Y208" i="5" a="1"/>
  <c r="Y208" i="5" s="1"/>
  <c r="AB208" i="5" a="1"/>
  <c r="AB208" i="5" s="1"/>
  <c r="AG208" i="5" a="1"/>
  <c r="AG208" i="5" s="1"/>
  <c r="AD208" i="5" a="1"/>
  <c r="AD208" i="5" s="1"/>
  <c r="L208" i="5" a="1"/>
  <c r="L208" i="5" s="1"/>
  <c r="K208" i="5" a="1"/>
  <c r="K208" i="5" s="1"/>
  <c r="H208" i="5" a="1"/>
  <c r="H208" i="5" s="1"/>
  <c r="I208" i="5" a="1"/>
  <c r="I208" i="5" s="1"/>
  <c r="J208" i="5" a="1"/>
  <c r="J208" i="5" s="1"/>
  <c r="G208" i="5" a="1"/>
  <c r="G208" i="5" s="1"/>
  <c r="M208" i="5" a="1"/>
  <c r="M208" i="5" s="1"/>
  <c r="F209" i="5"/>
  <c r="T209" i="5" l="1" a="1"/>
  <c r="T209" i="5" s="1"/>
  <c r="P209" i="5" a="1"/>
  <c r="P209" i="5" s="1"/>
  <c r="AE209" i="5" a="1"/>
  <c r="AE209" i="5" s="1"/>
  <c r="AC209" i="5" a="1"/>
  <c r="AC209" i="5" s="1"/>
  <c r="W209" i="5" a="1"/>
  <c r="W209" i="5" s="1"/>
  <c r="U209" i="5" a="1"/>
  <c r="U209" i="5" s="1"/>
  <c r="Z209" i="5" a="1"/>
  <c r="Z209" i="5" s="1"/>
  <c r="AF209" i="5" a="1"/>
  <c r="AF209" i="5" s="1"/>
  <c r="O209" i="5" a="1"/>
  <c r="O209" i="5" s="1"/>
  <c r="X209" i="5" a="1"/>
  <c r="X209" i="5" s="1"/>
  <c r="V209" i="5" a="1"/>
  <c r="V209" i="5" s="1"/>
  <c r="AD209" i="5" a="1"/>
  <c r="AD209" i="5" s="1"/>
  <c r="AG209" i="5" a="1"/>
  <c r="AG209" i="5" s="1"/>
  <c r="Q209" i="5" a="1"/>
  <c r="Q209" i="5" s="1"/>
  <c r="AA209" i="5" a="1"/>
  <c r="AA209" i="5" s="1"/>
  <c r="AB209" i="5" a="1"/>
  <c r="AB209" i="5" s="1"/>
  <c r="S209" i="5" a="1"/>
  <c r="S209" i="5" s="1"/>
  <c r="N209" i="5" a="1"/>
  <c r="N209" i="5" s="1"/>
  <c r="AH209" i="5" a="1"/>
  <c r="AH209" i="5" s="1"/>
  <c r="Y209" i="5" a="1"/>
  <c r="Y209" i="5" s="1"/>
  <c r="R209" i="5" a="1"/>
  <c r="R209" i="5" s="1"/>
  <c r="L209" i="5" a="1"/>
  <c r="L209" i="5" s="1"/>
  <c r="G209" i="5" a="1"/>
  <c r="G209" i="5" s="1"/>
  <c r="H209" i="5" a="1"/>
  <c r="H209" i="5" s="1"/>
  <c r="K209" i="5" a="1"/>
  <c r="K209" i="5" s="1"/>
  <c r="I209" i="5" a="1"/>
  <c r="I209" i="5" s="1"/>
  <c r="J209" i="5" a="1"/>
  <c r="J209" i="5" s="1"/>
  <c r="M209" i="5" a="1"/>
  <c r="M209" i="5" s="1"/>
  <c r="F210" i="5"/>
  <c r="AE210" i="5" l="1" a="1"/>
  <c r="AE210" i="5" s="1"/>
  <c r="T210" i="5" a="1"/>
  <c r="T210" i="5" s="1"/>
  <c r="P210" i="5" a="1"/>
  <c r="P210" i="5" s="1"/>
  <c r="AC210" i="5" a="1"/>
  <c r="AC210" i="5" s="1"/>
  <c r="X58" i="9" s="1"/>
  <c r="U210" i="5" a="1"/>
  <c r="U210" i="5" s="1"/>
  <c r="P58" i="9" s="1"/>
  <c r="Z210" i="5" a="1"/>
  <c r="Z210" i="5" s="1"/>
  <c r="U58" i="9" s="1"/>
  <c r="W210" i="5" a="1"/>
  <c r="W210" i="5" s="1"/>
  <c r="R58" i="9" s="1"/>
  <c r="AF210" i="5" a="1"/>
  <c r="AF210" i="5" s="1"/>
  <c r="Q210" i="5" a="1"/>
  <c r="Q210" i="5" s="1"/>
  <c r="AA210" i="5" a="1"/>
  <c r="AA210" i="5" s="1"/>
  <c r="V58" i="9" s="1"/>
  <c r="O210" i="5" a="1"/>
  <c r="O210" i="5" s="1"/>
  <c r="AG210" i="5" a="1"/>
  <c r="AG210" i="5" s="1"/>
  <c r="V210" i="5" a="1"/>
  <c r="V210" i="5" s="1"/>
  <c r="Q58" i="9" s="1"/>
  <c r="X210" i="5" a="1"/>
  <c r="X210" i="5" s="1"/>
  <c r="S58" i="9" s="1"/>
  <c r="AD210" i="5" a="1"/>
  <c r="AD210" i="5" s="1"/>
  <c r="AH210" i="5" a="1"/>
  <c r="AH210" i="5" s="1"/>
  <c r="R210" i="5" a="1"/>
  <c r="R210" i="5" s="1"/>
  <c r="M58" i="9" s="1"/>
  <c r="N210" i="5" a="1"/>
  <c r="N210" i="5" s="1"/>
  <c r="S210" i="5" a="1"/>
  <c r="S210" i="5" s="1"/>
  <c r="Y210" i="5" a="1"/>
  <c r="Y210" i="5" s="1"/>
  <c r="T58" i="9" s="1"/>
  <c r="AB210" i="5" a="1"/>
  <c r="AB210" i="5" s="1"/>
  <c r="L210" i="5" a="1"/>
  <c r="L210" i="5" s="1"/>
  <c r="G210" i="5" a="1"/>
  <c r="G210" i="5" s="1"/>
  <c r="H210" i="5" a="1"/>
  <c r="H210" i="5" s="1"/>
  <c r="K210" i="5" a="1"/>
  <c r="K210" i="5" s="1"/>
  <c r="I210" i="5" a="1"/>
  <c r="I210" i="5" s="1"/>
  <c r="J210" i="5" a="1"/>
  <c r="J210" i="5" s="1"/>
  <c r="M210" i="5" a="1"/>
  <c r="M210" i="5" s="1"/>
  <c r="F211" i="5"/>
  <c r="AC211" i="5" l="1" a="1"/>
  <c r="AC211" i="5" s="1"/>
  <c r="AE211" i="5" a="1"/>
  <c r="AE211" i="5" s="1"/>
  <c r="T211" i="5" a="1"/>
  <c r="T211" i="5" s="1"/>
  <c r="P211" i="5" a="1"/>
  <c r="P211" i="5" s="1"/>
  <c r="Z211" i="5" a="1"/>
  <c r="Z211" i="5" s="1"/>
  <c r="W211" i="5" a="1"/>
  <c r="W211" i="5" s="1"/>
  <c r="U211" i="5" a="1"/>
  <c r="U211" i="5" s="1"/>
  <c r="AF211" i="5" a="1"/>
  <c r="AF211" i="5" s="1"/>
  <c r="AG211" i="5" a="1"/>
  <c r="AG211" i="5" s="1"/>
  <c r="Q211" i="5" a="1"/>
  <c r="Q211" i="5" s="1"/>
  <c r="AA211" i="5" a="1"/>
  <c r="AA211" i="5" s="1"/>
  <c r="O211" i="5" a="1"/>
  <c r="O211" i="5" s="1"/>
  <c r="V211" i="5" a="1"/>
  <c r="V211" i="5" s="1"/>
  <c r="X211" i="5" a="1"/>
  <c r="X211" i="5" s="1"/>
  <c r="AD211" i="5" a="1"/>
  <c r="AD211" i="5" s="1"/>
  <c r="S211" i="5" a="1"/>
  <c r="S211" i="5" s="1"/>
  <c r="AB211" i="5" a="1"/>
  <c r="AB211" i="5" s="1"/>
  <c r="AH211" i="5" a="1"/>
  <c r="AH211" i="5" s="1"/>
  <c r="Y211" i="5" a="1"/>
  <c r="Y211" i="5" s="1"/>
  <c r="N211" i="5" a="1"/>
  <c r="N211" i="5" s="1"/>
  <c r="R211" i="5" a="1"/>
  <c r="R211" i="5" s="1"/>
  <c r="G211" i="5" a="1"/>
  <c r="G211" i="5" s="1"/>
  <c r="L211" i="5" a="1"/>
  <c r="L211" i="5" s="1"/>
  <c r="K211" i="5" a="1"/>
  <c r="K211" i="5" s="1"/>
  <c r="H211" i="5" a="1"/>
  <c r="H211" i="5" s="1"/>
  <c r="I211" i="5" a="1"/>
  <c r="I211" i="5" s="1"/>
  <c r="J211" i="5" a="1"/>
  <c r="J211" i="5" s="1"/>
  <c r="M211" i="5" a="1"/>
  <c r="M211" i="5" s="1"/>
  <c r="F212" i="5"/>
  <c r="AE212" i="5" l="1" a="1"/>
  <c r="AE212" i="5" s="1"/>
  <c r="AC212" i="5" a="1"/>
  <c r="AC212" i="5" s="1"/>
  <c r="T212" i="5" a="1"/>
  <c r="T212" i="5" s="1"/>
  <c r="P212" i="5" a="1"/>
  <c r="P212" i="5" s="1"/>
  <c r="Z212" i="5" a="1"/>
  <c r="Z212" i="5" s="1"/>
  <c r="U212" i="5" a="1"/>
  <c r="U212" i="5" s="1"/>
  <c r="AF212" i="5" a="1"/>
  <c r="AF212" i="5" s="1"/>
  <c r="W212" i="5" a="1"/>
  <c r="W212" i="5" s="1"/>
  <c r="AA212" i="5" a="1"/>
  <c r="AA212" i="5" s="1"/>
  <c r="V212" i="5" a="1"/>
  <c r="V212" i="5" s="1"/>
  <c r="AG212" i="5" a="1"/>
  <c r="AG212" i="5" s="1"/>
  <c r="Q212" i="5" a="1"/>
  <c r="Q212" i="5" s="1"/>
  <c r="X212" i="5" a="1"/>
  <c r="X212" i="5" s="1"/>
  <c r="R212" i="5" a="1"/>
  <c r="R212" i="5" s="1"/>
  <c r="O212" i="5" a="1"/>
  <c r="O212" i="5" s="1"/>
  <c r="AD212" i="5" a="1"/>
  <c r="AD212" i="5" s="1"/>
  <c r="Y212" i="5" a="1"/>
  <c r="Y212" i="5" s="1"/>
  <c r="AB212" i="5" a="1"/>
  <c r="AB212" i="5" s="1"/>
  <c r="S212" i="5" a="1"/>
  <c r="S212" i="5" s="1"/>
  <c r="AH212" i="5" a="1"/>
  <c r="AH212" i="5" s="1"/>
  <c r="N212" i="5" a="1"/>
  <c r="N212" i="5" s="1"/>
  <c r="L212" i="5" a="1"/>
  <c r="L212" i="5" s="1"/>
  <c r="K212" i="5" a="1"/>
  <c r="K212" i="5" s="1"/>
  <c r="H212" i="5" a="1"/>
  <c r="H212" i="5" s="1"/>
  <c r="I212" i="5" a="1"/>
  <c r="I212" i="5" s="1"/>
  <c r="G212" i="5" a="1"/>
  <c r="G212" i="5" s="1"/>
  <c r="J212" i="5" a="1"/>
  <c r="J212" i="5" s="1"/>
  <c r="M212" i="5" a="1"/>
  <c r="M212" i="5" s="1"/>
  <c r="F213" i="5"/>
  <c r="T213" i="5" l="1" a="1"/>
  <c r="T213" i="5" s="1"/>
  <c r="AE213" i="5" a="1"/>
  <c r="AE213" i="5" s="1"/>
  <c r="P213" i="5" a="1"/>
  <c r="P213" i="5" s="1"/>
  <c r="AC213" i="5" a="1"/>
  <c r="AC213" i="5" s="1"/>
  <c r="W213" i="5" a="1"/>
  <c r="W213" i="5" s="1"/>
  <c r="U213" i="5" a="1"/>
  <c r="U213" i="5" s="1"/>
  <c r="Z213" i="5" a="1"/>
  <c r="Z213" i="5" s="1"/>
  <c r="O213" i="5" a="1"/>
  <c r="O213" i="5" s="1"/>
  <c r="AF213" i="5" a="1"/>
  <c r="AF213" i="5" s="1"/>
  <c r="X213" i="5" a="1"/>
  <c r="X213" i="5" s="1"/>
  <c r="AG213" i="5" a="1"/>
  <c r="AG213" i="5" s="1"/>
  <c r="Q213" i="5" a="1"/>
  <c r="Q213" i="5" s="1"/>
  <c r="V213" i="5" a="1"/>
  <c r="V213" i="5" s="1"/>
  <c r="AA213" i="5" a="1"/>
  <c r="AA213" i="5" s="1"/>
  <c r="AB213" i="5" a="1"/>
  <c r="AB213" i="5" s="1"/>
  <c r="Y213" i="5" a="1"/>
  <c r="Y213" i="5" s="1"/>
  <c r="AD213" i="5" a="1"/>
  <c r="AD213" i="5" s="1"/>
  <c r="R213" i="5" a="1"/>
  <c r="R213" i="5" s="1"/>
  <c r="N213" i="5" a="1"/>
  <c r="N213" i="5" s="1"/>
  <c r="S213" i="5" a="1"/>
  <c r="S213" i="5" s="1"/>
  <c r="AH213" i="5" a="1"/>
  <c r="AH213" i="5" s="1"/>
  <c r="G213" i="5" a="1"/>
  <c r="G213" i="5" s="1"/>
  <c r="L213" i="5" a="1"/>
  <c r="L213" i="5" s="1"/>
  <c r="H213" i="5" a="1"/>
  <c r="H213" i="5" s="1"/>
  <c r="K213" i="5" a="1"/>
  <c r="K213" i="5" s="1"/>
  <c r="I213" i="5" a="1"/>
  <c r="I213" i="5" s="1"/>
  <c r="J213" i="5" a="1"/>
  <c r="J213" i="5" s="1"/>
  <c r="M213" i="5" a="1"/>
  <c r="M213" i="5" s="1"/>
  <c r="F214" i="5"/>
  <c r="N59" i="9" l="1"/>
  <c r="AA59" i="9"/>
  <c r="O59" i="9"/>
  <c r="AE214" i="5" a="1"/>
  <c r="AE214" i="5" s="1"/>
  <c r="AC214" i="5" a="1"/>
  <c r="AC214" i="5" s="1"/>
  <c r="X59" i="9" s="1"/>
  <c r="T214" i="5" a="1"/>
  <c r="T214" i="5" s="1"/>
  <c r="P214" i="5" a="1"/>
  <c r="P214" i="5" s="1"/>
  <c r="Z214" i="5" a="1"/>
  <c r="Z214" i="5" s="1"/>
  <c r="U59" i="9" s="1"/>
  <c r="U214" i="5" a="1"/>
  <c r="U214" i="5" s="1"/>
  <c r="P59" i="9" s="1"/>
  <c r="W214" i="5" a="1"/>
  <c r="W214" i="5" s="1"/>
  <c r="R59" i="9" s="1"/>
  <c r="AA214" i="5" a="1"/>
  <c r="AA214" i="5" s="1"/>
  <c r="V59" i="9" s="1"/>
  <c r="AF214" i="5" a="1"/>
  <c r="AF214" i="5" s="1"/>
  <c r="X214" i="5" a="1"/>
  <c r="X214" i="5" s="1"/>
  <c r="S59" i="9" s="1"/>
  <c r="Q214" i="5" a="1"/>
  <c r="Q214" i="5" s="1"/>
  <c r="O214" i="5" a="1"/>
  <c r="O214" i="5" s="1"/>
  <c r="AD214" i="5" a="1"/>
  <c r="AD214" i="5" s="1"/>
  <c r="Y59" i="9" s="1"/>
  <c r="Y214" i="5" a="1"/>
  <c r="Y214" i="5" s="1"/>
  <c r="T59" i="9" s="1"/>
  <c r="R214" i="5" a="1"/>
  <c r="R214" i="5" s="1"/>
  <c r="M59" i="9" s="1"/>
  <c r="N214" i="5" a="1"/>
  <c r="N214" i="5" s="1"/>
  <c r="S214" i="5" a="1"/>
  <c r="S214" i="5" s="1"/>
  <c r="AB214" i="5" a="1"/>
  <c r="AB214" i="5" s="1"/>
  <c r="V214" i="5" a="1"/>
  <c r="V214" i="5" s="1"/>
  <c r="Q59" i="9" s="1"/>
  <c r="AH214" i="5" a="1"/>
  <c r="AH214" i="5" s="1"/>
  <c r="AG214" i="5" a="1"/>
  <c r="AG214" i="5" s="1"/>
  <c r="G214" i="5" a="1"/>
  <c r="G214" i="5" s="1"/>
  <c r="H214" i="5" a="1"/>
  <c r="H214" i="5" s="1"/>
  <c r="C6" i="6" s="1"/>
  <c r="K214" i="5" a="1"/>
  <c r="K214" i="5" s="1"/>
  <c r="F6" i="6" s="1"/>
  <c r="L214" i="5" a="1"/>
  <c r="L214" i="5" s="1"/>
  <c r="G6" i="6" s="1"/>
  <c r="I214" i="5" a="1"/>
  <c r="I214" i="5" s="1"/>
  <c r="D6" i="6" s="1"/>
  <c r="J214" i="5" a="1"/>
  <c r="J214" i="5" s="1"/>
  <c r="E6" i="6" s="1"/>
  <c r="M214" i="5" a="1"/>
  <c r="M214" i="5" s="1"/>
  <c r="H6" i="6" s="1"/>
  <c r="F215" i="5"/>
  <c r="B6" i="6" l="1"/>
  <c r="B59" i="9"/>
  <c r="AE215" i="5" a="1"/>
  <c r="AE215" i="5" s="1"/>
  <c r="T215" i="5" a="1"/>
  <c r="T215" i="5" s="1"/>
  <c r="P215" i="5" a="1"/>
  <c r="P215" i="5" s="1"/>
  <c r="AC215" i="5" a="1"/>
  <c r="AC215" i="5" s="1"/>
  <c r="W215" i="5" a="1"/>
  <c r="W215" i="5" s="1"/>
  <c r="U215" i="5" a="1"/>
  <c r="U215" i="5" s="1"/>
  <c r="Z215" i="5" a="1"/>
  <c r="Z215" i="5" s="1"/>
  <c r="X215" i="5" a="1"/>
  <c r="X215" i="5" s="1"/>
  <c r="Q215" i="5" a="1"/>
  <c r="Q215" i="5" s="1"/>
  <c r="AA215" i="5" a="1"/>
  <c r="AA215" i="5" s="1"/>
  <c r="R215" i="5" a="1"/>
  <c r="R215" i="5" s="1"/>
  <c r="V215" i="5" a="1"/>
  <c r="V215" i="5" s="1"/>
  <c r="AG215" i="5" a="1"/>
  <c r="AG215" i="5" s="1"/>
  <c r="O215" i="5" a="1"/>
  <c r="O215" i="5" s="1"/>
  <c r="AF215" i="5" a="1"/>
  <c r="AF215" i="5" s="1"/>
  <c r="N215" i="5" a="1"/>
  <c r="N215" i="5" s="1"/>
  <c r="S215" i="5" a="1"/>
  <c r="S215" i="5" s="1"/>
  <c r="AH215" i="5" a="1"/>
  <c r="AH215" i="5" s="1"/>
  <c r="AD215" i="5" a="1"/>
  <c r="AD215" i="5" s="1"/>
  <c r="AB215" i="5" a="1"/>
  <c r="AB215" i="5" s="1"/>
  <c r="Y215" i="5" a="1"/>
  <c r="Y215" i="5" s="1"/>
  <c r="L215" i="5" a="1"/>
  <c r="L215" i="5" s="1"/>
  <c r="K215" i="5" a="1"/>
  <c r="K215" i="5" s="1"/>
  <c r="H215" i="5" a="1"/>
  <c r="H215" i="5" s="1"/>
  <c r="I215" i="5" a="1"/>
  <c r="I215" i="5" s="1"/>
  <c r="G215" i="5" a="1"/>
  <c r="G215" i="5" s="1"/>
  <c r="J215" i="5" a="1"/>
  <c r="J215" i="5" s="1"/>
  <c r="M215" i="5" a="1"/>
  <c r="M215" i="5" s="1"/>
  <c r="F216" i="5"/>
  <c r="AE216" i="5" l="1" a="1"/>
  <c r="AE216" i="5" s="1"/>
  <c r="AC216" i="5" a="1"/>
  <c r="AC216" i="5" s="1"/>
  <c r="T216" i="5" a="1"/>
  <c r="T216" i="5" s="1"/>
  <c r="P216" i="5" a="1"/>
  <c r="P216" i="5" s="1"/>
  <c r="U216" i="5" a="1"/>
  <c r="U216" i="5" s="1"/>
  <c r="Z216" i="5" a="1"/>
  <c r="Z216" i="5" s="1"/>
  <c r="W216" i="5" a="1"/>
  <c r="W216" i="5" s="1"/>
  <c r="AF216" i="5" a="1"/>
  <c r="AF216" i="5" s="1"/>
  <c r="V216" i="5" a="1"/>
  <c r="V216" i="5" s="1"/>
  <c r="AG216" i="5" a="1"/>
  <c r="AG216" i="5" s="1"/>
  <c r="AA216" i="5" a="1"/>
  <c r="AA216" i="5" s="1"/>
  <c r="Q216" i="5" a="1"/>
  <c r="Q216" i="5" s="1"/>
  <c r="O216" i="5" a="1"/>
  <c r="O216" i="5" s="1"/>
  <c r="X216" i="5" a="1"/>
  <c r="X216" i="5" s="1"/>
  <c r="R216" i="5" a="1"/>
  <c r="R216" i="5" s="1"/>
  <c r="N216" i="5" a="1"/>
  <c r="N216" i="5" s="1"/>
  <c r="S216" i="5" a="1"/>
  <c r="S216" i="5" s="1"/>
  <c r="AD216" i="5" a="1"/>
  <c r="AD216" i="5" s="1"/>
  <c r="Y216" i="5" a="1"/>
  <c r="Y216" i="5" s="1"/>
  <c r="AH216" i="5" a="1"/>
  <c r="AH216" i="5" s="1"/>
  <c r="AB216" i="5" a="1"/>
  <c r="AB216" i="5" s="1"/>
  <c r="K216" i="5" a="1"/>
  <c r="K216" i="5" s="1"/>
  <c r="F7" i="6" s="1"/>
  <c r="F3" i="6" s="1"/>
  <c r="J216" i="5" a="1"/>
  <c r="J216" i="5" s="1"/>
  <c r="E7" i="6" s="1"/>
  <c r="E3" i="6" s="1"/>
  <c r="L216" i="5" a="1"/>
  <c r="L216" i="5" s="1"/>
  <c r="G7" i="6" s="1"/>
  <c r="G3" i="6" s="1"/>
  <c r="H216" i="5" a="1"/>
  <c r="H216" i="5" s="1"/>
  <c r="C7" i="6" s="1"/>
  <c r="C3" i="6" s="1"/>
  <c r="G216" i="5" a="1"/>
  <c r="G216" i="5" s="1"/>
  <c r="B7" i="6" s="1"/>
  <c r="B3" i="6" s="1"/>
  <c r="I216" i="5" a="1"/>
  <c r="I216" i="5" s="1"/>
  <c r="D7" i="6" s="1"/>
  <c r="D3" i="6" s="1"/>
  <c r="M216" i="5" a="1"/>
  <c r="M216" i="5" s="1"/>
  <c r="H7" i="6" s="1"/>
  <c r="H3" i="6" s="1"/>
  <c r="F217" i="5"/>
  <c r="AC217" i="5" l="1" a="1"/>
  <c r="AC217" i="5" s="1"/>
  <c r="AE217" i="5" a="1"/>
  <c r="AE217" i="5" s="1"/>
  <c r="P217" i="5" a="1"/>
  <c r="P217" i="5" s="1"/>
  <c r="T217" i="5" a="1"/>
  <c r="T217" i="5" s="1"/>
  <c r="AF217" i="5" a="1"/>
  <c r="AF217" i="5" s="1"/>
  <c r="W217" i="5" a="1"/>
  <c r="W217" i="5" s="1"/>
  <c r="Z217" i="5" a="1"/>
  <c r="Z217" i="5" s="1"/>
  <c r="U217" i="5" a="1"/>
  <c r="U217" i="5" s="1"/>
  <c r="X217" i="5" a="1"/>
  <c r="X217" i="5" s="1"/>
  <c r="O217" i="5" a="1"/>
  <c r="O217" i="5" s="1"/>
  <c r="AA217" i="5" a="1"/>
  <c r="AA217" i="5" s="1"/>
  <c r="V217" i="5" a="1"/>
  <c r="V217" i="5" s="1"/>
  <c r="Q217" i="5" a="1"/>
  <c r="Q217" i="5" s="1"/>
  <c r="AG217" i="5" a="1"/>
  <c r="AG217" i="5" s="1"/>
  <c r="R217" i="5" a="1"/>
  <c r="R217" i="5" s="1"/>
  <c r="N217" i="5" a="1"/>
  <c r="N217" i="5" s="1"/>
  <c r="AH217" i="5" a="1"/>
  <c r="AH217" i="5" s="1"/>
  <c r="AD217" i="5" a="1"/>
  <c r="AD217" i="5" s="1"/>
  <c r="Y217" i="5" a="1"/>
  <c r="Y217" i="5" s="1"/>
  <c r="S217" i="5" a="1"/>
  <c r="S217" i="5" s="1"/>
  <c r="AB217" i="5" a="1"/>
  <c r="AB217" i="5" s="1"/>
  <c r="K217" i="5" a="1"/>
  <c r="K217" i="5" s="1"/>
  <c r="H217" i="5" a="1"/>
  <c r="H217" i="5" s="1"/>
  <c r="I217" i="5" a="1"/>
  <c r="I217" i="5" s="1"/>
  <c r="G217" i="5" a="1"/>
  <c r="G217" i="5" s="1"/>
  <c r="J217" i="5" a="1"/>
  <c r="J217" i="5" s="1"/>
  <c r="L217" i="5" a="1"/>
  <c r="L217" i="5" s="1"/>
  <c r="M217" i="5" a="1"/>
  <c r="M217" i="5" s="1"/>
  <c r="F218" i="5"/>
  <c r="N60" i="9" l="1"/>
  <c r="B60" i="9"/>
  <c r="T218" i="5" a="1"/>
  <c r="T218" i="5" s="1"/>
  <c r="P218" i="5" a="1"/>
  <c r="P218" i="5" s="1"/>
  <c r="K60" i="9" s="1"/>
  <c r="AC218" i="5" a="1"/>
  <c r="AC218" i="5" s="1"/>
  <c r="AE218" i="5" a="1"/>
  <c r="AE218" i="5" s="1"/>
  <c r="U218" i="5" a="1"/>
  <c r="U218" i="5" s="1"/>
  <c r="P60" i="9" s="1"/>
  <c r="W218" i="5" a="1"/>
  <c r="W218" i="5" s="1"/>
  <c r="R60" i="9" s="1"/>
  <c r="AF218" i="5" a="1"/>
  <c r="AF218" i="5" s="1"/>
  <c r="Z218" i="5" a="1"/>
  <c r="Z218" i="5" s="1"/>
  <c r="U60" i="9" s="1"/>
  <c r="Q218" i="5" a="1"/>
  <c r="Q218" i="5" s="1"/>
  <c r="O218" i="5" a="1"/>
  <c r="O218" i="5" s="1"/>
  <c r="V218" i="5" a="1"/>
  <c r="V218" i="5" s="1"/>
  <c r="Q60" i="9" s="1"/>
  <c r="AA218" i="5" a="1"/>
  <c r="AA218" i="5" s="1"/>
  <c r="V60" i="9" s="1"/>
  <c r="X218" i="5" a="1"/>
  <c r="X218" i="5" s="1"/>
  <c r="S60" i="9" s="1"/>
  <c r="AG218" i="5" a="1"/>
  <c r="AG218" i="5" s="1"/>
  <c r="AD218" i="5" a="1"/>
  <c r="AD218" i="5" s="1"/>
  <c r="Y218" i="5" a="1"/>
  <c r="Y218" i="5" s="1"/>
  <c r="T60" i="9" s="1"/>
  <c r="N218" i="5" a="1"/>
  <c r="N218" i="5" s="1"/>
  <c r="S218" i="5" a="1"/>
  <c r="S218" i="5" s="1"/>
  <c r="AH218" i="5" a="1"/>
  <c r="AH218" i="5" s="1"/>
  <c r="AC60" i="9" s="1"/>
  <c r="AB218" i="5" a="1"/>
  <c r="AB218" i="5" s="1"/>
  <c r="R218" i="5" a="1"/>
  <c r="R218" i="5" s="1"/>
  <c r="K218" i="5" a="1"/>
  <c r="K218" i="5" s="1"/>
  <c r="F8" i="6" s="1"/>
  <c r="F4" i="6" s="1"/>
  <c r="L218" i="5" a="1"/>
  <c r="L218" i="5" s="1"/>
  <c r="G8" i="6" s="1"/>
  <c r="G4" i="6" s="1"/>
  <c r="G218" i="5" a="1"/>
  <c r="G218" i="5" s="1"/>
  <c r="B8" i="6" s="1"/>
  <c r="B4" i="6" s="1"/>
  <c r="J218" i="5" a="1"/>
  <c r="J218" i="5" s="1"/>
  <c r="E8" i="6" s="1"/>
  <c r="E4" i="6" s="1"/>
  <c r="H218" i="5" a="1"/>
  <c r="H218" i="5" s="1"/>
  <c r="C8" i="6" s="1"/>
  <c r="C4" i="6" s="1"/>
  <c r="I218" i="5" a="1"/>
  <c r="I218" i="5" s="1"/>
  <c r="D8" i="6" s="1"/>
  <c r="D4" i="6" s="1"/>
  <c r="M218" i="5" a="1"/>
  <c r="M218" i="5" s="1"/>
  <c r="F219" i="5"/>
  <c r="H8" i="6" l="1"/>
  <c r="H4" i="6" s="1"/>
  <c r="H60" i="9"/>
  <c r="Z4" i="6"/>
  <c r="E60" i="9"/>
  <c r="T219" i="5" a="1"/>
  <c r="T219" i="5" s="1"/>
  <c r="P219" i="5" a="1"/>
  <c r="P219" i="5" s="1"/>
  <c r="AC219" i="5" a="1"/>
  <c r="AC219" i="5" s="1"/>
  <c r="AE219" i="5" a="1"/>
  <c r="AE219" i="5" s="1"/>
  <c r="U219" i="5" a="1"/>
  <c r="U219" i="5" s="1"/>
  <c r="AF219" i="5" a="1"/>
  <c r="AF219" i="5" s="1"/>
  <c r="Z219" i="5" a="1"/>
  <c r="Z219" i="5" s="1"/>
  <c r="W219" i="5" a="1"/>
  <c r="W219" i="5" s="1"/>
  <c r="Q219" i="5" a="1"/>
  <c r="Q219" i="5" s="1"/>
  <c r="V219" i="5" a="1"/>
  <c r="V219" i="5" s="1"/>
  <c r="R219" i="5" a="1"/>
  <c r="R219" i="5" s="1"/>
  <c r="O219" i="5" a="1"/>
  <c r="O219" i="5" s="1"/>
  <c r="AA219" i="5" a="1"/>
  <c r="AA219" i="5" s="1"/>
  <c r="AG219" i="5" a="1"/>
  <c r="AG219" i="5" s="1"/>
  <c r="X219" i="5" a="1"/>
  <c r="X219" i="5" s="1"/>
  <c r="AD219" i="5" a="1"/>
  <c r="AD219" i="5" s="1"/>
  <c r="N219" i="5" a="1"/>
  <c r="N219" i="5" s="1"/>
  <c r="AH219" i="5" a="1"/>
  <c r="AH219" i="5" s="1"/>
  <c r="AB219" i="5" a="1"/>
  <c r="AB219" i="5" s="1"/>
  <c r="S219" i="5" a="1"/>
  <c r="S219" i="5" s="1"/>
  <c r="Y219" i="5" a="1"/>
  <c r="Y219" i="5" s="1"/>
  <c r="L219" i="5" a="1"/>
  <c r="L219" i="5" s="1"/>
  <c r="H219" i="5" a="1"/>
  <c r="H219" i="5" s="1"/>
  <c r="K219" i="5" a="1"/>
  <c r="K219" i="5" s="1"/>
  <c r="I219" i="5" a="1"/>
  <c r="I219" i="5" s="1"/>
  <c r="G219" i="5" a="1"/>
  <c r="G219" i="5" s="1"/>
  <c r="J219" i="5" a="1"/>
  <c r="J219" i="5" s="1"/>
  <c r="M219" i="5" a="1"/>
  <c r="M219" i="5" s="1"/>
  <c r="F220" i="5"/>
  <c r="T220" i="5" l="1" a="1"/>
  <c r="T220" i="5" s="1"/>
  <c r="AE220" i="5" a="1"/>
  <c r="AE220" i="5" s="1"/>
  <c r="AC220" i="5" a="1"/>
  <c r="AC220" i="5" s="1"/>
  <c r="P220" i="5" a="1"/>
  <c r="P220" i="5" s="1"/>
  <c r="U220" i="5" a="1"/>
  <c r="U220" i="5" s="1"/>
  <c r="Z220" i="5" a="1"/>
  <c r="Z220" i="5" s="1"/>
  <c r="W220" i="5" a="1"/>
  <c r="W220" i="5" s="1"/>
  <c r="Q220" i="5" a="1"/>
  <c r="Q220" i="5" s="1"/>
  <c r="R220" i="5" a="1"/>
  <c r="R220" i="5" s="1"/>
  <c r="AG220" i="5" a="1"/>
  <c r="AG220" i="5" s="1"/>
  <c r="O220" i="5" a="1"/>
  <c r="O220" i="5" s="1"/>
  <c r="X220" i="5" a="1"/>
  <c r="X220" i="5" s="1"/>
  <c r="AF220" i="5" a="1"/>
  <c r="AF220" i="5" s="1"/>
  <c r="AA220" i="5" a="1"/>
  <c r="AA220" i="5" s="1"/>
  <c r="V220" i="5" a="1"/>
  <c r="V220" i="5" s="1"/>
  <c r="AD220" i="5" a="1"/>
  <c r="AD220" i="5" s="1"/>
  <c r="AH220" i="5" a="1"/>
  <c r="AH220" i="5" s="1"/>
  <c r="AB220" i="5" a="1"/>
  <c r="AB220" i="5" s="1"/>
  <c r="Y220" i="5" a="1"/>
  <c r="Y220" i="5" s="1"/>
  <c r="S220" i="5" a="1"/>
  <c r="S220" i="5" s="1"/>
  <c r="N220" i="5" a="1"/>
  <c r="N220" i="5" s="1"/>
  <c r="G220" i="5" a="1"/>
  <c r="G220" i="5" s="1"/>
  <c r="L220" i="5" a="1"/>
  <c r="L220" i="5" s="1"/>
  <c r="J220" i="5" a="1"/>
  <c r="J220" i="5" s="1"/>
  <c r="H220" i="5" a="1"/>
  <c r="H220" i="5" s="1"/>
  <c r="K220" i="5" a="1"/>
  <c r="K220" i="5" s="1"/>
  <c r="I220" i="5" a="1"/>
  <c r="I220" i="5" s="1"/>
  <c r="M220" i="5" a="1"/>
  <c r="M220" i="5" s="1"/>
  <c r="F221" i="5"/>
  <c r="AC221" i="5" l="1" a="1"/>
  <c r="AC221" i="5" s="1"/>
  <c r="AE221" i="5" a="1"/>
  <c r="AE221" i="5" s="1"/>
  <c r="P221" i="5" a="1"/>
  <c r="P221" i="5" s="1"/>
  <c r="T221" i="5" a="1"/>
  <c r="T221" i="5" s="1"/>
  <c r="Z221" i="5" a="1"/>
  <c r="Z221" i="5" s="1"/>
  <c r="U221" i="5" a="1"/>
  <c r="U221" i="5" s="1"/>
  <c r="W221" i="5" a="1"/>
  <c r="W221" i="5" s="1"/>
  <c r="AF221" i="5" a="1"/>
  <c r="AF221" i="5" s="1"/>
  <c r="X221" i="5" a="1"/>
  <c r="X221" i="5" s="1"/>
  <c r="V221" i="5" a="1"/>
  <c r="V221" i="5" s="1"/>
  <c r="Q221" i="5" a="1"/>
  <c r="Q221" i="5" s="1"/>
  <c r="AD221" i="5" a="1"/>
  <c r="AD221" i="5" s="1"/>
  <c r="AG221" i="5" a="1"/>
  <c r="AG221" i="5" s="1"/>
  <c r="O221" i="5" a="1"/>
  <c r="O221" i="5" s="1"/>
  <c r="AA221" i="5" a="1"/>
  <c r="AA221" i="5" s="1"/>
  <c r="S221" i="5" a="1"/>
  <c r="S221" i="5" s="1"/>
  <c r="N221" i="5" a="1"/>
  <c r="N221" i="5" s="1"/>
  <c r="R221" i="5" a="1"/>
  <c r="R221" i="5" s="1"/>
  <c r="AB221" i="5" a="1"/>
  <c r="AB221" i="5" s="1"/>
  <c r="AH221" i="5" a="1"/>
  <c r="AH221" i="5" s="1"/>
  <c r="Y221" i="5" a="1"/>
  <c r="Y221" i="5" s="1"/>
  <c r="G221" i="5" a="1"/>
  <c r="G221" i="5" s="1"/>
  <c r="K221" i="5" a="1"/>
  <c r="K221" i="5" s="1"/>
  <c r="L221" i="5" a="1"/>
  <c r="L221" i="5" s="1"/>
  <c r="J221" i="5" a="1"/>
  <c r="J221" i="5" s="1"/>
  <c r="H221" i="5" a="1"/>
  <c r="H221" i="5" s="1"/>
  <c r="I221" i="5" a="1"/>
  <c r="I221" i="5" s="1"/>
  <c r="M221" i="5" a="1"/>
  <c r="M221" i="5" s="1"/>
  <c r="F222" i="5"/>
  <c r="AE222" i="5" l="1" a="1"/>
  <c r="AE222" i="5" s="1"/>
  <c r="Z61" i="9" s="1"/>
  <c r="AC222" i="5" a="1"/>
  <c r="AC222" i="5" s="1"/>
  <c r="P222" i="5" a="1"/>
  <c r="P222" i="5" s="1"/>
  <c r="T222" i="5" a="1"/>
  <c r="T222" i="5" s="1"/>
  <c r="U222" i="5" a="1"/>
  <c r="U222" i="5" s="1"/>
  <c r="P61" i="9" s="1"/>
  <c r="Z222" i="5" a="1"/>
  <c r="Z222" i="5" s="1"/>
  <c r="U61" i="9" s="1"/>
  <c r="AF222" i="5" a="1"/>
  <c r="AF222" i="5" s="1"/>
  <c r="W222" i="5" a="1"/>
  <c r="W222" i="5" s="1"/>
  <c r="R61" i="9" s="1"/>
  <c r="O222" i="5" a="1"/>
  <c r="O222" i="5" s="1"/>
  <c r="Q222" i="5" a="1"/>
  <c r="Q222" i="5" s="1"/>
  <c r="V222" i="5" a="1"/>
  <c r="V222" i="5" s="1"/>
  <c r="Q61" i="9" s="1"/>
  <c r="X222" i="5" a="1"/>
  <c r="X222" i="5" s="1"/>
  <c r="S61" i="9" s="1"/>
  <c r="AG222" i="5" a="1"/>
  <c r="AG222" i="5" s="1"/>
  <c r="AA222" i="5" a="1"/>
  <c r="AA222" i="5" s="1"/>
  <c r="V61" i="9" s="1"/>
  <c r="N222" i="5" a="1"/>
  <c r="N222" i="5" s="1"/>
  <c r="AH222" i="5" a="1"/>
  <c r="AH222" i="5" s="1"/>
  <c r="AB222" i="5" a="1"/>
  <c r="AB222" i="5" s="1"/>
  <c r="S222" i="5" a="1"/>
  <c r="S222" i="5" s="1"/>
  <c r="Y222" i="5" a="1"/>
  <c r="Y222" i="5" s="1"/>
  <c r="T61" i="9" s="1"/>
  <c r="R222" i="5" a="1"/>
  <c r="R222" i="5" s="1"/>
  <c r="AD222" i="5" a="1"/>
  <c r="AD222" i="5" s="1"/>
  <c r="G222" i="5" a="1"/>
  <c r="G222" i="5" s="1"/>
  <c r="K222" i="5" a="1"/>
  <c r="K222" i="5" s="1"/>
  <c r="L222" i="5" a="1"/>
  <c r="L222" i="5" s="1"/>
  <c r="J222" i="5" a="1"/>
  <c r="J222" i="5" s="1"/>
  <c r="H222" i="5" a="1"/>
  <c r="H222" i="5" s="1"/>
  <c r="C61" i="9" s="1"/>
  <c r="I222" i="5" a="1"/>
  <c r="I222" i="5" s="1"/>
  <c r="M222" i="5" a="1"/>
  <c r="M222" i="5" s="1"/>
  <c r="F223" i="5"/>
  <c r="T223" i="5" l="1" a="1"/>
  <c r="T223" i="5" s="1"/>
  <c r="P223" i="5" a="1"/>
  <c r="P223" i="5" s="1"/>
  <c r="AC223" i="5" a="1"/>
  <c r="AC223" i="5" s="1"/>
  <c r="AE223" i="5" a="1"/>
  <c r="AE223" i="5" s="1"/>
  <c r="W223" i="5" a="1"/>
  <c r="W223" i="5" s="1"/>
  <c r="AF223" i="5" a="1"/>
  <c r="AF223" i="5" s="1"/>
  <c r="Z223" i="5" a="1"/>
  <c r="Z223" i="5" s="1"/>
  <c r="U223" i="5" a="1"/>
  <c r="U223" i="5" s="1"/>
  <c r="O223" i="5" a="1"/>
  <c r="O223" i="5" s="1"/>
  <c r="X223" i="5" a="1"/>
  <c r="X223" i="5" s="1"/>
  <c r="AG223" i="5" a="1"/>
  <c r="AG223" i="5" s="1"/>
  <c r="AA223" i="5" a="1"/>
  <c r="AA223" i="5" s="1"/>
  <c r="Q223" i="5" a="1"/>
  <c r="Q223" i="5" s="1"/>
  <c r="R223" i="5" a="1"/>
  <c r="R223" i="5" s="1"/>
  <c r="V223" i="5" a="1"/>
  <c r="V223" i="5" s="1"/>
  <c r="AD223" i="5" a="1"/>
  <c r="AD223" i="5" s="1"/>
  <c r="N223" i="5" a="1"/>
  <c r="N223" i="5" s="1"/>
  <c r="Y223" i="5" a="1"/>
  <c r="Y223" i="5" s="1"/>
  <c r="S223" i="5" a="1"/>
  <c r="S223" i="5" s="1"/>
  <c r="AH223" i="5" a="1"/>
  <c r="AH223" i="5" s="1"/>
  <c r="AB223" i="5" a="1"/>
  <c r="AB223" i="5" s="1"/>
  <c r="L223" i="5" a="1"/>
  <c r="L223" i="5" s="1"/>
  <c r="H223" i="5" a="1"/>
  <c r="H223" i="5" s="1"/>
  <c r="I223" i="5" a="1"/>
  <c r="I223" i="5" s="1"/>
  <c r="G223" i="5" a="1"/>
  <c r="G223" i="5" s="1"/>
  <c r="K223" i="5" a="1"/>
  <c r="K223" i="5" s="1"/>
  <c r="J223" i="5" a="1"/>
  <c r="J223" i="5" s="1"/>
  <c r="M223" i="5" a="1"/>
  <c r="M223" i="5" s="1"/>
  <c r="F224" i="5"/>
  <c r="P224" i="5" l="1" a="1"/>
  <c r="P224" i="5" s="1"/>
  <c r="AC224" i="5" a="1"/>
  <c r="AC224" i="5" s="1"/>
  <c r="T224" i="5" a="1"/>
  <c r="T224" i="5" s="1"/>
  <c r="AE224" i="5" a="1"/>
  <c r="AE224" i="5" s="1"/>
  <c r="W224" i="5" a="1"/>
  <c r="W224" i="5" s="1"/>
  <c r="AF224" i="5" a="1"/>
  <c r="AF224" i="5" s="1"/>
  <c r="Z224" i="5" a="1"/>
  <c r="Z224" i="5" s="1"/>
  <c r="U224" i="5" a="1"/>
  <c r="U224" i="5" s="1"/>
  <c r="Q224" i="5" a="1"/>
  <c r="Q224" i="5" s="1"/>
  <c r="R224" i="5" a="1"/>
  <c r="R224" i="5" s="1"/>
  <c r="O224" i="5" a="1"/>
  <c r="O224" i="5" s="1"/>
  <c r="AA224" i="5" a="1"/>
  <c r="AA224" i="5" s="1"/>
  <c r="V224" i="5" a="1"/>
  <c r="V224" i="5" s="1"/>
  <c r="AG224" i="5" a="1"/>
  <c r="AG224" i="5" s="1"/>
  <c r="X224" i="5" a="1"/>
  <c r="X224" i="5" s="1"/>
  <c r="AD224" i="5" a="1"/>
  <c r="AD224" i="5" s="1"/>
  <c r="N224" i="5" a="1"/>
  <c r="N224" i="5" s="1"/>
  <c r="S224" i="5" a="1"/>
  <c r="S224" i="5" s="1"/>
  <c r="Y224" i="5" a="1"/>
  <c r="Y224" i="5" s="1"/>
  <c r="AB224" i="5" a="1"/>
  <c r="AB224" i="5" s="1"/>
  <c r="AH224" i="5" a="1"/>
  <c r="AH224" i="5" s="1"/>
  <c r="L224" i="5" a="1"/>
  <c r="L224" i="5" s="1"/>
  <c r="K224" i="5" a="1"/>
  <c r="K224" i="5" s="1"/>
  <c r="H224" i="5" a="1"/>
  <c r="H224" i="5" s="1"/>
  <c r="G224" i="5" a="1"/>
  <c r="G224" i="5" s="1"/>
  <c r="J224" i="5" a="1"/>
  <c r="J224" i="5" s="1"/>
  <c r="I224" i="5" a="1"/>
  <c r="I224" i="5" s="1"/>
  <c r="M224" i="5" a="1"/>
  <c r="M224" i="5" s="1"/>
  <c r="F225" i="5"/>
  <c r="AC225" i="5" l="1" a="1"/>
  <c r="AC225" i="5" s="1"/>
  <c r="P225" i="5" a="1"/>
  <c r="P225" i="5" s="1"/>
  <c r="AE225" i="5" a="1"/>
  <c r="AE225" i="5" s="1"/>
  <c r="T225" i="5" a="1"/>
  <c r="T225" i="5" s="1"/>
  <c r="AF225" i="5" a="1"/>
  <c r="AF225" i="5" s="1"/>
  <c r="Z225" i="5" a="1"/>
  <c r="Z225" i="5" s="1"/>
  <c r="U225" i="5" a="1"/>
  <c r="U225" i="5" s="1"/>
  <c r="W225" i="5" a="1"/>
  <c r="W225" i="5" s="1"/>
  <c r="O225" i="5" a="1"/>
  <c r="O225" i="5" s="1"/>
  <c r="AG225" i="5" a="1"/>
  <c r="AG225" i="5" s="1"/>
  <c r="Q225" i="5" a="1"/>
  <c r="Q225" i="5" s="1"/>
  <c r="V225" i="5" a="1"/>
  <c r="V225" i="5" s="1"/>
  <c r="AD225" i="5" a="1"/>
  <c r="AD225" i="5" s="1"/>
  <c r="AA225" i="5" a="1"/>
  <c r="AA225" i="5" s="1"/>
  <c r="X225" i="5" a="1"/>
  <c r="X225" i="5" s="1"/>
  <c r="AB225" i="5" a="1"/>
  <c r="AB225" i="5" s="1"/>
  <c r="R225" i="5" a="1"/>
  <c r="R225" i="5" s="1"/>
  <c r="N225" i="5" a="1"/>
  <c r="N225" i="5" s="1"/>
  <c r="Y225" i="5" a="1"/>
  <c r="Y225" i="5" s="1"/>
  <c r="S225" i="5" a="1"/>
  <c r="S225" i="5" s="1"/>
  <c r="AH225" i="5" a="1"/>
  <c r="AH225" i="5" s="1"/>
  <c r="K225" i="5" a="1"/>
  <c r="K225" i="5" s="1"/>
  <c r="I225" i="5" a="1"/>
  <c r="I225" i="5" s="1"/>
  <c r="L225" i="5" a="1"/>
  <c r="L225" i="5" s="1"/>
  <c r="H225" i="5" a="1"/>
  <c r="H225" i="5" s="1"/>
  <c r="G225" i="5" a="1"/>
  <c r="G225" i="5" s="1"/>
  <c r="J225" i="5" a="1"/>
  <c r="J225" i="5" s="1"/>
  <c r="M225" i="5" a="1"/>
  <c r="M225" i="5" s="1"/>
  <c r="F226" i="5"/>
  <c r="O62" i="9" l="1"/>
  <c r="AE226" i="5" a="1"/>
  <c r="AE226" i="5" s="1"/>
  <c r="P226" i="5" a="1"/>
  <c r="P226" i="5" s="1"/>
  <c r="K62" i="9" s="1"/>
  <c r="T226" i="5" a="1"/>
  <c r="T226" i="5" s="1"/>
  <c r="AC226" i="5" a="1"/>
  <c r="AC226" i="5" s="1"/>
  <c r="AF226" i="5" a="1"/>
  <c r="AF226" i="5" s="1"/>
  <c r="Z226" i="5" a="1"/>
  <c r="Z226" i="5" s="1"/>
  <c r="U62" i="9" s="1"/>
  <c r="W226" i="5" a="1"/>
  <c r="W226" i="5" s="1"/>
  <c r="R62" i="9" s="1"/>
  <c r="U226" i="5" a="1"/>
  <c r="U226" i="5" s="1"/>
  <c r="P62" i="9" s="1"/>
  <c r="AG226" i="5" a="1"/>
  <c r="AG226" i="5" s="1"/>
  <c r="O226" i="5" a="1"/>
  <c r="O226" i="5" s="1"/>
  <c r="Q226" i="5" a="1"/>
  <c r="Q226" i="5" s="1"/>
  <c r="X226" i="5" a="1"/>
  <c r="X226" i="5" s="1"/>
  <c r="S62" i="9" s="1"/>
  <c r="AA226" i="5" a="1"/>
  <c r="AA226" i="5" s="1"/>
  <c r="V62" i="9" s="1"/>
  <c r="Y226" i="5" a="1"/>
  <c r="Y226" i="5" s="1"/>
  <c r="T62" i="9" s="1"/>
  <c r="R226" i="5" a="1"/>
  <c r="R226" i="5" s="1"/>
  <c r="AD226" i="5" a="1"/>
  <c r="AD226" i="5" s="1"/>
  <c r="AB226" i="5" a="1"/>
  <c r="AB226" i="5" s="1"/>
  <c r="N226" i="5" a="1"/>
  <c r="N226" i="5" s="1"/>
  <c r="AH226" i="5" a="1"/>
  <c r="AH226" i="5" s="1"/>
  <c r="V226" i="5" a="1"/>
  <c r="V226" i="5" s="1"/>
  <c r="Q62" i="9" s="1"/>
  <c r="S226" i="5" a="1"/>
  <c r="S226" i="5" s="1"/>
  <c r="L226" i="5" a="1"/>
  <c r="L226" i="5" s="1"/>
  <c r="H226" i="5" a="1"/>
  <c r="H226" i="5" s="1"/>
  <c r="J226" i="5" a="1"/>
  <c r="J226" i="5" s="1"/>
  <c r="K226" i="5" a="1"/>
  <c r="K226" i="5" s="1"/>
  <c r="G226" i="5" a="1"/>
  <c r="G226" i="5" s="1"/>
  <c r="I226" i="5" a="1"/>
  <c r="I226" i="5" s="1"/>
  <c r="M226" i="5" a="1"/>
  <c r="M226" i="5" s="1"/>
  <c r="F227" i="5"/>
  <c r="AE227" i="5" l="1" a="1"/>
  <c r="AE227" i="5" s="1"/>
  <c r="P227" i="5" a="1"/>
  <c r="P227" i="5" s="1"/>
  <c r="T227" i="5" a="1"/>
  <c r="T227" i="5" s="1"/>
  <c r="AC227" i="5" a="1"/>
  <c r="AC227" i="5" s="1"/>
  <c r="Z227" i="5" a="1"/>
  <c r="Z227" i="5" s="1"/>
  <c r="U227" i="5" a="1"/>
  <c r="U227" i="5" s="1"/>
  <c r="W227" i="5" a="1"/>
  <c r="W227" i="5" s="1"/>
  <c r="Q227" i="5" a="1"/>
  <c r="Q227" i="5" s="1"/>
  <c r="R227" i="5" a="1"/>
  <c r="R227" i="5" s="1"/>
  <c r="O227" i="5" a="1"/>
  <c r="O227" i="5" s="1"/>
  <c r="X227" i="5" a="1"/>
  <c r="X227" i="5" s="1"/>
  <c r="AG227" i="5" a="1"/>
  <c r="AG227" i="5" s="1"/>
  <c r="AF227" i="5" a="1"/>
  <c r="AF227" i="5" s="1"/>
  <c r="V227" i="5" a="1"/>
  <c r="V227" i="5" s="1"/>
  <c r="AA227" i="5" a="1"/>
  <c r="AA227" i="5" s="1"/>
  <c r="Y227" i="5" a="1"/>
  <c r="Y227" i="5" s="1"/>
  <c r="N227" i="5" a="1"/>
  <c r="N227" i="5" s="1"/>
  <c r="AB227" i="5" a="1"/>
  <c r="AB227" i="5" s="1"/>
  <c r="AD227" i="5" a="1"/>
  <c r="AD227" i="5" s="1"/>
  <c r="AH227" i="5" a="1"/>
  <c r="AH227" i="5" s="1"/>
  <c r="S227" i="5" a="1"/>
  <c r="S227" i="5" s="1"/>
  <c r="G227" i="5" a="1"/>
  <c r="G227" i="5" s="1"/>
  <c r="I227" i="5" a="1"/>
  <c r="I227" i="5" s="1"/>
  <c r="K227" i="5" a="1"/>
  <c r="K227" i="5" s="1"/>
  <c r="H227" i="5" a="1"/>
  <c r="H227" i="5" s="1"/>
  <c r="L227" i="5" a="1"/>
  <c r="L227" i="5" s="1"/>
  <c r="J227" i="5" a="1"/>
  <c r="J227" i="5" s="1"/>
  <c r="M227" i="5" a="1"/>
  <c r="M227" i="5" s="1"/>
  <c r="F228" i="5"/>
  <c r="T228" i="5" l="1" a="1"/>
  <c r="T228" i="5" s="1"/>
  <c r="AE228" i="5" a="1"/>
  <c r="AE228" i="5" s="1"/>
  <c r="P228" i="5" a="1"/>
  <c r="P228" i="5" s="1"/>
  <c r="AC228" i="5" a="1"/>
  <c r="AC228" i="5" s="1"/>
  <c r="W228" i="5" a="1"/>
  <c r="W228" i="5" s="1"/>
  <c r="U228" i="5" a="1"/>
  <c r="U228" i="5" s="1"/>
  <c r="Z228" i="5" a="1"/>
  <c r="Z228" i="5" s="1"/>
  <c r="AF228" i="5" a="1"/>
  <c r="AF228" i="5" s="1"/>
  <c r="AA228" i="5" a="1"/>
  <c r="AA228" i="5" s="1"/>
  <c r="R228" i="5" a="1"/>
  <c r="R228" i="5" s="1"/>
  <c r="Q228" i="5" a="1"/>
  <c r="Q228" i="5" s="1"/>
  <c r="X228" i="5" a="1"/>
  <c r="X228" i="5" s="1"/>
  <c r="AG228" i="5" a="1"/>
  <c r="AG228" i="5" s="1"/>
  <c r="O228" i="5" a="1"/>
  <c r="O228" i="5" s="1"/>
  <c r="AD228" i="5" a="1"/>
  <c r="AD228" i="5" s="1"/>
  <c r="S228" i="5" a="1"/>
  <c r="S228" i="5" s="1"/>
  <c r="AB228" i="5" a="1"/>
  <c r="AB228" i="5" s="1"/>
  <c r="Y228" i="5" a="1"/>
  <c r="Y228" i="5" s="1"/>
  <c r="AH228" i="5" a="1"/>
  <c r="AH228" i="5" s="1"/>
  <c r="V228" i="5" a="1"/>
  <c r="V228" i="5" s="1"/>
  <c r="N228" i="5" a="1"/>
  <c r="N228" i="5" s="1"/>
  <c r="G228" i="5" a="1"/>
  <c r="G228" i="5" s="1"/>
  <c r="L228" i="5" a="1"/>
  <c r="L228" i="5" s="1"/>
  <c r="K228" i="5" a="1"/>
  <c r="K228" i="5" s="1"/>
  <c r="H228" i="5" a="1"/>
  <c r="H228" i="5" s="1"/>
  <c r="I228" i="5" a="1"/>
  <c r="I228" i="5" s="1"/>
  <c r="J228" i="5" a="1"/>
  <c r="J228" i="5" s="1"/>
  <c r="M228" i="5" a="1"/>
  <c r="M228" i="5" s="1"/>
  <c r="F229" i="5"/>
  <c r="T229" i="5" l="1" a="1"/>
  <c r="T229" i="5" s="1"/>
  <c r="P229" i="5" a="1"/>
  <c r="P229" i="5" s="1"/>
  <c r="AE229" i="5" a="1"/>
  <c r="AE229" i="5" s="1"/>
  <c r="AC229" i="5" a="1"/>
  <c r="AC229" i="5" s="1"/>
  <c r="Z229" i="5" a="1"/>
  <c r="Z229" i="5" s="1"/>
  <c r="U229" i="5" a="1"/>
  <c r="U229" i="5" s="1"/>
  <c r="AF229" i="5" a="1"/>
  <c r="AF229" i="5" s="1"/>
  <c r="W229" i="5" a="1"/>
  <c r="W229" i="5" s="1"/>
  <c r="AD229" i="5" a="1"/>
  <c r="AD229" i="5" s="1"/>
  <c r="V229" i="5" a="1"/>
  <c r="V229" i="5" s="1"/>
  <c r="X229" i="5" a="1"/>
  <c r="X229" i="5" s="1"/>
  <c r="R229" i="5" a="1"/>
  <c r="R229" i="5" s="1"/>
  <c r="Q229" i="5" a="1"/>
  <c r="Q229" i="5" s="1"/>
  <c r="O229" i="5" a="1"/>
  <c r="O229" i="5" s="1"/>
  <c r="AA229" i="5" a="1"/>
  <c r="AA229" i="5" s="1"/>
  <c r="AG229" i="5" a="1"/>
  <c r="AG229" i="5" s="1"/>
  <c r="Y229" i="5" a="1"/>
  <c r="Y229" i="5" s="1"/>
  <c r="AB229" i="5" a="1"/>
  <c r="AB229" i="5" s="1"/>
  <c r="AH229" i="5" a="1"/>
  <c r="AH229" i="5" s="1"/>
  <c r="S229" i="5" a="1"/>
  <c r="S229" i="5" s="1"/>
  <c r="N229" i="5" a="1"/>
  <c r="N229" i="5" s="1"/>
  <c r="G229" i="5" a="1"/>
  <c r="G229" i="5" s="1"/>
  <c r="L229" i="5" a="1"/>
  <c r="L229" i="5" s="1"/>
  <c r="H229" i="5" a="1"/>
  <c r="H229" i="5" s="1"/>
  <c r="J229" i="5" a="1"/>
  <c r="J229" i="5" s="1"/>
  <c r="K229" i="5" a="1"/>
  <c r="K229" i="5" s="1"/>
  <c r="I229" i="5" a="1"/>
  <c r="I229" i="5" s="1"/>
  <c r="M229" i="5" a="1"/>
  <c r="M229" i="5" s="1"/>
  <c r="F230" i="5"/>
  <c r="N63" i="9" l="1"/>
  <c r="E63" i="9"/>
  <c r="T230" i="5" a="1"/>
  <c r="T230" i="5" s="1"/>
  <c r="AE230" i="5" a="1"/>
  <c r="AE230" i="5" s="1"/>
  <c r="Z63" i="9" s="1"/>
  <c r="AC230" i="5" a="1"/>
  <c r="AC230" i="5" s="1"/>
  <c r="X63" i="9" s="1"/>
  <c r="P230" i="5" a="1"/>
  <c r="P230" i="5" s="1"/>
  <c r="W230" i="5" a="1"/>
  <c r="W230" i="5" s="1"/>
  <c r="R63" i="9" s="1"/>
  <c r="U230" i="5" a="1"/>
  <c r="U230" i="5" s="1"/>
  <c r="P63" i="9" s="1"/>
  <c r="Z230" i="5" a="1"/>
  <c r="Z230" i="5" s="1"/>
  <c r="U63" i="9" s="1"/>
  <c r="AF230" i="5" a="1"/>
  <c r="AF230" i="5" s="1"/>
  <c r="O230" i="5" a="1"/>
  <c r="O230" i="5" s="1"/>
  <c r="AA230" i="5" a="1"/>
  <c r="AA230" i="5" s="1"/>
  <c r="V63" i="9" s="1"/>
  <c r="V230" i="5" a="1"/>
  <c r="V230" i="5" s="1"/>
  <c r="Q63" i="9" s="1"/>
  <c r="R230" i="5" a="1"/>
  <c r="R230" i="5" s="1"/>
  <c r="X230" i="5" a="1"/>
  <c r="X230" i="5" s="1"/>
  <c r="S63" i="9" s="1"/>
  <c r="Q230" i="5" a="1"/>
  <c r="Q230" i="5" s="1"/>
  <c r="AD230" i="5" a="1"/>
  <c r="AD230" i="5" s="1"/>
  <c r="N230" i="5" a="1"/>
  <c r="N230" i="5" s="1"/>
  <c r="AG230" i="5" a="1"/>
  <c r="AG230" i="5" s="1"/>
  <c r="S230" i="5" a="1"/>
  <c r="S230" i="5" s="1"/>
  <c r="AH230" i="5" a="1"/>
  <c r="AH230" i="5" s="1"/>
  <c r="Y230" i="5" a="1"/>
  <c r="Y230" i="5" s="1"/>
  <c r="T63" i="9" s="1"/>
  <c r="AB230" i="5" a="1"/>
  <c r="AB230" i="5" s="1"/>
  <c r="L230" i="5" a="1"/>
  <c r="L230" i="5" s="1"/>
  <c r="G63" i="9" s="1"/>
  <c r="H230" i="5" a="1"/>
  <c r="H230" i="5" s="1"/>
  <c r="K230" i="5" a="1"/>
  <c r="K230" i="5" s="1"/>
  <c r="G230" i="5" a="1"/>
  <c r="G230" i="5" s="1"/>
  <c r="J230" i="5" a="1"/>
  <c r="J230" i="5" s="1"/>
  <c r="I230" i="5" a="1"/>
  <c r="I230" i="5" s="1"/>
  <c r="M230" i="5" a="1"/>
  <c r="M230" i="5" s="1"/>
  <c r="F231" i="5"/>
  <c r="T231" i="5" l="1" a="1"/>
  <c r="T231" i="5" s="1"/>
  <c r="AC231" i="5" a="1"/>
  <c r="AC231" i="5" s="1"/>
  <c r="P231" i="5" a="1"/>
  <c r="P231" i="5" s="1"/>
  <c r="AE231" i="5" a="1"/>
  <c r="AE231" i="5" s="1"/>
  <c r="AF231" i="5" a="1"/>
  <c r="AF231" i="5" s="1"/>
  <c r="U231" i="5" a="1"/>
  <c r="U231" i="5" s="1"/>
  <c r="W231" i="5" a="1"/>
  <c r="W231" i="5" s="1"/>
  <c r="Z231" i="5" a="1"/>
  <c r="Z231" i="5" s="1"/>
  <c r="AG231" i="5" a="1"/>
  <c r="AG231" i="5" s="1"/>
  <c r="Q231" i="5" a="1"/>
  <c r="Q231" i="5" s="1"/>
  <c r="X231" i="5" a="1"/>
  <c r="X231" i="5" s="1"/>
  <c r="AA231" i="5" a="1"/>
  <c r="AA231" i="5" s="1"/>
  <c r="V231" i="5" a="1"/>
  <c r="V231" i="5" s="1"/>
  <c r="R231" i="5" a="1"/>
  <c r="R231" i="5" s="1"/>
  <c r="O231" i="5" a="1"/>
  <c r="O231" i="5" s="1"/>
  <c r="N231" i="5" a="1"/>
  <c r="N231" i="5" s="1"/>
  <c r="AH231" i="5" a="1"/>
  <c r="AH231" i="5" s="1"/>
  <c r="Y231" i="5" a="1"/>
  <c r="Y231" i="5" s="1"/>
  <c r="AB231" i="5" a="1"/>
  <c r="AB231" i="5" s="1"/>
  <c r="AD231" i="5" a="1"/>
  <c r="AD231" i="5" s="1"/>
  <c r="S231" i="5" a="1"/>
  <c r="S231" i="5" s="1"/>
  <c r="K231" i="5" a="1"/>
  <c r="K231" i="5" s="1"/>
  <c r="L231" i="5" a="1"/>
  <c r="L231" i="5" s="1"/>
  <c r="H231" i="5" a="1"/>
  <c r="H231" i="5" s="1"/>
  <c r="J231" i="5" a="1"/>
  <c r="J231" i="5" s="1"/>
  <c r="I231" i="5" a="1"/>
  <c r="I231" i="5" s="1"/>
  <c r="G231" i="5" a="1"/>
  <c r="G231" i="5" s="1"/>
  <c r="M231" i="5" a="1"/>
  <c r="M231" i="5" s="1"/>
  <c r="F232" i="5"/>
  <c r="AE232" i="5" l="1" a="1"/>
  <c r="AE232" i="5" s="1"/>
  <c r="P232" i="5" a="1"/>
  <c r="P232" i="5" s="1"/>
  <c r="AC232" i="5" a="1"/>
  <c r="AC232" i="5" s="1"/>
  <c r="T232" i="5" a="1"/>
  <c r="T232" i="5" s="1"/>
  <c r="W232" i="5" a="1"/>
  <c r="W232" i="5" s="1"/>
  <c r="AF232" i="5" a="1"/>
  <c r="AF232" i="5" s="1"/>
  <c r="U232" i="5" a="1"/>
  <c r="U232" i="5" s="1"/>
  <c r="Z232" i="5" a="1"/>
  <c r="Z232" i="5" s="1"/>
  <c r="X232" i="5" a="1"/>
  <c r="X232" i="5" s="1"/>
  <c r="O232" i="5" a="1"/>
  <c r="O232" i="5" s="1"/>
  <c r="V232" i="5" a="1"/>
  <c r="V232" i="5" s="1"/>
  <c r="Q232" i="5" a="1"/>
  <c r="Q232" i="5" s="1"/>
  <c r="AA232" i="5" a="1"/>
  <c r="AA232" i="5" s="1"/>
  <c r="AG232" i="5" a="1"/>
  <c r="AG232" i="5" s="1"/>
  <c r="N232" i="5" a="1"/>
  <c r="N232" i="5" s="1"/>
  <c r="S232" i="5" a="1"/>
  <c r="S232" i="5" s="1"/>
  <c r="AB232" i="5" a="1"/>
  <c r="AB232" i="5" s="1"/>
  <c r="AD232" i="5" a="1"/>
  <c r="AD232" i="5" s="1"/>
  <c r="Y232" i="5" a="1"/>
  <c r="Y232" i="5" s="1"/>
  <c r="R232" i="5" a="1"/>
  <c r="R232" i="5" s="1"/>
  <c r="AH232" i="5" a="1"/>
  <c r="AH232" i="5" s="1"/>
  <c r="I232" i="5" a="1"/>
  <c r="I232" i="5" s="1"/>
  <c r="K232" i="5" a="1"/>
  <c r="K232" i="5" s="1"/>
  <c r="L232" i="5" a="1"/>
  <c r="L232" i="5" s="1"/>
  <c r="G232" i="5" a="1"/>
  <c r="G232" i="5" s="1"/>
  <c r="H232" i="5" a="1"/>
  <c r="H232" i="5" s="1"/>
  <c r="J232" i="5" a="1"/>
  <c r="J232" i="5" s="1"/>
  <c r="M232" i="5" a="1"/>
  <c r="M232" i="5" s="1"/>
  <c r="F233" i="5"/>
  <c r="T233" i="5" l="1" a="1"/>
  <c r="T233" i="5" s="1"/>
  <c r="P233" i="5" a="1"/>
  <c r="P233" i="5" s="1"/>
  <c r="AE233" i="5" a="1"/>
  <c r="AE233" i="5" s="1"/>
  <c r="AC233" i="5" a="1"/>
  <c r="AC233" i="5" s="1"/>
  <c r="Z233" i="5" a="1"/>
  <c r="Z233" i="5" s="1"/>
  <c r="U233" i="5" a="1"/>
  <c r="U233" i="5" s="1"/>
  <c r="AF233" i="5" a="1"/>
  <c r="AF233" i="5" s="1"/>
  <c r="W233" i="5" a="1"/>
  <c r="W233" i="5" s="1"/>
  <c r="AA233" i="5" a="1"/>
  <c r="AA233" i="5" s="1"/>
  <c r="X233" i="5" a="1"/>
  <c r="X233" i="5" s="1"/>
  <c r="O233" i="5" a="1"/>
  <c r="O233" i="5" s="1"/>
  <c r="R233" i="5" a="1"/>
  <c r="R233" i="5" s="1"/>
  <c r="V233" i="5" a="1"/>
  <c r="V233" i="5" s="1"/>
  <c r="Q233" i="5" a="1"/>
  <c r="Q233" i="5" s="1"/>
  <c r="AG233" i="5" a="1"/>
  <c r="AG233" i="5" s="1"/>
  <c r="Y233" i="5" a="1"/>
  <c r="Y233" i="5" s="1"/>
  <c r="N233" i="5" a="1"/>
  <c r="N233" i="5" s="1"/>
  <c r="AH233" i="5" a="1"/>
  <c r="AH233" i="5" s="1"/>
  <c r="S233" i="5" a="1"/>
  <c r="S233" i="5" s="1"/>
  <c r="AB233" i="5" a="1"/>
  <c r="AB233" i="5" s="1"/>
  <c r="AD233" i="5" a="1"/>
  <c r="AD233" i="5" s="1"/>
  <c r="H233" i="5" a="1"/>
  <c r="H233" i="5" s="1"/>
  <c r="K233" i="5" a="1"/>
  <c r="K233" i="5" s="1"/>
  <c r="I233" i="5" a="1"/>
  <c r="I233" i="5" s="1"/>
  <c r="L233" i="5" a="1"/>
  <c r="L233" i="5" s="1"/>
  <c r="G233" i="5" a="1"/>
  <c r="G233" i="5" s="1"/>
  <c r="J233" i="5" a="1"/>
  <c r="J233" i="5" s="1"/>
  <c r="M233" i="5" a="1"/>
  <c r="M233" i="5" s="1"/>
  <c r="F234" i="5"/>
  <c r="T234" i="5" l="1" a="1"/>
  <c r="T234" i="5" s="1"/>
  <c r="AE234" i="5" a="1"/>
  <c r="AE234" i="5" s="1"/>
  <c r="P234" i="5" a="1"/>
  <c r="P234" i="5" s="1"/>
  <c r="K64" i="9" s="1"/>
  <c r="AC234" i="5" a="1"/>
  <c r="AC234" i="5" s="1"/>
  <c r="AF234" i="5" a="1"/>
  <c r="AF234" i="5" s="1"/>
  <c r="AA64" i="9" s="1"/>
  <c r="U234" i="5" a="1"/>
  <c r="U234" i="5" s="1"/>
  <c r="P64" i="9" s="1"/>
  <c r="W234" i="5" a="1"/>
  <c r="W234" i="5" s="1"/>
  <c r="R64" i="9" s="1"/>
  <c r="Z234" i="5" a="1"/>
  <c r="Z234" i="5" s="1"/>
  <c r="U64" i="9" s="1"/>
  <c r="O234" i="5" a="1"/>
  <c r="O234" i="5" s="1"/>
  <c r="AA234" i="5" a="1"/>
  <c r="AA234" i="5" s="1"/>
  <c r="V64" i="9" s="1"/>
  <c r="X234" i="5" a="1"/>
  <c r="X234" i="5" s="1"/>
  <c r="S64" i="9" s="1"/>
  <c r="V234" i="5" a="1"/>
  <c r="V234" i="5" s="1"/>
  <c r="Q64" i="9" s="1"/>
  <c r="AD234" i="5" a="1"/>
  <c r="AD234" i="5" s="1"/>
  <c r="AG234" i="5" a="1"/>
  <c r="AG234" i="5" s="1"/>
  <c r="Q234" i="5" a="1"/>
  <c r="Q234" i="5" s="1"/>
  <c r="L64" i="9" s="1"/>
  <c r="Y234" i="5" a="1"/>
  <c r="Y234" i="5" s="1"/>
  <c r="T64" i="9" s="1"/>
  <c r="N234" i="5" a="1"/>
  <c r="N234" i="5" s="1"/>
  <c r="AB234" i="5" a="1"/>
  <c r="AB234" i="5" s="1"/>
  <c r="AH234" i="5" a="1"/>
  <c r="AH234" i="5" s="1"/>
  <c r="S234" i="5" a="1"/>
  <c r="S234" i="5" s="1"/>
  <c r="R234" i="5" a="1"/>
  <c r="R234" i="5" s="1"/>
  <c r="G234" i="5" a="1"/>
  <c r="G234" i="5" s="1"/>
  <c r="L234" i="5" a="1"/>
  <c r="L234" i="5" s="1"/>
  <c r="H234" i="5" a="1"/>
  <c r="H234" i="5" s="1"/>
  <c r="K234" i="5" a="1"/>
  <c r="K234" i="5" s="1"/>
  <c r="I234" i="5" a="1"/>
  <c r="I234" i="5" s="1"/>
  <c r="J234" i="5" a="1"/>
  <c r="J234" i="5" s="1"/>
  <c r="M234" i="5" a="1"/>
  <c r="M234" i="5" s="1"/>
  <c r="H64" i="9" s="1"/>
  <c r="F235" i="5"/>
  <c r="AE235" i="5" l="1" a="1"/>
  <c r="AE235" i="5" s="1"/>
  <c r="P235" i="5" a="1"/>
  <c r="P235" i="5" s="1"/>
  <c r="T235" i="5" a="1"/>
  <c r="T235" i="5" s="1"/>
  <c r="Z235" i="5" a="1"/>
  <c r="Z235" i="5" s="1"/>
  <c r="AC235" i="5" a="1"/>
  <c r="AC235" i="5" s="1"/>
  <c r="U235" i="5" a="1"/>
  <c r="U235" i="5" s="1"/>
  <c r="W235" i="5" a="1"/>
  <c r="W235" i="5" s="1"/>
  <c r="AF235" i="5" a="1"/>
  <c r="AF235" i="5" s="1"/>
  <c r="AG235" i="5" a="1"/>
  <c r="AG235" i="5" s="1"/>
  <c r="O235" i="5" a="1"/>
  <c r="O235" i="5" s="1"/>
  <c r="AA235" i="5" a="1"/>
  <c r="AA235" i="5" s="1"/>
  <c r="X235" i="5" a="1"/>
  <c r="X235" i="5" s="1"/>
  <c r="Q235" i="5" a="1"/>
  <c r="Q235" i="5" s="1"/>
  <c r="V235" i="5" a="1"/>
  <c r="V235" i="5" s="1"/>
  <c r="R235" i="5" a="1"/>
  <c r="R235" i="5" s="1"/>
  <c r="AD235" i="5" a="1"/>
  <c r="AD235" i="5" s="1"/>
  <c r="AH235" i="5" a="1"/>
  <c r="AH235" i="5" s="1"/>
  <c r="Y235" i="5" a="1"/>
  <c r="Y235" i="5" s="1"/>
  <c r="AB235" i="5" a="1"/>
  <c r="AB235" i="5" s="1"/>
  <c r="N235" i="5" a="1"/>
  <c r="N235" i="5" s="1"/>
  <c r="S235" i="5" a="1"/>
  <c r="S235" i="5" s="1"/>
  <c r="G235" i="5" a="1"/>
  <c r="G235" i="5" s="1"/>
  <c r="L235" i="5" a="1"/>
  <c r="L235" i="5" s="1"/>
  <c r="H235" i="5" a="1"/>
  <c r="H235" i="5" s="1"/>
  <c r="K235" i="5" a="1"/>
  <c r="K235" i="5" s="1"/>
  <c r="I235" i="5" a="1"/>
  <c r="I235" i="5" s="1"/>
  <c r="J235" i="5" a="1"/>
  <c r="J235" i="5" s="1"/>
  <c r="M235" i="5" a="1"/>
  <c r="M235" i="5" s="1"/>
  <c r="F236" i="5"/>
  <c r="P236" i="5" l="1" a="1"/>
  <c r="P236" i="5" s="1"/>
  <c r="T236" i="5" a="1"/>
  <c r="T236" i="5" s="1"/>
  <c r="AC236" i="5" a="1"/>
  <c r="AC236" i="5" s="1"/>
  <c r="AE236" i="5" a="1"/>
  <c r="AE236" i="5" s="1"/>
  <c r="Z236" i="5" a="1"/>
  <c r="Z236" i="5" s="1"/>
  <c r="U236" i="5" a="1"/>
  <c r="U236" i="5" s="1"/>
  <c r="W236" i="5" a="1"/>
  <c r="W236" i="5" s="1"/>
  <c r="AF236" i="5" a="1"/>
  <c r="AF236" i="5" s="1"/>
  <c r="Q236" i="5" a="1"/>
  <c r="Q236" i="5" s="1"/>
  <c r="R236" i="5" a="1"/>
  <c r="R236" i="5" s="1"/>
  <c r="O236" i="5" a="1"/>
  <c r="O236" i="5" s="1"/>
  <c r="X236" i="5" a="1"/>
  <c r="X236" i="5" s="1"/>
  <c r="AG236" i="5" a="1"/>
  <c r="AG236" i="5" s="1"/>
  <c r="AA236" i="5" a="1"/>
  <c r="AA236" i="5" s="1"/>
  <c r="S236" i="5" a="1"/>
  <c r="S236" i="5" s="1"/>
  <c r="AD236" i="5" a="1"/>
  <c r="AD236" i="5" s="1"/>
  <c r="Y236" i="5" a="1"/>
  <c r="Y236" i="5" s="1"/>
  <c r="AH236" i="5" a="1"/>
  <c r="AH236" i="5" s="1"/>
  <c r="N236" i="5" a="1"/>
  <c r="N236" i="5" s="1"/>
  <c r="AB236" i="5" a="1"/>
  <c r="AB236" i="5" s="1"/>
  <c r="V236" i="5" a="1"/>
  <c r="V236" i="5" s="1"/>
  <c r="G236" i="5" a="1"/>
  <c r="G236" i="5" s="1"/>
  <c r="H236" i="5" a="1"/>
  <c r="H236" i="5" s="1"/>
  <c r="L236" i="5" a="1"/>
  <c r="L236" i="5" s="1"/>
  <c r="K236" i="5" a="1"/>
  <c r="K236" i="5" s="1"/>
  <c r="J236" i="5" a="1"/>
  <c r="J236" i="5" s="1"/>
  <c r="I236" i="5" a="1"/>
  <c r="I236" i="5" s="1"/>
  <c r="M236" i="5" a="1"/>
  <c r="M236" i="5" s="1"/>
  <c r="F237" i="5"/>
  <c r="AC237" i="5" l="1" a="1"/>
  <c r="AC237" i="5" s="1"/>
  <c r="T237" i="5" a="1"/>
  <c r="T237" i="5" s="1"/>
  <c r="P237" i="5" a="1"/>
  <c r="P237" i="5" s="1"/>
  <c r="AE237" i="5" a="1"/>
  <c r="AE237" i="5" s="1"/>
  <c r="U237" i="5" a="1"/>
  <c r="U237" i="5" s="1"/>
  <c r="W237" i="5" a="1"/>
  <c r="W237" i="5" s="1"/>
  <c r="Z237" i="5" a="1"/>
  <c r="Z237" i="5" s="1"/>
  <c r="AF237" i="5" a="1"/>
  <c r="AF237" i="5" s="1"/>
  <c r="O237" i="5" a="1"/>
  <c r="O237" i="5" s="1"/>
  <c r="X237" i="5" a="1"/>
  <c r="X237" i="5" s="1"/>
  <c r="Q237" i="5" a="1"/>
  <c r="Q237" i="5" s="1"/>
  <c r="AG237" i="5" a="1"/>
  <c r="AG237" i="5" s="1"/>
  <c r="AA237" i="5" a="1"/>
  <c r="AA237" i="5" s="1"/>
  <c r="V237" i="5" a="1"/>
  <c r="V237" i="5" s="1"/>
  <c r="AD237" i="5" a="1"/>
  <c r="AD237" i="5" s="1"/>
  <c r="N237" i="5" a="1"/>
  <c r="N237" i="5" s="1"/>
  <c r="S237" i="5" a="1"/>
  <c r="S237" i="5" s="1"/>
  <c r="AB237" i="5" a="1"/>
  <c r="AB237" i="5" s="1"/>
  <c r="Y237" i="5" a="1"/>
  <c r="Y237" i="5" s="1"/>
  <c r="R237" i="5" a="1"/>
  <c r="R237" i="5" s="1"/>
  <c r="AH237" i="5" a="1"/>
  <c r="AH237" i="5" s="1"/>
  <c r="K237" i="5" a="1"/>
  <c r="K237" i="5" s="1"/>
  <c r="L237" i="5" a="1"/>
  <c r="L237" i="5" s="1"/>
  <c r="I237" i="5" a="1"/>
  <c r="I237" i="5" s="1"/>
  <c r="J237" i="5" a="1"/>
  <c r="J237" i="5" s="1"/>
  <c r="G237" i="5" a="1"/>
  <c r="G237" i="5" s="1"/>
  <c r="H237" i="5" a="1"/>
  <c r="H237" i="5" s="1"/>
  <c r="M237" i="5" a="1"/>
  <c r="M237" i="5" s="1"/>
  <c r="F238" i="5"/>
  <c r="M65" i="9" l="1"/>
  <c r="AB65" i="9"/>
  <c r="B65" i="9"/>
  <c r="E65" i="9"/>
  <c r="P238" i="5" a="1"/>
  <c r="P238" i="5" s="1"/>
  <c r="AC238" i="5" a="1"/>
  <c r="AC238" i="5" s="1"/>
  <c r="X65" i="9" s="1"/>
  <c r="AE238" i="5" a="1"/>
  <c r="AE238" i="5" s="1"/>
  <c r="Z65" i="9" s="1"/>
  <c r="T238" i="5" a="1"/>
  <c r="T238" i="5" s="1"/>
  <c r="U238" i="5" a="1"/>
  <c r="U238" i="5" s="1"/>
  <c r="P65" i="9" s="1"/>
  <c r="AF238" i="5" a="1"/>
  <c r="AF238" i="5" s="1"/>
  <c r="AA65" i="9" s="1"/>
  <c r="Z238" i="5" a="1"/>
  <c r="Z238" i="5" s="1"/>
  <c r="U65" i="9" s="1"/>
  <c r="W238" i="5" a="1"/>
  <c r="W238" i="5" s="1"/>
  <c r="R65" i="9" s="1"/>
  <c r="O238" i="5" a="1"/>
  <c r="O238" i="5" s="1"/>
  <c r="J65" i="9" s="1"/>
  <c r="AG238" i="5" a="1"/>
  <c r="AG238" i="5" s="1"/>
  <c r="R238" i="5" a="1"/>
  <c r="R238" i="5" s="1"/>
  <c r="X238" i="5" a="1"/>
  <c r="X238" i="5" s="1"/>
  <c r="S65" i="9" s="1"/>
  <c r="V238" i="5" a="1"/>
  <c r="V238" i="5" s="1"/>
  <c r="Q65" i="9" s="1"/>
  <c r="Q238" i="5" a="1"/>
  <c r="Q238" i="5" s="1"/>
  <c r="AA238" i="5" a="1"/>
  <c r="AA238" i="5" s="1"/>
  <c r="V65" i="9" s="1"/>
  <c r="AD238" i="5" a="1"/>
  <c r="AD238" i="5" s="1"/>
  <c r="N238" i="5" a="1"/>
  <c r="N238" i="5" s="1"/>
  <c r="AB238" i="5" a="1"/>
  <c r="AB238" i="5" s="1"/>
  <c r="Y238" i="5" a="1"/>
  <c r="Y238" i="5" s="1"/>
  <c r="T65" i="9" s="1"/>
  <c r="S238" i="5" a="1"/>
  <c r="S238" i="5" s="1"/>
  <c r="AH238" i="5" a="1"/>
  <c r="AH238" i="5" s="1"/>
  <c r="I238" i="5" a="1"/>
  <c r="I238" i="5" s="1"/>
  <c r="K238" i="5" a="1"/>
  <c r="K238" i="5" s="1"/>
  <c r="H238" i="5" a="1"/>
  <c r="H238" i="5" s="1"/>
  <c r="L238" i="5" a="1"/>
  <c r="L238" i="5" s="1"/>
  <c r="J238" i="5" a="1"/>
  <c r="J238" i="5" s="1"/>
  <c r="G238" i="5" a="1"/>
  <c r="G238" i="5" s="1"/>
  <c r="M238" i="5" a="1"/>
  <c r="M238" i="5" s="1"/>
  <c r="F239" i="5"/>
  <c r="AE239" i="5" l="1" a="1"/>
  <c r="AE239" i="5" s="1"/>
  <c r="P239" i="5" a="1"/>
  <c r="P239" i="5" s="1"/>
  <c r="T239" i="5" a="1"/>
  <c r="T239" i="5" s="1"/>
  <c r="U239" i="5" a="1"/>
  <c r="U239" i="5" s="1"/>
  <c r="Z239" i="5" a="1"/>
  <c r="Z239" i="5" s="1"/>
  <c r="AF239" i="5" a="1"/>
  <c r="AF239" i="5" s="1"/>
  <c r="AC239" i="5" a="1"/>
  <c r="AC239" i="5" s="1"/>
  <c r="W239" i="5" a="1"/>
  <c r="W239" i="5" s="1"/>
  <c r="AA239" i="5" a="1"/>
  <c r="AA239" i="5" s="1"/>
  <c r="O239" i="5" a="1"/>
  <c r="O239" i="5" s="1"/>
  <c r="AG239" i="5" a="1"/>
  <c r="AG239" i="5" s="1"/>
  <c r="V239" i="5" a="1"/>
  <c r="V239" i="5" s="1"/>
  <c r="Q239" i="5" a="1"/>
  <c r="Q239" i="5" s="1"/>
  <c r="R239" i="5" a="1"/>
  <c r="R239" i="5" s="1"/>
  <c r="X239" i="5" a="1"/>
  <c r="X239" i="5" s="1"/>
  <c r="AD239" i="5" a="1"/>
  <c r="AD239" i="5" s="1"/>
  <c r="AH239" i="5" a="1"/>
  <c r="AH239" i="5" s="1"/>
  <c r="Y239" i="5" a="1"/>
  <c r="Y239" i="5" s="1"/>
  <c r="N239" i="5" a="1"/>
  <c r="N239" i="5" s="1"/>
  <c r="S239" i="5" a="1"/>
  <c r="S239" i="5" s="1"/>
  <c r="AB239" i="5" a="1"/>
  <c r="AB239" i="5" s="1"/>
  <c r="K239" i="5" a="1"/>
  <c r="K239" i="5" s="1"/>
  <c r="L239" i="5" a="1"/>
  <c r="L239" i="5" s="1"/>
  <c r="G239" i="5" a="1"/>
  <c r="G239" i="5" s="1"/>
  <c r="I239" i="5" a="1"/>
  <c r="I239" i="5" s="1"/>
  <c r="H239" i="5" a="1"/>
  <c r="H239" i="5" s="1"/>
  <c r="J239" i="5" a="1"/>
  <c r="J239" i="5" s="1"/>
  <c r="M239" i="5" a="1"/>
  <c r="M239" i="5" s="1"/>
  <c r="F240" i="5"/>
  <c r="AC240" i="5" l="1" a="1"/>
  <c r="AC240" i="5" s="1"/>
  <c r="T240" i="5" a="1"/>
  <c r="T240" i="5" s="1"/>
  <c r="AE240" i="5" a="1"/>
  <c r="AE240" i="5" s="1"/>
  <c r="P240" i="5" a="1"/>
  <c r="P240" i="5" s="1"/>
  <c r="W240" i="5" a="1"/>
  <c r="W240" i="5" s="1"/>
  <c r="Z240" i="5" a="1"/>
  <c r="Z240" i="5" s="1"/>
  <c r="U240" i="5" a="1"/>
  <c r="U240" i="5" s="1"/>
  <c r="R240" i="5" a="1"/>
  <c r="R240" i="5" s="1"/>
  <c r="AF240" i="5" a="1"/>
  <c r="AF240" i="5" s="1"/>
  <c r="AA240" i="5" a="1"/>
  <c r="AA240" i="5" s="1"/>
  <c r="X240" i="5" a="1"/>
  <c r="X240" i="5" s="1"/>
  <c r="Q240" i="5" a="1"/>
  <c r="Q240" i="5" s="1"/>
  <c r="O240" i="5" a="1"/>
  <c r="O240" i="5" s="1"/>
  <c r="V240" i="5" a="1"/>
  <c r="V240" i="5" s="1"/>
  <c r="AG240" i="5" a="1"/>
  <c r="AG240" i="5" s="1"/>
  <c r="AB240" i="5" a="1"/>
  <c r="AB240" i="5" s="1"/>
  <c r="Y240" i="5" a="1"/>
  <c r="Y240" i="5" s="1"/>
  <c r="AH240" i="5" a="1"/>
  <c r="AH240" i="5" s="1"/>
  <c r="S240" i="5" a="1"/>
  <c r="S240" i="5" s="1"/>
  <c r="N240" i="5" a="1"/>
  <c r="N240" i="5" s="1"/>
  <c r="AD240" i="5" a="1"/>
  <c r="AD240" i="5" s="1"/>
  <c r="L240" i="5" a="1"/>
  <c r="L240" i="5" s="1"/>
  <c r="I240" i="5" a="1"/>
  <c r="I240" i="5" s="1"/>
  <c r="K240" i="5" a="1"/>
  <c r="K240" i="5" s="1"/>
  <c r="G240" i="5" a="1"/>
  <c r="G240" i="5" s="1"/>
  <c r="J240" i="5" a="1"/>
  <c r="J240" i="5" s="1"/>
  <c r="H240" i="5" a="1"/>
  <c r="H240" i="5" s="1"/>
  <c r="M240" i="5" a="1"/>
  <c r="M240" i="5" s="1"/>
  <c r="F241" i="5"/>
  <c r="T241" i="5" l="1" a="1"/>
  <c r="T241" i="5" s="1"/>
  <c r="AE241" i="5" a="1"/>
  <c r="AE241" i="5" s="1"/>
  <c r="AC241" i="5" a="1"/>
  <c r="AC241" i="5" s="1"/>
  <c r="P241" i="5" a="1"/>
  <c r="P241" i="5" s="1"/>
  <c r="W241" i="5" a="1"/>
  <c r="W241" i="5" s="1"/>
  <c r="U241" i="5" a="1"/>
  <c r="U241" i="5" s="1"/>
  <c r="Z241" i="5" a="1"/>
  <c r="Z241" i="5" s="1"/>
  <c r="AF241" i="5" a="1"/>
  <c r="AF241" i="5" s="1"/>
  <c r="X241" i="5" a="1"/>
  <c r="X241" i="5" s="1"/>
  <c r="V241" i="5" a="1"/>
  <c r="V241" i="5" s="1"/>
  <c r="AG241" i="5" a="1"/>
  <c r="AG241" i="5" s="1"/>
  <c r="O241" i="5" a="1"/>
  <c r="O241" i="5" s="1"/>
  <c r="AA241" i="5" a="1"/>
  <c r="AA241" i="5" s="1"/>
  <c r="R241" i="5" a="1"/>
  <c r="R241" i="5" s="1"/>
  <c r="AD241" i="5" a="1"/>
  <c r="AD241" i="5" s="1"/>
  <c r="Q241" i="5" a="1"/>
  <c r="Q241" i="5" s="1"/>
  <c r="N241" i="5" a="1"/>
  <c r="N241" i="5" s="1"/>
  <c r="AH241" i="5" a="1"/>
  <c r="AH241" i="5" s="1"/>
  <c r="Y241" i="5" a="1"/>
  <c r="Y241" i="5" s="1"/>
  <c r="S241" i="5" a="1"/>
  <c r="S241" i="5" s="1"/>
  <c r="AB241" i="5" a="1"/>
  <c r="AB241" i="5" s="1"/>
  <c r="L241" i="5" a="1"/>
  <c r="L241" i="5" s="1"/>
  <c r="G241" i="5" a="1"/>
  <c r="G241" i="5" s="1"/>
  <c r="K241" i="5" a="1"/>
  <c r="K241" i="5" s="1"/>
  <c r="I241" i="5" a="1"/>
  <c r="I241" i="5" s="1"/>
  <c r="H241" i="5" a="1"/>
  <c r="H241" i="5" s="1"/>
  <c r="J241" i="5" a="1"/>
  <c r="J241" i="5" s="1"/>
  <c r="M241" i="5" a="1"/>
  <c r="M241" i="5" s="1"/>
  <c r="F242" i="5"/>
  <c r="P242" i="5" l="1" a="1"/>
  <c r="P242" i="5" s="1"/>
  <c r="AC242" i="5" a="1"/>
  <c r="AC242" i="5" s="1"/>
  <c r="T242" i="5" a="1"/>
  <c r="T242" i="5" s="1"/>
  <c r="AE242" i="5" a="1"/>
  <c r="AE242" i="5" s="1"/>
  <c r="AF242" i="5" a="1"/>
  <c r="AF242" i="5" s="1"/>
  <c r="Z242" i="5" a="1"/>
  <c r="Z242" i="5" s="1"/>
  <c r="U66" i="9" s="1"/>
  <c r="W242" i="5" a="1"/>
  <c r="W242" i="5" s="1"/>
  <c r="R66" i="9" s="1"/>
  <c r="U242" i="5" a="1"/>
  <c r="U242" i="5" s="1"/>
  <c r="P66" i="9" s="1"/>
  <c r="X242" i="5" a="1"/>
  <c r="X242" i="5" s="1"/>
  <c r="S66" i="9" s="1"/>
  <c r="Q242" i="5" a="1"/>
  <c r="Q242" i="5" s="1"/>
  <c r="AG242" i="5" a="1"/>
  <c r="AG242" i="5" s="1"/>
  <c r="O242" i="5" a="1"/>
  <c r="O242" i="5" s="1"/>
  <c r="AA242" i="5" a="1"/>
  <c r="AA242" i="5" s="1"/>
  <c r="V66" i="9" s="1"/>
  <c r="V242" i="5" a="1"/>
  <c r="V242" i="5" s="1"/>
  <c r="Q66" i="9" s="1"/>
  <c r="AB242" i="5" a="1"/>
  <c r="AB242" i="5" s="1"/>
  <c r="R242" i="5" a="1"/>
  <c r="R242" i="5" s="1"/>
  <c r="S242" i="5" a="1"/>
  <c r="S242" i="5" s="1"/>
  <c r="AH242" i="5" a="1"/>
  <c r="AH242" i="5" s="1"/>
  <c r="N242" i="5" a="1"/>
  <c r="N242" i="5" s="1"/>
  <c r="AD242" i="5" a="1"/>
  <c r="AD242" i="5" s="1"/>
  <c r="Y242" i="5" a="1"/>
  <c r="Y242" i="5" s="1"/>
  <c r="T66" i="9" s="1"/>
  <c r="G242" i="5" a="1"/>
  <c r="G242" i="5" s="1"/>
  <c r="L242" i="5" a="1"/>
  <c r="L242" i="5" s="1"/>
  <c r="H242" i="5" a="1"/>
  <c r="H242" i="5" s="1"/>
  <c r="K242" i="5" a="1"/>
  <c r="K242" i="5" s="1"/>
  <c r="I242" i="5" a="1"/>
  <c r="I242" i="5" s="1"/>
  <c r="J242" i="5" a="1"/>
  <c r="J242" i="5" s="1"/>
  <c r="M242" i="5" a="1"/>
  <c r="M242" i="5" s="1"/>
  <c r="F243" i="5"/>
  <c r="P243" i="5" l="1" a="1"/>
  <c r="P243" i="5" s="1"/>
  <c r="AC243" i="5" a="1"/>
  <c r="AC243" i="5" s="1"/>
  <c r="AE243" i="5" a="1"/>
  <c r="AE243" i="5" s="1"/>
  <c r="T243" i="5" a="1"/>
  <c r="T243" i="5" s="1"/>
  <c r="W243" i="5" a="1"/>
  <c r="W243" i="5" s="1"/>
  <c r="Z243" i="5" a="1"/>
  <c r="Z243" i="5" s="1"/>
  <c r="U243" i="5" a="1"/>
  <c r="U243" i="5" s="1"/>
  <c r="AF243" i="5" a="1"/>
  <c r="AF243" i="5" s="1"/>
  <c r="X243" i="5" a="1"/>
  <c r="X243" i="5" s="1"/>
  <c r="AG243" i="5" a="1"/>
  <c r="AG243" i="5" s="1"/>
  <c r="Q243" i="5" a="1"/>
  <c r="Q243" i="5" s="1"/>
  <c r="O243" i="5" a="1"/>
  <c r="O243" i="5" s="1"/>
  <c r="V243" i="5" a="1"/>
  <c r="V243" i="5" s="1"/>
  <c r="AD243" i="5" a="1"/>
  <c r="AD243" i="5" s="1"/>
  <c r="AA243" i="5" a="1"/>
  <c r="AA243" i="5" s="1"/>
  <c r="R243" i="5" a="1"/>
  <c r="R243" i="5" s="1"/>
  <c r="AH243" i="5" a="1"/>
  <c r="AH243" i="5" s="1"/>
  <c r="Y243" i="5" a="1"/>
  <c r="Y243" i="5" s="1"/>
  <c r="S243" i="5" a="1"/>
  <c r="S243" i="5" s="1"/>
  <c r="N243" i="5" a="1"/>
  <c r="N243" i="5" s="1"/>
  <c r="AB243" i="5" a="1"/>
  <c r="AB243" i="5" s="1"/>
  <c r="G243" i="5" a="1"/>
  <c r="G243" i="5" s="1"/>
  <c r="H243" i="5" a="1"/>
  <c r="H243" i="5" s="1"/>
  <c r="K243" i="5" a="1"/>
  <c r="K243" i="5" s="1"/>
  <c r="L243" i="5" a="1"/>
  <c r="L243" i="5" s="1"/>
  <c r="J243" i="5" a="1"/>
  <c r="J243" i="5" s="1"/>
  <c r="I243" i="5" a="1"/>
  <c r="I243" i="5" s="1"/>
  <c r="M243" i="5" a="1"/>
  <c r="M243" i="5" s="1"/>
  <c r="F244" i="5"/>
  <c r="T244" i="5" l="1" a="1"/>
  <c r="T244" i="5" s="1"/>
  <c r="AE244" i="5" a="1"/>
  <c r="AE244" i="5" s="1"/>
  <c r="P244" i="5" a="1"/>
  <c r="P244" i="5" s="1"/>
  <c r="AC244" i="5" a="1"/>
  <c r="AC244" i="5" s="1"/>
  <c r="Z244" i="5" a="1"/>
  <c r="Z244" i="5" s="1"/>
  <c r="AF244" i="5" a="1"/>
  <c r="AF244" i="5" s="1"/>
  <c r="U244" i="5" a="1"/>
  <c r="U244" i="5" s="1"/>
  <c r="W244" i="5" a="1"/>
  <c r="W244" i="5" s="1"/>
  <c r="Q244" i="5" a="1"/>
  <c r="Q244" i="5" s="1"/>
  <c r="AG244" i="5" a="1"/>
  <c r="AG244" i="5" s="1"/>
  <c r="AA244" i="5" a="1"/>
  <c r="AA244" i="5" s="1"/>
  <c r="V244" i="5" a="1"/>
  <c r="V244" i="5" s="1"/>
  <c r="X244" i="5" a="1"/>
  <c r="X244" i="5" s="1"/>
  <c r="R244" i="5" a="1"/>
  <c r="R244" i="5" s="1"/>
  <c r="O244" i="5" a="1"/>
  <c r="O244" i="5" s="1"/>
  <c r="Y244" i="5" a="1"/>
  <c r="Y244" i="5" s="1"/>
  <c r="AB244" i="5" a="1"/>
  <c r="AB244" i="5" s="1"/>
  <c r="N244" i="5" a="1"/>
  <c r="N244" i="5" s="1"/>
  <c r="AH244" i="5" a="1"/>
  <c r="AH244" i="5" s="1"/>
  <c r="S244" i="5" a="1"/>
  <c r="S244" i="5" s="1"/>
  <c r="AD244" i="5" a="1"/>
  <c r="AD244" i="5" s="1"/>
  <c r="G244" i="5" a="1"/>
  <c r="G244" i="5" s="1"/>
  <c r="L244" i="5" a="1"/>
  <c r="L244" i="5" s="1"/>
  <c r="K244" i="5" a="1"/>
  <c r="K244" i="5" s="1"/>
  <c r="H244" i="5" a="1"/>
  <c r="H244" i="5" s="1"/>
  <c r="I244" i="5" a="1"/>
  <c r="I244" i="5" s="1"/>
  <c r="J244" i="5" a="1"/>
  <c r="J244" i="5" s="1"/>
  <c r="M244" i="5" a="1"/>
  <c r="M244" i="5" s="1"/>
  <c r="F245" i="5"/>
  <c r="T245" i="5" l="1" a="1"/>
  <c r="T245" i="5" s="1"/>
  <c r="AC245" i="5" a="1"/>
  <c r="AC245" i="5" s="1"/>
  <c r="AE245" i="5" a="1"/>
  <c r="AE245" i="5" s="1"/>
  <c r="P245" i="5" a="1"/>
  <c r="P245" i="5" s="1"/>
  <c r="AF245" i="5" a="1"/>
  <c r="AF245" i="5" s="1"/>
  <c r="Z245" i="5" a="1"/>
  <c r="Z245" i="5" s="1"/>
  <c r="U245" i="5" a="1"/>
  <c r="U245" i="5" s="1"/>
  <c r="W245" i="5" a="1"/>
  <c r="W245" i="5" s="1"/>
  <c r="V245" i="5" a="1"/>
  <c r="V245" i="5" s="1"/>
  <c r="AA245" i="5" a="1"/>
  <c r="AA245" i="5" s="1"/>
  <c r="X245" i="5" a="1"/>
  <c r="X245" i="5" s="1"/>
  <c r="AD245" i="5" a="1"/>
  <c r="AD245" i="5" s="1"/>
  <c r="O245" i="5" a="1"/>
  <c r="O245" i="5" s="1"/>
  <c r="Q245" i="5" a="1"/>
  <c r="Q245" i="5" s="1"/>
  <c r="AG245" i="5" a="1"/>
  <c r="AG245" i="5" s="1"/>
  <c r="AH245" i="5" a="1"/>
  <c r="AH245" i="5" s="1"/>
  <c r="Y245" i="5" a="1"/>
  <c r="Y245" i="5" s="1"/>
  <c r="N245" i="5" a="1"/>
  <c r="N245" i="5" s="1"/>
  <c r="S245" i="5" a="1"/>
  <c r="S245" i="5" s="1"/>
  <c r="AB245" i="5" a="1"/>
  <c r="AB245" i="5" s="1"/>
  <c r="R245" i="5" a="1"/>
  <c r="R245" i="5" s="1"/>
  <c r="L245" i="5" a="1"/>
  <c r="L245" i="5" s="1"/>
  <c r="H245" i="5" a="1"/>
  <c r="H245" i="5" s="1"/>
  <c r="K245" i="5" a="1"/>
  <c r="K245" i="5" s="1"/>
  <c r="I245" i="5" a="1"/>
  <c r="I245" i="5" s="1"/>
  <c r="J245" i="5" a="1"/>
  <c r="J245" i="5" s="1"/>
  <c r="G245" i="5" a="1"/>
  <c r="G245" i="5" s="1"/>
  <c r="M245" i="5" a="1"/>
  <c r="M245" i="5" s="1"/>
  <c r="F246" i="5"/>
  <c r="AE246" i="5" l="1" a="1"/>
  <c r="AE246" i="5" s="1"/>
  <c r="AC246" i="5" a="1"/>
  <c r="AC246" i="5" s="1"/>
  <c r="T246" i="5" a="1"/>
  <c r="T246" i="5" s="1"/>
  <c r="P246" i="5" a="1"/>
  <c r="P246" i="5" s="1"/>
  <c r="U246" i="5" a="1"/>
  <c r="U246" i="5" s="1"/>
  <c r="P67" i="9" s="1"/>
  <c r="Z246" i="5" a="1"/>
  <c r="Z246" i="5" s="1"/>
  <c r="U67" i="9" s="1"/>
  <c r="W246" i="5" a="1"/>
  <c r="W246" i="5" s="1"/>
  <c r="R67" i="9" s="1"/>
  <c r="AF246" i="5" a="1"/>
  <c r="AF246" i="5" s="1"/>
  <c r="X246" i="5" a="1"/>
  <c r="X246" i="5" s="1"/>
  <c r="S67" i="9" s="1"/>
  <c r="R246" i="5" a="1"/>
  <c r="R246" i="5" s="1"/>
  <c r="V246" i="5" a="1"/>
  <c r="V246" i="5" s="1"/>
  <c r="Q67" i="9" s="1"/>
  <c r="AG246" i="5" a="1"/>
  <c r="AG246" i="5" s="1"/>
  <c r="AA246" i="5" a="1"/>
  <c r="AA246" i="5" s="1"/>
  <c r="V67" i="9" s="1"/>
  <c r="Q246" i="5" a="1"/>
  <c r="Q246" i="5" s="1"/>
  <c r="O246" i="5" a="1"/>
  <c r="O246" i="5" s="1"/>
  <c r="AH246" i="5" a="1"/>
  <c r="AH246" i="5" s="1"/>
  <c r="S246" i="5" a="1"/>
  <c r="S246" i="5" s="1"/>
  <c r="Y246" i="5" a="1"/>
  <c r="Y246" i="5" s="1"/>
  <c r="T67" i="9" s="1"/>
  <c r="AD246" i="5" a="1"/>
  <c r="AD246" i="5" s="1"/>
  <c r="N246" i="5" a="1"/>
  <c r="N246" i="5" s="1"/>
  <c r="AB246" i="5" a="1"/>
  <c r="AB246" i="5" s="1"/>
  <c r="L246" i="5" a="1"/>
  <c r="L246" i="5" s="1"/>
  <c r="H246" i="5" a="1"/>
  <c r="H246" i="5" s="1"/>
  <c r="K246" i="5" a="1"/>
  <c r="K246" i="5" s="1"/>
  <c r="G246" i="5" a="1"/>
  <c r="G246" i="5" s="1"/>
  <c r="I246" i="5" a="1"/>
  <c r="I246" i="5" s="1"/>
  <c r="J246" i="5" a="1"/>
  <c r="J246" i="5" s="1"/>
  <c r="M246" i="5" a="1"/>
  <c r="M246" i="5" s="1"/>
  <c r="F247" i="5"/>
  <c r="AE247" i="5" l="1" a="1"/>
  <c r="AE247" i="5" s="1"/>
  <c r="T247" i="5" a="1"/>
  <c r="T247" i="5" s="1"/>
  <c r="P247" i="5" a="1"/>
  <c r="P247" i="5" s="1"/>
  <c r="AC247" i="5" a="1"/>
  <c r="AC247" i="5" s="1"/>
  <c r="W247" i="5" a="1"/>
  <c r="W247" i="5" s="1"/>
  <c r="U247" i="5" a="1"/>
  <c r="U247" i="5" s="1"/>
  <c r="Z247" i="5" a="1"/>
  <c r="Z247" i="5" s="1"/>
  <c r="AF247" i="5" a="1"/>
  <c r="AF247" i="5" s="1"/>
  <c r="R247" i="5" a="1"/>
  <c r="R247" i="5" s="1"/>
  <c r="Q247" i="5" a="1"/>
  <c r="Q247" i="5" s="1"/>
  <c r="AA247" i="5" a="1"/>
  <c r="AA247" i="5" s="1"/>
  <c r="AG247" i="5" a="1"/>
  <c r="AG247" i="5" s="1"/>
  <c r="AD247" i="5" a="1"/>
  <c r="AD247" i="5" s="1"/>
  <c r="V247" i="5" a="1"/>
  <c r="V247" i="5" s="1"/>
  <c r="O247" i="5" a="1"/>
  <c r="O247" i="5" s="1"/>
  <c r="X247" i="5" a="1"/>
  <c r="X247" i="5" s="1"/>
  <c r="S247" i="5" a="1"/>
  <c r="S247" i="5" s="1"/>
  <c r="AB247" i="5" a="1"/>
  <c r="AB247" i="5" s="1"/>
  <c r="AH247" i="5" a="1"/>
  <c r="AH247" i="5" s="1"/>
  <c r="Y247" i="5" a="1"/>
  <c r="Y247" i="5" s="1"/>
  <c r="N247" i="5" a="1"/>
  <c r="N247" i="5" s="1"/>
  <c r="H247" i="5" a="1"/>
  <c r="H247" i="5" s="1"/>
  <c r="L247" i="5" a="1"/>
  <c r="L247" i="5" s="1"/>
  <c r="G247" i="5" a="1"/>
  <c r="G247" i="5" s="1"/>
  <c r="K247" i="5" a="1"/>
  <c r="K247" i="5" s="1"/>
  <c r="I247" i="5" a="1"/>
  <c r="I247" i="5" s="1"/>
  <c r="J247" i="5" a="1"/>
  <c r="J247" i="5" s="1"/>
  <c r="M247" i="5" a="1"/>
  <c r="M247" i="5" s="1"/>
  <c r="F248" i="5"/>
  <c r="AE248" i="5" l="1" a="1"/>
  <c r="AE248" i="5" s="1"/>
  <c r="P248" i="5" a="1"/>
  <c r="P248" i="5" s="1"/>
  <c r="AC248" i="5" a="1"/>
  <c r="AC248" i="5" s="1"/>
  <c r="T248" i="5" a="1"/>
  <c r="T248" i="5" s="1"/>
  <c r="Z248" i="5" a="1"/>
  <c r="Z248" i="5" s="1"/>
  <c r="W248" i="5" a="1"/>
  <c r="W248" i="5" s="1"/>
  <c r="U248" i="5" a="1"/>
  <c r="U248" i="5" s="1"/>
  <c r="AF248" i="5" a="1"/>
  <c r="AF248" i="5" s="1"/>
  <c r="X248" i="5" a="1"/>
  <c r="X248" i="5" s="1"/>
  <c r="O248" i="5" a="1"/>
  <c r="O248" i="5" s="1"/>
  <c r="AA248" i="5" a="1"/>
  <c r="AA248" i="5" s="1"/>
  <c r="V248" i="5" a="1"/>
  <c r="V248" i="5" s="1"/>
  <c r="AG248" i="5" a="1"/>
  <c r="AG248" i="5" s="1"/>
  <c r="R248" i="5" a="1"/>
  <c r="R248" i="5" s="1"/>
  <c r="Q248" i="5" a="1"/>
  <c r="Q248" i="5" s="1"/>
  <c r="Y248" i="5" a="1"/>
  <c r="Y248" i="5" s="1"/>
  <c r="N248" i="5" a="1"/>
  <c r="N248" i="5" s="1"/>
  <c r="AB248" i="5" a="1"/>
  <c r="AB248" i="5" s="1"/>
  <c r="AH248" i="5" a="1"/>
  <c r="AH248" i="5" s="1"/>
  <c r="AD248" i="5" a="1"/>
  <c r="AD248" i="5" s="1"/>
  <c r="S248" i="5" a="1"/>
  <c r="S248" i="5" s="1"/>
  <c r="L248" i="5" a="1"/>
  <c r="L248" i="5" s="1"/>
  <c r="K248" i="5" a="1"/>
  <c r="K248" i="5" s="1"/>
  <c r="H248" i="5" a="1"/>
  <c r="H248" i="5" s="1"/>
  <c r="G248" i="5" a="1"/>
  <c r="G248" i="5" s="1"/>
  <c r="I248" i="5" a="1"/>
  <c r="I248" i="5" s="1"/>
  <c r="J248" i="5" a="1"/>
  <c r="J248" i="5" s="1"/>
  <c r="M248" i="5" a="1"/>
  <c r="M248" i="5" s="1"/>
  <c r="F249" i="5"/>
  <c r="T249" i="5" l="1" a="1"/>
  <c r="T249" i="5" s="1"/>
  <c r="AC249" i="5" a="1"/>
  <c r="AC249" i="5" s="1"/>
  <c r="AE249" i="5" a="1"/>
  <c r="AE249" i="5" s="1"/>
  <c r="P249" i="5" a="1"/>
  <c r="P249" i="5" s="1"/>
  <c r="W249" i="5" a="1"/>
  <c r="W249" i="5" s="1"/>
  <c r="Z249" i="5" a="1"/>
  <c r="Z249" i="5" s="1"/>
  <c r="U249" i="5" a="1"/>
  <c r="U249" i="5" s="1"/>
  <c r="AF249" i="5" a="1"/>
  <c r="AF249" i="5" s="1"/>
  <c r="AA249" i="5" a="1"/>
  <c r="AA249" i="5" s="1"/>
  <c r="R249" i="5" a="1"/>
  <c r="R249" i="5" s="1"/>
  <c r="AG249" i="5" a="1"/>
  <c r="AG249" i="5" s="1"/>
  <c r="Q249" i="5" a="1"/>
  <c r="Q249" i="5" s="1"/>
  <c r="X249" i="5" a="1"/>
  <c r="X249" i="5" s="1"/>
  <c r="O249" i="5" a="1"/>
  <c r="O249" i="5" s="1"/>
  <c r="V249" i="5" a="1"/>
  <c r="V249" i="5" s="1"/>
  <c r="S249" i="5" a="1"/>
  <c r="S249" i="5" s="1"/>
  <c r="N249" i="5" a="1"/>
  <c r="N249" i="5" s="1"/>
  <c r="AB249" i="5" a="1"/>
  <c r="AB249" i="5" s="1"/>
  <c r="Y249" i="5" a="1"/>
  <c r="Y249" i="5" s="1"/>
  <c r="AD249" i="5" a="1"/>
  <c r="AD249" i="5" s="1"/>
  <c r="AH249" i="5" a="1"/>
  <c r="AH249" i="5" s="1"/>
  <c r="L249" i="5" a="1"/>
  <c r="L249" i="5" s="1"/>
  <c r="H249" i="5" a="1"/>
  <c r="H249" i="5" s="1"/>
  <c r="G249" i="5" a="1"/>
  <c r="G249" i="5" s="1"/>
  <c r="K249" i="5" a="1"/>
  <c r="K249" i="5" s="1"/>
  <c r="I249" i="5" a="1"/>
  <c r="I249" i="5" s="1"/>
  <c r="J249" i="5" a="1"/>
  <c r="J249" i="5" s="1"/>
  <c r="M249" i="5" a="1"/>
  <c r="M249" i="5" s="1"/>
  <c r="F250" i="5"/>
  <c r="P250" i="5" l="1" a="1"/>
  <c r="P250" i="5" s="1"/>
  <c r="T250" i="5" a="1"/>
  <c r="T250" i="5" s="1"/>
  <c r="AC250" i="5" a="1"/>
  <c r="AC250" i="5" s="1"/>
  <c r="AE250" i="5" a="1"/>
  <c r="AE250" i="5" s="1"/>
  <c r="AF250" i="5" a="1"/>
  <c r="AF250" i="5" s="1"/>
  <c r="Z250" i="5" a="1"/>
  <c r="Z250" i="5" s="1"/>
  <c r="U68" i="9" s="1"/>
  <c r="W250" i="5" a="1"/>
  <c r="W250" i="5" s="1"/>
  <c r="R68" i="9" s="1"/>
  <c r="U250" i="5" a="1"/>
  <c r="U250" i="5" s="1"/>
  <c r="P68" i="9" s="1"/>
  <c r="O250" i="5" a="1"/>
  <c r="O250" i="5" s="1"/>
  <c r="V250" i="5" a="1"/>
  <c r="V250" i="5" s="1"/>
  <c r="Q68" i="9" s="1"/>
  <c r="AG250" i="5" a="1"/>
  <c r="AG250" i="5" s="1"/>
  <c r="R250" i="5" a="1"/>
  <c r="R250" i="5" s="1"/>
  <c r="Q250" i="5" a="1"/>
  <c r="Q250" i="5" s="1"/>
  <c r="AA250" i="5" a="1"/>
  <c r="AA250" i="5" s="1"/>
  <c r="V68" i="9" s="1"/>
  <c r="X250" i="5" a="1"/>
  <c r="X250" i="5" s="1"/>
  <c r="S68" i="9" s="1"/>
  <c r="S250" i="5" a="1"/>
  <c r="S250" i="5" s="1"/>
  <c r="AD250" i="5" a="1"/>
  <c r="AD250" i="5" s="1"/>
  <c r="Y250" i="5" a="1"/>
  <c r="Y250" i="5" s="1"/>
  <c r="T68" i="9" s="1"/>
  <c r="N250" i="5" a="1"/>
  <c r="N250" i="5" s="1"/>
  <c r="AB250" i="5" a="1"/>
  <c r="AB250" i="5" s="1"/>
  <c r="AH250" i="5" a="1"/>
  <c r="AH250" i="5" s="1"/>
  <c r="K250" i="5" a="1"/>
  <c r="K250" i="5" s="1"/>
  <c r="H250" i="5" a="1"/>
  <c r="H250" i="5" s="1"/>
  <c r="L250" i="5" a="1"/>
  <c r="L250" i="5" s="1"/>
  <c r="G250" i="5" a="1"/>
  <c r="G250" i="5" s="1"/>
  <c r="I250" i="5" a="1"/>
  <c r="I250" i="5" s="1"/>
  <c r="J250" i="5" a="1"/>
  <c r="J250" i="5" s="1"/>
  <c r="M250" i="5" a="1"/>
  <c r="M250" i="5" s="1"/>
  <c r="F251" i="5"/>
  <c r="AC251" i="5" l="1" a="1"/>
  <c r="AC251" i="5" s="1"/>
  <c r="P251" i="5" a="1"/>
  <c r="P251" i="5" s="1"/>
  <c r="AE251" i="5" a="1"/>
  <c r="AE251" i="5" s="1"/>
  <c r="T251" i="5" a="1"/>
  <c r="T251" i="5" s="1"/>
  <c r="U251" i="5" a="1"/>
  <c r="U251" i="5" s="1"/>
  <c r="W251" i="5" a="1"/>
  <c r="W251" i="5" s="1"/>
  <c r="AF251" i="5" a="1"/>
  <c r="AF251" i="5" s="1"/>
  <c r="Z251" i="5" a="1"/>
  <c r="Z251" i="5" s="1"/>
  <c r="O251" i="5" a="1"/>
  <c r="O251" i="5" s="1"/>
  <c r="R251" i="5" a="1"/>
  <c r="R251" i="5" s="1"/>
  <c r="V251" i="5" a="1"/>
  <c r="V251" i="5" s="1"/>
  <c r="AG251" i="5" a="1"/>
  <c r="AG251" i="5" s="1"/>
  <c r="AD251" i="5" a="1"/>
  <c r="AD251" i="5" s="1"/>
  <c r="Q251" i="5" a="1"/>
  <c r="Q251" i="5" s="1"/>
  <c r="AA251" i="5" a="1"/>
  <c r="AA251" i="5" s="1"/>
  <c r="X251" i="5" a="1"/>
  <c r="X251" i="5" s="1"/>
  <c r="AB251" i="5" a="1"/>
  <c r="AB251" i="5" s="1"/>
  <c r="Y251" i="5" a="1"/>
  <c r="Y251" i="5" s="1"/>
  <c r="S251" i="5" a="1"/>
  <c r="S251" i="5" s="1"/>
  <c r="AH251" i="5" a="1"/>
  <c r="AH251" i="5" s="1"/>
  <c r="N251" i="5" a="1"/>
  <c r="N251" i="5" s="1"/>
  <c r="G251" i="5" a="1"/>
  <c r="G251" i="5" s="1"/>
  <c r="K251" i="5" a="1"/>
  <c r="K251" i="5" s="1"/>
  <c r="I251" i="5" a="1"/>
  <c r="I251" i="5" s="1"/>
  <c r="L251" i="5" a="1"/>
  <c r="L251" i="5" s="1"/>
  <c r="J251" i="5" a="1"/>
  <c r="J251" i="5" s="1"/>
  <c r="H251" i="5" a="1"/>
  <c r="H251" i="5" s="1"/>
  <c r="M251" i="5" a="1"/>
  <c r="M251" i="5" s="1"/>
  <c r="F252" i="5"/>
  <c r="AE252" i="5" l="1" a="1"/>
  <c r="AE252" i="5" s="1"/>
  <c r="AC252" i="5" a="1"/>
  <c r="AC252" i="5" s="1"/>
  <c r="P252" i="5" a="1"/>
  <c r="P252" i="5" s="1"/>
  <c r="T252" i="5" a="1"/>
  <c r="T252" i="5" s="1"/>
  <c r="Z252" i="5" a="1"/>
  <c r="Z252" i="5" s="1"/>
  <c r="W252" i="5" a="1"/>
  <c r="W252" i="5" s="1"/>
  <c r="AF252" i="5" a="1"/>
  <c r="AF252" i="5" s="1"/>
  <c r="U252" i="5" a="1"/>
  <c r="U252" i="5" s="1"/>
  <c r="Q252" i="5" a="1"/>
  <c r="Q252" i="5" s="1"/>
  <c r="AA252" i="5" a="1"/>
  <c r="AA252" i="5" s="1"/>
  <c r="V252" i="5" a="1"/>
  <c r="V252" i="5" s="1"/>
  <c r="AG252" i="5" a="1"/>
  <c r="AG252" i="5" s="1"/>
  <c r="O252" i="5" a="1"/>
  <c r="O252" i="5" s="1"/>
  <c r="X252" i="5" a="1"/>
  <c r="X252" i="5" s="1"/>
  <c r="AD252" i="5" a="1"/>
  <c r="AD252" i="5" s="1"/>
  <c r="Y252" i="5" a="1"/>
  <c r="Y252" i="5" s="1"/>
  <c r="N252" i="5" a="1"/>
  <c r="N252" i="5" s="1"/>
  <c r="S252" i="5" a="1"/>
  <c r="S252" i="5" s="1"/>
  <c r="R252" i="5" a="1"/>
  <c r="R252" i="5" s="1"/>
  <c r="AB252" i="5" a="1"/>
  <c r="AB252" i="5" s="1"/>
  <c r="AH252" i="5" a="1"/>
  <c r="AH252" i="5" s="1"/>
  <c r="G252" i="5" a="1"/>
  <c r="G252" i="5" s="1"/>
  <c r="L252" i="5" a="1"/>
  <c r="L252" i="5" s="1"/>
  <c r="H252" i="5" a="1"/>
  <c r="H252" i="5" s="1"/>
  <c r="K252" i="5" a="1"/>
  <c r="K252" i="5" s="1"/>
  <c r="I252" i="5" a="1"/>
  <c r="I252" i="5" s="1"/>
  <c r="J252" i="5" a="1"/>
  <c r="J252" i="5" s="1"/>
  <c r="M252" i="5" a="1"/>
  <c r="M252" i="5" s="1"/>
  <c r="F253" i="5"/>
  <c r="AC253" i="5" l="1" a="1"/>
  <c r="AC253" i="5" s="1"/>
  <c r="P253" i="5" a="1"/>
  <c r="P253" i="5" s="1"/>
  <c r="T253" i="5" a="1"/>
  <c r="T253" i="5" s="1"/>
  <c r="AE253" i="5" a="1"/>
  <c r="AE253" i="5" s="1"/>
  <c r="AF253" i="5" a="1"/>
  <c r="AF253" i="5" s="1"/>
  <c r="Z253" i="5" a="1"/>
  <c r="Z253" i="5" s="1"/>
  <c r="W253" i="5" a="1"/>
  <c r="W253" i="5" s="1"/>
  <c r="U253" i="5" a="1"/>
  <c r="U253" i="5" s="1"/>
  <c r="O253" i="5" a="1"/>
  <c r="O253" i="5" s="1"/>
  <c r="V253" i="5" a="1"/>
  <c r="V253" i="5" s="1"/>
  <c r="AA253" i="5" a="1"/>
  <c r="AA253" i="5" s="1"/>
  <c r="X253" i="5" a="1"/>
  <c r="X253" i="5" s="1"/>
  <c r="R253" i="5" a="1"/>
  <c r="R253" i="5" s="1"/>
  <c r="Q253" i="5" a="1"/>
  <c r="Q253" i="5" s="1"/>
  <c r="AH253" i="5" a="1"/>
  <c r="AH253" i="5" s="1"/>
  <c r="AB253" i="5" a="1"/>
  <c r="AB253" i="5" s="1"/>
  <c r="AD253" i="5" a="1"/>
  <c r="AD253" i="5" s="1"/>
  <c r="AG253" i="5" a="1"/>
  <c r="AG253" i="5" s="1"/>
  <c r="N253" i="5" a="1"/>
  <c r="N253" i="5" s="1"/>
  <c r="Y253" i="5" a="1"/>
  <c r="Y253" i="5" s="1"/>
  <c r="S253" i="5" a="1"/>
  <c r="S253" i="5" s="1"/>
  <c r="K253" i="5" a="1"/>
  <c r="K253" i="5" s="1"/>
  <c r="H253" i="5" a="1"/>
  <c r="H253" i="5" s="1"/>
  <c r="L253" i="5" a="1"/>
  <c r="L253" i="5" s="1"/>
  <c r="I253" i="5" a="1"/>
  <c r="I253" i="5" s="1"/>
  <c r="J253" i="5" a="1"/>
  <c r="J253" i="5" s="1"/>
  <c r="G253" i="5" a="1"/>
  <c r="G253" i="5" s="1"/>
  <c r="M253" i="5" a="1"/>
  <c r="M253" i="5" s="1"/>
  <c r="F254" i="5"/>
  <c r="T254" i="5" l="1" a="1"/>
  <c r="T254" i="5" s="1"/>
  <c r="AE254" i="5" a="1"/>
  <c r="AE254" i="5" s="1"/>
  <c r="P254" i="5" a="1"/>
  <c r="P254" i="5" s="1"/>
  <c r="AC254" i="5" a="1"/>
  <c r="AC254" i="5" s="1"/>
  <c r="Z254" i="5" a="1"/>
  <c r="Z254" i="5" s="1"/>
  <c r="U69" i="9" s="1"/>
  <c r="AF254" i="5" a="1"/>
  <c r="AF254" i="5" s="1"/>
  <c r="W254" i="5" a="1"/>
  <c r="W254" i="5" s="1"/>
  <c r="R69" i="9" s="1"/>
  <c r="U254" i="5" a="1"/>
  <c r="U254" i="5" s="1"/>
  <c r="P69" i="9" s="1"/>
  <c r="AG254" i="5" a="1"/>
  <c r="AG254" i="5" s="1"/>
  <c r="V254" i="5" a="1"/>
  <c r="V254" i="5" s="1"/>
  <c r="Q69" i="9" s="1"/>
  <c r="X254" i="5" a="1"/>
  <c r="X254" i="5" s="1"/>
  <c r="S69" i="9" s="1"/>
  <c r="Q254" i="5" a="1"/>
  <c r="Q254" i="5" s="1"/>
  <c r="R254" i="5" a="1"/>
  <c r="R254" i="5" s="1"/>
  <c r="AA254" i="5" a="1"/>
  <c r="AA254" i="5" s="1"/>
  <c r="V69" i="9" s="1"/>
  <c r="O254" i="5" a="1"/>
  <c r="O254" i="5" s="1"/>
  <c r="N254" i="5" a="1"/>
  <c r="N254" i="5" s="1"/>
  <c r="S254" i="5" a="1"/>
  <c r="S254" i="5" s="1"/>
  <c r="Y254" i="5" a="1"/>
  <c r="Y254" i="5" s="1"/>
  <c r="T69" i="9" s="1"/>
  <c r="AB254" i="5" a="1"/>
  <c r="AB254" i="5" s="1"/>
  <c r="AD254" i="5" a="1"/>
  <c r="AD254" i="5" s="1"/>
  <c r="AH254" i="5" a="1"/>
  <c r="AH254" i="5" s="1"/>
  <c r="K254" i="5" a="1"/>
  <c r="K254" i="5" s="1"/>
  <c r="H254" i="5" a="1"/>
  <c r="H254" i="5" s="1"/>
  <c r="I254" i="5" a="1"/>
  <c r="I254" i="5" s="1"/>
  <c r="L254" i="5" a="1"/>
  <c r="L254" i="5" s="1"/>
  <c r="G254" i="5" a="1"/>
  <c r="G254" i="5" s="1"/>
  <c r="J254" i="5" a="1"/>
  <c r="J254" i="5" s="1"/>
  <c r="M254" i="5" a="1"/>
  <c r="M254" i="5" s="1"/>
  <c r="F255" i="5"/>
  <c r="P255" i="5" l="1" a="1"/>
  <c r="P255" i="5" s="1"/>
  <c r="AC255" i="5" a="1"/>
  <c r="AC255" i="5" s="1"/>
  <c r="AE255" i="5" a="1"/>
  <c r="AE255" i="5" s="1"/>
  <c r="T255" i="5" a="1"/>
  <c r="T255" i="5" s="1"/>
  <c r="AF255" i="5" a="1"/>
  <c r="AF255" i="5" s="1"/>
  <c r="Z255" i="5" a="1"/>
  <c r="Z255" i="5" s="1"/>
  <c r="W255" i="5" a="1"/>
  <c r="W255" i="5" s="1"/>
  <c r="U255" i="5" a="1"/>
  <c r="U255" i="5" s="1"/>
  <c r="AA255" i="5" a="1"/>
  <c r="AA255" i="5" s="1"/>
  <c r="Q255" i="5" a="1"/>
  <c r="Q255" i="5" s="1"/>
  <c r="O255" i="5" a="1"/>
  <c r="O255" i="5" s="1"/>
  <c r="X255" i="5" a="1"/>
  <c r="X255" i="5" s="1"/>
  <c r="AG255" i="5" a="1"/>
  <c r="AG255" i="5" s="1"/>
  <c r="V255" i="5" a="1"/>
  <c r="V255" i="5" s="1"/>
  <c r="AD255" i="5" a="1"/>
  <c r="AD255" i="5" s="1"/>
  <c r="N255" i="5" a="1"/>
  <c r="N255" i="5" s="1"/>
  <c r="S255" i="5" a="1"/>
  <c r="S255" i="5" s="1"/>
  <c r="AB255" i="5" a="1"/>
  <c r="AB255" i="5" s="1"/>
  <c r="R255" i="5" a="1"/>
  <c r="R255" i="5" s="1"/>
  <c r="AH255" i="5" a="1"/>
  <c r="AH255" i="5" s="1"/>
  <c r="Y255" i="5" a="1"/>
  <c r="Y255" i="5" s="1"/>
  <c r="H255" i="5" a="1"/>
  <c r="H255" i="5" s="1"/>
  <c r="K255" i="5" a="1"/>
  <c r="K255" i="5" s="1"/>
  <c r="G255" i="5" a="1"/>
  <c r="G255" i="5" s="1"/>
  <c r="I255" i="5" a="1"/>
  <c r="I255" i="5" s="1"/>
  <c r="J255" i="5" a="1"/>
  <c r="J255" i="5" s="1"/>
  <c r="L255" i="5" a="1"/>
  <c r="L255" i="5" s="1"/>
  <c r="M255" i="5" a="1"/>
  <c r="M255" i="5" s="1"/>
  <c r="F256" i="5"/>
  <c r="AC256" i="5" l="1" a="1"/>
  <c r="AC256" i="5" s="1"/>
  <c r="AE256" i="5" a="1"/>
  <c r="AE256" i="5" s="1"/>
  <c r="P256" i="5" a="1"/>
  <c r="P256" i="5" s="1"/>
  <c r="T256" i="5" a="1"/>
  <c r="T256" i="5" s="1"/>
  <c r="W256" i="5" a="1"/>
  <c r="W256" i="5" s="1"/>
  <c r="U256" i="5" a="1"/>
  <c r="U256" i="5" s="1"/>
  <c r="Z256" i="5" a="1"/>
  <c r="Z256" i="5" s="1"/>
  <c r="AF256" i="5" a="1"/>
  <c r="AF256" i="5" s="1"/>
  <c r="O256" i="5" a="1"/>
  <c r="O256" i="5" s="1"/>
  <c r="Q256" i="5" a="1"/>
  <c r="Q256" i="5" s="1"/>
  <c r="R256" i="5" a="1"/>
  <c r="R256" i="5" s="1"/>
  <c r="V256" i="5" a="1"/>
  <c r="V256" i="5" s="1"/>
  <c r="X256" i="5" a="1"/>
  <c r="X256" i="5" s="1"/>
  <c r="AG256" i="5" a="1"/>
  <c r="AG256" i="5" s="1"/>
  <c r="AA256" i="5" a="1"/>
  <c r="AA256" i="5" s="1"/>
  <c r="S256" i="5" a="1"/>
  <c r="S256" i="5" s="1"/>
  <c r="Y256" i="5" a="1"/>
  <c r="Y256" i="5" s="1"/>
  <c r="AD256" i="5" a="1"/>
  <c r="AD256" i="5" s="1"/>
  <c r="AH256" i="5" a="1"/>
  <c r="AH256" i="5" s="1"/>
  <c r="AB256" i="5" a="1"/>
  <c r="AB256" i="5" s="1"/>
  <c r="N256" i="5" a="1"/>
  <c r="N256" i="5" s="1"/>
  <c r="K256" i="5" a="1"/>
  <c r="K256" i="5" s="1"/>
  <c r="L256" i="5" a="1"/>
  <c r="L256" i="5" s="1"/>
  <c r="H256" i="5" a="1"/>
  <c r="H256" i="5" s="1"/>
  <c r="G256" i="5" a="1"/>
  <c r="G256" i="5" s="1"/>
  <c r="J256" i="5" a="1"/>
  <c r="J256" i="5" s="1"/>
  <c r="I256" i="5" a="1"/>
  <c r="I256" i="5" s="1"/>
  <c r="M256" i="5" a="1"/>
  <c r="M256" i="5" s="1"/>
  <c r="F257" i="5"/>
  <c r="T257" i="5" l="1" a="1"/>
  <c r="T257" i="5" s="1"/>
  <c r="AC257" i="5" a="1"/>
  <c r="AC257" i="5" s="1"/>
  <c r="AE257" i="5" a="1"/>
  <c r="AE257" i="5" s="1"/>
  <c r="P257" i="5" a="1"/>
  <c r="P257" i="5" s="1"/>
  <c r="W257" i="5" a="1"/>
  <c r="W257" i="5" s="1"/>
  <c r="Z257" i="5" a="1"/>
  <c r="Z257" i="5" s="1"/>
  <c r="AF257" i="5" a="1"/>
  <c r="AF257" i="5" s="1"/>
  <c r="U257" i="5" a="1"/>
  <c r="U257" i="5" s="1"/>
  <c r="R257" i="5" a="1"/>
  <c r="R257" i="5" s="1"/>
  <c r="X257" i="5" a="1"/>
  <c r="X257" i="5" s="1"/>
  <c r="AG257" i="5" a="1"/>
  <c r="AG257" i="5" s="1"/>
  <c r="AA257" i="5" a="1"/>
  <c r="AA257" i="5" s="1"/>
  <c r="Q257" i="5" a="1"/>
  <c r="Q257" i="5" s="1"/>
  <c r="V257" i="5" a="1"/>
  <c r="V257" i="5" s="1"/>
  <c r="O257" i="5" a="1"/>
  <c r="O257" i="5" s="1"/>
  <c r="S257" i="5" a="1"/>
  <c r="S257" i="5" s="1"/>
  <c r="N257" i="5" a="1"/>
  <c r="N257" i="5" s="1"/>
  <c r="AH257" i="5" a="1"/>
  <c r="AH257" i="5" s="1"/>
  <c r="AB257" i="5" a="1"/>
  <c r="AB257" i="5" s="1"/>
  <c r="AD257" i="5" a="1"/>
  <c r="AD257" i="5" s="1"/>
  <c r="Y257" i="5" a="1"/>
  <c r="Y257" i="5" s="1"/>
  <c r="K257" i="5" a="1"/>
  <c r="K257" i="5" s="1"/>
  <c r="I257" i="5" a="1"/>
  <c r="I257" i="5" s="1"/>
  <c r="H257" i="5" a="1"/>
  <c r="H257" i="5" s="1"/>
  <c r="G257" i="5" a="1"/>
  <c r="G257" i="5" s="1"/>
  <c r="L257" i="5" a="1"/>
  <c r="L257" i="5" s="1"/>
  <c r="J257" i="5" a="1"/>
  <c r="J257" i="5" s="1"/>
  <c r="M257" i="5" a="1"/>
  <c r="M257" i="5" s="1"/>
  <c r="F258" i="5"/>
  <c r="T258" i="5" l="1" a="1"/>
  <c r="T258" i="5" s="1"/>
  <c r="AE258" i="5" a="1"/>
  <c r="AE258" i="5" s="1"/>
  <c r="P258" i="5" a="1"/>
  <c r="P258" i="5" s="1"/>
  <c r="AC258" i="5" a="1"/>
  <c r="AC258" i="5" s="1"/>
  <c r="U258" i="5" a="1"/>
  <c r="U258" i="5" s="1"/>
  <c r="P70" i="9" s="1"/>
  <c r="Z258" i="5" a="1"/>
  <c r="Z258" i="5" s="1"/>
  <c r="U70" i="9" s="1"/>
  <c r="AF258" i="5" a="1"/>
  <c r="AF258" i="5" s="1"/>
  <c r="W258" i="5" a="1"/>
  <c r="W258" i="5" s="1"/>
  <c r="R70" i="9" s="1"/>
  <c r="O258" i="5" a="1"/>
  <c r="O258" i="5" s="1"/>
  <c r="R258" i="5" a="1"/>
  <c r="R258" i="5" s="1"/>
  <c r="V258" i="5" a="1"/>
  <c r="V258" i="5" s="1"/>
  <c r="Q70" i="9" s="1"/>
  <c r="AG258" i="5" a="1"/>
  <c r="AG258" i="5" s="1"/>
  <c r="Q258" i="5" a="1"/>
  <c r="Q258" i="5" s="1"/>
  <c r="AA258" i="5" a="1"/>
  <c r="AA258" i="5" s="1"/>
  <c r="V70" i="9" s="1"/>
  <c r="X258" i="5" a="1"/>
  <c r="X258" i="5" s="1"/>
  <c r="S70" i="9" s="1"/>
  <c r="AB258" i="5" a="1"/>
  <c r="AB258" i="5" s="1"/>
  <c r="Y258" i="5" a="1"/>
  <c r="Y258" i="5" s="1"/>
  <c r="T70" i="9" s="1"/>
  <c r="AD258" i="5" a="1"/>
  <c r="AD258" i="5" s="1"/>
  <c r="AH258" i="5" a="1"/>
  <c r="AH258" i="5" s="1"/>
  <c r="N258" i="5" a="1"/>
  <c r="N258" i="5" s="1"/>
  <c r="S258" i="5" a="1"/>
  <c r="S258" i="5" s="1"/>
  <c r="G258" i="5" a="1"/>
  <c r="G258" i="5" s="1"/>
  <c r="L258" i="5" a="1"/>
  <c r="L258" i="5" s="1"/>
  <c r="H258" i="5" a="1"/>
  <c r="H258" i="5" s="1"/>
  <c r="I258" i="5" a="1"/>
  <c r="I258" i="5" s="1"/>
  <c r="J258" i="5" a="1"/>
  <c r="J258" i="5" s="1"/>
  <c r="K258" i="5" a="1"/>
  <c r="K258" i="5" s="1"/>
  <c r="M258" i="5" a="1"/>
  <c r="M258" i="5" s="1"/>
  <c r="F259" i="5"/>
  <c r="AE259" i="5" l="1" a="1"/>
  <c r="AE259" i="5" s="1"/>
  <c r="AC259" i="5" a="1"/>
  <c r="AC259" i="5" s="1"/>
  <c r="T259" i="5" a="1"/>
  <c r="T259" i="5" s="1"/>
  <c r="P259" i="5" a="1"/>
  <c r="P259" i="5" s="1"/>
  <c r="U259" i="5" a="1"/>
  <c r="U259" i="5" s="1"/>
  <c r="AF259" i="5" a="1"/>
  <c r="AF259" i="5" s="1"/>
  <c r="Z259" i="5" a="1"/>
  <c r="Z259" i="5" s="1"/>
  <c r="W259" i="5" a="1"/>
  <c r="W259" i="5" s="1"/>
  <c r="Q259" i="5" a="1"/>
  <c r="Q259" i="5" s="1"/>
  <c r="X259" i="5" a="1"/>
  <c r="X259" i="5" s="1"/>
  <c r="AG259" i="5" a="1"/>
  <c r="AG259" i="5" s="1"/>
  <c r="AA259" i="5" a="1"/>
  <c r="AA259" i="5" s="1"/>
  <c r="O259" i="5" a="1"/>
  <c r="O259" i="5" s="1"/>
  <c r="AB259" i="5" a="1"/>
  <c r="AB259" i="5" s="1"/>
  <c r="R259" i="5" a="1"/>
  <c r="R259" i="5" s="1"/>
  <c r="AD259" i="5" a="1"/>
  <c r="AD259" i="5" s="1"/>
  <c r="AH259" i="5" a="1"/>
  <c r="AH259" i="5" s="1"/>
  <c r="V259" i="5" a="1"/>
  <c r="V259" i="5" s="1"/>
  <c r="N259" i="5" a="1"/>
  <c r="N259" i="5" s="1"/>
  <c r="S259" i="5" a="1"/>
  <c r="S259" i="5" s="1"/>
  <c r="Y259" i="5" a="1"/>
  <c r="Y259" i="5" s="1"/>
  <c r="G259" i="5" a="1"/>
  <c r="G259" i="5" s="1"/>
  <c r="K259" i="5" a="1"/>
  <c r="K259" i="5" s="1"/>
  <c r="L259" i="5" a="1"/>
  <c r="L259" i="5" s="1"/>
  <c r="H259" i="5" a="1"/>
  <c r="H259" i="5" s="1"/>
  <c r="I259" i="5" a="1"/>
  <c r="I259" i="5" s="1"/>
  <c r="J259" i="5" a="1"/>
  <c r="J259" i="5" s="1"/>
  <c r="M259" i="5" a="1"/>
  <c r="M259" i="5" s="1"/>
  <c r="F260" i="5"/>
  <c r="P260" i="5" l="1" a="1"/>
  <c r="P260" i="5" s="1"/>
  <c r="T260" i="5" a="1"/>
  <c r="T260" i="5" s="1"/>
  <c r="AE260" i="5" a="1"/>
  <c r="AE260" i="5" s="1"/>
  <c r="W260" i="5" a="1"/>
  <c r="W260" i="5" s="1"/>
  <c r="AC260" i="5" a="1"/>
  <c r="AC260" i="5" s="1"/>
  <c r="Z260" i="5" a="1"/>
  <c r="Z260" i="5" s="1"/>
  <c r="U260" i="5" a="1"/>
  <c r="U260" i="5" s="1"/>
  <c r="AF260" i="5" a="1"/>
  <c r="AF260" i="5" s="1"/>
  <c r="AG260" i="5" a="1"/>
  <c r="AG260" i="5" s="1"/>
  <c r="X260" i="5" a="1"/>
  <c r="X260" i="5" s="1"/>
  <c r="O260" i="5" a="1"/>
  <c r="O260" i="5" s="1"/>
  <c r="AA260" i="5" a="1"/>
  <c r="AA260" i="5" s="1"/>
  <c r="V260" i="5" a="1"/>
  <c r="V260" i="5" s="1"/>
  <c r="AD260" i="5" a="1"/>
  <c r="AD260" i="5" s="1"/>
  <c r="Q260" i="5" a="1"/>
  <c r="Q260" i="5" s="1"/>
  <c r="S260" i="5" a="1"/>
  <c r="S260" i="5" s="1"/>
  <c r="AB260" i="5" a="1"/>
  <c r="AB260" i="5" s="1"/>
  <c r="N260" i="5" a="1"/>
  <c r="N260" i="5" s="1"/>
  <c r="Y260" i="5" a="1"/>
  <c r="Y260" i="5" s="1"/>
  <c r="AH260" i="5" a="1"/>
  <c r="AH260" i="5" s="1"/>
  <c r="R260" i="5" a="1"/>
  <c r="R260" i="5" s="1"/>
  <c r="L260" i="5" a="1"/>
  <c r="L260" i="5" s="1"/>
  <c r="K260" i="5" a="1"/>
  <c r="K260" i="5" s="1"/>
  <c r="H260" i="5" a="1"/>
  <c r="H260" i="5" s="1"/>
  <c r="J260" i="5" a="1"/>
  <c r="J260" i="5" s="1"/>
  <c r="I260" i="5" a="1"/>
  <c r="I260" i="5" s="1"/>
  <c r="G260" i="5" a="1"/>
  <c r="G260" i="5" s="1"/>
  <c r="M260" i="5" a="1"/>
  <c r="M260" i="5" s="1"/>
  <c r="F261" i="5"/>
  <c r="AC261" i="5" l="1" a="1"/>
  <c r="AC261" i="5" s="1"/>
  <c r="AE261" i="5" a="1"/>
  <c r="AE261" i="5" s="1"/>
  <c r="T261" i="5" a="1"/>
  <c r="T261" i="5" s="1"/>
  <c r="P261" i="5" a="1"/>
  <c r="P261" i="5" s="1"/>
  <c r="U261" i="5" a="1"/>
  <c r="U261" i="5" s="1"/>
  <c r="Z261" i="5" a="1"/>
  <c r="Z261" i="5" s="1"/>
  <c r="AF261" i="5" a="1"/>
  <c r="AF261" i="5" s="1"/>
  <c r="W261" i="5" a="1"/>
  <c r="W261" i="5" s="1"/>
  <c r="AA261" i="5" a="1"/>
  <c r="AA261" i="5" s="1"/>
  <c r="V261" i="5" a="1"/>
  <c r="V261" i="5" s="1"/>
  <c r="AG261" i="5" a="1"/>
  <c r="AG261" i="5" s="1"/>
  <c r="AD261" i="5" a="1"/>
  <c r="AD261" i="5" s="1"/>
  <c r="X261" i="5" a="1"/>
  <c r="X261" i="5" s="1"/>
  <c r="O261" i="5" a="1"/>
  <c r="O261" i="5" s="1"/>
  <c r="Q261" i="5" a="1"/>
  <c r="Q261" i="5" s="1"/>
  <c r="R261" i="5" a="1"/>
  <c r="R261" i="5" s="1"/>
  <c r="AB261" i="5" a="1"/>
  <c r="AB261" i="5" s="1"/>
  <c r="AH261" i="5" a="1"/>
  <c r="AH261" i="5" s="1"/>
  <c r="S261" i="5" a="1"/>
  <c r="S261" i="5" s="1"/>
  <c r="N261" i="5" a="1"/>
  <c r="N261" i="5" s="1"/>
  <c r="Y261" i="5" a="1"/>
  <c r="Y261" i="5" s="1"/>
  <c r="H261" i="5" a="1"/>
  <c r="H261" i="5" s="1"/>
  <c r="L261" i="5" a="1"/>
  <c r="L261" i="5" s="1"/>
  <c r="G261" i="5" a="1"/>
  <c r="G261" i="5" s="1"/>
  <c r="J261" i="5" a="1"/>
  <c r="J261" i="5" s="1"/>
  <c r="K261" i="5" a="1"/>
  <c r="K261" i="5" s="1"/>
  <c r="I261" i="5" a="1"/>
  <c r="I261" i="5" s="1"/>
  <c r="M261" i="5" a="1"/>
  <c r="M261" i="5" s="1"/>
  <c r="F262" i="5"/>
  <c r="AC262" i="5" l="1" a="1"/>
  <c r="AC262" i="5" s="1"/>
  <c r="P262" i="5" a="1"/>
  <c r="P262" i="5" s="1"/>
  <c r="T262" i="5" a="1"/>
  <c r="T262" i="5" s="1"/>
  <c r="AE262" i="5" a="1"/>
  <c r="AE262" i="5" s="1"/>
  <c r="W262" i="5" a="1"/>
  <c r="W262" i="5" s="1"/>
  <c r="R71" i="9" s="1"/>
  <c r="U262" i="5" a="1"/>
  <c r="U262" i="5" s="1"/>
  <c r="P71" i="9" s="1"/>
  <c r="Z262" i="5" a="1"/>
  <c r="Z262" i="5" s="1"/>
  <c r="U71" i="9" s="1"/>
  <c r="Q262" i="5" a="1"/>
  <c r="Q262" i="5" s="1"/>
  <c r="X262" i="5" a="1"/>
  <c r="X262" i="5" s="1"/>
  <c r="S71" i="9" s="1"/>
  <c r="AA262" i="5" a="1"/>
  <c r="AA262" i="5" s="1"/>
  <c r="V71" i="9" s="1"/>
  <c r="O262" i="5" a="1"/>
  <c r="O262" i="5" s="1"/>
  <c r="AF262" i="5" a="1"/>
  <c r="AF262" i="5" s="1"/>
  <c r="AG262" i="5" a="1"/>
  <c r="AG262" i="5" s="1"/>
  <c r="R262" i="5" a="1"/>
  <c r="R262" i="5" s="1"/>
  <c r="V262" i="5" a="1"/>
  <c r="V262" i="5" s="1"/>
  <c r="Q71" i="9" s="1"/>
  <c r="N262" i="5" a="1"/>
  <c r="N262" i="5" s="1"/>
  <c r="AD262" i="5" a="1"/>
  <c r="AD262" i="5" s="1"/>
  <c r="AH262" i="5" a="1"/>
  <c r="AH262" i="5" s="1"/>
  <c r="AB262" i="5" a="1"/>
  <c r="AB262" i="5" s="1"/>
  <c r="Y262" i="5" a="1"/>
  <c r="Y262" i="5" s="1"/>
  <c r="T71" i="9" s="1"/>
  <c r="S262" i="5" a="1"/>
  <c r="S262" i="5" s="1"/>
  <c r="L262" i="5" a="1"/>
  <c r="L262" i="5" s="1"/>
  <c r="G262" i="5" a="1"/>
  <c r="G262" i="5" s="1"/>
  <c r="H262" i="5" a="1"/>
  <c r="H262" i="5" s="1"/>
  <c r="K262" i="5" a="1"/>
  <c r="K262" i="5" s="1"/>
  <c r="J262" i="5" a="1"/>
  <c r="J262" i="5" s="1"/>
  <c r="I262" i="5" a="1"/>
  <c r="I262" i="5" s="1"/>
  <c r="M262" i="5" a="1"/>
  <c r="M262" i="5" s="1"/>
  <c r="F263" i="5"/>
  <c r="P263" i="5" l="1" a="1"/>
  <c r="P263" i="5" s="1"/>
  <c r="T263" i="5" a="1"/>
  <c r="T263" i="5" s="1"/>
  <c r="AE263" i="5" a="1"/>
  <c r="AE263" i="5" s="1"/>
  <c r="AC263" i="5" a="1"/>
  <c r="AC263" i="5" s="1"/>
  <c r="AF263" i="5" a="1"/>
  <c r="AF263" i="5" s="1"/>
  <c r="Z263" i="5" a="1"/>
  <c r="Z263" i="5" s="1"/>
  <c r="W263" i="5" a="1"/>
  <c r="W263" i="5" s="1"/>
  <c r="U263" i="5" a="1"/>
  <c r="U263" i="5" s="1"/>
  <c r="Q263" i="5" a="1"/>
  <c r="Q263" i="5" s="1"/>
  <c r="AG263" i="5" a="1"/>
  <c r="AG263" i="5" s="1"/>
  <c r="V263" i="5" a="1"/>
  <c r="V263" i="5" s="1"/>
  <c r="O263" i="5" a="1"/>
  <c r="O263" i="5" s="1"/>
  <c r="X263" i="5" a="1"/>
  <c r="X263" i="5" s="1"/>
  <c r="AA263" i="5" a="1"/>
  <c r="AA263" i="5" s="1"/>
  <c r="R263" i="5" a="1"/>
  <c r="R263" i="5" s="1"/>
  <c r="Y263" i="5" a="1"/>
  <c r="Y263" i="5" s="1"/>
  <c r="N263" i="5" a="1"/>
  <c r="N263" i="5" s="1"/>
  <c r="AB263" i="5" a="1"/>
  <c r="AB263" i="5" s="1"/>
  <c r="AD263" i="5" a="1"/>
  <c r="AD263" i="5" s="1"/>
  <c r="AH263" i="5" a="1"/>
  <c r="AH263" i="5" s="1"/>
  <c r="S263" i="5" a="1"/>
  <c r="S263" i="5" s="1"/>
  <c r="L263" i="5" a="1"/>
  <c r="L263" i="5" s="1"/>
  <c r="H263" i="5" a="1"/>
  <c r="H263" i="5" s="1"/>
  <c r="G263" i="5" a="1"/>
  <c r="G263" i="5" s="1"/>
  <c r="K263" i="5" a="1"/>
  <c r="K263" i="5" s="1"/>
  <c r="I263" i="5" a="1"/>
  <c r="I263" i="5" s="1"/>
  <c r="J263" i="5" a="1"/>
  <c r="J263" i="5" s="1"/>
  <c r="M263" i="5" a="1"/>
  <c r="M263" i="5" s="1"/>
  <c r="F264" i="5"/>
  <c r="T264" i="5" l="1" a="1"/>
  <c r="T264" i="5" s="1"/>
  <c r="AE264" i="5" a="1"/>
  <c r="AE264" i="5" s="1"/>
  <c r="AC264" i="5" a="1"/>
  <c r="AC264" i="5" s="1"/>
  <c r="P264" i="5" a="1"/>
  <c r="P264" i="5" s="1"/>
  <c r="Z264" i="5" a="1"/>
  <c r="Z264" i="5" s="1"/>
  <c r="AF264" i="5" a="1"/>
  <c r="AF264" i="5" s="1"/>
  <c r="W264" i="5" a="1"/>
  <c r="W264" i="5" s="1"/>
  <c r="U264" i="5" a="1"/>
  <c r="U264" i="5" s="1"/>
  <c r="R264" i="5" a="1"/>
  <c r="R264" i="5" s="1"/>
  <c r="Q264" i="5" a="1"/>
  <c r="Q264" i="5" s="1"/>
  <c r="O264" i="5" a="1"/>
  <c r="O264" i="5" s="1"/>
  <c r="X264" i="5" a="1"/>
  <c r="X264" i="5" s="1"/>
  <c r="AG264" i="5" a="1"/>
  <c r="AG264" i="5" s="1"/>
  <c r="AA264" i="5" a="1"/>
  <c r="AA264" i="5" s="1"/>
  <c r="AH264" i="5" a="1"/>
  <c r="AH264" i="5" s="1"/>
  <c r="AB264" i="5" a="1"/>
  <c r="AB264" i="5" s="1"/>
  <c r="AD264" i="5" a="1"/>
  <c r="AD264" i="5" s="1"/>
  <c r="S264" i="5" a="1"/>
  <c r="S264" i="5" s="1"/>
  <c r="V264" i="5" a="1"/>
  <c r="V264" i="5" s="1"/>
  <c r="N264" i="5" a="1"/>
  <c r="N264" i="5" s="1"/>
  <c r="Y264" i="5" a="1"/>
  <c r="Y264" i="5" s="1"/>
  <c r="K264" i="5" a="1"/>
  <c r="K264" i="5" s="1"/>
  <c r="H264" i="5" a="1"/>
  <c r="H264" i="5" s="1"/>
  <c r="L264" i="5" a="1"/>
  <c r="L264" i="5" s="1"/>
  <c r="G264" i="5" a="1"/>
  <c r="G264" i="5" s="1"/>
  <c r="J264" i="5" a="1"/>
  <c r="J264" i="5" s="1"/>
  <c r="I264" i="5" a="1"/>
  <c r="I264" i="5" s="1"/>
  <c r="M264" i="5" a="1"/>
  <c r="M264" i="5" s="1"/>
  <c r="F265" i="5"/>
  <c r="T265" i="5" l="1" a="1"/>
  <c r="T265" i="5" s="1"/>
  <c r="AC265" i="5" a="1"/>
  <c r="AC265" i="5" s="1"/>
  <c r="P265" i="5" a="1"/>
  <c r="P265" i="5" s="1"/>
  <c r="AE265" i="5" a="1"/>
  <c r="AE265" i="5" s="1"/>
  <c r="W265" i="5" a="1"/>
  <c r="W265" i="5" s="1"/>
  <c r="Z265" i="5" a="1"/>
  <c r="Z265" i="5" s="1"/>
  <c r="U265" i="5" a="1"/>
  <c r="U265" i="5" s="1"/>
  <c r="AF265" i="5" a="1"/>
  <c r="AF265" i="5" s="1"/>
  <c r="V265" i="5" a="1"/>
  <c r="V265" i="5" s="1"/>
  <c r="X265" i="5" a="1"/>
  <c r="X265" i="5" s="1"/>
  <c r="AA265" i="5" a="1"/>
  <c r="AA265" i="5" s="1"/>
  <c r="AG265" i="5" a="1"/>
  <c r="AG265" i="5" s="1"/>
  <c r="R265" i="5" a="1"/>
  <c r="R265" i="5" s="1"/>
  <c r="Q265" i="5" a="1"/>
  <c r="Q265" i="5" s="1"/>
  <c r="O265" i="5" a="1"/>
  <c r="O265" i="5" s="1"/>
  <c r="AH265" i="5" a="1"/>
  <c r="AH265" i="5" s="1"/>
  <c r="S265" i="5" a="1"/>
  <c r="S265" i="5" s="1"/>
  <c r="Y265" i="5" a="1"/>
  <c r="Y265" i="5" s="1"/>
  <c r="N265" i="5" a="1"/>
  <c r="N265" i="5" s="1"/>
  <c r="AB265" i="5" a="1"/>
  <c r="AB265" i="5" s="1"/>
  <c r="AD265" i="5" a="1"/>
  <c r="AD265" i="5" s="1"/>
  <c r="G265" i="5" a="1"/>
  <c r="G265" i="5" s="1"/>
  <c r="K265" i="5" a="1"/>
  <c r="K265" i="5" s="1"/>
  <c r="H265" i="5" a="1"/>
  <c r="H265" i="5" s="1"/>
  <c r="J265" i="5" a="1"/>
  <c r="J265" i="5" s="1"/>
  <c r="I265" i="5" a="1"/>
  <c r="I265" i="5" s="1"/>
  <c r="L265" i="5" a="1"/>
  <c r="L265" i="5" s="1"/>
  <c r="M265" i="5" a="1"/>
  <c r="M265" i="5" s="1"/>
  <c r="F266" i="5"/>
  <c r="T266" i="5" l="1" a="1"/>
  <c r="T266" i="5" s="1"/>
  <c r="AE266" i="5" a="1"/>
  <c r="AE266" i="5" s="1"/>
  <c r="P266" i="5" a="1"/>
  <c r="P266" i="5" s="1"/>
  <c r="AC266" i="5" a="1"/>
  <c r="AC266" i="5" s="1"/>
  <c r="Z266" i="5" a="1"/>
  <c r="Z266" i="5" s="1"/>
  <c r="U72" i="9" s="1"/>
  <c r="U266" i="5" a="1"/>
  <c r="U266" i="5" s="1"/>
  <c r="P72" i="9" s="1"/>
  <c r="AF266" i="5" a="1"/>
  <c r="AF266" i="5" s="1"/>
  <c r="W266" i="5" a="1"/>
  <c r="W266" i="5" s="1"/>
  <c r="R72" i="9" s="1"/>
  <c r="R266" i="5" a="1"/>
  <c r="R266" i="5" s="1"/>
  <c r="V266" i="5" a="1"/>
  <c r="V266" i="5" s="1"/>
  <c r="Q72" i="9" s="1"/>
  <c r="Q266" i="5" a="1"/>
  <c r="Q266" i="5" s="1"/>
  <c r="AA266" i="5" a="1"/>
  <c r="AA266" i="5" s="1"/>
  <c r="V72" i="9" s="1"/>
  <c r="AG266" i="5" a="1"/>
  <c r="AG266" i="5" s="1"/>
  <c r="X266" i="5" a="1"/>
  <c r="X266" i="5" s="1"/>
  <c r="S72" i="9" s="1"/>
  <c r="O266" i="5" a="1"/>
  <c r="O266" i="5" s="1"/>
  <c r="N266" i="5" a="1"/>
  <c r="N266" i="5" s="1"/>
  <c r="Y266" i="5" a="1"/>
  <c r="Y266" i="5" s="1"/>
  <c r="T72" i="9" s="1"/>
  <c r="AH266" i="5" a="1"/>
  <c r="AH266" i="5" s="1"/>
  <c r="AB266" i="5" a="1"/>
  <c r="AB266" i="5" s="1"/>
  <c r="AD266" i="5" a="1"/>
  <c r="AD266" i="5" s="1"/>
  <c r="S266" i="5" a="1"/>
  <c r="S266" i="5" s="1"/>
  <c r="G266" i="5" a="1"/>
  <c r="G266" i="5" s="1"/>
  <c r="L266" i="5" a="1"/>
  <c r="L266" i="5" s="1"/>
  <c r="I266" i="5" a="1"/>
  <c r="I266" i="5" s="1"/>
  <c r="H266" i="5" a="1"/>
  <c r="H266" i="5" s="1"/>
  <c r="K266" i="5" a="1"/>
  <c r="K266" i="5" s="1"/>
  <c r="J266" i="5" a="1"/>
  <c r="J266" i="5" s="1"/>
  <c r="M266" i="5" a="1"/>
  <c r="M266" i="5" s="1"/>
  <c r="F267" i="5"/>
  <c r="T267" i="5" l="1" a="1"/>
  <c r="T267" i="5" s="1"/>
  <c r="P267" i="5" a="1"/>
  <c r="P267" i="5" s="1"/>
  <c r="AE267" i="5" a="1"/>
  <c r="AE267" i="5" s="1"/>
  <c r="AC267" i="5" a="1"/>
  <c r="AC267" i="5" s="1"/>
  <c r="AF267" i="5" a="1"/>
  <c r="AF267" i="5" s="1"/>
  <c r="Z267" i="5" a="1"/>
  <c r="Z267" i="5" s="1"/>
  <c r="W267" i="5" a="1"/>
  <c r="W267" i="5" s="1"/>
  <c r="U267" i="5" a="1"/>
  <c r="U267" i="5" s="1"/>
  <c r="V267" i="5" a="1"/>
  <c r="V267" i="5" s="1"/>
  <c r="R267" i="5" a="1"/>
  <c r="R267" i="5" s="1"/>
  <c r="Q267" i="5" a="1"/>
  <c r="Q267" i="5" s="1"/>
  <c r="O267" i="5" a="1"/>
  <c r="O267" i="5" s="1"/>
  <c r="AG267" i="5" a="1"/>
  <c r="AG267" i="5" s="1"/>
  <c r="AA267" i="5" a="1"/>
  <c r="AA267" i="5" s="1"/>
  <c r="X267" i="5" a="1"/>
  <c r="X267" i="5" s="1"/>
  <c r="AB267" i="5" a="1"/>
  <c r="AB267" i="5" s="1"/>
  <c r="S267" i="5" a="1"/>
  <c r="S267" i="5" s="1"/>
  <c r="AH267" i="5" a="1"/>
  <c r="AH267" i="5" s="1"/>
  <c r="AD267" i="5" a="1"/>
  <c r="AD267" i="5" s="1"/>
  <c r="N267" i="5" a="1"/>
  <c r="N267" i="5" s="1"/>
  <c r="Y267" i="5" a="1"/>
  <c r="Y267" i="5" s="1"/>
  <c r="K267" i="5" a="1"/>
  <c r="K267" i="5" s="1"/>
  <c r="L267" i="5" a="1"/>
  <c r="L267" i="5" s="1"/>
  <c r="H267" i="5" a="1"/>
  <c r="H267" i="5" s="1"/>
  <c r="I267" i="5" a="1"/>
  <c r="I267" i="5" s="1"/>
  <c r="G267" i="5" a="1"/>
  <c r="G267" i="5" s="1"/>
  <c r="J267" i="5" a="1"/>
  <c r="J267" i="5" s="1"/>
  <c r="M267" i="5" a="1"/>
  <c r="M267" i="5" s="1"/>
  <c r="F268" i="5"/>
  <c r="P268" i="5" l="1" a="1"/>
  <c r="P268" i="5" s="1"/>
  <c r="AC268" i="5" a="1"/>
  <c r="AC268" i="5" s="1"/>
  <c r="T268" i="5" a="1"/>
  <c r="T268" i="5" s="1"/>
  <c r="AE268" i="5" a="1"/>
  <c r="AE268" i="5" s="1"/>
  <c r="Z268" i="5" a="1"/>
  <c r="Z268" i="5" s="1"/>
  <c r="U268" i="5" a="1"/>
  <c r="U268" i="5" s="1"/>
  <c r="AF268" i="5" a="1"/>
  <c r="AF268" i="5" s="1"/>
  <c r="W268" i="5" a="1"/>
  <c r="W268" i="5" s="1"/>
  <c r="X268" i="5" a="1"/>
  <c r="X268" i="5" s="1"/>
  <c r="Q268" i="5" a="1"/>
  <c r="Q268" i="5" s="1"/>
  <c r="AA268" i="5" a="1"/>
  <c r="AA268" i="5" s="1"/>
  <c r="V268" i="5" a="1"/>
  <c r="V268" i="5" s="1"/>
  <c r="R268" i="5" a="1"/>
  <c r="R268" i="5" s="1"/>
  <c r="O268" i="5" a="1"/>
  <c r="O268" i="5" s="1"/>
  <c r="AB268" i="5" a="1"/>
  <c r="AB268" i="5" s="1"/>
  <c r="AH268" i="5" a="1"/>
  <c r="AH268" i="5" s="1"/>
  <c r="AG268" i="5" a="1"/>
  <c r="AG268" i="5" s="1"/>
  <c r="AD268" i="5" a="1"/>
  <c r="AD268" i="5" s="1"/>
  <c r="N268" i="5" a="1"/>
  <c r="N268" i="5" s="1"/>
  <c r="S268" i="5" a="1"/>
  <c r="S268" i="5" s="1"/>
  <c r="Y268" i="5" a="1"/>
  <c r="Y268" i="5" s="1"/>
  <c r="K268" i="5" a="1"/>
  <c r="K268" i="5" s="1"/>
  <c r="L268" i="5" a="1"/>
  <c r="L268" i="5" s="1"/>
  <c r="H268" i="5" a="1"/>
  <c r="H268" i="5" s="1"/>
  <c r="G268" i="5" a="1"/>
  <c r="G268" i="5" s="1"/>
  <c r="J268" i="5" a="1"/>
  <c r="J268" i="5" s="1"/>
  <c r="I268" i="5" a="1"/>
  <c r="I268" i="5" s="1"/>
  <c r="M268" i="5" a="1"/>
  <c r="M268" i="5" s="1"/>
  <c r="F269" i="5"/>
  <c r="AC269" i="5" l="1" a="1"/>
  <c r="AC269" i="5" s="1"/>
  <c r="AE269" i="5" a="1"/>
  <c r="AE269" i="5" s="1"/>
  <c r="P269" i="5" a="1"/>
  <c r="P269" i="5" s="1"/>
  <c r="T269" i="5" a="1"/>
  <c r="T269" i="5" s="1"/>
  <c r="W269" i="5" a="1"/>
  <c r="W269" i="5" s="1"/>
  <c r="U269" i="5" a="1"/>
  <c r="U269" i="5" s="1"/>
  <c r="Z269" i="5" a="1"/>
  <c r="Z269" i="5" s="1"/>
  <c r="AF269" i="5" a="1"/>
  <c r="AF269" i="5" s="1"/>
  <c r="X269" i="5" a="1"/>
  <c r="X269" i="5" s="1"/>
  <c r="Q269" i="5" a="1"/>
  <c r="Q269" i="5" s="1"/>
  <c r="O269" i="5" a="1"/>
  <c r="O269" i="5" s="1"/>
  <c r="AG269" i="5" a="1"/>
  <c r="AG269" i="5" s="1"/>
  <c r="R269" i="5" a="1"/>
  <c r="R269" i="5" s="1"/>
  <c r="AA269" i="5" a="1"/>
  <c r="AA269" i="5" s="1"/>
  <c r="V269" i="5" a="1"/>
  <c r="V269" i="5" s="1"/>
  <c r="N269" i="5" a="1"/>
  <c r="N269" i="5" s="1"/>
  <c r="S269" i="5" a="1"/>
  <c r="S269" i="5" s="1"/>
  <c r="AB269" i="5" a="1"/>
  <c r="AB269" i="5" s="1"/>
  <c r="Y269" i="5" a="1"/>
  <c r="Y269" i="5" s="1"/>
  <c r="AH269" i="5" a="1"/>
  <c r="AH269" i="5" s="1"/>
  <c r="AD269" i="5" a="1"/>
  <c r="AD269" i="5" s="1"/>
  <c r="L269" i="5" a="1"/>
  <c r="L269" i="5" s="1"/>
  <c r="H269" i="5" a="1"/>
  <c r="H269" i="5" s="1"/>
  <c r="G269" i="5" a="1"/>
  <c r="G269" i="5" s="1"/>
  <c r="K269" i="5" a="1"/>
  <c r="K269" i="5" s="1"/>
  <c r="I269" i="5" a="1"/>
  <c r="I269" i="5" s="1"/>
  <c r="J269" i="5" a="1"/>
  <c r="J269" i="5" s="1"/>
  <c r="M269" i="5" a="1"/>
  <c r="M269" i="5" s="1"/>
  <c r="F270" i="5"/>
  <c r="AE270" i="5" l="1" a="1"/>
  <c r="AE270" i="5" s="1"/>
  <c r="Z73" i="9" s="1"/>
  <c r="P270" i="5" a="1"/>
  <c r="P270" i="5" s="1"/>
  <c r="AC270" i="5" a="1"/>
  <c r="AC270" i="5" s="1"/>
  <c r="T270" i="5" a="1"/>
  <c r="T270" i="5" s="1"/>
  <c r="U270" i="5" a="1"/>
  <c r="U270" i="5" s="1"/>
  <c r="P73" i="9" s="1"/>
  <c r="AF270" i="5" a="1"/>
  <c r="AF270" i="5" s="1"/>
  <c r="Z270" i="5" a="1"/>
  <c r="Z270" i="5" s="1"/>
  <c r="U73" i="9" s="1"/>
  <c r="W270" i="5" a="1"/>
  <c r="W270" i="5" s="1"/>
  <c r="R73" i="9" s="1"/>
  <c r="AA270" i="5" a="1"/>
  <c r="AA270" i="5" s="1"/>
  <c r="V73" i="9" s="1"/>
  <c r="V270" i="5" a="1"/>
  <c r="V270" i="5" s="1"/>
  <c r="Q73" i="9" s="1"/>
  <c r="Q270" i="5" a="1"/>
  <c r="Q270" i="5" s="1"/>
  <c r="R270" i="5" a="1"/>
  <c r="R270" i="5" s="1"/>
  <c r="X270" i="5" a="1"/>
  <c r="X270" i="5" s="1"/>
  <c r="S73" i="9" s="1"/>
  <c r="AD270" i="5" a="1"/>
  <c r="AD270" i="5" s="1"/>
  <c r="O270" i="5" a="1"/>
  <c r="O270" i="5" s="1"/>
  <c r="AG270" i="5" a="1"/>
  <c r="AG270" i="5" s="1"/>
  <c r="N270" i="5" a="1"/>
  <c r="N270" i="5" s="1"/>
  <c r="AB270" i="5" a="1"/>
  <c r="AB270" i="5" s="1"/>
  <c r="S270" i="5" a="1"/>
  <c r="S270" i="5" s="1"/>
  <c r="AH270" i="5" a="1"/>
  <c r="AH270" i="5" s="1"/>
  <c r="AC73" i="9" s="1"/>
  <c r="Y270" i="5" a="1"/>
  <c r="Y270" i="5" s="1"/>
  <c r="T73" i="9" s="1"/>
  <c r="L270" i="5" a="1"/>
  <c r="L270" i="5" s="1"/>
  <c r="I270" i="5" a="1"/>
  <c r="I270" i="5" s="1"/>
  <c r="G270" i="5" a="1"/>
  <c r="G270" i="5" s="1"/>
  <c r="H270" i="5" a="1"/>
  <c r="H270" i="5" s="1"/>
  <c r="K270" i="5" a="1"/>
  <c r="K270" i="5" s="1"/>
  <c r="J270" i="5" a="1"/>
  <c r="J270" i="5" s="1"/>
  <c r="M270" i="5" a="1"/>
  <c r="M270" i="5" s="1"/>
  <c r="F271" i="5"/>
  <c r="T271" i="5" l="1" a="1"/>
  <c r="T271" i="5" s="1"/>
  <c r="AE271" i="5" a="1"/>
  <c r="AE271" i="5" s="1"/>
  <c r="AC271" i="5" a="1"/>
  <c r="AC271" i="5" s="1"/>
  <c r="P271" i="5" a="1"/>
  <c r="P271" i="5" s="1"/>
  <c r="W271" i="5" a="1"/>
  <c r="W271" i="5" s="1"/>
  <c r="U271" i="5" a="1"/>
  <c r="U271" i="5" s="1"/>
  <c r="AF271" i="5" a="1"/>
  <c r="AF271" i="5" s="1"/>
  <c r="Z271" i="5" a="1"/>
  <c r="Z271" i="5" s="1"/>
  <c r="R271" i="5" a="1"/>
  <c r="R271" i="5" s="1"/>
  <c r="Q271" i="5" a="1"/>
  <c r="Q271" i="5" s="1"/>
  <c r="O271" i="5" a="1"/>
  <c r="O271" i="5" s="1"/>
  <c r="AA271" i="5" a="1"/>
  <c r="AA271" i="5" s="1"/>
  <c r="V271" i="5" a="1"/>
  <c r="V271" i="5" s="1"/>
  <c r="X271" i="5" a="1"/>
  <c r="X271" i="5" s="1"/>
  <c r="AG271" i="5" a="1"/>
  <c r="AG271" i="5" s="1"/>
  <c r="AB271" i="5" a="1"/>
  <c r="AB271" i="5" s="1"/>
  <c r="S271" i="5" a="1"/>
  <c r="S271" i="5" s="1"/>
  <c r="AH271" i="5" a="1"/>
  <c r="AH271" i="5" s="1"/>
  <c r="Y271" i="5" a="1"/>
  <c r="Y271" i="5" s="1"/>
  <c r="AD271" i="5" a="1"/>
  <c r="AD271" i="5" s="1"/>
  <c r="N271" i="5" a="1"/>
  <c r="N271" i="5" s="1"/>
  <c r="L271" i="5" a="1"/>
  <c r="L271" i="5" s="1"/>
  <c r="G271" i="5" a="1"/>
  <c r="G271" i="5" s="1"/>
  <c r="K271" i="5" a="1"/>
  <c r="K271" i="5" s="1"/>
  <c r="I271" i="5" a="1"/>
  <c r="I271" i="5" s="1"/>
  <c r="H271" i="5" a="1"/>
  <c r="H271" i="5" s="1"/>
  <c r="J271" i="5" a="1"/>
  <c r="J271" i="5" s="1"/>
  <c r="M271" i="5" a="1"/>
  <c r="M271" i="5" s="1"/>
  <c r="F272" i="5"/>
  <c r="P272" i="5" l="1" a="1"/>
  <c r="P272" i="5" s="1"/>
  <c r="T272" i="5" a="1"/>
  <c r="T272" i="5" s="1"/>
  <c r="AC272" i="5" a="1"/>
  <c r="AC272" i="5" s="1"/>
  <c r="AE272" i="5" a="1"/>
  <c r="AE272" i="5" s="1"/>
  <c r="Z272" i="5" a="1"/>
  <c r="Z272" i="5" s="1"/>
  <c r="AF272" i="5" a="1"/>
  <c r="AF272" i="5" s="1"/>
  <c r="U272" i="5" a="1"/>
  <c r="U272" i="5" s="1"/>
  <c r="W272" i="5" a="1"/>
  <c r="W272" i="5" s="1"/>
  <c r="AG272" i="5" a="1"/>
  <c r="AG272" i="5" s="1"/>
  <c r="X272" i="5" a="1"/>
  <c r="X272" i="5" s="1"/>
  <c r="Q272" i="5" a="1"/>
  <c r="Q272" i="5" s="1"/>
  <c r="R272" i="5" a="1"/>
  <c r="R272" i="5" s="1"/>
  <c r="AD272" i="5" a="1"/>
  <c r="AD272" i="5" s="1"/>
  <c r="AA272" i="5" a="1"/>
  <c r="AA272" i="5" s="1"/>
  <c r="V272" i="5" a="1"/>
  <c r="V272" i="5" s="1"/>
  <c r="O272" i="5" a="1"/>
  <c r="O272" i="5" s="1"/>
  <c r="N272" i="5" a="1"/>
  <c r="N272" i="5" s="1"/>
  <c r="S272" i="5" a="1"/>
  <c r="S272" i="5" s="1"/>
  <c r="AH272" i="5" a="1"/>
  <c r="AH272" i="5" s="1"/>
  <c r="AB272" i="5" a="1"/>
  <c r="AB272" i="5" s="1"/>
  <c r="Y272" i="5" a="1"/>
  <c r="Y272" i="5" s="1"/>
  <c r="K272" i="5" a="1"/>
  <c r="K272" i="5" s="1"/>
  <c r="I272" i="5" a="1"/>
  <c r="I272" i="5" s="1"/>
  <c r="L272" i="5" a="1"/>
  <c r="L272" i="5" s="1"/>
  <c r="G272" i="5" a="1"/>
  <c r="G272" i="5" s="1"/>
  <c r="J272" i="5" a="1"/>
  <c r="J272" i="5" s="1"/>
  <c r="H272" i="5" a="1"/>
  <c r="H272" i="5" s="1"/>
  <c r="M272" i="5" a="1"/>
  <c r="M272" i="5" s="1"/>
  <c r="F273" i="5"/>
  <c r="AE273" i="5" l="1" a="1"/>
  <c r="AE273" i="5" s="1"/>
  <c r="P273" i="5" a="1"/>
  <c r="P273" i="5" s="1"/>
  <c r="AC273" i="5" a="1"/>
  <c r="AC273" i="5" s="1"/>
  <c r="T273" i="5" a="1"/>
  <c r="T273" i="5" s="1"/>
  <c r="W273" i="5" a="1"/>
  <c r="W273" i="5" s="1"/>
  <c r="U273" i="5" a="1"/>
  <c r="U273" i="5" s="1"/>
  <c r="AF273" i="5" a="1"/>
  <c r="AF273" i="5" s="1"/>
  <c r="Z273" i="5" a="1"/>
  <c r="Z273" i="5" s="1"/>
  <c r="O273" i="5" a="1"/>
  <c r="O273" i="5" s="1"/>
  <c r="AA273" i="5" a="1"/>
  <c r="AA273" i="5" s="1"/>
  <c r="X273" i="5" a="1"/>
  <c r="X273" i="5" s="1"/>
  <c r="V273" i="5" a="1"/>
  <c r="V273" i="5" s="1"/>
  <c r="AG273" i="5" a="1"/>
  <c r="AG273" i="5" s="1"/>
  <c r="Q273" i="5" a="1"/>
  <c r="Q273" i="5" s="1"/>
  <c r="R273" i="5" a="1"/>
  <c r="R273" i="5" s="1"/>
  <c r="AD273" i="5" a="1"/>
  <c r="AD273" i="5" s="1"/>
  <c r="AB273" i="5" a="1"/>
  <c r="AB273" i="5" s="1"/>
  <c r="N273" i="5" a="1"/>
  <c r="N273" i="5" s="1"/>
  <c r="Y273" i="5" a="1"/>
  <c r="Y273" i="5" s="1"/>
  <c r="S273" i="5" a="1"/>
  <c r="S273" i="5" s="1"/>
  <c r="AH273" i="5" a="1"/>
  <c r="AH273" i="5" s="1"/>
  <c r="G273" i="5" a="1"/>
  <c r="G273" i="5" s="1"/>
  <c r="L273" i="5" a="1"/>
  <c r="L273" i="5" s="1"/>
  <c r="I273" i="5" a="1"/>
  <c r="I273" i="5" s="1"/>
  <c r="H273" i="5" a="1"/>
  <c r="H273" i="5" s="1"/>
  <c r="K273" i="5" a="1"/>
  <c r="K273" i="5" s="1"/>
  <c r="J273" i="5" a="1"/>
  <c r="J273" i="5" s="1"/>
  <c r="M273" i="5" a="1"/>
  <c r="M273" i="5" s="1"/>
  <c r="F274" i="5"/>
  <c r="N74" i="9" l="1"/>
  <c r="J74" i="9"/>
  <c r="Z74" i="9"/>
  <c r="P274" i="5" a="1"/>
  <c r="P274" i="5" s="1"/>
  <c r="AC274" i="5" a="1"/>
  <c r="AC274" i="5" s="1"/>
  <c r="T274" i="5" a="1"/>
  <c r="T274" i="5" s="1"/>
  <c r="O74" i="9" s="1"/>
  <c r="AE274" i="5" a="1"/>
  <c r="AE274" i="5" s="1"/>
  <c r="Z274" i="5" a="1"/>
  <c r="Z274" i="5" s="1"/>
  <c r="U74" i="9" s="1"/>
  <c r="AF274" i="5" a="1"/>
  <c r="AF274" i="5" s="1"/>
  <c r="U274" i="5" a="1"/>
  <c r="U274" i="5" s="1"/>
  <c r="P74" i="9" s="1"/>
  <c r="W274" i="5" a="1"/>
  <c r="W274" i="5" s="1"/>
  <c r="R74" i="9" s="1"/>
  <c r="O274" i="5" a="1"/>
  <c r="O274" i="5" s="1"/>
  <c r="R274" i="5" a="1"/>
  <c r="R274" i="5" s="1"/>
  <c r="M74" i="9" s="1"/>
  <c r="Q274" i="5" a="1"/>
  <c r="Q274" i="5" s="1"/>
  <c r="X274" i="5" a="1"/>
  <c r="X274" i="5" s="1"/>
  <c r="S74" i="9" s="1"/>
  <c r="V274" i="5" a="1"/>
  <c r="V274" i="5" s="1"/>
  <c r="Q74" i="9" s="1"/>
  <c r="AA274" i="5" a="1"/>
  <c r="AA274" i="5" s="1"/>
  <c r="V74" i="9" s="1"/>
  <c r="S274" i="5" a="1"/>
  <c r="S274" i="5" s="1"/>
  <c r="AH274" i="5" a="1"/>
  <c r="AH274" i="5" s="1"/>
  <c r="AC74" i="9" s="1"/>
  <c r="AB274" i="5" a="1"/>
  <c r="AB274" i="5" s="1"/>
  <c r="N274" i="5" a="1"/>
  <c r="N274" i="5" s="1"/>
  <c r="I74" i="9" s="1"/>
  <c r="Y274" i="5" a="1"/>
  <c r="Y274" i="5" s="1"/>
  <c r="T74" i="9" s="1"/>
  <c r="AG274" i="5" a="1"/>
  <c r="AG274" i="5" s="1"/>
  <c r="AD274" i="5" a="1"/>
  <c r="AD274" i="5" s="1"/>
  <c r="G274" i="5" a="1"/>
  <c r="G274" i="5" s="1"/>
  <c r="B74" i="9" s="1"/>
  <c r="H274" i="5" a="1"/>
  <c r="H274" i="5" s="1"/>
  <c r="L274" i="5" a="1"/>
  <c r="L274" i="5" s="1"/>
  <c r="K274" i="5" a="1"/>
  <c r="K274" i="5" s="1"/>
  <c r="I274" i="5" a="1"/>
  <c r="I274" i="5" s="1"/>
  <c r="J274" i="5" a="1"/>
  <c r="J274" i="5" s="1"/>
  <c r="M274" i="5" a="1"/>
  <c r="M274" i="5" s="1"/>
  <c r="F275" i="5"/>
  <c r="T275" i="5" l="1" a="1"/>
  <c r="T275" i="5" s="1"/>
  <c r="AC275" i="5" a="1"/>
  <c r="AC275" i="5" s="1"/>
  <c r="AE275" i="5" a="1"/>
  <c r="AE275" i="5" s="1"/>
  <c r="P275" i="5" a="1"/>
  <c r="P275" i="5" s="1"/>
  <c r="U275" i="5" a="1"/>
  <c r="U275" i="5" s="1"/>
  <c r="AF275" i="5" a="1"/>
  <c r="AF275" i="5" s="1"/>
  <c r="Z275" i="5" a="1"/>
  <c r="Z275" i="5" s="1"/>
  <c r="W275" i="5" a="1"/>
  <c r="W275" i="5" s="1"/>
  <c r="Q275" i="5" a="1"/>
  <c r="Q275" i="5" s="1"/>
  <c r="AA275" i="5" a="1"/>
  <c r="AA275" i="5" s="1"/>
  <c r="V275" i="5" a="1"/>
  <c r="V275" i="5" s="1"/>
  <c r="AG275" i="5" a="1"/>
  <c r="AG275" i="5" s="1"/>
  <c r="R275" i="5" a="1"/>
  <c r="R275" i="5" s="1"/>
  <c r="AD275" i="5" a="1"/>
  <c r="AD275" i="5" s="1"/>
  <c r="O275" i="5" a="1"/>
  <c r="O275" i="5" s="1"/>
  <c r="X275" i="5" a="1"/>
  <c r="X275" i="5" s="1"/>
  <c r="AH275" i="5" a="1"/>
  <c r="AH275" i="5" s="1"/>
  <c r="Y275" i="5" a="1"/>
  <c r="Y275" i="5" s="1"/>
  <c r="AB275" i="5" a="1"/>
  <c r="AB275" i="5" s="1"/>
  <c r="N275" i="5" a="1"/>
  <c r="N275" i="5" s="1"/>
  <c r="S275" i="5" a="1"/>
  <c r="S275" i="5" s="1"/>
  <c r="K275" i="5" a="1"/>
  <c r="K275" i="5" s="1"/>
  <c r="H275" i="5" a="1"/>
  <c r="H275" i="5" s="1"/>
  <c r="L275" i="5" a="1"/>
  <c r="L275" i="5" s="1"/>
  <c r="I275" i="5" a="1"/>
  <c r="I275" i="5" s="1"/>
  <c r="J275" i="5" a="1"/>
  <c r="J275" i="5" s="1"/>
  <c r="G275" i="5" a="1"/>
  <c r="G275" i="5" s="1"/>
  <c r="M275" i="5" a="1"/>
  <c r="M275" i="5" s="1"/>
  <c r="F276" i="5"/>
  <c r="AE276" i="5" l="1" a="1"/>
  <c r="AE276" i="5" s="1"/>
  <c r="P276" i="5" a="1"/>
  <c r="P276" i="5" s="1"/>
  <c r="AC276" i="5" a="1"/>
  <c r="AC276" i="5" s="1"/>
  <c r="T276" i="5" a="1"/>
  <c r="T276" i="5" s="1"/>
  <c r="W276" i="5" a="1"/>
  <c r="W276" i="5" s="1"/>
  <c r="Z276" i="5" a="1"/>
  <c r="Z276" i="5" s="1"/>
  <c r="U276" i="5" a="1"/>
  <c r="U276" i="5" s="1"/>
  <c r="Q276" i="5" a="1"/>
  <c r="Q276" i="5" s="1"/>
  <c r="AA276" i="5" a="1"/>
  <c r="AA276" i="5" s="1"/>
  <c r="AF276" i="5" a="1"/>
  <c r="AF276" i="5" s="1"/>
  <c r="AG276" i="5" a="1"/>
  <c r="AG276" i="5" s="1"/>
  <c r="X276" i="5" a="1"/>
  <c r="X276" i="5" s="1"/>
  <c r="AD276" i="5" a="1"/>
  <c r="AD276" i="5" s="1"/>
  <c r="O276" i="5" a="1"/>
  <c r="O276" i="5" s="1"/>
  <c r="V276" i="5" a="1"/>
  <c r="V276" i="5" s="1"/>
  <c r="N276" i="5" a="1"/>
  <c r="N276" i="5" s="1"/>
  <c r="R276" i="5" a="1"/>
  <c r="R276" i="5" s="1"/>
  <c r="S276" i="5" a="1"/>
  <c r="S276" i="5" s="1"/>
  <c r="AH276" i="5" a="1"/>
  <c r="AH276" i="5" s="1"/>
  <c r="AB276" i="5" a="1"/>
  <c r="AB276" i="5" s="1"/>
  <c r="Y276" i="5" a="1"/>
  <c r="Y276" i="5" s="1"/>
  <c r="K276" i="5" a="1"/>
  <c r="K276" i="5" s="1"/>
  <c r="H276" i="5" a="1"/>
  <c r="H276" i="5" s="1"/>
  <c r="L276" i="5" a="1"/>
  <c r="L276" i="5" s="1"/>
  <c r="J276" i="5" a="1"/>
  <c r="J276" i="5" s="1"/>
  <c r="G276" i="5" a="1"/>
  <c r="G276" i="5" s="1"/>
  <c r="I276" i="5" a="1"/>
  <c r="I276" i="5" s="1"/>
  <c r="M276" i="5" a="1"/>
  <c r="M276" i="5" s="1"/>
  <c r="F277" i="5"/>
  <c r="AE277" i="5" l="1" a="1"/>
  <c r="AE277" i="5" s="1"/>
  <c r="AC277" i="5" a="1"/>
  <c r="AC277" i="5" s="1"/>
  <c r="T277" i="5" a="1"/>
  <c r="T277" i="5" s="1"/>
  <c r="P277" i="5" a="1"/>
  <c r="P277" i="5" s="1"/>
  <c r="U277" i="5" a="1"/>
  <c r="U277" i="5" s="1"/>
  <c r="Z277" i="5" a="1"/>
  <c r="Z277" i="5" s="1"/>
  <c r="AF277" i="5" a="1"/>
  <c r="AF277" i="5" s="1"/>
  <c r="W277" i="5" a="1"/>
  <c r="W277" i="5" s="1"/>
  <c r="AG277" i="5" a="1"/>
  <c r="AG277" i="5" s="1"/>
  <c r="Q277" i="5" a="1"/>
  <c r="Q277" i="5" s="1"/>
  <c r="AA277" i="5" a="1"/>
  <c r="AA277" i="5" s="1"/>
  <c r="V277" i="5" a="1"/>
  <c r="V277" i="5" s="1"/>
  <c r="O277" i="5" a="1"/>
  <c r="O277" i="5" s="1"/>
  <c r="X277" i="5" a="1"/>
  <c r="X277" i="5" s="1"/>
  <c r="Y277" i="5" a="1"/>
  <c r="Y277" i="5" s="1"/>
  <c r="N277" i="5" a="1"/>
  <c r="N277" i="5" s="1"/>
  <c r="S277" i="5" a="1"/>
  <c r="S277" i="5" s="1"/>
  <c r="AB277" i="5" a="1"/>
  <c r="AB277" i="5" s="1"/>
  <c r="AD277" i="5" a="1"/>
  <c r="AD277" i="5" s="1"/>
  <c r="R277" i="5" a="1"/>
  <c r="R277" i="5" s="1"/>
  <c r="AH277" i="5" a="1"/>
  <c r="AH277" i="5" s="1"/>
  <c r="L277" i="5" a="1"/>
  <c r="L277" i="5" s="1"/>
  <c r="G277" i="5" a="1"/>
  <c r="G277" i="5" s="1"/>
  <c r="K277" i="5" a="1"/>
  <c r="K277" i="5" s="1"/>
  <c r="I277" i="5" a="1"/>
  <c r="I277" i="5" s="1"/>
  <c r="J277" i="5" a="1"/>
  <c r="J277" i="5" s="1"/>
  <c r="H277" i="5" a="1"/>
  <c r="H277" i="5" s="1"/>
  <c r="M277" i="5" a="1"/>
  <c r="M277" i="5" s="1"/>
  <c r="F278" i="5"/>
  <c r="AE278" i="5" l="1" a="1"/>
  <c r="AE278" i="5" s="1"/>
  <c r="Z75" i="9" s="1"/>
  <c r="T278" i="5" a="1"/>
  <c r="T278" i="5" s="1"/>
  <c r="AC278" i="5" a="1"/>
  <c r="AC278" i="5" s="1"/>
  <c r="P278" i="5" a="1"/>
  <c r="P278" i="5" s="1"/>
  <c r="K75" i="9" s="1"/>
  <c r="Z278" i="5" a="1"/>
  <c r="Z278" i="5" s="1"/>
  <c r="U75" i="9" s="1"/>
  <c r="W278" i="5" a="1"/>
  <c r="W278" i="5" s="1"/>
  <c r="R75" i="9" s="1"/>
  <c r="U278" i="5" a="1"/>
  <c r="U278" i="5" s="1"/>
  <c r="P75" i="9" s="1"/>
  <c r="AF278" i="5" a="1"/>
  <c r="AF278" i="5" s="1"/>
  <c r="AA75" i="9" s="1"/>
  <c r="Q278" i="5" a="1"/>
  <c r="Q278" i="5" s="1"/>
  <c r="AA278" i="5" a="1"/>
  <c r="AA278" i="5" s="1"/>
  <c r="V75" i="9" s="1"/>
  <c r="O278" i="5" a="1"/>
  <c r="O278" i="5" s="1"/>
  <c r="AG278" i="5" a="1"/>
  <c r="AG278" i="5" s="1"/>
  <c r="X278" i="5" a="1"/>
  <c r="X278" i="5" s="1"/>
  <c r="S75" i="9" s="1"/>
  <c r="V278" i="5" a="1"/>
  <c r="V278" i="5" s="1"/>
  <c r="Q75" i="9" s="1"/>
  <c r="R278" i="5" a="1"/>
  <c r="R278" i="5" s="1"/>
  <c r="N278" i="5" a="1"/>
  <c r="N278" i="5" s="1"/>
  <c r="S278" i="5" a="1"/>
  <c r="S278" i="5" s="1"/>
  <c r="AH278" i="5" a="1"/>
  <c r="AH278" i="5" s="1"/>
  <c r="AD278" i="5" a="1"/>
  <c r="AD278" i="5" s="1"/>
  <c r="AB278" i="5" a="1"/>
  <c r="AB278" i="5" s="1"/>
  <c r="Y278" i="5" a="1"/>
  <c r="Y278" i="5" s="1"/>
  <c r="T75" i="9" s="1"/>
  <c r="L278" i="5" a="1"/>
  <c r="L278" i="5" s="1"/>
  <c r="G278" i="5" a="1"/>
  <c r="G278" i="5" s="1"/>
  <c r="H278" i="5" a="1"/>
  <c r="H278" i="5" s="1"/>
  <c r="K278" i="5" a="1"/>
  <c r="K278" i="5" s="1"/>
  <c r="I278" i="5" a="1"/>
  <c r="I278" i="5" s="1"/>
  <c r="J278" i="5" a="1"/>
  <c r="J278" i="5" s="1"/>
  <c r="E75" i="9" s="1"/>
  <c r="M278" i="5" a="1"/>
  <c r="M278" i="5" s="1"/>
  <c r="H75" i="9" s="1"/>
  <c r="F279" i="5"/>
  <c r="T279" i="5" l="1" a="1"/>
  <c r="T279" i="5" s="1"/>
  <c r="P279" i="5" a="1"/>
  <c r="P279" i="5" s="1"/>
  <c r="AE279" i="5" a="1"/>
  <c r="AE279" i="5" s="1"/>
  <c r="AC279" i="5" a="1"/>
  <c r="AC279" i="5" s="1"/>
  <c r="Z279" i="5" a="1"/>
  <c r="Z279" i="5" s="1"/>
  <c r="AF279" i="5" a="1"/>
  <c r="AF279" i="5" s="1"/>
  <c r="U279" i="5" a="1"/>
  <c r="U279" i="5" s="1"/>
  <c r="W279" i="5" a="1"/>
  <c r="W279" i="5" s="1"/>
  <c r="V279" i="5" a="1"/>
  <c r="V279" i="5" s="1"/>
  <c r="O279" i="5" a="1"/>
  <c r="O279" i="5" s="1"/>
  <c r="AA279" i="5" a="1"/>
  <c r="AA279" i="5" s="1"/>
  <c r="X279" i="5" a="1"/>
  <c r="X279" i="5" s="1"/>
  <c r="Q279" i="5" a="1"/>
  <c r="Q279" i="5" s="1"/>
  <c r="AG279" i="5" a="1"/>
  <c r="AG279" i="5" s="1"/>
  <c r="N279" i="5" a="1"/>
  <c r="N279" i="5" s="1"/>
  <c r="S279" i="5" a="1"/>
  <c r="S279" i="5" s="1"/>
  <c r="Y279" i="5" a="1"/>
  <c r="Y279" i="5" s="1"/>
  <c r="AH279" i="5" a="1"/>
  <c r="AH279" i="5" s="1"/>
  <c r="R279" i="5" a="1"/>
  <c r="R279" i="5" s="1"/>
  <c r="AD279" i="5" a="1"/>
  <c r="AD279" i="5" s="1"/>
  <c r="AB279" i="5" a="1"/>
  <c r="AB279" i="5" s="1"/>
  <c r="G279" i="5" a="1"/>
  <c r="G279" i="5" s="1"/>
  <c r="H279" i="5" a="1"/>
  <c r="H279" i="5" s="1"/>
  <c r="K279" i="5" a="1"/>
  <c r="K279" i="5" s="1"/>
  <c r="I279" i="5" a="1"/>
  <c r="I279" i="5" s="1"/>
  <c r="J279" i="5" a="1"/>
  <c r="J279" i="5" s="1"/>
  <c r="L279" i="5" a="1"/>
  <c r="L279" i="5" s="1"/>
  <c r="M279" i="5" a="1"/>
  <c r="M279" i="5" s="1"/>
  <c r="F280" i="5"/>
  <c r="AE280" i="5" l="1" a="1"/>
  <c r="AE280" i="5" s="1"/>
  <c r="P280" i="5" a="1"/>
  <c r="P280" i="5" s="1"/>
  <c r="T280" i="5" a="1"/>
  <c r="T280" i="5" s="1"/>
  <c r="AC280" i="5" a="1"/>
  <c r="AC280" i="5" s="1"/>
  <c r="W280" i="5" a="1"/>
  <c r="W280" i="5" s="1"/>
  <c r="Z280" i="5" a="1"/>
  <c r="Z280" i="5" s="1"/>
  <c r="U280" i="5" a="1"/>
  <c r="U280" i="5" s="1"/>
  <c r="AF280" i="5" a="1"/>
  <c r="AF280" i="5" s="1"/>
  <c r="O280" i="5" a="1"/>
  <c r="O280" i="5" s="1"/>
  <c r="R280" i="5" a="1"/>
  <c r="R280" i="5" s="1"/>
  <c r="Q280" i="5" a="1"/>
  <c r="Q280" i="5" s="1"/>
  <c r="AG280" i="5" a="1"/>
  <c r="AG280" i="5" s="1"/>
  <c r="AA280" i="5" a="1"/>
  <c r="AA280" i="5" s="1"/>
  <c r="X280" i="5" a="1"/>
  <c r="X280" i="5" s="1"/>
  <c r="V280" i="5" a="1"/>
  <c r="V280" i="5" s="1"/>
  <c r="N280" i="5" a="1"/>
  <c r="N280" i="5" s="1"/>
  <c r="AH280" i="5" a="1"/>
  <c r="AH280" i="5" s="1"/>
  <c r="S280" i="5" a="1"/>
  <c r="S280" i="5" s="1"/>
  <c r="Y280" i="5" a="1"/>
  <c r="Y280" i="5" s="1"/>
  <c r="AB280" i="5" a="1"/>
  <c r="AB280" i="5" s="1"/>
  <c r="AD280" i="5" a="1"/>
  <c r="AD280" i="5" s="1"/>
  <c r="L280" i="5" a="1"/>
  <c r="L280" i="5" s="1"/>
  <c r="H280" i="5" a="1"/>
  <c r="H280" i="5" s="1"/>
  <c r="G280" i="5" a="1"/>
  <c r="G280" i="5" s="1"/>
  <c r="I280" i="5" a="1"/>
  <c r="I280" i="5" s="1"/>
  <c r="K280" i="5" a="1"/>
  <c r="K280" i="5" s="1"/>
  <c r="J280" i="5" a="1"/>
  <c r="J280" i="5" s="1"/>
  <c r="M280" i="5" a="1"/>
  <c r="M280" i="5" s="1"/>
  <c r="F281" i="5"/>
  <c r="P281" i="5" l="1" a="1"/>
  <c r="P281" i="5" s="1"/>
  <c r="AE281" i="5" a="1"/>
  <c r="AE281" i="5" s="1"/>
  <c r="AC281" i="5" a="1"/>
  <c r="AC281" i="5" s="1"/>
  <c r="T281" i="5" a="1"/>
  <c r="T281" i="5" s="1"/>
  <c r="W281" i="5" a="1"/>
  <c r="W281" i="5" s="1"/>
  <c r="AF281" i="5" a="1"/>
  <c r="AF281" i="5" s="1"/>
  <c r="Z281" i="5" a="1"/>
  <c r="Z281" i="5" s="1"/>
  <c r="U281" i="5" a="1"/>
  <c r="U281" i="5" s="1"/>
  <c r="V281" i="5" a="1"/>
  <c r="V281" i="5" s="1"/>
  <c r="R281" i="5" a="1"/>
  <c r="R281" i="5" s="1"/>
  <c r="Q281" i="5" a="1"/>
  <c r="Q281" i="5" s="1"/>
  <c r="AG281" i="5" a="1"/>
  <c r="AG281" i="5" s="1"/>
  <c r="AA281" i="5" a="1"/>
  <c r="AA281" i="5" s="1"/>
  <c r="AD281" i="5" a="1"/>
  <c r="AD281" i="5" s="1"/>
  <c r="O281" i="5" a="1"/>
  <c r="O281" i="5" s="1"/>
  <c r="X281" i="5" a="1"/>
  <c r="X281" i="5" s="1"/>
  <c r="N281" i="5" a="1"/>
  <c r="N281" i="5" s="1"/>
  <c r="Y281" i="5" a="1"/>
  <c r="Y281" i="5" s="1"/>
  <c r="AH281" i="5" a="1"/>
  <c r="AH281" i="5" s="1"/>
  <c r="AB281" i="5" a="1"/>
  <c r="AB281" i="5" s="1"/>
  <c r="S281" i="5" a="1"/>
  <c r="S281" i="5" s="1"/>
  <c r="G281" i="5" a="1"/>
  <c r="G281" i="5" s="1"/>
  <c r="K281" i="5" a="1"/>
  <c r="K281" i="5" s="1"/>
  <c r="H281" i="5" a="1"/>
  <c r="H281" i="5" s="1"/>
  <c r="I281" i="5" a="1"/>
  <c r="I281" i="5" s="1"/>
  <c r="L281" i="5" a="1"/>
  <c r="L281" i="5" s="1"/>
  <c r="J281" i="5" a="1"/>
  <c r="J281" i="5" s="1"/>
  <c r="M281" i="5" a="1"/>
  <c r="M281" i="5" s="1"/>
  <c r="F282" i="5"/>
  <c r="W76" i="9" l="1"/>
  <c r="AB76" i="9"/>
  <c r="Z76" i="9"/>
  <c r="D76" i="9"/>
  <c r="T282" i="5" a="1"/>
  <c r="T282" i="5" s="1"/>
  <c r="AE282" i="5" a="1"/>
  <c r="AE282" i="5" s="1"/>
  <c r="AC282" i="5" a="1"/>
  <c r="AC282" i="5" s="1"/>
  <c r="P282" i="5" a="1"/>
  <c r="P282" i="5" s="1"/>
  <c r="W282" i="5" a="1"/>
  <c r="W282" i="5" s="1"/>
  <c r="R76" i="9" s="1"/>
  <c r="Z282" i="5" a="1"/>
  <c r="Z282" i="5" s="1"/>
  <c r="U76" i="9" s="1"/>
  <c r="AF282" i="5" a="1"/>
  <c r="AF282" i="5" s="1"/>
  <c r="U282" i="5" a="1"/>
  <c r="U282" i="5" s="1"/>
  <c r="P76" i="9" s="1"/>
  <c r="O282" i="5" a="1"/>
  <c r="O282" i="5" s="1"/>
  <c r="AA282" i="5" a="1"/>
  <c r="AA282" i="5" s="1"/>
  <c r="V76" i="9" s="1"/>
  <c r="Q282" i="5" a="1"/>
  <c r="Q282" i="5" s="1"/>
  <c r="X282" i="5" a="1"/>
  <c r="X282" i="5" s="1"/>
  <c r="S76" i="9" s="1"/>
  <c r="V282" i="5" a="1"/>
  <c r="V282" i="5" s="1"/>
  <c r="Q76" i="9" s="1"/>
  <c r="AH282" i="5" a="1"/>
  <c r="AH282" i="5" s="1"/>
  <c r="AC76" i="9" s="1"/>
  <c r="AB282" i="5" a="1"/>
  <c r="AB282" i="5" s="1"/>
  <c r="AD282" i="5" a="1"/>
  <c r="AD282" i="5" s="1"/>
  <c r="Y76" i="9" s="1"/>
  <c r="Y282" i="5" a="1"/>
  <c r="Y282" i="5" s="1"/>
  <c r="T76" i="9" s="1"/>
  <c r="AG282" i="5" a="1"/>
  <c r="AG282" i="5" s="1"/>
  <c r="R282" i="5" a="1"/>
  <c r="R282" i="5" s="1"/>
  <c r="M76" i="9" s="1"/>
  <c r="N282" i="5" a="1"/>
  <c r="N282" i="5" s="1"/>
  <c r="S282" i="5" a="1"/>
  <c r="S282" i="5" s="1"/>
  <c r="G282" i="5" a="1"/>
  <c r="G282" i="5" s="1"/>
  <c r="K282" i="5" a="1"/>
  <c r="K282" i="5" s="1"/>
  <c r="L282" i="5" a="1"/>
  <c r="L282" i="5" s="1"/>
  <c r="H282" i="5" a="1"/>
  <c r="H282" i="5" s="1"/>
  <c r="J282" i="5" a="1"/>
  <c r="J282" i="5" s="1"/>
  <c r="I282" i="5" a="1"/>
  <c r="I282" i="5" s="1"/>
  <c r="M282" i="5" a="1"/>
  <c r="M282" i="5" s="1"/>
  <c r="F283" i="5"/>
  <c r="P283" i="5" l="1" a="1"/>
  <c r="P283" i="5" s="1"/>
  <c r="AC283" i="5" a="1"/>
  <c r="AC283" i="5" s="1"/>
  <c r="T283" i="5" a="1"/>
  <c r="T283" i="5" s="1"/>
  <c r="AE283" i="5" a="1"/>
  <c r="AE283" i="5" s="1"/>
  <c r="Z283" i="5" a="1"/>
  <c r="Z283" i="5" s="1"/>
  <c r="W283" i="5" a="1"/>
  <c r="W283" i="5" s="1"/>
  <c r="AF283" i="5" a="1"/>
  <c r="AF283" i="5" s="1"/>
  <c r="U283" i="5" a="1"/>
  <c r="U283" i="5" s="1"/>
  <c r="O283" i="5" a="1"/>
  <c r="O283" i="5" s="1"/>
  <c r="AA283" i="5" a="1"/>
  <c r="AA283" i="5" s="1"/>
  <c r="R283" i="5" a="1"/>
  <c r="R283" i="5" s="1"/>
  <c r="V283" i="5" a="1"/>
  <c r="V283" i="5" s="1"/>
  <c r="X283" i="5" a="1"/>
  <c r="X283" i="5" s="1"/>
  <c r="Q283" i="5" a="1"/>
  <c r="Q283" i="5" s="1"/>
  <c r="AG283" i="5" a="1"/>
  <c r="AG283" i="5" s="1"/>
  <c r="S283" i="5" a="1"/>
  <c r="S283" i="5" s="1"/>
  <c r="AH283" i="5" a="1"/>
  <c r="AH283" i="5" s="1"/>
  <c r="AD283" i="5" a="1"/>
  <c r="AD283" i="5" s="1"/>
  <c r="N283" i="5" a="1"/>
  <c r="N283" i="5" s="1"/>
  <c r="AB283" i="5" a="1"/>
  <c r="AB283" i="5" s="1"/>
  <c r="Y283" i="5" a="1"/>
  <c r="Y283" i="5" s="1"/>
  <c r="L283" i="5" a="1"/>
  <c r="L283" i="5" s="1"/>
  <c r="H283" i="5" a="1"/>
  <c r="H283" i="5" s="1"/>
  <c r="I283" i="5" a="1"/>
  <c r="I283" i="5" s="1"/>
  <c r="J283" i="5" a="1"/>
  <c r="J283" i="5" s="1"/>
  <c r="G283" i="5" a="1"/>
  <c r="G283" i="5" s="1"/>
  <c r="K283" i="5" a="1"/>
  <c r="K283" i="5" s="1"/>
  <c r="M283" i="5" a="1"/>
  <c r="M283" i="5" s="1"/>
  <c r="F284" i="5"/>
  <c r="AC284" i="5" l="1" a="1"/>
  <c r="AC284" i="5" s="1"/>
  <c r="AE284" i="5" a="1"/>
  <c r="AE284" i="5" s="1"/>
  <c r="T284" i="5" a="1"/>
  <c r="T284" i="5" s="1"/>
  <c r="P284" i="5" a="1"/>
  <c r="P284" i="5" s="1"/>
  <c r="U284" i="5" a="1"/>
  <c r="U284" i="5" s="1"/>
  <c r="AF284" i="5" a="1"/>
  <c r="AF284" i="5" s="1"/>
  <c r="W284" i="5" a="1"/>
  <c r="W284" i="5" s="1"/>
  <c r="Z284" i="5" a="1"/>
  <c r="Z284" i="5" s="1"/>
  <c r="V284" i="5" a="1"/>
  <c r="V284" i="5" s="1"/>
  <c r="AG284" i="5" a="1"/>
  <c r="AG284" i="5" s="1"/>
  <c r="AA284" i="5" a="1"/>
  <c r="AA284" i="5" s="1"/>
  <c r="R284" i="5" a="1"/>
  <c r="R284" i="5" s="1"/>
  <c r="X284" i="5" a="1"/>
  <c r="X284" i="5" s="1"/>
  <c r="O284" i="5" a="1"/>
  <c r="O284" i="5" s="1"/>
  <c r="Q284" i="5" a="1"/>
  <c r="Q284" i="5" s="1"/>
  <c r="Y284" i="5" a="1"/>
  <c r="Y284" i="5" s="1"/>
  <c r="AD284" i="5" a="1"/>
  <c r="AD284" i="5" s="1"/>
  <c r="S284" i="5" a="1"/>
  <c r="S284" i="5" s="1"/>
  <c r="AH284" i="5" a="1"/>
  <c r="AH284" i="5" s="1"/>
  <c r="AB284" i="5" a="1"/>
  <c r="AB284" i="5" s="1"/>
  <c r="N284" i="5" a="1"/>
  <c r="N284" i="5" s="1"/>
  <c r="L284" i="5" a="1"/>
  <c r="L284" i="5" s="1"/>
  <c r="H284" i="5" a="1"/>
  <c r="H284" i="5" s="1"/>
  <c r="K284" i="5" a="1"/>
  <c r="K284" i="5" s="1"/>
  <c r="G284" i="5" a="1"/>
  <c r="G284" i="5" s="1"/>
  <c r="J284" i="5" a="1"/>
  <c r="J284" i="5" s="1"/>
  <c r="I284" i="5" a="1"/>
  <c r="I284" i="5" s="1"/>
  <c r="M284" i="5" a="1"/>
  <c r="M284" i="5" s="1"/>
  <c r="F285" i="5"/>
  <c r="AC285" i="5" l="1" a="1"/>
  <c r="AC285" i="5" s="1"/>
  <c r="T285" i="5" a="1"/>
  <c r="T285" i="5" s="1"/>
  <c r="AE285" i="5" a="1"/>
  <c r="AE285" i="5" s="1"/>
  <c r="P285" i="5" a="1"/>
  <c r="P285" i="5" s="1"/>
  <c r="Z285" i="5" a="1"/>
  <c r="Z285" i="5" s="1"/>
  <c r="AF285" i="5" a="1"/>
  <c r="AF285" i="5" s="1"/>
  <c r="W285" i="5" a="1"/>
  <c r="W285" i="5" s="1"/>
  <c r="U285" i="5" a="1"/>
  <c r="U285" i="5" s="1"/>
  <c r="O285" i="5" a="1"/>
  <c r="O285" i="5" s="1"/>
  <c r="X285" i="5" a="1"/>
  <c r="X285" i="5" s="1"/>
  <c r="AG285" i="5" a="1"/>
  <c r="AG285" i="5" s="1"/>
  <c r="AA285" i="5" a="1"/>
  <c r="AA285" i="5" s="1"/>
  <c r="Q285" i="5" a="1"/>
  <c r="Q285" i="5" s="1"/>
  <c r="V285" i="5" a="1"/>
  <c r="V285" i="5" s="1"/>
  <c r="AD285" i="5" a="1"/>
  <c r="AD285" i="5" s="1"/>
  <c r="N285" i="5" a="1"/>
  <c r="N285" i="5" s="1"/>
  <c r="AH285" i="5" a="1"/>
  <c r="AH285" i="5" s="1"/>
  <c r="R285" i="5" a="1"/>
  <c r="R285" i="5" s="1"/>
  <c r="AB285" i="5" a="1"/>
  <c r="AB285" i="5" s="1"/>
  <c r="Y285" i="5" a="1"/>
  <c r="Y285" i="5" s="1"/>
  <c r="S285" i="5" a="1"/>
  <c r="S285" i="5" s="1"/>
  <c r="L285" i="5" a="1"/>
  <c r="L285" i="5" s="1"/>
  <c r="H285" i="5" a="1"/>
  <c r="H285" i="5" s="1"/>
  <c r="K285" i="5" a="1"/>
  <c r="K285" i="5" s="1"/>
  <c r="I285" i="5" a="1"/>
  <c r="I285" i="5" s="1"/>
  <c r="J285" i="5" a="1"/>
  <c r="J285" i="5" s="1"/>
  <c r="G285" i="5" a="1"/>
  <c r="G285" i="5" s="1"/>
  <c r="M285" i="5" a="1"/>
  <c r="M285" i="5" s="1"/>
  <c r="F286" i="5"/>
  <c r="T286" i="5" l="1" a="1"/>
  <c r="T286" i="5" s="1"/>
  <c r="AE286" i="5" a="1"/>
  <c r="AE286" i="5" s="1"/>
  <c r="P286" i="5" a="1"/>
  <c r="P286" i="5" s="1"/>
  <c r="K77" i="9" s="1"/>
  <c r="AC286" i="5" a="1"/>
  <c r="AC286" i="5" s="1"/>
  <c r="X77" i="9" s="1"/>
  <c r="Z286" i="5" a="1"/>
  <c r="Z286" i="5" s="1"/>
  <c r="U77" i="9" s="1"/>
  <c r="W286" i="5" a="1"/>
  <c r="W286" i="5" s="1"/>
  <c r="R77" i="9" s="1"/>
  <c r="U286" i="5" a="1"/>
  <c r="U286" i="5" s="1"/>
  <c r="P77" i="9" s="1"/>
  <c r="AF286" i="5" a="1"/>
  <c r="AF286" i="5" s="1"/>
  <c r="O286" i="5" a="1"/>
  <c r="O286" i="5" s="1"/>
  <c r="AA286" i="5" a="1"/>
  <c r="AA286" i="5" s="1"/>
  <c r="V77" i="9" s="1"/>
  <c r="X286" i="5" a="1"/>
  <c r="X286" i="5" s="1"/>
  <c r="S77" i="9" s="1"/>
  <c r="Q286" i="5" a="1"/>
  <c r="Q286" i="5" s="1"/>
  <c r="V286" i="5" a="1"/>
  <c r="V286" i="5" s="1"/>
  <c r="Q77" i="9" s="1"/>
  <c r="S286" i="5" a="1"/>
  <c r="S286" i="5" s="1"/>
  <c r="N286" i="5" a="1"/>
  <c r="N286" i="5" s="1"/>
  <c r="AH286" i="5" a="1"/>
  <c r="AH286" i="5" s="1"/>
  <c r="R286" i="5" a="1"/>
  <c r="R286" i="5" s="1"/>
  <c r="AB286" i="5" a="1"/>
  <c r="AB286" i="5" s="1"/>
  <c r="Y286" i="5" a="1"/>
  <c r="Y286" i="5" s="1"/>
  <c r="T77" i="9" s="1"/>
  <c r="AG286" i="5" a="1"/>
  <c r="AG286" i="5" s="1"/>
  <c r="AD286" i="5" a="1"/>
  <c r="AD286" i="5" s="1"/>
  <c r="K286" i="5" a="1"/>
  <c r="K286" i="5" s="1"/>
  <c r="H286" i="5" a="1"/>
  <c r="H286" i="5" s="1"/>
  <c r="I286" i="5" a="1"/>
  <c r="I286" i="5" s="1"/>
  <c r="L286" i="5" a="1"/>
  <c r="L286" i="5" s="1"/>
  <c r="J286" i="5" a="1"/>
  <c r="J286" i="5" s="1"/>
  <c r="G286" i="5" a="1"/>
  <c r="G286" i="5" s="1"/>
  <c r="M286" i="5" a="1"/>
  <c r="M286" i="5" s="1"/>
  <c r="F287" i="5"/>
  <c r="AE287" i="5" l="1" a="1"/>
  <c r="AE287" i="5" s="1"/>
  <c r="P287" i="5" a="1"/>
  <c r="P287" i="5" s="1"/>
  <c r="T287" i="5" a="1"/>
  <c r="T287" i="5" s="1"/>
  <c r="AC287" i="5" a="1"/>
  <c r="AC287" i="5" s="1"/>
  <c r="Z287" i="5" a="1"/>
  <c r="Z287" i="5" s="1"/>
  <c r="AF287" i="5" a="1"/>
  <c r="AF287" i="5" s="1"/>
  <c r="U287" i="5" a="1"/>
  <c r="U287" i="5" s="1"/>
  <c r="W287" i="5" a="1"/>
  <c r="W287" i="5" s="1"/>
  <c r="AA287" i="5" a="1"/>
  <c r="AA287" i="5" s="1"/>
  <c r="X287" i="5" a="1"/>
  <c r="X287" i="5" s="1"/>
  <c r="R287" i="5" a="1"/>
  <c r="R287" i="5" s="1"/>
  <c r="AG287" i="5" a="1"/>
  <c r="AG287" i="5" s="1"/>
  <c r="Q287" i="5" a="1"/>
  <c r="Q287" i="5" s="1"/>
  <c r="O287" i="5" a="1"/>
  <c r="O287" i="5" s="1"/>
  <c r="AD287" i="5" a="1"/>
  <c r="AD287" i="5" s="1"/>
  <c r="N287" i="5" a="1"/>
  <c r="N287" i="5" s="1"/>
  <c r="AH287" i="5" a="1"/>
  <c r="AH287" i="5" s="1"/>
  <c r="Y287" i="5" a="1"/>
  <c r="Y287" i="5" s="1"/>
  <c r="S287" i="5" a="1"/>
  <c r="S287" i="5" s="1"/>
  <c r="AB287" i="5" a="1"/>
  <c r="AB287" i="5" s="1"/>
  <c r="V287" i="5" a="1"/>
  <c r="V287" i="5" s="1"/>
  <c r="K287" i="5" a="1"/>
  <c r="K287" i="5" s="1"/>
  <c r="H287" i="5" a="1"/>
  <c r="H287" i="5" s="1"/>
  <c r="I287" i="5" a="1"/>
  <c r="I287" i="5" s="1"/>
  <c r="G287" i="5" a="1"/>
  <c r="G287" i="5" s="1"/>
  <c r="J287" i="5" a="1"/>
  <c r="J287" i="5" s="1"/>
  <c r="L287" i="5" a="1"/>
  <c r="L287" i="5" s="1"/>
  <c r="M287" i="5" a="1"/>
  <c r="M287" i="5" s="1"/>
  <c r="F288" i="5"/>
  <c r="P288" i="5" l="1" a="1"/>
  <c r="P288" i="5" s="1"/>
  <c r="AC288" i="5" a="1"/>
  <c r="AC288" i="5" s="1"/>
  <c r="T288" i="5" a="1"/>
  <c r="T288" i="5" s="1"/>
  <c r="AE288" i="5" a="1"/>
  <c r="AE288" i="5" s="1"/>
  <c r="AF288" i="5" a="1"/>
  <c r="AF288" i="5" s="1"/>
  <c r="W288" i="5" a="1"/>
  <c r="W288" i="5" s="1"/>
  <c r="Z288" i="5" a="1"/>
  <c r="Z288" i="5" s="1"/>
  <c r="U288" i="5" a="1"/>
  <c r="U288" i="5" s="1"/>
  <c r="AA288" i="5" a="1"/>
  <c r="AA288" i="5" s="1"/>
  <c r="V288" i="5" a="1"/>
  <c r="V288" i="5" s="1"/>
  <c r="R288" i="5" a="1"/>
  <c r="R288" i="5" s="1"/>
  <c r="O288" i="5" a="1"/>
  <c r="O288" i="5" s="1"/>
  <c r="AG288" i="5" a="1"/>
  <c r="AG288" i="5" s="1"/>
  <c r="Q288" i="5" a="1"/>
  <c r="Q288" i="5" s="1"/>
  <c r="X288" i="5" a="1"/>
  <c r="X288" i="5" s="1"/>
  <c r="AB288" i="5" a="1"/>
  <c r="AB288" i="5" s="1"/>
  <c r="AD288" i="5" a="1"/>
  <c r="AD288" i="5" s="1"/>
  <c r="AH288" i="5" a="1"/>
  <c r="AH288" i="5" s="1"/>
  <c r="N288" i="5" a="1"/>
  <c r="N288" i="5" s="1"/>
  <c r="Y288" i="5" a="1"/>
  <c r="Y288" i="5" s="1"/>
  <c r="S288" i="5" a="1"/>
  <c r="S288" i="5" s="1"/>
  <c r="G288" i="5" a="1"/>
  <c r="G288" i="5" s="1"/>
  <c r="K288" i="5" a="1"/>
  <c r="K288" i="5" s="1"/>
  <c r="L288" i="5" a="1"/>
  <c r="L288" i="5" s="1"/>
  <c r="J288" i="5" a="1"/>
  <c r="J288" i="5" s="1"/>
  <c r="H288" i="5" a="1"/>
  <c r="H288" i="5" s="1"/>
  <c r="I288" i="5" a="1"/>
  <c r="I288" i="5" s="1"/>
  <c r="M288" i="5" a="1"/>
  <c r="M288" i="5" s="1"/>
  <c r="F289" i="5"/>
  <c r="T289" i="5" l="1" a="1"/>
  <c r="T289" i="5" s="1"/>
  <c r="AC289" i="5" a="1"/>
  <c r="AC289" i="5" s="1"/>
  <c r="AE289" i="5" a="1"/>
  <c r="AE289" i="5" s="1"/>
  <c r="P289" i="5" a="1"/>
  <c r="P289" i="5" s="1"/>
  <c r="U289" i="5" a="1"/>
  <c r="U289" i="5" s="1"/>
  <c r="W289" i="5" a="1"/>
  <c r="W289" i="5" s="1"/>
  <c r="AF289" i="5" a="1"/>
  <c r="AF289" i="5" s="1"/>
  <c r="Z289" i="5" a="1"/>
  <c r="Z289" i="5" s="1"/>
  <c r="V289" i="5" a="1"/>
  <c r="V289" i="5" s="1"/>
  <c r="R289" i="5" a="1"/>
  <c r="R289" i="5" s="1"/>
  <c r="AD289" i="5" a="1"/>
  <c r="AD289" i="5" s="1"/>
  <c r="Q289" i="5" a="1"/>
  <c r="Q289" i="5" s="1"/>
  <c r="AG289" i="5" a="1"/>
  <c r="AG289" i="5" s="1"/>
  <c r="X289" i="5" a="1"/>
  <c r="X289" i="5" s="1"/>
  <c r="O289" i="5" a="1"/>
  <c r="O289" i="5" s="1"/>
  <c r="AA289" i="5" a="1"/>
  <c r="AA289" i="5" s="1"/>
  <c r="N289" i="5" a="1"/>
  <c r="N289" i="5" s="1"/>
  <c r="S289" i="5" a="1"/>
  <c r="S289" i="5" s="1"/>
  <c r="AH289" i="5" a="1"/>
  <c r="AH289" i="5" s="1"/>
  <c r="Y289" i="5" a="1"/>
  <c r="Y289" i="5" s="1"/>
  <c r="AB289" i="5" a="1"/>
  <c r="AB289" i="5" s="1"/>
  <c r="G289" i="5" a="1"/>
  <c r="G289" i="5" s="1"/>
  <c r="K289" i="5" a="1"/>
  <c r="K289" i="5" s="1"/>
  <c r="I289" i="5" a="1"/>
  <c r="I289" i="5" s="1"/>
  <c r="L289" i="5" a="1"/>
  <c r="L289" i="5" s="1"/>
  <c r="J289" i="5" a="1"/>
  <c r="J289" i="5" s="1"/>
  <c r="H289" i="5" a="1"/>
  <c r="H289" i="5" s="1"/>
  <c r="M289" i="5" a="1"/>
  <c r="M289" i="5" s="1"/>
  <c r="F290" i="5"/>
  <c r="AC290" i="5" l="1" a="1"/>
  <c r="AC290" i="5" s="1"/>
  <c r="P290" i="5" a="1"/>
  <c r="P290" i="5" s="1"/>
  <c r="T290" i="5" a="1"/>
  <c r="T290" i="5" s="1"/>
  <c r="AE290" i="5" a="1"/>
  <c r="AE290" i="5" s="1"/>
  <c r="U290" i="5" a="1"/>
  <c r="U290" i="5" s="1"/>
  <c r="P78" i="9" s="1"/>
  <c r="W290" i="5" a="1"/>
  <c r="W290" i="5" s="1"/>
  <c r="R78" i="9" s="1"/>
  <c r="Z290" i="5" a="1"/>
  <c r="Z290" i="5" s="1"/>
  <c r="U78" i="9" s="1"/>
  <c r="AF290" i="5" a="1"/>
  <c r="AF290" i="5" s="1"/>
  <c r="AG290" i="5" a="1"/>
  <c r="AG290" i="5" s="1"/>
  <c r="O290" i="5" a="1"/>
  <c r="O290" i="5" s="1"/>
  <c r="AA290" i="5" a="1"/>
  <c r="AA290" i="5" s="1"/>
  <c r="V78" i="9" s="1"/>
  <c r="V290" i="5" a="1"/>
  <c r="V290" i="5" s="1"/>
  <c r="Q78" i="9" s="1"/>
  <c r="R290" i="5" a="1"/>
  <c r="R290" i="5" s="1"/>
  <c r="X290" i="5" a="1"/>
  <c r="X290" i="5" s="1"/>
  <c r="S78" i="9" s="1"/>
  <c r="Q290" i="5" a="1"/>
  <c r="Q290" i="5" s="1"/>
  <c r="AH290" i="5" a="1"/>
  <c r="AH290" i="5" s="1"/>
  <c r="AB290" i="5" a="1"/>
  <c r="AB290" i="5" s="1"/>
  <c r="S290" i="5" a="1"/>
  <c r="S290" i="5" s="1"/>
  <c r="N290" i="5" a="1"/>
  <c r="N290" i="5" s="1"/>
  <c r="Y290" i="5" a="1"/>
  <c r="Y290" i="5" s="1"/>
  <c r="T78" i="9" s="1"/>
  <c r="AD290" i="5" a="1"/>
  <c r="AD290" i="5" s="1"/>
  <c r="K290" i="5" a="1"/>
  <c r="K290" i="5" s="1"/>
  <c r="I290" i="5" a="1"/>
  <c r="I290" i="5" s="1"/>
  <c r="G290" i="5" a="1"/>
  <c r="G290" i="5" s="1"/>
  <c r="J290" i="5" a="1"/>
  <c r="J290" i="5" s="1"/>
  <c r="L290" i="5" a="1"/>
  <c r="L290" i="5" s="1"/>
  <c r="H290" i="5" a="1"/>
  <c r="H290" i="5" s="1"/>
  <c r="M290" i="5" a="1"/>
  <c r="M290" i="5" s="1"/>
  <c r="F291" i="5"/>
  <c r="T291" i="5" l="1" a="1"/>
  <c r="T291" i="5" s="1"/>
  <c r="P291" i="5" a="1"/>
  <c r="P291" i="5" s="1"/>
  <c r="AE291" i="5" a="1"/>
  <c r="AE291" i="5" s="1"/>
  <c r="AC291" i="5" a="1"/>
  <c r="AC291" i="5" s="1"/>
  <c r="U291" i="5" a="1"/>
  <c r="U291" i="5" s="1"/>
  <c r="W291" i="5" a="1"/>
  <c r="W291" i="5" s="1"/>
  <c r="Z291" i="5" a="1"/>
  <c r="Z291" i="5" s="1"/>
  <c r="AF291" i="5" a="1"/>
  <c r="AF291" i="5" s="1"/>
  <c r="X291" i="5" a="1"/>
  <c r="X291" i="5" s="1"/>
  <c r="Q291" i="5" a="1"/>
  <c r="Q291" i="5" s="1"/>
  <c r="O291" i="5" a="1"/>
  <c r="O291" i="5" s="1"/>
  <c r="R291" i="5" a="1"/>
  <c r="R291" i="5" s="1"/>
  <c r="AD291" i="5" a="1"/>
  <c r="AD291" i="5" s="1"/>
  <c r="AA291" i="5" a="1"/>
  <c r="AA291" i="5" s="1"/>
  <c r="AG291" i="5" a="1"/>
  <c r="AG291" i="5" s="1"/>
  <c r="Y291" i="5" a="1"/>
  <c r="Y291" i="5" s="1"/>
  <c r="AH291" i="5" a="1"/>
  <c r="AH291" i="5" s="1"/>
  <c r="AB291" i="5" a="1"/>
  <c r="AB291" i="5" s="1"/>
  <c r="S291" i="5" a="1"/>
  <c r="S291" i="5" s="1"/>
  <c r="V291" i="5" a="1"/>
  <c r="V291" i="5" s="1"/>
  <c r="N291" i="5" a="1"/>
  <c r="N291" i="5" s="1"/>
  <c r="K291" i="5" a="1"/>
  <c r="K291" i="5" s="1"/>
  <c r="H291" i="5" a="1"/>
  <c r="H291" i="5" s="1"/>
  <c r="L291" i="5" a="1"/>
  <c r="L291" i="5" s="1"/>
  <c r="J291" i="5" a="1"/>
  <c r="J291" i="5" s="1"/>
  <c r="I291" i="5" a="1"/>
  <c r="I291" i="5" s="1"/>
  <c r="G291" i="5" a="1"/>
  <c r="G291" i="5" s="1"/>
  <c r="M291" i="5" a="1"/>
  <c r="M291" i="5" s="1"/>
  <c r="F292" i="5"/>
  <c r="AE292" i="5" l="1" a="1"/>
  <c r="AE292" i="5" s="1"/>
  <c r="AC292" i="5" a="1"/>
  <c r="AC292" i="5" s="1"/>
  <c r="T292" i="5" a="1"/>
  <c r="T292" i="5" s="1"/>
  <c r="P292" i="5" a="1"/>
  <c r="P292" i="5" s="1"/>
  <c r="W292" i="5" a="1"/>
  <c r="W292" i="5" s="1"/>
  <c r="U292" i="5" a="1"/>
  <c r="U292" i="5" s="1"/>
  <c r="Z292" i="5" a="1"/>
  <c r="Z292" i="5" s="1"/>
  <c r="AF292" i="5" a="1"/>
  <c r="AF292" i="5" s="1"/>
  <c r="Q292" i="5" a="1"/>
  <c r="Q292" i="5" s="1"/>
  <c r="O292" i="5" a="1"/>
  <c r="O292" i="5" s="1"/>
  <c r="AG292" i="5" a="1"/>
  <c r="AG292" i="5" s="1"/>
  <c r="X292" i="5" a="1"/>
  <c r="X292" i="5" s="1"/>
  <c r="V292" i="5" a="1"/>
  <c r="V292" i="5" s="1"/>
  <c r="AA292" i="5" a="1"/>
  <c r="AA292" i="5" s="1"/>
  <c r="N292" i="5" a="1"/>
  <c r="N292" i="5" s="1"/>
  <c r="AH292" i="5" a="1"/>
  <c r="AH292" i="5" s="1"/>
  <c r="S292" i="5" a="1"/>
  <c r="S292" i="5" s="1"/>
  <c r="AB292" i="5" a="1"/>
  <c r="AB292" i="5" s="1"/>
  <c r="R292" i="5" a="1"/>
  <c r="R292" i="5" s="1"/>
  <c r="AD292" i="5" a="1"/>
  <c r="AD292" i="5" s="1"/>
  <c r="Y292" i="5" a="1"/>
  <c r="Y292" i="5" s="1"/>
  <c r="K292" i="5" a="1"/>
  <c r="K292" i="5" s="1"/>
  <c r="L292" i="5" a="1"/>
  <c r="L292" i="5" s="1"/>
  <c r="G292" i="5" a="1"/>
  <c r="G292" i="5" s="1"/>
  <c r="J292" i="5" a="1"/>
  <c r="J292" i="5" s="1"/>
  <c r="I292" i="5" a="1"/>
  <c r="I292" i="5" s="1"/>
  <c r="H292" i="5" a="1"/>
  <c r="H292" i="5" s="1"/>
  <c r="M292" i="5" a="1"/>
  <c r="M292" i="5" s="1"/>
  <c r="F293" i="5"/>
  <c r="T293" i="5" l="1" a="1"/>
  <c r="T293" i="5" s="1"/>
  <c r="AE293" i="5" a="1"/>
  <c r="AE293" i="5" s="1"/>
  <c r="P293" i="5" a="1"/>
  <c r="P293" i="5" s="1"/>
  <c r="AC293" i="5" a="1"/>
  <c r="AC293" i="5" s="1"/>
  <c r="Z293" i="5" a="1"/>
  <c r="Z293" i="5" s="1"/>
  <c r="U293" i="5" a="1"/>
  <c r="U293" i="5" s="1"/>
  <c r="AF293" i="5" a="1"/>
  <c r="AF293" i="5" s="1"/>
  <c r="W293" i="5" a="1"/>
  <c r="W293" i="5" s="1"/>
  <c r="Q293" i="5" a="1"/>
  <c r="Q293" i="5" s="1"/>
  <c r="AG293" i="5" a="1"/>
  <c r="AG293" i="5" s="1"/>
  <c r="X293" i="5" a="1"/>
  <c r="X293" i="5" s="1"/>
  <c r="O293" i="5" a="1"/>
  <c r="O293" i="5" s="1"/>
  <c r="V293" i="5" a="1"/>
  <c r="V293" i="5" s="1"/>
  <c r="AA293" i="5" a="1"/>
  <c r="AA293" i="5" s="1"/>
  <c r="AD293" i="5" a="1"/>
  <c r="AD293" i="5" s="1"/>
  <c r="N293" i="5" a="1"/>
  <c r="N293" i="5" s="1"/>
  <c r="S293" i="5" a="1"/>
  <c r="S293" i="5" s="1"/>
  <c r="R293" i="5" a="1"/>
  <c r="R293" i="5" s="1"/>
  <c r="Y293" i="5" a="1"/>
  <c r="Y293" i="5" s="1"/>
  <c r="AB293" i="5" a="1"/>
  <c r="AB293" i="5" s="1"/>
  <c r="AH293" i="5" a="1"/>
  <c r="AH293" i="5" s="1"/>
  <c r="K293" i="5" a="1"/>
  <c r="K293" i="5" s="1"/>
  <c r="I293" i="5" a="1"/>
  <c r="I293" i="5" s="1"/>
  <c r="L293" i="5" a="1"/>
  <c r="L293" i="5" s="1"/>
  <c r="J293" i="5" a="1"/>
  <c r="J293" i="5" s="1"/>
  <c r="G293" i="5" a="1"/>
  <c r="G293" i="5" s="1"/>
  <c r="H293" i="5" a="1"/>
  <c r="H293" i="5" s="1"/>
  <c r="M293" i="5" a="1"/>
  <c r="M293" i="5" s="1"/>
  <c r="F294" i="5"/>
  <c r="O79" i="9" l="1"/>
  <c r="T294" i="5" a="1"/>
  <c r="T294" i="5" s="1"/>
  <c r="AC294" i="5" a="1"/>
  <c r="AC294" i="5" s="1"/>
  <c r="P294" i="5" a="1"/>
  <c r="P294" i="5" s="1"/>
  <c r="AE294" i="5" a="1"/>
  <c r="AE294" i="5" s="1"/>
  <c r="U294" i="5" a="1"/>
  <c r="U294" i="5" s="1"/>
  <c r="P79" i="9" s="1"/>
  <c r="Z294" i="5" a="1"/>
  <c r="Z294" i="5" s="1"/>
  <c r="U79" i="9" s="1"/>
  <c r="W294" i="5" a="1"/>
  <c r="W294" i="5" s="1"/>
  <c r="R79" i="9" s="1"/>
  <c r="AF294" i="5" a="1"/>
  <c r="AF294" i="5" s="1"/>
  <c r="Q294" i="5" a="1"/>
  <c r="Q294" i="5" s="1"/>
  <c r="X294" i="5" a="1"/>
  <c r="X294" i="5" s="1"/>
  <c r="S79" i="9" s="1"/>
  <c r="O294" i="5" a="1"/>
  <c r="O294" i="5" s="1"/>
  <c r="AA294" i="5" a="1"/>
  <c r="AA294" i="5" s="1"/>
  <c r="V79" i="9" s="1"/>
  <c r="V294" i="5" a="1"/>
  <c r="V294" i="5" s="1"/>
  <c r="Q79" i="9" s="1"/>
  <c r="AG294" i="5" a="1"/>
  <c r="AG294" i="5" s="1"/>
  <c r="S294" i="5" a="1"/>
  <c r="S294" i="5" s="1"/>
  <c r="AB294" i="5" a="1"/>
  <c r="AB294" i="5" s="1"/>
  <c r="Y294" i="5" a="1"/>
  <c r="Y294" i="5" s="1"/>
  <c r="T79" i="9" s="1"/>
  <c r="AD294" i="5" a="1"/>
  <c r="AD294" i="5" s="1"/>
  <c r="AH294" i="5" a="1"/>
  <c r="AH294" i="5" s="1"/>
  <c r="N294" i="5" a="1"/>
  <c r="N294" i="5" s="1"/>
  <c r="R294" i="5" a="1"/>
  <c r="R294" i="5" s="1"/>
  <c r="I294" i="5" a="1"/>
  <c r="I294" i="5" s="1"/>
  <c r="L294" i="5" a="1"/>
  <c r="L294" i="5" s="1"/>
  <c r="K294" i="5" a="1"/>
  <c r="K294" i="5" s="1"/>
  <c r="J294" i="5" a="1"/>
  <c r="J294" i="5" s="1"/>
  <c r="G294" i="5" a="1"/>
  <c r="G294" i="5" s="1"/>
  <c r="H294" i="5" a="1"/>
  <c r="H294" i="5" s="1"/>
  <c r="M294" i="5" a="1"/>
  <c r="M294" i="5" s="1"/>
  <c r="F295" i="5"/>
  <c r="P295" i="5" l="1" a="1"/>
  <c r="P295" i="5" s="1"/>
  <c r="T295" i="5" a="1"/>
  <c r="T295" i="5" s="1"/>
  <c r="AC295" i="5" a="1"/>
  <c r="AC295" i="5" s="1"/>
  <c r="AE295" i="5" a="1"/>
  <c r="AE295" i="5" s="1"/>
  <c r="W295" i="5" a="1"/>
  <c r="W295" i="5" s="1"/>
  <c r="U295" i="5" a="1"/>
  <c r="U295" i="5" s="1"/>
  <c r="Z295" i="5" a="1"/>
  <c r="Z295" i="5" s="1"/>
  <c r="AF295" i="5" a="1"/>
  <c r="AF295" i="5" s="1"/>
  <c r="X295" i="5" a="1"/>
  <c r="X295" i="5" s="1"/>
  <c r="AD295" i="5" a="1"/>
  <c r="AD295" i="5" s="1"/>
  <c r="O295" i="5" a="1"/>
  <c r="O295" i="5" s="1"/>
  <c r="Q295" i="5" a="1"/>
  <c r="Q295" i="5" s="1"/>
  <c r="R295" i="5" a="1"/>
  <c r="R295" i="5" s="1"/>
  <c r="AA295" i="5" a="1"/>
  <c r="AA295" i="5" s="1"/>
  <c r="V295" i="5" a="1"/>
  <c r="V295" i="5" s="1"/>
  <c r="AG295" i="5" a="1"/>
  <c r="AG295" i="5" s="1"/>
  <c r="S295" i="5" a="1"/>
  <c r="S295" i="5" s="1"/>
  <c r="Y295" i="5" a="1"/>
  <c r="Y295" i="5" s="1"/>
  <c r="N295" i="5" a="1"/>
  <c r="N295" i="5" s="1"/>
  <c r="AB295" i="5" a="1"/>
  <c r="AB295" i="5" s="1"/>
  <c r="AH295" i="5" a="1"/>
  <c r="AH295" i="5" s="1"/>
  <c r="K295" i="5" a="1"/>
  <c r="K295" i="5" s="1"/>
  <c r="G295" i="5" a="1"/>
  <c r="G295" i="5" s="1"/>
  <c r="L295" i="5" a="1"/>
  <c r="L295" i="5" s="1"/>
  <c r="I295" i="5" a="1"/>
  <c r="I295" i="5" s="1"/>
  <c r="J295" i="5" a="1"/>
  <c r="J295" i="5" s="1"/>
  <c r="H295" i="5" a="1"/>
  <c r="H295" i="5" s="1"/>
  <c r="M295" i="5" a="1"/>
  <c r="M295" i="5" s="1"/>
  <c r="F296" i="5"/>
  <c r="AE296" i="5" l="1" a="1"/>
  <c r="AE296" i="5" s="1"/>
  <c r="P296" i="5" a="1"/>
  <c r="P296" i="5" s="1"/>
  <c r="T296" i="5" a="1"/>
  <c r="T296" i="5" s="1"/>
  <c r="AC296" i="5" a="1"/>
  <c r="AC296" i="5" s="1"/>
  <c r="AF296" i="5" a="1"/>
  <c r="AF296" i="5" s="1"/>
  <c r="U296" i="5" a="1"/>
  <c r="U296" i="5" s="1"/>
  <c r="Z296" i="5" a="1"/>
  <c r="Z296" i="5" s="1"/>
  <c r="W296" i="5" a="1"/>
  <c r="W296" i="5" s="1"/>
  <c r="O296" i="5" a="1"/>
  <c r="O296" i="5" s="1"/>
  <c r="X296" i="5" a="1"/>
  <c r="X296" i="5" s="1"/>
  <c r="AA296" i="5" a="1"/>
  <c r="AA296" i="5" s="1"/>
  <c r="AD296" i="5" a="1"/>
  <c r="AD296" i="5" s="1"/>
  <c r="V296" i="5" a="1"/>
  <c r="V296" i="5" s="1"/>
  <c r="AG296" i="5" a="1"/>
  <c r="AG296" i="5" s="1"/>
  <c r="Q296" i="5" a="1"/>
  <c r="Q296" i="5" s="1"/>
  <c r="AB296" i="5" a="1"/>
  <c r="AB296" i="5" s="1"/>
  <c r="Y296" i="5" a="1"/>
  <c r="Y296" i="5" s="1"/>
  <c r="R296" i="5" a="1"/>
  <c r="R296" i="5" s="1"/>
  <c r="N296" i="5" a="1"/>
  <c r="N296" i="5" s="1"/>
  <c r="S296" i="5" a="1"/>
  <c r="S296" i="5" s="1"/>
  <c r="AH296" i="5" a="1"/>
  <c r="AH296" i="5" s="1"/>
  <c r="G296" i="5" a="1"/>
  <c r="G296" i="5" s="1"/>
  <c r="L296" i="5" a="1"/>
  <c r="L296" i="5" s="1"/>
  <c r="I296" i="5" a="1"/>
  <c r="I296" i="5" s="1"/>
  <c r="K296" i="5" a="1"/>
  <c r="K296" i="5" s="1"/>
  <c r="H296" i="5" a="1"/>
  <c r="H296" i="5" s="1"/>
  <c r="J296" i="5" a="1"/>
  <c r="J296" i="5" s="1"/>
  <c r="M296" i="5" a="1"/>
  <c r="M296" i="5" s="1"/>
  <c r="F297" i="5"/>
  <c r="AC297" i="5" l="1" a="1"/>
  <c r="AC297" i="5" s="1"/>
  <c r="T297" i="5" a="1"/>
  <c r="T297" i="5" s="1"/>
  <c r="P297" i="5" a="1"/>
  <c r="P297" i="5" s="1"/>
  <c r="AE297" i="5" a="1"/>
  <c r="AE297" i="5" s="1"/>
  <c r="W297" i="5" a="1"/>
  <c r="W297" i="5" s="1"/>
  <c r="U297" i="5" a="1"/>
  <c r="U297" i="5" s="1"/>
  <c r="Z297" i="5" a="1"/>
  <c r="Z297" i="5" s="1"/>
  <c r="AF297" i="5" a="1"/>
  <c r="AF297" i="5" s="1"/>
  <c r="AA297" i="5" a="1"/>
  <c r="AA297" i="5" s="1"/>
  <c r="X297" i="5" a="1"/>
  <c r="X297" i="5" s="1"/>
  <c r="R297" i="5" a="1"/>
  <c r="R297" i="5" s="1"/>
  <c r="AD297" i="5" a="1"/>
  <c r="AD297" i="5" s="1"/>
  <c r="V297" i="5" a="1"/>
  <c r="V297" i="5" s="1"/>
  <c r="AG297" i="5" a="1"/>
  <c r="AG297" i="5" s="1"/>
  <c r="Q297" i="5" a="1"/>
  <c r="Q297" i="5" s="1"/>
  <c r="O297" i="5" a="1"/>
  <c r="O297" i="5" s="1"/>
  <c r="AH297" i="5" a="1"/>
  <c r="AH297" i="5" s="1"/>
  <c r="Y297" i="5" a="1"/>
  <c r="Y297" i="5" s="1"/>
  <c r="S297" i="5" a="1"/>
  <c r="S297" i="5" s="1"/>
  <c r="N297" i="5" a="1"/>
  <c r="N297" i="5" s="1"/>
  <c r="AB297" i="5" a="1"/>
  <c r="AB297" i="5" s="1"/>
  <c r="H297" i="5" a="1"/>
  <c r="H297" i="5" s="1"/>
  <c r="L297" i="5" a="1"/>
  <c r="L297" i="5" s="1"/>
  <c r="K297" i="5" a="1"/>
  <c r="K297" i="5" s="1"/>
  <c r="I297" i="5" a="1"/>
  <c r="I297" i="5" s="1"/>
  <c r="J297" i="5" a="1"/>
  <c r="J297" i="5" s="1"/>
  <c r="G297" i="5" a="1"/>
  <c r="G297" i="5" s="1"/>
  <c r="M297" i="5" a="1"/>
  <c r="M297" i="5" s="1"/>
  <c r="F298" i="5"/>
  <c r="AC298" i="5" l="1" a="1"/>
  <c r="AC298" i="5" s="1"/>
  <c r="AE298" i="5" a="1"/>
  <c r="AE298" i="5" s="1"/>
  <c r="T298" i="5" a="1"/>
  <c r="T298" i="5" s="1"/>
  <c r="P298" i="5" a="1"/>
  <c r="P298" i="5" s="1"/>
  <c r="W298" i="5" a="1"/>
  <c r="W298" i="5" s="1"/>
  <c r="R80" i="9" s="1"/>
  <c r="Z298" i="5" a="1"/>
  <c r="Z298" i="5" s="1"/>
  <c r="U80" i="9" s="1"/>
  <c r="U298" i="5" a="1"/>
  <c r="U298" i="5" s="1"/>
  <c r="P80" i="9" s="1"/>
  <c r="Q298" i="5" a="1"/>
  <c r="Q298" i="5" s="1"/>
  <c r="X298" i="5" a="1"/>
  <c r="X298" i="5" s="1"/>
  <c r="S80" i="9" s="1"/>
  <c r="V298" i="5" a="1"/>
  <c r="V298" i="5" s="1"/>
  <c r="Q80" i="9" s="1"/>
  <c r="AF298" i="5" a="1"/>
  <c r="AF298" i="5" s="1"/>
  <c r="O298" i="5" a="1"/>
  <c r="O298" i="5" s="1"/>
  <c r="AA298" i="5" a="1"/>
  <c r="AA298" i="5" s="1"/>
  <c r="V80" i="9" s="1"/>
  <c r="R298" i="5" a="1"/>
  <c r="R298" i="5" s="1"/>
  <c r="AG298" i="5" a="1"/>
  <c r="AG298" i="5" s="1"/>
  <c r="N298" i="5" a="1"/>
  <c r="N298" i="5" s="1"/>
  <c r="AH298" i="5" a="1"/>
  <c r="AH298" i="5" s="1"/>
  <c r="AB298" i="5" a="1"/>
  <c r="AB298" i="5" s="1"/>
  <c r="AD298" i="5" a="1"/>
  <c r="AD298" i="5" s="1"/>
  <c r="S298" i="5" a="1"/>
  <c r="S298" i="5" s="1"/>
  <c r="Y298" i="5" a="1"/>
  <c r="Y298" i="5" s="1"/>
  <c r="T80" i="9" s="1"/>
  <c r="K298" i="5" a="1"/>
  <c r="K298" i="5" s="1"/>
  <c r="L298" i="5" a="1"/>
  <c r="L298" i="5" s="1"/>
  <c r="I298" i="5" a="1"/>
  <c r="I298" i="5" s="1"/>
  <c r="H298" i="5" a="1"/>
  <c r="H298" i="5" s="1"/>
  <c r="J298" i="5" a="1"/>
  <c r="J298" i="5" s="1"/>
  <c r="G298" i="5" a="1"/>
  <c r="G298" i="5" s="1"/>
  <c r="M298" i="5" a="1"/>
  <c r="M298" i="5" s="1"/>
  <c r="F299" i="5"/>
  <c r="P299" i="5" l="1" a="1"/>
  <c r="P299" i="5" s="1"/>
  <c r="T299" i="5" a="1"/>
  <c r="T299" i="5" s="1"/>
  <c r="AC299" i="5" a="1"/>
  <c r="AC299" i="5" s="1"/>
  <c r="AE299" i="5" a="1"/>
  <c r="AE299" i="5" s="1"/>
  <c r="W299" i="5" a="1"/>
  <c r="W299" i="5" s="1"/>
  <c r="Z299" i="5" a="1"/>
  <c r="Z299" i="5" s="1"/>
  <c r="U299" i="5" a="1"/>
  <c r="U299" i="5" s="1"/>
  <c r="AF299" i="5" a="1"/>
  <c r="AF299" i="5" s="1"/>
  <c r="AA299" i="5" a="1"/>
  <c r="AA299" i="5" s="1"/>
  <c r="Q299" i="5" a="1"/>
  <c r="Q299" i="5" s="1"/>
  <c r="AG299" i="5" a="1"/>
  <c r="AG299" i="5" s="1"/>
  <c r="O299" i="5" a="1"/>
  <c r="O299" i="5" s="1"/>
  <c r="X299" i="5" a="1"/>
  <c r="X299" i="5" s="1"/>
  <c r="V299" i="5" a="1"/>
  <c r="V299" i="5" s="1"/>
  <c r="S299" i="5" a="1"/>
  <c r="S299" i="5" s="1"/>
  <c r="N299" i="5" a="1"/>
  <c r="N299" i="5" s="1"/>
  <c r="AH299" i="5" a="1"/>
  <c r="AH299" i="5" s="1"/>
  <c r="Y299" i="5" a="1"/>
  <c r="Y299" i="5" s="1"/>
  <c r="AB299" i="5" a="1"/>
  <c r="AB299" i="5" s="1"/>
  <c r="R299" i="5" a="1"/>
  <c r="R299" i="5" s="1"/>
  <c r="AD299" i="5" a="1"/>
  <c r="AD299" i="5" s="1"/>
  <c r="I299" i="5" a="1"/>
  <c r="I299" i="5" s="1"/>
  <c r="L299" i="5" a="1"/>
  <c r="L299" i="5" s="1"/>
  <c r="H299" i="5" a="1"/>
  <c r="H299" i="5" s="1"/>
  <c r="G299" i="5" a="1"/>
  <c r="G299" i="5" s="1"/>
  <c r="K299" i="5" a="1"/>
  <c r="K299" i="5" s="1"/>
  <c r="J299" i="5" a="1"/>
  <c r="J299" i="5" s="1"/>
  <c r="M299" i="5" a="1"/>
  <c r="M299" i="5" s="1"/>
  <c r="F300" i="5"/>
  <c r="T300" i="5" l="1" a="1"/>
  <c r="T300" i="5" s="1"/>
  <c r="AE300" i="5" a="1"/>
  <c r="AE300" i="5" s="1"/>
  <c r="AC300" i="5" a="1"/>
  <c r="AC300" i="5" s="1"/>
  <c r="P300" i="5" a="1"/>
  <c r="P300" i="5" s="1"/>
  <c r="AF300" i="5" a="1"/>
  <c r="AF300" i="5" s="1"/>
  <c r="Z300" i="5" a="1"/>
  <c r="Z300" i="5" s="1"/>
  <c r="W300" i="5" a="1"/>
  <c r="W300" i="5" s="1"/>
  <c r="U300" i="5" a="1"/>
  <c r="U300" i="5" s="1"/>
  <c r="Q300" i="5" a="1"/>
  <c r="Q300" i="5" s="1"/>
  <c r="AA300" i="5" a="1"/>
  <c r="AA300" i="5" s="1"/>
  <c r="X300" i="5" a="1"/>
  <c r="X300" i="5" s="1"/>
  <c r="V300" i="5" a="1"/>
  <c r="V300" i="5" s="1"/>
  <c r="AG300" i="5" a="1"/>
  <c r="AG300" i="5" s="1"/>
  <c r="R300" i="5" a="1"/>
  <c r="R300" i="5" s="1"/>
  <c r="AD300" i="5" a="1"/>
  <c r="AD300" i="5" s="1"/>
  <c r="O300" i="5" a="1"/>
  <c r="O300" i="5" s="1"/>
  <c r="AH300" i="5" a="1"/>
  <c r="AH300" i="5" s="1"/>
  <c r="AB300" i="5" a="1"/>
  <c r="AB300" i="5" s="1"/>
  <c r="S300" i="5" a="1"/>
  <c r="S300" i="5" s="1"/>
  <c r="N300" i="5" a="1"/>
  <c r="N300" i="5" s="1"/>
  <c r="Y300" i="5" a="1"/>
  <c r="Y300" i="5" s="1"/>
  <c r="K300" i="5" a="1"/>
  <c r="K300" i="5" s="1"/>
  <c r="H300" i="5" a="1"/>
  <c r="H300" i="5" s="1"/>
  <c r="L300" i="5" a="1"/>
  <c r="L300" i="5" s="1"/>
  <c r="G300" i="5" a="1"/>
  <c r="G300" i="5" s="1"/>
  <c r="I300" i="5" a="1"/>
  <c r="I300" i="5" s="1"/>
  <c r="J300" i="5" a="1"/>
  <c r="J300" i="5" s="1"/>
  <c r="M300" i="5" a="1"/>
  <c r="M300" i="5" s="1"/>
  <c r="F301" i="5"/>
  <c r="P301" i="5" l="1" a="1"/>
  <c r="P301" i="5" s="1"/>
  <c r="AE301" i="5" a="1"/>
  <c r="AE301" i="5" s="1"/>
  <c r="T301" i="5" a="1"/>
  <c r="T301" i="5" s="1"/>
  <c r="AC301" i="5" a="1"/>
  <c r="AC301" i="5" s="1"/>
  <c r="Z301" i="5" a="1"/>
  <c r="Z301" i="5" s="1"/>
  <c r="U301" i="5" a="1"/>
  <c r="U301" i="5" s="1"/>
  <c r="AF301" i="5" a="1"/>
  <c r="AF301" i="5" s="1"/>
  <c r="W301" i="5" a="1"/>
  <c r="W301" i="5" s="1"/>
  <c r="O301" i="5" a="1"/>
  <c r="O301" i="5" s="1"/>
  <c r="AD301" i="5" a="1"/>
  <c r="AD301" i="5" s="1"/>
  <c r="Q301" i="5" a="1"/>
  <c r="Q301" i="5" s="1"/>
  <c r="AA301" i="5" a="1"/>
  <c r="AA301" i="5" s="1"/>
  <c r="V301" i="5" a="1"/>
  <c r="V301" i="5" s="1"/>
  <c r="AG301" i="5" a="1"/>
  <c r="AG301" i="5" s="1"/>
  <c r="X301" i="5" a="1"/>
  <c r="X301" i="5" s="1"/>
  <c r="N301" i="5" a="1"/>
  <c r="N301" i="5" s="1"/>
  <c r="R301" i="5" a="1"/>
  <c r="R301" i="5" s="1"/>
  <c r="AH301" i="5" a="1"/>
  <c r="AH301" i="5" s="1"/>
  <c r="AB301" i="5" a="1"/>
  <c r="AB301" i="5" s="1"/>
  <c r="Y301" i="5" a="1"/>
  <c r="Y301" i="5" s="1"/>
  <c r="S301" i="5" a="1"/>
  <c r="S301" i="5" s="1"/>
  <c r="G301" i="5" a="1"/>
  <c r="G301" i="5" s="1"/>
  <c r="I301" i="5" a="1"/>
  <c r="I301" i="5" s="1"/>
  <c r="K301" i="5" a="1"/>
  <c r="K301" i="5" s="1"/>
  <c r="H301" i="5" a="1"/>
  <c r="H301" i="5" s="1"/>
  <c r="J301" i="5" a="1"/>
  <c r="J301" i="5" s="1"/>
  <c r="L301" i="5" a="1"/>
  <c r="L301" i="5" s="1"/>
  <c r="M301" i="5" a="1"/>
  <c r="M301" i="5" s="1"/>
  <c r="F302" i="5"/>
  <c r="AE302" i="5" l="1" a="1"/>
  <c r="AE302" i="5" s="1"/>
  <c r="T302" i="5" a="1"/>
  <c r="T302" i="5" s="1"/>
  <c r="P302" i="5" a="1"/>
  <c r="P302" i="5" s="1"/>
  <c r="AC302" i="5" a="1"/>
  <c r="AC302" i="5" s="1"/>
  <c r="U302" i="5" a="1"/>
  <c r="U302" i="5" s="1"/>
  <c r="P81" i="9" s="1"/>
  <c r="AF302" i="5" a="1"/>
  <c r="AF302" i="5" s="1"/>
  <c r="W302" i="5" a="1"/>
  <c r="W302" i="5" s="1"/>
  <c r="R81" i="9" s="1"/>
  <c r="Z302" i="5" a="1"/>
  <c r="Z302" i="5" s="1"/>
  <c r="U81" i="9" s="1"/>
  <c r="Q302" i="5" a="1"/>
  <c r="Q302" i="5" s="1"/>
  <c r="O302" i="5" a="1"/>
  <c r="O302" i="5" s="1"/>
  <c r="AG302" i="5" a="1"/>
  <c r="AG302" i="5" s="1"/>
  <c r="X302" i="5" a="1"/>
  <c r="X302" i="5" s="1"/>
  <c r="S81" i="9" s="1"/>
  <c r="AD302" i="5" a="1"/>
  <c r="AD302" i="5" s="1"/>
  <c r="V302" i="5" a="1"/>
  <c r="V302" i="5" s="1"/>
  <c r="Q81" i="9" s="1"/>
  <c r="AA302" i="5" a="1"/>
  <c r="AA302" i="5" s="1"/>
  <c r="V81" i="9" s="1"/>
  <c r="R302" i="5" a="1"/>
  <c r="R302" i="5" s="1"/>
  <c r="AB302" i="5" a="1"/>
  <c r="AB302" i="5" s="1"/>
  <c r="S302" i="5" a="1"/>
  <c r="S302" i="5" s="1"/>
  <c r="N302" i="5" a="1"/>
  <c r="N302" i="5" s="1"/>
  <c r="Y302" i="5" a="1"/>
  <c r="Y302" i="5" s="1"/>
  <c r="T81" i="9" s="1"/>
  <c r="AH302" i="5" a="1"/>
  <c r="AH302" i="5" s="1"/>
  <c r="G302" i="5" a="1"/>
  <c r="G302" i="5" s="1"/>
  <c r="H302" i="5" a="1"/>
  <c r="H302" i="5" s="1"/>
  <c r="I302" i="5" a="1"/>
  <c r="I302" i="5" s="1"/>
  <c r="K302" i="5" a="1"/>
  <c r="K302" i="5" s="1"/>
  <c r="L302" i="5" a="1"/>
  <c r="L302" i="5" s="1"/>
  <c r="J302" i="5" a="1"/>
  <c r="J302" i="5" s="1"/>
  <c r="M302" i="5" a="1"/>
  <c r="M302" i="5" s="1"/>
  <c r="F303" i="5"/>
  <c r="P303" i="5" l="1" a="1"/>
  <c r="P303" i="5" s="1"/>
  <c r="AC303" i="5" a="1"/>
  <c r="AC303" i="5" s="1"/>
  <c r="T303" i="5" a="1"/>
  <c r="T303" i="5" s="1"/>
  <c r="AE303" i="5" a="1"/>
  <c r="AE303" i="5" s="1"/>
  <c r="AF303" i="5" a="1"/>
  <c r="AF303" i="5" s="1"/>
  <c r="Z303" i="5" a="1"/>
  <c r="Z303" i="5" s="1"/>
  <c r="W303" i="5" a="1"/>
  <c r="W303" i="5" s="1"/>
  <c r="U303" i="5" a="1"/>
  <c r="U303" i="5" s="1"/>
  <c r="R303" i="5" a="1"/>
  <c r="R303" i="5" s="1"/>
  <c r="Q303" i="5" a="1"/>
  <c r="Q303" i="5" s="1"/>
  <c r="V303" i="5" a="1"/>
  <c r="V303" i="5" s="1"/>
  <c r="O303" i="5" a="1"/>
  <c r="O303" i="5" s="1"/>
  <c r="AG303" i="5" a="1"/>
  <c r="AG303" i="5" s="1"/>
  <c r="AA303" i="5" a="1"/>
  <c r="AA303" i="5" s="1"/>
  <c r="X303" i="5" a="1"/>
  <c r="X303" i="5" s="1"/>
  <c r="N303" i="5" a="1"/>
  <c r="N303" i="5" s="1"/>
  <c r="AB303" i="5" a="1"/>
  <c r="AB303" i="5" s="1"/>
  <c r="AH303" i="5" a="1"/>
  <c r="AH303" i="5" s="1"/>
  <c r="Y303" i="5" a="1"/>
  <c r="Y303" i="5" s="1"/>
  <c r="AD303" i="5" a="1"/>
  <c r="AD303" i="5" s="1"/>
  <c r="S303" i="5" a="1"/>
  <c r="S303" i="5" s="1"/>
  <c r="G303" i="5" a="1"/>
  <c r="G303" i="5" s="1"/>
  <c r="K303" i="5" a="1"/>
  <c r="K303" i="5" s="1"/>
  <c r="I303" i="5" a="1"/>
  <c r="I303" i="5" s="1"/>
  <c r="L303" i="5" a="1"/>
  <c r="L303" i="5" s="1"/>
  <c r="J303" i="5" a="1"/>
  <c r="J303" i="5" s="1"/>
  <c r="H303" i="5" a="1"/>
  <c r="H303" i="5" s="1"/>
  <c r="M303" i="5" a="1"/>
  <c r="M303" i="5" s="1"/>
  <c r="F304" i="5"/>
  <c r="AE304" i="5" l="1" a="1"/>
  <c r="AE304" i="5" s="1"/>
  <c r="P304" i="5" a="1"/>
  <c r="P304" i="5" s="1"/>
  <c r="T304" i="5" a="1"/>
  <c r="T304" i="5" s="1"/>
  <c r="AC304" i="5" a="1"/>
  <c r="AC304" i="5" s="1"/>
  <c r="AF304" i="5" a="1"/>
  <c r="AF304" i="5" s="1"/>
  <c r="W304" i="5" a="1"/>
  <c r="W304" i="5" s="1"/>
  <c r="Z304" i="5" a="1"/>
  <c r="Z304" i="5" s="1"/>
  <c r="U304" i="5" a="1"/>
  <c r="U304" i="5" s="1"/>
  <c r="V304" i="5" a="1"/>
  <c r="V304" i="5" s="1"/>
  <c r="AG304" i="5" a="1"/>
  <c r="AG304" i="5" s="1"/>
  <c r="R304" i="5" a="1"/>
  <c r="R304" i="5" s="1"/>
  <c r="O304" i="5" a="1"/>
  <c r="O304" i="5" s="1"/>
  <c r="Q304" i="5" a="1"/>
  <c r="Q304" i="5" s="1"/>
  <c r="X304" i="5" a="1"/>
  <c r="X304" i="5" s="1"/>
  <c r="AD304" i="5" a="1"/>
  <c r="AD304" i="5" s="1"/>
  <c r="AA304" i="5" a="1"/>
  <c r="AA304" i="5" s="1"/>
  <c r="N304" i="5" a="1"/>
  <c r="N304" i="5" s="1"/>
  <c r="AB304" i="5" a="1"/>
  <c r="AB304" i="5" s="1"/>
  <c r="Y304" i="5" a="1"/>
  <c r="Y304" i="5" s="1"/>
  <c r="S304" i="5" a="1"/>
  <c r="S304" i="5" s="1"/>
  <c r="AH304" i="5" a="1"/>
  <c r="AH304" i="5" s="1"/>
  <c r="G304" i="5" a="1"/>
  <c r="G304" i="5" s="1"/>
  <c r="L304" i="5" a="1"/>
  <c r="L304" i="5" s="1"/>
  <c r="I304" i="5" a="1"/>
  <c r="I304" i="5" s="1"/>
  <c r="H304" i="5" a="1"/>
  <c r="H304" i="5" s="1"/>
  <c r="K304" i="5" a="1"/>
  <c r="K304" i="5" s="1"/>
  <c r="J304" i="5" a="1"/>
  <c r="J304" i="5" s="1"/>
  <c r="M304" i="5" a="1"/>
  <c r="M304" i="5" s="1"/>
  <c r="F305" i="5"/>
  <c r="AC305" i="5" l="1" a="1"/>
  <c r="AC305" i="5" s="1"/>
  <c r="P305" i="5" a="1"/>
  <c r="P305" i="5" s="1"/>
  <c r="T305" i="5" a="1"/>
  <c r="T305" i="5" s="1"/>
  <c r="AE305" i="5" a="1"/>
  <c r="AE305" i="5" s="1"/>
  <c r="W305" i="5" a="1"/>
  <c r="W305" i="5" s="1"/>
  <c r="Z305" i="5" a="1"/>
  <c r="Z305" i="5" s="1"/>
  <c r="U305" i="5" a="1"/>
  <c r="U305" i="5" s="1"/>
  <c r="AF305" i="5" a="1"/>
  <c r="AF305" i="5" s="1"/>
  <c r="AG305" i="5" a="1"/>
  <c r="AG305" i="5" s="1"/>
  <c r="AD305" i="5" a="1"/>
  <c r="AD305" i="5" s="1"/>
  <c r="X305" i="5" a="1"/>
  <c r="X305" i="5" s="1"/>
  <c r="V305" i="5" a="1"/>
  <c r="V305" i="5" s="1"/>
  <c r="Q305" i="5" a="1"/>
  <c r="Q305" i="5" s="1"/>
  <c r="AA305" i="5" a="1"/>
  <c r="AA305" i="5" s="1"/>
  <c r="R305" i="5" a="1"/>
  <c r="R305" i="5" s="1"/>
  <c r="O305" i="5" a="1"/>
  <c r="O305" i="5" s="1"/>
  <c r="AH305" i="5" a="1"/>
  <c r="AH305" i="5" s="1"/>
  <c r="Y305" i="5" a="1"/>
  <c r="Y305" i="5" s="1"/>
  <c r="S305" i="5" a="1"/>
  <c r="S305" i="5" s="1"/>
  <c r="N305" i="5" a="1"/>
  <c r="N305" i="5" s="1"/>
  <c r="AB305" i="5" a="1"/>
  <c r="AB305" i="5" s="1"/>
  <c r="H305" i="5" a="1"/>
  <c r="H305" i="5" s="1"/>
  <c r="I305" i="5" a="1"/>
  <c r="I305" i="5" s="1"/>
  <c r="K305" i="5" a="1"/>
  <c r="K305" i="5" s="1"/>
  <c r="G305" i="5" a="1"/>
  <c r="G305" i="5" s="1"/>
  <c r="L305" i="5" a="1"/>
  <c r="L305" i="5" s="1"/>
  <c r="J305" i="5" a="1"/>
  <c r="J305" i="5" s="1"/>
  <c r="M305" i="5" a="1"/>
  <c r="M305" i="5" s="1"/>
  <c r="F306" i="5"/>
  <c r="AE306" i="5" l="1" a="1"/>
  <c r="AE306" i="5" s="1"/>
  <c r="AC306" i="5" a="1"/>
  <c r="AC306" i="5" s="1"/>
  <c r="P306" i="5" a="1"/>
  <c r="P306" i="5" s="1"/>
  <c r="T306" i="5" a="1"/>
  <c r="T306" i="5" s="1"/>
  <c r="U306" i="5" a="1"/>
  <c r="U306" i="5" s="1"/>
  <c r="P82" i="9" s="1"/>
  <c r="W306" i="5" a="1"/>
  <c r="W306" i="5" s="1"/>
  <c r="R82" i="9" s="1"/>
  <c r="Z306" i="5" a="1"/>
  <c r="Z306" i="5" s="1"/>
  <c r="U82" i="9" s="1"/>
  <c r="AF306" i="5" a="1"/>
  <c r="AF306" i="5" s="1"/>
  <c r="AA306" i="5" a="1"/>
  <c r="AA306" i="5" s="1"/>
  <c r="V82" i="9" s="1"/>
  <c r="V306" i="5" a="1"/>
  <c r="V306" i="5" s="1"/>
  <c r="Q82" i="9" s="1"/>
  <c r="AG306" i="5" a="1"/>
  <c r="AG306" i="5" s="1"/>
  <c r="O306" i="5" a="1"/>
  <c r="O306" i="5" s="1"/>
  <c r="X306" i="5" a="1"/>
  <c r="X306" i="5" s="1"/>
  <c r="S82" i="9" s="1"/>
  <c r="Q306" i="5" a="1"/>
  <c r="Q306" i="5" s="1"/>
  <c r="Y306" i="5" a="1"/>
  <c r="Y306" i="5" s="1"/>
  <c r="T82" i="9" s="1"/>
  <c r="S306" i="5" a="1"/>
  <c r="S306" i="5" s="1"/>
  <c r="AB306" i="5" a="1"/>
  <c r="AB306" i="5" s="1"/>
  <c r="AH306" i="5" a="1"/>
  <c r="AH306" i="5" s="1"/>
  <c r="AD306" i="5" a="1"/>
  <c r="AD306" i="5" s="1"/>
  <c r="N306" i="5" a="1"/>
  <c r="N306" i="5" s="1"/>
  <c r="R306" i="5" a="1"/>
  <c r="R306" i="5" s="1"/>
  <c r="H306" i="5" a="1"/>
  <c r="H306" i="5" s="1"/>
  <c r="K306" i="5" a="1"/>
  <c r="K306" i="5" s="1"/>
  <c r="G306" i="5" a="1"/>
  <c r="G306" i="5" s="1"/>
  <c r="L306" i="5" a="1"/>
  <c r="L306" i="5" s="1"/>
  <c r="I306" i="5" a="1"/>
  <c r="I306" i="5" s="1"/>
  <c r="J306" i="5" a="1"/>
  <c r="J306" i="5" s="1"/>
  <c r="M306" i="5" a="1"/>
  <c r="M306" i="5" s="1"/>
  <c r="F307" i="5"/>
  <c r="AC307" i="5" l="1" a="1"/>
  <c r="AC307" i="5" s="1"/>
  <c r="T307" i="5" a="1"/>
  <c r="T307" i="5" s="1"/>
  <c r="P307" i="5" a="1"/>
  <c r="P307" i="5" s="1"/>
  <c r="AE307" i="5" a="1"/>
  <c r="AE307" i="5" s="1"/>
  <c r="U307" i="5" a="1"/>
  <c r="U307" i="5" s="1"/>
  <c r="AF307" i="5" a="1"/>
  <c r="AF307" i="5" s="1"/>
  <c r="Z307" i="5" a="1"/>
  <c r="Z307" i="5" s="1"/>
  <c r="W307" i="5" a="1"/>
  <c r="W307" i="5" s="1"/>
  <c r="AA307" i="5" a="1"/>
  <c r="AA307" i="5" s="1"/>
  <c r="AG307" i="5" a="1"/>
  <c r="AG307" i="5" s="1"/>
  <c r="O307" i="5" a="1"/>
  <c r="O307" i="5" s="1"/>
  <c r="Q307" i="5" a="1"/>
  <c r="Q307" i="5" s="1"/>
  <c r="X307" i="5" a="1"/>
  <c r="X307" i="5" s="1"/>
  <c r="N307" i="5" a="1"/>
  <c r="N307" i="5" s="1"/>
  <c r="V307" i="5" a="1"/>
  <c r="V307" i="5" s="1"/>
  <c r="S307" i="5" a="1"/>
  <c r="S307" i="5" s="1"/>
  <c r="AD307" i="5" a="1"/>
  <c r="AD307" i="5" s="1"/>
  <c r="AB307" i="5" a="1"/>
  <c r="AB307" i="5" s="1"/>
  <c r="Y307" i="5" a="1"/>
  <c r="Y307" i="5" s="1"/>
  <c r="AH307" i="5" a="1"/>
  <c r="AH307" i="5" s="1"/>
  <c r="R307" i="5" a="1"/>
  <c r="R307" i="5" s="1"/>
  <c r="G307" i="5" a="1"/>
  <c r="G307" i="5" s="1"/>
  <c r="K307" i="5" a="1"/>
  <c r="K307" i="5" s="1"/>
  <c r="I307" i="5" a="1"/>
  <c r="I307" i="5" s="1"/>
  <c r="L307" i="5" a="1"/>
  <c r="L307" i="5" s="1"/>
  <c r="H307" i="5" a="1"/>
  <c r="H307" i="5" s="1"/>
  <c r="J307" i="5" a="1"/>
  <c r="J307" i="5" s="1"/>
  <c r="M307" i="5" a="1"/>
  <c r="M307" i="5" s="1"/>
  <c r="F308" i="5"/>
  <c r="T308" i="5" l="1" a="1"/>
  <c r="T308" i="5" s="1"/>
  <c r="P308" i="5" a="1"/>
  <c r="P308" i="5" s="1"/>
  <c r="AE308" i="5" a="1"/>
  <c r="AE308" i="5" s="1"/>
  <c r="AC308" i="5" a="1"/>
  <c r="AC308" i="5" s="1"/>
  <c r="Z308" i="5" a="1"/>
  <c r="Z308" i="5" s="1"/>
  <c r="W308" i="5" a="1"/>
  <c r="W308" i="5" s="1"/>
  <c r="AF308" i="5" a="1"/>
  <c r="AF308" i="5" s="1"/>
  <c r="U308" i="5" a="1"/>
  <c r="U308" i="5" s="1"/>
  <c r="O308" i="5" a="1"/>
  <c r="O308" i="5" s="1"/>
  <c r="X308" i="5" a="1"/>
  <c r="X308" i="5" s="1"/>
  <c r="V308" i="5" a="1"/>
  <c r="V308" i="5" s="1"/>
  <c r="AA308" i="5" a="1"/>
  <c r="AA308" i="5" s="1"/>
  <c r="Q308" i="5" a="1"/>
  <c r="Q308" i="5" s="1"/>
  <c r="AG308" i="5" a="1"/>
  <c r="AG308" i="5" s="1"/>
  <c r="AD308" i="5" a="1"/>
  <c r="AD308" i="5" s="1"/>
  <c r="N308" i="5" a="1"/>
  <c r="N308" i="5" s="1"/>
  <c r="AH308" i="5" a="1"/>
  <c r="AH308" i="5" s="1"/>
  <c r="AB308" i="5" a="1"/>
  <c r="AB308" i="5" s="1"/>
  <c r="R308" i="5" a="1"/>
  <c r="R308" i="5" s="1"/>
  <c r="S308" i="5" a="1"/>
  <c r="S308" i="5" s="1"/>
  <c r="Y308" i="5" a="1"/>
  <c r="Y308" i="5" s="1"/>
  <c r="G308" i="5" a="1"/>
  <c r="G308" i="5" s="1"/>
  <c r="I308" i="5" a="1"/>
  <c r="I308" i="5" s="1"/>
  <c r="H308" i="5" a="1"/>
  <c r="H308" i="5" s="1"/>
  <c r="K308" i="5" a="1"/>
  <c r="K308" i="5" s="1"/>
  <c r="L308" i="5" a="1"/>
  <c r="L308" i="5" s="1"/>
  <c r="J308" i="5" a="1"/>
  <c r="J308" i="5" s="1"/>
  <c r="M308" i="5" a="1"/>
  <c r="M308" i="5" s="1"/>
  <c r="F309" i="5"/>
  <c r="P309" i="5" l="1" a="1"/>
  <c r="P309" i="5" s="1"/>
  <c r="AE309" i="5" a="1"/>
  <c r="AE309" i="5" s="1"/>
  <c r="AC309" i="5" a="1"/>
  <c r="AC309" i="5" s="1"/>
  <c r="T309" i="5" a="1"/>
  <c r="T309" i="5" s="1"/>
  <c r="Z309" i="5" a="1"/>
  <c r="Z309" i="5" s="1"/>
  <c r="W309" i="5" a="1"/>
  <c r="W309" i="5" s="1"/>
  <c r="AF309" i="5" a="1"/>
  <c r="AF309" i="5" s="1"/>
  <c r="U309" i="5" a="1"/>
  <c r="U309" i="5" s="1"/>
  <c r="X309" i="5" a="1"/>
  <c r="X309" i="5" s="1"/>
  <c r="O309" i="5" a="1"/>
  <c r="O309" i="5" s="1"/>
  <c r="AG309" i="5" a="1"/>
  <c r="AG309" i="5" s="1"/>
  <c r="AA309" i="5" a="1"/>
  <c r="AA309" i="5" s="1"/>
  <c r="R309" i="5" a="1"/>
  <c r="R309" i="5" s="1"/>
  <c r="Q309" i="5" a="1"/>
  <c r="Q309" i="5" s="1"/>
  <c r="V309" i="5" a="1"/>
  <c r="V309" i="5" s="1"/>
  <c r="AD309" i="5" a="1"/>
  <c r="AD309" i="5" s="1"/>
  <c r="AB309" i="5" a="1"/>
  <c r="AB309" i="5" s="1"/>
  <c r="S309" i="5" a="1"/>
  <c r="S309" i="5" s="1"/>
  <c r="N309" i="5" a="1"/>
  <c r="N309" i="5" s="1"/>
  <c r="Y309" i="5" a="1"/>
  <c r="Y309" i="5" s="1"/>
  <c r="AH309" i="5" a="1"/>
  <c r="AH309" i="5" s="1"/>
  <c r="G309" i="5" a="1"/>
  <c r="G309" i="5" s="1"/>
  <c r="K309" i="5" a="1"/>
  <c r="K309" i="5" s="1"/>
  <c r="I309" i="5" a="1"/>
  <c r="I309" i="5" s="1"/>
  <c r="L309" i="5" a="1"/>
  <c r="L309" i="5" s="1"/>
  <c r="H309" i="5" a="1"/>
  <c r="H309" i="5" s="1"/>
  <c r="J309" i="5" a="1"/>
  <c r="J309" i="5" s="1"/>
  <c r="M309" i="5" a="1"/>
  <c r="M309" i="5" s="1"/>
  <c r="F310" i="5"/>
  <c r="AE310" i="5" l="1" a="1"/>
  <c r="AE310" i="5" s="1"/>
  <c r="P310" i="5" a="1"/>
  <c r="P310" i="5" s="1"/>
  <c r="K83" i="9" s="1"/>
  <c r="T310" i="5" a="1"/>
  <c r="T310" i="5" s="1"/>
  <c r="O83" i="9" s="1"/>
  <c r="AC310" i="5" a="1"/>
  <c r="AC310" i="5" s="1"/>
  <c r="W310" i="5" a="1"/>
  <c r="W310" i="5" s="1"/>
  <c r="R83" i="9" s="1"/>
  <c r="Z310" i="5" a="1"/>
  <c r="Z310" i="5" s="1"/>
  <c r="U83" i="9" s="1"/>
  <c r="AF310" i="5" a="1"/>
  <c r="AF310" i="5" s="1"/>
  <c r="AA83" i="9" s="1"/>
  <c r="U310" i="5" a="1"/>
  <c r="U310" i="5" s="1"/>
  <c r="P83" i="9" s="1"/>
  <c r="X310" i="5" a="1"/>
  <c r="X310" i="5" s="1"/>
  <c r="S83" i="9" s="1"/>
  <c r="V310" i="5" a="1"/>
  <c r="V310" i="5" s="1"/>
  <c r="Q83" i="9" s="1"/>
  <c r="AA310" i="5" a="1"/>
  <c r="AA310" i="5" s="1"/>
  <c r="V83" i="9" s="1"/>
  <c r="R310" i="5" a="1"/>
  <c r="R310" i="5" s="1"/>
  <c r="AD310" i="5" a="1"/>
  <c r="AD310" i="5" s="1"/>
  <c r="Q310" i="5" a="1"/>
  <c r="Q310" i="5" s="1"/>
  <c r="L83" i="9" s="1"/>
  <c r="O310" i="5" a="1"/>
  <c r="O310" i="5" s="1"/>
  <c r="J83" i="9" s="1"/>
  <c r="AB310" i="5" a="1"/>
  <c r="AB310" i="5" s="1"/>
  <c r="AG310" i="5" a="1"/>
  <c r="AG310" i="5" s="1"/>
  <c r="S310" i="5" a="1"/>
  <c r="S310" i="5" s="1"/>
  <c r="Y310" i="5" a="1"/>
  <c r="Y310" i="5" s="1"/>
  <c r="T83" i="9" s="1"/>
  <c r="N310" i="5" a="1"/>
  <c r="N310" i="5" s="1"/>
  <c r="AH310" i="5" a="1"/>
  <c r="AH310" i="5" s="1"/>
  <c r="G310" i="5" a="1"/>
  <c r="G310" i="5" s="1"/>
  <c r="K310" i="5" a="1"/>
  <c r="K310" i="5" s="1"/>
  <c r="L310" i="5" a="1"/>
  <c r="L310" i="5" s="1"/>
  <c r="H310" i="5" a="1"/>
  <c r="H310" i="5" s="1"/>
  <c r="J310" i="5" a="1"/>
  <c r="J310" i="5" s="1"/>
  <c r="I310" i="5" a="1"/>
  <c r="I310" i="5" s="1"/>
  <c r="M310" i="5" a="1"/>
  <c r="M310" i="5" s="1"/>
  <c r="F311" i="5"/>
  <c r="AC311" i="5" l="1" a="1"/>
  <c r="AC311" i="5" s="1"/>
  <c r="AE311" i="5" a="1"/>
  <c r="AE311" i="5" s="1"/>
  <c r="T311" i="5" a="1"/>
  <c r="T311" i="5" s="1"/>
  <c r="P311" i="5" a="1"/>
  <c r="P311" i="5" s="1"/>
  <c r="Z311" i="5" a="1"/>
  <c r="Z311" i="5" s="1"/>
  <c r="AF311" i="5" a="1"/>
  <c r="AF311" i="5" s="1"/>
  <c r="U311" i="5" a="1"/>
  <c r="U311" i="5" s="1"/>
  <c r="W311" i="5" a="1"/>
  <c r="W311" i="5" s="1"/>
  <c r="V311" i="5" a="1"/>
  <c r="V311" i="5" s="1"/>
  <c r="AA311" i="5" a="1"/>
  <c r="AA311" i="5" s="1"/>
  <c r="X311" i="5" a="1"/>
  <c r="X311" i="5" s="1"/>
  <c r="Q311" i="5" a="1"/>
  <c r="Q311" i="5" s="1"/>
  <c r="O311" i="5" a="1"/>
  <c r="O311" i="5" s="1"/>
  <c r="AG311" i="5" a="1"/>
  <c r="AG311" i="5" s="1"/>
  <c r="R311" i="5" a="1"/>
  <c r="R311" i="5" s="1"/>
  <c r="AD311" i="5" a="1"/>
  <c r="AD311" i="5" s="1"/>
  <c r="Y311" i="5" a="1"/>
  <c r="Y311" i="5" s="1"/>
  <c r="S311" i="5" a="1"/>
  <c r="S311" i="5" s="1"/>
  <c r="N311" i="5" a="1"/>
  <c r="N311" i="5" s="1"/>
  <c r="AH311" i="5" a="1"/>
  <c r="AH311" i="5" s="1"/>
  <c r="AB311" i="5" a="1"/>
  <c r="AB311" i="5" s="1"/>
  <c r="G311" i="5" a="1"/>
  <c r="G311" i="5" s="1"/>
  <c r="I311" i="5" a="1"/>
  <c r="I311" i="5" s="1"/>
  <c r="L311" i="5" a="1"/>
  <c r="L311" i="5" s="1"/>
  <c r="K311" i="5" a="1"/>
  <c r="K311" i="5" s="1"/>
  <c r="H311" i="5" a="1"/>
  <c r="H311" i="5" s="1"/>
  <c r="J311" i="5" a="1"/>
  <c r="J311" i="5" s="1"/>
  <c r="M311" i="5" a="1"/>
  <c r="M311" i="5" s="1"/>
  <c r="F312" i="5"/>
  <c r="AE312" i="5" l="1" a="1"/>
  <c r="AE312" i="5" s="1"/>
  <c r="P312" i="5" a="1"/>
  <c r="P312" i="5" s="1"/>
  <c r="T312" i="5" a="1"/>
  <c r="T312" i="5" s="1"/>
  <c r="AC312" i="5" a="1"/>
  <c r="AC312" i="5" s="1"/>
  <c r="Z312" i="5" a="1"/>
  <c r="Z312" i="5" s="1"/>
  <c r="U312" i="5" a="1"/>
  <c r="U312" i="5" s="1"/>
  <c r="AF312" i="5" a="1"/>
  <c r="AF312" i="5" s="1"/>
  <c r="W312" i="5" a="1"/>
  <c r="W312" i="5" s="1"/>
  <c r="Q312" i="5" a="1"/>
  <c r="Q312" i="5" s="1"/>
  <c r="V312" i="5" a="1"/>
  <c r="V312" i="5" s="1"/>
  <c r="R312" i="5" a="1"/>
  <c r="R312" i="5" s="1"/>
  <c r="AA312" i="5" a="1"/>
  <c r="AA312" i="5" s="1"/>
  <c r="AG312" i="5" a="1"/>
  <c r="AG312" i="5" s="1"/>
  <c r="O312" i="5" a="1"/>
  <c r="O312" i="5" s="1"/>
  <c r="X312" i="5" a="1"/>
  <c r="X312" i="5" s="1"/>
  <c r="AB312" i="5" a="1"/>
  <c r="AB312" i="5" s="1"/>
  <c r="S312" i="5" a="1"/>
  <c r="S312" i="5" s="1"/>
  <c r="AD312" i="5" a="1"/>
  <c r="AD312" i="5" s="1"/>
  <c r="AH312" i="5" a="1"/>
  <c r="AH312" i="5" s="1"/>
  <c r="N312" i="5" a="1"/>
  <c r="N312" i="5" s="1"/>
  <c r="Y312" i="5" a="1"/>
  <c r="Y312" i="5" s="1"/>
  <c r="L312" i="5" a="1"/>
  <c r="L312" i="5" s="1"/>
  <c r="I312" i="5" a="1"/>
  <c r="I312" i="5" s="1"/>
  <c r="H312" i="5" a="1"/>
  <c r="H312" i="5" s="1"/>
  <c r="K312" i="5" a="1"/>
  <c r="K312" i="5" s="1"/>
  <c r="G312" i="5" a="1"/>
  <c r="G312" i="5" s="1"/>
  <c r="J312" i="5" a="1"/>
  <c r="J312" i="5" s="1"/>
  <c r="M312" i="5" a="1"/>
  <c r="M312" i="5" s="1"/>
  <c r="F313" i="5"/>
  <c r="T313" i="5" l="1" a="1"/>
  <c r="T313" i="5" s="1"/>
  <c r="AE313" i="5" a="1"/>
  <c r="AE313" i="5" s="1"/>
  <c r="P313" i="5" a="1"/>
  <c r="P313" i="5" s="1"/>
  <c r="AC313" i="5" a="1"/>
  <c r="AC313" i="5" s="1"/>
  <c r="Z313" i="5" a="1"/>
  <c r="Z313" i="5" s="1"/>
  <c r="W313" i="5" a="1"/>
  <c r="W313" i="5" s="1"/>
  <c r="AF313" i="5" a="1"/>
  <c r="AF313" i="5" s="1"/>
  <c r="U313" i="5" a="1"/>
  <c r="U313" i="5" s="1"/>
  <c r="AG313" i="5" a="1"/>
  <c r="AG313" i="5" s="1"/>
  <c r="O313" i="5" a="1"/>
  <c r="O313" i="5" s="1"/>
  <c r="V313" i="5" a="1"/>
  <c r="V313" i="5" s="1"/>
  <c r="Q313" i="5" a="1"/>
  <c r="Q313" i="5" s="1"/>
  <c r="X313" i="5" a="1"/>
  <c r="X313" i="5" s="1"/>
  <c r="AA313" i="5" a="1"/>
  <c r="AA313" i="5" s="1"/>
  <c r="R313" i="5" a="1"/>
  <c r="R313" i="5" s="1"/>
  <c r="Y313" i="5" a="1"/>
  <c r="Y313" i="5" s="1"/>
  <c r="S313" i="5" a="1"/>
  <c r="S313" i="5" s="1"/>
  <c r="AH313" i="5" a="1"/>
  <c r="AH313" i="5" s="1"/>
  <c r="AD313" i="5" a="1"/>
  <c r="AD313" i="5" s="1"/>
  <c r="N313" i="5" a="1"/>
  <c r="N313" i="5" s="1"/>
  <c r="AB313" i="5" a="1"/>
  <c r="AB313" i="5" s="1"/>
  <c r="K313" i="5" a="1"/>
  <c r="K313" i="5" s="1"/>
  <c r="L313" i="5" a="1"/>
  <c r="L313" i="5" s="1"/>
  <c r="G313" i="5" a="1"/>
  <c r="G313" i="5" s="1"/>
  <c r="I313" i="5" a="1"/>
  <c r="I313" i="5" s="1"/>
  <c r="H313" i="5" a="1"/>
  <c r="H313" i="5" s="1"/>
  <c r="J313" i="5" a="1"/>
  <c r="J313" i="5" s="1"/>
  <c r="M313" i="5" a="1"/>
  <c r="M313" i="5" s="1"/>
  <c r="F314" i="5"/>
  <c r="W84" i="9" l="1"/>
  <c r="T314" i="5" a="1"/>
  <c r="T314" i="5" s="1"/>
  <c r="O84" i="9" s="1"/>
  <c r="P314" i="5" a="1"/>
  <c r="P314" i="5" s="1"/>
  <c r="K84" i="9" s="1"/>
  <c r="AE314" i="5" a="1"/>
  <c r="AE314" i="5" s="1"/>
  <c r="AC314" i="5" a="1"/>
  <c r="AC314" i="5" s="1"/>
  <c r="W314" i="5" a="1"/>
  <c r="W314" i="5" s="1"/>
  <c r="R84" i="9" s="1"/>
  <c r="Z314" i="5" a="1"/>
  <c r="Z314" i="5" s="1"/>
  <c r="U84" i="9" s="1"/>
  <c r="AF314" i="5" a="1"/>
  <c r="AF314" i="5" s="1"/>
  <c r="AA84" i="9" s="1"/>
  <c r="U314" i="5" a="1"/>
  <c r="U314" i="5" s="1"/>
  <c r="P84" i="9" s="1"/>
  <c r="AG314" i="5" a="1"/>
  <c r="AG314" i="5" s="1"/>
  <c r="Q314" i="5" a="1"/>
  <c r="Q314" i="5" s="1"/>
  <c r="O314" i="5" a="1"/>
  <c r="O314" i="5" s="1"/>
  <c r="AA314" i="5" a="1"/>
  <c r="AA314" i="5" s="1"/>
  <c r="V84" i="9" s="1"/>
  <c r="V314" i="5" a="1"/>
  <c r="V314" i="5" s="1"/>
  <c r="Q84" i="9" s="1"/>
  <c r="X314" i="5" a="1"/>
  <c r="X314" i="5" s="1"/>
  <c r="S84" i="9" s="1"/>
  <c r="AD314" i="5" a="1"/>
  <c r="AD314" i="5" s="1"/>
  <c r="Y314" i="5" a="1"/>
  <c r="Y314" i="5" s="1"/>
  <c r="T84" i="9" s="1"/>
  <c r="N314" i="5" a="1"/>
  <c r="N314" i="5" s="1"/>
  <c r="AB314" i="5" a="1"/>
  <c r="AB314" i="5" s="1"/>
  <c r="AH314" i="5" a="1"/>
  <c r="AH314" i="5" s="1"/>
  <c r="R314" i="5" a="1"/>
  <c r="R314" i="5" s="1"/>
  <c r="S314" i="5" a="1"/>
  <c r="S314" i="5" s="1"/>
  <c r="G314" i="5" a="1"/>
  <c r="G314" i="5" s="1"/>
  <c r="H314" i="5" a="1"/>
  <c r="H314" i="5" s="1"/>
  <c r="K314" i="5" a="1"/>
  <c r="K314" i="5" s="1"/>
  <c r="L314" i="5" a="1"/>
  <c r="L314" i="5" s="1"/>
  <c r="I314" i="5" a="1"/>
  <c r="I314" i="5" s="1"/>
  <c r="J314" i="5" a="1"/>
  <c r="J314" i="5" s="1"/>
  <c r="M314" i="5" a="1"/>
  <c r="M314" i="5" s="1"/>
  <c r="H84" i="9" s="1"/>
  <c r="F315" i="5"/>
  <c r="T315" i="5" l="1" a="1"/>
  <c r="T315" i="5" s="1"/>
  <c r="P315" i="5" a="1"/>
  <c r="P315" i="5" s="1"/>
  <c r="AC315" i="5" a="1"/>
  <c r="AC315" i="5" s="1"/>
  <c r="AE315" i="5" a="1"/>
  <c r="AE315" i="5" s="1"/>
  <c r="U315" i="5" a="1"/>
  <c r="U315" i="5" s="1"/>
  <c r="AF315" i="5" a="1"/>
  <c r="AF315" i="5" s="1"/>
  <c r="Z315" i="5" a="1"/>
  <c r="Z315" i="5" s="1"/>
  <c r="W315" i="5" a="1"/>
  <c r="W315" i="5" s="1"/>
  <c r="Q315" i="5" a="1"/>
  <c r="Q315" i="5" s="1"/>
  <c r="X315" i="5" a="1"/>
  <c r="X315" i="5" s="1"/>
  <c r="O315" i="5" a="1"/>
  <c r="O315" i="5" s="1"/>
  <c r="AA315" i="5" a="1"/>
  <c r="AA315" i="5" s="1"/>
  <c r="AG315" i="5" a="1"/>
  <c r="AG315" i="5" s="1"/>
  <c r="AD315" i="5" a="1"/>
  <c r="AD315" i="5" s="1"/>
  <c r="Y315" i="5" a="1"/>
  <c r="Y315" i="5" s="1"/>
  <c r="R315" i="5" a="1"/>
  <c r="R315" i="5" s="1"/>
  <c r="N315" i="5" a="1"/>
  <c r="N315" i="5" s="1"/>
  <c r="AB315" i="5" a="1"/>
  <c r="AB315" i="5" s="1"/>
  <c r="S315" i="5" a="1"/>
  <c r="S315" i="5" s="1"/>
  <c r="AH315" i="5" a="1"/>
  <c r="AH315" i="5" s="1"/>
  <c r="V315" i="5" a="1"/>
  <c r="V315" i="5" s="1"/>
  <c r="G315" i="5" a="1"/>
  <c r="G315" i="5" s="1"/>
  <c r="K315" i="5" a="1"/>
  <c r="K315" i="5" s="1"/>
  <c r="L315" i="5" a="1"/>
  <c r="L315" i="5" s="1"/>
  <c r="I315" i="5" a="1"/>
  <c r="I315" i="5" s="1"/>
  <c r="H315" i="5" a="1"/>
  <c r="H315" i="5" s="1"/>
  <c r="J315" i="5" a="1"/>
  <c r="J315" i="5" s="1"/>
  <c r="M315" i="5" a="1"/>
  <c r="M315" i="5" s="1"/>
  <c r="F316" i="5"/>
  <c r="T316" i="5" l="1" a="1"/>
  <c r="T316" i="5" s="1"/>
  <c r="AC316" i="5" a="1"/>
  <c r="AC316" i="5" s="1"/>
  <c r="P316" i="5" a="1"/>
  <c r="P316" i="5" s="1"/>
  <c r="AE316" i="5" a="1"/>
  <c r="AE316" i="5" s="1"/>
  <c r="U316" i="5" a="1"/>
  <c r="U316" i="5" s="1"/>
  <c r="Z316" i="5" a="1"/>
  <c r="Z316" i="5" s="1"/>
  <c r="W316" i="5" a="1"/>
  <c r="W316" i="5" s="1"/>
  <c r="AF316" i="5" a="1"/>
  <c r="AF316" i="5" s="1"/>
  <c r="V316" i="5" a="1"/>
  <c r="V316" i="5" s="1"/>
  <c r="Q316" i="5" a="1"/>
  <c r="Q316" i="5" s="1"/>
  <c r="AG316" i="5" a="1"/>
  <c r="AG316" i="5" s="1"/>
  <c r="O316" i="5" a="1"/>
  <c r="O316" i="5" s="1"/>
  <c r="AA316" i="5" a="1"/>
  <c r="AA316" i="5" s="1"/>
  <c r="R316" i="5" a="1"/>
  <c r="R316" i="5" s="1"/>
  <c r="X316" i="5" a="1"/>
  <c r="X316" i="5" s="1"/>
  <c r="AH316" i="5" a="1"/>
  <c r="AH316" i="5" s="1"/>
  <c r="AD316" i="5" a="1"/>
  <c r="AD316" i="5" s="1"/>
  <c r="Y316" i="5" a="1"/>
  <c r="Y316" i="5" s="1"/>
  <c r="S316" i="5" a="1"/>
  <c r="S316" i="5" s="1"/>
  <c r="AB316" i="5" a="1"/>
  <c r="AB316" i="5" s="1"/>
  <c r="N316" i="5" a="1"/>
  <c r="N316" i="5" s="1"/>
  <c r="G316" i="5" a="1"/>
  <c r="G316" i="5" s="1"/>
  <c r="K316" i="5" a="1"/>
  <c r="K316" i="5" s="1"/>
  <c r="L316" i="5" a="1"/>
  <c r="L316" i="5" s="1"/>
  <c r="H316" i="5" a="1"/>
  <c r="H316" i="5" s="1"/>
  <c r="I316" i="5" a="1"/>
  <c r="I316" i="5" s="1"/>
  <c r="J316" i="5" a="1"/>
  <c r="J316" i="5" s="1"/>
  <c r="M316" i="5" a="1"/>
  <c r="M316" i="5" s="1"/>
  <c r="F317" i="5"/>
  <c r="AC317" i="5" l="1" a="1"/>
  <c r="AC317" i="5" s="1"/>
  <c r="T317" i="5" a="1"/>
  <c r="T317" i="5" s="1"/>
  <c r="P317" i="5" a="1"/>
  <c r="P317" i="5" s="1"/>
  <c r="AE317" i="5" a="1"/>
  <c r="AE317" i="5" s="1"/>
  <c r="U317" i="5" a="1"/>
  <c r="U317" i="5" s="1"/>
  <c r="W317" i="5" a="1"/>
  <c r="W317" i="5" s="1"/>
  <c r="Z317" i="5" a="1"/>
  <c r="Z317" i="5" s="1"/>
  <c r="AF317" i="5" a="1"/>
  <c r="AF317" i="5" s="1"/>
  <c r="Q317" i="5" a="1"/>
  <c r="Q317" i="5" s="1"/>
  <c r="O317" i="5" a="1"/>
  <c r="O317" i="5" s="1"/>
  <c r="R317" i="5" a="1"/>
  <c r="R317" i="5" s="1"/>
  <c r="AG317" i="5" a="1"/>
  <c r="AG317" i="5" s="1"/>
  <c r="AA317" i="5" a="1"/>
  <c r="AA317" i="5" s="1"/>
  <c r="X317" i="5" a="1"/>
  <c r="X317" i="5" s="1"/>
  <c r="AH317" i="5" a="1"/>
  <c r="AH317" i="5" s="1"/>
  <c r="N317" i="5" a="1"/>
  <c r="N317" i="5" s="1"/>
  <c r="AB317" i="5" a="1"/>
  <c r="AB317" i="5" s="1"/>
  <c r="S317" i="5" a="1"/>
  <c r="S317" i="5" s="1"/>
  <c r="V317" i="5" a="1"/>
  <c r="V317" i="5" s="1"/>
  <c r="Y317" i="5" a="1"/>
  <c r="Y317" i="5" s="1"/>
  <c r="AD317" i="5" a="1"/>
  <c r="AD317" i="5" s="1"/>
  <c r="G317" i="5" a="1"/>
  <c r="G317" i="5" s="1"/>
  <c r="H317" i="5" a="1"/>
  <c r="H317" i="5" s="1"/>
  <c r="L317" i="5" a="1"/>
  <c r="L317" i="5" s="1"/>
  <c r="I317" i="5" a="1"/>
  <c r="I317" i="5" s="1"/>
  <c r="J317" i="5" a="1"/>
  <c r="J317" i="5" s="1"/>
  <c r="K317" i="5" a="1"/>
  <c r="K317" i="5" s="1"/>
  <c r="M317" i="5" a="1"/>
  <c r="M317" i="5" s="1"/>
  <c r="F318" i="5"/>
  <c r="Z85" i="9" l="1"/>
  <c r="L85" i="9"/>
  <c r="P318" i="5" a="1"/>
  <c r="P318" i="5" s="1"/>
  <c r="AC318" i="5" a="1"/>
  <c r="AC318" i="5" s="1"/>
  <c r="T318" i="5" a="1"/>
  <c r="T318" i="5" s="1"/>
  <c r="O85" i="9" s="1"/>
  <c r="AE318" i="5" a="1"/>
  <c r="AE318" i="5" s="1"/>
  <c r="Z318" i="5" a="1"/>
  <c r="Z318" i="5" s="1"/>
  <c r="U85" i="9" s="1"/>
  <c r="W318" i="5" a="1"/>
  <c r="W318" i="5" s="1"/>
  <c r="R85" i="9" s="1"/>
  <c r="U318" i="5" a="1"/>
  <c r="U318" i="5" s="1"/>
  <c r="P85" i="9" s="1"/>
  <c r="AF318" i="5" a="1"/>
  <c r="AF318" i="5" s="1"/>
  <c r="AA318" i="5" a="1"/>
  <c r="AA318" i="5" s="1"/>
  <c r="V85" i="9" s="1"/>
  <c r="X318" i="5" a="1"/>
  <c r="X318" i="5" s="1"/>
  <c r="S85" i="9" s="1"/>
  <c r="O318" i="5" a="1"/>
  <c r="O318" i="5" s="1"/>
  <c r="AG318" i="5" a="1"/>
  <c r="AG318" i="5" s="1"/>
  <c r="V318" i="5" a="1"/>
  <c r="V318" i="5" s="1"/>
  <c r="Q85" i="9" s="1"/>
  <c r="Q318" i="5" a="1"/>
  <c r="Q318" i="5" s="1"/>
  <c r="Y318" i="5" a="1"/>
  <c r="Y318" i="5" s="1"/>
  <c r="T85" i="9" s="1"/>
  <c r="AH318" i="5" a="1"/>
  <c r="AH318" i="5" s="1"/>
  <c r="AB318" i="5" a="1"/>
  <c r="AB318" i="5" s="1"/>
  <c r="W85" i="9" s="1"/>
  <c r="R318" i="5" a="1"/>
  <c r="R318" i="5" s="1"/>
  <c r="N318" i="5" a="1"/>
  <c r="N318" i="5" s="1"/>
  <c r="AD318" i="5" a="1"/>
  <c r="AD318" i="5" s="1"/>
  <c r="S318" i="5" a="1"/>
  <c r="S318" i="5" s="1"/>
  <c r="N85" i="9" s="1"/>
  <c r="G318" i="5" a="1"/>
  <c r="G318" i="5" s="1"/>
  <c r="B85" i="9" s="1"/>
  <c r="L318" i="5" a="1"/>
  <c r="L318" i="5" s="1"/>
  <c r="I318" i="5" a="1"/>
  <c r="I318" i="5" s="1"/>
  <c r="K318" i="5" a="1"/>
  <c r="K318" i="5" s="1"/>
  <c r="H318" i="5" a="1"/>
  <c r="H318" i="5" s="1"/>
  <c r="J318" i="5" a="1"/>
  <c r="J318" i="5" s="1"/>
  <c r="M318" i="5" a="1"/>
  <c r="M318" i="5" s="1"/>
  <c r="F319" i="5"/>
  <c r="T319" i="5" l="1" a="1"/>
  <c r="T319" i="5" s="1"/>
  <c r="P319" i="5" a="1"/>
  <c r="P319" i="5" s="1"/>
  <c r="AE319" i="5" a="1"/>
  <c r="AE319" i="5" s="1"/>
  <c r="AC319" i="5" a="1"/>
  <c r="AC319" i="5" s="1"/>
  <c r="AF319" i="5" a="1"/>
  <c r="AF319" i="5" s="1"/>
  <c r="U319" i="5" a="1"/>
  <c r="U319" i="5" s="1"/>
  <c r="Z319" i="5" a="1"/>
  <c r="Z319" i="5" s="1"/>
  <c r="W319" i="5" a="1"/>
  <c r="W319" i="5" s="1"/>
  <c r="AA319" i="5" a="1"/>
  <c r="AA319" i="5" s="1"/>
  <c r="X319" i="5" a="1"/>
  <c r="X319" i="5" s="1"/>
  <c r="R319" i="5" a="1"/>
  <c r="R319" i="5" s="1"/>
  <c r="V319" i="5" a="1"/>
  <c r="V319" i="5" s="1"/>
  <c r="Q319" i="5" a="1"/>
  <c r="Q319" i="5" s="1"/>
  <c r="AG319" i="5" a="1"/>
  <c r="AG319" i="5" s="1"/>
  <c r="O319" i="5" a="1"/>
  <c r="O319" i="5" s="1"/>
  <c r="AD319" i="5" a="1"/>
  <c r="AD319" i="5" s="1"/>
  <c r="S319" i="5" a="1"/>
  <c r="S319" i="5" s="1"/>
  <c r="N319" i="5" a="1"/>
  <c r="N319" i="5" s="1"/>
  <c r="AH319" i="5" a="1"/>
  <c r="AH319" i="5" s="1"/>
  <c r="AB319" i="5" a="1"/>
  <c r="AB319" i="5" s="1"/>
  <c r="Y319" i="5" a="1"/>
  <c r="Y319" i="5" s="1"/>
  <c r="L319" i="5" a="1"/>
  <c r="L319" i="5" s="1"/>
  <c r="G319" i="5" a="1"/>
  <c r="G319" i="5" s="1"/>
  <c r="H319" i="5" a="1"/>
  <c r="H319" i="5" s="1"/>
  <c r="K319" i="5" a="1"/>
  <c r="K319" i="5" s="1"/>
  <c r="J319" i="5" a="1"/>
  <c r="J319" i="5" s="1"/>
  <c r="I319" i="5" a="1"/>
  <c r="I319" i="5" s="1"/>
  <c r="M319" i="5" a="1"/>
  <c r="M319" i="5" s="1"/>
  <c r="F320" i="5"/>
  <c r="T320" i="5" l="1" a="1"/>
  <c r="T320" i="5" s="1"/>
  <c r="AE320" i="5" a="1"/>
  <c r="AE320" i="5" s="1"/>
  <c r="AC320" i="5" a="1"/>
  <c r="AC320" i="5" s="1"/>
  <c r="P320" i="5" a="1"/>
  <c r="P320" i="5" s="1"/>
  <c r="W320" i="5" a="1"/>
  <c r="W320" i="5" s="1"/>
  <c r="Z320" i="5" a="1"/>
  <c r="Z320" i="5" s="1"/>
  <c r="U320" i="5" a="1"/>
  <c r="U320" i="5" s="1"/>
  <c r="AF320" i="5" a="1"/>
  <c r="AF320" i="5" s="1"/>
  <c r="V320" i="5" a="1"/>
  <c r="V320" i="5" s="1"/>
  <c r="R320" i="5" a="1"/>
  <c r="R320" i="5" s="1"/>
  <c r="Q320" i="5" a="1"/>
  <c r="Q320" i="5" s="1"/>
  <c r="AA320" i="5" a="1"/>
  <c r="AA320" i="5" s="1"/>
  <c r="X320" i="5" a="1"/>
  <c r="X320" i="5" s="1"/>
  <c r="O320" i="5" a="1"/>
  <c r="O320" i="5" s="1"/>
  <c r="AG320" i="5" a="1"/>
  <c r="AG320" i="5" s="1"/>
  <c r="Y320" i="5" a="1"/>
  <c r="Y320" i="5" s="1"/>
  <c r="AB320" i="5" a="1"/>
  <c r="AB320" i="5" s="1"/>
  <c r="AD320" i="5" a="1"/>
  <c r="AD320" i="5" s="1"/>
  <c r="S320" i="5" a="1"/>
  <c r="S320" i="5" s="1"/>
  <c r="N320" i="5" a="1"/>
  <c r="N320" i="5" s="1"/>
  <c r="AH320" i="5" a="1"/>
  <c r="AH320" i="5" s="1"/>
  <c r="G320" i="5" a="1"/>
  <c r="G320" i="5" s="1"/>
  <c r="L320" i="5" a="1"/>
  <c r="L320" i="5" s="1"/>
  <c r="H320" i="5" a="1"/>
  <c r="H320" i="5" s="1"/>
  <c r="K320" i="5" a="1"/>
  <c r="K320" i="5" s="1"/>
  <c r="I320" i="5" a="1"/>
  <c r="I320" i="5" s="1"/>
  <c r="J320" i="5" a="1"/>
  <c r="J320" i="5" s="1"/>
  <c r="M320" i="5" a="1"/>
  <c r="M320" i="5" s="1"/>
  <c r="F321" i="5"/>
  <c r="P321" i="5" l="1" a="1"/>
  <c r="P321" i="5" s="1"/>
  <c r="T321" i="5" a="1"/>
  <c r="T321" i="5" s="1"/>
  <c r="AE321" i="5" a="1"/>
  <c r="AE321" i="5" s="1"/>
  <c r="AC321" i="5" a="1"/>
  <c r="AC321" i="5" s="1"/>
  <c r="Z321" i="5" a="1"/>
  <c r="Z321" i="5" s="1"/>
  <c r="U321" i="5" a="1"/>
  <c r="U321" i="5" s="1"/>
  <c r="AF321" i="5" a="1"/>
  <c r="AF321" i="5" s="1"/>
  <c r="W321" i="5" a="1"/>
  <c r="W321" i="5" s="1"/>
  <c r="Q321" i="5" a="1"/>
  <c r="Q321" i="5" s="1"/>
  <c r="AG321" i="5" a="1"/>
  <c r="AG321" i="5" s="1"/>
  <c r="AA321" i="5" a="1"/>
  <c r="AA321" i="5" s="1"/>
  <c r="X321" i="5" a="1"/>
  <c r="X321" i="5" s="1"/>
  <c r="O321" i="5" a="1"/>
  <c r="O321" i="5" s="1"/>
  <c r="V321" i="5" a="1"/>
  <c r="V321" i="5" s="1"/>
  <c r="N321" i="5" a="1"/>
  <c r="N321" i="5" s="1"/>
  <c r="R321" i="5" a="1"/>
  <c r="R321" i="5" s="1"/>
  <c r="AD321" i="5" a="1"/>
  <c r="AD321" i="5" s="1"/>
  <c r="AH321" i="5" a="1"/>
  <c r="AH321" i="5" s="1"/>
  <c r="S321" i="5" a="1"/>
  <c r="S321" i="5" s="1"/>
  <c r="Y321" i="5" a="1"/>
  <c r="Y321" i="5" s="1"/>
  <c r="AB321" i="5" a="1"/>
  <c r="AB321" i="5" s="1"/>
  <c r="G321" i="5" a="1"/>
  <c r="G321" i="5" s="1"/>
  <c r="L321" i="5" a="1"/>
  <c r="L321" i="5" s="1"/>
  <c r="K321" i="5" a="1"/>
  <c r="K321" i="5" s="1"/>
  <c r="H321" i="5" a="1"/>
  <c r="H321" i="5" s="1"/>
  <c r="I321" i="5" a="1"/>
  <c r="I321" i="5" s="1"/>
  <c r="J321" i="5" a="1"/>
  <c r="J321" i="5" s="1"/>
  <c r="M321" i="5" a="1"/>
  <c r="M321" i="5" s="1"/>
  <c r="F322" i="5"/>
  <c r="B86" i="9" l="1"/>
  <c r="AC86" i="9"/>
  <c r="AE322" i="5" a="1"/>
  <c r="AE322" i="5" s="1"/>
  <c r="P322" i="5" a="1"/>
  <c r="P322" i="5" s="1"/>
  <c r="AC322" i="5" a="1"/>
  <c r="AC322" i="5" s="1"/>
  <c r="T322" i="5" a="1"/>
  <c r="T322" i="5" s="1"/>
  <c r="Z322" i="5" a="1"/>
  <c r="Z322" i="5" s="1"/>
  <c r="U86" i="9" s="1"/>
  <c r="W322" i="5" a="1"/>
  <c r="W322" i="5" s="1"/>
  <c r="R86" i="9" s="1"/>
  <c r="U322" i="5" a="1"/>
  <c r="U322" i="5" s="1"/>
  <c r="P86" i="9" s="1"/>
  <c r="AF322" i="5" a="1"/>
  <c r="AF322" i="5" s="1"/>
  <c r="X322" i="5" a="1"/>
  <c r="X322" i="5" s="1"/>
  <c r="S86" i="9" s="1"/>
  <c r="AA322" i="5" a="1"/>
  <c r="AA322" i="5" s="1"/>
  <c r="V86" i="9" s="1"/>
  <c r="AD322" i="5" a="1"/>
  <c r="AD322" i="5" s="1"/>
  <c r="Q322" i="5" a="1"/>
  <c r="Q322" i="5" s="1"/>
  <c r="O322" i="5" a="1"/>
  <c r="O322" i="5" s="1"/>
  <c r="J86" i="9" s="1"/>
  <c r="AG322" i="5" a="1"/>
  <c r="AG322" i="5" s="1"/>
  <c r="V322" i="5" a="1"/>
  <c r="V322" i="5" s="1"/>
  <c r="Q86" i="9" s="1"/>
  <c r="S322" i="5" a="1"/>
  <c r="S322" i="5" s="1"/>
  <c r="AH322" i="5" a="1"/>
  <c r="AH322" i="5" s="1"/>
  <c r="N322" i="5" a="1"/>
  <c r="N322" i="5" s="1"/>
  <c r="AB322" i="5" a="1"/>
  <c r="AB322" i="5" s="1"/>
  <c r="R322" i="5" a="1"/>
  <c r="R322" i="5" s="1"/>
  <c r="M86" i="9" s="1"/>
  <c r="Y322" i="5" a="1"/>
  <c r="Y322" i="5" s="1"/>
  <c r="T86" i="9" s="1"/>
  <c r="G322" i="5" a="1"/>
  <c r="G322" i="5" s="1"/>
  <c r="L322" i="5" a="1"/>
  <c r="L322" i="5" s="1"/>
  <c r="H322" i="5" a="1"/>
  <c r="H322" i="5" s="1"/>
  <c r="K322" i="5" a="1"/>
  <c r="K322" i="5" s="1"/>
  <c r="I322" i="5" a="1"/>
  <c r="I322" i="5" s="1"/>
  <c r="J322" i="5" a="1"/>
  <c r="J322" i="5" s="1"/>
  <c r="M322" i="5" a="1"/>
  <c r="M322" i="5" s="1"/>
  <c r="F323" i="5"/>
  <c r="AE323" i="5" l="1" a="1"/>
  <c r="AE323" i="5" s="1"/>
  <c r="AC323" i="5" a="1"/>
  <c r="AC323" i="5" s="1"/>
  <c r="P323" i="5" a="1"/>
  <c r="P323" i="5" s="1"/>
  <c r="T323" i="5" a="1"/>
  <c r="T323" i="5" s="1"/>
  <c r="W323" i="5" a="1"/>
  <c r="W323" i="5" s="1"/>
  <c r="AF323" i="5" a="1"/>
  <c r="AF323" i="5" s="1"/>
  <c r="U323" i="5" a="1"/>
  <c r="U323" i="5" s="1"/>
  <c r="Z323" i="5" a="1"/>
  <c r="Z323" i="5" s="1"/>
  <c r="Q323" i="5" a="1"/>
  <c r="Q323" i="5" s="1"/>
  <c r="V323" i="5" a="1"/>
  <c r="V323" i="5" s="1"/>
  <c r="AA323" i="5" a="1"/>
  <c r="AA323" i="5" s="1"/>
  <c r="X323" i="5" a="1"/>
  <c r="X323" i="5" s="1"/>
  <c r="AD323" i="5" a="1"/>
  <c r="AD323" i="5" s="1"/>
  <c r="O323" i="5" a="1"/>
  <c r="O323" i="5" s="1"/>
  <c r="AG323" i="5" a="1"/>
  <c r="AG323" i="5" s="1"/>
  <c r="AH323" i="5" a="1"/>
  <c r="AH323" i="5" s="1"/>
  <c r="R323" i="5" a="1"/>
  <c r="R323" i="5" s="1"/>
  <c r="S323" i="5" a="1"/>
  <c r="S323" i="5" s="1"/>
  <c r="AB323" i="5" a="1"/>
  <c r="AB323" i="5" s="1"/>
  <c r="Y323" i="5" a="1"/>
  <c r="Y323" i="5" s="1"/>
  <c r="N323" i="5" a="1"/>
  <c r="N323" i="5" s="1"/>
  <c r="G323" i="5" a="1"/>
  <c r="G323" i="5" s="1"/>
  <c r="L323" i="5" a="1"/>
  <c r="L323" i="5" s="1"/>
  <c r="K323" i="5" a="1"/>
  <c r="K323" i="5" s="1"/>
  <c r="H323" i="5" a="1"/>
  <c r="H323" i="5" s="1"/>
  <c r="J323" i="5" a="1"/>
  <c r="J323" i="5" s="1"/>
  <c r="I323" i="5" a="1"/>
  <c r="I323" i="5" s="1"/>
  <c r="M323" i="5" a="1"/>
  <c r="M323" i="5" s="1"/>
  <c r="F324" i="5"/>
  <c r="T324" i="5" l="1" a="1"/>
  <c r="T324" i="5" s="1"/>
  <c r="P324" i="5" a="1"/>
  <c r="P324" i="5" s="1"/>
  <c r="AC324" i="5" a="1"/>
  <c r="AC324" i="5" s="1"/>
  <c r="AE324" i="5" a="1"/>
  <c r="AE324" i="5" s="1"/>
  <c r="Z324" i="5" a="1"/>
  <c r="Z324" i="5" s="1"/>
  <c r="W324" i="5" a="1"/>
  <c r="W324" i="5" s="1"/>
  <c r="U324" i="5" a="1"/>
  <c r="U324" i="5" s="1"/>
  <c r="AF324" i="5" a="1"/>
  <c r="AF324" i="5" s="1"/>
  <c r="AA324" i="5" a="1"/>
  <c r="AA324" i="5" s="1"/>
  <c r="O324" i="5" a="1"/>
  <c r="O324" i="5" s="1"/>
  <c r="V324" i="5" a="1"/>
  <c r="V324" i="5" s="1"/>
  <c r="X324" i="5" a="1"/>
  <c r="X324" i="5" s="1"/>
  <c r="AG324" i="5" a="1"/>
  <c r="AG324" i="5" s="1"/>
  <c r="Q324" i="5" a="1"/>
  <c r="Q324" i="5" s="1"/>
  <c r="AD324" i="5" a="1"/>
  <c r="AD324" i="5" s="1"/>
  <c r="AB324" i="5" a="1"/>
  <c r="AB324" i="5" s="1"/>
  <c r="N324" i="5" a="1"/>
  <c r="N324" i="5" s="1"/>
  <c r="R324" i="5" a="1"/>
  <c r="R324" i="5" s="1"/>
  <c r="Y324" i="5" a="1"/>
  <c r="Y324" i="5" s="1"/>
  <c r="S324" i="5" a="1"/>
  <c r="S324" i="5" s="1"/>
  <c r="AH324" i="5" a="1"/>
  <c r="AH324" i="5" s="1"/>
  <c r="G324" i="5" a="1"/>
  <c r="G324" i="5" s="1"/>
  <c r="L324" i="5" a="1"/>
  <c r="L324" i="5" s="1"/>
  <c r="H324" i="5" a="1"/>
  <c r="H324" i="5" s="1"/>
  <c r="K324" i="5" a="1"/>
  <c r="K324" i="5" s="1"/>
  <c r="I324" i="5" a="1"/>
  <c r="I324" i="5" s="1"/>
  <c r="J324" i="5" a="1"/>
  <c r="J324" i="5" s="1"/>
  <c r="M324" i="5" a="1"/>
  <c r="M324" i="5" s="1"/>
  <c r="F325" i="5"/>
  <c r="T325" i="5" l="1" a="1"/>
  <c r="T325" i="5" s="1"/>
  <c r="AE325" i="5" a="1"/>
  <c r="AE325" i="5" s="1"/>
  <c r="P325" i="5" a="1"/>
  <c r="P325" i="5" s="1"/>
  <c r="AC325" i="5" a="1"/>
  <c r="AC325" i="5" s="1"/>
  <c r="Z325" i="5" a="1"/>
  <c r="Z325" i="5" s="1"/>
  <c r="U325" i="5" a="1"/>
  <c r="U325" i="5" s="1"/>
  <c r="AF325" i="5" a="1"/>
  <c r="AF325" i="5" s="1"/>
  <c r="W325" i="5" a="1"/>
  <c r="W325" i="5" s="1"/>
  <c r="R325" i="5" a="1"/>
  <c r="R325" i="5" s="1"/>
  <c r="Q325" i="5" a="1"/>
  <c r="Q325" i="5" s="1"/>
  <c r="X325" i="5" a="1"/>
  <c r="X325" i="5" s="1"/>
  <c r="V325" i="5" a="1"/>
  <c r="V325" i="5" s="1"/>
  <c r="AA325" i="5" a="1"/>
  <c r="AA325" i="5" s="1"/>
  <c r="AG325" i="5" a="1"/>
  <c r="AG325" i="5" s="1"/>
  <c r="O325" i="5" a="1"/>
  <c r="O325" i="5" s="1"/>
  <c r="S325" i="5" a="1"/>
  <c r="S325" i="5" s="1"/>
  <c r="AB325" i="5" a="1"/>
  <c r="AB325" i="5" s="1"/>
  <c r="AH325" i="5" a="1"/>
  <c r="AH325" i="5" s="1"/>
  <c r="N325" i="5" a="1"/>
  <c r="N325" i="5" s="1"/>
  <c r="AD325" i="5" a="1"/>
  <c r="AD325" i="5" s="1"/>
  <c r="Y325" i="5" a="1"/>
  <c r="Y325" i="5" s="1"/>
  <c r="G325" i="5" a="1"/>
  <c r="G325" i="5" s="1"/>
  <c r="K325" i="5" a="1"/>
  <c r="K325" i="5" s="1"/>
  <c r="L325" i="5" a="1"/>
  <c r="L325" i="5" s="1"/>
  <c r="H325" i="5" a="1"/>
  <c r="H325" i="5" s="1"/>
  <c r="I325" i="5" a="1"/>
  <c r="I325" i="5" s="1"/>
  <c r="J325" i="5" a="1"/>
  <c r="J325" i="5" s="1"/>
  <c r="M325" i="5" a="1"/>
  <c r="M325" i="5" s="1"/>
  <c r="F326" i="5"/>
  <c r="H87" i="9" l="1"/>
  <c r="Z87" i="9"/>
  <c r="T326" i="5" a="1"/>
  <c r="T326" i="5" s="1"/>
  <c r="P326" i="5" a="1"/>
  <c r="P326" i="5" s="1"/>
  <c r="AC326" i="5" a="1"/>
  <c r="AC326" i="5" s="1"/>
  <c r="AE326" i="5" a="1"/>
  <c r="AE326" i="5" s="1"/>
  <c r="W326" i="5" a="1"/>
  <c r="W326" i="5" s="1"/>
  <c r="R87" i="9" s="1"/>
  <c r="AF326" i="5" a="1"/>
  <c r="AF326" i="5" s="1"/>
  <c r="U326" i="5" a="1"/>
  <c r="U326" i="5" s="1"/>
  <c r="P87" i="9" s="1"/>
  <c r="Z326" i="5" a="1"/>
  <c r="Z326" i="5" s="1"/>
  <c r="U87" i="9" s="1"/>
  <c r="AG326" i="5" a="1"/>
  <c r="AG326" i="5" s="1"/>
  <c r="R326" i="5" a="1"/>
  <c r="R326" i="5" s="1"/>
  <c r="M87" i="9" s="1"/>
  <c r="Q326" i="5" a="1"/>
  <c r="Q326" i="5" s="1"/>
  <c r="L87" i="9" s="1"/>
  <c r="O326" i="5" a="1"/>
  <c r="O326" i="5" s="1"/>
  <c r="AD326" i="5" a="1"/>
  <c r="AD326" i="5" s="1"/>
  <c r="X326" i="5" a="1"/>
  <c r="X326" i="5" s="1"/>
  <c r="S87" i="9" s="1"/>
  <c r="AA326" i="5" a="1"/>
  <c r="AA326" i="5" s="1"/>
  <c r="V87" i="9" s="1"/>
  <c r="V326" i="5" a="1"/>
  <c r="V326" i="5" s="1"/>
  <c r="Q87" i="9" s="1"/>
  <c r="S326" i="5" a="1"/>
  <c r="S326" i="5" s="1"/>
  <c r="AB326" i="5" a="1"/>
  <c r="AB326" i="5" s="1"/>
  <c r="Y326" i="5" a="1"/>
  <c r="Y326" i="5" s="1"/>
  <c r="T87" i="9" s="1"/>
  <c r="N326" i="5" a="1"/>
  <c r="N326" i="5" s="1"/>
  <c r="AH326" i="5" a="1"/>
  <c r="AH326" i="5" s="1"/>
  <c r="H326" i="5" a="1"/>
  <c r="H326" i="5" s="1"/>
  <c r="K326" i="5" a="1"/>
  <c r="K326" i="5" s="1"/>
  <c r="G326" i="5" a="1"/>
  <c r="G326" i="5" s="1"/>
  <c r="L326" i="5" a="1"/>
  <c r="L326" i="5" s="1"/>
  <c r="I326" i="5" a="1"/>
  <c r="I326" i="5" s="1"/>
  <c r="J326" i="5" a="1"/>
  <c r="J326" i="5" s="1"/>
  <c r="M326" i="5" a="1"/>
  <c r="M326" i="5" s="1"/>
  <c r="F327" i="5"/>
  <c r="T327" i="5" l="1" a="1"/>
  <c r="T327" i="5" s="1"/>
  <c r="AE327" i="5" a="1"/>
  <c r="AE327" i="5" s="1"/>
  <c r="P327" i="5" a="1"/>
  <c r="P327" i="5" s="1"/>
  <c r="AC327" i="5" a="1"/>
  <c r="AC327" i="5" s="1"/>
  <c r="Z327" i="5" a="1"/>
  <c r="Z327" i="5" s="1"/>
  <c r="U327" i="5" a="1"/>
  <c r="U327" i="5" s="1"/>
  <c r="W327" i="5" a="1"/>
  <c r="W327" i="5" s="1"/>
  <c r="AF327" i="5" a="1"/>
  <c r="AF327" i="5" s="1"/>
  <c r="Q327" i="5" a="1"/>
  <c r="Q327" i="5" s="1"/>
  <c r="AA327" i="5" a="1"/>
  <c r="AA327" i="5" s="1"/>
  <c r="V327" i="5" a="1"/>
  <c r="V327" i="5" s="1"/>
  <c r="AD327" i="5" a="1"/>
  <c r="AD327" i="5" s="1"/>
  <c r="AG327" i="5" a="1"/>
  <c r="AG327" i="5" s="1"/>
  <c r="X327" i="5" a="1"/>
  <c r="X327" i="5" s="1"/>
  <c r="O327" i="5" a="1"/>
  <c r="O327" i="5" s="1"/>
  <c r="AB327" i="5" a="1"/>
  <c r="AB327" i="5" s="1"/>
  <c r="N327" i="5" a="1"/>
  <c r="N327" i="5" s="1"/>
  <c r="AH327" i="5" a="1"/>
  <c r="AH327" i="5" s="1"/>
  <c r="R327" i="5" a="1"/>
  <c r="R327" i="5" s="1"/>
  <c r="S327" i="5" a="1"/>
  <c r="S327" i="5" s="1"/>
  <c r="Y327" i="5" a="1"/>
  <c r="Y327" i="5" s="1"/>
  <c r="G327" i="5" a="1"/>
  <c r="G327" i="5" s="1"/>
  <c r="L327" i="5" a="1"/>
  <c r="L327" i="5" s="1"/>
  <c r="K327" i="5" a="1"/>
  <c r="K327" i="5" s="1"/>
  <c r="H327" i="5" a="1"/>
  <c r="H327" i="5" s="1"/>
  <c r="J327" i="5" a="1"/>
  <c r="J327" i="5" s="1"/>
  <c r="I327" i="5" a="1"/>
  <c r="I327" i="5" s="1"/>
  <c r="M327" i="5" a="1"/>
  <c r="M327" i="5" s="1"/>
  <c r="F328" i="5"/>
  <c r="AE328" i="5" l="1" a="1"/>
  <c r="AE328" i="5" s="1"/>
  <c r="T328" i="5" a="1"/>
  <c r="T328" i="5" s="1"/>
  <c r="P328" i="5" a="1"/>
  <c r="P328" i="5" s="1"/>
  <c r="AC328" i="5" a="1"/>
  <c r="AC328" i="5" s="1"/>
  <c r="Z328" i="5" a="1"/>
  <c r="Z328" i="5" s="1"/>
  <c r="W328" i="5" a="1"/>
  <c r="W328" i="5" s="1"/>
  <c r="AF328" i="5" a="1"/>
  <c r="AF328" i="5" s="1"/>
  <c r="U328" i="5" a="1"/>
  <c r="U328" i="5" s="1"/>
  <c r="O328" i="5" a="1"/>
  <c r="O328" i="5" s="1"/>
  <c r="V328" i="5" a="1"/>
  <c r="V328" i="5" s="1"/>
  <c r="AG328" i="5" a="1"/>
  <c r="AG328" i="5" s="1"/>
  <c r="R328" i="5" a="1"/>
  <c r="R328" i="5" s="1"/>
  <c r="Q328" i="5" a="1"/>
  <c r="Q328" i="5" s="1"/>
  <c r="AA328" i="5" a="1"/>
  <c r="AA328" i="5" s="1"/>
  <c r="X328" i="5" a="1"/>
  <c r="X328" i="5" s="1"/>
  <c r="AH328" i="5" a="1"/>
  <c r="AH328" i="5" s="1"/>
  <c r="S328" i="5" a="1"/>
  <c r="S328" i="5" s="1"/>
  <c r="Y328" i="5" a="1"/>
  <c r="Y328" i="5" s="1"/>
  <c r="AD328" i="5" a="1"/>
  <c r="AD328" i="5" s="1"/>
  <c r="N328" i="5" a="1"/>
  <c r="N328" i="5" s="1"/>
  <c r="AB328" i="5" a="1"/>
  <c r="AB328" i="5" s="1"/>
  <c r="G328" i="5" a="1"/>
  <c r="G328" i="5" s="1"/>
  <c r="K328" i="5" a="1"/>
  <c r="K328" i="5" s="1"/>
  <c r="L328" i="5" a="1"/>
  <c r="L328" i="5" s="1"/>
  <c r="H328" i="5" a="1"/>
  <c r="H328" i="5" s="1"/>
  <c r="I328" i="5" a="1"/>
  <c r="I328" i="5" s="1"/>
  <c r="J328" i="5" a="1"/>
  <c r="J328" i="5" s="1"/>
  <c r="M328" i="5" a="1"/>
  <c r="M328" i="5" s="1"/>
  <c r="F329" i="5"/>
  <c r="AE329" i="5" l="1" a="1"/>
  <c r="AE329" i="5" s="1"/>
  <c r="T329" i="5" a="1"/>
  <c r="T329" i="5" s="1"/>
  <c r="AC329" i="5" a="1"/>
  <c r="AC329" i="5" s="1"/>
  <c r="P329" i="5" a="1"/>
  <c r="P329" i="5" s="1"/>
  <c r="AF329" i="5" a="1"/>
  <c r="AF329" i="5" s="1"/>
  <c r="Z329" i="5" a="1"/>
  <c r="Z329" i="5" s="1"/>
  <c r="U329" i="5" a="1"/>
  <c r="U329" i="5" s="1"/>
  <c r="W329" i="5" a="1"/>
  <c r="W329" i="5" s="1"/>
  <c r="AG329" i="5" a="1"/>
  <c r="AG329" i="5" s="1"/>
  <c r="AA329" i="5" a="1"/>
  <c r="AA329" i="5" s="1"/>
  <c r="V329" i="5" a="1"/>
  <c r="V329" i="5" s="1"/>
  <c r="R329" i="5" a="1"/>
  <c r="R329" i="5" s="1"/>
  <c r="X329" i="5" a="1"/>
  <c r="X329" i="5" s="1"/>
  <c r="O329" i="5" a="1"/>
  <c r="O329" i="5" s="1"/>
  <c r="Q329" i="5" a="1"/>
  <c r="Q329" i="5" s="1"/>
  <c r="S329" i="5" a="1"/>
  <c r="S329" i="5" s="1"/>
  <c r="AH329" i="5" a="1"/>
  <c r="AH329" i="5" s="1"/>
  <c r="N329" i="5" a="1"/>
  <c r="N329" i="5" s="1"/>
  <c r="Y329" i="5" a="1"/>
  <c r="Y329" i="5" s="1"/>
  <c r="AB329" i="5" a="1"/>
  <c r="AB329" i="5" s="1"/>
  <c r="AD329" i="5" a="1"/>
  <c r="AD329" i="5" s="1"/>
  <c r="G329" i="5" a="1"/>
  <c r="G329" i="5" s="1"/>
  <c r="K329" i="5" a="1"/>
  <c r="K329" i="5" s="1"/>
  <c r="L329" i="5" a="1"/>
  <c r="L329" i="5" s="1"/>
  <c r="H329" i="5" a="1"/>
  <c r="H329" i="5" s="1"/>
  <c r="J329" i="5" a="1"/>
  <c r="J329" i="5" s="1"/>
  <c r="I329" i="5" a="1"/>
  <c r="I329" i="5" s="1"/>
  <c r="M329" i="5" a="1"/>
  <c r="M329" i="5" s="1"/>
  <c r="F330" i="5"/>
  <c r="M88" i="9" l="1"/>
  <c r="E88" i="9"/>
  <c r="O88" i="9"/>
  <c r="P330" i="5" a="1"/>
  <c r="P330" i="5" s="1"/>
  <c r="T330" i="5" a="1"/>
  <c r="T330" i="5" s="1"/>
  <c r="AE330" i="5" a="1"/>
  <c r="AE330" i="5" s="1"/>
  <c r="Z88" i="9" s="1"/>
  <c r="AC330" i="5" a="1"/>
  <c r="AC330" i="5" s="1"/>
  <c r="AF330" i="5" a="1"/>
  <c r="AF330" i="5" s="1"/>
  <c r="W330" i="5" a="1"/>
  <c r="W330" i="5" s="1"/>
  <c r="R88" i="9" s="1"/>
  <c r="Z330" i="5" a="1"/>
  <c r="Z330" i="5" s="1"/>
  <c r="U88" i="9" s="1"/>
  <c r="U330" i="5" a="1"/>
  <c r="U330" i="5" s="1"/>
  <c r="P88" i="9" s="1"/>
  <c r="V330" i="5" a="1"/>
  <c r="V330" i="5" s="1"/>
  <c r="Q88" i="9" s="1"/>
  <c r="R330" i="5" a="1"/>
  <c r="R330" i="5" s="1"/>
  <c r="AA330" i="5" a="1"/>
  <c r="AA330" i="5" s="1"/>
  <c r="V88" i="9" s="1"/>
  <c r="AG330" i="5" a="1"/>
  <c r="AG330" i="5" s="1"/>
  <c r="AB88" i="9" s="1"/>
  <c r="O330" i="5" a="1"/>
  <c r="O330" i="5" s="1"/>
  <c r="Q330" i="5" a="1"/>
  <c r="Q330" i="5" s="1"/>
  <c r="X330" i="5" a="1"/>
  <c r="X330" i="5" s="1"/>
  <c r="S88" i="9" s="1"/>
  <c r="AB330" i="5" a="1"/>
  <c r="AB330" i="5" s="1"/>
  <c r="Y330" i="5" a="1"/>
  <c r="Y330" i="5" s="1"/>
  <c r="T88" i="9" s="1"/>
  <c r="N330" i="5" a="1"/>
  <c r="N330" i="5" s="1"/>
  <c r="AH330" i="5" a="1"/>
  <c r="AH330" i="5" s="1"/>
  <c r="AC88" i="9" s="1"/>
  <c r="S330" i="5" a="1"/>
  <c r="S330" i="5" s="1"/>
  <c r="AD330" i="5" a="1"/>
  <c r="AD330" i="5" s="1"/>
  <c r="G330" i="5" a="1"/>
  <c r="G330" i="5" s="1"/>
  <c r="K330" i="5" a="1"/>
  <c r="K330" i="5" s="1"/>
  <c r="H330" i="5" a="1"/>
  <c r="H330" i="5" s="1"/>
  <c r="L330" i="5" a="1"/>
  <c r="L330" i="5" s="1"/>
  <c r="J330" i="5" a="1"/>
  <c r="J330" i="5" s="1"/>
  <c r="I330" i="5" a="1"/>
  <c r="I330" i="5" s="1"/>
  <c r="M330" i="5" a="1"/>
  <c r="M330" i="5" s="1"/>
  <c r="F331" i="5"/>
  <c r="P331" i="5" l="1" a="1"/>
  <c r="P331" i="5" s="1"/>
  <c r="AC331" i="5" a="1"/>
  <c r="AC331" i="5" s="1"/>
  <c r="AE331" i="5" a="1"/>
  <c r="AE331" i="5" s="1"/>
  <c r="T331" i="5" a="1"/>
  <c r="T331" i="5" s="1"/>
  <c r="U331" i="5" a="1"/>
  <c r="U331" i="5" s="1"/>
  <c r="W331" i="5" a="1"/>
  <c r="W331" i="5" s="1"/>
  <c r="Z331" i="5" a="1"/>
  <c r="Z331" i="5" s="1"/>
  <c r="AF331" i="5" a="1"/>
  <c r="AF331" i="5" s="1"/>
  <c r="AG331" i="5" a="1"/>
  <c r="AG331" i="5" s="1"/>
  <c r="AD331" i="5" a="1"/>
  <c r="AD331" i="5" s="1"/>
  <c r="O331" i="5" a="1"/>
  <c r="O331" i="5" s="1"/>
  <c r="V331" i="5" a="1"/>
  <c r="V331" i="5" s="1"/>
  <c r="Q331" i="5" a="1"/>
  <c r="Q331" i="5" s="1"/>
  <c r="AA331" i="5" a="1"/>
  <c r="AA331" i="5" s="1"/>
  <c r="X331" i="5" a="1"/>
  <c r="X331" i="5" s="1"/>
  <c r="AH331" i="5" a="1"/>
  <c r="AH331" i="5" s="1"/>
  <c r="S331" i="5" a="1"/>
  <c r="S331" i="5" s="1"/>
  <c r="R331" i="5" a="1"/>
  <c r="R331" i="5" s="1"/>
  <c r="N331" i="5" a="1"/>
  <c r="N331" i="5" s="1"/>
  <c r="Y331" i="5" a="1"/>
  <c r="Y331" i="5" s="1"/>
  <c r="AB331" i="5" a="1"/>
  <c r="AB331" i="5" s="1"/>
  <c r="G331" i="5" a="1"/>
  <c r="G331" i="5" s="1"/>
  <c r="K331" i="5" a="1"/>
  <c r="K331" i="5" s="1"/>
  <c r="L331" i="5" a="1"/>
  <c r="L331" i="5" s="1"/>
  <c r="I331" i="5" a="1"/>
  <c r="I331" i="5" s="1"/>
  <c r="J331" i="5" a="1"/>
  <c r="J331" i="5" s="1"/>
  <c r="H331" i="5" a="1"/>
  <c r="H331" i="5" s="1"/>
  <c r="M331" i="5" a="1"/>
  <c r="M331" i="5" s="1"/>
  <c r="F332" i="5"/>
  <c r="AE332" i="5" l="1" a="1"/>
  <c r="AE332" i="5" s="1"/>
  <c r="T332" i="5" a="1"/>
  <c r="T332" i="5" s="1"/>
  <c r="P332" i="5" a="1"/>
  <c r="P332" i="5" s="1"/>
  <c r="AC332" i="5" a="1"/>
  <c r="AC332" i="5" s="1"/>
  <c r="U332" i="5" a="1"/>
  <c r="U332" i="5" s="1"/>
  <c r="W332" i="5" a="1"/>
  <c r="W332" i="5" s="1"/>
  <c r="AF332" i="5" a="1"/>
  <c r="AF332" i="5" s="1"/>
  <c r="Z332" i="5" a="1"/>
  <c r="Z332" i="5" s="1"/>
  <c r="Q332" i="5" a="1"/>
  <c r="Q332" i="5" s="1"/>
  <c r="O332" i="5" a="1"/>
  <c r="O332" i="5" s="1"/>
  <c r="AG332" i="5" a="1"/>
  <c r="AG332" i="5" s="1"/>
  <c r="X332" i="5" a="1"/>
  <c r="X332" i="5" s="1"/>
  <c r="AA332" i="5" a="1"/>
  <c r="AA332" i="5" s="1"/>
  <c r="R332" i="5" a="1"/>
  <c r="R332" i="5" s="1"/>
  <c r="V332" i="5" a="1"/>
  <c r="V332" i="5" s="1"/>
  <c r="AD332" i="5" a="1"/>
  <c r="AD332" i="5" s="1"/>
  <c r="AB332" i="5" a="1"/>
  <c r="AB332" i="5" s="1"/>
  <c r="N332" i="5" a="1"/>
  <c r="N332" i="5" s="1"/>
  <c r="S332" i="5" a="1"/>
  <c r="S332" i="5" s="1"/>
  <c r="Y332" i="5" a="1"/>
  <c r="Y332" i="5" s="1"/>
  <c r="AH332" i="5" a="1"/>
  <c r="AH332" i="5" s="1"/>
  <c r="L332" i="5" a="1"/>
  <c r="L332" i="5" s="1"/>
  <c r="I332" i="5" a="1"/>
  <c r="I332" i="5" s="1"/>
  <c r="G332" i="5" a="1"/>
  <c r="G332" i="5" s="1"/>
  <c r="K332" i="5" a="1"/>
  <c r="K332" i="5" s="1"/>
  <c r="H332" i="5" a="1"/>
  <c r="H332" i="5" s="1"/>
  <c r="J332" i="5" a="1"/>
  <c r="J332" i="5" s="1"/>
  <c r="M332" i="5" a="1"/>
  <c r="M332" i="5" s="1"/>
  <c r="F333" i="5"/>
  <c r="AE333" i="5" l="1" a="1"/>
  <c r="AE333" i="5" s="1"/>
  <c r="AC333" i="5" a="1"/>
  <c r="AC333" i="5" s="1"/>
  <c r="P333" i="5" a="1"/>
  <c r="P333" i="5" s="1"/>
  <c r="T333" i="5" a="1"/>
  <c r="T333" i="5" s="1"/>
  <c r="Z333" i="5" a="1"/>
  <c r="Z333" i="5" s="1"/>
  <c r="W333" i="5" a="1"/>
  <c r="W333" i="5" s="1"/>
  <c r="AF333" i="5" a="1"/>
  <c r="AF333" i="5" s="1"/>
  <c r="U333" i="5" a="1"/>
  <c r="U333" i="5" s="1"/>
  <c r="AA333" i="5" a="1"/>
  <c r="AA333" i="5" s="1"/>
  <c r="X333" i="5" a="1"/>
  <c r="X333" i="5" s="1"/>
  <c r="O333" i="5" a="1"/>
  <c r="O333" i="5" s="1"/>
  <c r="Q333" i="5" a="1"/>
  <c r="Q333" i="5" s="1"/>
  <c r="AG333" i="5" a="1"/>
  <c r="AG333" i="5" s="1"/>
  <c r="V333" i="5" a="1"/>
  <c r="V333" i="5" s="1"/>
  <c r="AB333" i="5" a="1"/>
  <c r="AB333" i="5" s="1"/>
  <c r="Y333" i="5" a="1"/>
  <c r="Y333" i="5" s="1"/>
  <c r="AD333" i="5" a="1"/>
  <c r="AD333" i="5" s="1"/>
  <c r="S333" i="5" a="1"/>
  <c r="S333" i="5" s="1"/>
  <c r="N333" i="5" a="1"/>
  <c r="N333" i="5" s="1"/>
  <c r="AH333" i="5" a="1"/>
  <c r="AH333" i="5" s="1"/>
  <c r="R333" i="5" a="1"/>
  <c r="R333" i="5" s="1"/>
  <c r="G333" i="5" a="1"/>
  <c r="G333" i="5" s="1"/>
  <c r="L333" i="5" a="1"/>
  <c r="L333" i="5" s="1"/>
  <c r="K333" i="5" a="1"/>
  <c r="K333" i="5" s="1"/>
  <c r="H333" i="5" a="1"/>
  <c r="H333" i="5" s="1"/>
  <c r="J333" i="5" a="1"/>
  <c r="J333" i="5" s="1"/>
  <c r="I333" i="5" a="1"/>
  <c r="I333" i="5" s="1"/>
  <c r="M333" i="5" a="1"/>
  <c r="M333" i="5" s="1"/>
  <c r="F334" i="5"/>
  <c r="L89" i="9" l="1"/>
  <c r="C89" i="9"/>
  <c r="P334" i="5" a="1"/>
  <c r="P334" i="5" s="1"/>
  <c r="T334" i="5" a="1"/>
  <c r="T334" i="5" s="1"/>
  <c r="O89" i="9" s="1"/>
  <c r="AE334" i="5" a="1"/>
  <c r="AE334" i="5" s="1"/>
  <c r="AC334" i="5" a="1"/>
  <c r="AC334" i="5" s="1"/>
  <c r="W334" i="5" a="1"/>
  <c r="W334" i="5" s="1"/>
  <c r="R89" i="9" s="1"/>
  <c r="U334" i="5" a="1"/>
  <c r="U334" i="5" s="1"/>
  <c r="P89" i="9" s="1"/>
  <c r="AF334" i="5" a="1"/>
  <c r="AF334" i="5" s="1"/>
  <c r="Z334" i="5" a="1"/>
  <c r="Z334" i="5" s="1"/>
  <c r="U89" i="9" s="1"/>
  <c r="Q334" i="5" a="1"/>
  <c r="Q334" i="5" s="1"/>
  <c r="X334" i="5" a="1"/>
  <c r="X334" i="5" s="1"/>
  <c r="S89" i="9" s="1"/>
  <c r="V334" i="5" a="1"/>
  <c r="V334" i="5" s="1"/>
  <c r="Q89" i="9" s="1"/>
  <c r="AG334" i="5" a="1"/>
  <c r="AG334" i="5" s="1"/>
  <c r="O334" i="5" a="1"/>
  <c r="O334" i="5" s="1"/>
  <c r="AA334" i="5" a="1"/>
  <c r="AA334" i="5" s="1"/>
  <c r="V89" i="9" s="1"/>
  <c r="S334" i="5" a="1"/>
  <c r="S334" i="5" s="1"/>
  <c r="AH334" i="5" a="1"/>
  <c r="AH334" i="5" s="1"/>
  <c r="AC89" i="9" s="1"/>
  <c r="N334" i="5" a="1"/>
  <c r="N334" i="5" s="1"/>
  <c r="AB334" i="5" a="1"/>
  <c r="AB334" i="5" s="1"/>
  <c r="W89" i="9" s="1"/>
  <c r="Y334" i="5" a="1"/>
  <c r="Y334" i="5" s="1"/>
  <c r="T89" i="9" s="1"/>
  <c r="R334" i="5" a="1"/>
  <c r="R334" i="5" s="1"/>
  <c r="AD334" i="5" a="1"/>
  <c r="AD334" i="5" s="1"/>
  <c r="Y89" i="9" s="1"/>
  <c r="G334" i="5" a="1"/>
  <c r="G334" i="5" s="1"/>
  <c r="K334" i="5" a="1"/>
  <c r="K334" i="5" s="1"/>
  <c r="L334" i="5" a="1"/>
  <c r="L334" i="5" s="1"/>
  <c r="H334" i="5" a="1"/>
  <c r="H334" i="5" s="1"/>
  <c r="J334" i="5" a="1"/>
  <c r="J334" i="5" s="1"/>
  <c r="I334" i="5" a="1"/>
  <c r="I334" i="5" s="1"/>
  <c r="M334" i="5" a="1"/>
  <c r="M334" i="5" s="1"/>
  <c r="F335" i="5"/>
  <c r="T335" i="5" l="1" a="1"/>
  <c r="T335" i="5" s="1"/>
  <c r="AE335" i="5" a="1"/>
  <c r="AE335" i="5" s="1"/>
  <c r="AC335" i="5" a="1"/>
  <c r="AC335" i="5" s="1"/>
  <c r="P335" i="5" a="1"/>
  <c r="P335" i="5" s="1"/>
  <c r="U335" i="5" a="1"/>
  <c r="U335" i="5" s="1"/>
  <c r="W335" i="5" a="1"/>
  <c r="W335" i="5" s="1"/>
  <c r="AF335" i="5" a="1"/>
  <c r="AF335" i="5" s="1"/>
  <c r="Z335" i="5" a="1"/>
  <c r="Z335" i="5" s="1"/>
  <c r="X335" i="5" a="1"/>
  <c r="X335" i="5" s="1"/>
  <c r="Q335" i="5" a="1"/>
  <c r="Q335" i="5" s="1"/>
  <c r="O335" i="5" a="1"/>
  <c r="O335" i="5" s="1"/>
  <c r="R335" i="5" a="1"/>
  <c r="R335" i="5" s="1"/>
  <c r="AA335" i="5" a="1"/>
  <c r="AA335" i="5" s="1"/>
  <c r="V335" i="5" a="1"/>
  <c r="V335" i="5" s="1"/>
  <c r="AG335" i="5" a="1"/>
  <c r="AG335" i="5" s="1"/>
  <c r="N335" i="5" a="1"/>
  <c r="N335" i="5" s="1"/>
  <c r="AB335" i="5" a="1"/>
  <c r="AB335" i="5" s="1"/>
  <c r="Y335" i="5" a="1"/>
  <c r="Y335" i="5" s="1"/>
  <c r="AD335" i="5" a="1"/>
  <c r="AD335" i="5" s="1"/>
  <c r="S335" i="5" a="1"/>
  <c r="S335" i="5" s="1"/>
  <c r="AH335" i="5" a="1"/>
  <c r="AH335" i="5" s="1"/>
  <c r="G335" i="5" a="1"/>
  <c r="G335" i="5" s="1"/>
  <c r="K335" i="5" a="1"/>
  <c r="K335" i="5" s="1"/>
  <c r="L335" i="5" a="1"/>
  <c r="L335" i="5" s="1"/>
  <c r="H335" i="5" a="1"/>
  <c r="H335" i="5" s="1"/>
  <c r="J335" i="5" a="1"/>
  <c r="J335" i="5" s="1"/>
  <c r="I335" i="5" a="1"/>
  <c r="I335" i="5" s="1"/>
  <c r="M335" i="5" a="1"/>
  <c r="M335" i="5" s="1"/>
  <c r="F336" i="5"/>
  <c r="AC336" i="5" l="1" a="1"/>
  <c r="AC336" i="5" s="1"/>
  <c r="P336" i="5" a="1"/>
  <c r="P336" i="5" s="1"/>
  <c r="AE336" i="5" a="1"/>
  <c r="AE336" i="5" s="1"/>
  <c r="T336" i="5" a="1"/>
  <c r="T336" i="5" s="1"/>
  <c r="AF336" i="5" a="1"/>
  <c r="AF336" i="5" s="1"/>
  <c r="U336" i="5" a="1"/>
  <c r="U336" i="5" s="1"/>
  <c r="W336" i="5" a="1"/>
  <c r="W336" i="5" s="1"/>
  <c r="Z336" i="5" a="1"/>
  <c r="Z336" i="5" s="1"/>
  <c r="V336" i="5" a="1"/>
  <c r="V336" i="5" s="1"/>
  <c r="R336" i="5" a="1"/>
  <c r="R336" i="5" s="1"/>
  <c r="X336" i="5" a="1"/>
  <c r="X336" i="5" s="1"/>
  <c r="O336" i="5" a="1"/>
  <c r="O336" i="5" s="1"/>
  <c r="Q336" i="5" a="1"/>
  <c r="Q336" i="5" s="1"/>
  <c r="AA336" i="5" a="1"/>
  <c r="AA336" i="5" s="1"/>
  <c r="AD336" i="5" a="1"/>
  <c r="AD336" i="5" s="1"/>
  <c r="S336" i="5" a="1"/>
  <c r="S336" i="5" s="1"/>
  <c r="AH336" i="5" a="1"/>
  <c r="AH336" i="5" s="1"/>
  <c r="Y336" i="5" a="1"/>
  <c r="Y336" i="5" s="1"/>
  <c r="N336" i="5" a="1"/>
  <c r="N336" i="5" s="1"/>
  <c r="AG336" i="5" a="1"/>
  <c r="AG336" i="5" s="1"/>
  <c r="AB336" i="5" a="1"/>
  <c r="AB336" i="5" s="1"/>
  <c r="G336" i="5" a="1"/>
  <c r="G336" i="5" s="1"/>
  <c r="L336" i="5" a="1"/>
  <c r="L336" i="5" s="1"/>
  <c r="I336" i="5" a="1"/>
  <c r="I336" i="5" s="1"/>
  <c r="K336" i="5" a="1"/>
  <c r="K336" i="5" s="1"/>
  <c r="H336" i="5" a="1"/>
  <c r="H336" i="5" s="1"/>
  <c r="J336" i="5" a="1"/>
  <c r="J336" i="5" s="1"/>
  <c r="M336" i="5" a="1"/>
  <c r="M336" i="5" s="1"/>
  <c r="F337" i="5"/>
  <c r="AE337" i="5" l="1" a="1"/>
  <c r="AE337" i="5" s="1"/>
  <c r="T337" i="5" a="1"/>
  <c r="T337" i="5" s="1"/>
  <c r="AC337" i="5" a="1"/>
  <c r="AC337" i="5" s="1"/>
  <c r="P337" i="5" a="1"/>
  <c r="P337" i="5" s="1"/>
  <c r="Z337" i="5" a="1"/>
  <c r="Z337" i="5" s="1"/>
  <c r="W337" i="5" a="1"/>
  <c r="W337" i="5" s="1"/>
  <c r="U337" i="5" a="1"/>
  <c r="U337" i="5" s="1"/>
  <c r="AF337" i="5" a="1"/>
  <c r="AF337" i="5" s="1"/>
  <c r="X337" i="5" a="1"/>
  <c r="X337" i="5" s="1"/>
  <c r="V337" i="5" a="1"/>
  <c r="V337" i="5" s="1"/>
  <c r="R337" i="5" a="1"/>
  <c r="R337" i="5" s="1"/>
  <c r="AA337" i="5" a="1"/>
  <c r="AA337" i="5" s="1"/>
  <c r="Q337" i="5" a="1"/>
  <c r="Q337" i="5" s="1"/>
  <c r="AG337" i="5" a="1"/>
  <c r="AG337" i="5" s="1"/>
  <c r="O337" i="5" a="1"/>
  <c r="O337" i="5" s="1"/>
  <c r="S337" i="5" a="1"/>
  <c r="S337" i="5" s="1"/>
  <c r="AH337" i="5" a="1"/>
  <c r="AH337" i="5" s="1"/>
  <c r="N337" i="5" a="1"/>
  <c r="N337" i="5" s="1"/>
  <c r="AD337" i="5" a="1"/>
  <c r="AD337" i="5" s="1"/>
  <c r="AB337" i="5" a="1"/>
  <c r="AB337" i="5" s="1"/>
  <c r="Y337" i="5" a="1"/>
  <c r="Y337" i="5" s="1"/>
  <c r="G337" i="5" a="1"/>
  <c r="G337" i="5" s="1"/>
  <c r="L337" i="5" a="1"/>
  <c r="L337" i="5" s="1"/>
  <c r="H337" i="5" a="1"/>
  <c r="H337" i="5" s="1"/>
  <c r="K337" i="5" a="1"/>
  <c r="K337" i="5" s="1"/>
  <c r="I337" i="5" a="1"/>
  <c r="I337" i="5" s="1"/>
  <c r="J337" i="5" a="1"/>
  <c r="J337" i="5" s="1"/>
  <c r="M337" i="5" a="1"/>
  <c r="M337" i="5" s="1"/>
  <c r="F338" i="5"/>
  <c r="L90" i="9" l="1"/>
  <c r="F90" i="9"/>
  <c r="T338" i="5" a="1"/>
  <c r="T338" i="5" s="1"/>
  <c r="AC338" i="5" a="1"/>
  <c r="AC338" i="5" s="1"/>
  <c r="X90" i="9" s="1"/>
  <c r="P338" i="5" a="1"/>
  <c r="P338" i="5" s="1"/>
  <c r="AE338" i="5" a="1"/>
  <c r="AE338" i="5" s="1"/>
  <c r="Z90" i="9" s="1"/>
  <c r="Z338" i="5" a="1"/>
  <c r="Z338" i="5" s="1"/>
  <c r="U90" i="9" s="1"/>
  <c r="AF338" i="5" a="1"/>
  <c r="AF338" i="5" s="1"/>
  <c r="AA90" i="9" s="1"/>
  <c r="U338" i="5" a="1"/>
  <c r="U338" i="5" s="1"/>
  <c r="P90" i="9" s="1"/>
  <c r="W338" i="5" a="1"/>
  <c r="W338" i="5" s="1"/>
  <c r="R90" i="9" s="1"/>
  <c r="AG338" i="5" a="1"/>
  <c r="AG338" i="5" s="1"/>
  <c r="O338" i="5" a="1"/>
  <c r="O338" i="5" s="1"/>
  <c r="X338" i="5" a="1"/>
  <c r="X338" i="5" s="1"/>
  <c r="S90" i="9" s="1"/>
  <c r="R338" i="5" a="1"/>
  <c r="R338" i="5" s="1"/>
  <c r="M90" i="9" s="1"/>
  <c r="Q338" i="5" a="1"/>
  <c r="Q338" i="5" s="1"/>
  <c r="AA338" i="5" a="1"/>
  <c r="AA338" i="5" s="1"/>
  <c r="V90" i="9" s="1"/>
  <c r="N338" i="5" a="1"/>
  <c r="N338" i="5" s="1"/>
  <c r="AD338" i="5" a="1"/>
  <c r="AD338" i="5" s="1"/>
  <c r="AH338" i="5" a="1"/>
  <c r="AH338" i="5" s="1"/>
  <c r="AC90" i="9" s="1"/>
  <c r="AB338" i="5" a="1"/>
  <c r="AB338" i="5" s="1"/>
  <c r="Y338" i="5" a="1"/>
  <c r="Y338" i="5" s="1"/>
  <c r="T90" i="9" s="1"/>
  <c r="S338" i="5" a="1"/>
  <c r="S338" i="5" s="1"/>
  <c r="V338" i="5" a="1"/>
  <c r="V338" i="5" s="1"/>
  <c r="Q90" i="9" s="1"/>
  <c r="G338" i="5" a="1"/>
  <c r="G338" i="5" s="1"/>
  <c r="K338" i="5" a="1"/>
  <c r="K338" i="5" s="1"/>
  <c r="I338" i="5" a="1"/>
  <c r="I338" i="5" s="1"/>
  <c r="L338" i="5" a="1"/>
  <c r="L338" i="5" s="1"/>
  <c r="H338" i="5" a="1"/>
  <c r="H338" i="5" s="1"/>
  <c r="J338" i="5" a="1"/>
  <c r="J338" i="5" s="1"/>
  <c r="M338" i="5" a="1"/>
  <c r="M338" i="5" s="1"/>
  <c r="F339" i="5"/>
  <c r="AC339" i="5" l="1" a="1"/>
  <c r="AC339" i="5" s="1"/>
  <c r="T339" i="5" a="1"/>
  <c r="T339" i="5" s="1"/>
  <c r="P339" i="5" a="1"/>
  <c r="P339" i="5" s="1"/>
  <c r="AE339" i="5" a="1"/>
  <c r="AE339" i="5" s="1"/>
  <c r="Z339" i="5" a="1"/>
  <c r="Z339" i="5" s="1"/>
  <c r="AF339" i="5" a="1"/>
  <c r="AF339" i="5" s="1"/>
  <c r="U339" i="5" a="1"/>
  <c r="U339" i="5" s="1"/>
  <c r="W339" i="5" a="1"/>
  <c r="W339" i="5" s="1"/>
  <c r="X339" i="5" a="1"/>
  <c r="X339" i="5" s="1"/>
  <c r="R339" i="5" a="1"/>
  <c r="R339" i="5" s="1"/>
  <c r="AG339" i="5" a="1"/>
  <c r="AG339" i="5" s="1"/>
  <c r="AA339" i="5" a="1"/>
  <c r="AA339" i="5" s="1"/>
  <c r="AD339" i="5" a="1"/>
  <c r="AD339" i="5" s="1"/>
  <c r="Q339" i="5" a="1"/>
  <c r="Q339" i="5" s="1"/>
  <c r="O339" i="5" a="1"/>
  <c r="O339" i="5" s="1"/>
  <c r="V339" i="5" a="1"/>
  <c r="V339" i="5" s="1"/>
  <c r="AH339" i="5" a="1"/>
  <c r="AH339" i="5" s="1"/>
  <c r="Y339" i="5" a="1"/>
  <c r="Y339" i="5" s="1"/>
  <c r="S339" i="5" a="1"/>
  <c r="S339" i="5" s="1"/>
  <c r="AB339" i="5" a="1"/>
  <c r="AB339" i="5" s="1"/>
  <c r="N339" i="5" a="1"/>
  <c r="N339" i="5" s="1"/>
  <c r="G339" i="5" a="1"/>
  <c r="G339" i="5" s="1"/>
  <c r="L339" i="5" a="1"/>
  <c r="L339" i="5" s="1"/>
  <c r="H339" i="5" a="1"/>
  <c r="H339" i="5" s="1"/>
  <c r="I339" i="5" a="1"/>
  <c r="I339" i="5" s="1"/>
  <c r="K339" i="5" a="1"/>
  <c r="K339" i="5" s="1"/>
  <c r="J339" i="5" a="1"/>
  <c r="J339" i="5" s="1"/>
  <c r="M339" i="5" a="1"/>
  <c r="M339" i="5" s="1"/>
  <c r="F340" i="5"/>
  <c r="P340" i="5" l="1" a="1"/>
  <c r="P340" i="5" s="1"/>
  <c r="AC340" i="5" a="1"/>
  <c r="AC340" i="5" s="1"/>
  <c r="T340" i="5" a="1"/>
  <c r="T340" i="5" s="1"/>
  <c r="AE340" i="5" a="1"/>
  <c r="AE340" i="5" s="1"/>
  <c r="Z340" i="5" a="1"/>
  <c r="Z340" i="5" s="1"/>
  <c r="W340" i="5" a="1"/>
  <c r="W340" i="5" s="1"/>
  <c r="U340" i="5" a="1"/>
  <c r="U340" i="5" s="1"/>
  <c r="AF340" i="5" a="1"/>
  <c r="AF340" i="5" s="1"/>
  <c r="V340" i="5" a="1"/>
  <c r="V340" i="5" s="1"/>
  <c r="Q340" i="5" a="1"/>
  <c r="Q340" i="5" s="1"/>
  <c r="AA340" i="5" a="1"/>
  <c r="AA340" i="5" s="1"/>
  <c r="X340" i="5" a="1"/>
  <c r="X340" i="5" s="1"/>
  <c r="AG340" i="5" a="1"/>
  <c r="AG340" i="5" s="1"/>
  <c r="R340" i="5" a="1"/>
  <c r="R340" i="5" s="1"/>
  <c r="O340" i="5" a="1"/>
  <c r="O340" i="5" s="1"/>
  <c r="N340" i="5" a="1"/>
  <c r="N340" i="5" s="1"/>
  <c r="AB340" i="5" a="1"/>
  <c r="AB340" i="5" s="1"/>
  <c r="AD340" i="5" a="1"/>
  <c r="AD340" i="5" s="1"/>
  <c r="S340" i="5" a="1"/>
  <c r="S340" i="5" s="1"/>
  <c r="AH340" i="5" a="1"/>
  <c r="AH340" i="5" s="1"/>
  <c r="Y340" i="5" a="1"/>
  <c r="Y340" i="5" s="1"/>
  <c r="G340" i="5" a="1"/>
  <c r="G340" i="5" s="1"/>
  <c r="L340" i="5" a="1"/>
  <c r="L340" i="5" s="1"/>
  <c r="H340" i="5" a="1"/>
  <c r="H340" i="5" s="1"/>
  <c r="K340" i="5" a="1"/>
  <c r="K340" i="5" s="1"/>
  <c r="I340" i="5" a="1"/>
  <c r="I340" i="5" s="1"/>
  <c r="J340" i="5" a="1"/>
  <c r="J340" i="5" s="1"/>
  <c r="M340" i="5" a="1"/>
  <c r="M340" i="5" s="1"/>
  <c r="F341" i="5"/>
  <c r="P341" i="5" l="1" a="1"/>
  <c r="P341" i="5" s="1"/>
  <c r="AC341" i="5" a="1"/>
  <c r="AC341" i="5" s="1"/>
  <c r="T341" i="5" a="1"/>
  <c r="T341" i="5" s="1"/>
  <c r="AE341" i="5" a="1"/>
  <c r="AE341" i="5" s="1"/>
  <c r="AF341" i="5" a="1"/>
  <c r="AF341" i="5" s="1"/>
  <c r="Z341" i="5" a="1"/>
  <c r="Z341" i="5" s="1"/>
  <c r="U341" i="5" a="1"/>
  <c r="U341" i="5" s="1"/>
  <c r="W341" i="5" a="1"/>
  <c r="W341" i="5" s="1"/>
  <c r="O341" i="5" a="1"/>
  <c r="O341" i="5" s="1"/>
  <c r="AA341" i="5" a="1"/>
  <c r="AA341" i="5" s="1"/>
  <c r="V341" i="5" a="1"/>
  <c r="V341" i="5" s="1"/>
  <c r="Q341" i="5" a="1"/>
  <c r="Q341" i="5" s="1"/>
  <c r="AG341" i="5" a="1"/>
  <c r="AG341" i="5" s="1"/>
  <c r="R341" i="5" a="1"/>
  <c r="R341" i="5" s="1"/>
  <c r="X341" i="5" a="1"/>
  <c r="X341" i="5" s="1"/>
  <c r="AH341" i="5" a="1"/>
  <c r="AH341" i="5" s="1"/>
  <c r="Y341" i="5" a="1"/>
  <c r="Y341" i="5" s="1"/>
  <c r="AB341" i="5" a="1"/>
  <c r="AB341" i="5" s="1"/>
  <c r="AD341" i="5" a="1"/>
  <c r="AD341" i="5" s="1"/>
  <c r="N341" i="5" a="1"/>
  <c r="N341" i="5" s="1"/>
  <c r="S341" i="5" a="1"/>
  <c r="S341" i="5" s="1"/>
  <c r="G341" i="5" a="1"/>
  <c r="G341" i="5" s="1"/>
  <c r="K341" i="5" a="1"/>
  <c r="K341" i="5" s="1"/>
  <c r="L341" i="5" a="1"/>
  <c r="L341" i="5" s="1"/>
  <c r="I341" i="5" a="1"/>
  <c r="I341" i="5" s="1"/>
  <c r="H341" i="5" a="1"/>
  <c r="H341" i="5" s="1"/>
  <c r="J341" i="5" a="1"/>
  <c r="J341" i="5" s="1"/>
  <c r="M341" i="5" a="1"/>
  <c r="M341" i="5" s="1"/>
  <c r="F342" i="5"/>
  <c r="AA91" i="9" l="1"/>
  <c r="D91" i="9"/>
  <c r="X91" i="9"/>
  <c r="AE342" i="5" a="1"/>
  <c r="AE342" i="5" s="1"/>
  <c r="AC342" i="5" a="1"/>
  <c r="AC342" i="5" s="1"/>
  <c r="T342" i="5" a="1"/>
  <c r="T342" i="5" s="1"/>
  <c r="P342" i="5" a="1"/>
  <c r="P342" i="5" s="1"/>
  <c r="W342" i="5" a="1"/>
  <c r="W342" i="5" s="1"/>
  <c r="R91" i="9" s="1"/>
  <c r="U342" i="5" a="1"/>
  <c r="U342" i="5" s="1"/>
  <c r="P91" i="9" s="1"/>
  <c r="Z342" i="5" a="1"/>
  <c r="Z342" i="5" s="1"/>
  <c r="U91" i="9" s="1"/>
  <c r="AF342" i="5" a="1"/>
  <c r="AF342" i="5" s="1"/>
  <c r="AA342" i="5" a="1"/>
  <c r="AA342" i="5" s="1"/>
  <c r="V91" i="9" s="1"/>
  <c r="Q342" i="5" a="1"/>
  <c r="Q342" i="5" s="1"/>
  <c r="O342" i="5" a="1"/>
  <c r="O342" i="5" s="1"/>
  <c r="X342" i="5" a="1"/>
  <c r="X342" i="5" s="1"/>
  <c r="S91" i="9" s="1"/>
  <c r="AG342" i="5" a="1"/>
  <c r="AG342" i="5" s="1"/>
  <c r="V342" i="5" a="1"/>
  <c r="V342" i="5" s="1"/>
  <c r="Q91" i="9" s="1"/>
  <c r="AD342" i="5" a="1"/>
  <c r="AD342" i="5" s="1"/>
  <c r="N342" i="5" a="1"/>
  <c r="N342" i="5" s="1"/>
  <c r="I91" i="9" s="1"/>
  <c r="Y342" i="5" a="1"/>
  <c r="Y342" i="5" s="1"/>
  <c r="T91" i="9" s="1"/>
  <c r="AH342" i="5" a="1"/>
  <c r="AH342" i="5" s="1"/>
  <c r="S342" i="5" a="1"/>
  <c r="S342" i="5" s="1"/>
  <c r="AB342" i="5" a="1"/>
  <c r="AB342" i="5" s="1"/>
  <c r="R342" i="5" a="1"/>
  <c r="R342" i="5" s="1"/>
  <c r="G342" i="5" a="1"/>
  <c r="G342" i="5" s="1"/>
  <c r="H342" i="5" a="1"/>
  <c r="H342" i="5" s="1"/>
  <c r="K342" i="5" a="1"/>
  <c r="K342" i="5" s="1"/>
  <c r="F91" i="9" s="1"/>
  <c r="J342" i="5" a="1"/>
  <c r="J342" i="5" s="1"/>
  <c r="I342" i="5" a="1"/>
  <c r="I342" i="5" s="1"/>
  <c r="L342" i="5" a="1"/>
  <c r="L342" i="5" s="1"/>
  <c r="M342" i="5" a="1"/>
  <c r="M342" i="5" s="1"/>
  <c r="F343" i="5"/>
  <c r="AE343" i="5" l="1" a="1"/>
  <c r="AE343" i="5" s="1"/>
  <c r="T343" i="5" a="1"/>
  <c r="T343" i="5" s="1"/>
  <c r="AC343" i="5" a="1"/>
  <c r="AC343" i="5" s="1"/>
  <c r="P343" i="5" a="1"/>
  <c r="P343" i="5" s="1"/>
  <c r="Z343" i="5" a="1"/>
  <c r="Z343" i="5" s="1"/>
  <c r="W343" i="5" a="1"/>
  <c r="W343" i="5" s="1"/>
  <c r="U343" i="5" a="1"/>
  <c r="U343" i="5" s="1"/>
  <c r="AF343" i="5" a="1"/>
  <c r="AF343" i="5" s="1"/>
  <c r="Q343" i="5" a="1"/>
  <c r="Q343" i="5" s="1"/>
  <c r="X343" i="5" a="1"/>
  <c r="X343" i="5" s="1"/>
  <c r="R343" i="5" a="1"/>
  <c r="R343" i="5" s="1"/>
  <c r="O343" i="5" a="1"/>
  <c r="O343" i="5" s="1"/>
  <c r="AA343" i="5" a="1"/>
  <c r="AA343" i="5" s="1"/>
  <c r="V343" i="5" a="1"/>
  <c r="V343" i="5" s="1"/>
  <c r="AD343" i="5" a="1"/>
  <c r="AD343" i="5" s="1"/>
  <c r="AG343" i="5" a="1"/>
  <c r="AG343" i="5" s="1"/>
  <c r="AH343" i="5" a="1"/>
  <c r="AH343" i="5" s="1"/>
  <c r="S343" i="5" a="1"/>
  <c r="S343" i="5" s="1"/>
  <c r="AB343" i="5" a="1"/>
  <c r="AB343" i="5" s="1"/>
  <c r="Y343" i="5" a="1"/>
  <c r="Y343" i="5" s="1"/>
  <c r="N343" i="5" a="1"/>
  <c r="N343" i="5" s="1"/>
  <c r="G343" i="5" a="1"/>
  <c r="G343" i="5" s="1"/>
  <c r="K343" i="5" a="1"/>
  <c r="K343" i="5" s="1"/>
  <c r="H343" i="5" a="1"/>
  <c r="H343" i="5" s="1"/>
  <c r="J343" i="5" a="1"/>
  <c r="J343" i="5" s="1"/>
  <c r="I343" i="5" a="1"/>
  <c r="I343" i="5" s="1"/>
  <c r="L343" i="5" a="1"/>
  <c r="L343" i="5" s="1"/>
  <c r="M343" i="5" a="1"/>
  <c r="M343" i="5" s="1"/>
  <c r="F344" i="5"/>
  <c r="AE344" i="5" l="1" a="1"/>
  <c r="AE344" i="5" s="1"/>
  <c r="P344" i="5" a="1"/>
  <c r="P344" i="5" s="1"/>
  <c r="AC344" i="5" a="1"/>
  <c r="AC344" i="5" s="1"/>
  <c r="T344" i="5" a="1"/>
  <c r="T344" i="5" s="1"/>
  <c r="W344" i="5" a="1"/>
  <c r="W344" i="5" s="1"/>
  <c r="U344" i="5" a="1"/>
  <c r="U344" i="5" s="1"/>
  <c r="Z344" i="5" a="1"/>
  <c r="Z344" i="5" s="1"/>
  <c r="AF344" i="5" a="1"/>
  <c r="AF344" i="5" s="1"/>
  <c r="O344" i="5" a="1"/>
  <c r="O344" i="5" s="1"/>
  <c r="Q344" i="5" a="1"/>
  <c r="Q344" i="5" s="1"/>
  <c r="AA344" i="5" a="1"/>
  <c r="AA344" i="5" s="1"/>
  <c r="V344" i="5" a="1"/>
  <c r="V344" i="5" s="1"/>
  <c r="AD344" i="5" a="1"/>
  <c r="AD344" i="5" s="1"/>
  <c r="X344" i="5" a="1"/>
  <c r="X344" i="5" s="1"/>
  <c r="AG344" i="5" a="1"/>
  <c r="AG344" i="5" s="1"/>
  <c r="N344" i="5" a="1"/>
  <c r="N344" i="5" s="1"/>
  <c r="R344" i="5" a="1"/>
  <c r="R344" i="5" s="1"/>
  <c r="S344" i="5" a="1"/>
  <c r="S344" i="5" s="1"/>
  <c r="AH344" i="5" a="1"/>
  <c r="AH344" i="5" s="1"/>
  <c r="AB344" i="5" a="1"/>
  <c r="AB344" i="5" s="1"/>
  <c r="Y344" i="5" a="1"/>
  <c r="Y344" i="5" s="1"/>
  <c r="G344" i="5" a="1"/>
  <c r="G344" i="5" s="1"/>
  <c r="K344" i="5" a="1"/>
  <c r="K344" i="5" s="1"/>
  <c r="H344" i="5" a="1"/>
  <c r="H344" i="5" s="1"/>
  <c r="I344" i="5" a="1"/>
  <c r="I344" i="5" s="1"/>
  <c r="J344" i="5" a="1"/>
  <c r="J344" i="5" s="1"/>
  <c r="L344" i="5" a="1"/>
  <c r="L344" i="5" s="1"/>
  <c r="M344" i="5" a="1"/>
  <c r="M344" i="5" s="1"/>
  <c r="F345" i="5"/>
  <c r="T345" i="5" l="1" a="1"/>
  <c r="T345" i="5" s="1"/>
  <c r="AE345" i="5" a="1"/>
  <c r="AE345" i="5" s="1"/>
  <c r="P345" i="5" a="1"/>
  <c r="P345" i="5" s="1"/>
  <c r="AC345" i="5" a="1"/>
  <c r="AC345" i="5" s="1"/>
  <c r="Z345" i="5" a="1"/>
  <c r="Z345" i="5" s="1"/>
  <c r="AF345" i="5" a="1"/>
  <c r="AF345" i="5" s="1"/>
  <c r="U345" i="5" a="1"/>
  <c r="U345" i="5" s="1"/>
  <c r="W345" i="5" a="1"/>
  <c r="W345" i="5" s="1"/>
  <c r="R345" i="5" a="1"/>
  <c r="R345" i="5" s="1"/>
  <c r="O345" i="5" a="1"/>
  <c r="O345" i="5" s="1"/>
  <c r="X345" i="5" a="1"/>
  <c r="X345" i="5" s="1"/>
  <c r="AG345" i="5" a="1"/>
  <c r="AG345" i="5" s="1"/>
  <c r="Q345" i="5" a="1"/>
  <c r="Q345" i="5" s="1"/>
  <c r="V345" i="5" a="1"/>
  <c r="V345" i="5" s="1"/>
  <c r="AA345" i="5" a="1"/>
  <c r="AA345" i="5" s="1"/>
  <c r="S345" i="5" a="1"/>
  <c r="S345" i="5" s="1"/>
  <c r="AH345" i="5" a="1"/>
  <c r="AH345" i="5" s="1"/>
  <c r="AB345" i="5" a="1"/>
  <c r="AB345" i="5" s="1"/>
  <c r="Y345" i="5" a="1"/>
  <c r="Y345" i="5" s="1"/>
  <c r="N345" i="5" a="1"/>
  <c r="N345" i="5" s="1"/>
  <c r="AD345" i="5" a="1"/>
  <c r="AD345" i="5" s="1"/>
  <c r="K345" i="5" a="1"/>
  <c r="K345" i="5" s="1"/>
  <c r="I345" i="5" a="1"/>
  <c r="I345" i="5" s="1"/>
  <c r="L345" i="5" a="1"/>
  <c r="L345" i="5" s="1"/>
  <c r="H345" i="5" a="1"/>
  <c r="H345" i="5" s="1"/>
  <c r="J345" i="5" a="1"/>
  <c r="J345" i="5" s="1"/>
  <c r="G345" i="5" a="1"/>
  <c r="G345" i="5" s="1"/>
  <c r="M345" i="5" a="1"/>
  <c r="M345" i="5" s="1"/>
  <c r="F346" i="5"/>
  <c r="AC346" i="5" l="1" a="1"/>
  <c r="AC346" i="5" s="1"/>
  <c r="AE346" i="5" a="1"/>
  <c r="AE346" i="5" s="1"/>
  <c r="T346" i="5" a="1"/>
  <c r="T346" i="5" s="1"/>
  <c r="P346" i="5" a="1"/>
  <c r="P346" i="5" s="1"/>
  <c r="K92" i="9" s="1"/>
  <c r="W346" i="5" a="1"/>
  <c r="W346" i="5" s="1"/>
  <c r="R92" i="9" s="1"/>
  <c r="U346" i="5" a="1"/>
  <c r="U346" i="5" s="1"/>
  <c r="P92" i="9" s="1"/>
  <c r="Z346" i="5" a="1"/>
  <c r="Z346" i="5" s="1"/>
  <c r="U92" i="9" s="1"/>
  <c r="AF346" i="5" a="1"/>
  <c r="AF346" i="5" s="1"/>
  <c r="O346" i="5" a="1"/>
  <c r="O346" i="5" s="1"/>
  <c r="V346" i="5" a="1"/>
  <c r="V346" i="5" s="1"/>
  <c r="Q92" i="9" s="1"/>
  <c r="AG346" i="5" a="1"/>
  <c r="AG346" i="5" s="1"/>
  <c r="AA346" i="5" a="1"/>
  <c r="AA346" i="5" s="1"/>
  <c r="V92" i="9" s="1"/>
  <c r="R346" i="5" a="1"/>
  <c r="R346" i="5" s="1"/>
  <c r="X346" i="5" a="1"/>
  <c r="X346" i="5" s="1"/>
  <c r="S92" i="9" s="1"/>
  <c r="Q346" i="5" a="1"/>
  <c r="Q346" i="5" s="1"/>
  <c r="AB346" i="5" a="1"/>
  <c r="AB346" i="5" s="1"/>
  <c r="AH346" i="5" a="1"/>
  <c r="AH346" i="5" s="1"/>
  <c r="Y346" i="5" a="1"/>
  <c r="Y346" i="5" s="1"/>
  <c r="T92" i="9" s="1"/>
  <c r="S346" i="5" a="1"/>
  <c r="S346" i="5" s="1"/>
  <c r="N92" i="9" s="1"/>
  <c r="AD346" i="5" a="1"/>
  <c r="AD346" i="5" s="1"/>
  <c r="Y92" i="9" s="1"/>
  <c r="N346" i="5" a="1"/>
  <c r="N346" i="5" s="1"/>
  <c r="I92" i="9" s="1"/>
  <c r="G346" i="5" a="1"/>
  <c r="G346" i="5" s="1"/>
  <c r="H346" i="5" a="1"/>
  <c r="H346" i="5" s="1"/>
  <c r="K346" i="5" a="1"/>
  <c r="K346" i="5" s="1"/>
  <c r="L346" i="5" a="1"/>
  <c r="L346" i="5" s="1"/>
  <c r="I346" i="5" a="1"/>
  <c r="I346" i="5" s="1"/>
  <c r="J346" i="5" a="1"/>
  <c r="J346" i="5" s="1"/>
  <c r="M346" i="5" a="1"/>
  <c r="M346" i="5" s="1"/>
  <c r="F347" i="5"/>
  <c r="T347" i="5" l="1" a="1"/>
  <c r="T347" i="5" s="1"/>
  <c r="AE347" i="5" a="1"/>
  <c r="AE347" i="5" s="1"/>
  <c r="P347" i="5" a="1"/>
  <c r="P347" i="5" s="1"/>
  <c r="AC347" i="5" a="1"/>
  <c r="AC347" i="5" s="1"/>
  <c r="W347" i="5" a="1"/>
  <c r="W347" i="5" s="1"/>
  <c r="U347" i="5" a="1"/>
  <c r="U347" i="5" s="1"/>
  <c r="Z347" i="5" a="1"/>
  <c r="Z347" i="5" s="1"/>
  <c r="AF347" i="5" a="1"/>
  <c r="AF347" i="5" s="1"/>
  <c r="O347" i="5" a="1"/>
  <c r="O347" i="5" s="1"/>
  <c r="V347" i="5" a="1"/>
  <c r="V347" i="5" s="1"/>
  <c r="AG347" i="5" a="1"/>
  <c r="AG347" i="5" s="1"/>
  <c r="Q347" i="5" a="1"/>
  <c r="Q347" i="5" s="1"/>
  <c r="AA347" i="5" a="1"/>
  <c r="AA347" i="5" s="1"/>
  <c r="AD347" i="5" a="1"/>
  <c r="AD347" i="5" s="1"/>
  <c r="X347" i="5" a="1"/>
  <c r="X347" i="5" s="1"/>
  <c r="AB347" i="5" a="1"/>
  <c r="AB347" i="5" s="1"/>
  <c r="N347" i="5" a="1"/>
  <c r="N347" i="5" s="1"/>
  <c r="Y347" i="5" a="1"/>
  <c r="Y347" i="5" s="1"/>
  <c r="R347" i="5" a="1"/>
  <c r="R347" i="5" s="1"/>
  <c r="S347" i="5" a="1"/>
  <c r="S347" i="5" s="1"/>
  <c r="AH347" i="5" a="1"/>
  <c r="AH347" i="5" s="1"/>
  <c r="G347" i="5" a="1"/>
  <c r="G347" i="5" s="1"/>
  <c r="I347" i="5" a="1"/>
  <c r="I347" i="5" s="1"/>
  <c r="K347" i="5" a="1"/>
  <c r="K347" i="5" s="1"/>
  <c r="H347" i="5" a="1"/>
  <c r="H347" i="5" s="1"/>
  <c r="L347" i="5" a="1"/>
  <c r="L347" i="5" s="1"/>
  <c r="J347" i="5" a="1"/>
  <c r="J347" i="5" s="1"/>
  <c r="M347" i="5" a="1"/>
  <c r="M347" i="5" s="1"/>
  <c r="F348" i="5"/>
  <c r="P348" i="5" l="1" a="1"/>
  <c r="P348" i="5" s="1"/>
  <c r="AC348" i="5" a="1"/>
  <c r="AC348" i="5" s="1"/>
  <c r="AE348" i="5" a="1"/>
  <c r="AE348" i="5" s="1"/>
  <c r="T348" i="5" a="1"/>
  <c r="T348" i="5" s="1"/>
  <c r="AF348" i="5" a="1"/>
  <c r="AF348" i="5" s="1"/>
  <c r="Z348" i="5" a="1"/>
  <c r="Z348" i="5" s="1"/>
  <c r="W348" i="5" a="1"/>
  <c r="W348" i="5" s="1"/>
  <c r="U348" i="5" a="1"/>
  <c r="U348" i="5" s="1"/>
  <c r="X348" i="5" a="1"/>
  <c r="X348" i="5" s="1"/>
  <c r="O348" i="5" a="1"/>
  <c r="O348" i="5" s="1"/>
  <c r="AG348" i="5" a="1"/>
  <c r="AG348" i="5" s="1"/>
  <c r="Q348" i="5" a="1"/>
  <c r="Q348" i="5" s="1"/>
  <c r="V348" i="5" a="1"/>
  <c r="V348" i="5" s="1"/>
  <c r="R348" i="5" a="1"/>
  <c r="R348" i="5" s="1"/>
  <c r="AD348" i="5" a="1"/>
  <c r="AD348" i="5" s="1"/>
  <c r="AA348" i="5" a="1"/>
  <c r="AA348" i="5" s="1"/>
  <c r="AB348" i="5" a="1"/>
  <c r="AB348" i="5" s="1"/>
  <c r="Y348" i="5" a="1"/>
  <c r="Y348" i="5" s="1"/>
  <c r="S348" i="5" a="1"/>
  <c r="S348" i="5" s="1"/>
  <c r="N348" i="5" a="1"/>
  <c r="N348" i="5" s="1"/>
  <c r="AH348" i="5" a="1"/>
  <c r="AH348" i="5" s="1"/>
  <c r="G348" i="5" a="1"/>
  <c r="G348" i="5" s="1"/>
  <c r="H348" i="5" a="1"/>
  <c r="H348" i="5" s="1"/>
  <c r="I348" i="5" a="1"/>
  <c r="I348" i="5" s="1"/>
  <c r="L348" i="5" a="1"/>
  <c r="L348" i="5" s="1"/>
  <c r="K348" i="5" a="1"/>
  <c r="K348" i="5" s="1"/>
  <c r="J348" i="5" a="1"/>
  <c r="J348" i="5" s="1"/>
  <c r="M348" i="5" a="1"/>
  <c r="M348" i="5" s="1"/>
  <c r="F349" i="5"/>
  <c r="AE349" i="5" l="1" a="1"/>
  <c r="AE349" i="5" s="1"/>
  <c r="T349" i="5" a="1"/>
  <c r="T349" i="5" s="1"/>
  <c r="P349" i="5" a="1"/>
  <c r="P349" i="5" s="1"/>
  <c r="AC349" i="5" a="1"/>
  <c r="AC349" i="5" s="1"/>
  <c r="U349" i="5" a="1"/>
  <c r="U349" i="5" s="1"/>
  <c r="Z349" i="5" a="1"/>
  <c r="Z349" i="5" s="1"/>
  <c r="AF349" i="5" a="1"/>
  <c r="AF349" i="5" s="1"/>
  <c r="W349" i="5" a="1"/>
  <c r="W349" i="5" s="1"/>
  <c r="V349" i="5" a="1"/>
  <c r="V349" i="5" s="1"/>
  <c r="Q349" i="5" a="1"/>
  <c r="Q349" i="5" s="1"/>
  <c r="AA349" i="5" a="1"/>
  <c r="AA349" i="5" s="1"/>
  <c r="O349" i="5" a="1"/>
  <c r="O349" i="5" s="1"/>
  <c r="X349" i="5" a="1"/>
  <c r="X349" i="5" s="1"/>
  <c r="Y349" i="5" a="1"/>
  <c r="Y349" i="5" s="1"/>
  <c r="R349" i="5" a="1"/>
  <c r="R349" i="5" s="1"/>
  <c r="N349" i="5" a="1"/>
  <c r="N349" i="5" s="1"/>
  <c r="S349" i="5" a="1"/>
  <c r="S349" i="5" s="1"/>
  <c r="AG349" i="5" a="1"/>
  <c r="AG349" i="5" s="1"/>
  <c r="AB349" i="5" a="1"/>
  <c r="AB349" i="5" s="1"/>
  <c r="AH349" i="5" a="1"/>
  <c r="AH349" i="5" s="1"/>
  <c r="AD349" i="5" a="1"/>
  <c r="AD349" i="5" s="1"/>
  <c r="G349" i="5" a="1"/>
  <c r="G349" i="5" s="1"/>
  <c r="I349" i="5" a="1"/>
  <c r="I349" i="5" s="1"/>
  <c r="L349" i="5" a="1"/>
  <c r="L349" i="5" s="1"/>
  <c r="H349" i="5" a="1"/>
  <c r="H349" i="5" s="1"/>
  <c r="K349" i="5" a="1"/>
  <c r="K349" i="5" s="1"/>
  <c r="J349" i="5" a="1"/>
  <c r="J349" i="5" s="1"/>
  <c r="M349" i="5" a="1"/>
  <c r="M349" i="5" s="1"/>
  <c r="F350" i="5"/>
  <c r="X93" i="9" l="1"/>
  <c r="L93" i="9"/>
  <c r="Z93" i="9"/>
  <c r="T350" i="5" a="1"/>
  <c r="T350" i="5" s="1"/>
  <c r="O93" i="9" s="1"/>
  <c r="AE350" i="5" a="1"/>
  <c r="AE350" i="5" s="1"/>
  <c r="AC350" i="5" a="1"/>
  <c r="AC350" i="5" s="1"/>
  <c r="P350" i="5" a="1"/>
  <c r="P350" i="5" s="1"/>
  <c r="AF350" i="5" a="1"/>
  <c r="AF350" i="5" s="1"/>
  <c r="AA93" i="9" s="1"/>
  <c r="W350" i="5" a="1"/>
  <c r="W350" i="5" s="1"/>
  <c r="R93" i="9" s="1"/>
  <c r="U350" i="5" a="1"/>
  <c r="U350" i="5" s="1"/>
  <c r="P93" i="9" s="1"/>
  <c r="Z350" i="5" a="1"/>
  <c r="Z350" i="5" s="1"/>
  <c r="U93" i="9" s="1"/>
  <c r="O350" i="5" a="1"/>
  <c r="O350" i="5" s="1"/>
  <c r="J93" i="9" s="1"/>
  <c r="AA350" i="5" a="1"/>
  <c r="AA350" i="5" s="1"/>
  <c r="V93" i="9" s="1"/>
  <c r="Q350" i="5" a="1"/>
  <c r="Q350" i="5" s="1"/>
  <c r="AD350" i="5" a="1"/>
  <c r="AD350" i="5" s="1"/>
  <c r="X350" i="5" a="1"/>
  <c r="X350" i="5" s="1"/>
  <c r="S93" i="9" s="1"/>
  <c r="R350" i="5" a="1"/>
  <c r="R350" i="5" s="1"/>
  <c r="V350" i="5" a="1"/>
  <c r="V350" i="5" s="1"/>
  <c r="Q93" i="9" s="1"/>
  <c r="AG350" i="5" a="1"/>
  <c r="AG350" i="5" s="1"/>
  <c r="S350" i="5" a="1"/>
  <c r="S350" i="5" s="1"/>
  <c r="N350" i="5" a="1"/>
  <c r="N350" i="5" s="1"/>
  <c r="AB350" i="5" a="1"/>
  <c r="AB350" i="5" s="1"/>
  <c r="AH350" i="5" a="1"/>
  <c r="AH350" i="5" s="1"/>
  <c r="Y350" i="5" a="1"/>
  <c r="Y350" i="5" s="1"/>
  <c r="T93" i="9" s="1"/>
  <c r="G350" i="5" a="1"/>
  <c r="G350" i="5" s="1"/>
  <c r="B93" i="9" s="1"/>
  <c r="K350" i="5" a="1"/>
  <c r="K350" i="5" s="1"/>
  <c r="L350" i="5" a="1"/>
  <c r="L350" i="5" s="1"/>
  <c r="I350" i="5" a="1"/>
  <c r="I350" i="5" s="1"/>
  <c r="H350" i="5" a="1"/>
  <c r="H350" i="5" s="1"/>
  <c r="J350" i="5" a="1"/>
  <c r="J350" i="5" s="1"/>
  <c r="E93" i="9" s="1"/>
  <c r="M350" i="5" a="1"/>
  <c r="M350" i="5" s="1"/>
  <c r="F351" i="5"/>
  <c r="P351" i="5" l="1" a="1"/>
  <c r="P351" i="5" s="1"/>
  <c r="AC351" i="5" a="1"/>
  <c r="AC351" i="5" s="1"/>
  <c r="T351" i="5" a="1"/>
  <c r="T351" i="5" s="1"/>
  <c r="AE351" i="5" a="1"/>
  <c r="AE351" i="5" s="1"/>
  <c r="U351" i="5" a="1"/>
  <c r="U351" i="5" s="1"/>
  <c r="AF351" i="5" a="1"/>
  <c r="AF351" i="5" s="1"/>
  <c r="W351" i="5" a="1"/>
  <c r="W351" i="5" s="1"/>
  <c r="Z351" i="5" a="1"/>
  <c r="Z351" i="5" s="1"/>
  <c r="R351" i="5" a="1"/>
  <c r="R351" i="5" s="1"/>
  <c r="X351" i="5" a="1"/>
  <c r="X351" i="5" s="1"/>
  <c r="Q351" i="5" a="1"/>
  <c r="Q351" i="5" s="1"/>
  <c r="AA351" i="5" a="1"/>
  <c r="AA351" i="5" s="1"/>
  <c r="O351" i="5" a="1"/>
  <c r="O351" i="5" s="1"/>
  <c r="V351" i="5" a="1"/>
  <c r="V351" i="5" s="1"/>
  <c r="AG351" i="5" a="1"/>
  <c r="AG351" i="5" s="1"/>
  <c r="AH351" i="5" a="1"/>
  <c r="AH351" i="5" s="1"/>
  <c r="N351" i="5" a="1"/>
  <c r="N351" i="5" s="1"/>
  <c r="S351" i="5" a="1"/>
  <c r="S351" i="5" s="1"/>
  <c r="AB351" i="5" a="1"/>
  <c r="AB351" i="5" s="1"/>
  <c r="Y351" i="5" a="1"/>
  <c r="Y351" i="5" s="1"/>
  <c r="AD351" i="5" a="1"/>
  <c r="AD351" i="5" s="1"/>
  <c r="G351" i="5" a="1"/>
  <c r="G351" i="5" s="1"/>
  <c r="K351" i="5" a="1"/>
  <c r="K351" i="5" s="1"/>
  <c r="I351" i="5" a="1"/>
  <c r="I351" i="5" s="1"/>
  <c r="L351" i="5" a="1"/>
  <c r="L351" i="5" s="1"/>
  <c r="J351" i="5" a="1"/>
  <c r="J351" i="5" s="1"/>
  <c r="H351" i="5" a="1"/>
  <c r="H351" i="5" s="1"/>
  <c r="M351" i="5" a="1"/>
  <c r="M351" i="5" s="1"/>
  <c r="F352" i="5"/>
  <c r="T352" i="5" l="1" a="1"/>
  <c r="T352" i="5" s="1"/>
  <c r="P352" i="5" a="1"/>
  <c r="P352" i="5" s="1"/>
  <c r="AC352" i="5" a="1"/>
  <c r="AC352" i="5" s="1"/>
  <c r="AE352" i="5" a="1"/>
  <c r="AE352" i="5" s="1"/>
  <c r="U352" i="5" a="1"/>
  <c r="U352" i="5" s="1"/>
  <c r="W352" i="5" a="1"/>
  <c r="W352" i="5" s="1"/>
  <c r="Z352" i="5" a="1"/>
  <c r="Z352" i="5" s="1"/>
  <c r="AF352" i="5" a="1"/>
  <c r="AF352" i="5" s="1"/>
  <c r="X352" i="5" a="1"/>
  <c r="X352" i="5" s="1"/>
  <c r="AA352" i="5" a="1"/>
  <c r="AA352" i="5" s="1"/>
  <c r="AD352" i="5" a="1"/>
  <c r="AD352" i="5" s="1"/>
  <c r="V352" i="5" a="1"/>
  <c r="V352" i="5" s="1"/>
  <c r="AG352" i="5" a="1"/>
  <c r="AG352" i="5" s="1"/>
  <c r="O352" i="5" a="1"/>
  <c r="O352" i="5" s="1"/>
  <c r="Q352" i="5" a="1"/>
  <c r="Q352" i="5" s="1"/>
  <c r="Y352" i="5" a="1"/>
  <c r="Y352" i="5" s="1"/>
  <c r="N352" i="5" a="1"/>
  <c r="N352" i="5" s="1"/>
  <c r="R352" i="5" a="1"/>
  <c r="R352" i="5" s="1"/>
  <c r="AH352" i="5" a="1"/>
  <c r="AH352" i="5" s="1"/>
  <c r="AB352" i="5" a="1"/>
  <c r="AB352" i="5" s="1"/>
  <c r="S352" i="5" a="1"/>
  <c r="S352" i="5" s="1"/>
  <c r="K352" i="5" a="1"/>
  <c r="K352" i="5" s="1"/>
  <c r="I352" i="5" a="1"/>
  <c r="I352" i="5" s="1"/>
  <c r="L352" i="5" a="1"/>
  <c r="L352" i="5" s="1"/>
  <c r="J352" i="5" a="1"/>
  <c r="J352" i="5" s="1"/>
  <c r="H352" i="5" a="1"/>
  <c r="H352" i="5" s="1"/>
  <c r="G352" i="5" a="1"/>
  <c r="G352" i="5" s="1"/>
  <c r="M352" i="5" a="1"/>
  <c r="M352" i="5" s="1"/>
  <c r="F353" i="5"/>
  <c r="AC353" i="5" l="1" a="1"/>
  <c r="AC353" i="5" s="1"/>
  <c r="P353" i="5" a="1"/>
  <c r="P353" i="5" s="1"/>
  <c r="AE353" i="5" a="1"/>
  <c r="AE353" i="5" s="1"/>
  <c r="T353" i="5" a="1"/>
  <c r="T353" i="5" s="1"/>
  <c r="W353" i="5" a="1"/>
  <c r="W353" i="5" s="1"/>
  <c r="AF353" i="5" a="1"/>
  <c r="AF353" i="5" s="1"/>
  <c r="U353" i="5" a="1"/>
  <c r="U353" i="5" s="1"/>
  <c r="Z353" i="5" a="1"/>
  <c r="Z353" i="5" s="1"/>
  <c r="Q353" i="5" a="1"/>
  <c r="Q353" i="5" s="1"/>
  <c r="AD353" i="5" a="1"/>
  <c r="AD353" i="5" s="1"/>
  <c r="X353" i="5" a="1"/>
  <c r="X353" i="5" s="1"/>
  <c r="O353" i="5" a="1"/>
  <c r="O353" i="5" s="1"/>
  <c r="AA353" i="5" a="1"/>
  <c r="AA353" i="5" s="1"/>
  <c r="V353" i="5" a="1"/>
  <c r="V353" i="5" s="1"/>
  <c r="AB353" i="5" a="1"/>
  <c r="AB353" i="5" s="1"/>
  <c r="S353" i="5" a="1"/>
  <c r="S353" i="5" s="1"/>
  <c r="R353" i="5" a="1"/>
  <c r="R353" i="5" s="1"/>
  <c r="Y353" i="5" a="1"/>
  <c r="Y353" i="5" s="1"/>
  <c r="N353" i="5" a="1"/>
  <c r="N353" i="5" s="1"/>
  <c r="AH353" i="5" a="1"/>
  <c r="AH353" i="5" s="1"/>
  <c r="AG353" i="5" a="1"/>
  <c r="AG353" i="5" s="1"/>
  <c r="G353" i="5" a="1"/>
  <c r="G353" i="5" s="1"/>
  <c r="L353" i="5" a="1"/>
  <c r="L353" i="5" s="1"/>
  <c r="I353" i="5" a="1"/>
  <c r="I353" i="5" s="1"/>
  <c r="H353" i="5" a="1"/>
  <c r="H353" i="5" s="1"/>
  <c r="K353" i="5" a="1"/>
  <c r="K353" i="5" s="1"/>
  <c r="J353" i="5" a="1"/>
  <c r="J353" i="5" s="1"/>
  <c r="M353" i="5" a="1"/>
  <c r="M353" i="5" s="1"/>
  <c r="F354" i="5"/>
  <c r="K94" i="9" l="1"/>
  <c r="AA94" i="9"/>
  <c r="AC354" i="5" a="1"/>
  <c r="AC354" i="5" s="1"/>
  <c r="T354" i="5" a="1"/>
  <c r="T354" i="5" s="1"/>
  <c r="O94" i="9" s="1"/>
  <c r="AE354" i="5" a="1"/>
  <c r="AE354" i="5" s="1"/>
  <c r="P354" i="5" a="1"/>
  <c r="P354" i="5" s="1"/>
  <c r="U354" i="5" a="1"/>
  <c r="U354" i="5" s="1"/>
  <c r="P94" i="9" s="1"/>
  <c r="AF354" i="5" a="1"/>
  <c r="AF354" i="5" s="1"/>
  <c r="W354" i="5" a="1"/>
  <c r="W354" i="5" s="1"/>
  <c r="R94" i="9" s="1"/>
  <c r="Z354" i="5" a="1"/>
  <c r="Z354" i="5" s="1"/>
  <c r="U94" i="9" s="1"/>
  <c r="O354" i="5" a="1"/>
  <c r="O354" i="5" s="1"/>
  <c r="AA354" i="5" a="1"/>
  <c r="AA354" i="5" s="1"/>
  <c r="V94" i="9" s="1"/>
  <c r="R354" i="5" a="1"/>
  <c r="R354" i="5" s="1"/>
  <c r="V354" i="5" a="1"/>
  <c r="V354" i="5" s="1"/>
  <c r="Q94" i="9" s="1"/>
  <c r="AD354" i="5" a="1"/>
  <c r="AD354" i="5" s="1"/>
  <c r="Q354" i="5" a="1"/>
  <c r="Q354" i="5" s="1"/>
  <c r="X354" i="5" a="1"/>
  <c r="X354" i="5" s="1"/>
  <c r="S94" i="9" s="1"/>
  <c r="S354" i="5" a="1"/>
  <c r="S354" i="5" s="1"/>
  <c r="Y354" i="5" a="1"/>
  <c r="Y354" i="5" s="1"/>
  <c r="T94" i="9" s="1"/>
  <c r="AH354" i="5" a="1"/>
  <c r="AH354" i="5" s="1"/>
  <c r="AB354" i="5" a="1"/>
  <c r="AB354" i="5" s="1"/>
  <c r="N354" i="5" a="1"/>
  <c r="N354" i="5" s="1"/>
  <c r="I94" i="9" s="1"/>
  <c r="AG354" i="5" a="1"/>
  <c r="AG354" i="5" s="1"/>
  <c r="AB94" i="9" s="1"/>
  <c r="G354" i="5" a="1"/>
  <c r="G354" i="5" s="1"/>
  <c r="K354" i="5" a="1"/>
  <c r="K354" i="5" s="1"/>
  <c r="L354" i="5" a="1"/>
  <c r="L354" i="5" s="1"/>
  <c r="I354" i="5" a="1"/>
  <c r="I354" i="5" s="1"/>
  <c r="H354" i="5" a="1"/>
  <c r="H354" i="5" s="1"/>
  <c r="J354" i="5" a="1"/>
  <c r="J354" i="5" s="1"/>
  <c r="E94" i="9" s="1"/>
  <c r="M354" i="5" a="1"/>
  <c r="M354" i="5" s="1"/>
  <c r="H94" i="9" s="1"/>
  <c r="F355" i="5"/>
  <c r="P355" i="5" l="1" a="1"/>
  <c r="P355" i="5" s="1"/>
  <c r="T355" i="5" a="1"/>
  <c r="T355" i="5" s="1"/>
  <c r="AC355" i="5" a="1"/>
  <c r="AC355" i="5" s="1"/>
  <c r="AE355" i="5" a="1"/>
  <c r="AE355" i="5" s="1"/>
  <c r="AF355" i="5" a="1"/>
  <c r="AF355" i="5" s="1"/>
  <c r="W355" i="5" a="1"/>
  <c r="W355" i="5" s="1"/>
  <c r="Z355" i="5" a="1"/>
  <c r="Z355" i="5" s="1"/>
  <c r="U355" i="5" a="1"/>
  <c r="U355" i="5" s="1"/>
  <c r="X355" i="5" a="1"/>
  <c r="X355" i="5" s="1"/>
  <c r="R355" i="5" a="1"/>
  <c r="R355" i="5" s="1"/>
  <c r="O355" i="5" a="1"/>
  <c r="O355" i="5" s="1"/>
  <c r="AD355" i="5" a="1"/>
  <c r="AD355" i="5" s="1"/>
  <c r="AG355" i="5" a="1"/>
  <c r="AG355" i="5" s="1"/>
  <c r="Q355" i="5" a="1"/>
  <c r="Q355" i="5" s="1"/>
  <c r="AA355" i="5" a="1"/>
  <c r="AA355" i="5" s="1"/>
  <c r="V355" i="5" a="1"/>
  <c r="V355" i="5" s="1"/>
  <c r="N355" i="5" a="1"/>
  <c r="N355" i="5" s="1"/>
  <c r="AB355" i="5" a="1"/>
  <c r="AB355" i="5" s="1"/>
  <c r="S355" i="5" a="1"/>
  <c r="S355" i="5" s="1"/>
  <c r="Y355" i="5" a="1"/>
  <c r="Y355" i="5" s="1"/>
  <c r="AH355" i="5" a="1"/>
  <c r="AH355" i="5" s="1"/>
  <c r="G355" i="5" a="1"/>
  <c r="G355" i="5" s="1"/>
  <c r="K355" i="5" a="1"/>
  <c r="K355" i="5" s="1"/>
  <c r="L355" i="5" a="1"/>
  <c r="L355" i="5" s="1"/>
  <c r="H355" i="5" a="1"/>
  <c r="H355" i="5" s="1"/>
  <c r="I355" i="5" a="1"/>
  <c r="I355" i="5" s="1"/>
  <c r="J355" i="5" a="1"/>
  <c r="J355" i="5" s="1"/>
  <c r="M355" i="5" a="1"/>
  <c r="M355" i="5" s="1"/>
  <c r="F356" i="5"/>
  <c r="T356" i="5" l="1" a="1"/>
  <c r="T356" i="5" s="1"/>
  <c r="AE356" i="5" a="1"/>
  <c r="AE356" i="5" s="1"/>
  <c r="P356" i="5" a="1"/>
  <c r="P356" i="5" s="1"/>
  <c r="AC356" i="5" a="1"/>
  <c r="AC356" i="5" s="1"/>
  <c r="Z356" i="5" a="1"/>
  <c r="Z356" i="5" s="1"/>
  <c r="W356" i="5" a="1"/>
  <c r="W356" i="5" s="1"/>
  <c r="U356" i="5" a="1"/>
  <c r="U356" i="5" s="1"/>
  <c r="AF356" i="5" a="1"/>
  <c r="AF356" i="5" s="1"/>
  <c r="X356" i="5" a="1"/>
  <c r="X356" i="5" s="1"/>
  <c r="O356" i="5" a="1"/>
  <c r="O356" i="5" s="1"/>
  <c r="AA356" i="5" a="1"/>
  <c r="AA356" i="5" s="1"/>
  <c r="V356" i="5" a="1"/>
  <c r="V356" i="5" s="1"/>
  <c r="AG356" i="5" a="1"/>
  <c r="AG356" i="5" s="1"/>
  <c r="R356" i="5" a="1"/>
  <c r="R356" i="5" s="1"/>
  <c r="Q356" i="5" a="1"/>
  <c r="Q356" i="5" s="1"/>
  <c r="N356" i="5" a="1"/>
  <c r="N356" i="5" s="1"/>
  <c r="AH356" i="5" a="1"/>
  <c r="AH356" i="5" s="1"/>
  <c r="AB356" i="5" a="1"/>
  <c r="AB356" i="5" s="1"/>
  <c r="Y356" i="5" a="1"/>
  <c r="Y356" i="5" s="1"/>
  <c r="S356" i="5" a="1"/>
  <c r="S356" i="5" s="1"/>
  <c r="AD356" i="5" a="1"/>
  <c r="AD356" i="5" s="1"/>
  <c r="G356" i="5" a="1"/>
  <c r="G356" i="5" s="1"/>
  <c r="I356" i="5" a="1"/>
  <c r="I356" i="5" s="1"/>
  <c r="K356" i="5" a="1"/>
  <c r="K356" i="5" s="1"/>
  <c r="L356" i="5" a="1"/>
  <c r="L356" i="5" s="1"/>
  <c r="H356" i="5" a="1"/>
  <c r="H356" i="5" s="1"/>
  <c r="J356" i="5" a="1"/>
  <c r="J356" i="5" s="1"/>
  <c r="M356" i="5" a="1"/>
  <c r="M356" i="5" s="1"/>
  <c r="F357" i="5"/>
  <c r="AE357" i="5" l="1" a="1"/>
  <c r="AE357" i="5" s="1"/>
  <c r="AC357" i="5" a="1"/>
  <c r="AC357" i="5" s="1"/>
  <c r="T357" i="5" a="1"/>
  <c r="T357" i="5" s="1"/>
  <c r="P357" i="5" a="1"/>
  <c r="P357" i="5" s="1"/>
  <c r="Z357" i="5" a="1"/>
  <c r="Z357" i="5" s="1"/>
  <c r="AF357" i="5" a="1"/>
  <c r="AF357" i="5" s="1"/>
  <c r="W357" i="5" a="1"/>
  <c r="W357" i="5" s="1"/>
  <c r="U357" i="5" a="1"/>
  <c r="U357" i="5" s="1"/>
  <c r="V357" i="5" a="1"/>
  <c r="V357" i="5" s="1"/>
  <c r="AA357" i="5" a="1"/>
  <c r="AA357" i="5" s="1"/>
  <c r="AG357" i="5" a="1"/>
  <c r="AG357" i="5" s="1"/>
  <c r="Q357" i="5" a="1"/>
  <c r="Q357" i="5" s="1"/>
  <c r="O357" i="5" a="1"/>
  <c r="O357" i="5" s="1"/>
  <c r="R357" i="5" a="1"/>
  <c r="R357" i="5" s="1"/>
  <c r="AD357" i="5" a="1"/>
  <c r="AD357" i="5" s="1"/>
  <c r="X357" i="5" a="1"/>
  <c r="X357" i="5" s="1"/>
  <c r="S357" i="5" a="1"/>
  <c r="S357" i="5" s="1"/>
  <c r="AH357" i="5" a="1"/>
  <c r="AH357" i="5" s="1"/>
  <c r="Y357" i="5" a="1"/>
  <c r="Y357" i="5" s="1"/>
  <c r="AB357" i="5" a="1"/>
  <c r="AB357" i="5" s="1"/>
  <c r="N357" i="5" a="1"/>
  <c r="N357" i="5" s="1"/>
  <c r="G357" i="5" a="1"/>
  <c r="G357" i="5" s="1"/>
  <c r="L357" i="5" a="1"/>
  <c r="L357" i="5" s="1"/>
  <c r="H357" i="5" a="1"/>
  <c r="H357" i="5" s="1"/>
  <c r="K357" i="5" a="1"/>
  <c r="K357" i="5" s="1"/>
  <c r="J357" i="5" a="1"/>
  <c r="J357" i="5" s="1"/>
  <c r="I357" i="5" a="1"/>
  <c r="I357" i="5" s="1"/>
  <c r="M357" i="5" a="1"/>
  <c r="M357" i="5" s="1"/>
  <c r="F358" i="5"/>
  <c r="K95" i="9" l="1"/>
  <c r="F95" i="9"/>
  <c r="T358" i="5" a="1"/>
  <c r="T358" i="5" s="1"/>
  <c r="AC358" i="5" a="1"/>
  <c r="AC358" i="5" s="1"/>
  <c r="X95" i="9" s="1"/>
  <c r="P358" i="5" a="1"/>
  <c r="P358" i="5" s="1"/>
  <c r="AE358" i="5" a="1"/>
  <c r="AE358" i="5" s="1"/>
  <c r="U358" i="5" a="1"/>
  <c r="U358" i="5" s="1"/>
  <c r="P95" i="9" s="1"/>
  <c r="Z358" i="5" a="1"/>
  <c r="Z358" i="5" s="1"/>
  <c r="U95" i="9" s="1"/>
  <c r="W358" i="5" a="1"/>
  <c r="W358" i="5" s="1"/>
  <c r="R95" i="9" s="1"/>
  <c r="AF358" i="5" a="1"/>
  <c r="AF358" i="5" s="1"/>
  <c r="O358" i="5" a="1"/>
  <c r="O358" i="5" s="1"/>
  <c r="J95" i="9" s="1"/>
  <c r="X358" i="5" a="1"/>
  <c r="X358" i="5" s="1"/>
  <c r="S95" i="9" s="1"/>
  <c r="V358" i="5" a="1"/>
  <c r="V358" i="5" s="1"/>
  <c r="Q95" i="9" s="1"/>
  <c r="Q358" i="5" a="1"/>
  <c r="Q358" i="5" s="1"/>
  <c r="AA358" i="5" a="1"/>
  <c r="AA358" i="5" s="1"/>
  <c r="V95" i="9" s="1"/>
  <c r="N358" i="5" a="1"/>
  <c r="N358" i="5" s="1"/>
  <c r="I95" i="9" s="1"/>
  <c r="AB358" i="5" a="1"/>
  <c r="AB358" i="5" s="1"/>
  <c r="Y358" i="5" a="1"/>
  <c r="Y358" i="5" s="1"/>
  <c r="T95" i="9" s="1"/>
  <c r="R358" i="5" a="1"/>
  <c r="R358" i="5" s="1"/>
  <c r="AD358" i="5" a="1"/>
  <c r="AD358" i="5" s="1"/>
  <c r="AH358" i="5" a="1"/>
  <c r="AH358" i="5" s="1"/>
  <c r="AG358" i="5" a="1"/>
  <c r="AG358" i="5" s="1"/>
  <c r="S358" i="5" a="1"/>
  <c r="S358" i="5" s="1"/>
  <c r="G358" i="5" a="1"/>
  <c r="G358" i="5" s="1"/>
  <c r="B95" i="9" s="1"/>
  <c r="L358" i="5" a="1"/>
  <c r="L358" i="5" s="1"/>
  <c r="G95" i="9" s="1"/>
  <c r="I358" i="5" a="1"/>
  <c r="I358" i="5" s="1"/>
  <c r="D95" i="9" s="1"/>
  <c r="H358" i="5" a="1"/>
  <c r="H358" i="5" s="1"/>
  <c r="K358" i="5" a="1"/>
  <c r="K358" i="5" s="1"/>
  <c r="J358" i="5" a="1"/>
  <c r="J358" i="5" s="1"/>
  <c r="M358" i="5" a="1"/>
  <c r="M358" i="5" s="1"/>
  <c r="F6" i="5"/>
  <c r="H10" i="9" l="1"/>
  <c r="H11" i="9"/>
  <c r="H12" i="9"/>
  <c r="H13" i="9"/>
  <c r="H14" i="9"/>
  <c r="H15" i="9"/>
  <c r="H16" i="9"/>
  <c r="H17" i="9"/>
  <c r="H18" i="9"/>
  <c r="H19" i="9"/>
  <c r="H20" i="9"/>
  <c r="H22" i="9"/>
  <c r="H23" i="9"/>
  <c r="H24" i="9"/>
  <c r="H25" i="9"/>
  <c r="H26" i="9"/>
  <c r="H27" i="9"/>
  <c r="H28" i="9"/>
  <c r="H29" i="9"/>
  <c r="H30" i="9"/>
  <c r="H31" i="9"/>
  <c r="H32" i="9"/>
  <c r="H33" i="9"/>
  <c r="H34" i="9"/>
  <c r="H35" i="9"/>
  <c r="H36" i="9"/>
  <c r="H37" i="9"/>
  <c r="H38" i="9"/>
  <c r="H39" i="9"/>
  <c r="H40" i="9"/>
  <c r="H41" i="9"/>
  <c r="H42" i="9"/>
  <c r="H44" i="9"/>
  <c r="H45" i="9"/>
  <c r="H46" i="9"/>
  <c r="H47" i="9"/>
  <c r="H48" i="9"/>
  <c r="H49" i="9"/>
  <c r="H52" i="9"/>
  <c r="H56" i="9"/>
  <c r="H58" i="9"/>
  <c r="H59" i="9"/>
  <c r="H61" i="9"/>
  <c r="H62" i="9"/>
  <c r="H63" i="9"/>
  <c r="H65" i="9"/>
  <c r="H66" i="9"/>
  <c r="H67" i="9"/>
  <c r="H68" i="9"/>
  <c r="H69" i="9"/>
  <c r="H70" i="9"/>
  <c r="H71" i="9"/>
  <c r="H72" i="9"/>
  <c r="H73" i="9"/>
  <c r="H74" i="9"/>
  <c r="H76" i="9"/>
  <c r="H77" i="9"/>
  <c r="H78" i="9"/>
  <c r="H79" i="9"/>
  <c r="H80" i="9"/>
  <c r="H81" i="9"/>
  <c r="H82" i="9"/>
  <c r="H83" i="9"/>
  <c r="H85" i="9"/>
  <c r="H86" i="9"/>
  <c r="H88" i="9"/>
  <c r="H89" i="9"/>
  <c r="H90" i="9"/>
  <c r="H91" i="9"/>
  <c r="H92" i="9"/>
  <c r="H93" i="9"/>
  <c r="AB10" i="9"/>
  <c r="AB11" i="9"/>
  <c r="AB12" i="9"/>
  <c r="AB13" i="9"/>
  <c r="AB14" i="9"/>
  <c r="AB15" i="9"/>
  <c r="AB17" i="9"/>
  <c r="AB18" i="9"/>
  <c r="AB19" i="9"/>
  <c r="AB20" i="9"/>
  <c r="AB21" i="9"/>
  <c r="AB22" i="9"/>
  <c r="AB23" i="9"/>
  <c r="AB24" i="9"/>
  <c r="AB25" i="9"/>
  <c r="AB26" i="9"/>
  <c r="AB29" i="9"/>
  <c r="AB30" i="9"/>
  <c r="AB31" i="9"/>
  <c r="AB32" i="9"/>
  <c r="AB33" i="9"/>
  <c r="AB34" i="9"/>
  <c r="AB35" i="9"/>
  <c r="AB37" i="9"/>
  <c r="AB38" i="9"/>
  <c r="AB39" i="9"/>
  <c r="AB41" i="9"/>
  <c r="AB42" i="9"/>
  <c r="AB43" i="9"/>
  <c r="AB44" i="9"/>
  <c r="AB45" i="9"/>
  <c r="AB46" i="9"/>
  <c r="AB47" i="9"/>
  <c r="AB48" i="9"/>
  <c r="AB49" i="9"/>
  <c r="AB50" i="9"/>
  <c r="AB51" i="9"/>
  <c r="AB53" i="9"/>
  <c r="AB57" i="9"/>
  <c r="AB58" i="9"/>
  <c r="AB59" i="9"/>
  <c r="AB60" i="9"/>
  <c r="AB61" i="9"/>
  <c r="AB62" i="9"/>
  <c r="AB63" i="9"/>
  <c r="AB64" i="9"/>
  <c r="AB66" i="9"/>
  <c r="AB67" i="9"/>
  <c r="AB68" i="9"/>
  <c r="AB69" i="9"/>
  <c r="AB70" i="9"/>
  <c r="AB71" i="9"/>
  <c r="AB72" i="9"/>
  <c r="AB73" i="9"/>
  <c r="AB74" i="9"/>
  <c r="AB75" i="9"/>
  <c r="AB77" i="9"/>
  <c r="AB78" i="9"/>
  <c r="AB79" i="9"/>
  <c r="AB80" i="9"/>
  <c r="AB81" i="9"/>
  <c r="AB82" i="9"/>
  <c r="AB83" i="9"/>
  <c r="AB84" i="9"/>
  <c r="AB85" i="9"/>
  <c r="AB86" i="9"/>
  <c r="AB87" i="9"/>
  <c r="AB89" i="9"/>
  <c r="AB90" i="9"/>
  <c r="AB91" i="9"/>
  <c r="AB92" i="9"/>
  <c r="AB93" i="9"/>
  <c r="L10" i="9"/>
  <c r="L11" i="9"/>
  <c r="L12" i="9"/>
  <c r="L14" i="9"/>
  <c r="L15" i="9"/>
  <c r="L16" i="9"/>
  <c r="L17" i="9"/>
  <c r="L18" i="9"/>
  <c r="L19" i="9"/>
  <c r="L20" i="9"/>
  <c r="L21" i="9"/>
  <c r="L22" i="9"/>
  <c r="L23" i="9"/>
  <c r="L25" i="9"/>
  <c r="L26" i="9"/>
  <c r="L27" i="9"/>
  <c r="L31" i="9"/>
  <c r="L33" i="9"/>
  <c r="L34" i="9"/>
  <c r="L35" i="9"/>
  <c r="L36" i="9"/>
  <c r="L37" i="9"/>
  <c r="L38" i="9"/>
  <c r="L39" i="9"/>
  <c r="L41" i="9"/>
  <c r="L43" i="9"/>
  <c r="L45" i="9"/>
  <c r="L46" i="9"/>
  <c r="L47" i="9"/>
  <c r="L48" i="9"/>
  <c r="L49" i="9"/>
  <c r="L50" i="9"/>
  <c r="L51" i="9"/>
  <c r="L52" i="9"/>
  <c r="L53" i="9"/>
  <c r="L54" i="9"/>
  <c r="L55" i="9"/>
  <c r="L56" i="9"/>
  <c r="L58" i="9"/>
  <c r="L59" i="9"/>
  <c r="L60" i="9"/>
  <c r="L61" i="9"/>
  <c r="L62" i="9"/>
  <c r="L63" i="9"/>
  <c r="L65" i="9"/>
  <c r="L66" i="9"/>
  <c r="L67" i="9"/>
  <c r="L68" i="9"/>
  <c r="L69" i="9"/>
  <c r="L70" i="9"/>
  <c r="L71" i="9"/>
  <c r="L72" i="9"/>
  <c r="L73" i="9"/>
  <c r="L74" i="9"/>
  <c r="L75" i="9"/>
  <c r="L76" i="9"/>
  <c r="L77" i="9"/>
  <c r="L78" i="9"/>
  <c r="L79" i="9"/>
  <c r="L80" i="9"/>
  <c r="L81" i="9"/>
  <c r="L82" i="9"/>
  <c r="L84" i="9"/>
  <c r="L86" i="9"/>
  <c r="L88" i="9"/>
  <c r="L91" i="9"/>
  <c r="L92" i="9"/>
  <c r="L94" i="9"/>
  <c r="Z10" i="9"/>
  <c r="Z11" i="9"/>
  <c r="Z13" i="9"/>
  <c r="Z14" i="9"/>
  <c r="Z15" i="9"/>
  <c r="Z16" i="9"/>
  <c r="Z18" i="9"/>
  <c r="Z20" i="9"/>
  <c r="Z21" i="9"/>
  <c r="Z22" i="9"/>
  <c r="Z23" i="9"/>
  <c r="Z24" i="9"/>
  <c r="Z26" i="9"/>
  <c r="Z29" i="9"/>
  <c r="Z30" i="9"/>
  <c r="Z31" i="9"/>
  <c r="Z32" i="9"/>
  <c r="Z33" i="9"/>
  <c r="Z37" i="9"/>
  <c r="Z38" i="9"/>
  <c r="Z39" i="9"/>
  <c r="Z42" i="9"/>
  <c r="Z43" i="9"/>
  <c r="Z44" i="9"/>
  <c r="Z46" i="9"/>
  <c r="Z48" i="9"/>
  <c r="Z51" i="9"/>
  <c r="Z52" i="9"/>
  <c r="Z54" i="9"/>
  <c r="Z55" i="9"/>
  <c r="Z56" i="9"/>
  <c r="Z58" i="9"/>
  <c r="Z59" i="9"/>
  <c r="Z60" i="9"/>
  <c r="W4" i="6" s="1"/>
  <c r="Z62" i="9"/>
  <c r="Z64" i="9"/>
  <c r="Z66" i="9"/>
  <c r="Z67" i="9"/>
  <c r="Z68" i="9"/>
  <c r="Z69" i="9"/>
  <c r="Z70" i="9"/>
  <c r="Z71" i="9"/>
  <c r="Z72" i="9"/>
  <c r="Z77" i="9"/>
  <c r="Z78" i="9"/>
  <c r="Z79" i="9"/>
  <c r="Z80" i="9"/>
  <c r="Z81" i="9"/>
  <c r="Z82" i="9"/>
  <c r="Z83" i="9"/>
  <c r="Z84" i="9"/>
  <c r="Z86" i="9"/>
  <c r="Z89" i="9"/>
  <c r="Z91" i="9"/>
  <c r="Z92" i="9"/>
  <c r="Z94" i="9"/>
  <c r="L95" i="9"/>
  <c r="N11" i="9"/>
  <c r="N13" i="9"/>
  <c r="N14" i="9"/>
  <c r="N16" i="9"/>
  <c r="N17" i="9"/>
  <c r="N18" i="9"/>
  <c r="N19" i="9"/>
  <c r="N20" i="9"/>
  <c r="N21" i="9"/>
  <c r="N22" i="9"/>
  <c r="N23" i="9"/>
  <c r="N24" i="9"/>
  <c r="N27" i="9"/>
  <c r="N28" i="9"/>
  <c r="N29" i="9"/>
  <c r="N31" i="9"/>
  <c r="N32" i="9"/>
  <c r="N34" i="9"/>
  <c r="N35" i="9"/>
  <c r="N36" i="9"/>
  <c r="N38" i="9"/>
  <c r="N39" i="9"/>
  <c r="N41" i="9"/>
  <c r="N42" i="9"/>
  <c r="N45" i="9"/>
  <c r="N46" i="9"/>
  <c r="N47" i="9"/>
  <c r="N48" i="9"/>
  <c r="N50" i="9"/>
  <c r="N51" i="9"/>
  <c r="N52" i="9"/>
  <c r="N54" i="9"/>
  <c r="N55" i="9"/>
  <c r="N56" i="9"/>
  <c r="N57" i="9"/>
  <c r="N58" i="9"/>
  <c r="N61" i="9"/>
  <c r="N62" i="9"/>
  <c r="N64" i="9"/>
  <c r="N65" i="9"/>
  <c r="N66" i="9"/>
  <c r="N67" i="9"/>
  <c r="N68" i="9"/>
  <c r="N69" i="9"/>
  <c r="N70" i="9"/>
  <c r="N71" i="9"/>
  <c r="N72" i="9"/>
  <c r="N73" i="9"/>
  <c r="N75" i="9"/>
  <c r="N76" i="9"/>
  <c r="N77" i="9"/>
  <c r="N78" i="9"/>
  <c r="N79" i="9"/>
  <c r="N80" i="9"/>
  <c r="N81" i="9"/>
  <c r="N82" i="9"/>
  <c r="N83" i="9"/>
  <c r="N84" i="9"/>
  <c r="N86" i="9"/>
  <c r="N87" i="9"/>
  <c r="N88" i="9"/>
  <c r="N89" i="9"/>
  <c r="N90" i="9"/>
  <c r="N91" i="9"/>
  <c r="N93" i="9"/>
  <c r="N94" i="9"/>
  <c r="N95" i="9"/>
  <c r="E10" i="9"/>
  <c r="E11" i="9"/>
  <c r="E12" i="9"/>
  <c r="E13" i="9"/>
  <c r="E15" i="9"/>
  <c r="E16" i="9"/>
  <c r="E18" i="9"/>
  <c r="E19" i="9"/>
  <c r="E20" i="9"/>
  <c r="E21" i="9"/>
  <c r="E22" i="9"/>
  <c r="E23" i="9"/>
  <c r="E24" i="9"/>
  <c r="E25" i="9"/>
  <c r="E26" i="9"/>
  <c r="E27" i="9"/>
  <c r="E28" i="9"/>
  <c r="E29" i="9"/>
  <c r="E30" i="9"/>
  <c r="E31" i="9"/>
  <c r="E32" i="9"/>
  <c r="E33" i="9"/>
  <c r="E34" i="9"/>
  <c r="E36" i="9"/>
  <c r="E37" i="9"/>
  <c r="E38" i="9"/>
  <c r="E39" i="9"/>
  <c r="E40" i="9"/>
  <c r="E43" i="9"/>
  <c r="E44" i="9"/>
  <c r="E45" i="9"/>
  <c r="E46" i="9"/>
  <c r="E47" i="9"/>
  <c r="E48" i="9"/>
  <c r="E49" i="9"/>
  <c r="E50" i="9"/>
  <c r="E51" i="9"/>
  <c r="E52" i="9"/>
  <c r="E53" i="9"/>
  <c r="E54" i="9"/>
  <c r="E55" i="9"/>
  <c r="E57" i="9"/>
  <c r="E58" i="9"/>
  <c r="E59" i="9"/>
  <c r="E61" i="9"/>
  <c r="E62" i="9"/>
  <c r="E64" i="9"/>
  <c r="E66" i="9"/>
  <c r="E67" i="9"/>
  <c r="E68" i="9"/>
  <c r="E69" i="9"/>
  <c r="E70" i="9"/>
  <c r="E71" i="9"/>
  <c r="E72" i="9"/>
  <c r="E73" i="9"/>
  <c r="E74" i="9"/>
  <c r="E76" i="9"/>
  <c r="E77" i="9"/>
  <c r="E78" i="9"/>
  <c r="E79" i="9"/>
  <c r="E80" i="9"/>
  <c r="E81" i="9"/>
  <c r="E82" i="9"/>
  <c r="E83" i="9"/>
  <c r="E84" i="9"/>
  <c r="E85" i="9"/>
  <c r="E86" i="9"/>
  <c r="E87" i="9"/>
  <c r="E89" i="9"/>
  <c r="E90" i="9"/>
  <c r="E91" i="9"/>
  <c r="E92" i="9"/>
  <c r="AC13" i="9"/>
  <c r="AC15" i="9"/>
  <c r="AC17" i="9"/>
  <c r="AC18" i="9"/>
  <c r="AC19" i="9"/>
  <c r="AC20" i="9"/>
  <c r="AC22" i="9"/>
  <c r="AC23" i="9"/>
  <c r="AC25" i="9"/>
  <c r="AC26" i="9"/>
  <c r="AC27" i="9"/>
  <c r="AC29" i="9"/>
  <c r="AC30" i="9"/>
  <c r="AC31" i="9"/>
  <c r="AC32" i="9"/>
  <c r="AC33" i="9"/>
  <c r="AC34" i="9"/>
  <c r="AC35" i="9"/>
  <c r="AC36" i="9"/>
  <c r="AC37" i="9"/>
  <c r="AC38" i="9"/>
  <c r="AC39" i="9"/>
  <c r="AC40" i="9"/>
  <c r="AC41" i="9"/>
  <c r="AC42" i="9"/>
  <c r="AC43" i="9"/>
  <c r="AC44" i="9"/>
  <c r="AC45" i="9"/>
  <c r="AC46" i="9"/>
  <c r="AC47" i="9"/>
  <c r="AC48" i="9"/>
  <c r="AC49" i="9"/>
  <c r="AC50" i="9"/>
  <c r="AC54" i="9"/>
  <c r="AC55" i="9"/>
  <c r="AC56" i="9"/>
  <c r="AC58" i="9"/>
  <c r="AC59" i="9"/>
  <c r="AC61" i="9"/>
  <c r="AC62" i="9"/>
  <c r="AC63" i="9"/>
  <c r="AC64" i="9"/>
  <c r="AC65" i="9"/>
  <c r="AC66" i="9"/>
  <c r="AC67" i="9"/>
  <c r="AC68" i="9"/>
  <c r="AC69" i="9"/>
  <c r="AC70" i="9"/>
  <c r="AC71" i="9"/>
  <c r="AC72" i="9"/>
  <c r="AC75" i="9"/>
  <c r="AC77" i="9"/>
  <c r="AC78" i="9"/>
  <c r="AC79" i="9"/>
  <c r="AC80" i="9"/>
  <c r="AC81" i="9"/>
  <c r="AC82" i="9"/>
  <c r="AC83" i="9"/>
  <c r="AC84" i="9"/>
  <c r="AC85" i="9"/>
  <c r="AC87" i="9"/>
  <c r="AC91" i="9"/>
  <c r="AC92" i="9"/>
  <c r="AC93" i="9"/>
  <c r="AC94" i="9"/>
  <c r="K10" i="9"/>
  <c r="K11" i="9"/>
  <c r="K12" i="9"/>
  <c r="K13" i="9"/>
  <c r="K14" i="9"/>
  <c r="K18" i="9"/>
  <c r="K20" i="9"/>
  <c r="K21" i="9"/>
  <c r="K23" i="9"/>
  <c r="K24" i="9"/>
  <c r="K26" i="9"/>
  <c r="K27" i="9"/>
  <c r="K29" i="9"/>
  <c r="K32" i="9"/>
  <c r="K34" i="9"/>
  <c r="K35" i="9"/>
  <c r="K36" i="9"/>
  <c r="K37" i="9"/>
  <c r="K38" i="9"/>
  <c r="K39" i="9"/>
  <c r="K40" i="9"/>
  <c r="K41" i="9"/>
  <c r="K42" i="9"/>
  <c r="K43" i="9"/>
  <c r="K44" i="9"/>
  <c r="K46" i="9"/>
  <c r="K47" i="9"/>
  <c r="K48" i="9"/>
  <c r="K50" i="9"/>
  <c r="K51" i="9"/>
  <c r="K52" i="9"/>
  <c r="K53" i="9"/>
  <c r="K56" i="9"/>
  <c r="K58" i="9"/>
  <c r="K59" i="9"/>
  <c r="K61" i="9"/>
  <c r="K63" i="9"/>
  <c r="K65" i="9"/>
  <c r="K66" i="9"/>
  <c r="K67" i="9"/>
  <c r="K68" i="9"/>
  <c r="K69" i="9"/>
  <c r="K70" i="9"/>
  <c r="K71" i="9"/>
  <c r="K72" i="9"/>
  <c r="K73" i="9"/>
  <c r="K74" i="9"/>
  <c r="K76" i="9"/>
  <c r="K78" i="9"/>
  <c r="K79" i="9"/>
  <c r="K80" i="9"/>
  <c r="K81" i="9"/>
  <c r="K82" i="9"/>
  <c r="K85" i="9"/>
  <c r="K86" i="9"/>
  <c r="K87" i="9"/>
  <c r="K88" i="9"/>
  <c r="K89" i="9"/>
  <c r="K90" i="9"/>
  <c r="K91" i="9"/>
  <c r="K93" i="9"/>
  <c r="Y11" i="9"/>
  <c r="Y12" i="9"/>
  <c r="Y15" i="9"/>
  <c r="Y16" i="9"/>
  <c r="Y17" i="9"/>
  <c r="Y19" i="9"/>
  <c r="Y22" i="9"/>
  <c r="Y24" i="9"/>
  <c r="Y25" i="9"/>
  <c r="Y26" i="9"/>
  <c r="Y27" i="9"/>
  <c r="Y28" i="9"/>
  <c r="Y29" i="9"/>
  <c r="Y30" i="9"/>
  <c r="Y31" i="9"/>
  <c r="Y32" i="9"/>
  <c r="Y33" i="9"/>
  <c r="Y35" i="9"/>
  <c r="Y36" i="9"/>
  <c r="Y37" i="9"/>
  <c r="Y39" i="9"/>
  <c r="Y40" i="9"/>
  <c r="Y41" i="9"/>
  <c r="Y42" i="9"/>
  <c r="Y43" i="9"/>
  <c r="Y45" i="9"/>
  <c r="Y46" i="9"/>
  <c r="Y47" i="9"/>
  <c r="Y48" i="9"/>
  <c r="Y51" i="9"/>
  <c r="Y52" i="9"/>
  <c r="Y53" i="9"/>
  <c r="Y54" i="9"/>
  <c r="Y55" i="9"/>
  <c r="Y57" i="9"/>
  <c r="Y58" i="9"/>
  <c r="Y60" i="9"/>
  <c r="Y61" i="9"/>
  <c r="Y62" i="9"/>
  <c r="Y63" i="9"/>
  <c r="Y64" i="9"/>
  <c r="Y65" i="9"/>
  <c r="Y66" i="9"/>
  <c r="Y67" i="9"/>
  <c r="Y68" i="9"/>
  <c r="Y69" i="9"/>
  <c r="Y70" i="9"/>
  <c r="Y71" i="9"/>
  <c r="Y72" i="9"/>
  <c r="Y73" i="9"/>
  <c r="Y74" i="9"/>
  <c r="Y75" i="9"/>
  <c r="Y77" i="9"/>
  <c r="Y78" i="9"/>
  <c r="Y79" i="9"/>
  <c r="Y80" i="9"/>
  <c r="Y81" i="9"/>
  <c r="Y82" i="9"/>
  <c r="Y83" i="9"/>
  <c r="Y84" i="9"/>
  <c r="Y85" i="9"/>
  <c r="Y86" i="9"/>
  <c r="Y87" i="9"/>
  <c r="Y88" i="9"/>
  <c r="Y90" i="9"/>
  <c r="Y91" i="9"/>
  <c r="Y93" i="9"/>
  <c r="Y94" i="9"/>
  <c r="X10" i="9"/>
  <c r="X11" i="9"/>
  <c r="X12" i="9"/>
  <c r="X13" i="9"/>
  <c r="X14" i="9"/>
  <c r="X18" i="9"/>
  <c r="X20" i="9"/>
  <c r="X21" i="9"/>
  <c r="X22" i="9"/>
  <c r="X24" i="9"/>
  <c r="X25" i="9"/>
  <c r="X26" i="9"/>
  <c r="X27" i="9"/>
  <c r="X28" i="9"/>
  <c r="X29" i="9"/>
  <c r="X30" i="9"/>
  <c r="X31" i="9"/>
  <c r="X32" i="9"/>
  <c r="X33" i="9"/>
  <c r="X34" i="9"/>
  <c r="X35" i="9"/>
  <c r="X36" i="9"/>
  <c r="X37" i="9"/>
  <c r="X39" i="9"/>
  <c r="X40" i="9"/>
  <c r="X41" i="9"/>
  <c r="X42" i="9"/>
  <c r="X43" i="9"/>
  <c r="X44" i="9"/>
  <c r="X45" i="9"/>
  <c r="X47" i="9"/>
  <c r="X48" i="9"/>
  <c r="X49" i="9"/>
  <c r="X50" i="9"/>
  <c r="X51" i="9"/>
  <c r="X52" i="9"/>
  <c r="X54" i="9"/>
  <c r="X55" i="9"/>
  <c r="X56" i="9"/>
  <c r="X57" i="9"/>
  <c r="X60" i="9"/>
  <c r="U4" i="6" s="1"/>
  <c r="X61" i="9"/>
  <c r="X62" i="9"/>
  <c r="X64" i="9"/>
  <c r="X66" i="9"/>
  <c r="X67" i="9"/>
  <c r="X68" i="9"/>
  <c r="X69" i="9"/>
  <c r="X70" i="9"/>
  <c r="X71" i="9"/>
  <c r="X72" i="9"/>
  <c r="X73" i="9"/>
  <c r="X74" i="9"/>
  <c r="X75" i="9"/>
  <c r="X76" i="9"/>
  <c r="X78" i="9"/>
  <c r="X79" i="9"/>
  <c r="X80" i="9"/>
  <c r="X81" i="9"/>
  <c r="X82" i="9"/>
  <c r="X83" i="9"/>
  <c r="X84" i="9"/>
  <c r="X85" i="9"/>
  <c r="X86" i="9"/>
  <c r="X87" i="9"/>
  <c r="X88" i="9"/>
  <c r="X89" i="9"/>
  <c r="X92" i="9"/>
  <c r="X94" i="9"/>
  <c r="AC95" i="9"/>
  <c r="F10" i="9"/>
  <c r="F11" i="9"/>
  <c r="F13" i="9"/>
  <c r="F14" i="9"/>
  <c r="F15" i="9"/>
  <c r="F16" i="9"/>
  <c r="F17" i="9"/>
  <c r="F18" i="9"/>
  <c r="F19" i="9"/>
  <c r="F20" i="9"/>
  <c r="F21" i="9"/>
  <c r="F22" i="9"/>
  <c r="F23" i="9"/>
  <c r="F24" i="9"/>
  <c r="F25" i="9"/>
  <c r="F26" i="9"/>
  <c r="F27" i="9"/>
  <c r="F28" i="9"/>
  <c r="F29" i="9"/>
  <c r="F31" i="9"/>
  <c r="F32" i="9"/>
  <c r="F33" i="9"/>
  <c r="F35" i="9"/>
  <c r="F36" i="9"/>
  <c r="F37" i="9"/>
  <c r="F38" i="9"/>
  <c r="F39" i="9"/>
  <c r="F40" i="9"/>
  <c r="F41" i="9"/>
  <c r="F42" i="9"/>
  <c r="F43" i="9"/>
  <c r="F44" i="9"/>
  <c r="F45" i="9"/>
  <c r="F47" i="9"/>
  <c r="F48" i="9"/>
  <c r="F50" i="9"/>
  <c r="F51" i="9"/>
  <c r="F52" i="9"/>
  <c r="F53"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2" i="9"/>
  <c r="F93" i="9"/>
  <c r="F94" i="9"/>
  <c r="C10" i="9"/>
  <c r="C11" i="9"/>
  <c r="C12" i="9"/>
  <c r="C13" i="9"/>
  <c r="C14" i="9"/>
  <c r="C15" i="9"/>
  <c r="C16" i="9"/>
  <c r="C17" i="9"/>
  <c r="C18" i="9"/>
  <c r="C19" i="9"/>
  <c r="C20" i="9"/>
  <c r="C22" i="9"/>
  <c r="C24" i="9"/>
  <c r="C26" i="9"/>
  <c r="C27" i="9"/>
  <c r="C28" i="9"/>
  <c r="C29" i="9"/>
  <c r="C30" i="9"/>
  <c r="C31" i="9"/>
  <c r="C32" i="9"/>
  <c r="C33" i="9"/>
  <c r="C34" i="9"/>
  <c r="C35" i="9"/>
  <c r="C36" i="9"/>
  <c r="C37" i="9"/>
  <c r="C38" i="9"/>
  <c r="C39" i="9"/>
  <c r="C40" i="9"/>
  <c r="C41" i="9"/>
  <c r="C43" i="9"/>
  <c r="C44" i="9"/>
  <c r="C45" i="9"/>
  <c r="C46" i="9"/>
  <c r="C47" i="9"/>
  <c r="C48" i="9"/>
  <c r="C50" i="9"/>
  <c r="C52" i="9"/>
  <c r="C53" i="9"/>
  <c r="C54" i="9"/>
  <c r="C55" i="9"/>
  <c r="C56" i="9"/>
  <c r="C57" i="9"/>
  <c r="C58" i="9"/>
  <c r="C59" i="9"/>
  <c r="C60" i="9"/>
  <c r="C62" i="9"/>
  <c r="C63" i="9"/>
  <c r="C64" i="9"/>
  <c r="C65" i="9"/>
  <c r="C66" i="9"/>
  <c r="C67" i="9"/>
  <c r="C68" i="9"/>
  <c r="C69" i="9"/>
  <c r="C70" i="9"/>
  <c r="C71" i="9"/>
  <c r="C72" i="9"/>
  <c r="C73" i="9"/>
  <c r="C74" i="9"/>
  <c r="C75" i="9"/>
  <c r="C76" i="9"/>
  <c r="C77" i="9"/>
  <c r="C78" i="9"/>
  <c r="C79" i="9"/>
  <c r="C80" i="9"/>
  <c r="C81" i="9"/>
  <c r="C82" i="9"/>
  <c r="C83" i="9"/>
  <c r="C84" i="9"/>
  <c r="C85" i="9"/>
  <c r="C86" i="9"/>
  <c r="C87" i="9"/>
  <c r="C88" i="9"/>
  <c r="C90" i="9"/>
  <c r="C91" i="9"/>
  <c r="C92" i="9"/>
  <c r="C93" i="9"/>
  <c r="C94" i="9"/>
  <c r="C95" i="9"/>
  <c r="M12" i="9"/>
  <c r="M13" i="9"/>
  <c r="M14" i="9"/>
  <c r="M15" i="9"/>
  <c r="M16" i="9"/>
  <c r="M18" i="9"/>
  <c r="M19" i="9"/>
  <c r="M21" i="9"/>
  <c r="M22" i="9"/>
  <c r="M23" i="9"/>
  <c r="M24" i="9"/>
  <c r="M26" i="9"/>
  <c r="M27" i="9"/>
  <c r="M28" i="9"/>
  <c r="M29" i="9"/>
  <c r="M30" i="9"/>
  <c r="M31" i="9"/>
  <c r="M34" i="9"/>
  <c r="M35" i="9"/>
  <c r="M36" i="9"/>
  <c r="M37" i="9"/>
  <c r="M38" i="9"/>
  <c r="M39" i="9"/>
  <c r="M40" i="9"/>
  <c r="M41" i="9"/>
  <c r="M42" i="9"/>
  <c r="M44" i="9"/>
  <c r="M45" i="9"/>
  <c r="M47" i="9"/>
  <c r="M48" i="9"/>
  <c r="M49" i="9"/>
  <c r="M50" i="9"/>
  <c r="M51" i="9"/>
  <c r="M52" i="9"/>
  <c r="M53" i="9"/>
  <c r="M54" i="9"/>
  <c r="M55" i="9"/>
  <c r="M56" i="9"/>
  <c r="M57" i="9"/>
  <c r="M60" i="9"/>
  <c r="M61" i="9"/>
  <c r="M62" i="9"/>
  <c r="M63" i="9"/>
  <c r="M64" i="9"/>
  <c r="M66" i="9"/>
  <c r="M67" i="9"/>
  <c r="M68" i="9"/>
  <c r="M69" i="9"/>
  <c r="M70" i="9"/>
  <c r="M71" i="9"/>
  <c r="M72" i="9"/>
  <c r="M73" i="9"/>
  <c r="M75" i="9"/>
  <c r="M77" i="9"/>
  <c r="M78" i="9"/>
  <c r="M79" i="9"/>
  <c r="M80" i="9"/>
  <c r="M81" i="9"/>
  <c r="M82" i="9"/>
  <c r="M83" i="9"/>
  <c r="M84" i="9"/>
  <c r="M85" i="9"/>
  <c r="M89" i="9"/>
  <c r="M91" i="9"/>
  <c r="M92" i="9"/>
  <c r="M93" i="9"/>
  <c r="M94" i="9"/>
  <c r="J10" i="9"/>
  <c r="J11" i="9"/>
  <c r="J13" i="9"/>
  <c r="J14" i="9"/>
  <c r="J15" i="9"/>
  <c r="J16" i="9"/>
  <c r="J17" i="9"/>
  <c r="J18" i="9"/>
  <c r="J19" i="9"/>
  <c r="J20" i="9"/>
  <c r="J21" i="9"/>
  <c r="J23" i="9"/>
  <c r="J24" i="9"/>
  <c r="J25" i="9"/>
  <c r="J26" i="9"/>
  <c r="J27" i="9"/>
  <c r="J29" i="9"/>
  <c r="J30" i="9"/>
  <c r="J32" i="9"/>
  <c r="J33" i="9"/>
  <c r="J34" i="9"/>
  <c r="J36" i="9"/>
  <c r="J37" i="9"/>
  <c r="J39" i="9"/>
  <c r="J41" i="9"/>
  <c r="J43" i="9"/>
  <c r="J44" i="9"/>
  <c r="J45" i="9"/>
  <c r="J46" i="9"/>
  <c r="J47" i="9"/>
  <c r="J49" i="9"/>
  <c r="J51" i="9"/>
  <c r="J52" i="9"/>
  <c r="J53" i="9"/>
  <c r="J56" i="9"/>
  <c r="J57" i="9"/>
  <c r="J58" i="9"/>
  <c r="J59" i="9"/>
  <c r="J60" i="9"/>
  <c r="L4" i="6" s="1"/>
  <c r="J61" i="9"/>
  <c r="J62" i="9"/>
  <c r="J63" i="9"/>
  <c r="J64" i="9"/>
  <c r="J66" i="9"/>
  <c r="J67" i="9"/>
  <c r="J68" i="9"/>
  <c r="J69" i="9"/>
  <c r="J70" i="9"/>
  <c r="J71" i="9"/>
  <c r="J72" i="9"/>
  <c r="J73" i="9"/>
  <c r="J75" i="9"/>
  <c r="J76" i="9"/>
  <c r="J77" i="9"/>
  <c r="J78" i="9"/>
  <c r="J79" i="9"/>
  <c r="J80" i="9"/>
  <c r="J81" i="9"/>
  <c r="J82" i="9"/>
  <c r="J84" i="9"/>
  <c r="J85" i="9"/>
  <c r="J87" i="9"/>
  <c r="J88" i="9"/>
  <c r="J89" i="9"/>
  <c r="J90" i="9"/>
  <c r="J91" i="9"/>
  <c r="J92" i="9"/>
  <c r="J94" i="9"/>
  <c r="O11" i="9"/>
  <c r="O18" i="9"/>
  <c r="O20" i="9"/>
  <c r="O21" i="9"/>
  <c r="O22" i="9"/>
  <c r="O24" i="9"/>
  <c r="O27" i="9"/>
  <c r="O28" i="9"/>
  <c r="O29" i="9"/>
  <c r="O30" i="9"/>
  <c r="O31" i="9"/>
  <c r="O32" i="9"/>
  <c r="O33" i="9"/>
  <c r="O34" i="9"/>
  <c r="O35" i="9"/>
  <c r="O37" i="9"/>
  <c r="O38" i="9"/>
  <c r="O39" i="9"/>
  <c r="O40" i="9"/>
  <c r="O41" i="9"/>
  <c r="O42" i="9"/>
  <c r="O43" i="9"/>
  <c r="O44" i="9"/>
  <c r="O45" i="9"/>
  <c r="O46" i="9"/>
  <c r="O49" i="9"/>
  <c r="O50" i="9"/>
  <c r="O51" i="9"/>
  <c r="O53" i="9"/>
  <c r="O54" i="9"/>
  <c r="O55" i="9"/>
  <c r="O56" i="9"/>
  <c r="O57" i="9"/>
  <c r="O58" i="9"/>
  <c r="O60" i="9"/>
  <c r="Q4" i="6" s="1"/>
  <c r="O61" i="9"/>
  <c r="O63" i="9"/>
  <c r="O64" i="9"/>
  <c r="O65" i="9"/>
  <c r="O66" i="9"/>
  <c r="O67" i="9"/>
  <c r="O68" i="9"/>
  <c r="O69" i="9"/>
  <c r="O70" i="9"/>
  <c r="O71" i="9"/>
  <c r="O72" i="9"/>
  <c r="O73" i="9"/>
  <c r="O75" i="9"/>
  <c r="O76" i="9"/>
  <c r="O77" i="9"/>
  <c r="O78" i="9"/>
  <c r="O80" i="9"/>
  <c r="O81" i="9"/>
  <c r="O82" i="9"/>
  <c r="O86" i="9"/>
  <c r="O87" i="9"/>
  <c r="O90" i="9"/>
  <c r="O91" i="9"/>
  <c r="O92" i="9"/>
  <c r="H95" i="9"/>
  <c r="AA10" i="9"/>
  <c r="AA11" i="9"/>
  <c r="AA12" i="9"/>
  <c r="AA13" i="9"/>
  <c r="AA14" i="9"/>
  <c r="AA15" i="9"/>
  <c r="AA17" i="9"/>
  <c r="AA18" i="9"/>
  <c r="AA19" i="9"/>
  <c r="AA21" i="9"/>
  <c r="AA22" i="9"/>
  <c r="AA23" i="9"/>
  <c r="AA24" i="9"/>
  <c r="AA25" i="9"/>
  <c r="AA26" i="9"/>
  <c r="AA27" i="9"/>
  <c r="AA29" i="9"/>
  <c r="AA30" i="9"/>
  <c r="AA31" i="9"/>
  <c r="AA32" i="9"/>
  <c r="AA34" i="9"/>
  <c r="AA36" i="9"/>
  <c r="AA37" i="9"/>
  <c r="AA38" i="9"/>
  <c r="AA39" i="9"/>
  <c r="AA40" i="9"/>
  <c r="AA42" i="9"/>
  <c r="AA43" i="9"/>
  <c r="AA44" i="9"/>
  <c r="AA45" i="9"/>
  <c r="AA46" i="9"/>
  <c r="AA47" i="9"/>
  <c r="AA48" i="9"/>
  <c r="AA49" i="9"/>
  <c r="AA51" i="9"/>
  <c r="AA52" i="9"/>
  <c r="AA53" i="9"/>
  <c r="AA54" i="9"/>
  <c r="AA55" i="9"/>
  <c r="AA58" i="9"/>
  <c r="AA60" i="9"/>
  <c r="X4" i="6" s="1"/>
  <c r="AA61" i="9"/>
  <c r="AA62" i="9"/>
  <c r="AA63" i="9"/>
  <c r="AA66" i="9"/>
  <c r="AA67" i="9"/>
  <c r="AA68" i="9"/>
  <c r="AA69" i="9"/>
  <c r="AA70" i="9"/>
  <c r="AA71" i="9"/>
  <c r="AA72" i="9"/>
  <c r="AA73" i="9"/>
  <c r="AA74" i="9"/>
  <c r="AA76" i="9"/>
  <c r="AA77" i="9"/>
  <c r="AA78" i="9"/>
  <c r="AA79" i="9"/>
  <c r="AA80" i="9"/>
  <c r="AA81" i="9"/>
  <c r="AA82" i="9"/>
  <c r="AA85" i="9"/>
  <c r="AA86" i="9"/>
  <c r="AA87" i="9"/>
  <c r="AA88" i="9"/>
  <c r="AA89" i="9"/>
  <c r="AA92" i="9"/>
  <c r="AA95" i="9"/>
  <c r="O95" i="9"/>
  <c r="D11" i="9"/>
  <c r="D12" i="9"/>
  <c r="D13" i="9"/>
  <c r="D14" i="9"/>
  <c r="D15" i="9"/>
  <c r="D16" i="9"/>
  <c r="D19" i="9"/>
  <c r="D20" i="9"/>
  <c r="D21" i="9"/>
  <c r="D22" i="9"/>
  <c r="D23" i="9"/>
  <c r="D24" i="9"/>
  <c r="D25" i="9"/>
  <c r="D26" i="9"/>
  <c r="D27" i="9"/>
  <c r="D28" i="9"/>
  <c r="D29" i="9"/>
  <c r="D30" i="9"/>
  <c r="D31" i="9"/>
  <c r="D32" i="9"/>
  <c r="D33" i="9"/>
  <c r="D34" i="9"/>
  <c r="D35" i="9"/>
  <c r="D36" i="9"/>
  <c r="D39" i="9"/>
  <c r="D40" i="9"/>
  <c r="D41" i="9"/>
  <c r="D42" i="9"/>
  <c r="D43" i="9"/>
  <c r="D44" i="9"/>
  <c r="D45" i="9"/>
  <c r="D46" i="9"/>
  <c r="D47" i="9"/>
  <c r="D48" i="9"/>
  <c r="D49" i="9"/>
  <c r="D50" i="9"/>
  <c r="D52" i="9"/>
  <c r="D54" i="9"/>
  <c r="D55" i="9"/>
  <c r="D56" i="9"/>
  <c r="D57" i="9"/>
  <c r="D58" i="9"/>
  <c r="D59" i="9"/>
  <c r="D60" i="9"/>
  <c r="D61" i="9"/>
  <c r="D62" i="9"/>
  <c r="D63" i="9"/>
  <c r="D64" i="9"/>
  <c r="D65" i="9"/>
  <c r="D66" i="9"/>
  <c r="D67" i="9"/>
  <c r="D68" i="9"/>
  <c r="D69" i="9"/>
  <c r="D70" i="9"/>
  <c r="D71" i="9"/>
  <c r="D72" i="9"/>
  <c r="D73" i="9"/>
  <c r="D74" i="9"/>
  <c r="D75" i="9"/>
  <c r="D77" i="9"/>
  <c r="D78" i="9"/>
  <c r="D79" i="9"/>
  <c r="D80" i="9"/>
  <c r="D81" i="9"/>
  <c r="D82" i="9"/>
  <c r="D83" i="9"/>
  <c r="D84" i="9"/>
  <c r="D85" i="9"/>
  <c r="D86" i="9"/>
  <c r="D87" i="9"/>
  <c r="D88" i="9"/>
  <c r="D89" i="9"/>
  <c r="D90" i="9"/>
  <c r="D92" i="9"/>
  <c r="D93" i="9"/>
  <c r="D94" i="9"/>
  <c r="G10" i="9"/>
  <c r="G11" i="9"/>
  <c r="G12" i="9"/>
  <c r="G13" i="9"/>
  <c r="G14" i="9"/>
  <c r="G16" i="9"/>
  <c r="G17" i="9"/>
  <c r="G18" i="9"/>
  <c r="G19" i="9"/>
  <c r="G20" i="9"/>
  <c r="G21" i="9"/>
  <c r="G22" i="9"/>
  <c r="G23" i="9"/>
  <c r="G24" i="9"/>
  <c r="G25" i="9"/>
  <c r="G26" i="9"/>
  <c r="G27" i="9"/>
  <c r="G28" i="9"/>
  <c r="G29" i="9"/>
  <c r="G30" i="9"/>
  <c r="G31" i="9"/>
  <c r="G32" i="9"/>
  <c r="G33" i="9"/>
  <c r="G34" i="9"/>
  <c r="G35" i="9"/>
  <c r="G36" i="9"/>
  <c r="G37" i="9"/>
  <c r="G38" i="9"/>
  <c r="G40" i="9"/>
  <c r="G41" i="9"/>
  <c r="G42" i="9"/>
  <c r="G43" i="9"/>
  <c r="G44" i="9"/>
  <c r="G45" i="9"/>
  <c r="G46" i="9"/>
  <c r="G47" i="9"/>
  <c r="G48" i="9"/>
  <c r="G49" i="9"/>
  <c r="G50" i="9"/>
  <c r="G51" i="9"/>
  <c r="G52" i="9"/>
  <c r="G53" i="9"/>
  <c r="G54" i="9"/>
  <c r="G55" i="9"/>
  <c r="G56" i="9"/>
  <c r="G57" i="9"/>
  <c r="G58" i="9"/>
  <c r="G59" i="9"/>
  <c r="G60" i="9"/>
  <c r="G61" i="9"/>
  <c r="G62"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W11" i="9"/>
  <c r="W12" i="9"/>
  <c r="W13" i="9"/>
  <c r="W15" i="9"/>
  <c r="W17" i="9"/>
  <c r="W18" i="9"/>
  <c r="W21" i="9"/>
  <c r="W22" i="9"/>
  <c r="W23" i="9"/>
  <c r="W24" i="9"/>
  <c r="W25" i="9"/>
  <c r="W26" i="9"/>
  <c r="W27" i="9"/>
  <c r="W28" i="9"/>
  <c r="W29" i="9"/>
  <c r="W30" i="9"/>
  <c r="W33" i="9"/>
  <c r="W34" i="9"/>
  <c r="W35" i="9"/>
  <c r="W36" i="9"/>
  <c r="W37" i="9"/>
  <c r="W39" i="9"/>
  <c r="W40" i="9"/>
  <c r="W41" i="9"/>
  <c r="W42" i="9"/>
  <c r="W44" i="9"/>
  <c r="W45" i="9"/>
  <c r="W46" i="9"/>
  <c r="W47" i="9"/>
  <c r="W49" i="9"/>
  <c r="W50" i="9"/>
  <c r="W51" i="9"/>
  <c r="W52" i="9"/>
  <c r="W53" i="9"/>
  <c r="W54" i="9"/>
  <c r="W55" i="9"/>
  <c r="W56" i="9"/>
  <c r="W58" i="9"/>
  <c r="W59" i="9"/>
  <c r="W60" i="9"/>
  <c r="T4" i="6" s="1"/>
  <c r="W61" i="9"/>
  <c r="W62" i="9"/>
  <c r="W63" i="9"/>
  <c r="W64" i="9"/>
  <c r="W65" i="9"/>
  <c r="W66" i="9"/>
  <c r="W67" i="9"/>
  <c r="W68" i="9"/>
  <c r="W69" i="9"/>
  <c r="W70" i="9"/>
  <c r="W71" i="9"/>
  <c r="W72" i="9"/>
  <c r="W73" i="9"/>
  <c r="W74" i="9"/>
  <c r="W75" i="9"/>
  <c r="W77" i="9"/>
  <c r="W78" i="9"/>
  <c r="W79" i="9"/>
  <c r="W80" i="9"/>
  <c r="W81" i="9"/>
  <c r="W82" i="9"/>
  <c r="W83" i="9"/>
  <c r="W86" i="9"/>
  <c r="W87" i="9"/>
  <c r="W88" i="9"/>
  <c r="W90" i="9"/>
  <c r="W91" i="9"/>
  <c r="W92" i="9"/>
  <c r="W93" i="9"/>
  <c r="W94" i="9"/>
  <c r="M95" i="9"/>
  <c r="AB95" i="9"/>
  <c r="Y95" i="9"/>
  <c r="B11" i="9"/>
  <c r="B12" i="9"/>
  <c r="B13" i="9"/>
  <c r="B14" i="9"/>
  <c r="B15" i="9"/>
  <c r="B16" i="9"/>
  <c r="B17" i="9"/>
  <c r="B20" i="9"/>
  <c r="B21" i="9"/>
  <c r="B22" i="9"/>
  <c r="B23" i="9"/>
  <c r="B24" i="9"/>
  <c r="B25" i="9"/>
  <c r="B26" i="9"/>
  <c r="B27" i="9"/>
  <c r="B28" i="9"/>
  <c r="B29" i="9"/>
  <c r="B30" i="9"/>
  <c r="B31" i="9"/>
  <c r="B32" i="9"/>
  <c r="B33" i="9"/>
  <c r="B34" i="9"/>
  <c r="B35" i="9"/>
  <c r="B36" i="9"/>
  <c r="B38" i="9"/>
  <c r="B39" i="9"/>
  <c r="B40" i="9"/>
  <c r="B41" i="9"/>
  <c r="B42" i="9"/>
  <c r="B43" i="9"/>
  <c r="B45" i="9"/>
  <c r="B46" i="9"/>
  <c r="B47" i="9"/>
  <c r="B48" i="9"/>
  <c r="B49" i="9"/>
  <c r="B50" i="9"/>
  <c r="B53" i="9"/>
  <c r="B54" i="9"/>
  <c r="B55" i="9"/>
  <c r="B56" i="9"/>
  <c r="B57" i="9"/>
  <c r="B58" i="9"/>
  <c r="B61" i="9"/>
  <c r="B62" i="9"/>
  <c r="B63" i="9"/>
  <c r="B64" i="9"/>
  <c r="B66" i="9"/>
  <c r="B67" i="9"/>
  <c r="B68" i="9"/>
  <c r="B69" i="9"/>
  <c r="B70" i="9"/>
  <c r="B71" i="9"/>
  <c r="B72" i="9"/>
  <c r="B73" i="9"/>
  <c r="B75" i="9"/>
  <c r="B76" i="9"/>
  <c r="B77" i="9"/>
  <c r="B78" i="9"/>
  <c r="B79" i="9"/>
  <c r="B80" i="9"/>
  <c r="B81" i="9"/>
  <c r="B82" i="9"/>
  <c r="B83" i="9"/>
  <c r="B84" i="9"/>
  <c r="B87" i="9"/>
  <c r="B88" i="9"/>
  <c r="B89" i="9"/>
  <c r="B90" i="9"/>
  <c r="B91" i="9"/>
  <c r="B92" i="9"/>
  <c r="B94" i="9"/>
  <c r="I10" i="9"/>
  <c r="I11" i="9"/>
  <c r="I12" i="9"/>
  <c r="I13" i="9"/>
  <c r="I14" i="9"/>
  <c r="I15" i="9"/>
  <c r="I16" i="9"/>
  <c r="I18" i="9"/>
  <c r="I19" i="9"/>
  <c r="I21" i="9"/>
  <c r="I22" i="9"/>
  <c r="I24" i="9"/>
  <c r="I25" i="9"/>
  <c r="I26" i="9"/>
  <c r="I27" i="9"/>
  <c r="I28" i="9"/>
  <c r="I30" i="9"/>
  <c r="I31" i="9"/>
  <c r="I32" i="9"/>
  <c r="I33" i="9"/>
  <c r="I35" i="9"/>
  <c r="I37" i="9"/>
  <c r="I38" i="9"/>
  <c r="I39" i="9"/>
  <c r="I40" i="9"/>
  <c r="I41" i="9"/>
  <c r="I42" i="9"/>
  <c r="I44" i="9"/>
  <c r="I45" i="9"/>
  <c r="I46" i="9"/>
  <c r="I47" i="9"/>
  <c r="I48" i="9"/>
  <c r="I49" i="9"/>
  <c r="I50" i="9"/>
  <c r="I51" i="9"/>
  <c r="I52" i="9"/>
  <c r="I53" i="9"/>
  <c r="I55" i="9"/>
  <c r="I56" i="9"/>
  <c r="I57" i="9"/>
  <c r="I58" i="9"/>
  <c r="I59" i="9"/>
  <c r="I60" i="9"/>
  <c r="K4" i="6" s="1"/>
  <c r="I61" i="9"/>
  <c r="I62" i="9"/>
  <c r="I63" i="9"/>
  <c r="I64" i="9"/>
  <c r="I65" i="9"/>
  <c r="I66" i="9"/>
  <c r="I67" i="9"/>
  <c r="I68" i="9"/>
  <c r="I69" i="9"/>
  <c r="I70" i="9"/>
  <c r="I71" i="9"/>
  <c r="I72" i="9"/>
  <c r="I73" i="9"/>
  <c r="I75" i="9"/>
  <c r="I76" i="9"/>
  <c r="I77" i="9"/>
  <c r="I78" i="9"/>
  <c r="I79" i="9"/>
  <c r="I80" i="9"/>
  <c r="I81" i="9"/>
  <c r="I82" i="9"/>
  <c r="I83" i="9"/>
  <c r="I84" i="9"/>
  <c r="I85" i="9"/>
  <c r="I86" i="9"/>
  <c r="I87" i="9"/>
  <c r="I88" i="9"/>
  <c r="I89" i="9"/>
  <c r="I90" i="9"/>
  <c r="I93" i="9"/>
  <c r="Z95" i="9"/>
  <c r="W95" i="9"/>
  <c r="E95" i="9"/>
  <c r="T6" i="5" a="1"/>
  <c r="T6" i="5" s="1"/>
  <c r="O7" i="9" s="1"/>
  <c r="AC6" i="5" a="1"/>
  <c r="AC6" i="5" s="1"/>
  <c r="X7" i="9" s="1"/>
  <c r="P6" i="5" a="1"/>
  <c r="P6" i="5" s="1"/>
  <c r="K7" i="9" s="1"/>
  <c r="AE6" i="5" a="1"/>
  <c r="AE6" i="5" s="1"/>
  <c r="Z7" i="9" s="1"/>
  <c r="W6" i="5" a="1"/>
  <c r="W6" i="5" s="1"/>
  <c r="R7" i="9" s="1"/>
  <c r="Z6" i="5" a="1"/>
  <c r="Z6" i="5" s="1"/>
  <c r="U7" i="9" s="1"/>
  <c r="U6" i="5" a="1"/>
  <c r="U6" i="5" s="1"/>
  <c r="P7" i="9" s="1"/>
  <c r="X6" i="5" a="1"/>
  <c r="X6" i="5" s="1"/>
  <c r="S7" i="9" s="1"/>
  <c r="V6" i="5" a="1"/>
  <c r="V6" i="5" s="1"/>
  <c r="Q7" i="9" s="1"/>
  <c r="Q6" i="5" a="1"/>
  <c r="Q6" i="5" s="1"/>
  <c r="L7" i="9" s="1"/>
  <c r="R6" i="5" a="1"/>
  <c r="R6" i="5" s="1"/>
  <c r="M7" i="9" s="1"/>
  <c r="O6" i="5" a="1"/>
  <c r="O6" i="5" s="1"/>
  <c r="J7" i="9" s="1"/>
  <c r="AA6" i="5" a="1"/>
  <c r="AA6" i="5" s="1"/>
  <c r="V7" i="9" s="1"/>
  <c r="AF6" i="5" a="1"/>
  <c r="AF6" i="5" s="1"/>
  <c r="AA7" i="9" s="1"/>
  <c r="AD6" i="5" a="1"/>
  <c r="AD6" i="5" s="1"/>
  <c r="Y7" i="9" s="1"/>
  <c r="N6" i="5" a="1"/>
  <c r="N6" i="5" s="1"/>
  <c r="I7" i="9" s="1"/>
  <c r="AB6" i="5" a="1"/>
  <c r="AB6" i="5" s="1"/>
  <c r="W7" i="9" s="1"/>
  <c r="AG6" i="5" a="1"/>
  <c r="AG6" i="5" s="1"/>
  <c r="AB7" i="9" s="1"/>
  <c r="AH6" i="5" a="1"/>
  <c r="AH6" i="5" s="1"/>
  <c r="AC7" i="9" s="1"/>
  <c r="S6" i="5" a="1"/>
  <c r="S6" i="5" s="1"/>
  <c r="N7" i="9" s="1"/>
  <c r="Y6" i="5" a="1"/>
  <c r="Y6" i="5" s="1"/>
  <c r="T7" i="9" s="1"/>
  <c r="L6" i="5" a="1"/>
  <c r="L6" i="5" s="1"/>
  <c r="G7" i="9" s="1"/>
  <c r="G6" i="5" a="1"/>
  <c r="G6" i="5" s="1"/>
  <c r="B7" i="9" s="1"/>
  <c r="H6" i="5" a="1"/>
  <c r="H6" i="5" s="1"/>
  <c r="C7" i="9" s="1"/>
  <c r="K6" i="5" a="1"/>
  <c r="K6" i="5" s="1"/>
  <c r="F7" i="9" s="1"/>
  <c r="I6" i="5" a="1"/>
  <c r="I6" i="5" s="1"/>
  <c r="D7" i="9" s="1"/>
  <c r="J6" i="5" a="1"/>
  <c r="J6" i="5" s="1"/>
  <c r="E7" i="9" s="1"/>
  <c r="M6" i="5" a="1"/>
  <c r="M6" i="5" s="1"/>
  <c r="H7" i="9" s="1"/>
  <c r="N4" i="6" l="1"/>
  <c r="K2" i="6"/>
  <c r="O4" i="6"/>
  <c r="M4" i="6"/>
  <c r="M2" i="6" s="1"/>
  <c r="V4" i="6"/>
  <c r="Y4" i="6"/>
  <c r="Y2" i="6" s="1"/>
  <c r="P4" i="6"/>
  <c r="L2" i="6" l="1"/>
  <c r="P2" i="6"/>
  <c r="Q2" i="6"/>
  <c r="W2" i="6"/>
  <c r="V2" i="6"/>
  <c r="X2" i="6"/>
  <c r="Z2" i="6"/>
  <c r="U2" i="6"/>
  <c r="T2" i="6"/>
  <c r="O2" i="6"/>
  <c r="N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<sst xmlns="http://schemas.openxmlformats.org/spreadsheetml/2006/main" count="2171" uniqueCount="873">
  <si>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</si>
  <si>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</si>
  <si>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</si>
  <si>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</si>
  <si>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</si>
  <si>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</si>
  <si>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</si>
  <si>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</si>
  <si>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</si>
  <si>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</si>
  <si>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</si>
  <si>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</si>
  <si>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</si>
  <si>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</si>
  <si>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</si>
  <si>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</si>
  <si>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</si>
  <si>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</si>
  <si>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</si>
  <si>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</si>
  <si>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</si>
  <si>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</si>
  <si>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</si>
  <si>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</si>
  <si>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</si>
  <si>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</si>
  <si>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</si>
  <si>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</si>
  <si>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</si>
  <si>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</si>
  <si>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</si>
  <si>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</si>
  <si>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</si>
  <si>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</si>
  <si>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</si>
  <si>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</si>
  <si>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</si>
  <si>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</si>
  <si>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</si>
  <si>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</si>
  <si>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</si>
  <si>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</si>
  <si>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</si>
  <si>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</si>
  <si>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</si>
  <si>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</si>
  <si>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</si>
  <si>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</si>
  <si>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</si>
  <si>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</si>
  <si>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</si>
  <si>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</si>
  <si>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</si>
  <si>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</si>
  <si>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</si>
  <si>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</si>
  <si>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</si>
  <si>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</si>
  <si>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</si>
  <si>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</si>
  <si>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</si>
  <si>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</si>
  <si>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</si>
  <si>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</si>
  <si>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</si>
  <si>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</si>
  <si>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</si>
  <si>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</si>
  <si>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</si>
  <si>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</si>
  <si>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</si>
  <si>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</si>
  <si>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</si>
  <si>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</si>
  <si>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</si>
  <si>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</si>
  <si>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</si>
  <si>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</si>
  <si>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</si>
  <si>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</si>
  <si>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</si>
  <si>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</si>
  <si>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</si>
  <si>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</si>
  <si>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</si>
  <si>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</si>
  <si>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</si>
  <si>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</si>
  <si>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</si>
  <si>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</si>
  <si>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</si>
  <si>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</si>
  <si>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</si>
  <si>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</si>
  <si>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</si>
  <si>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</si>
  <si>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</si>
  <si>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</si>
  <si>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</si>
  <si>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</si>
  <si>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</si>
  <si>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</si>
  <si>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</si>
  <si>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</si>
  <si>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</si>
  <si>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</si>
  <si>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</si>
  <si>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</si>
  <si>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</si>
  <si>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</si>
  <si>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</si>
  <si>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</si>
  <si>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</si>
  <si>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</si>
  <si>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</si>
  <si>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</si>
  <si>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</si>
  <si>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</si>
  <si>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</si>
  <si>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</si>
  <si>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</si>
  <si>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</si>
  <si>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</si>
  <si>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</si>
  <si>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</si>
  <si>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</si>
  <si>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</si>
  <si>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</si>
  <si>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</si>
  <si>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</si>
  <si>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</si>
  <si>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</si>
  <si>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</si>
  <si>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</si>
  <si>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</si>
  <si>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</si>
  <si>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</si>
  <si>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</si>
  <si>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</si>
  <si>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</si>
  <si>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</si>
  <si>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</si>
  <si>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</si>
  <si>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</si>
  <si>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</si>
  <si>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</si>
  <si>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</si>
  <si>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</si>
  <si>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</si>
  <si>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</si>
  <si>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</si>
  <si>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</si>
  <si>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</si>
  <si>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</si>
  <si>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</si>
  <si>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</si>
  <si>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</si>
  <si>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</si>
  <si>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</si>
  <si>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</si>
  <si>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</si>
  <si>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</si>
  <si>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</si>
  <si>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</si>
  <si>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</si>
  <si>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</si>
  <si>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</si>
  <si>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</si>
  <si>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</si>
  <si>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</si>
  <si>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</si>
  <si>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</si>
  <si>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</si>
  <si>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</si>
  <si>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</si>
  <si>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</si>
  <si>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</si>
  <si>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</si>
  <si>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</si>
  <si>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</si>
  <si>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</si>
  <si>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</si>
  <si>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</si>
  <si>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</si>
  <si>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</si>
  <si>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</si>
  <si>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</si>
  <si>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</si>
  <si>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</si>
  <si>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</si>
  <si>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</si>
  <si>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</si>
  <si>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</si>
  <si>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</si>
  <si>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</si>
  <si>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</si>
  <si>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</si>
  <si>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</si>
  <si>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</si>
  <si>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</si>
  <si>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</si>
  <si>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</si>
  <si>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</si>
  <si>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</si>
  <si>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</si>
  <si>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</si>
  <si>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</si>
  <si>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</si>
  <si>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</si>
  <si>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</si>
  <si>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</si>
  <si>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</si>
  <si>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</si>
  <si>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</si>
  <si>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</si>
  <si>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</si>
  <si>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</si>
  <si>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</si>
  <si>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</si>
  <si>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</si>
  <si>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</si>
  <si>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</si>
  <si>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</si>
  <si>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</si>
  <si>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</si>
  <si>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</si>
  <si>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</si>
  <si>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</si>
  <si>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</si>
  <si>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</si>
  <si>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</si>
  <si>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</si>
  <si>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</si>
  <si>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</si>
  <si>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</si>
  <si>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</si>
  <si>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</si>
  <si>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</si>
  <si>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</si>
  <si>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</si>
  <si>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</si>
  <si>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</si>
  <si>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</si>
  <si>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</si>
  <si>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</si>
  <si>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</si>
  <si>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</si>
  <si>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</si>
  <si>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</si>
  <si>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</si>
  <si>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</si>
  <si>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</si>
  <si>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</si>
  <si>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</si>
  <si>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</si>
  <si>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</si>
  <si>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</si>
  <si>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</si>
  <si>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</si>
  <si>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</si>
  <si>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</si>
  <si>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</si>
  <si>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</si>
  <si>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</si>
  <si>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</si>
  <si>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</si>
  <si>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</si>
  <si>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</si>
  <si>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</si>
  <si>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</si>
  <si>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</si>
  <si>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</si>
  <si>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</si>
  <si>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</si>
  <si>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</si>
  <si>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</si>
  <si>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</si>
  <si>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</si>
  <si>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</si>
  <si>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</si>
  <si>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</si>
  <si>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</si>
  <si>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</si>
  <si>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</si>
  <si>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</si>
  <si>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</si>
  <si>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</si>
  <si>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</si>
  <si>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</si>
  <si>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</si>
  <si>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</si>
  <si>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</si>
  <si>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</si>
  <si>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</si>
  <si>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</si>
  <si>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</si>
  <si>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</si>
  <si>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</si>
  <si>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</si>
  <si>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</si>
  <si>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</si>
  <si>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</si>
  <si>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</si>
  <si>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</si>
  <si>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</si>
  <si>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</si>
  <si>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</si>
  <si>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</si>
  <si>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</si>
  <si>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</si>
  <si>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</si>
  <si>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</si>
  <si>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</si>
  <si>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</si>
  <si>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</si>
  <si>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</si>
  <si>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</si>
  <si>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</si>
  <si>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</si>
  <si>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</si>
  <si>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</si>
  <si>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</si>
  <si>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</si>
  <si>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</si>
  <si>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</si>
  <si>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</si>
  <si>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</si>
  <si>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</si>
  <si>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</si>
  <si>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</si>
  <si>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</si>
  <si>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</si>
  <si>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</si>
  <si>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</si>
  <si>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</si>
  <si>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</si>
  <si>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</si>
  <si>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</si>
  <si>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</si>
  <si>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</si>
  <si>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</si>
  <si>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</si>
  <si>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</si>
  <si>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</si>
  <si>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</si>
  <si>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</si>
  <si>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</si>
  <si>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</si>
  <si>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</si>
  <si>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</si>
  <si>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</si>
  <si>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</si>
  <si>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</si>
  <si>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</si>
  <si>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</si>
  <si>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</si>
  <si>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</si>
  <si>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</si>
  <si>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</si>
  <si>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</si>
  <si>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</si>
  <si>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</si>
  <si>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</si>
  <si>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</si>
  <si>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</si>
  <si>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</si>
  <si>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</si>
  <si>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</si>
  <si>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</si>
  <si>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</si>
  <si>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</si>
  <si>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GDP, real, LCU</t>
  </si>
  <si>
    <t>Pound</t>
  </si>
  <si>
    <t>Millions</t>
  </si>
  <si>
    <t>Level</t>
  </si>
  <si>
    <t>Office for National Statistics\Haver Analytics</t>
  </si>
  <si>
    <t>chained 2022</t>
  </si>
  <si>
    <t>NA</t>
  </si>
  <si>
    <t>ABMIQ@UK</t>
  </si>
  <si>
    <t>U.K.: Real Gross Domestic Product (SA, Mil.Chn.2022.GBP)</t>
  </si>
  <si>
    <t>GBR</t>
  </si>
  <si>
    <t>GDP</t>
  </si>
  <si>
    <t>United States</t>
  </si>
  <si>
    <t>US$</t>
  </si>
  <si>
    <t>Billions</t>
  </si>
  <si>
    <t>Bureau of Economic Analysis\Haver Analytics</t>
  </si>
  <si>
    <t>chained 2017</t>
  </si>
  <si>
    <t>GDPH@USNA / 4</t>
  </si>
  <si>
    <t>Real Gross Domestic Product (SAAR, Bil.Chn.2017$) / 4</t>
  </si>
  <si>
    <t>USA</t>
  </si>
  <si>
    <t>Japan</t>
  </si>
  <si>
    <t>Yen</t>
  </si>
  <si>
    <t>Cabinet Office of Japan\Haver Analytics</t>
  </si>
  <si>
    <t>REDPC2@JAPAN/4</t>
  </si>
  <si>
    <t>Japan: Gross Domestic Product (SAAR, Bil.Chn.2015.Yen)</t>
  </si>
  <si>
    <t>JPN</t>
  </si>
  <si>
    <t>Germany</t>
  </si>
  <si>
    <t>Euro</t>
  </si>
  <si>
    <t>Federal Statistics Office\Haver Analytics</t>
  </si>
  <si>
    <t>chained 2020</t>
  </si>
  <si>
    <t>DESNGDPC@GERMANY</t>
  </si>
  <si>
    <t>Germany: Gross Domestic Product (SWDA, Bil.Chained.2020.Euros)</t>
  </si>
  <si>
    <t>DEU</t>
  </si>
  <si>
    <t>France</t>
  </si>
  <si>
    <t>Institut National de la Statistique et des Etudes Economiques\Haver Analytics</t>
  </si>
  <si>
    <t>FRSNGDPC@FRANCE/1000</t>
  </si>
  <si>
    <t>France: Gross Domestic Product (SA/WDA, Mil.Chn.2020.Euros)/1000</t>
  </si>
  <si>
    <t>FRA</t>
  </si>
  <si>
    <t>Italy</t>
  </si>
  <si>
    <t>Statistical Office of the European Communities\Haver Analytics</t>
  </si>
  <si>
    <t>ITSNGDPC@ITALY/1000</t>
  </si>
  <si>
    <t>Italy: Gross Domestic Product (SWDA, Mil.Ch.20.EUR) /1000</t>
  </si>
  <si>
    <t>ITA</t>
  </si>
  <si>
    <t>Canada</t>
  </si>
  <si>
    <t>C$</t>
  </si>
  <si>
    <t>Statistics Canada\Haver Analytics</t>
  </si>
  <si>
    <t>V6E05752@CANADA/4</t>
  </si>
  <si>
    <t>Canada: Gross Domestic Product at Market Prices (SAAR, Mil.Chn.2017.C$)/4</t>
  </si>
  <si>
    <t>CAN</t>
  </si>
  <si>
    <t>UK</t>
  </si>
  <si>
    <t>L</t>
  </si>
  <si>
    <t>CYs</t>
  </si>
  <si>
    <t>FYs</t>
  </si>
  <si>
    <t>FY end</t>
  </si>
  <si>
    <t>US</t>
  </si>
  <si>
    <t>Annualised growth in 2025</t>
  </si>
  <si>
    <t>H1 2025</t>
  </si>
  <si>
    <t>H2 2025</t>
  </si>
  <si>
    <t>H2 2024</t>
  </si>
  <si>
    <t>Government balance, LCU</t>
  </si>
  <si>
    <t>J5IIQ@UK</t>
  </si>
  <si>
    <t>UK: Public Sector Net Borrowing excluding Financial Interventions(NSA, Mil.GBP)</t>
  </si>
  <si>
    <t>GB</t>
  </si>
  <si>
    <t>Government balance, based on FOF data, LCU</t>
  </si>
  <si>
    <t>FOF\Haver Analytics</t>
  </si>
  <si>
    <t>GFB + GSB</t>
  </si>
  <si>
    <t>Federal government balance + State &amp; local balance, based on FOF data</t>
  </si>
  <si>
    <t>Organization for Economic Cooperation &amp; Development\Haver Analytics</t>
  </si>
  <si>
    <t>Q158GNL@OUTLOOK /4</t>
  </si>
  <si>
    <t>Japan: Government Net Lending (Bil.Yen)</t>
  </si>
  <si>
    <t>Haver Analytics\Deutsche Bundesbank</t>
  </si>
  <si>
    <t>Government revenue, total - Government expenditure, total</t>
  </si>
  <si>
    <t xml:space="preserve">FRSNIG34@FRANCE/1000 </t>
  </si>
  <si>
    <t>France: Net Borrowing[-]/Lending[+] of General Government (SWDA, Mil.Euros)</t>
  </si>
  <si>
    <t>Istituto Nazionale di Statistica\Haver Analytics</t>
  </si>
  <si>
    <t>V6F25564@CANADA/4</t>
  </si>
  <si>
    <t xml:space="preserve">Canada: Government Saving (SAAR, Mil.C$) </t>
  </si>
  <si>
    <t>Government debt, gross, LCU</t>
  </si>
  <si>
    <t>Office for National Statistics - 'Government deficit and debt under the Maastricht Treaty'</t>
  </si>
  <si>
    <t>Table M2</t>
  </si>
  <si>
    <t>GGDBT</t>
  </si>
  <si>
    <t>Federal Reserve Board\Haver Analytics</t>
  </si>
  <si>
    <t>GFGDBT + GSGDBT - GSSGG</t>
  </si>
  <si>
    <t>Federal government debt (gross, stock) +State &amp; local government debt (gross, stock) -State &amp; local gross interest receipts</t>
  </si>
  <si>
    <t>OECD \ Haver Analytics</t>
  </si>
  <si>
    <t>Q158GDT@OUTLOOK</t>
  </si>
  <si>
    <t>Japan: General Government Gross Financial Liabilities, Value (EOP, Bil.Yen)</t>
  </si>
  <si>
    <t>DENFDTTT@GERMANY/1000</t>
  </si>
  <si>
    <t>Germany: Public Budget: Debts Owed to the Private Sector (EOP, NSA, Mil.EUR)/1000</t>
  </si>
  <si>
    <t>Banque de France\Haver Analytics</t>
  </si>
  <si>
    <t>FRNNGD@FRANCE /1000</t>
  </si>
  <si>
    <t>France: General Government: Outstanding Debt (EOP, Mil.EUR) /1000</t>
  </si>
  <si>
    <t>A136GDT@OUTLOOK, extrapolated /1000</t>
  </si>
  <si>
    <t>Italy: General Govt Gross Financial Liabilities (Mil.Euros) / 1000, extrapolated</t>
  </si>
  <si>
    <t>Q156GDT@OUTLOOK</t>
  </si>
  <si>
    <t xml:space="preserve">Canada: General Govt Gross Financial Liabilities (Mil.C$) </t>
  </si>
  <si>
    <t>GDP, nominal, LCU</t>
  </si>
  <si>
    <t>YBHAQ@UK</t>
  </si>
  <si>
    <t xml:space="preserve">U.K.: Gross Domestic Product (SA, Mil.Pounds) </t>
  </si>
  <si>
    <t>GDP!</t>
  </si>
  <si>
    <t>GDP@USNA / 4</t>
  </si>
  <si>
    <t>Gross Domestic Product (SAAR, Bil.$) / 4</t>
  </si>
  <si>
    <t>N9DP2@JAPAN/4</t>
  </si>
  <si>
    <t>Japan: Gross Domestic Product (SAAR, Bil.Yen)/4</t>
  </si>
  <si>
    <t>Deutsche Bundesbank\Haver Analytics</t>
  </si>
  <si>
    <t>DESNGDP@GERMANY</t>
  </si>
  <si>
    <t>Germany: Gross Domestic Product (SWDA, Bil.Euros)</t>
  </si>
  <si>
    <t>FRSNGDP@FRANCE/1000</t>
  </si>
  <si>
    <t xml:space="preserve">France: Gross Domestic Product (SA/WDA, Mil.Euros) </t>
  </si>
  <si>
    <t>ITSNGDP@ITALY /1000</t>
  </si>
  <si>
    <t>Italy: Gross Domestic Product (SA/WDA, Mil.EUR) /1000</t>
  </si>
  <si>
    <t>V6E05783@CANADA/4</t>
  </si>
  <si>
    <t xml:space="preserve">Canada: Gross Domestic Product at Market Prices (SAAR, Mil.C$) </t>
  </si>
  <si>
    <t>CY end</t>
  </si>
  <si>
    <t>CY total</t>
  </si>
  <si>
    <t>Budget deficit in 2025</t>
  </si>
  <si>
    <t>Gross government debt in 2025</t>
  </si>
  <si>
    <t>Data Date: 03-Sep-2025</t>
  </si>
  <si>
    <t>GILT MARKET</t>
  </si>
  <si>
    <t>GILT ISSUANCE HISTORY</t>
  </si>
  <si>
    <t xml:space="preserve">Gilt Name    </t>
  </si>
  <si>
    <t>ISIN Code</t>
  </si>
  <si>
    <t>Issue Date</t>
  </si>
  <si>
    <t>Issuance Type</t>
  </si>
  <si>
    <t>Clean Price 
at Issue 
(£)</t>
  </si>
  <si>
    <t>Yield at Issue (%)</t>
  </si>
  <si>
    <t>Nominal Amount Issued (£ million)</t>
  </si>
  <si>
    <t>Cumulative Total Amount in Issue (£ million)</t>
  </si>
  <si>
    <t>Conventional Gilts</t>
  </si>
  <si>
    <t>2% Treasury Gilt 2025</t>
  </si>
  <si>
    <t>GB00BTHH2R79</t>
  </si>
  <si>
    <t>Outright</t>
  </si>
  <si>
    <t>N/A</t>
  </si>
  <si>
    <t>3½% Treasury Gilt 2025</t>
  </si>
  <si>
    <t>GB00BPCJD880</t>
  </si>
  <si>
    <t>0 1/8% Treasury Gilt 2026</t>
  </si>
  <si>
    <t>GB00BL68HJ26</t>
  </si>
  <si>
    <t>95.42</t>
  </si>
  <si>
    <t>3.559</t>
  </si>
  <si>
    <t>95.55</t>
  </si>
  <si>
    <t>3.996</t>
  </si>
  <si>
    <t>96.35</t>
  </si>
  <si>
    <t>3.888</t>
  </si>
  <si>
    <t>1½% Treasury Gilt 2026</t>
  </si>
  <si>
    <t>GB00BYZW3G56</t>
  </si>
  <si>
    <t>0 3/8% Treasury Gilt 2026</t>
  </si>
  <si>
    <t>GB00BNNGP668</t>
  </si>
  <si>
    <t>4 1/8% Treasury Gilt 2027</t>
  </si>
  <si>
    <t>GB00BL6C7720</t>
  </si>
  <si>
    <t>3¾% Treasury Gilt 2027</t>
  </si>
  <si>
    <t>GB00BPSNB460</t>
  </si>
  <si>
    <t>98.26</t>
  </si>
  <si>
    <t>4.440</t>
  </si>
  <si>
    <t>*</t>
  </si>
  <si>
    <t>99.23</t>
  </si>
  <si>
    <t>4.068</t>
  </si>
  <si>
    <t>99.25</t>
  </si>
  <si>
    <t>4.082</t>
  </si>
  <si>
    <t>1¼% Treasury Gilt 2027</t>
  </si>
  <si>
    <t>GB00BDRHNP05</t>
  </si>
  <si>
    <t>4¼% Treasury Gilt 2027</t>
  </si>
  <si>
    <t>GB00B16NNR78</t>
  </si>
  <si>
    <t>0 1/8% Treasury Gilt 2028</t>
  </si>
  <si>
    <t>GB00BMBL1G81</t>
  </si>
  <si>
    <t>90.77</t>
  </si>
  <si>
    <t>3.631</t>
  </si>
  <si>
    <t>90.69</t>
  </si>
  <si>
    <t>3.767</t>
  </si>
  <si>
    <t>4 3/8% Treasury Gilt 2028</t>
  </si>
  <si>
    <t>GB00BSQNRC93</t>
  </si>
  <si>
    <t>99.62</t>
  </si>
  <si>
    <t>4.498</t>
  </si>
  <si>
    <t>99.97</t>
  </si>
  <si>
    <t>4.383</t>
  </si>
  <si>
    <t>100.22</t>
  </si>
  <si>
    <t>4.294</t>
  </si>
  <si>
    <t>100.30</t>
  </si>
  <si>
    <t>4.262</t>
  </si>
  <si>
    <t>101.44</t>
  </si>
  <si>
    <t>3.834</t>
  </si>
  <si>
    <t>100.80</t>
  </si>
  <si>
    <t>4.061</t>
  </si>
  <si>
    <t>101.32</t>
  </si>
  <si>
    <t>3.847</t>
  </si>
  <si>
    <t>101.06</t>
  </si>
  <si>
    <t>3.940</t>
  </si>
  <si>
    <t>100.91</t>
  </si>
  <si>
    <t>3.991</t>
  </si>
  <si>
    <t>4½% Treasury Gilt 2028</t>
  </si>
  <si>
    <t>GB00BMF9LG83</t>
  </si>
  <si>
    <t>1 5/8% Treasury Gilt 2028</t>
  </si>
  <si>
    <t>GB00BFX0ZL78</t>
  </si>
  <si>
    <t>6% Treasury Stock 2028</t>
  </si>
  <si>
    <t>GB0002404191</t>
  </si>
  <si>
    <t>0½% Treasury Gilt 2029</t>
  </si>
  <si>
    <t>GB00BLPK7227</t>
  </si>
  <si>
    <t>4 1/8% Treasury Gilt 2029</t>
  </si>
  <si>
    <t>GB00BQC82B83</t>
  </si>
  <si>
    <t>100.45</t>
  </si>
  <si>
    <t>4.023</t>
  </si>
  <si>
    <t>101.20</t>
  </si>
  <si>
    <t>3.854</t>
  </si>
  <si>
    <t>101.38</t>
  </si>
  <si>
    <t>3.811</t>
  </si>
  <si>
    <t>3.879</t>
  </si>
  <si>
    <t>99.89</t>
  </si>
  <si>
    <t>4.148</t>
  </si>
  <si>
    <t>99.07</t>
  </si>
  <si>
    <t>4.348</t>
  </si>
  <si>
    <t>0 7/8% Treasury Gilt 2029</t>
  </si>
  <si>
    <t>GB00BJMHB534</t>
  </si>
  <si>
    <t>4 3/8% Treasury Gilt 2030</t>
  </si>
  <si>
    <t>GB00BSQNRD01</t>
  </si>
  <si>
    <t>99.46</t>
  </si>
  <si>
    <t>4.490</t>
  </si>
  <si>
    <t>100.43</t>
  </si>
  <si>
    <t>4.276</t>
  </si>
  <si>
    <t>100.26</t>
  </si>
  <si>
    <t>4.311</t>
  </si>
  <si>
    <t>101.00</t>
  </si>
  <si>
    <t>4.142</t>
  </si>
  <si>
    <t>101.72</t>
  </si>
  <si>
    <t>3.976</t>
  </si>
  <si>
    <t>101.33</t>
  </si>
  <si>
    <t>4.059</t>
  </si>
  <si>
    <t>101.23</t>
  </si>
  <si>
    <t>4.078</t>
  </si>
  <si>
    <t>101.45</t>
  </si>
  <si>
    <t>4.021</t>
  </si>
  <si>
    <t>0 3/8% Treasury Gilt 2030</t>
  </si>
  <si>
    <t>GB00BL68HH02</t>
  </si>
  <si>
    <t>4¾% Treasury Gilt 2030</t>
  </si>
  <si>
    <t>GB00B24FF097</t>
  </si>
  <si>
    <t>0¼% Treasury Gilt 2031</t>
  </si>
  <si>
    <t>GB00BMGR2809</t>
  </si>
  <si>
    <t>4% Treasury Gilt 2031</t>
  </si>
  <si>
    <t>GB00BPSNBF73</t>
  </si>
  <si>
    <t>99.52</t>
  </si>
  <si>
    <t>4.073</t>
  </si>
  <si>
    <t>101.14</t>
  </si>
  <si>
    <t>3.813</t>
  </si>
  <si>
    <t>100.07</t>
  </si>
  <si>
    <t>3.988</t>
  </si>
  <si>
    <t>4.154</t>
  </si>
  <si>
    <t>97.08</t>
  </si>
  <si>
    <t>4.517</t>
  </si>
  <si>
    <t>97.77</t>
  </si>
  <si>
    <t>4.400</t>
  </si>
  <si>
    <t>1% Treasury Gilt 2032</t>
  </si>
  <si>
    <t>GB00BM8Z2T38</t>
  </si>
  <si>
    <t>4¼% Treasury Stock 2032</t>
  </si>
  <si>
    <t>GB0004893086</t>
  </si>
  <si>
    <t>100.52</t>
  </si>
  <si>
    <t>4.160</t>
  </si>
  <si>
    <t>3¼% Treasury Gilt 2033</t>
  </si>
  <si>
    <t>GB00BMV7TC88</t>
  </si>
  <si>
    <t>0 7/8% Green Gilt 2033</t>
  </si>
  <si>
    <t>GB00BM8Z2S21</t>
  </si>
  <si>
    <t>78.61</t>
  </si>
  <si>
    <t>3.731</t>
  </si>
  <si>
    <t>74.78</t>
  </si>
  <si>
    <t>4.473</t>
  </si>
  <si>
    <t>75.37</t>
  </si>
  <si>
    <t>4.510</t>
  </si>
  <si>
    <t>4 5/8% Treasury Gilt 2034</t>
  </si>
  <si>
    <t>GB00BPJJKN53</t>
  </si>
  <si>
    <t>4¼% Treasury Gilt 2034</t>
  </si>
  <si>
    <t>GB00BQC82C90</t>
  </si>
  <si>
    <t>101.35</t>
  </si>
  <si>
    <t>104.02</t>
  </si>
  <si>
    <t>3.757</t>
  </si>
  <si>
    <t>100.62</t>
  </si>
  <si>
    <t>4.170</t>
  </si>
  <si>
    <t>98.22</t>
  </si>
  <si>
    <t>4.475</t>
  </si>
  <si>
    <t>99.35</t>
  </si>
  <si>
    <t>4.331</t>
  </si>
  <si>
    <t>95.77</t>
  </si>
  <si>
    <t>4.807</t>
  </si>
  <si>
    <t>4½% Treasury Gilt 2034</t>
  </si>
  <si>
    <t>GB00B52WS153</t>
  </si>
  <si>
    <t>99.60</t>
  </si>
  <si>
    <t>4.553</t>
  </si>
  <si>
    <t>4½% Treasury Gilt 2035</t>
  </si>
  <si>
    <t>GB00BT7J0027</t>
  </si>
  <si>
    <t>Syndication</t>
  </si>
  <si>
    <t>99.70</t>
  </si>
  <si>
    <t>4.536</t>
  </si>
  <si>
    <t>98.58</t>
  </si>
  <si>
    <t>4.678</t>
  </si>
  <si>
    <t>98.90</t>
  </si>
  <si>
    <t>4.638</t>
  </si>
  <si>
    <t>98.63</t>
  </si>
  <si>
    <t>4.673</t>
  </si>
  <si>
    <t>99.30</t>
  </si>
  <si>
    <t>4.587</t>
  </si>
  <si>
    <t>98.94</t>
  </si>
  <si>
    <t>4.635</t>
  </si>
  <si>
    <t>99.82</t>
  </si>
  <si>
    <t>4.521</t>
  </si>
  <si>
    <t>0 5/8% Treasury Gilt 2035</t>
  </si>
  <si>
    <t>GB00BMGR2916</t>
  </si>
  <si>
    <t>4¾% Treasury Gilt 2035</t>
  </si>
  <si>
    <t>GB00BTXS1K06</t>
  </si>
  <si>
    <t>98.97</t>
  </si>
  <si>
    <t>4.878</t>
  </si>
  <si>
    <t>4¼% Treasury Stock 2036</t>
  </si>
  <si>
    <t>GB0032452392</t>
  </si>
  <si>
    <t>1¾% Treasury Gilt 2037</t>
  </si>
  <si>
    <t>GB00BZB26Y51</t>
  </si>
  <si>
    <t>3¾% Treasury Gilt 2038</t>
  </si>
  <si>
    <t>GB00BQC4R999</t>
  </si>
  <si>
    <t>96.09</t>
  </si>
  <si>
    <t>4.131</t>
  </si>
  <si>
    <t>92.04</t>
  </si>
  <si>
    <t>4.558</t>
  </si>
  <si>
    <t>4¾% Treasury Stock 2038</t>
  </si>
  <si>
    <t>GB00B00NY175</t>
  </si>
  <si>
    <t>1 1/8% Treasury Gilt 2039</t>
  </si>
  <si>
    <t>GB00BLPK7334</t>
  </si>
  <si>
    <t>4¼% Treasury Gilt 2039</t>
  </si>
  <si>
    <t>GB00B3KJDS62</t>
  </si>
  <si>
    <t>4 3/8% Treasury Gilt 2040</t>
  </si>
  <si>
    <t>GB00BQC82D08</t>
  </si>
  <si>
    <t>100.35</t>
  </si>
  <si>
    <t>4.343</t>
  </si>
  <si>
    <t>93.37</t>
  </si>
  <si>
    <t>5.007</t>
  </si>
  <si>
    <t>95.14</t>
  </si>
  <si>
    <t>4.835</t>
  </si>
  <si>
    <t>94.33</t>
  </si>
  <si>
    <t>4.916</t>
  </si>
  <si>
    <t>95.06</t>
  </si>
  <si>
    <t>4.850</t>
  </si>
  <si>
    <t>92.95</t>
  </si>
  <si>
    <t>5.065</t>
  </si>
  <si>
    <t>4¼% Treasury Gilt 2040</t>
  </si>
  <si>
    <t>GB00B6460505</t>
  </si>
  <si>
    <t>1¼ % Treasury Gilt 2041</t>
  </si>
  <si>
    <t>GB00BJQWYH73</t>
  </si>
  <si>
    <t>4½% Treasury Gilt 2042</t>
  </si>
  <si>
    <t>GB00B1VWPJ53</t>
  </si>
  <si>
    <t>4¾% Treasury Gilt 2043</t>
  </si>
  <si>
    <t>GB00BPJJKP77</t>
  </si>
  <si>
    <t>102.94</t>
  </si>
  <si>
    <t>4.518</t>
  </si>
  <si>
    <t>104.87</t>
  </si>
  <si>
    <t>4.372</t>
  </si>
  <si>
    <t>104.20</t>
  </si>
  <si>
    <t>4.421</t>
  </si>
  <si>
    <t>98.93</t>
  </si>
  <si>
    <t>94.31</t>
  </si>
  <si>
    <t>5.231</t>
  </si>
  <si>
    <t>95.21</t>
  </si>
  <si>
    <t>5.154</t>
  </si>
  <si>
    <t>3¼% Treasury Gilt 2044</t>
  </si>
  <si>
    <t>GB00B84Z9V04</t>
  </si>
  <si>
    <t>3½% Treasury Gilt 2045</t>
  </si>
  <si>
    <t>GB00BN65R313</t>
  </si>
  <si>
    <t>0 7/8% Treasury Gilt 2046</t>
  </si>
  <si>
    <t>GB00BNNGP775</t>
  </si>
  <si>
    <t>4¼% Treasury Gilt 2046</t>
  </si>
  <si>
    <t>GB00B128DP45</t>
  </si>
  <si>
    <t>88.25</t>
  </si>
  <si>
    <t>5.162</t>
  </si>
  <si>
    <t>1½% Treasury Gilt 2047</t>
  </si>
  <si>
    <t>GB00BDCHBW80</t>
  </si>
  <si>
    <t>1¾% Treasury Gilt 2049</t>
  </si>
  <si>
    <t>GB00BFWFPP71</t>
  </si>
  <si>
    <t>4¼% Treasury Gilt 2049</t>
  </si>
  <si>
    <t>GB00B39R3707</t>
  </si>
  <si>
    <t>0 5/8% Treasury Gilt 2050</t>
  </si>
  <si>
    <t>GB00BMBL1F74</t>
  </si>
  <si>
    <t>1¼% Treasury Gilt 2051</t>
  </si>
  <si>
    <t>GB00BLH38158</t>
  </si>
  <si>
    <t>3¾% Treasury Gilt 2052</t>
  </si>
  <si>
    <t>GB00B6RNH572</t>
  </si>
  <si>
    <t>76.90</t>
  </si>
  <si>
    <t>5.382</t>
  </si>
  <si>
    <t>1½% Green Gilt 2053</t>
  </si>
  <si>
    <t>GB00BM8Z2V59</t>
  </si>
  <si>
    <t>48.53</t>
  </si>
  <si>
    <t>4.830</t>
  </si>
  <si>
    <t>47.36</t>
  </si>
  <si>
    <t>4.976</t>
  </si>
  <si>
    <t>45.95</t>
  </si>
  <si>
    <t>5.168</t>
  </si>
  <si>
    <t>3¾% Treasury Gilt 2053</t>
  </si>
  <si>
    <t>GB00BPCJD997</t>
  </si>
  <si>
    <t>4 3/8% Treasury Gilt 2054</t>
  </si>
  <si>
    <t>GB00BPSNBB36</t>
  </si>
  <si>
    <t>95.79</t>
  </si>
  <si>
    <t>100.76</t>
  </si>
  <si>
    <t>4.328</t>
  </si>
  <si>
    <t>94.27</t>
  </si>
  <si>
    <t>4.734</t>
  </si>
  <si>
    <t>94.10</t>
  </si>
  <si>
    <t>4.747</t>
  </si>
  <si>
    <t>87.64</t>
  </si>
  <si>
    <t>5.197</t>
  </si>
  <si>
    <t>88.95</t>
  </si>
  <si>
    <t>5.104</t>
  </si>
  <si>
    <t>85.55</t>
  </si>
  <si>
    <t>5.357</t>
  </si>
  <si>
    <t>1 5/8% Treasury Gilt 2054</t>
  </si>
  <si>
    <t>GB00BJLR0J16</t>
  </si>
  <si>
    <t>4¼% Treasury Gilt 2055</t>
  </si>
  <si>
    <t>GB00B06YGN05</t>
  </si>
  <si>
    <t>5 3/8% Treasury Gilt 2056</t>
  </si>
  <si>
    <t>GB00BT7J0241</t>
  </si>
  <si>
    <t>99.56</t>
  </si>
  <si>
    <t>5.404</t>
  </si>
  <si>
    <t>1¾% Treasury Gilt 2057</t>
  </si>
  <si>
    <t>GB00BD0XH204</t>
  </si>
  <si>
    <t>4% Treasury Gilt 2060</t>
  </si>
  <si>
    <t>GB00B54QLM75</t>
  </si>
  <si>
    <t>0½% Treasury Gilt 2061</t>
  </si>
  <si>
    <t>GB00BMBL1D50</t>
  </si>
  <si>
    <t>4% Treasury Gilt 2063</t>
  </si>
  <si>
    <t>GB00BMF9LF76</t>
  </si>
  <si>
    <t>81.84</t>
  </si>
  <si>
    <t>5.076</t>
  </si>
  <si>
    <t>79.01</t>
  </si>
  <si>
    <t>5.281</t>
  </si>
  <si>
    <t>2½% Treasury Gilt 2065</t>
  </si>
  <si>
    <t>GB00BYYMZX75</t>
  </si>
  <si>
    <t>3½% Treasury Gilt 2068</t>
  </si>
  <si>
    <t>GB00BBJNQY21</t>
  </si>
  <si>
    <t>1 5/8% Treasury Gilt 2071</t>
  </si>
  <si>
    <t>GB00BFMCN652</t>
  </si>
  <si>
    <t>1 1/8% Treasury Gilt 2073</t>
  </si>
  <si>
    <t>GB00BLBDX619</t>
  </si>
  <si>
    <t>Index-linked Gilts (3 month Indexation Lag)</t>
  </si>
  <si>
    <t>0 1/8% Index-linked Treasury Gilt 2031</t>
  </si>
  <si>
    <t>GB00BNNGP551</t>
  </si>
  <si>
    <t>95.76</t>
  </si>
  <si>
    <t>0.827</t>
  </si>
  <si>
    <t>0¾% Index-linked Treasury Gilt 2033</t>
  </si>
  <si>
    <t>GB00BMF9LJ15</t>
  </si>
  <si>
    <t>102.60</t>
  </si>
  <si>
    <t>0.461</t>
  </si>
  <si>
    <t>102.36</t>
  </si>
  <si>
    <t>0.486</t>
  </si>
  <si>
    <t>100.04</t>
  </si>
  <si>
    <t>0.745</t>
  </si>
  <si>
    <t>1 1/8% Index-linked Treasury Gilt 2035</t>
  </si>
  <si>
    <t>GB00BT7HZZ68</t>
  </si>
  <si>
    <t>1.127</t>
  </si>
  <si>
    <t>100.10</t>
  </si>
  <si>
    <t>1.114</t>
  </si>
  <si>
    <t>98.60</t>
  </si>
  <si>
    <t>1.268</t>
  </si>
  <si>
    <t>97.51</t>
  </si>
  <si>
    <t>1.386</t>
  </si>
  <si>
    <t>95.66</t>
  </si>
  <si>
    <t>1.588</t>
  </si>
  <si>
    <t>94.44</t>
  </si>
  <si>
    <t>1.727</t>
  </si>
  <si>
    <t>1¾% Index-linked Treasury Gilt 2038</t>
  </si>
  <si>
    <t>GB00BMY62Z61</t>
  </si>
  <si>
    <t>100.06</t>
  </si>
  <si>
    <t>1.744</t>
  </si>
  <si>
    <t>0 1/8% Index-linked Treasury Gilt 2039</t>
  </si>
  <si>
    <t>GB00BLH38265</t>
  </si>
  <si>
    <t>87.42</t>
  </si>
  <si>
    <t>1.052</t>
  </si>
  <si>
    <t>87.70</t>
  </si>
  <si>
    <t>1.044</t>
  </si>
  <si>
    <t>0 5/8% Index-linked Treasury Gilt 2045</t>
  </si>
  <si>
    <t>GB00BMF9LH90</t>
  </si>
  <si>
    <t>89.56</t>
  </si>
  <si>
    <t>1.200</t>
  </si>
  <si>
    <t>87.46</t>
  </si>
  <si>
    <t>1.327</t>
  </si>
  <si>
    <t>81.27</t>
  </si>
  <si>
    <t>1.732</t>
  </si>
  <si>
    <t>74.30</t>
  </si>
  <si>
    <t>2.234</t>
  </si>
  <si>
    <t>1 7/8% Index-linked Treasury Gilt 2049</t>
  </si>
  <si>
    <t>GB00BT7J0134</t>
  </si>
  <si>
    <t>97.14</t>
  </si>
  <si>
    <t>2.023</t>
  </si>
  <si>
    <t>91.09</t>
  </si>
  <si>
    <t>2.360</t>
  </si>
  <si>
    <t>1¼% Index-linked Treasury Gilt 2054</t>
  </si>
  <si>
    <t>GB00BPSNBG80</t>
  </si>
  <si>
    <t>95.73</t>
  </si>
  <si>
    <t>1.423</t>
  </si>
  <si>
    <t>92.38</t>
  </si>
  <si>
    <t>1.569</t>
  </si>
  <si>
    <t>80.71</t>
  </si>
  <si>
    <t>2.125</t>
  </si>
  <si>
    <t>79.90</t>
  </si>
  <si>
    <t>2.175</t>
  </si>
  <si>
    <t>0 1/8% Index-linked Treasury Gilt 2073</t>
  </si>
  <si>
    <t>GB00BM8Z2W66</t>
  </si>
  <si>
    <t>61.26</t>
  </si>
  <si>
    <t>1.179</t>
  </si>
  <si>
    <t xml:space="preserve">Note:  </t>
  </si>
  <si>
    <t>1.  This table does not include the issuance history for "rump" conventional gilts.  A rump gilt is a relatively small gilt (in terms of nominal amount outstanding) as declared by the DMO, in which Gilt-edged Market Makers (GEMMs) are not required to make a market, but which the DMO will be prepared to make a bid price if requested by a GEMM._x000D_2.  The Outright gilt issuance category consists of outright auctions, taps and direct issues of gilts to the DMO.  HM Treasury can issue additional amounts of gilts directly to the DMO for use in its cash management operations.  The amounts are chosen to have a negligible effect on relevant gilt indices.  The additional collateral is held on the Debt Management Account._x000D_3.  For conventional gilt auctions the clean price shown is the average accepted price, while for index-linked gilt auctions the clean price is the strike price._x000D_4.  For conventional gilts the yield shown is a nominal yield, while for index-linked gilts it is a real yield.  For index-linked gilts with an 8-month indexation lag the yield is computed using a 3% inflation assumption, while for index-linked gilts with a 3-month indexation lag the yield does not depend on an inflation assumption._x000D_5.  In 2009-10, starting with the auction on 1 June 2009, the DMO has offered an option to successful bidders at auctions to purchase additional stock which will be available to successful bidders at the average accepted (or strike) price at the auction._x000D_6.  These amounts include the exercise of the Post Auction Option.</t>
  </si>
  <si>
    <t>Page -1 of 1</t>
  </si>
  <si>
    <t>SEP008W</t>
  </si>
  <si>
    <t>SEP008W.db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</si>
</sst>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
    <numFmt numFmtId="166" formatCode="\ dd\-mmm\-yyyy"/>
    <numFmt numFmtId="167" formatCode="#,##0.0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Calibri"/>
      <family val="2"/>
    </font>
    <font>
      <sz val="11"/>
      <color indexed="16"/>
      <name val="Aptos Narrow"/>
      <family val="2"/>
      <scheme val="minor"/>
    </font>
    <font>
      <sz val="11"/>
      <color rgb="FF000000"/>
      <name val="Calibri"/>
      <family val="2"/>
    </font>
    <font>
      <sz val="10"/>
      <color indexed="8"/>
      <name val="Arial"/>
      <family val="2"/>
    </font>
    <font>
      <sz val="11"/>
      <color rgb="FF000000"/>
      <name val="Calibri"/>
    </font>
    <font>
      <b/>
      <sz val="11"/>
      <color rgb="FFFFFFFF"/>
      <name val="Calibri"/>
    </font>
  </fonts>
  <fills count="4">
    <fill>
      <patternFill patternType="none"/>
    </fill>
    <fill>
      <patternFill patternType="gray125"/>
    </fill>
    <fill>
      <patternFill patternType="solid">
        <fgColor rgb="FF004A80"/>
      </patternFill>
    </fill>
    <fill>
      <patternFill patternType="solid">
        <fgColor rgb="FFFFFF00"/>
        <bgColor indexed="64"/>
      </patternFill>
    </fill>
  </fills>
  <borders count="2">
    <border>
      <left/>
      <right/>
      <top/>
      <bottom/>
      <diagonal/>
    </border>
    <border>
      <left style="thin">
        <color rgb="FF363636"/>
      </left>
      <right style="thin">
        <color rgb="FF363636"/>
      </right>
      <top style="thin">
        <color rgb="FF363636"/>
      </top>
      <bottom style="thin">
        <color rgb="FF363636"/>
      </bottom>
      <diagonal/>
    </border>
  </borders>
  <cellStyleXfs count="6">
    <xf numFmtId="0" fontId="0" fillId="0" borderId="0"/>
    <xf numFmtId="0" fontId="3" fillId="0" borderId="0"/>
    <xf numFmtId="0" fontId="1" fillId="0" borderId="0"/>
    <xf numFmtId="0" fontId="5" fillId="0" borderId="0"/>
    <xf numFmtId="0" fontId="6" fillId="0" borderId="0">
      <alignment vertical="top"/>
    </xf>
    <xf numFmtId="0" fontId="7" fillId="0" borderId="0"/>
  </cellStyleXfs>
  <cellXfs count="19">
    <xf numFmtId="0" fontId="0" fillId="0" borderId="0" xfId="0"/>
    <xf numFmtId="0" fontId="0" fillId="0" borderId="0" xfId="0" quotePrefix="1"/>
    <xf numFmtId="164" fontId="0" fillId="0" borderId="0" xfId="0" applyNumberFormat="1"/>
    <xf numFmtId="164" fontId="4" fillId="0" borderId="0" xfId="0" applyNumberFormat="1" applyFont="1"/>
    <xf numFmtId="0" fontId="1" fillId="0" borderId="0" xfId="2"/>
    <xf numFmtId="0" fontId="1" fillId="0" borderId="0" xfId="2" applyAlignment="1">
      <alignment horizontal="right"/>
    </xf>
    <xf numFmtId="0" fontId="2" fillId="0" borderId="0" xfId="0" applyFont="1"/>
    <xf numFmtId="165" fontId="0" fillId="0" borderId="0" xfId="0" applyNumberFormat="1"/>
    <xf numFmtId="0" fontId="0" fillId="0" borderId="0" xfId="2" applyFont="1"/>
    <xf numFmtId="0" fontId="0" fillId="0" borderId="0" xfId="0" applyAlignment="1">
      <alignment horizontal="right"/>
    </xf>
    <xf numFmtId="1" fontId="0" fillId="0" borderId="0" xfId="0" applyNumberFormat="1"/>
    <xf numFmtId="0" fontId="6" fillId="0" borderId="0" xfId="4">
      <alignment vertical="top"/>
    </xf>
    <xf numFmtId="166" fontId="6" fillId="0" borderId="0" xfId="4" applyNumberFormat="1">
      <alignment vertical="top"/>
    </xf>
    <xf numFmtId="167" fontId="6" fillId="0" borderId="0" xfId="4" applyNumberFormat="1">
      <alignment vertical="top"/>
    </xf>
    <xf numFmtId="0" fontId="6" fillId="3" borderId="0" xfId="4" applyFill="1">
      <alignment vertical="top"/>
    </xf>
    <xf numFmtId="166" fontId="6" fillId="3" borderId="0" xfId="4" applyNumberFormat="1" applyFill="1">
      <alignment vertical="top"/>
    </xf>
    <xf numFmtId="167" fontId="6" fillId="3" borderId="0" xfId="4" applyNumberFormat="1" applyFill="1">
      <alignment vertical="top"/>
    </xf>
    <xf numFmtId="165" fontId="6" fillId="0" borderId="0" xfId="4" applyNumberFormat="1">
      <alignment vertical="top"/>
    </xf>
    <xf numFmtId="0" fontId="8" fillId="2" borderId="1" xfId="5" applyFont="1" applyFill="1" applyBorder="1" applyAlignment="1">
      <alignment horizontal="left" wrapText="1"/>
    </xf>
  </cellXfs>
  <cellStyles count="6">
    <cellStyle name="Normal" xfId="0" builtinId="0"/>
    <cellStyle name="Normal 2" xfId="1" xr:uid="{917EA564-7487-45AC-9476-A41C47267B41}"/>
    <cellStyle name="Normal 2 5" xfId="2" xr:uid="{D065999F-FC1E-49CE-A8A8-823A9F01CEAF}"/>
    <cellStyle name="Normal 3" xfId="3" xr:uid="{C8F6B8AA-548A-482C-B107-9AD52EE3DACF}"/>
    <cellStyle name="Normal 4" xfId="4" xr:uid="{C0D3A405-C06A-432C-94B3-C55CB54C265E}"/>
    <cellStyle name="Normal 5" xfId="5" xr:uid="{3E4154AA-D0AD-4FF4-98BD-BF7D9FA259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Key"/>
      <sheetName val="Annual_Census"/>
      <sheetName val="BLS_Data"/>
      <sheetName val="Annual_Data"/>
      <sheetName val="BEA_Shares"/>
      <sheetName val="Historical Data Set ANN"/>
      <sheetName val="Int_Output"/>
      <sheetName val="Final_Output"/>
      <sheetName val="Extra Data"/>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
          <cell r="C2" t="str">
            <v>Rank based on largest spend on FDNABev as a % of total OpEx spend</v>
          </cell>
        </row>
      </sheetData>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E3B9-3E51-475B-9A27-B204B6BBAA29}">
  <dimension ref="A1:Z8"/>
  <sheetViews>
    <sheetView tabSelected="1" workbookViewId="0">
      <selection activeCell="C3" sqref="C3"/>
    </sheetView>
  </sheetViews>
  <sheetFormatPr defaultRowHeight="15" x14ac:dyDescent="0.25"/>
  <cols>
    <col min="9" max="9" width="2.7109375" customWidth="1"/>
    <col min="18" max="18" width="2.7109375" customWidth="1"/>
  </cols>
  <sheetData>
    <row r="1" spans="1:26" x14ac:dyDescent="0.25">
      <c r="A1" s="6" t="s">
        <v>425</v>
      </c>
      <c r="J1" s="6" t="s">
        <v>485</v>
      </c>
      <c r="S1" s="6" t="s">
        <v>486</v>
      </c>
    </row>
    <row r="2" spans="1:26" x14ac:dyDescent="0.25">
      <c r="B2" t="s">
        <v>419</v>
      </c>
      <c r="C2" t="s">
        <v>424</v>
      </c>
      <c r="D2" t="s">
        <v>390</v>
      </c>
      <c r="E2" t="s">
        <v>396</v>
      </c>
      <c r="F2" t="s">
        <v>403</v>
      </c>
      <c r="G2" t="s">
        <v>408</v>
      </c>
      <c r="H2" t="s">
        <v>413</v>
      </c>
      <c r="K2">
        <f>RANK(K4,$K$4:$Q$4)</f>
        <v>5</v>
      </c>
      <c r="L2">
        <f t="shared" ref="L2:Q2" si="0">RANK(L4,$K$4:$Q$4)</f>
        <v>7</v>
      </c>
      <c r="M2">
        <f t="shared" si="0"/>
        <v>3</v>
      </c>
      <c r="N2">
        <f t="shared" si="0"/>
        <v>2</v>
      </c>
      <c r="O2">
        <f t="shared" si="0"/>
        <v>6</v>
      </c>
      <c r="P2">
        <f t="shared" si="0"/>
        <v>4</v>
      </c>
      <c r="Q2">
        <f t="shared" si="0"/>
        <v>1</v>
      </c>
      <c r="T2">
        <f>RANK(T4,$T$4:$Z$4)</f>
        <v>6</v>
      </c>
      <c r="U2">
        <f t="shared" ref="U2:Z2" si="1">RANK(U4,$T$4:$Z$4)</f>
        <v>3</v>
      </c>
      <c r="V2">
        <f t="shared" si="1"/>
        <v>1</v>
      </c>
      <c r="W2">
        <f t="shared" si="1"/>
        <v>7</v>
      </c>
      <c r="X2">
        <f t="shared" si="1"/>
        <v>4</v>
      </c>
      <c r="Y2">
        <f t="shared" si="1"/>
        <v>2</v>
      </c>
      <c r="Z2">
        <f t="shared" si="1"/>
        <v>5</v>
      </c>
    </row>
    <row r="3" spans="1:26" x14ac:dyDescent="0.25">
      <c r="A3" t="s">
        <v>426</v>
      </c>
      <c r="B3" s="7">
        <f>100*((B7/B6)^2-1)</f>
        <v>1.9259079635300935</v>
      </c>
      <c r="C3" s="7">
        <f t="shared" ref="C3:H3" si="2">100*((C7/C6)^2-1)</f>
        <v>1.170361564416722</v>
      </c>
      <c r="D3" s="7">
        <f t="shared" si="2"/>
        <v>1.1324058117407665</v>
      </c>
      <c r="E3" s="7">
        <f t="shared" si="2"/>
        <v>0.51810504453719819</v>
      </c>
      <c r="F3" s="7">
        <f t="shared" si="2"/>
        <v>0.50566345167661897</v>
      </c>
      <c r="G3" s="7">
        <f t="shared" si="2"/>
        <v>0.74627186841313975</v>
      </c>
      <c r="H3" s="7">
        <f t="shared" si="2"/>
        <v>1.1220399704119588</v>
      </c>
      <c r="K3" t="s">
        <v>419</v>
      </c>
      <c r="L3" t="s">
        <v>424</v>
      </c>
      <c r="M3" t="s">
        <v>390</v>
      </c>
      <c r="N3" t="s">
        <v>396</v>
      </c>
      <c r="O3" t="s">
        <v>403</v>
      </c>
      <c r="P3" t="s">
        <v>408</v>
      </c>
      <c r="Q3" t="s">
        <v>413</v>
      </c>
      <c r="T3" t="s">
        <v>419</v>
      </c>
      <c r="U3" t="s">
        <v>424</v>
      </c>
      <c r="V3" t="s">
        <v>390</v>
      </c>
      <c r="W3" t="s">
        <v>396</v>
      </c>
      <c r="X3" t="s">
        <v>403</v>
      </c>
      <c r="Y3" t="s">
        <v>408</v>
      </c>
      <c r="Z3" t="s">
        <v>413</v>
      </c>
    </row>
    <row r="4" spans="1:26" x14ac:dyDescent="0.25">
      <c r="A4" t="s">
        <v>427</v>
      </c>
      <c r="B4" s="7">
        <f>100*((B8/B7)^2-1)</f>
        <v>0.64216097667726402</v>
      </c>
      <c r="C4" s="7">
        <f t="shared" ref="C4:H4" si="3">100*((C8/C7)^2-1)</f>
        <v>2.3462452397348343</v>
      </c>
      <c r="D4" s="7">
        <f t="shared" si="3"/>
        <v>-2.0202817743597556E-2</v>
      </c>
      <c r="E4" s="7">
        <f t="shared" si="3"/>
        <v>-9.2323006700834043E-2</v>
      </c>
      <c r="F4" s="7">
        <f t="shared" si="3"/>
        <v>0.51507840999054366</v>
      </c>
      <c r="G4" s="7">
        <f t="shared" si="3"/>
        <v>0.30491170100439557</v>
      </c>
      <c r="H4" s="7">
        <f t="shared" si="3"/>
        <v>-0.246972823384628</v>
      </c>
      <c r="J4">
        <v>2025</v>
      </c>
      <c r="K4" s="7">
        <f>100*(DataA!I60/DataA!W60)</f>
        <v>-4.5090271058961076</v>
      </c>
      <c r="L4" s="7">
        <f>100*(DataA!J60/DataA!X60)</f>
        <v>-7.0961317069189622</v>
      </c>
      <c r="M4" s="7">
        <f>100*(DataA!K60/DataA!Y60)</f>
        <v>-2.9490874950898935</v>
      </c>
      <c r="N4" s="7">
        <f>100*(DataA!L60/DataA!Z60)</f>
        <v>-2.0656985376863233</v>
      </c>
      <c r="O4" s="7">
        <f>100*(DataA!M60/DataA!AA60)</f>
        <v>-5.3818187898173786</v>
      </c>
      <c r="P4" s="7">
        <f>100*(DataA!N60/DataA!AB60)</f>
        <v>-3.0009128208255809</v>
      </c>
      <c r="Q4" s="7">
        <f>100*(DataA!O60/DataA!AC60)</f>
        <v>-1.562712366401138</v>
      </c>
      <c r="S4">
        <v>2025</v>
      </c>
      <c r="T4" s="7">
        <f>100*(DataA!P60/DataA!W60)</f>
        <v>102.50331440555316</v>
      </c>
      <c r="U4" s="7">
        <f>100*(DataA!Q60/DataA!X60)</f>
        <v>139.37292047887607</v>
      </c>
      <c r="V4" s="7">
        <f>100*(DataA!R60/DataA!Y60)</f>
        <v>217.09153450231292</v>
      </c>
      <c r="W4" s="7">
        <f>100*(DataA!S60/DataA!Z60)</f>
        <v>58.229623660727604</v>
      </c>
      <c r="X4" s="7">
        <f>100*(DataA!T60/DataA!AA60)</f>
        <v>127.49830898700154</v>
      </c>
      <c r="Y4" s="7">
        <f>100*(DataA!U60/DataA!AB60)</f>
        <v>150.05750481840744</v>
      </c>
      <c r="Z4" s="7">
        <f>100*(DataA!V60/DataA!AC60)</f>
        <v>107.07335498146135</v>
      </c>
    </row>
    <row r="6" spans="1:26" x14ac:dyDescent="0.25">
      <c r="A6" t="s">
        <v>428</v>
      </c>
      <c r="B6">
        <f>SUM(DataQ!G213:G214)</f>
        <v>1283962</v>
      </c>
      <c r="C6">
        <f>SUM(DataQ!H213:H214)</f>
        <v>11735.65</v>
      </c>
      <c r="D6">
        <f>SUM(DataQ!I213:I214)</f>
        <v>279556.3</v>
      </c>
      <c r="E6">
        <f>SUM(DataQ!J213:J214)</f>
        <v>1801.19</v>
      </c>
      <c r="F6">
        <f>SUM(DataQ!K213:K214)</f>
        <v>1309.636</v>
      </c>
      <c r="G6">
        <f>SUM(DataQ!L213:L214)</f>
        <v>966.8610000000001</v>
      </c>
      <c r="H6">
        <f>SUM(DataQ!M213:M214)</f>
        <v>1218310.6000000001</v>
      </c>
    </row>
    <row r="7" spans="1:26" x14ac:dyDescent="0.25">
      <c r="A7" t="s">
        <v>426</v>
      </c>
      <c r="B7">
        <f>SUM(DataQ!G215:G216)</f>
        <v>1296267</v>
      </c>
      <c r="C7">
        <f>SUM(DataQ!H215:H216)</f>
        <v>11804.125</v>
      </c>
      <c r="D7">
        <f>SUM(DataQ!I215:I216)</f>
        <v>281134.7</v>
      </c>
      <c r="E7">
        <f>SUM(DataQ!J215:J216)</f>
        <v>1805.85</v>
      </c>
      <c r="F7">
        <f>SUM(DataQ!K215:K216)</f>
        <v>1312.9430000000002</v>
      </c>
      <c r="G7">
        <f>SUM(DataQ!L215:L216)</f>
        <v>970.46199999999999</v>
      </c>
      <c r="H7">
        <f>SUM(DataQ!M215:M216)</f>
        <v>1225126.5</v>
      </c>
    </row>
    <row r="8" spans="1:26" x14ac:dyDescent="0.25">
      <c r="A8" t="s">
        <v>427</v>
      </c>
      <c r="B8">
        <f>SUM(DataQ!G217:G218)</f>
        <v>1300422.3999999999</v>
      </c>
      <c r="C8">
        <f>SUM(DataQ!H217:H218)</f>
        <v>11941.798999999999</v>
      </c>
      <c r="D8">
        <f>SUM(DataQ!I217:I218)</f>
        <v>281106.3</v>
      </c>
      <c r="E8">
        <f>SUM(DataQ!J217:J218)</f>
        <v>1805.0162</v>
      </c>
      <c r="F8">
        <f>SUM(DataQ!K217:K218)</f>
        <v>1316.32</v>
      </c>
      <c r="G8">
        <f>SUM(DataQ!L217:L218)</f>
        <v>971.94039999999995</v>
      </c>
      <c r="H8">
        <f>SUM(DataQ!M217:M218)</f>
        <v>1223612.7000000002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CE3A4-408F-4B6D-BC50-FF784F7BC941}">
  <dimension ref="A1:AC95"/>
  <sheetViews>
    <sheetView workbookViewId="0">
      <pane xSplit="1" ySplit="7" topLeftCell="F32" activePane="bottomRight" state="frozen"/>
      <selection pane="topRight" activeCell="B1" sqref="B1"/>
      <selection pane="bottomLeft" activeCell="A8" sqref="A8"/>
      <selection pane="bottomRight" activeCell="W11" sqref="W11"/>
    </sheetView>
  </sheetViews>
  <sheetFormatPr defaultRowHeight="15" x14ac:dyDescent="0.25"/>
  <cols>
    <col min="2" max="29" width="11.140625" bestFit="1" customWidth="1"/>
  </cols>
  <sheetData>
    <row r="1" spans="1:29" x14ac:dyDescent="0.25">
      <c r="B1" s="6" t="s">
        <v>484</v>
      </c>
      <c r="I1" s="6"/>
      <c r="J1" s="6"/>
      <c r="P1" s="6" t="s">
        <v>483</v>
      </c>
      <c r="W1" s="6" t="s">
        <v>484</v>
      </c>
      <c r="X1" s="6"/>
    </row>
    <row r="2" spans="1:29" x14ac:dyDescent="0.25">
      <c r="B2" s="9" t="str">
        <f>DataQ!G1</f>
        <v>SEP008W.db</v>
      </c>
      <c r="C2" s="9" t="str">
        <f>DataQ!H1</f>
        <v>SEP008W.db</v>
      </c>
      <c r="D2" s="9" t="str">
        <f>DataQ!I1</f>
        <v>SEP008W.db</v>
      </c>
      <c r="E2" s="9" t="str">
        <f>DataQ!J1</f>
        <v>SEP008W.db</v>
      </c>
      <c r="F2" s="9" t="str">
        <f>DataQ!K1</f>
        <v>SEP008W.db</v>
      </c>
      <c r="G2" s="9" t="str">
        <f>DataQ!L1</f>
        <v>SEP008W.db</v>
      </c>
      <c r="H2" s="9" t="str">
        <f>DataQ!M1</f>
        <v>SEP008W.db</v>
      </c>
      <c r="I2" s="9" t="str">
        <f>DataQ!N1</f>
        <v>SEP008W.db</v>
      </c>
      <c r="J2" s="9" t="str">
        <f>DataQ!O1</f>
        <v>SEP008W.db</v>
      </c>
      <c r="K2" s="9" t="str">
        <f>DataQ!P1</f>
        <v>SEP008W.db</v>
      </c>
      <c r="L2" s="9" t="str">
        <f>DataQ!Q1</f>
        <v>SEP008W.db</v>
      </c>
      <c r="M2" s="9" t="str">
        <f>DataQ!R1</f>
        <v>SEP008W.db</v>
      </c>
      <c r="N2" s="9" t="str">
        <f>DataQ!S1</f>
        <v>SEP008W.db</v>
      </c>
      <c r="O2" s="9" t="str">
        <f>DataQ!T1</f>
        <v>SEP008W.db</v>
      </c>
      <c r="P2" s="9" t="str">
        <f>DataQ!U1</f>
        <v>SEP008W.db</v>
      </c>
      <c r="Q2" s="9" t="str">
        <f>DataQ!V1</f>
        <v>SEP008W.db</v>
      </c>
      <c r="R2" s="9" t="str">
        <f>DataQ!W1</f>
        <v>SEP008W.db</v>
      </c>
      <c r="S2" s="9" t="str">
        <f>DataQ!X1</f>
        <v>SEP008W.db</v>
      </c>
      <c r="T2" s="9" t="str">
        <f>DataQ!Y1</f>
        <v>SEP008W.db</v>
      </c>
      <c r="U2" s="9" t="str">
        <f>DataQ!Z1</f>
        <v>SEP008W.db</v>
      </c>
      <c r="V2" s="9" t="str">
        <f>DataQ!AA1</f>
        <v>SEP008W.db</v>
      </c>
      <c r="W2" s="9" t="str">
        <f>DataQ!AB1</f>
        <v>SEP008W.db</v>
      </c>
      <c r="X2" s="9" t="str">
        <f>DataQ!AC1</f>
        <v>SEP008W.db</v>
      </c>
      <c r="Y2" s="9" t="str">
        <f>DataQ!AD1</f>
        <v>SEP008W.db</v>
      </c>
      <c r="Z2" s="9" t="str">
        <f>DataQ!AE1</f>
        <v>SEP008W.db</v>
      </c>
      <c r="AA2" s="9" t="str">
        <f>DataQ!AF1</f>
        <v>SEP008W.db</v>
      </c>
      <c r="AB2" s="9" t="str">
        <f>DataQ!AG1</f>
        <v>SEP008W.db</v>
      </c>
      <c r="AC2" s="9" t="str">
        <f>DataQ!AH1</f>
        <v>SEP008W.db</v>
      </c>
    </row>
    <row r="3" spans="1:29" x14ac:dyDescent="0.25">
      <c r="B3" s="9" t="str">
        <f>DataQ!G2</f>
        <v>UK</v>
      </c>
      <c r="C3" s="9" t="str">
        <f>DataQ!H2</f>
        <v>US</v>
      </c>
      <c r="D3" s="9" t="str">
        <f>DataQ!I2</f>
        <v>Japan</v>
      </c>
      <c r="E3" s="9" t="str">
        <f>DataQ!J2</f>
        <v>Germany</v>
      </c>
      <c r="F3" s="9" t="str">
        <f>DataQ!K2</f>
        <v>France</v>
      </c>
      <c r="G3" s="9" t="str">
        <f>DataQ!L2</f>
        <v>Italy</v>
      </c>
      <c r="H3" s="9" t="str">
        <f>DataQ!M2</f>
        <v>Canada</v>
      </c>
      <c r="I3" s="9" t="str">
        <f>DataQ!N2</f>
        <v>UK</v>
      </c>
      <c r="J3" s="9" t="str">
        <f>DataQ!O2</f>
        <v>US</v>
      </c>
      <c r="K3" s="9" t="str">
        <f>DataQ!P2</f>
        <v>Japan</v>
      </c>
      <c r="L3" s="9" t="str">
        <f>DataQ!Q2</f>
        <v>Germany</v>
      </c>
      <c r="M3" s="9" t="str">
        <f>DataQ!R2</f>
        <v>France</v>
      </c>
      <c r="N3" s="9" t="str">
        <f>DataQ!S2</f>
        <v>Italy</v>
      </c>
      <c r="O3" s="9" t="str">
        <f>DataQ!T2</f>
        <v>Canada</v>
      </c>
      <c r="P3" s="9" t="str">
        <f>DataQ!U2</f>
        <v>UK</v>
      </c>
      <c r="Q3" s="9" t="str">
        <f>DataQ!V2</f>
        <v>US</v>
      </c>
      <c r="R3" s="9" t="str">
        <f>DataQ!W2</f>
        <v>Japan</v>
      </c>
      <c r="S3" s="9" t="str">
        <f>DataQ!X2</f>
        <v>Germany</v>
      </c>
      <c r="T3" s="9" t="str">
        <f>DataQ!Y2</f>
        <v>France</v>
      </c>
      <c r="U3" s="9" t="str">
        <f>DataQ!Z2</f>
        <v>Italy</v>
      </c>
      <c r="V3" s="9" t="str">
        <f>DataQ!AA2</f>
        <v>Canada</v>
      </c>
      <c r="W3" s="9" t="str">
        <f>DataQ!AB2</f>
        <v>UK</v>
      </c>
      <c r="X3" s="9" t="str">
        <f>DataQ!AC2</f>
        <v>US</v>
      </c>
      <c r="Y3" s="9" t="str">
        <f>DataQ!AD2</f>
        <v>Japan</v>
      </c>
      <c r="Z3" s="9" t="str">
        <f>DataQ!AE2</f>
        <v>Germany</v>
      </c>
      <c r="AA3" s="9" t="str">
        <f>DataQ!AF2</f>
        <v>France</v>
      </c>
      <c r="AB3" s="9" t="str">
        <f>DataQ!AG2</f>
        <v>Italy</v>
      </c>
      <c r="AC3" s="9" t="str">
        <f>DataQ!AH2</f>
        <v>Canada</v>
      </c>
    </row>
    <row r="4" spans="1:29" x14ac:dyDescent="0.25">
      <c r="B4" s="9" t="str">
        <f>DataQ!G3</f>
        <v>GDP</v>
      </c>
      <c r="C4" s="9" t="str">
        <f>DataQ!H3</f>
        <v>GDP</v>
      </c>
      <c r="D4" s="9" t="str">
        <f>DataQ!I3</f>
        <v>GDP</v>
      </c>
      <c r="E4" s="9" t="str">
        <f>DataQ!J3</f>
        <v>GDP</v>
      </c>
      <c r="F4" s="9" t="str">
        <f>DataQ!K3</f>
        <v>GDP</v>
      </c>
      <c r="G4" s="9" t="str">
        <f>DataQ!L3</f>
        <v>GDP</v>
      </c>
      <c r="H4" s="9" t="str">
        <f>DataQ!M3</f>
        <v>GDP</v>
      </c>
      <c r="I4" s="9" t="str">
        <f>DataQ!N3</f>
        <v>GB</v>
      </c>
      <c r="J4" s="9" t="str">
        <f>DataQ!O3</f>
        <v>GB</v>
      </c>
      <c r="K4" s="9" t="str">
        <f>DataQ!P3</f>
        <v>GB</v>
      </c>
      <c r="L4" s="9" t="str">
        <f>DataQ!Q3</f>
        <v>GB</v>
      </c>
      <c r="M4" s="9" t="str">
        <f>DataQ!R3</f>
        <v>GB</v>
      </c>
      <c r="N4" s="9" t="str">
        <f>DataQ!S3</f>
        <v>GB</v>
      </c>
      <c r="O4" s="9" t="str">
        <f>DataQ!T3</f>
        <v>GB</v>
      </c>
      <c r="P4" s="9" t="str">
        <f>DataQ!U3</f>
        <v>GGDBT</v>
      </c>
      <c r="Q4" s="9" t="str">
        <f>DataQ!V3</f>
        <v>GGDBT</v>
      </c>
      <c r="R4" s="9" t="str">
        <f>DataQ!W3</f>
        <v>GGDBT</v>
      </c>
      <c r="S4" s="9" t="str">
        <f>DataQ!X3</f>
        <v>GGDBT</v>
      </c>
      <c r="T4" s="9" t="str">
        <f>DataQ!Y3</f>
        <v>GGDBT</v>
      </c>
      <c r="U4" s="9" t="str">
        <f>DataQ!Z3</f>
        <v>GGDBT</v>
      </c>
      <c r="V4" s="9" t="str">
        <f>DataQ!AA3</f>
        <v>GGDBT</v>
      </c>
      <c r="W4" s="9" t="str">
        <f>DataQ!AB3</f>
        <v>GDP!</v>
      </c>
      <c r="X4" s="9" t="str">
        <f>DataQ!AC3</f>
        <v>GDP!</v>
      </c>
      <c r="Y4" s="9" t="str">
        <f>DataQ!AD3</f>
        <v>GDP!</v>
      </c>
      <c r="Z4" s="9" t="str">
        <f>DataQ!AE3</f>
        <v>GDP!</v>
      </c>
      <c r="AA4" s="9" t="str">
        <f>DataQ!AF3</f>
        <v>GDP!</v>
      </c>
      <c r="AB4" s="9" t="str">
        <f>DataQ!AG3</f>
        <v>GDP!</v>
      </c>
      <c r="AC4" s="9" t="str">
        <f>DataQ!AH3</f>
        <v>GDP!</v>
      </c>
    </row>
    <row r="5" spans="1:29" x14ac:dyDescent="0.25">
      <c r="B5" s="9" t="str">
        <f>DataQ!G4</f>
        <v>GBR</v>
      </c>
      <c r="C5" s="9" t="str">
        <f>DataQ!H4</f>
        <v>USA</v>
      </c>
      <c r="D5" s="9" t="str">
        <f>DataQ!I4</f>
        <v>JPN</v>
      </c>
      <c r="E5" s="9" t="str">
        <f>DataQ!J4</f>
        <v>DEU</v>
      </c>
      <c r="F5" s="9" t="str">
        <f>DataQ!K4</f>
        <v>FRA</v>
      </c>
      <c r="G5" s="9" t="str">
        <f>DataQ!L4</f>
        <v>ITA</v>
      </c>
      <c r="H5" s="9" t="str">
        <f>DataQ!M4</f>
        <v>CAN</v>
      </c>
      <c r="I5" s="9" t="str">
        <f>DataQ!N4</f>
        <v>GBR</v>
      </c>
      <c r="J5" s="9" t="str">
        <f>DataQ!O4</f>
        <v>USA</v>
      </c>
      <c r="K5" s="9" t="str">
        <f>DataQ!P4</f>
        <v>JPN</v>
      </c>
      <c r="L5" s="9" t="str">
        <f>DataQ!Q4</f>
        <v>DEU</v>
      </c>
      <c r="M5" s="9" t="str">
        <f>DataQ!R4</f>
        <v>FRA</v>
      </c>
      <c r="N5" s="9" t="str">
        <f>DataQ!S4</f>
        <v>ITA</v>
      </c>
      <c r="O5" s="9" t="str">
        <f>DataQ!T4</f>
        <v>CAN</v>
      </c>
      <c r="P5" s="9" t="str">
        <f>DataQ!U4</f>
        <v>GBR</v>
      </c>
      <c r="Q5" s="9" t="str">
        <f>DataQ!V4</f>
        <v>USA</v>
      </c>
      <c r="R5" s="9" t="str">
        <f>DataQ!W4</f>
        <v>JPN</v>
      </c>
      <c r="S5" s="9" t="str">
        <f>DataQ!X4</f>
        <v>DEU</v>
      </c>
      <c r="T5" s="9" t="str">
        <f>DataQ!Y4</f>
        <v>FRA</v>
      </c>
      <c r="U5" s="9" t="str">
        <f>DataQ!Z4</f>
        <v>ITA</v>
      </c>
      <c r="V5" s="9" t="str">
        <f>DataQ!AA4</f>
        <v>CAN</v>
      </c>
      <c r="W5" s="9" t="str">
        <f>DataQ!AB4</f>
        <v>GBR</v>
      </c>
      <c r="X5" s="9" t="str">
        <f>DataQ!AC4</f>
        <v>USA</v>
      </c>
      <c r="Y5" s="9" t="str">
        <f>DataQ!AD4</f>
        <v>JPN</v>
      </c>
      <c r="Z5" s="9" t="str">
        <f>DataQ!AE4</f>
        <v>DEU</v>
      </c>
      <c r="AA5" s="9" t="str">
        <f>DataQ!AF4</f>
        <v>FRA</v>
      </c>
      <c r="AB5" s="9" t="str">
        <f>DataQ!AG4</f>
        <v>ITA</v>
      </c>
      <c r="AC5" s="9" t="str">
        <f>DataQ!AH4</f>
        <v>CAN</v>
      </c>
    </row>
    <row r="6" spans="1:29" x14ac:dyDescent="0.25">
      <c r="B6" s="9" t="str">
        <f>DataQ!G5</f>
        <v>L</v>
      </c>
      <c r="C6" s="9" t="str">
        <f>DataQ!H5</f>
        <v>L</v>
      </c>
      <c r="D6" s="9" t="str">
        <f>DataQ!I5</f>
        <v>L</v>
      </c>
      <c r="E6" s="9" t="str">
        <f>DataQ!J5</f>
        <v>L</v>
      </c>
      <c r="F6" s="9" t="str">
        <f>DataQ!K5</f>
        <v>L</v>
      </c>
      <c r="G6" s="9" t="str">
        <f>DataQ!L5</f>
        <v>L</v>
      </c>
      <c r="H6" s="9" t="str">
        <f>DataQ!M5</f>
        <v>L</v>
      </c>
      <c r="I6" s="9" t="str">
        <f>DataQ!N5</f>
        <v>L</v>
      </c>
      <c r="J6" s="9" t="str">
        <f>DataQ!O5</f>
        <v>L</v>
      </c>
      <c r="K6" s="9" t="str">
        <f>DataQ!P5</f>
        <v>L</v>
      </c>
      <c r="L6" s="9" t="str">
        <f>DataQ!Q5</f>
        <v>L</v>
      </c>
      <c r="M6" s="9" t="str">
        <f>DataQ!R5</f>
        <v>L</v>
      </c>
      <c r="N6" s="9" t="str">
        <f>DataQ!S5</f>
        <v>L</v>
      </c>
      <c r="O6" s="9" t="str">
        <f>DataQ!T5</f>
        <v>L</v>
      </c>
      <c r="P6" s="9" t="str">
        <f>DataQ!U5</f>
        <v>L</v>
      </c>
      <c r="Q6" s="9" t="str">
        <f>DataQ!V5</f>
        <v>L</v>
      </c>
      <c r="R6" s="9" t="str">
        <f>DataQ!W5</f>
        <v>L</v>
      </c>
      <c r="S6" s="9" t="str">
        <f>DataQ!X5</f>
        <v>L</v>
      </c>
      <c r="T6" s="9" t="str">
        <f>DataQ!Y5</f>
        <v>L</v>
      </c>
      <c r="U6" s="9" t="str">
        <f>DataQ!Z5</f>
        <v>L</v>
      </c>
      <c r="V6" s="9" t="str">
        <f>DataQ!AA5</f>
        <v>L</v>
      </c>
      <c r="W6" s="9" t="str">
        <f>DataQ!AB5</f>
        <v>L</v>
      </c>
      <c r="X6" s="9" t="str">
        <f>DataQ!AC5</f>
        <v>L</v>
      </c>
      <c r="Y6" s="9" t="str">
        <f>DataQ!AD5</f>
        <v>L</v>
      </c>
      <c r="Z6" s="9" t="str">
        <f>DataQ!AE5</f>
        <v>L</v>
      </c>
      <c r="AA6" s="9" t="str">
        <f>DataQ!AF5</f>
        <v>L</v>
      </c>
      <c r="AB6" s="9" t="str">
        <f>DataQ!AG5</f>
        <v>L</v>
      </c>
      <c r="AC6" s="9" t="str">
        <f>DataQ!AH5</f>
        <v>L</v>
      </c>
    </row>
    <row r="7" spans="1:29" s="9" customFormat="1" x14ac:dyDescent="0.25">
      <c r="B7" s="9" t="str">
        <f>DataQ!G6</f>
        <v>202502</v>
      </c>
      <c r="C7" s="9" t="str">
        <f>DataQ!H6</f>
        <v>202502</v>
      </c>
      <c r="D7" s="9" t="str">
        <f>DataQ!I6</f>
        <v>202502</v>
      </c>
      <c r="E7" s="9" t="str">
        <f>DataQ!J6</f>
        <v>202502</v>
      </c>
      <c r="F7" s="9" t="str">
        <f>DataQ!K6</f>
        <v>202502</v>
      </c>
      <c r="G7" s="9" t="str">
        <f>DataQ!L6</f>
        <v>202502</v>
      </c>
      <c r="H7" s="9" t="str">
        <f>DataQ!M6</f>
        <v>202502</v>
      </c>
      <c r="I7" s="9" t="str">
        <f>DataQ!N6</f>
        <v>202502</v>
      </c>
      <c r="J7" s="9" t="str">
        <f>DataQ!O6</f>
        <v>202501</v>
      </c>
      <c r="K7" s="9" t="str">
        <f>DataQ!P6</f>
        <v>202402</v>
      </c>
      <c r="L7" s="9" t="str">
        <f>DataQ!Q6</f>
        <v>202502</v>
      </c>
      <c r="M7" s="9" t="str">
        <f>DataQ!R6</f>
        <v>202502</v>
      </c>
      <c r="N7" s="9" t="str">
        <f>DataQ!S6</f>
        <v>202404</v>
      </c>
      <c r="O7" s="9" t="str">
        <f>DataQ!T6</f>
        <v>202502</v>
      </c>
      <c r="P7" s="9" t="str">
        <f>DataQ!U6</f>
        <v>202502</v>
      </c>
      <c r="Q7" s="9" t="str">
        <f>DataQ!V6</f>
        <v>202303</v>
      </c>
      <c r="R7" s="9" t="str">
        <f>DataQ!W6</f>
        <v>202402</v>
      </c>
      <c r="S7" s="9" t="str">
        <f>DataQ!X6</f>
        <v>202501</v>
      </c>
      <c r="T7" s="9" t="str">
        <f>DataQ!Y6</f>
        <v>202501</v>
      </c>
      <c r="U7" s="9" t="str">
        <f>DataQ!Z6</f>
        <v>202404</v>
      </c>
      <c r="V7" s="9" t="str">
        <f>DataQ!AA6</f>
        <v>202502</v>
      </c>
      <c r="W7" s="9" t="str">
        <f>DataQ!AB6</f>
        <v>202502</v>
      </c>
      <c r="X7" s="9" t="str">
        <f>DataQ!AC6</f>
        <v>202502</v>
      </c>
      <c r="Y7" s="9" t="str">
        <f>DataQ!AD6</f>
        <v>202502</v>
      </c>
      <c r="Z7" s="9" t="str">
        <f>DataQ!AE6</f>
        <v>202502</v>
      </c>
      <c r="AA7" s="9" t="str">
        <f>DataQ!AF6</f>
        <v>202502</v>
      </c>
      <c r="AB7" s="9" t="str">
        <f>DataQ!AG6</f>
        <v>202502</v>
      </c>
      <c r="AC7" s="9" t="str">
        <f>DataQ!AH6</f>
        <v>202502</v>
      </c>
    </row>
    <row r="8" spans="1:29" x14ac:dyDescent="0.25">
      <c r="A8">
        <v>1973</v>
      </c>
      <c r="B8" s="10">
        <f>SUMIF(DataQ!$B:$B,DataA!$A8,DataQ!G:G)</f>
        <v>987527</v>
      </c>
      <c r="C8" s="10">
        <f>SUMIF(DataQ!$B:$B,DataA!$A8,DataQ!H:H)</f>
        <v>6106.35</v>
      </c>
      <c r="D8" s="10">
        <f>SUMIF(DataQ!$B:$B,DataA!$A8,DataQ!I:I)</f>
        <v>211380.51</v>
      </c>
      <c r="E8" s="10">
        <f>SUMIF(DataQ!$B:$B,DataA!$A8,DataQ!J:J)</f>
        <v>1556.1399999999999</v>
      </c>
      <c r="F8" s="10">
        <f>SUMIF(DataQ!$B:$B,DataA!$A8,DataQ!K:K)</f>
        <v>999.14999999999986</v>
      </c>
      <c r="G8" s="10">
        <f>SUMIF(DataQ!$B:$B,DataA!$A8,DataQ!L:L)</f>
        <v>932.56989999999996</v>
      </c>
      <c r="H8" s="10">
        <f>SUMIF(DataQ!$B:$B,DataA!$A8,DataQ!M:M)</f>
        <v>707164.60000000009</v>
      </c>
      <c r="I8" s="10">
        <f>SUMIF(DataQ!$B:$B,DataA!$A8,DataQ!N:N)</f>
        <v>-2740</v>
      </c>
      <c r="J8" s="10">
        <f>SUMIF(DataQ!$B:$B,DataA!$A8,DataQ!O:O)</f>
        <v>-44.591250000000002</v>
      </c>
      <c r="K8" s="10">
        <f>SUMIF(DataQ!$B:$B,DataA!$A8,DataQ!P:P)</f>
        <v>-2130.75</v>
      </c>
      <c r="L8" s="10">
        <f>SUMIF(DataQ!$B:$B,DataA!$A8,DataQ!Q:Q)</f>
        <v>-23.045528000000001</v>
      </c>
      <c r="M8" s="10">
        <f>SUMIF(DataQ!$B:$B,DataA!$A8,DataQ!R:R)</f>
        <v>0.8040001</v>
      </c>
      <c r="N8" s="10">
        <f>SUMIF(DataQ!$B:$B,DataA!$A8,DataQ!S:S)</f>
        <v>-3.2833435</v>
      </c>
      <c r="O8" s="10">
        <f>SUMIF(DataQ!$B:$B,DataA!$A8,DataQ!T:T)</f>
        <v>1605</v>
      </c>
      <c r="P8" s="10">
        <f>SUMIF(DataQ!$E:$E,DataA!$A8,DataQ!U:U)</f>
        <v>35969.43</v>
      </c>
      <c r="Q8" s="10">
        <f>SUMIF(DataQ!$E:$E,DataA!$A8,DataQ!V:V)</f>
        <v>1158.847</v>
      </c>
      <c r="R8" s="10">
        <f>SUMIF(DataQ!$E:$E,DataA!$A8,DataQ!W:W)</f>
        <v>17803</v>
      </c>
      <c r="S8" s="10">
        <f>SUMIF(DataQ!$E:$E,DataA!$A8,DataQ!X:X)</f>
        <v>89.06523</v>
      </c>
      <c r="T8" s="10">
        <f>SUMIF(DataQ!$E:$E,DataA!$A8,DataQ!Y:Y)</f>
        <v>56.766300000000001</v>
      </c>
      <c r="U8" s="10">
        <f>SUMIF(DataQ!$E:$E,DataA!$A8,DataQ!Z:Z)</f>
        <v>36.414000000000001</v>
      </c>
      <c r="V8" s="10">
        <f>SUMIF(DataQ!$E:$E,DataA!$A8,DataQ!AA:AA)</f>
        <v>64923</v>
      </c>
      <c r="W8" s="10">
        <f>SUMIF(DataQ!$B:$B,DataA!$A8,DataQ!AB:AB)</f>
        <v>81793</v>
      </c>
      <c r="X8" s="10">
        <f>SUMIF(DataQ!$B:$B,DataA!$A8,DataQ!AC:AC)</f>
        <v>1425.375</v>
      </c>
      <c r="Y8" s="10">
        <f>SUMIF(DataQ!$B:$B,DataA!$A8,DataQ!AD:AD)</f>
        <v>115345.45000000001</v>
      </c>
      <c r="Z8" s="10">
        <f>SUMIF(DataQ!$B:$B,DataA!$A8,DataQ!AE:AE)</f>
        <v>553.18680000000006</v>
      </c>
      <c r="AA8" s="10">
        <f>SUMIF(DataQ!$B:$B,DataA!$A8,DataQ!AF:AF)</f>
        <v>177.82499999999999</v>
      </c>
      <c r="AB8" s="10">
        <f>SUMIF(DataQ!$B:$B,DataA!$A8,DataQ!AG:AG)</f>
        <v>53.293000000000006</v>
      </c>
      <c r="AC8" s="10">
        <f>SUMIF(DataQ!$B:$B,DataA!$A8,DataQ!AH:AH)</f>
        <v>132966</v>
      </c>
    </row>
    <row r="9" spans="1:29" x14ac:dyDescent="0.25">
      <c r="A9">
        <v>1974</v>
      </c>
      <c r="B9" s="10">
        <f>SUMIF(DataQ!$B:$B,DataA!$A9,DataQ!G:G)</f>
        <v>962880</v>
      </c>
      <c r="C9" s="10">
        <f>SUMIF(DataQ!$B:$B,DataA!$A9,DataQ!H:H)</f>
        <v>6073.4</v>
      </c>
      <c r="D9" s="10">
        <f>SUMIF(DataQ!$B:$B,DataA!$A9,DataQ!I:I)</f>
        <v>209230.97</v>
      </c>
      <c r="E9" s="10">
        <f>SUMIF(DataQ!$B:$B,DataA!$A9,DataQ!J:J)</f>
        <v>1571.34</v>
      </c>
      <c r="F9" s="10">
        <f>SUMIF(DataQ!$B:$B,DataA!$A9,DataQ!K:K)</f>
        <v>1043.0390000000002</v>
      </c>
      <c r="G9" s="10">
        <f>SUMIF(DataQ!$B:$B,DataA!$A9,DataQ!L:L)</f>
        <v>981.77829999999994</v>
      </c>
      <c r="H9" s="10">
        <f>SUMIF(DataQ!$B:$B,DataA!$A9,DataQ!M:M)</f>
        <v>730909.60000000009</v>
      </c>
      <c r="I9" s="10">
        <f>SUMIF(DataQ!$B:$B,DataA!$A9,DataQ!N:N)</f>
        <v>-4310</v>
      </c>
      <c r="J9" s="10">
        <f>SUMIF(DataQ!$B:$B,DataA!$A9,DataQ!O:O)</f>
        <v>-59.765000000000001</v>
      </c>
      <c r="K9" s="10">
        <f>SUMIF(DataQ!$B:$B,DataA!$A9,DataQ!P:P)</f>
        <v>-2482.25</v>
      </c>
      <c r="L9" s="10">
        <f>SUMIF(DataQ!$B:$B,DataA!$A9,DataQ!Q:Q)</f>
        <v>-36.381582000000002</v>
      </c>
      <c r="M9" s="10">
        <f>SUMIF(DataQ!$B:$B,DataA!$A9,DataQ!R:R)</f>
        <v>0.48300010000000004</v>
      </c>
      <c r="N9" s="10">
        <f>SUMIF(DataQ!$B:$B,DataA!$A9,DataQ!S:S)</f>
        <v>-4.0740696000000005</v>
      </c>
      <c r="O9" s="10">
        <f>SUMIF(DataQ!$B:$B,DataA!$A9,DataQ!T:T)</f>
        <v>3052</v>
      </c>
      <c r="P9" s="10">
        <f>SUMIF(DataQ!$E:$E,DataA!$A9,DataQ!U:U)</f>
        <v>48829.88</v>
      </c>
      <c r="Q9" s="10">
        <f>SUMIF(DataQ!$E:$E,DataA!$A9,DataQ!V:V)</f>
        <v>1251.7090000000001</v>
      </c>
      <c r="R9" s="10">
        <f>SUMIF(DataQ!$E:$E,DataA!$A9,DataQ!W:W)</f>
        <v>16534</v>
      </c>
      <c r="S9" s="10">
        <f>SUMIF(DataQ!$E:$E,DataA!$A9,DataQ!X:X)</f>
        <v>106.16800000000001</v>
      </c>
      <c r="T9" s="10">
        <f>SUMIF(DataQ!$E:$E,DataA!$A9,DataQ!Y:Y)</f>
        <v>61.89546</v>
      </c>
      <c r="U9" s="10">
        <f>SUMIF(DataQ!$E:$E,DataA!$A9,DataQ!Z:Z)</f>
        <v>45.795000000000002</v>
      </c>
      <c r="V9" s="10">
        <f>SUMIF(DataQ!$E:$E,DataA!$A9,DataQ!AA:AA)</f>
        <v>74036</v>
      </c>
      <c r="W9" s="10">
        <f>SUMIF(DataQ!$B:$B,DataA!$A9,DataQ!AB:AB)</f>
        <v>92673</v>
      </c>
      <c r="X9" s="10">
        <f>SUMIF(DataQ!$B:$B,DataA!$A9,DataQ!AC:AC)</f>
        <v>1545.25</v>
      </c>
      <c r="Y9" s="10">
        <f>SUMIF(DataQ!$B:$B,DataA!$A9,DataQ!AD:AD)</f>
        <v>137675.47</v>
      </c>
      <c r="Z9" s="10">
        <f>SUMIF(DataQ!$B:$B,DataA!$A9,DataQ!AE:AE)</f>
        <v>599.3288</v>
      </c>
      <c r="AA9" s="10">
        <f>SUMIF(DataQ!$B:$B,DataA!$A9,DataQ!AF:AF)</f>
        <v>207.30500000000001</v>
      </c>
      <c r="AB9" s="10">
        <f>SUMIF(DataQ!$B:$B,DataA!$A9,DataQ!AG:AG)</f>
        <v>67.408999999999992</v>
      </c>
      <c r="AC9" s="10">
        <f>SUMIF(DataQ!$B:$B,DataA!$A9,DataQ!AH:AH)</f>
        <v>158176</v>
      </c>
    </row>
    <row r="10" spans="1:29" x14ac:dyDescent="0.25">
      <c r="A10">
        <v>1975</v>
      </c>
      <c r="B10" s="10">
        <f>SUMIF(DataQ!$B:$B,DataA!$A10,DataQ!G:G)</f>
        <v>948361</v>
      </c>
      <c r="C10" s="10">
        <f>SUMIF(DataQ!$B:$B,DataA!$A10,DataQ!H:H)</f>
        <v>6060.85</v>
      </c>
      <c r="D10" s="10">
        <f>SUMIF(DataQ!$B:$B,DataA!$A10,DataQ!I:I)</f>
        <v>215781.12999999998</v>
      </c>
      <c r="E10" s="10">
        <f>SUMIF(DataQ!$B:$B,DataA!$A10,DataQ!J:J)</f>
        <v>1557.62</v>
      </c>
      <c r="F10" s="10">
        <f>SUMIF(DataQ!$B:$B,DataA!$A10,DataQ!K:K)</f>
        <v>1033.444</v>
      </c>
      <c r="G10" s="10">
        <f>SUMIF(DataQ!$B:$B,DataA!$A10,DataQ!L:L)</f>
        <v>961.65609999999992</v>
      </c>
      <c r="H10" s="10">
        <f>SUMIF(DataQ!$B:$B,DataA!$A10,DataQ!M:M)</f>
        <v>742205.10000000009</v>
      </c>
      <c r="I10" s="10">
        <f>SUMIF(DataQ!$B:$B,DataA!$A10,DataQ!N:N)</f>
        <v>-7211</v>
      </c>
      <c r="J10" s="10">
        <f>SUMIF(DataQ!$B:$B,DataA!$A10,DataQ!O:O)</f>
        <v>-128.60600000000002</v>
      </c>
      <c r="K10" s="10">
        <f>SUMIF(DataQ!$B:$B,DataA!$A10,DataQ!P:P)</f>
        <v>-7342</v>
      </c>
      <c r="L10" s="10">
        <f>SUMIF(DataQ!$B:$B,DataA!$A10,DataQ!Q:Q)</f>
        <v>-62.448850000000007</v>
      </c>
      <c r="M10" s="10">
        <f>SUMIF(DataQ!$B:$B,DataA!$A10,DataQ!R:R)</f>
        <v>-4.3009993000000009</v>
      </c>
      <c r="N10" s="10">
        <f>SUMIF(DataQ!$B:$B,DataA!$A10,DataQ!S:S)</f>
        <v>-7.7342779999999998</v>
      </c>
      <c r="O10" s="10">
        <f>SUMIF(DataQ!$B:$B,DataA!$A10,DataQ!T:T)</f>
        <v>-4505</v>
      </c>
      <c r="P10" s="10">
        <f>SUMIF(DataQ!$E:$E,DataA!$A10,DataQ!U:U)</f>
        <v>62646</v>
      </c>
      <c r="Q10" s="10">
        <f>SUMIF(DataQ!$E:$E,DataA!$A10,DataQ!V:V)</f>
        <v>1412.028</v>
      </c>
      <c r="R10" s="10">
        <f>SUMIF(DataQ!$E:$E,DataA!$A10,DataQ!W:W)</f>
        <v>29223</v>
      </c>
      <c r="S10" s="10">
        <f>SUMIF(DataQ!$E:$E,DataA!$A10,DataQ!X:X)</f>
        <v>136.74610000000001</v>
      </c>
      <c r="T10" s="10">
        <f>SUMIF(DataQ!$E:$E,DataA!$A10,DataQ!Y:Y)</f>
        <v>70.287930000000003</v>
      </c>
      <c r="U10" s="10">
        <f>SUMIF(DataQ!$E:$E,DataA!$A10,DataQ!Z:Z)</f>
        <v>61.44</v>
      </c>
      <c r="V10" s="10">
        <f>SUMIF(DataQ!$E:$E,DataA!$A10,DataQ!AA:AA)</f>
        <v>82299</v>
      </c>
      <c r="W10" s="10">
        <f>SUMIF(DataQ!$B:$B,DataA!$A10,DataQ!AB:AB)</f>
        <v>115093</v>
      </c>
      <c r="X10" s="10">
        <f>SUMIF(DataQ!$B:$B,DataA!$A10,DataQ!AC:AC)</f>
        <v>1684.9</v>
      </c>
      <c r="Y10" s="10">
        <f>SUMIF(DataQ!$B:$B,DataA!$A10,DataQ!AD:AD)</f>
        <v>152524.06</v>
      </c>
      <c r="Z10" s="10">
        <f>SUMIF(DataQ!$B:$B,DataA!$A10,DataQ!AE:AE)</f>
        <v>627.64089999999999</v>
      </c>
      <c r="AA10" s="10">
        <f>SUMIF(DataQ!$B:$B,DataA!$A10,DataQ!AF:AF)</f>
        <v>233.583</v>
      </c>
      <c r="AB10" s="10">
        <f>SUMIF(DataQ!$B:$B,DataA!$A10,DataQ!AG:AG)</f>
        <v>76.902000000000001</v>
      </c>
      <c r="AC10" s="10">
        <f>SUMIF(DataQ!$B:$B,DataA!$A10,DataQ!AH:AH)</f>
        <v>177928</v>
      </c>
    </row>
    <row r="11" spans="1:29" x14ac:dyDescent="0.25">
      <c r="A11">
        <v>1976</v>
      </c>
      <c r="B11" s="10">
        <f>SUMIF(DataQ!$B:$B,DataA!$A11,DataQ!G:G)</f>
        <v>976967</v>
      </c>
      <c r="C11" s="10">
        <f>SUMIF(DataQ!$B:$B,DataA!$A11,DataQ!H:H)</f>
        <v>6387.4250000000002</v>
      </c>
      <c r="D11" s="10">
        <f>SUMIF(DataQ!$B:$B,DataA!$A11,DataQ!I:I)</f>
        <v>224484.6</v>
      </c>
      <c r="E11" s="10">
        <f>SUMIF(DataQ!$B:$B,DataA!$A11,DataQ!J:J)</f>
        <v>1626.8200000000002</v>
      </c>
      <c r="F11" s="10">
        <f>SUMIF(DataQ!$B:$B,DataA!$A11,DataQ!K:K)</f>
        <v>1078.3119999999999</v>
      </c>
      <c r="G11" s="10">
        <f>SUMIF(DataQ!$B:$B,DataA!$A11,DataQ!L:L)</f>
        <v>1024.4384</v>
      </c>
      <c r="H11" s="10">
        <f>SUMIF(DataQ!$B:$B,DataA!$A11,DataQ!M:M)</f>
        <v>785915.6</v>
      </c>
      <c r="I11" s="10">
        <f>SUMIF(DataQ!$B:$B,DataA!$A11,DataQ!N:N)</f>
        <v>-7961</v>
      </c>
      <c r="J11" s="10">
        <f>SUMIF(DataQ!$B:$B,DataA!$A11,DataQ!O:O)</f>
        <v>-104.50225</v>
      </c>
      <c r="K11" s="10">
        <f>SUMIF(DataQ!$B:$B,DataA!$A11,DataQ!P:P)</f>
        <v>-9301</v>
      </c>
      <c r="L11" s="10">
        <f>SUMIF(DataQ!$B:$B,DataA!$A11,DataQ!Q:Q)</f>
        <v>-53.174279999999996</v>
      </c>
      <c r="M11" s="10">
        <f>SUMIF(DataQ!$B:$B,DataA!$A11,DataQ!R:R)</f>
        <v>-1.5120001000000001</v>
      </c>
      <c r="N11" s="10">
        <f>SUMIF(DataQ!$B:$B,DataA!$A11,DataQ!S:S)</f>
        <v>-7.4026090000000009</v>
      </c>
      <c r="O11" s="10">
        <f>SUMIF(DataQ!$B:$B,DataA!$A11,DataQ!T:T)</f>
        <v>-4501</v>
      </c>
      <c r="P11" s="10">
        <f>SUMIF(DataQ!$E:$E,DataA!$A11,DataQ!U:U)</f>
        <v>73402.75</v>
      </c>
      <c r="Q11" s="10">
        <f>SUMIF(DataQ!$E:$E,DataA!$A11,DataQ!V:V)</f>
        <v>1521.4770000000001</v>
      </c>
      <c r="R11" s="10">
        <f>SUMIF(DataQ!$E:$E,DataA!$A11,DataQ!W:W)</f>
        <v>44086</v>
      </c>
      <c r="S11" s="10">
        <f>SUMIF(DataQ!$E:$E,DataA!$A11,DataQ!X:X)</f>
        <v>155.01509999999999</v>
      </c>
      <c r="T11" s="10">
        <f>SUMIF(DataQ!$E:$E,DataA!$A11,DataQ!Y:Y)</f>
        <v>77.048749999999998</v>
      </c>
      <c r="U11" s="10">
        <f>SUMIF(DataQ!$E:$E,DataA!$A11,DataQ!Z:Z)</f>
        <v>76.945999999999998</v>
      </c>
      <c r="V11" s="10">
        <f>SUMIF(DataQ!$E:$E,DataA!$A11,DataQ!AA:AA)</f>
        <v>91437</v>
      </c>
      <c r="W11" s="10">
        <f>SUMIF(DataQ!$B:$B,DataA!$A11,DataQ!AB:AB)</f>
        <v>136999</v>
      </c>
      <c r="X11" s="10">
        <f>SUMIF(DataQ!$B:$B,DataA!$A11,DataQ!AC:AC)</f>
        <v>1873.425</v>
      </c>
      <c r="Y11" s="10">
        <f>SUMIF(DataQ!$B:$B,DataA!$A11,DataQ!AD:AD)</f>
        <v>171384.16</v>
      </c>
      <c r="Z11" s="10">
        <f>SUMIF(DataQ!$B:$B,DataA!$A11,DataQ!AE:AE)</f>
        <v>677.23670000000004</v>
      </c>
      <c r="AA11" s="10">
        <f>SUMIF(DataQ!$B:$B,DataA!$A11,DataQ!AF:AF)</f>
        <v>269.714</v>
      </c>
      <c r="AB11" s="10">
        <f>SUMIF(DataQ!$B:$B,DataA!$A11,DataQ!AG:AG)</f>
        <v>96.561999999999998</v>
      </c>
      <c r="AC11" s="10">
        <f>SUMIF(DataQ!$B:$B,DataA!$A11,DataQ!AH:AH)</f>
        <v>205986</v>
      </c>
    </row>
    <row r="12" spans="1:29" x14ac:dyDescent="0.25">
      <c r="A12">
        <v>1977</v>
      </c>
      <c r="B12" s="10">
        <f>SUMIF(DataQ!$B:$B,DataA!$A12,DataQ!G:G)</f>
        <v>1001004</v>
      </c>
      <c r="C12" s="10">
        <f>SUMIF(DataQ!$B:$B,DataA!$A12,DataQ!H:H)</f>
        <v>6682.8250000000007</v>
      </c>
      <c r="D12" s="10">
        <f>SUMIF(DataQ!$B:$B,DataA!$A12,DataQ!I:I)</f>
        <v>234520.75</v>
      </c>
      <c r="E12" s="10">
        <f>SUMIF(DataQ!$B:$B,DataA!$A12,DataQ!J:J)</f>
        <v>1683.9299999999998</v>
      </c>
      <c r="F12" s="10">
        <f>SUMIF(DataQ!$B:$B,DataA!$A12,DataQ!K:K)</f>
        <v>1116.289</v>
      </c>
      <c r="G12" s="10">
        <f>SUMIF(DataQ!$B:$B,DataA!$A12,DataQ!L:L)</f>
        <v>1048.6038000000001</v>
      </c>
      <c r="H12" s="10">
        <f>SUMIF(DataQ!$B:$B,DataA!$A12,DataQ!M:M)</f>
        <v>813696.39999999991</v>
      </c>
      <c r="I12" s="10">
        <f>SUMIF(DataQ!$B:$B,DataA!$A12,DataQ!N:N)</f>
        <v>-5836</v>
      </c>
      <c r="J12" s="10">
        <f>SUMIF(DataQ!$B:$B,DataA!$A12,DataQ!O:O)</f>
        <v>-88.150999999999982</v>
      </c>
      <c r="K12" s="10">
        <f>SUMIF(DataQ!$B:$B,DataA!$A12,DataQ!P:P)</f>
        <v>-10191.75</v>
      </c>
      <c r="L12" s="10">
        <f>SUMIF(DataQ!$B:$B,DataA!$A12,DataQ!Q:Q)</f>
        <v>-44.70044</v>
      </c>
      <c r="M12" s="10">
        <f>SUMIF(DataQ!$B:$B,DataA!$A12,DataQ!R:R)</f>
        <v>-1.9469999</v>
      </c>
      <c r="N12" s="10">
        <f>SUMIF(DataQ!$B:$B,DataA!$A12,DataQ!S:S)</f>
        <v>-7.9116029999999995</v>
      </c>
      <c r="O12" s="10">
        <f>SUMIF(DataQ!$B:$B,DataA!$A12,DataQ!T:T)</f>
        <v>-7329</v>
      </c>
      <c r="P12" s="10">
        <f>SUMIF(DataQ!$E:$E,DataA!$A12,DataQ!U:U)</f>
        <v>83765.5</v>
      </c>
      <c r="Q12" s="10">
        <f>SUMIF(DataQ!$E:$E,DataA!$A12,DataQ!V:V)</f>
        <v>1639.1120000000001</v>
      </c>
      <c r="R12" s="10">
        <f>SUMIF(DataQ!$E:$E,DataA!$A12,DataQ!W:W)</f>
        <v>58926</v>
      </c>
      <c r="S12" s="10">
        <f>SUMIF(DataQ!$E:$E,DataA!$A12,DataQ!X:X)</f>
        <v>172.10300000000001</v>
      </c>
      <c r="T12" s="10">
        <f>SUMIF(DataQ!$E:$E,DataA!$A12,DataQ!Y:Y)</f>
        <v>85.557360000000003</v>
      </c>
      <c r="U12" s="10">
        <f>SUMIF(DataQ!$E:$E,DataA!$A12,DataQ!Z:Z)</f>
        <v>97.55</v>
      </c>
      <c r="V12" s="10">
        <f>SUMIF(DataQ!$E:$E,DataA!$A12,DataQ!AA:AA)</f>
        <v>104504</v>
      </c>
      <c r="W12" s="10">
        <f>SUMIF(DataQ!$B:$B,DataA!$A12,DataQ!AB:AB)</f>
        <v>159786</v>
      </c>
      <c r="X12" s="10">
        <f>SUMIF(DataQ!$B:$B,DataA!$A12,DataQ!AC:AC)</f>
        <v>2081.8249999999998</v>
      </c>
      <c r="Y12" s="10">
        <f>SUMIF(DataQ!$B:$B,DataA!$A12,DataQ!AD:AD)</f>
        <v>191055.77000000002</v>
      </c>
      <c r="Z12" s="10">
        <f>SUMIF(DataQ!$B:$B,DataA!$A12,DataQ!AE:AE)</f>
        <v>722.70760000000007</v>
      </c>
      <c r="AA12" s="10">
        <f>SUMIF(DataQ!$B:$B,DataA!$A12,DataQ!AF:AF)</f>
        <v>303.90699999999998</v>
      </c>
      <c r="AB12" s="10">
        <f>SUMIF(DataQ!$B:$B,DataA!$A12,DataQ!AG:AG)</f>
        <v>117.316</v>
      </c>
      <c r="AC12" s="10">
        <f>SUMIF(DataQ!$B:$B,DataA!$A12,DataQ!AH:AH)</f>
        <v>227601</v>
      </c>
    </row>
    <row r="13" spans="1:29" x14ac:dyDescent="0.25">
      <c r="A13">
        <v>1978</v>
      </c>
      <c r="B13" s="10">
        <f>SUMIF(DataQ!$B:$B,DataA!$A13,DataQ!G:G)</f>
        <v>1042953</v>
      </c>
      <c r="C13" s="10">
        <f>SUMIF(DataQ!$B:$B,DataA!$A13,DataQ!H:H)</f>
        <v>7052.7249999999995</v>
      </c>
      <c r="D13" s="10">
        <f>SUMIF(DataQ!$B:$B,DataA!$A13,DataQ!I:I)</f>
        <v>247036.86</v>
      </c>
      <c r="E13" s="10">
        <f>SUMIF(DataQ!$B:$B,DataA!$A13,DataQ!J:J)</f>
        <v>1736.2200000000003</v>
      </c>
      <c r="F13" s="10">
        <f>SUMIF(DataQ!$B:$B,DataA!$A13,DataQ!K:K)</f>
        <v>1160.5140000000001</v>
      </c>
      <c r="G13" s="10">
        <f>SUMIF(DataQ!$B:$B,DataA!$A13,DataQ!L:L)</f>
        <v>1086.8867</v>
      </c>
      <c r="H13" s="10">
        <f>SUMIF(DataQ!$B:$B,DataA!$A13,DataQ!M:M)</f>
        <v>844095.8</v>
      </c>
      <c r="I13" s="10">
        <f>SUMIF(DataQ!$B:$B,DataA!$A13,DataQ!N:N)</f>
        <v>-8334</v>
      </c>
      <c r="J13" s="10">
        <f>SUMIF(DataQ!$B:$B,DataA!$A13,DataQ!O:O)</f>
        <v>-81.169250000000005</v>
      </c>
      <c r="K13" s="10">
        <f>SUMIF(DataQ!$B:$B,DataA!$A13,DataQ!P:P)</f>
        <v>-13458</v>
      </c>
      <c r="L13" s="10">
        <f>SUMIF(DataQ!$B:$B,DataA!$A13,DataQ!Q:Q)</f>
        <v>-52.052880000000002</v>
      </c>
      <c r="M13" s="10">
        <f>SUMIF(DataQ!$B:$B,DataA!$A13,DataQ!R:R)</f>
        <v>-6.702</v>
      </c>
      <c r="N13" s="10">
        <f>SUMIF(DataQ!$B:$B,DataA!$A13,DataQ!S:S)</f>
        <v>-11.376780999999999</v>
      </c>
      <c r="O13" s="10">
        <f>SUMIF(DataQ!$B:$B,DataA!$A13,DataQ!T:T)</f>
        <v>-10455</v>
      </c>
      <c r="P13" s="10">
        <f>SUMIF(DataQ!$E:$E,DataA!$A13,DataQ!U:U)</f>
        <v>94137.5</v>
      </c>
      <c r="Q13" s="10">
        <f>SUMIF(DataQ!$E:$E,DataA!$A13,DataQ!V:V)</f>
        <v>1778.414</v>
      </c>
      <c r="R13" s="10">
        <f>SUMIF(DataQ!$E:$E,DataA!$A13,DataQ!W:W)</f>
        <v>82162</v>
      </c>
      <c r="S13" s="10">
        <f>SUMIF(DataQ!$E:$E,DataA!$A13,DataQ!X:X)</f>
        <v>193.93610000000001</v>
      </c>
      <c r="T13" s="10">
        <f>SUMIF(DataQ!$E:$E,DataA!$A13,DataQ!Y:Y)</f>
        <v>100.80629999999999</v>
      </c>
      <c r="U13" s="10">
        <f>SUMIF(DataQ!$E:$E,DataA!$A13,DataQ!Z:Z)</f>
        <v>121.67400000000001</v>
      </c>
      <c r="V13" s="10">
        <f>SUMIF(DataQ!$E:$E,DataA!$A13,DataQ!AA:AA)</f>
        <v>123288</v>
      </c>
      <c r="W13" s="10">
        <f>SUMIF(DataQ!$B:$B,DataA!$A13,DataQ!AB:AB)</f>
        <v>186158</v>
      </c>
      <c r="X13" s="10">
        <f>SUMIF(DataQ!$B:$B,DataA!$A13,DataQ!AC:AC)</f>
        <v>2351.6</v>
      </c>
      <c r="Y13" s="10">
        <f>SUMIF(DataQ!$B:$B,DataA!$A13,DataQ!AD:AD)</f>
        <v>210468.72</v>
      </c>
      <c r="Z13" s="10">
        <f>SUMIF(DataQ!$B:$B,DataA!$A13,DataQ!AE:AE)</f>
        <v>771.56640000000004</v>
      </c>
      <c r="AA13" s="10">
        <f>SUMIF(DataQ!$B:$B,DataA!$A13,DataQ!AF:AF)</f>
        <v>345.18700000000001</v>
      </c>
      <c r="AB13" s="10">
        <f>SUMIF(DataQ!$B:$B,DataA!$A13,DataQ!AG:AG)</f>
        <v>138.02199999999999</v>
      </c>
      <c r="AC13" s="10">
        <f>SUMIF(DataQ!$B:$B,DataA!$A13,DataQ!AH:AH)</f>
        <v>252075</v>
      </c>
    </row>
    <row r="14" spans="1:29" x14ac:dyDescent="0.25">
      <c r="A14">
        <v>1979</v>
      </c>
      <c r="B14" s="10">
        <f>SUMIF(DataQ!$B:$B,DataA!$A14,DataQ!G:G)</f>
        <v>1081838</v>
      </c>
      <c r="C14" s="10">
        <f>SUMIF(DataQ!$B:$B,DataA!$A14,DataQ!H:H)</f>
        <v>7276</v>
      </c>
      <c r="D14" s="10">
        <f>SUMIF(DataQ!$B:$B,DataA!$A14,DataQ!I:I)</f>
        <v>261577.77000000002</v>
      </c>
      <c r="E14" s="10">
        <f>SUMIF(DataQ!$B:$B,DataA!$A14,DataQ!J:J)</f>
        <v>1810.62</v>
      </c>
      <c r="F14" s="10">
        <f>SUMIF(DataQ!$B:$B,DataA!$A14,DataQ!K:K)</f>
        <v>1203.5140000000001</v>
      </c>
      <c r="G14" s="10">
        <f>SUMIF(DataQ!$B:$B,DataA!$A14,DataQ!L:L)</f>
        <v>1147.0065999999999</v>
      </c>
      <c r="H14" s="10">
        <f>SUMIF(DataQ!$B:$B,DataA!$A14,DataQ!M:M)</f>
        <v>875540.10000000009</v>
      </c>
      <c r="I14" s="10">
        <f>SUMIF(DataQ!$B:$B,DataA!$A14,DataQ!N:N)</f>
        <v>-9364</v>
      </c>
      <c r="J14" s="10">
        <f>SUMIF(DataQ!$B:$B,DataA!$A14,DataQ!O:O)</f>
        <v>-78.562250000000006</v>
      </c>
      <c r="K14" s="10">
        <f>SUMIF(DataQ!$B:$B,DataA!$A14,DataQ!P:P)</f>
        <v>-12426.5</v>
      </c>
      <c r="L14" s="10">
        <f>SUMIF(DataQ!$B:$B,DataA!$A14,DataQ!Q:Q)</f>
        <v>-58.440359999999998</v>
      </c>
      <c r="M14" s="10">
        <f>SUMIF(DataQ!$B:$B,DataA!$A14,DataQ!R:R)</f>
        <v>-1.9339999999999999</v>
      </c>
      <c r="N14" s="10">
        <f>SUMIF(DataQ!$B:$B,DataA!$A14,DataQ!S:S)</f>
        <v>-13.517949999999999</v>
      </c>
      <c r="O14" s="10">
        <f>SUMIF(DataQ!$B:$B,DataA!$A14,DataQ!T:T)</f>
        <v>-8532</v>
      </c>
      <c r="P14" s="10">
        <f>SUMIF(DataQ!$E:$E,DataA!$A14,DataQ!U:U)</f>
        <v>104807</v>
      </c>
      <c r="Q14" s="10">
        <f>SUMIF(DataQ!$E:$E,DataA!$A14,DataQ!V:V)</f>
        <v>1922.42</v>
      </c>
      <c r="R14" s="10">
        <f>SUMIF(DataQ!$E:$E,DataA!$A14,DataQ!W:W)</f>
        <v>98956</v>
      </c>
      <c r="S14" s="10">
        <f>SUMIF(DataQ!$E:$E,DataA!$A14,DataQ!X:X)</f>
        <v>217.64449999999999</v>
      </c>
      <c r="T14" s="10">
        <f>SUMIF(DataQ!$E:$E,DataA!$A14,DataQ!Y:Y)</f>
        <v>115.7283</v>
      </c>
      <c r="U14" s="10">
        <f>SUMIF(DataQ!$E:$E,DataA!$A14,DataQ!Z:Z)</f>
        <v>146.61099999999999</v>
      </c>
      <c r="V14" s="10">
        <f>SUMIF(DataQ!$E:$E,DataA!$A14,DataQ!AA:AA)</f>
        <v>132680</v>
      </c>
      <c r="W14" s="10">
        <f>SUMIF(DataQ!$B:$B,DataA!$A14,DataQ!AB:AB)</f>
        <v>220981</v>
      </c>
      <c r="X14" s="10">
        <f>SUMIF(DataQ!$B:$B,DataA!$A14,DataQ!AC:AC)</f>
        <v>2627.3249999999998</v>
      </c>
      <c r="Y14" s="10">
        <f>SUMIF(DataQ!$B:$B,DataA!$A14,DataQ!AD:AD)</f>
        <v>227860.58000000002</v>
      </c>
      <c r="Z14" s="10">
        <f>SUMIF(DataQ!$B:$B,DataA!$A14,DataQ!AE:AE)</f>
        <v>839.02510000000007</v>
      </c>
      <c r="AA14" s="10">
        <f>SUMIF(DataQ!$B:$B,DataA!$A14,DataQ!AF:AF)</f>
        <v>394.49099999999999</v>
      </c>
      <c r="AB14" s="10">
        <f>SUMIF(DataQ!$B:$B,DataA!$A14,DataQ!AG:AG)</f>
        <v>168.88400000000001</v>
      </c>
      <c r="AC14" s="10">
        <f>SUMIF(DataQ!$B:$B,DataA!$A14,DataQ!AH:AH)</f>
        <v>287608</v>
      </c>
    </row>
    <row r="15" spans="1:29" x14ac:dyDescent="0.25">
      <c r="A15">
        <v>1980</v>
      </c>
      <c r="B15" s="10">
        <f>SUMIF(DataQ!$B:$B,DataA!$A15,DataQ!G:G)</f>
        <v>1059660</v>
      </c>
      <c r="C15" s="10">
        <f>SUMIF(DataQ!$B:$B,DataA!$A15,DataQ!H:H)</f>
        <v>7257.3250000000007</v>
      </c>
      <c r="D15" s="10">
        <f>SUMIF(DataQ!$B:$B,DataA!$A15,DataQ!I:I)</f>
        <v>272992.43</v>
      </c>
      <c r="E15" s="10">
        <f>SUMIF(DataQ!$B:$B,DataA!$A15,DataQ!J:J)</f>
        <v>1833.95</v>
      </c>
      <c r="F15" s="10">
        <f>SUMIF(DataQ!$B:$B,DataA!$A15,DataQ!K:K)</f>
        <v>1223.307</v>
      </c>
      <c r="G15" s="10">
        <f>SUMIF(DataQ!$B:$B,DataA!$A15,DataQ!L:L)</f>
        <v>1186.9547</v>
      </c>
      <c r="H15" s="10">
        <f>SUMIF(DataQ!$B:$B,DataA!$A15,DataQ!M:M)</f>
        <v>894602.39999999991</v>
      </c>
      <c r="I15" s="10">
        <f>SUMIF(DataQ!$B:$B,DataA!$A15,DataQ!N:N)</f>
        <v>-10041</v>
      </c>
      <c r="J15" s="10">
        <f>SUMIF(DataQ!$B:$B,DataA!$A15,DataQ!O:O)</f>
        <v>-128.27300000000002</v>
      </c>
      <c r="K15" s="10">
        <f>SUMIF(DataQ!$B:$B,DataA!$A15,DataQ!P:P)</f>
        <v>-11822.5</v>
      </c>
      <c r="L15" s="10">
        <f>SUMIF(DataQ!$B:$B,DataA!$A15,DataQ!Q:Q)</f>
        <v>-62.086799999999997</v>
      </c>
      <c r="M15" s="10">
        <f>SUMIF(DataQ!$B:$B,DataA!$A15,DataQ!R:R)</f>
        <v>-1.9279999999999999</v>
      </c>
      <c r="N15" s="10">
        <f>SUMIF(DataQ!$B:$B,DataA!$A15,DataQ!S:S)</f>
        <v>-14.305154</v>
      </c>
      <c r="O15" s="10">
        <f>SUMIF(DataQ!$B:$B,DataA!$A15,DataQ!T:T)</f>
        <v>-11149</v>
      </c>
      <c r="P15" s="10">
        <f>SUMIF(DataQ!$E:$E,DataA!$A15,DataQ!U:U)</f>
        <v>121541.3</v>
      </c>
      <c r="Q15" s="10">
        <f>SUMIF(DataQ!$E:$E,DataA!$A15,DataQ!V:V)</f>
        <v>2062.8510000000001</v>
      </c>
      <c r="R15" s="10">
        <f>SUMIF(DataQ!$E:$E,DataA!$A15,DataQ!W:W)</f>
        <v>117360</v>
      </c>
      <c r="S15" s="10">
        <f>SUMIF(DataQ!$E:$E,DataA!$A15,DataQ!X:X)</f>
        <v>248.89420000000001</v>
      </c>
      <c r="T15" s="10">
        <f>SUMIF(DataQ!$E:$E,DataA!$A15,DataQ!Y:Y)</f>
        <v>129.1328</v>
      </c>
      <c r="U15" s="10">
        <f>SUMIF(DataQ!$E:$E,DataA!$A15,DataQ!Z:Z)</f>
        <v>178.64400000000001</v>
      </c>
      <c r="V15" s="10">
        <f>SUMIF(DataQ!$E:$E,DataA!$A15,DataQ!AA:AA)</f>
        <v>150393</v>
      </c>
      <c r="W15" s="10">
        <f>SUMIF(DataQ!$B:$B,DataA!$A15,DataQ!AB:AB)</f>
        <v>259970</v>
      </c>
      <c r="X15" s="10">
        <f>SUMIF(DataQ!$B:$B,DataA!$A15,DataQ!AC:AC)</f>
        <v>2857.3250000000003</v>
      </c>
      <c r="Y15" s="10">
        <f>SUMIF(DataQ!$B:$B,DataA!$A15,DataQ!AD:AD)</f>
        <v>255596.35000000003</v>
      </c>
      <c r="Z15" s="10">
        <f>SUMIF(DataQ!$B:$B,DataA!$A15,DataQ!AE:AE)</f>
        <v>896.45220000000006</v>
      </c>
      <c r="AA15" s="10">
        <f>SUMIF(DataQ!$B:$B,DataA!$A15,DataQ!AF:AF)</f>
        <v>447.34499999999997</v>
      </c>
      <c r="AB15" s="10">
        <f>SUMIF(DataQ!$B:$B,DataA!$A15,DataQ!AG:AG)</f>
        <v>217.50100000000003</v>
      </c>
      <c r="AC15" s="10">
        <f>SUMIF(DataQ!$B:$B,DataA!$A15,DataQ!AH:AH)</f>
        <v>322782</v>
      </c>
    </row>
    <row r="16" spans="1:29" x14ac:dyDescent="0.25">
      <c r="A16">
        <v>1981</v>
      </c>
      <c r="B16" s="10">
        <f>SUMIF(DataQ!$B:$B,DataA!$A16,DataQ!G:G)</f>
        <v>1052374</v>
      </c>
      <c r="C16" s="10">
        <f>SUMIF(DataQ!$B:$B,DataA!$A16,DataQ!H:H)</f>
        <v>7441.4749999999995</v>
      </c>
      <c r="D16" s="10">
        <f>SUMIF(DataQ!$B:$B,DataA!$A16,DataQ!I:I)</f>
        <v>284947.89</v>
      </c>
      <c r="E16" s="10">
        <f>SUMIF(DataQ!$B:$B,DataA!$A16,DataQ!J:J)</f>
        <v>1845.8600000000001</v>
      </c>
      <c r="F16" s="10">
        <f>SUMIF(DataQ!$B:$B,DataA!$A16,DataQ!K:K)</f>
        <v>1237.82</v>
      </c>
      <c r="G16" s="10">
        <f>SUMIF(DataQ!$B:$B,DataA!$A16,DataQ!L:L)</f>
        <v>1197.8869999999999</v>
      </c>
      <c r="H16" s="10">
        <f>SUMIF(DataQ!$B:$B,DataA!$A16,DataQ!M:M)</f>
        <v>925153.7</v>
      </c>
      <c r="I16" s="10">
        <f>SUMIF(DataQ!$B:$B,DataA!$A16,DataQ!N:N)</f>
        <v>-8825</v>
      </c>
      <c r="J16" s="10">
        <f>SUMIF(DataQ!$B:$B,DataA!$A16,DataQ!O:O)</f>
        <v>-130.46899999999999</v>
      </c>
      <c r="K16" s="10">
        <f>SUMIF(DataQ!$B:$B,DataA!$A16,DataQ!P:P)</f>
        <v>-10937.75</v>
      </c>
      <c r="L16" s="10">
        <f>SUMIF(DataQ!$B:$B,DataA!$A16,DataQ!Q:Q)</f>
        <v>-75.167159999999996</v>
      </c>
      <c r="M16" s="10">
        <f>SUMIF(DataQ!$B:$B,DataA!$A16,DataQ!R:R)</f>
        <v>-12.241999999999999</v>
      </c>
      <c r="N16" s="10">
        <f>SUMIF(DataQ!$B:$B,DataA!$A16,DataQ!S:S)</f>
        <v>-27.037463000000002</v>
      </c>
      <c r="O16" s="10">
        <f>SUMIF(DataQ!$B:$B,DataA!$A16,DataQ!T:T)</f>
        <v>-7830</v>
      </c>
      <c r="P16" s="10">
        <f>SUMIF(DataQ!$E:$E,DataA!$A16,DataQ!U:U)</f>
        <v>131791.5</v>
      </c>
      <c r="Q16" s="10">
        <f>SUMIF(DataQ!$E:$E,DataA!$A16,DataQ!V:V)</f>
        <v>2256.7330000000002</v>
      </c>
      <c r="R16" s="10">
        <f>SUMIF(DataQ!$E:$E,DataA!$A16,DataQ!W:W)</f>
        <v>141470</v>
      </c>
      <c r="S16" s="10">
        <f>SUMIF(DataQ!$E:$E,DataA!$A16,DataQ!X:X)</f>
        <v>287.47710000000001</v>
      </c>
      <c r="T16" s="10">
        <f>SUMIF(DataQ!$E:$E,DataA!$A16,DataQ!Y:Y)</f>
        <v>141.51079999999999</v>
      </c>
      <c r="U16" s="10">
        <f>SUMIF(DataQ!$E:$E,DataA!$A16,DataQ!Z:Z)</f>
        <v>224.36500000000001</v>
      </c>
      <c r="V16" s="10">
        <f>SUMIF(DataQ!$E:$E,DataA!$A16,DataQ!AA:AA)</f>
        <v>177353</v>
      </c>
      <c r="W16" s="10">
        <f>SUMIF(DataQ!$B:$B,DataA!$A16,DataQ!AB:AB)</f>
        <v>290180</v>
      </c>
      <c r="X16" s="10">
        <f>SUMIF(DataQ!$B:$B,DataA!$A16,DataQ!AC:AC)</f>
        <v>3207.0249999999996</v>
      </c>
      <c r="Y16" s="10">
        <f>SUMIF(DataQ!$B:$B,DataA!$A16,DataQ!AD:AD)</f>
        <v>274362.5</v>
      </c>
      <c r="Z16" s="10">
        <f>SUMIF(DataQ!$B:$B,DataA!$A16,DataQ!AE:AE)</f>
        <v>939.75639999999999</v>
      </c>
      <c r="AA16" s="10">
        <f>SUMIF(DataQ!$B:$B,DataA!$A16,DataQ!AF:AF)</f>
        <v>504.56600000000003</v>
      </c>
      <c r="AB16" s="10">
        <f>SUMIF(DataQ!$B:$B,DataA!$A16,DataQ!AG:AG)</f>
        <v>260.06</v>
      </c>
      <c r="AC16" s="10">
        <f>SUMIF(DataQ!$B:$B,DataA!$A16,DataQ!AH:AH)</f>
        <v>368358</v>
      </c>
    </row>
    <row r="17" spans="1:29" x14ac:dyDescent="0.25">
      <c r="A17">
        <v>1982</v>
      </c>
      <c r="B17" s="10">
        <f>SUMIF(DataQ!$B:$B,DataA!$A17,DataQ!G:G)</f>
        <v>1073055</v>
      </c>
      <c r="C17" s="10">
        <f>SUMIF(DataQ!$B:$B,DataA!$A17,DataQ!H:H)</f>
        <v>7307.3</v>
      </c>
      <c r="D17" s="10">
        <f>SUMIF(DataQ!$B:$B,DataA!$A17,DataQ!I:I)</f>
        <v>294351.01</v>
      </c>
      <c r="E17" s="10">
        <f>SUMIF(DataQ!$B:$B,DataA!$A17,DataQ!J:J)</f>
        <v>1836.6100000000001</v>
      </c>
      <c r="F17" s="10">
        <f>SUMIF(DataQ!$B:$B,DataA!$A17,DataQ!K:K)</f>
        <v>1267.5740000000001</v>
      </c>
      <c r="G17" s="10">
        <f>SUMIF(DataQ!$B:$B,DataA!$A17,DataQ!L:L)</f>
        <v>1201.7829999999999</v>
      </c>
      <c r="H17" s="10">
        <f>SUMIF(DataQ!$B:$B,DataA!$A17,DataQ!M:M)</f>
        <v>895861.89999999991</v>
      </c>
      <c r="I17" s="10">
        <f>SUMIF(DataQ!$B:$B,DataA!$A17,DataQ!N:N)</f>
        <v>-7359</v>
      </c>
      <c r="J17" s="10">
        <f>SUMIF(DataQ!$B:$B,DataA!$A17,DataQ!O:O)</f>
        <v>-220.126</v>
      </c>
      <c r="K17" s="10">
        <f>SUMIF(DataQ!$B:$B,DataA!$A17,DataQ!P:P)</f>
        <v>-11134.25</v>
      </c>
      <c r="L17" s="10">
        <f>SUMIF(DataQ!$B:$B,DataA!$A17,DataQ!Q:Q)</f>
        <v>-74.955079999999995</v>
      </c>
      <c r="M17" s="10">
        <f>SUMIF(DataQ!$B:$B,DataA!$A17,DataQ!R:R)</f>
        <v>-16.498000000000001</v>
      </c>
      <c r="N17" s="10">
        <f>SUMIF(DataQ!$B:$B,DataA!$A17,DataQ!S:S)</f>
        <v>-29.281416</v>
      </c>
      <c r="O17" s="10">
        <f>SUMIF(DataQ!$B:$B,DataA!$A17,DataQ!T:T)</f>
        <v>-23407</v>
      </c>
      <c r="P17" s="10">
        <f>SUMIF(DataQ!$E:$E,DataA!$A17,DataQ!U:U)</f>
        <v>140578.79999999999</v>
      </c>
      <c r="Q17" s="10">
        <f>SUMIF(DataQ!$E:$E,DataA!$A17,DataQ!V:V)</f>
        <v>2532.2979999999998</v>
      </c>
      <c r="R17" s="10">
        <f>SUMIF(DataQ!$E:$E,DataA!$A17,DataQ!W:W)</f>
        <v>165196</v>
      </c>
      <c r="S17" s="10">
        <f>SUMIF(DataQ!$E:$E,DataA!$A17,DataQ!X:X)</f>
        <v>320.43079999999998</v>
      </c>
      <c r="T17" s="10">
        <f>SUMIF(DataQ!$E:$E,DataA!$A17,DataQ!Y:Y)</f>
        <v>184.3563</v>
      </c>
      <c r="U17" s="10">
        <f>SUMIF(DataQ!$E:$E,DataA!$A17,DataQ!Z:Z)</f>
        <v>275.67399999999998</v>
      </c>
      <c r="V17" s="10">
        <f>SUMIF(DataQ!$E:$E,DataA!$A17,DataQ!AA:AA)</f>
        <v>209732</v>
      </c>
      <c r="W17" s="10">
        <f>SUMIF(DataQ!$B:$B,DataA!$A17,DataQ!AB:AB)</f>
        <v>319558</v>
      </c>
      <c r="X17" s="10">
        <f>SUMIF(DataQ!$B:$B,DataA!$A17,DataQ!AC:AC)</f>
        <v>3343.8</v>
      </c>
      <c r="Y17" s="10">
        <f>SUMIF(DataQ!$B:$B,DataA!$A17,DataQ!AD:AD)</f>
        <v>288540.02</v>
      </c>
      <c r="Z17" s="10">
        <f>SUMIF(DataQ!$B:$B,DataA!$A17,DataQ!AE:AE)</f>
        <v>977.80299999999988</v>
      </c>
      <c r="AA17" s="10">
        <f>SUMIF(DataQ!$B:$B,DataA!$A17,DataQ!AF:AF)</f>
        <v>578.92499999999995</v>
      </c>
      <c r="AB17" s="10">
        <f>SUMIF(DataQ!$B:$B,DataA!$A17,DataQ!AG:AG)</f>
        <v>306.68900000000002</v>
      </c>
      <c r="AC17" s="10">
        <f>SUMIF(DataQ!$B:$B,DataA!$A17,DataQ!AH:AH)</f>
        <v>388181</v>
      </c>
    </row>
    <row r="18" spans="1:29" x14ac:dyDescent="0.25">
      <c r="A18">
        <v>1983</v>
      </c>
      <c r="B18" s="10">
        <f>SUMIF(DataQ!$B:$B,DataA!$A18,DataQ!G:G)</f>
        <v>1117759</v>
      </c>
      <c r="C18" s="10">
        <f>SUMIF(DataQ!$B:$B,DataA!$A18,DataQ!H:H)</f>
        <v>7642.2749999999996</v>
      </c>
      <c r="D18" s="10">
        <f>SUMIF(DataQ!$B:$B,DataA!$A18,DataQ!I:I)</f>
        <v>304984.68</v>
      </c>
      <c r="E18" s="10">
        <f>SUMIF(DataQ!$B:$B,DataA!$A18,DataQ!J:J)</f>
        <v>1863.58</v>
      </c>
      <c r="F18" s="10">
        <f>SUMIF(DataQ!$B:$B,DataA!$A18,DataQ!K:K)</f>
        <v>1283.5770000000002</v>
      </c>
      <c r="G18" s="10">
        <f>SUMIF(DataQ!$B:$B,DataA!$A18,DataQ!L:L)</f>
        <v>1218.202</v>
      </c>
      <c r="H18" s="10">
        <f>SUMIF(DataQ!$B:$B,DataA!$A18,DataQ!M:M)</f>
        <v>918816.2</v>
      </c>
      <c r="I18" s="10">
        <f>SUMIF(DataQ!$B:$B,DataA!$A18,DataQ!N:N)</f>
        <v>-10582</v>
      </c>
      <c r="J18" s="10">
        <f>SUMIF(DataQ!$B:$B,DataA!$A18,DataQ!O:O)</f>
        <v>-265.23725000000002</v>
      </c>
      <c r="K18" s="10">
        <f>SUMIF(DataQ!$B:$B,DataA!$A18,DataQ!P:P)</f>
        <v>-11809.25</v>
      </c>
      <c r="L18" s="10">
        <f>SUMIF(DataQ!$B:$B,DataA!$A18,DataQ!Q:Q)</f>
        <v>-71.176760000000002</v>
      </c>
      <c r="M18" s="10">
        <f>SUMIF(DataQ!$B:$B,DataA!$A18,DataQ!R:R)</f>
        <v>-16.481000000000002</v>
      </c>
      <c r="N18" s="10">
        <f>SUMIF(DataQ!$B:$B,DataA!$A18,DataQ!S:S)</f>
        <v>-34.423509000000003</v>
      </c>
      <c r="O18" s="10">
        <f>SUMIF(DataQ!$B:$B,DataA!$A18,DataQ!T:T)</f>
        <v>-30637</v>
      </c>
      <c r="P18" s="10">
        <f>SUMIF(DataQ!$E:$E,DataA!$A18,DataQ!U:U)</f>
        <v>152083.29999999999</v>
      </c>
      <c r="Q18" s="10">
        <f>SUMIF(DataQ!$E:$E,DataA!$A18,DataQ!V:V)</f>
        <v>2812.1959999999999</v>
      </c>
      <c r="R18" s="10">
        <f>SUMIF(DataQ!$E:$E,DataA!$A18,DataQ!W:W)</f>
        <v>189884</v>
      </c>
      <c r="S18" s="10">
        <f>SUMIF(DataQ!$E:$E,DataA!$A18,DataQ!X:X)</f>
        <v>347.27859999999998</v>
      </c>
      <c r="T18" s="10">
        <f>SUMIF(DataQ!$E:$E,DataA!$A18,DataQ!Y:Y)</f>
        <v>210.67349999999999</v>
      </c>
      <c r="U18" s="10">
        <f>SUMIF(DataQ!$E:$E,DataA!$A18,DataQ!Z:Z)</f>
        <v>269.12799999999999</v>
      </c>
      <c r="V18" s="10">
        <f>SUMIF(DataQ!$E:$E,DataA!$A18,DataQ!AA:AA)</f>
        <v>251868</v>
      </c>
      <c r="W18" s="10">
        <f>SUMIF(DataQ!$B:$B,DataA!$A18,DataQ!AB:AB)</f>
        <v>351347</v>
      </c>
      <c r="X18" s="10">
        <f>SUMIF(DataQ!$B:$B,DataA!$A18,DataQ!AC:AC)</f>
        <v>3634.0250000000005</v>
      </c>
      <c r="Y18" s="10">
        <f>SUMIF(DataQ!$B:$B,DataA!$A18,DataQ!AD:AD)</f>
        <v>301733.15000000002</v>
      </c>
      <c r="Z18" s="10">
        <f>SUMIF(DataQ!$B:$B,DataA!$A18,DataQ!AE:AE)</f>
        <v>1020.0841</v>
      </c>
      <c r="AA18" s="10">
        <f>SUMIF(DataQ!$B:$B,DataA!$A18,DataQ!AF:AF)</f>
        <v>642.54</v>
      </c>
      <c r="AB18" s="10">
        <f>SUMIF(DataQ!$B:$B,DataA!$A18,DataQ!AG:AG)</f>
        <v>357.80200000000002</v>
      </c>
      <c r="AC18" s="10">
        <f>SUMIF(DataQ!$B:$B,DataA!$A18,DataQ!AH:AH)</f>
        <v>421316</v>
      </c>
    </row>
    <row r="19" spans="1:29" x14ac:dyDescent="0.25">
      <c r="A19">
        <v>1984</v>
      </c>
      <c r="B19" s="10">
        <f>SUMIF(DataQ!$B:$B,DataA!$A19,DataQ!G:G)</f>
        <v>1142579</v>
      </c>
      <c r="C19" s="10">
        <f>SUMIF(DataQ!$B:$B,DataA!$A19,DataQ!H:H)</f>
        <v>8195.2999999999993</v>
      </c>
      <c r="D19" s="10">
        <f>SUMIF(DataQ!$B:$B,DataA!$A19,DataQ!I:I)</f>
        <v>318480.11</v>
      </c>
      <c r="E19" s="10">
        <f>SUMIF(DataQ!$B:$B,DataA!$A19,DataQ!J:J)</f>
        <v>1917.61</v>
      </c>
      <c r="F19" s="10">
        <f>SUMIF(DataQ!$B:$B,DataA!$A19,DataQ!K:K)</f>
        <v>1305.0529999999999</v>
      </c>
      <c r="G19" s="10">
        <f>SUMIF(DataQ!$B:$B,DataA!$A19,DataQ!L:L)</f>
        <v>1257.309</v>
      </c>
      <c r="H19" s="10">
        <f>SUMIF(DataQ!$B:$B,DataA!$A19,DataQ!M:M)</f>
        <v>973013.1</v>
      </c>
      <c r="I19" s="10">
        <f>SUMIF(DataQ!$B:$B,DataA!$A19,DataQ!N:N)</f>
        <v>-12423</v>
      </c>
      <c r="J19" s="10">
        <f>SUMIF(DataQ!$B:$B,DataA!$A19,DataQ!O:O)</f>
        <v>-249.608</v>
      </c>
      <c r="K19" s="10">
        <f>SUMIF(DataQ!$B:$B,DataA!$A19,DataQ!P:P)</f>
        <v>-8204.75</v>
      </c>
      <c r="L19" s="10">
        <f>SUMIF(DataQ!$B:$B,DataA!$A19,DataQ!Q:Q)</f>
        <v>-66.748400000000004</v>
      </c>
      <c r="M19" s="10">
        <f>SUMIF(DataQ!$B:$B,DataA!$A19,DataQ!R:R)</f>
        <v>-19.303000000000001</v>
      </c>
      <c r="N19" s="10">
        <f>SUMIF(DataQ!$B:$B,DataA!$A19,DataQ!S:S)</f>
        <v>-44.836400000000005</v>
      </c>
      <c r="O19" s="10">
        <f>SUMIF(DataQ!$B:$B,DataA!$A19,DataQ!T:T)</f>
        <v>-33224.998999999996</v>
      </c>
      <c r="P19" s="10">
        <f>SUMIF(DataQ!$E:$E,DataA!$A19,DataQ!U:U)</f>
        <v>163648.5</v>
      </c>
      <c r="Q19" s="10">
        <f>SUMIF(DataQ!$E:$E,DataA!$A19,DataQ!V:V)</f>
        <v>3127.6509999999998</v>
      </c>
      <c r="R19" s="10">
        <f>SUMIF(DataQ!$E:$E,DataA!$A19,DataQ!W:W)</f>
        <v>208326</v>
      </c>
      <c r="S19" s="10">
        <f>SUMIF(DataQ!$E:$E,DataA!$A19,DataQ!X:X)</f>
        <v>369.34899999999999</v>
      </c>
      <c r="T19" s="10">
        <f>SUMIF(DataQ!$E:$E,DataA!$A19,DataQ!Y:Y)</f>
        <v>240.8142</v>
      </c>
      <c r="U19" s="10">
        <f>SUMIF(DataQ!$E:$E,DataA!$A19,DataQ!Z:Z)</f>
        <v>318.72699999999998</v>
      </c>
      <c r="V19" s="10">
        <f>SUMIF(DataQ!$E:$E,DataA!$A19,DataQ!AA:AA)</f>
        <v>290671</v>
      </c>
      <c r="W19" s="10">
        <f>SUMIF(DataQ!$B:$B,DataA!$A19,DataQ!AB:AB)</f>
        <v>377920</v>
      </c>
      <c r="X19" s="10">
        <f>SUMIF(DataQ!$B:$B,DataA!$A19,DataQ!AC:AC)</f>
        <v>4037.65</v>
      </c>
      <c r="Y19" s="10">
        <f>SUMIF(DataQ!$B:$B,DataA!$A19,DataQ!AD:AD)</f>
        <v>319635.48</v>
      </c>
      <c r="Z19" s="10">
        <f>SUMIF(DataQ!$B:$B,DataA!$A19,DataQ!AE:AE)</f>
        <v>1070.7138</v>
      </c>
      <c r="AA19" s="10">
        <f>SUMIF(DataQ!$B:$B,DataA!$A19,DataQ!AF:AF)</f>
        <v>699.5</v>
      </c>
      <c r="AB19" s="10">
        <f>SUMIF(DataQ!$B:$B,DataA!$A19,DataQ!AG:AG)</f>
        <v>409.02600000000001</v>
      </c>
      <c r="AC19" s="10">
        <f>SUMIF(DataQ!$B:$B,DataA!$A19,DataQ!AH:AH)</f>
        <v>461986</v>
      </c>
    </row>
    <row r="20" spans="1:29" x14ac:dyDescent="0.25">
      <c r="A20">
        <v>1985</v>
      </c>
      <c r="B20" s="10">
        <f>SUMIF(DataQ!$B:$B,DataA!$A20,DataQ!G:G)</f>
        <v>1189278</v>
      </c>
      <c r="C20" s="10">
        <f>SUMIF(DataQ!$B:$B,DataA!$A20,DataQ!H:H)</f>
        <v>8537</v>
      </c>
      <c r="D20" s="10">
        <f>SUMIF(DataQ!$B:$B,DataA!$A20,DataQ!I:I)</f>
        <v>334879.34000000003</v>
      </c>
      <c r="E20" s="10">
        <f>SUMIF(DataQ!$B:$B,DataA!$A20,DataQ!J:J)</f>
        <v>1967.53</v>
      </c>
      <c r="F20" s="10">
        <f>SUMIF(DataQ!$B:$B,DataA!$A20,DataQ!K:K)</f>
        <v>1326.846</v>
      </c>
      <c r="G20" s="10">
        <f>SUMIF(DataQ!$B:$B,DataA!$A20,DataQ!L:L)</f>
        <v>1293.008</v>
      </c>
      <c r="H20" s="10">
        <f>SUMIF(DataQ!$B:$B,DataA!$A20,DataQ!M:M)</f>
        <v>1019111.3</v>
      </c>
      <c r="I20" s="10">
        <f>SUMIF(DataQ!$B:$B,DataA!$A20,DataQ!N:N)</f>
        <v>-10563</v>
      </c>
      <c r="J20" s="10">
        <f>SUMIF(DataQ!$B:$B,DataA!$A20,DataQ!O:O)</f>
        <v>-270.54324000000003</v>
      </c>
      <c r="K20" s="10">
        <f>SUMIF(DataQ!$B:$B,DataA!$A20,DataQ!P:P)</f>
        <v>-4308.75</v>
      </c>
      <c r="L20" s="10">
        <f>SUMIF(DataQ!$B:$B,DataA!$A20,DataQ!Q:Q)</f>
        <v>-82.985280000000003</v>
      </c>
      <c r="M20" s="10">
        <f>SUMIF(DataQ!$B:$B,DataA!$A20,DataQ!R:R)</f>
        <v>-22.617000000000001</v>
      </c>
      <c r="N20" s="10">
        <f>SUMIF(DataQ!$B:$B,DataA!$A20,DataQ!S:S)</f>
        <v>-54.394620000000003</v>
      </c>
      <c r="O20" s="10">
        <f>SUMIF(DataQ!$B:$B,DataA!$A20,DataQ!T:T)</f>
        <v>-38650</v>
      </c>
      <c r="P20" s="10">
        <f>SUMIF(DataQ!$E:$E,DataA!$A20,DataQ!U:U)</f>
        <v>176082.8</v>
      </c>
      <c r="Q20" s="10">
        <f>SUMIF(DataQ!$E:$E,DataA!$A20,DataQ!V:V)</f>
        <v>3513.5859999999998</v>
      </c>
      <c r="R20" s="10">
        <f>SUMIF(DataQ!$E:$E,DataA!$A20,DataQ!W:W)</f>
        <v>231557</v>
      </c>
      <c r="S20" s="10">
        <f>SUMIF(DataQ!$E:$E,DataA!$A20,DataQ!X:X)</f>
        <v>390.3852</v>
      </c>
      <c r="T20" s="10">
        <f>SUMIF(DataQ!$E:$E,DataA!$A20,DataQ!Y:Y)</f>
        <v>269.76530000000002</v>
      </c>
      <c r="U20" s="10">
        <f>SUMIF(DataQ!$E:$E,DataA!$A20,DataQ!Z:Z)</f>
        <v>386.27100000000002</v>
      </c>
      <c r="V20" s="10">
        <f>SUMIF(DataQ!$E:$E,DataA!$A20,DataQ!AA:AA)</f>
        <v>340487</v>
      </c>
      <c r="W20" s="10">
        <f>SUMIF(DataQ!$B:$B,DataA!$A20,DataQ!AB:AB)</f>
        <v>414630</v>
      </c>
      <c r="X20" s="10">
        <f>SUMIF(DataQ!$B:$B,DataA!$A20,DataQ!AC:AC)</f>
        <v>4339</v>
      </c>
      <c r="Y20" s="10">
        <f>SUMIF(DataQ!$B:$B,DataA!$A20,DataQ!AD:AD)</f>
        <v>340281.72</v>
      </c>
      <c r="Z20" s="10">
        <f>SUMIF(DataQ!$B:$B,DataA!$A20,DataQ!AE:AE)</f>
        <v>1121.9045999999998</v>
      </c>
      <c r="AA20" s="10">
        <f>SUMIF(DataQ!$B:$B,DataA!$A20,DataQ!AF:AF)</f>
        <v>750.14100000000008</v>
      </c>
      <c r="AB20" s="10">
        <f>SUMIF(DataQ!$B:$B,DataA!$A20,DataQ!AG:AG)</f>
        <v>459.22900000000004</v>
      </c>
      <c r="AC20" s="10">
        <f>SUMIF(DataQ!$B:$B,DataA!$A20,DataQ!AH:AH)</f>
        <v>500027</v>
      </c>
    </row>
    <row r="21" spans="1:29" x14ac:dyDescent="0.25">
      <c r="A21">
        <v>1986</v>
      </c>
      <c r="B21" s="10">
        <f>SUMIF(DataQ!$B:$B,DataA!$A21,DataQ!G:G)</f>
        <v>1226237</v>
      </c>
      <c r="C21" s="10">
        <f>SUMIF(DataQ!$B:$B,DataA!$A21,DataQ!H:H)</f>
        <v>8832.5999999999985</v>
      </c>
      <c r="D21" s="10">
        <f>SUMIF(DataQ!$B:$B,DataA!$A21,DataQ!I:I)</f>
        <v>346032.28</v>
      </c>
      <c r="E21" s="10">
        <f>SUMIF(DataQ!$B:$B,DataA!$A21,DataQ!J:J)</f>
        <v>2012.46</v>
      </c>
      <c r="F21" s="10">
        <f>SUMIF(DataQ!$B:$B,DataA!$A21,DataQ!K:K)</f>
        <v>1357.7</v>
      </c>
      <c r="G21" s="10">
        <f>SUMIF(DataQ!$B:$B,DataA!$A21,DataQ!L:L)</f>
        <v>1331.4180000000001</v>
      </c>
      <c r="H21" s="10">
        <f>SUMIF(DataQ!$B:$B,DataA!$A21,DataQ!M:M)</f>
        <v>1040731.6</v>
      </c>
      <c r="I21" s="10">
        <f>SUMIF(DataQ!$B:$B,DataA!$A21,DataQ!N:N)</f>
        <v>-8957</v>
      </c>
      <c r="J21" s="10">
        <f>SUMIF(DataQ!$B:$B,DataA!$A21,DataQ!O:O)</f>
        <v>-296.66524999999996</v>
      </c>
      <c r="K21" s="10">
        <f>SUMIF(DataQ!$B:$B,DataA!$A21,DataQ!P:P)</f>
        <v>-4419.5</v>
      </c>
      <c r="L21" s="10">
        <f>SUMIF(DataQ!$B:$B,DataA!$A21,DataQ!Q:Q)</f>
        <v>-84.669280000000001</v>
      </c>
      <c r="M21" s="10">
        <f>SUMIF(DataQ!$B:$B,DataA!$A21,DataQ!R:R)</f>
        <v>-26.054000000000002</v>
      </c>
      <c r="N21" s="10">
        <f>SUMIF(DataQ!$B:$B,DataA!$A21,DataQ!S:S)</f>
        <v>-58.019149999999996</v>
      </c>
      <c r="O21" s="10">
        <f>SUMIF(DataQ!$B:$B,DataA!$A21,DataQ!T:T)</f>
        <v>-34649</v>
      </c>
      <c r="P21" s="10">
        <f>SUMIF(DataQ!$E:$E,DataA!$A21,DataQ!U:U)</f>
        <v>187833.8</v>
      </c>
      <c r="Q21" s="10">
        <f>SUMIF(DataQ!$E:$E,DataA!$A21,DataQ!V:V)</f>
        <v>3842.6889999999999</v>
      </c>
      <c r="R21" s="10">
        <f>SUMIF(DataQ!$E:$E,DataA!$A21,DataQ!W:W)</f>
        <v>262232</v>
      </c>
      <c r="S21" s="10">
        <f>SUMIF(DataQ!$E:$E,DataA!$A21,DataQ!X:X)</f>
        <v>411.90100000000001</v>
      </c>
      <c r="T21" s="10">
        <f>SUMIF(DataQ!$E:$E,DataA!$A21,DataQ!Y:Y)</f>
        <v>296.54410000000001</v>
      </c>
      <c r="U21" s="10">
        <f>SUMIF(DataQ!$E:$E,DataA!$A21,DataQ!Z:Z)</f>
        <v>446.226</v>
      </c>
      <c r="V21" s="10">
        <f>SUMIF(DataQ!$E:$E,DataA!$A21,DataQ!AA:AA)</f>
        <v>381478</v>
      </c>
      <c r="W21" s="10">
        <f>SUMIF(DataQ!$B:$B,DataA!$A21,DataQ!AB:AB)</f>
        <v>446600</v>
      </c>
      <c r="X21" s="10">
        <f>SUMIF(DataQ!$B:$B,DataA!$A21,DataQ!AC:AC)</f>
        <v>4579.625</v>
      </c>
      <c r="Y21" s="10">
        <f>SUMIF(DataQ!$B:$B,DataA!$A21,DataQ!AD:AD)</f>
        <v>357296.95999999996</v>
      </c>
      <c r="Z21" s="10">
        <f>SUMIF(DataQ!$B:$B,DataA!$A21,DataQ!AE:AE)</f>
        <v>1181.6196</v>
      </c>
      <c r="AA21" s="10">
        <f>SUMIF(DataQ!$B:$B,DataA!$A21,DataQ!AF:AF)</f>
        <v>807.92</v>
      </c>
      <c r="AB21" s="10">
        <f>SUMIF(DataQ!$B:$B,DataA!$A21,DataQ!AG:AG)</f>
        <v>508.26700000000005</v>
      </c>
      <c r="AC21" s="10">
        <f>SUMIF(DataQ!$B:$B,DataA!$A21,DataQ!AH:AH)</f>
        <v>526630</v>
      </c>
    </row>
    <row r="22" spans="1:29" x14ac:dyDescent="0.25">
      <c r="A22">
        <v>1987</v>
      </c>
      <c r="B22" s="10">
        <f>SUMIF(DataQ!$B:$B,DataA!$A22,DataQ!G:G)</f>
        <v>1292703</v>
      </c>
      <c r="C22" s="10">
        <f>SUMIF(DataQ!$B:$B,DataA!$A22,DataQ!H:H)</f>
        <v>9137.75</v>
      </c>
      <c r="D22" s="10">
        <f>SUMIF(DataQ!$B:$B,DataA!$A22,DataQ!I:I)</f>
        <v>361901.89999999997</v>
      </c>
      <c r="E22" s="10">
        <f>SUMIF(DataQ!$B:$B,DataA!$A22,DataQ!J:J)</f>
        <v>2037.9499999999998</v>
      </c>
      <c r="F22" s="10">
        <f>SUMIF(DataQ!$B:$B,DataA!$A22,DataQ!K:K)</f>
        <v>1392.556</v>
      </c>
      <c r="G22" s="10">
        <f>SUMIF(DataQ!$B:$B,DataA!$A22,DataQ!L:L)</f>
        <v>1370.797</v>
      </c>
      <c r="H22" s="10">
        <f>SUMIF(DataQ!$B:$B,DataA!$A22,DataQ!M:M)</f>
        <v>1083110.3</v>
      </c>
      <c r="I22" s="10">
        <f>SUMIF(DataQ!$B:$B,DataA!$A22,DataQ!N:N)</f>
        <v>-6930</v>
      </c>
      <c r="J22" s="10">
        <f>SUMIF(DataQ!$B:$B,DataA!$A22,DataQ!O:O)</f>
        <v>-261.34048000000001</v>
      </c>
      <c r="K22" s="10">
        <f>SUMIF(DataQ!$B:$B,DataA!$A22,DataQ!P:P)</f>
        <v>-953.5</v>
      </c>
      <c r="L22" s="10">
        <f>SUMIF(DataQ!$B:$B,DataA!$A22,DataQ!Q:Q)</f>
        <v>-94.03716</v>
      </c>
      <c r="M22" s="10">
        <f>SUMIF(DataQ!$B:$B,DataA!$A22,DataQ!R:R)</f>
        <v>-17.237000000000002</v>
      </c>
      <c r="N22" s="10">
        <f>SUMIF(DataQ!$B:$B,DataA!$A22,DataQ!S:S)</f>
        <v>-61.09449</v>
      </c>
      <c r="O22" s="10">
        <f>SUMIF(DataQ!$B:$B,DataA!$A22,DataQ!T:T)</f>
        <v>-29411.999</v>
      </c>
      <c r="P22" s="10">
        <f>SUMIF(DataQ!$E:$E,DataA!$A22,DataQ!U:U)</f>
        <v>198357.3</v>
      </c>
      <c r="Q22" s="10">
        <f>SUMIF(DataQ!$E:$E,DataA!$A22,DataQ!V:V)</f>
        <v>4130.4989999999998</v>
      </c>
      <c r="R22" s="10">
        <f>SUMIF(DataQ!$E:$E,DataA!$A22,DataQ!W:W)</f>
        <v>278995</v>
      </c>
      <c r="S22" s="10">
        <f>SUMIF(DataQ!$E:$E,DataA!$A22,DataQ!X:X)</f>
        <v>437.25279999999998</v>
      </c>
      <c r="T22" s="10">
        <f>SUMIF(DataQ!$E:$E,DataA!$A22,DataQ!Y:Y)</f>
        <v>323.2029</v>
      </c>
      <c r="U22" s="10">
        <f>SUMIF(DataQ!$E:$E,DataA!$A22,DataQ!Z:Z)</f>
        <v>506.44799999999998</v>
      </c>
      <c r="V22" s="10">
        <f>SUMIF(DataQ!$E:$E,DataA!$A22,DataQ!AA:AA)</f>
        <v>418659</v>
      </c>
      <c r="W22" s="10">
        <f>SUMIF(DataQ!$B:$B,DataA!$A22,DataQ!AB:AB)</f>
        <v>496809</v>
      </c>
      <c r="X22" s="10">
        <f>SUMIF(DataQ!$B:$B,DataA!$A22,DataQ!AC:AC)</f>
        <v>4855.25</v>
      </c>
      <c r="Y22" s="10">
        <f>SUMIF(DataQ!$B:$B,DataA!$A22,DataQ!AD:AD)</f>
        <v>373021.38</v>
      </c>
      <c r="Z22" s="10">
        <f>SUMIF(DataQ!$B:$B,DataA!$A22,DataQ!AE:AE)</f>
        <v>1212.0987</v>
      </c>
      <c r="AA22" s="10">
        <f>SUMIF(DataQ!$B:$B,DataA!$A22,DataQ!AF:AF)</f>
        <v>849.11900000000003</v>
      </c>
      <c r="AB22" s="10">
        <f>SUMIF(DataQ!$B:$B,DataA!$A22,DataQ!AG:AG)</f>
        <v>554.75600000000009</v>
      </c>
      <c r="AC22" s="10">
        <f>SUMIF(DataQ!$B:$B,DataA!$A22,DataQ!AH:AH)</f>
        <v>574336</v>
      </c>
    </row>
    <row r="23" spans="1:29" x14ac:dyDescent="0.25">
      <c r="A23">
        <v>1988</v>
      </c>
      <c r="B23" s="10">
        <f>SUMIF(DataQ!$B:$B,DataA!$A23,DataQ!G:G)</f>
        <v>1362204</v>
      </c>
      <c r="C23" s="10">
        <f>SUMIF(DataQ!$B:$B,DataA!$A23,DataQ!H:H)</f>
        <v>9519.4249999999993</v>
      </c>
      <c r="D23" s="10">
        <f>SUMIF(DataQ!$B:$B,DataA!$A23,DataQ!I:I)</f>
        <v>386133.61</v>
      </c>
      <c r="E23" s="10">
        <f>SUMIF(DataQ!$B:$B,DataA!$A23,DataQ!J:J)</f>
        <v>2108.4</v>
      </c>
      <c r="F23" s="10">
        <f>SUMIF(DataQ!$B:$B,DataA!$A23,DataQ!K:K)</f>
        <v>1457.5889999999999</v>
      </c>
      <c r="G23" s="10">
        <f>SUMIF(DataQ!$B:$B,DataA!$A23,DataQ!L:L)</f>
        <v>1429.7389999999998</v>
      </c>
      <c r="H23" s="10">
        <f>SUMIF(DataQ!$B:$B,DataA!$A23,DataQ!M:M)</f>
        <v>1130884.6000000001</v>
      </c>
      <c r="I23" s="10">
        <f>SUMIF(DataQ!$B:$B,DataA!$A23,DataQ!N:N)</f>
        <v>3133</v>
      </c>
      <c r="J23" s="10">
        <f>SUMIF(DataQ!$B:$B,DataA!$A23,DataQ!O:O)</f>
        <v>-243.44325000000001</v>
      </c>
      <c r="K23" s="10">
        <f>SUMIF(DataQ!$B:$B,DataA!$A23,DataQ!P:P)</f>
        <v>2420.5</v>
      </c>
      <c r="L23" s="10">
        <f>SUMIF(DataQ!$B:$B,DataA!$A23,DataQ!Q:Q)</f>
        <v>-100.9734</v>
      </c>
      <c r="M23" s="10">
        <f>SUMIF(DataQ!$B:$B,DataA!$A23,DataQ!R:R)</f>
        <v>-23.654999999999998</v>
      </c>
      <c r="N23" s="10">
        <f>SUMIF(DataQ!$B:$B,DataA!$A23,DataQ!S:S)</f>
        <v>-65.083110000000005</v>
      </c>
      <c r="O23" s="10">
        <f>SUMIF(DataQ!$B:$B,DataA!$A23,DataQ!T:T)</f>
        <v>-23937</v>
      </c>
      <c r="P23" s="10">
        <f>SUMIF(DataQ!$E:$E,DataA!$A23,DataQ!U:U)</f>
        <v>196661.8</v>
      </c>
      <c r="Q23" s="10">
        <f>SUMIF(DataQ!$E:$E,DataA!$A23,DataQ!V:V)</f>
        <v>4425.4520000000002</v>
      </c>
      <c r="R23" s="10">
        <f>SUMIF(DataQ!$E:$E,DataA!$A23,DataQ!W:W)</f>
        <v>284139</v>
      </c>
      <c r="S23" s="10">
        <f>SUMIF(DataQ!$E:$E,DataA!$A23,DataQ!X:X)</f>
        <v>460.66950000000003</v>
      </c>
      <c r="T23" s="10">
        <f>SUMIF(DataQ!$E:$E,DataA!$A23,DataQ!Y:Y)</f>
        <v>346.60520000000002</v>
      </c>
      <c r="U23" s="10">
        <f>SUMIF(DataQ!$E:$E,DataA!$A23,DataQ!Z:Z)</f>
        <v>576.70600000000002</v>
      </c>
      <c r="V23" s="10">
        <f>SUMIF(DataQ!$E:$E,DataA!$A23,DataQ!AA:AA)</f>
        <v>456865</v>
      </c>
      <c r="W23" s="10">
        <f>SUMIF(DataQ!$B:$B,DataA!$A23,DataQ!AB:AB)</f>
        <v>555683</v>
      </c>
      <c r="X23" s="10">
        <f>SUMIF(DataQ!$B:$B,DataA!$A23,DataQ!AC:AC)</f>
        <v>5236.4250000000002</v>
      </c>
      <c r="Y23" s="10">
        <f>SUMIF(DataQ!$B:$B,DataA!$A23,DataQ!AD:AD)</f>
        <v>400505.11</v>
      </c>
      <c r="Z23" s="10">
        <f>SUMIF(DataQ!$B:$B,DataA!$A23,DataQ!AE:AE)</f>
        <v>1275.1024</v>
      </c>
      <c r="AA23" s="10">
        <f>SUMIF(DataQ!$B:$B,DataA!$A23,DataQ!AF:AF)</f>
        <v>917.11</v>
      </c>
      <c r="AB23" s="10">
        <f>SUMIF(DataQ!$B:$B,DataA!$A23,DataQ!AG:AG)</f>
        <v>617.08499999999992</v>
      </c>
      <c r="AC23" s="10">
        <f>SUMIF(DataQ!$B:$B,DataA!$A23,DataQ!AH:AH)</f>
        <v>626894</v>
      </c>
    </row>
    <row r="24" spans="1:29" x14ac:dyDescent="0.25">
      <c r="A24">
        <v>1989</v>
      </c>
      <c r="B24" s="10">
        <f>SUMIF(DataQ!$B:$B,DataA!$A24,DataQ!G:G)</f>
        <v>1394928</v>
      </c>
      <c r="C24" s="10">
        <f>SUMIF(DataQ!$B:$B,DataA!$A24,DataQ!H:H)</f>
        <v>9869</v>
      </c>
      <c r="D24" s="10">
        <f>SUMIF(DataQ!$B:$B,DataA!$A24,DataQ!I:I)</f>
        <v>405131.52999999997</v>
      </c>
      <c r="E24" s="10">
        <f>SUMIF(DataQ!$B:$B,DataA!$A24,DataQ!J:J)</f>
        <v>2193.31</v>
      </c>
      <c r="F24" s="10">
        <f>SUMIF(DataQ!$B:$B,DataA!$A24,DataQ!K:K)</f>
        <v>1524.4159999999999</v>
      </c>
      <c r="G24" s="10">
        <f>SUMIF(DataQ!$B:$B,DataA!$A24,DataQ!L:L)</f>
        <v>1479.424</v>
      </c>
      <c r="H24" s="10">
        <f>SUMIF(DataQ!$B:$B,DataA!$A24,DataQ!M:M)</f>
        <v>1157317.1000000001</v>
      </c>
      <c r="I24" s="10">
        <f>SUMIF(DataQ!$B:$B,DataA!$A24,DataQ!N:N)</f>
        <v>3117</v>
      </c>
      <c r="J24" s="10">
        <f>SUMIF(DataQ!$B:$B,DataA!$A24,DataQ!O:O)</f>
        <v>-249.66125999999997</v>
      </c>
      <c r="K24" s="10">
        <f>SUMIF(DataQ!$B:$B,DataA!$A24,DataQ!P:P)</f>
        <v>5986</v>
      </c>
      <c r="L24" s="10">
        <f>SUMIF(DataQ!$B:$B,DataA!$A24,DataQ!Q:Q)</f>
        <v>-76.218239999999994</v>
      </c>
      <c r="M24" s="10">
        <f>SUMIF(DataQ!$B:$B,DataA!$A24,DataQ!R:R)</f>
        <v>-17.788</v>
      </c>
      <c r="N24" s="10">
        <f>SUMIF(DataQ!$B:$B,DataA!$A24,DataQ!S:S)</f>
        <v>-73.895679999999999</v>
      </c>
      <c r="O24" s="10">
        <f>SUMIF(DataQ!$B:$B,DataA!$A24,DataQ!T:T)</f>
        <v>-26272</v>
      </c>
      <c r="P24" s="10">
        <f>SUMIF(DataQ!$E:$E,DataA!$A24,DataQ!U:U)</f>
        <v>188804.5</v>
      </c>
      <c r="Q24" s="10">
        <f>SUMIF(DataQ!$E:$E,DataA!$A24,DataQ!V:V)</f>
        <v>4790.9539999999997</v>
      </c>
      <c r="R24" s="10">
        <f>SUMIF(DataQ!$E:$E,DataA!$A24,DataQ!W:W)</f>
        <v>280343</v>
      </c>
      <c r="S24" s="10">
        <f>SUMIF(DataQ!$E:$E,DataA!$A24,DataQ!X:X)</f>
        <v>486.90699999999998</v>
      </c>
      <c r="T24" s="10">
        <f>SUMIF(DataQ!$E:$E,DataA!$A24,DataQ!Y:Y)</f>
        <v>372.41699999999997</v>
      </c>
      <c r="U24" s="10">
        <f>SUMIF(DataQ!$E:$E,DataA!$A24,DataQ!Z:Z)</f>
        <v>612.70600000000002</v>
      </c>
      <c r="V24" s="10">
        <f>SUMIF(DataQ!$E:$E,DataA!$A24,DataQ!AA:AA)</f>
        <v>498148</v>
      </c>
      <c r="W24" s="10">
        <f>SUMIF(DataQ!$B:$B,DataA!$A24,DataQ!AB:AB)</f>
        <v>614631</v>
      </c>
      <c r="X24" s="10">
        <f>SUMIF(DataQ!$B:$B,DataA!$A24,DataQ!AC:AC)</f>
        <v>5641.5999999999995</v>
      </c>
      <c r="Y24" s="10">
        <f>SUMIF(DataQ!$B:$B,DataA!$A24,DataQ!AD:AD)</f>
        <v>428693.4</v>
      </c>
      <c r="Z24" s="10">
        <f>SUMIF(DataQ!$B:$B,DataA!$A24,DataQ!AE:AE)</f>
        <v>1364.7465999999999</v>
      </c>
      <c r="AA24" s="10">
        <f>SUMIF(DataQ!$B:$B,DataA!$A24,DataQ!AF:AF)</f>
        <v>989.6</v>
      </c>
      <c r="AB24" s="10">
        <f>SUMIF(DataQ!$B:$B,DataA!$A24,DataQ!AG:AG)</f>
        <v>678.09899999999993</v>
      </c>
      <c r="AC24" s="10">
        <f>SUMIF(DataQ!$B:$B,DataA!$A24,DataQ!AH:AH)</f>
        <v>671579</v>
      </c>
    </row>
    <row r="25" spans="1:29" x14ac:dyDescent="0.25">
      <c r="A25">
        <v>1990</v>
      </c>
      <c r="B25" s="10">
        <f>SUMIF(DataQ!$B:$B,DataA!$A25,DataQ!G:G)</f>
        <v>1402748</v>
      </c>
      <c r="C25" s="10">
        <f>SUMIF(DataQ!$B:$B,DataA!$A25,DataQ!H:H)</f>
        <v>10055.150000000001</v>
      </c>
      <c r="D25" s="10">
        <f>SUMIF(DataQ!$B:$B,DataA!$A25,DataQ!I:I)</f>
        <v>424861.8</v>
      </c>
      <c r="E25" s="10">
        <f>SUMIF(DataQ!$B:$B,DataA!$A25,DataQ!J:J)</f>
        <v>2313.5299999999997</v>
      </c>
      <c r="F25" s="10">
        <f>SUMIF(DataQ!$B:$B,DataA!$A25,DataQ!K:K)</f>
        <v>1566.9870000000001</v>
      </c>
      <c r="G25" s="10">
        <f>SUMIF(DataQ!$B:$B,DataA!$A25,DataQ!L:L)</f>
        <v>1508.3029999999999</v>
      </c>
      <c r="H25" s="10">
        <f>SUMIF(DataQ!$B:$B,DataA!$A25,DataQ!M:M)</f>
        <v>1159665.8999999999</v>
      </c>
      <c r="I25" s="10">
        <f>SUMIF(DataQ!$B:$B,DataA!$A25,DataQ!N:N)</f>
        <v>-5268</v>
      </c>
      <c r="J25" s="10">
        <f>SUMIF(DataQ!$B:$B,DataA!$A25,DataQ!O:O)</f>
        <v>-322.24474000000004</v>
      </c>
      <c r="K25" s="10">
        <f>SUMIF(DataQ!$B:$B,DataA!$A25,DataQ!P:P)</f>
        <v>9775.75</v>
      </c>
      <c r="L25" s="10">
        <f>SUMIF(DataQ!$B:$B,DataA!$A25,DataQ!Q:Q)</f>
        <v>-93.456000000000003</v>
      </c>
      <c r="M25" s="10">
        <f>SUMIF(DataQ!$B:$B,DataA!$A25,DataQ!R:R)</f>
        <v>-25.67</v>
      </c>
      <c r="N25" s="10">
        <f>SUMIF(DataQ!$B:$B,DataA!$A25,DataQ!S:S)</f>
        <v>-81.750219999999999</v>
      </c>
      <c r="O25" s="10">
        <f>SUMIF(DataQ!$B:$B,DataA!$A25,DataQ!T:T)</f>
        <v>-34774</v>
      </c>
      <c r="P25" s="10">
        <f>SUMIF(DataQ!$E:$E,DataA!$A25,DataQ!U:U)</f>
        <v>187903.8</v>
      </c>
      <c r="Q25" s="10">
        <f>SUMIF(DataQ!$E:$E,DataA!$A25,DataQ!V:V)</f>
        <v>5216.6589999999997</v>
      </c>
      <c r="R25" s="10">
        <f>SUMIF(DataQ!$E:$E,DataA!$A25,DataQ!W:W)</f>
        <v>290151</v>
      </c>
      <c r="S25" s="10">
        <f>SUMIF(DataQ!$E:$E,DataA!$A25,DataQ!X:X)</f>
        <v>553.05280000000005</v>
      </c>
      <c r="T25" s="10">
        <f>SUMIF(DataQ!$E:$E,DataA!$A25,DataQ!Y:Y)</f>
        <v>421.28899999999999</v>
      </c>
      <c r="U25" s="10">
        <f>SUMIF(DataQ!$E:$E,DataA!$A25,DataQ!Z:Z)</f>
        <v>691.51800000000003</v>
      </c>
      <c r="V25" s="10">
        <f>SUMIF(DataQ!$E:$E,DataA!$A25,DataQ!AA:AA)</f>
        <v>540348</v>
      </c>
      <c r="W25" s="10">
        <f>SUMIF(DataQ!$B:$B,DataA!$A25,DataQ!AB:AB)</f>
        <v>670797</v>
      </c>
      <c r="X25" s="10">
        <f>SUMIF(DataQ!$B:$B,DataA!$A25,DataQ!AC:AC)</f>
        <v>5963.1250000000009</v>
      </c>
      <c r="Y25" s="10">
        <f>SUMIF(DataQ!$B:$B,DataA!$A25,DataQ!AD:AD)</f>
        <v>460995.4</v>
      </c>
      <c r="Z25" s="10">
        <f>SUMIF(DataQ!$B:$B,DataA!$A25,DataQ!AE:AE)</f>
        <v>1488.6755000000001</v>
      </c>
      <c r="AA25" s="10">
        <f>SUMIF(DataQ!$B:$B,DataA!$A25,DataQ!AF:AF)</f>
        <v>1044.5039999999999</v>
      </c>
      <c r="AB25" s="10">
        <f>SUMIF(DataQ!$B:$B,DataA!$A25,DataQ!AG:AG)</f>
        <v>735.83999999999992</v>
      </c>
      <c r="AC25" s="10">
        <f>SUMIF(DataQ!$B:$B,DataA!$A25,DataQ!AH:AH)</f>
        <v>695501</v>
      </c>
    </row>
    <row r="26" spans="1:29" x14ac:dyDescent="0.25">
      <c r="A26">
        <v>1991</v>
      </c>
      <c r="B26" s="10">
        <f>SUMIF(DataQ!$B:$B,DataA!$A26,DataQ!G:G)</f>
        <v>1383043</v>
      </c>
      <c r="C26" s="10">
        <f>SUMIF(DataQ!$B:$B,DataA!$A26,DataQ!H:H)</f>
        <v>10044.225</v>
      </c>
      <c r="D26" s="10">
        <f>SUMIF(DataQ!$B:$B,DataA!$A26,DataQ!I:I)</f>
        <v>439794.9</v>
      </c>
      <c r="E26" s="10">
        <f>SUMIF(DataQ!$B:$B,DataA!$A26,DataQ!J:J)</f>
        <v>2441.38</v>
      </c>
      <c r="F26" s="10">
        <f>SUMIF(DataQ!$B:$B,DataA!$A26,DataQ!K:K)</f>
        <v>1587.231</v>
      </c>
      <c r="G26" s="10">
        <f>SUMIF(DataQ!$B:$B,DataA!$A26,DataQ!L:L)</f>
        <v>1516.7939999999999</v>
      </c>
      <c r="H26" s="10">
        <f>SUMIF(DataQ!$B:$B,DataA!$A26,DataQ!M:M)</f>
        <v>1135416.5</v>
      </c>
      <c r="I26" s="10">
        <f>SUMIF(DataQ!$B:$B,DataA!$A26,DataQ!N:N)</f>
        <v>-19190</v>
      </c>
      <c r="J26" s="10">
        <f>SUMIF(DataQ!$B:$B,DataA!$A26,DataQ!O:O)</f>
        <v>-382.92049000000003</v>
      </c>
      <c r="K26" s="10">
        <f>SUMIF(DataQ!$B:$B,DataA!$A26,DataQ!P:P)</f>
        <v>9471</v>
      </c>
      <c r="L26" s="10">
        <f>SUMIF(DataQ!$B:$B,DataA!$A26,DataQ!Q:Q)</f>
        <v>-51.085000000000001</v>
      </c>
      <c r="M26" s="10">
        <f>SUMIF(DataQ!$B:$B,DataA!$A26,DataQ!R:R)</f>
        <v>-31.292000000000002</v>
      </c>
      <c r="N26" s="10">
        <f>SUMIF(DataQ!$B:$B,DataA!$A26,DataQ!S:S)</f>
        <v>-88.625469999999993</v>
      </c>
      <c r="O26" s="10">
        <f>SUMIF(DataQ!$B:$B,DataA!$A26,DataQ!T:T)</f>
        <v>-51988</v>
      </c>
      <c r="P26" s="10">
        <f>SUMIF(DataQ!$E:$E,DataA!$A26,DataQ!U:U)</f>
        <v>200592</v>
      </c>
      <c r="Q26" s="10">
        <f>SUMIF(DataQ!$E:$E,DataA!$A26,DataQ!V:V)</f>
        <v>5656.1139999999996</v>
      </c>
      <c r="R26" s="10">
        <f>SUMIF(DataQ!$E:$E,DataA!$A26,DataQ!W:W)</f>
        <v>304315</v>
      </c>
      <c r="S26" s="10">
        <f>SUMIF(DataQ!$E:$E,DataA!$A26,DataQ!X:X)</f>
        <v>620.46579999999994</v>
      </c>
      <c r="T26" s="10">
        <f>SUMIF(DataQ!$E:$E,DataA!$A26,DataQ!Y:Y)</f>
        <v>466.59800000000001</v>
      </c>
      <c r="U26" s="10">
        <f>SUMIF(DataQ!$E:$E,DataA!$A26,DataQ!Z:Z)</f>
        <v>776.94500000000005</v>
      </c>
      <c r="V26" s="10">
        <f>SUMIF(DataQ!$E:$E,DataA!$A26,DataQ!AA:AA)</f>
        <v>616390</v>
      </c>
      <c r="W26" s="10">
        <f>SUMIF(DataQ!$B:$B,DataA!$A26,DataQ!AB:AB)</f>
        <v>705884</v>
      </c>
      <c r="X26" s="10">
        <f>SUMIF(DataQ!$B:$B,DataA!$A26,DataQ!AC:AC)</f>
        <v>6158.125</v>
      </c>
      <c r="Y26" s="10">
        <f>SUMIF(DataQ!$B:$B,DataA!$A26,DataQ!AD:AD)</f>
        <v>491194.5</v>
      </c>
      <c r="Z26" s="10">
        <f>SUMIF(DataQ!$B:$B,DataA!$A26,DataQ!AE:AE)</f>
        <v>1596.7224000000001</v>
      </c>
      <c r="AA26" s="10">
        <f>SUMIF(DataQ!$B:$B,DataA!$A26,DataQ!AF:AF)</f>
        <v>1083.7839999999999</v>
      </c>
      <c r="AB26" s="10">
        <f>SUMIF(DataQ!$B:$B,DataA!$A26,DataQ!AG:AG)</f>
        <v>803.65499999999997</v>
      </c>
      <c r="AC26" s="10">
        <f>SUMIF(DataQ!$B:$B,DataA!$A26,DataQ!AH:AH)</f>
        <v>701773</v>
      </c>
    </row>
    <row r="27" spans="1:29" x14ac:dyDescent="0.25">
      <c r="A27">
        <v>1992</v>
      </c>
      <c r="B27" s="10">
        <f>SUMIF(DataQ!$B:$B,DataA!$A27,DataQ!G:G)</f>
        <v>1386437</v>
      </c>
      <c r="C27" s="10">
        <f>SUMIF(DataQ!$B:$B,DataA!$A27,DataQ!H:H)</f>
        <v>10398.025</v>
      </c>
      <c r="D27" s="10">
        <f>SUMIF(DataQ!$B:$B,DataA!$A27,DataQ!I:I)</f>
        <v>443752.2</v>
      </c>
      <c r="E27" s="10">
        <f>SUMIF(DataQ!$B:$B,DataA!$A27,DataQ!J:J)</f>
        <v>2480.3000000000002</v>
      </c>
      <c r="F27" s="10">
        <f>SUMIF(DataQ!$B:$B,DataA!$A27,DataQ!K:K)</f>
        <v>1609.5830000000001</v>
      </c>
      <c r="G27" s="10">
        <f>SUMIF(DataQ!$B:$B,DataA!$A27,DataQ!L:L)</f>
        <v>1527.403</v>
      </c>
      <c r="H27" s="10">
        <f>SUMIF(DataQ!$B:$B,DataA!$A27,DataQ!M:M)</f>
        <v>1145527.1000000001</v>
      </c>
      <c r="I27" s="10">
        <f>SUMIF(DataQ!$B:$B,DataA!$A27,DataQ!N:N)</f>
        <v>-40168</v>
      </c>
      <c r="J27" s="10">
        <f>SUMIF(DataQ!$B:$B,DataA!$A27,DataQ!O:O)</f>
        <v>-469.90499999999997</v>
      </c>
      <c r="K27" s="10">
        <f>SUMIF(DataQ!$B:$B,DataA!$A27,DataQ!P:P)</f>
        <v>3161.75</v>
      </c>
      <c r="L27" s="10">
        <f>SUMIF(DataQ!$B:$B,DataA!$A27,DataQ!Q:Q)</f>
        <v>-44.998000000000005</v>
      </c>
      <c r="M27" s="10">
        <f>SUMIF(DataQ!$B:$B,DataA!$A27,DataQ!R:R)</f>
        <v>-51.887999999999998</v>
      </c>
      <c r="N27" s="10">
        <f>SUMIF(DataQ!$B:$B,DataA!$A27,DataQ!S:S)</f>
        <v>-84.787180000000006</v>
      </c>
      <c r="O27" s="10">
        <f>SUMIF(DataQ!$B:$B,DataA!$A27,DataQ!T:T)</f>
        <v>-60519</v>
      </c>
      <c r="P27" s="10">
        <f>SUMIF(DataQ!$E:$E,DataA!$A27,DataQ!U:U)</f>
        <v>237655.3</v>
      </c>
      <c r="Q27" s="10">
        <f>SUMIF(DataQ!$E:$E,DataA!$A27,DataQ!V:V)</f>
        <v>6255.3</v>
      </c>
      <c r="R27" s="10">
        <f>SUMIF(DataQ!$E:$E,DataA!$A27,DataQ!W:W)</f>
        <v>333277</v>
      </c>
      <c r="S27" s="10">
        <f>SUMIF(DataQ!$E:$E,DataA!$A27,DataQ!X:X)</f>
        <v>707.18399999999997</v>
      </c>
      <c r="T27" s="10">
        <f>SUMIF(DataQ!$E:$E,DataA!$A27,DataQ!Y:Y)</f>
        <v>528.38400000000001</v>
      </c>
      <c r="U27" s="10">
        <f>SUMIF(DataQ!$E:$E,DataA!$A27,DataQ!Z:Z)</f>
        <v>869.15899999999999</v>
      </c>
      <c r="V27" s="10">
        <f>SUMIF(DataQ!$E:$E,DataA!$A27,DataQ!AA:AA)</f>
        <v>665461</v>
      </c>
      <c r="W27" s="10">
        <f>SUMIF(DataQ!$B:$B,DataA!$A27,DataQ!AB:AB)</f>
        <v>730874</v>
      </c>
      <c r="X27" s="10">
        <f>SUMIF(DataQ!$B:$B,DataA!$A27,DataQ!AC:AC)</f>
        <v>6520.3249999999998</v>
      </c>
      <c r="Y27" s="10">
        <f>SUMIF(DataQ!$B:$B,DataA!$A27,DataQ!AD:AD)</f>
        <v>504109.2</v>
      </c>
      <c r="Z27" s="10">
        <f>SUMIF(DataQ!$B:$B,DataA!$A27,DataQ!AE:AE)</f>
        <v>1708.336</v>
      </c>
      <c r="AA27" s="10">
        <f>SUMIF(DataQ!$B:$B,DataA!$A27,DataQ!AF:AF)</f>
        <v>1121.3309999999999</v>
      </c>
      <c r="AB27" s="10">
        <f>SUMIF(DataQ!$B:$B,DataA!$A27,DataQ!AG:AG)</f>
        <v>844.63300000000004</v>
      </c>
      <c r="AC27" s="10">
        <f>SUMIF(DataQ!$B:$B,DataA!$A27,DataQ!AH:AH)</f>
        <v>718436</v>
      </c>
    </row>
    <row r="28" spans="1:29" x14ac:dyDescent="0.25">
      <c r="A28">
        <v>1993</v>
      </c>
      <c r="B28" s="10">
        <f>SUMIF(DataQ!$B:$B,DataA!$A28,DataQ!G:G)</f>
        <v>1417763</v>
      </c>
      <c r="C28" s="10">
        <f>SUMIF(DataQ!$B:$B,DataA!$A28,DataQ!H:H)</f>
        <v>10684.174999999999</v>
      </c>
      <c r="D28" s="10">
        <f>SUMIF(DataQ!$B:$B,DataA!$A28,DataQ!I:I)</f>
        <v>441728.60000000003</v>
      </c>
      <c r="E28" s="10">
        <f>SUMIF(DataQ!$B:$B,DataA!$A28,DataQ!J:J)</f>
        <v>2455.7099999999996</v>
      </c>
      <c r="F28" s="10">
        <f>SUMIF(DataQ!$B:$B,DataA!$A28,DataQ!K:K)</f>
        <v>1602.7349999999999</v>
      </c>
      <c r="G28" s="10">
        <f>SUMIF(DataQ!$B:$B,DataA!$A28,DataQ!L:L)</f>
        <v>1514.2950000000001</v>
      </c>
      <c r="H28" s="10">
        <f>SUMIF(DataQ!$B:$B,DataA!$A28,DataQ!M:M)</f>
        <v>1175971.8</v>
      </c>
      <c r="I28" s="10">
        <f>SUMIF(DataQ!$B:$B,DataA!$A28,DataQ!N:N)</f>
        <v>-51391</v>
      </c>
      <c r="J28" s="10">
        <f>SUMIF(DataQ!$B:$B,DataA!$A28,DataQ!O:O)</f>
        <v>-436.62845000000004</v>
      </c>
      <c r="K28" s="10">
        <f>SUMIF(DataQ!$B:$B,DataA!$A28,DataQ!P:P)</f>
        <v>-12357.75</v>
      </c>
      <c r="L28" s="10">
        <f>SUMIF(DataQ!$B:$B,DataA!$A28,DataQ!Q:Q)</f>
        <v>-54.655999999999999</v>
      </c>
      <c r="M28" s="10">
        <f>SUMIF(DataQ!$B:$B,DataA!$A28,DataQ!R:R)</f>
        <v>-72.551000000000002</v>
      </c>
      <c r="N28" s="10">
        <f>SUMIF(DataQ!$B:$B,DataA!$A28,DataQ!S:S)</f>
        <v>-84.1434</v>
      </c>
      <c r="O28" s="10">
        <f>SUMIF(DataQ!$B:$B,DataA!$A28,DataQ!T:T)</f>
        <v>-62133</v>
      </c>
      <c r="P28" s="10">
        <f>SUMIF(DataQ!$E:$E,DataA!$A28,DataQ!U:U)</f>
        <v>286197.8</v>
      </c>
      <c r="Q28" s="10">
        <f>SUMIF(DataQ!$E:$E,DataA!$A28,DataQ!V:V)</f>
        <v>6669.6559999999999</v>
      </c>
      <c r="R28" s="10">
        <f>SUMIF(DataQ!$E:$E,DataA!$A28,DataQ!W:W)</f>
        <v>366379</v>
      </c>
      <c r="S28" s="10">
        <f>SUMIF(DataQ!$E:$E,DataA!$A28,DataQ!X:X)</f>
        <v>787.65530000000001</v>
      </c>
      <c r="T28" s="10">
        <f>SUMIF(DataQ!$E:$E,DataA!$A28,DataQ!Y:Y)</f>
        <v>665.99300000000005</v>
      </c>
      <c r="U28" s="10">
        <f>SUMIF(DataQ!$E:$E,DataA!$A28,DataQ!Z:Z)</f>
        <v>973.65899999999999</v>
      </c>
      <c r="V28" s="10">
        <f>SUMIF(DataQ!$E:$E,DataA!$A28,DataQ!AA:AA)</f>
        <v>777123</v>
      </c>
      <c r="W28" s="10">
        <f>SUMIF(DataQ!$B:$B,DataA!$A28,DataQ!AB:AB)</f>
        <v>769855</v>
      </c>
      <c r="X28" s="10">
        <f>SUMIF(DataQ!$B:$B,DataA!$A28,DataQ!AC:AC)</f>
        <v>6858.55</v>
      </c>
      <c r="Y28" s="10">
        <f>SUMIF(DataQ!$B:$B,DataA!$A28,DataQ!AD:AD)</f>
        <v>504425.6</v>
      </c>
      <c r="Z28" s="10">
        <f>SUMIF(DataQ!$B:$B,DataA!$A28,DataQ!AE:AE)</f>
        <v>1755.52</v>
      </c>
      <c r="AA28" s="10">
        <f>SUMIF(DataQ!$B:$B,DataA!$A28,DataQ!AF:AF)</f>
        <v>1134.2729999999999</v>
      </c>
      <c r="AB28" s="10">
        <f>SUMIF(DataQ!$B:$B,DataA!$A28,DataQ!AG:AG)</f>
        <v>869.92499999999995</v>
      </c>
      <c r="AC28" s="10">
        <f>SUMIF(DataQ!$B:$B,DataA!$A28,DataQ!AH:AH)</f>
        <v>747037</v>
      </c>
    </row>
    <row r="29" spans="1:29" x14ac:dyDescent="0.25">
      <c r="A29">
        <v>1994</v>
      </c>
      <c r="B29" s="10">
        <f>SUMIF(DataQ!$B:$B,DataA!$A29,DataQ!G:G)</f>
        <v>1466101</v>
      </c>
      <c r="C29" s="10">
        <f>SUMIF(DataQ!$B:$B,DataA!$A29,DataQ!H:H)</f>
        <v>11114.65</v>
      </c>
      <c r="D29" s="10">
        <f>SUMIF(DataQ!$B:$B,DataA!$A29,DataQ!I:I)</f>
        <v>446533.2</v>
      </c>
      <c r="E29" s="10">
        <f>SUMIF(DataQ!$B:$B,DataA!$A29,DataQ!J:J)</f>
        <v>2521</v>
      </c>
      <c r="F29" s="10">
        <f>SUMIF(DataQ!$B:$B,DataA!$A29,DataQ!K:K)</f>
        <v>1641.2440000000001</v>
      </c>
      <c r="G29" s="10">
        <f>SUMIF(DataQ!$B:$B,DataA!$A29,DataQ!L:L)</f>
        <v>1548.846</v>
      </c>
      <c r="H29" s="10">
        <f>SUMIF(DataQ!$B:$B,DataA!$A29,DataQ!M:M)</f>
        <v>1228820.6000000001</v>
      </c>
      <c r="I29" s="10">
        <f>SUMIF(DataQ!$B:$B,DataA!$A29,DataQ!N:N)</f>
        <v>-46482</v>
      </c>
      <c r="J29" s="10">
        <f>SUMIF(DataQ!$B:$B,DataA!$A29,DataQ!O:O)</f>
        <v>-362.45825000000002</v>
      </c>
      <c r="K29" s="10">
        <f>SUMIF(DataQ!$B:$B,DataA!$A29,DataQ!P:P)</f>
        <v>-19220.25</v>
      </c>
      <c r="L29" s="10">
        <f>SUMIF(DataQ!$B:$B,DataA!$A29,DataQ!Q:Q)</f>
        <v>-46.727000000000004</v>
      </c>
      <c r="M29" s="10">
        <f>SUMIF(DataQ!$B:$B,DataA!$A29,DataQ!R:R)</f>
        <v>-64.01400000000001</v>
      </c>
      <c r="N29" s="10">
        <f>SUMIF(DataQ!$B:$B,DataA!$A29,DataQ!S:S)</f>
        <v>-80.268969999999996</v>
      </c>
      <c r="O29" s="10">
        <f>SUMIF(DataQ!$B:$B,DataA!$A29,DataQ!T:T)</f>
        <v>-50334</v>
      </c>
      <c r="P29" s="10">
        <f>SUMIF(DataQ!$E:$E,DataA!$A29,DataQ!U:U)</f>
        <v>329627</v>
      </c>
      <c r="Q29" s="10">
        <f>SUMIF(DataQ!$E:$E,DataA!$A29,DataQ!V:V)</f>
        <v>7002.7619999999997</v>
      </c>
      <c r="R29" s="10">
        <f>SUMIF(DataQ!$E:$E,DataA!$A29,DataQ!W:W)</f>
        <v>396059</v>
      </c>
      <c r="S29" s="10">
        <f>SUMIF(DataQ!$E:$E,DataA!$A29,DataQ!X:X)</f>
        <v>890.72389999999996</v>
      </c>
      <c r="T29" s="10">
        <f>SUMIF(DataQ!$E:$E,DataA!$A29,DataQ!Y:Y)</f>
        <v>676.23099999999999</v>
      </c>
      <c r="U29" s="10">
        <f>SUMIF(DataQ!$E:$E,DataA!$A29,DataQ!Z:Z)</f>
        <v>1072.683</v>
      </c>
      <c r="V29" s="10">
        <f>SUMIF(DataQ!$E:$E,DataA!$A29,DataQ!AA:AA)</f>
        <v>808152</v>
      </c>
      <c r="W29" s="10">
        <f>SUMIF(DataQ!$B:$B,DataA!$A29,DataQ!AB:AB)</f>
        <v>810794</v>
      </c>
      <c r="X29" s="10">
        <f>SUMIF(DataQ!$B:$B,DataA!$A29,DataQ!AC:AC)</f>
        <v>7287.2499999999991</v>
      </c>
      <c r="Y29" s="10">
        <f>SUMIF(DataQ!$B:$B,DataA!$A29,DataQ!AD:AD)</f>
        <v>510928.9</v>
      </c>
      <c r="Z29" s="10">
        <f>SUMIF(DataQ!$B:$B,DataA!$A29,DataQ!AE:AE)</f>
        <v>1837.3229999999999</v>
      </c>
      <c r="AA29" s="10">
        <f>SUMIF(DataQ!$B:$B,DataA!$A29,DataQ!AF:AF)</f>
        <v>1172.316</v>
      </c>
      <c r="AB29" s="10">
        <f>SUMIF(DataQ!$B:$B,DataA!$A29,DataQ!AG:AG)</f>
        <v>921.28099999999995</v>
      </c>
      <c r="AC29" s="10">
        <f>SUMIF(DataQ!$B:$B,DataA!$A29,DataQ!AH:AH)</f>
        <v>791972</v>
      </c>
    </row>
    <row r="30" spans="1:29" x14ac:dyDescent="0.25">
      <c r="A30">
        <v>1995</v>
      </c>
      <c r="B30" s="10">
        <f>SUMIF(DataQ!$B:$B,DataA!$A30,DataQ!G:G)</f>
        <v>1501088</v>
      </c>
      <c r="C30" s="10">
        <f>SUMIF(DataQ!$B:$B,DataA!$A30,DataQ!H:H)</f>
        <v>11413.025</v>
      </c>
      <c r="D30" s="10">
        <f>SUMIF(DataQ!$B:$B,DataA!$A30,DataQ!I:I)</f>
        <v>458231.89999999997</v>
      </c>
      <c r="E30" s="10">
        <f>SUMIF(DataQ!$B:$B,DataA!$A30,DataQ!J:J)</f>
        <v>2560.87</v>
      </c>
      <c r="F30" s="10">
        <f>SUMIF(DataQ!$B:$B,DataA!$A30,DataQ!K:K)</f>
        <v>1681.5749999999998</v>
      </c>
      <c r="G30" s="10">
        <f>SUMIF(DataQ!$B:$B,DataA!$A30,DataQ!L:L)</f>
        <v>1594.7089999999998</v>
      </c>
      <c r="H30" s="10">
        <f>SUMIF(DataQ!$B:$B,DataA!$A30,DataQ!M:M)</f>
        <v>1261781.6000000001</v>
      </c>
      <c r="I30" s="10">
        <f>SUMIF(DataQ!$B:$B,DataA!$A30,DataQ!N:N)</f>
        <v>-39160</v>
      </c>
      <c r="J30" s="10">
        <f>SUMIF(DataQ!$B:$B,DataA!$A30,DataQ!O:O)</f>
        <v>-362.31601999999998</v>
      </c>
      <c r="K30" s="10">
        <f>SUMIF(DataQ!$B:$B,DataA!$A30,DataQ!P:P)</f>
        <v>-22406.5</v>
      </c>
      <c r="L30" s="10">
        <f>SUMIF(DataQ!$B:$B,DataA!$A30,DataQ!Q:Q)</f>
        <v>-179.29000000000002</v>
      </c>
      <c r="M30" s="10">
        <f>SUMIF(DataQ!$B:$B,DataA!$A30,DataQ!R:R)</f>
        <v>-62.041000000000004</v>
      </c>
      <c r="N30" s="10">
        <f>SUMIF(DataQ!$B:$B,DataA!$A30,DataQ!S:S)</f>
        <v>-71.302999999999997</v>
      </c>
      <c r="O30" s="10">
        <f>SUMIF(DataQ!$B:$B,DataA!$A30,DataQ!T:T)</f>
        <v>-40834</v>
      </c>
      <c r="P30" s="10">
        <f>SUMIF(DataQ!$E:$E,DataA!$A30,DataQ!U:U)</f>
        <v>367999</v>
      </c>
      <c r="Q30" s="10">
        <f>SUMIF(DataQ!$E:$E,DataA!$A30,DataQ!V:V)</f>
        <v>7191.14</v>
      </c>
      <c r="R30" s="10">
        <f>SUMIF(DataQ!$E:$E,DataA!$A30,DataQ!W:W)</f>
        <v>439647</v>
      </c>
      <c r="S30" s="10">
        <f>SUMIF(DataQ!$E:$E,DataA!$A30,DataQ!X:X)</f>
        <v>1036.001</v>
      </c>
      <c r="T30" s="10">
        <f>SUMIF(DataQ!$E:$E,DataA!$A30,DataQ!Y:Y)</f>
        <v>905.63800000000003</v>
      </c>
      <c r="U30" s="10">
        <f>SUMIF(DataQ!$E:$E,DataA!$A30,DataQ!Z:Z)</f>
        <v>1174.1210000000001</v>
      </c>
      <c r="V30" s="10">
        <f>SUMIF(DataQ!$E:$E,DataA!$A30,DataQ!AA:AA)</f>
        <v>866026</v>
      </c>
      <c r="W30" s="10">
        <f>SUMIF(DataQ!$B:$B,DataA!$A30,DataQ!AB:AB)</f>
        <v>851845</v>
      </c>
      <c r="X30" s="10">
        <f>SUMIF(DataQ!$B:$B,DataA!$A30,DataQ!AC:AC)</f>
        <v>7639.75</v>
      </c>
      <c r="Y30" s="10">
        <f>SUMIF(DataQ!$B:$B,DataA!$A30,DataQ!AD:AD)</f>
        <v>521527.1</v>
      </c>
      <c r="Z30" s="10">
        <f>SUMIF(DataQ!$B:$B,DataA!$A30,DataQ!AE:AE)</f>
        <v>1900.509</v>
      </c>
      <c r="AA30" s="10">
        <f>SUMIF(DataQ!$B:$B,DataA!$A30,DataQ!AF:AF)</f>
        <v>1214.9090000000001</v>
      </c>
      <c r="AB30" s="10">
        <f>SUMIF(DataQ!$B:$B,DataA!$A30,DataQ!AG:AG)</f>
        <v>991.55900000000008</v>
      </c>
      <c r="AC30" s="10">
        <f>SUMIF(DataQ!$B:$B,DataA!$A30,DataQ!AH:AH)</f>
        <v>831621</v>
      </c>
    </row>
    <row r="31" spans="1:29" x14ac:dyDescent="0.25">
      <c r="A31">
        <v>1996</v>
      </c>
      <c r="B31" s="10">
        <f>SUMIF(DataQ!$B:$B,DataA!$A31,DataQ!G:G)</f>
        <v>1539846</v>
      </c>
      <c r="C31" s="10">
        <f>SUMIF(DataQ!$B:$B,DataA!$A31,DataQ!H:H)</f>
        <v>11843.599999999999</v>
      </c>
      <c r="D31" s="10">
        <f>SUMIF(DataQ!$B:$B,DataA!$A31,DataQ!I:I)</f>
        <v>472708.5</v>
      </c>
      <c r="E31" s="10">
        <f>SUMIF(DataQ!$B:$B,DataA!$A31,DataQ!J:J)</f>
        <v>2588.13</v>
      </c>
      <c r="F31" s="10">
        <f>SUMIF(DataQ!$B:$B,DataA!$A31,DataQ!K:K)</f>
        <v>1704.221</v>
      </c>
      <c r="G31" s="10">
        <f>SUMIF(DataQ!$B:$B,DataA!$A31,DataQ!L:L)</f>
        <v>1614.0030000000002</v>
      </c>
      <c r="H31" s="10">
        <f>SUMIF(DataQ!$B:$B,DataA!$A31,DataQ!M:M)</f>
        <v>1283092.6000000001</v>
      </c>
      <c r="I31" s="10">
        <f>SUMIF(DataQ!$B:$B,DataA!$A31,DataQ!N:N)</f>
        <v>-29840.001</v>
      </c>
      <c r="J31" s="10">
        <f>SUMIF(DataQ!$B:$B,DataA!$A31,DataQ!O:O)</f>
        <v>-287.34226000000001</v>
      </c>
      <c r="K31" s="10">
        <f>SUMIF(DataQ!$B:$B,DataA!$A31,DataQ!P:P)</f>
        <v>-26077.5</v>
      </c>
      <c r="L31" s="10">
        <f>SUMIF(DataQ!$B:$B,DataA!$A31,DataQ!Q:Q)</f>
        <v>-70.168999999999997</v>
      </c>
      <c r="M31" s="10">
        <f>SUMIF(DataQ!$B:$B,DataA!$A31,DataQ!R:R)</f>
        <v>-48.612000000000002</v>
      </c>
      <c r="N31" s="10">
        <f>SUMIF(DataQ!$B:$B,DataA!$A31,DataQ!S:S)</f>
        <v>-69.238</v>
      </c>
      <c r="O31" s="10">
        <f>SUMIF(DataQ!$B:$B,DataA!$A31,DataQ!T:T)</f>
        <v>-24279.001</v>
      </c>
      <c r="P31" s="10">
        <f>SUMIF(DataQ!$E:$E,DataA!$A31,DataQ!U:U)</f>
        <v>400613.3</v>
      </c>
      <c r="Q31" s="10">
        <f>SUMIF(DataQ!$E:$E,DataA!$A31,DataQ!V:V)</f>
        <v>7388.1059999999998</v>
      </c>
      <c r="R31" s="10">
        <f>SUMIF(DataQ!$E:$E,DataA!$A31,DataQ!W:W)</f>
        <v>487974</v>
      </c>
      <c r="S31" s="10">
        <f>SUMIF(DataQ!$E:$E,DataA!$A31,DataQ!X:X)</f>
        <v>1086.2059999999999</v>
      </c>
      <c r="T31" s="10">
        <f>SUMIF(DataQ!$E:$E,DataA!$A31,DataQ!Y:Y)</f>
        <v>982.20699999999999</v>
      </c>
      <c r="U31" s="10">
        <f>SUMIF(DataQ!$E:$E,DataA!$A31,DataQ!Z:Z)</f>
        <v>1305.748</v>
      </c>
      <c r="V31" s="10">
        <f>SUMIF(DataQ!$E:$E,DataA!$A31,DataQ!AA:AA)</f>
        <v>951233</v>
      </c>
      <c r="W31" s="10">
        <f>SUMIF(DataQ!$B:$B,DataA!$A31,DataQ!AB:AB)</f>
        <v>909993</v>
      </c>
      <c r="X31" s="10">
        <f>SUMIF(DataQ!$B:$B,DataA!$A31,DataQ!AC:AC)</f>
        <v>8073.1249999999991</v>
      </c>
      <c r="Y31" s="10">
        <f>SUMIF(DataQ!$B:$B,DataA!$A31,DataQ!AD:AD)</f>
        <v>535580.69999999995</v>
      </c>
      <c r="Z31" s="10">
        <f>SUMIF(DataQ!$B:$B,DataA!$A31,DataQ!AE:AE)</f>
        <v>1929.7469999999998</v>
      </c>
      <c r="AA31" s="10">
        <f>SUMIF(DataQ!$B:$B,DataA!$A31,DataQ!AF:AF)</f>
        <v>1247.433</v>
      </c>
      <c r="AB31" s="10">
        <f>SUMIF(DataQ!$B:$B,DataA!$A31,DataQ!AG:AG)</f>
        <v>1047.002</v>
      </c>
      <c r="AC31" s="10">
        <f>SUMIF(DataQ!$B:$B,DataA!$A31,DataQ!AH:AH)</f>
        <v>859834</v>
      </c>
    </row>
    <row r="32" spans="1:29" x14ac:dyDescent="0.25">
      <c r="A32">
        <v>1997</v>
      </c>
      <c r="B32" s="10">
        <f>SUMIF(DataQ!$B:$B,DataA!$A32,DataQ!G:G)</f>
        <v>1615678</v>
      </c>
      <c r="C32" s="10">
        <f>SUMIF(DataQ!$B:$B,DataA!$A32,DataQ!H:H)</f>
        <v>12370.3</v>
      </c>
      <c r="D32" s="10">
        <f>SUMIF(DataQ!$B:$B,DataA!$A32,DataQ!I:I)</f>
        <v>477464.7</v>
      </c>
      <c r="E32" s="10">
        <f>SUMIF(DataQ!$B:$B,DataA!$A32,DataQ!J:J)</f>
        <v>2638.16</v>
      </c>
      <c r="F32" s="10">
        <f>SUMIF(DataQ!$B:$B,DataA!$A32,DataQ!K:K)</f>
        <v>1747.0840000000001</v>
      </c>
      <c r="G32" s="10">
        <f>SUMIF(DataQ!$B:$B,DataA!$A32,DataQ!L:L)</f>
        <v>1645.8889999999999</v>
      </c>
      <c r="H32" s="10">
        <f>SUMIF(DataQ!$B:$B,DataA!$A32,DataQ!M:M)</f>
        <v>1338011.1000000001</v>
      </c>
      <c r="I32" s="10">
        <f>SUMIF(DataQ!$B:$B,DataA!$A32,DataQ!N:N)</f>
        <v>-19143</v>
      </c>
      <c r="J32" s="10">
        <f>SUMIF(DataQ!$B:$B,DataA!$A32,DataQ!O:O)</f>
        <v>-184.52925999999997</v>
      </c>
      <c r="K32" s="10">
        <f>SUMIF(DataQ!$B:$B,DataA!$A32,DataQ!P:P)</f>
        <v>-19167.249</v>
      </c>
      <c r="L32" s="10">
        <f>SUMIF(DataQ!$B:$B,DataA!$A32,DataQ!Q:Q)</f>
        <v>-59.551000000000009</v>
      </c>
      <c r="M32" s="10">
        <f>SUMIF(DataQ!$B:$B,DataA!$A32,DataQ!R:R)</f>
        <v>-47.819000000000003</v>
      </c>
      <c r="N32" s="10">
        <f>SUMIF(DataQ!$B:$B,DataA!$A32,DataQ!S:S)</f>
        <v>-32.636996000000003</v>
      </c>
      <c r="O32" s="10">
        <f>SUMIF(DataQ!$B:$B,DataA!$A32,DataQ!T:T)</f>
        <v>1758</v>
      </c>
      <c r="P32" s="10">
        <f>SUMIF(DataQ!$E:$E,DataA!$A32,DataQ!U:U)</f>
        <v>420757</v>
      </c>
      <c r="Q32" s="10">
        <f>SUMIF(DataQ!$E:$E,DataA!$A32,DataQ!V:V)</f>
        <v>7416.5810000000001</v>
      </c>
      <c r="R32" s="10">
        <f>SUMIF(DataQ!$E:$E,DataA!$A32,DataQ!W:W)</f>
        <v>542355</v>
      </c>
      <c r="S32" s="10">
        <f>SUMIF(DataQ!$E:$E,DataA!$A32,DataQ!X:X)</f>
        <v>1128.9860000000001</v>
      </c>
      <c r="T32" s="10">
        <f>SUMIF(DataQ!$E:$E,DataA!$A32,DataQ!Y:Y)</f>
        <v>1047.212</v>
      </c>
      <c r="U32" s="10">
        <f>SUMIF(DataQ!$E:$E,DataA!$A32,DataQ!Z:Z)</f>
        <v>1384.0619999999999</v>
      </c>
      <c r="V32" s="10">
        <f>SUMIF(DataQ!$E:$E,DataA!$A32,DataQ!AA:AA)</f>
        <v>950251</v>
      </c>
      <c r="W32" s="10">
        <f>SUMIF(DataQ!$B:$B,DataA!$A32,DataQ!AB:AB)</f>
        <v>953405</v>
      </c>
      <c r="X32" s="10">
        <f>SUMIF(DataQ!$B:$B,DataA!$A32,DataQ!AC:AC)</f>
        <v>8577.5499999999993</v>
      </c>
      <c r="Y32" s="10">
        <f>SUMIF(DataQ!$B:$B,DataA!$A32,DataQ!AD:AD)</f>
        <v>543805</v>
      </c>
      <c r="Z32" s="10">
        <f>SUMIF(DataQ!$B:$B,DataA!$A32,DataQ!AE:AE)</f>
        <v>1969.864</v>
      </c>
      <c r="AA32" s="10">
        <f>SUMIF(DataQ!$B:$B,DataA!$A32,DataQ!AF:AF)</f>
        <v>1290.1109999999999</v>
      </c>
      <c r="AB32" s="10">
        <f>SUMIF(DataQ!$B:$B,DataA!$A32,DataQ!AG:AG)</f>
        <v>1094.8530000000001</v>
      </c>
      <c r="AC32" s="10">
        <f>SUMIF(DataQ!$B:$B,DataA!$A32,DataQ!AH:AH)</f>
        <v>906926</v>
      </c>
    </row>
    <row r="33" spans="1:29" x14ac:dyDescent="0.25">
      <c r="A33">
        <v>1998</v>
      </c>
      <c r="B33" s="10">
        <f>SUMIF(DataQ!$B:$B,DataA!$A33,DataQ!G:G)</f>
        <v>1670654</v>
      </c>
      <c r="C33" s="10">
        <f>SUMIF(DataQ!$B:$B,DataA!$A33,DataQ!H:H)</f>
        <v>12924.875</v>
      </c>
      <c r="D33" s="10">
        <f>SUMIF(DataQ!$B:$B,DataA!$A33,DataQ!I:I)</f>
        <v>471168.6</v>
      </c>
      <c r="E33" s="10">
        <f>SUMIF(DataQ!$B:$B,DataA!$A33,DataQ!J:J)</f>
        <v>2687.8599999999997</v>
      </c>
      <c r="F33" s="10">
        <f>SUMIF(DataQ!$B:$B,DataA!$A33,DataQ!K:K)</f>
        <v>1807.6390000000001</v>
      </c>
      <c r="G33" s="10">
        <f>SUMIF(DataQ!$B:$B,DataA!$A33,DataQ!L:L)</f>
        <v>1672.827</v>
      </c>
      <c r="H33" s="10">
        <f>SUMIF(DataQ!$B:$B,DataA!$A33,DataQ!M:M)</f>
        <v>1390098.3</v>
      </c>
      <c r="I33" s="10">
        <f>SUMIF(DataQ!$B:$B,DataA!$A33,DataQ!N:N)</f>
        <v>-3632.0010000000002</v>
      </c>
      <c r="J33" s="10">
        <f>SUMIF(DataQ!$B:$B,DataA!$A33,DataQ!O:O)</f>
        <v>-86.677999999999997</v>
      </c>
      <c r="K33" s="10">
        <f>SUMIF(DataQ!$B:$B,DataA!$A33,DataQ!P:P)</f>
        <v>-53901</v>
      </c>
      <c r="L33" s="10">
        <f>SUMIF(DataQ!$B:$B,DataA!$A33,DataQ!Q:Q)</f>
        <v>-53.582999999999998</v>
      </c>
      <c r="M33" s="10">
        <f>SUMIF(DataQ!$B:$B,DataA!$A33,DataQ!R:R)</f>
        <v>-32.131</v>
      </c>
      <c r="N33" s="10">
        <f>SUMIF(DataQ!$B:$B,DataA!$A33,DataQ!S:S)</f>
        <v>-34.076999000000001</v>
      </c>
      <c r="O33" s="10">
        <f>SUMIF(DataQ!$B:$B,DataA!$A33,DataQ!T:T)</f>
        <v>2769</v>
      </c>
      <c r="P33" s="10">
        <f>SUMIF(DataQ!$E:$E,DataA!$A33,DataQ!U:U)</f>
        <v>419066</v>
      </c>
      <c r="Q33" s="10">
        <f>SUMIF(DataQ!$E:$E,DataA!$A33,DataQ!V:V)</f>
        <v>7422.5780000000004</v>
      </c>
      <c r="R33" s="10">
        <f>SUMIF(DataQ!$E:$E,DataA!$A33,DataQ!W:W)</f>
        <v>590198</v>
      </c>
      <c r="S33" s="10">
        <f>SUMIF(DataQ!$E:$E,DataA!$A33,DataQ!X:X)</f>
        <v>1160.441</v>
      </c>
      <c r="T33" s="10">
        <f>SUMIF(DataQ!$E:$E,DataA!$A33,DataQ!Y:Y)</f>
        <v>1100.1320000000001</v>
      </c>
      <c r="U33" s="10">
        <f>SUMIF(DataQ!$E:$E,DataA!$A33,DataQ!Z:Z)</f>
        <v>1457.787</v>
      </c>
      <c r="V33" s="10">
        <f>SUMIF(DataQ!$E:$E,DataA!$A33,DataQ!AA:AA)</f>
        <v>961277</v>
      </c>
      <c r="W33" s="10">
        <f>SUMIF(DataQ!$B:$B,DataA!$A33,DataQ!AB:AB)</f>
        <v>998501</v>
      </c>
      <c r="X33" s="10">
        <f>SUMIF(DataQ!$B:$B,DataA!$A33,DataQ!AC:AC)</f>
        <v>9062.8250000000007</v>
      </c>
      <c r="Y33" s="10">
        <f>SUMIF(DataQ!$B:$B,DataA!$A33,DataQ!AD:AD)</f>
        <v>536491.89999999991</v>
      </c>
      <c r="Z33" s="10">
        <f>SUMIF(DataQ!$B:$B,DataA!$A33,DataQ!AE:AE)</f>
        <v>2020.6820000000002</v>
      </c>
      <c r="AA33" s="10">
        <f>SUMIF(DataQ!$B:$B,DataA!$A33,DataQ!AF:AF)</f>
        <v>1346.951</v>
      </c>
      <c r="AB33" s="10">
        <f>SUMIF(DataQ!$B:$B,DataA!$A33,DataQ!AG:AG)</f>
        <v>1139.1379999999999</v>
      </c>
      <c r="AC33" s="10">
        <f>SUMIF(DataQ!$B:$B,DataA!$A33,DataQ!AH:AH)</f>
        <v>940548</v>
      </c>
    </row>
    <row r="34" spans="1:29" x14ac:dyDescent="0.25">
      <c r="A34">
        <v>1999</v>
      </c>
      <c r="B34" s="10">
        <f>SUMIF(DataQ!$B:$B,DataA!$A34,DataQ!G:G)</f>
        <v>1721748</v>
      </c>
      <c r="C34" s="10">
        <f>SUMIF(DataQ!$B:$B,DataA!$A34,DataQ!H:H)</f>
        <v>13543.775000000001</v>
      </c>
      <c r="D34" s="10">
        <f>SUMIF(DataQ!$B:$B,DataA!$A34,DataQ!I:I)</f>
        <v>470010.4</v>
      </c>
      <c r="E34" s="10">
        <f>SUMIF(DataQ!$B:$B,DataA!$A34,DataQ!J:J)</f>
        <v>2741.34</v>
      </c>
      <c r="F34" s="10">
        <f>SUMIF(DataQ!$B:$B,DataA!$A34,DataQ!K:K)</f>
        <v>1866.5810000000001</v>
      </c>
      <c r="G34" s="10">
        <f>SUMIF(DataQ!$B:$B,DataA!$A34,DataQ!L:L)</f>
        <v>1700.0740000000001</v>
      </c>
      <c r="H34" s="10">
        <f>SUMIF(DataQ!$B:$B,DataA!$A34,DataQ!M:M)</f>
        <v>1461563.3</v>
      </c>
      <c r="I34" s="10">
        <f>SUMIF(DataQ!$B:$B,DataA!$A34,DataQ!N:N)</f>
        <v>7607</v>
      </c>
      <c r="J34" s="10">
        <f>SUMIF(DataQ!$B:$B,DataA!$A34,DataQ!O:O)</f>
        <v>-44.702248999999995</v>
      </c>
      <c r="K34" s="10">
        <f>SUMIF(DataQ!$B:$B,DataA!$A34,DataQ!P:P)</f>
        <v>-35637.5</v>
      </c>
      <c r="L34" s="10">
        <f>SUMIF(DataQ!$B:$B,DataA!$A34,DataQ!Q:Q)</f>
        <v>-38.771000000000001</v>
      </c>
      <c r="M34" s="10">
        <f>SUMIF(DataQ!$B:$B,DataA!$A34,DataQ!R:R)</f>
        <v>-21.32</v>
      </c>
      <c r="N34" s="10">
        <f>SUMIF(DataQ!$B:$B,DataA!$A34,DataQ!S:S)</f>
        <v>-20.898</v>
      </c>
      <c r="O34" s="10">
        <f>SUMIF(DataQ!$B:$B,DataA!$A34,DataQ!T:T)</f>
        <v>17382</v>
      </c>
      <c r="P34" s="10">
        <f>SUMIF(DataQ!$E:$E,DataA!$A34,DataQ!U:U)</f>
        <v>421574</v>
      </c>
      <c r="Q34" s="10">
        <f>SUMIF(DataQ!$E:$E,DataA!$A34,DataQ!V:V)</f>
        <v>7365.0609999999997</v>
      </c>
      <c r="R34" s="10">
        <f>SUMIF(DataQ!$E:$E,DataA!$A34,DataQ!W:W)</f>
        <v>642406</v>
      </c>
      <c r="S34" s="10">
        <f>SUMIF(DataQ!$E:$E,DataA!$A34,DataQ!X:X)</f>
        <v>1187.6510000000001</v>
      </c>
      <c r="T34" s="10">
        <f>SUMIF(DataQ!$E:$E,DataA!$A34,DataQ!Y:Y)</f>
        <v>1094.1479999999999</v>
      </c>
      <c r="U34" s="10">
        <f>SUMIF(DataQ!$E:$E,DataA!$A34,DataQ!Z:Z)</f>
        <v>1438.827</v>
      </c>
      <c r="V34" s="10">
        <f>SUMIF(DataQ!$E:$E,DataA!$A34,DataQ!AA:AA)</f>
        <v>937355</v>
      </c>
      <c r="W34" s="10">
        <f>SUMIF(DataQ!$B:$B,DataA!$A34,DataQ!AB:AB)</f>
        <v>1043248</v>
      </c>
      <c r="X34" s="10">
        <f>SUMIF(DataQ!$B:$B,DataA!$A34,DataQ!AC:AC)</f>
        <v>9631.1749999999993</v>
      </c>
      <c r="Y34" s="10">
        <f>SUMIF(DataQ!$B:$B,DataA!$A34,DataQ!AD:AD)</f>
        <v>528631.5</v>
      </c>
      <c r="Z34" s="10">
        <f>SUMIF(DataQ!$B:$B,DataA!$A34,DataQ!AE:AE)</f>
        <v>2072.8389999999999</v>
      </c>
      <c r="AA34" s="10">
        <f>SUMIF(DataQ!$B:$B,DataA!$A34,DataQ!AF:AF)</f>
        <v>1394.0540000000001</v>
      </c>
      <c r="AB34" s="10">
        <f>SUMIF(DataQ!$B:$B,DataA!$A34,DataQ!AG:AG)</f>
        <v>1174.7950000000001</v>
      </c>
      <c r="AC34" s="10">
        <f>SUMIF(DataQ!$B:$B,DataA!$A34,DataQ!AH:AH)</f>
        <v>1007927</v>
      </c>
    </row>
    <row r="35" spans="1:29" x14ac:dyDescent="0.25">
      <c r="A35">
        <v>2000</v>
      </c>
      <c r="B35" s="10">
        <f>SUMIF(DataQ!$B:$B,DataA!$A35,DataQ!G:G)</f>
        <v>1796500</v>
      </c>
      <c r="C35" s="10">
        <f>SUMIF(DataQ!$B:$B,DataA!$A35,DataQ!H:H)</f>
        <v>14096.025000000001</v>
      </c>
      <c r="D35" s="10">
        <f>SUMIF(DataQ!$B:$B,DataA!$A35,DataQ!I:I)</f>
        <v>482823.30000000005</v>
      </c>
      <c r="E35" s="10">
        <f>SUMIF(DataQ!$B:$B,DataA!$A35,DataQ!J:J)</f>
        <v>2826.49</v>
      </c>
      <c r="F35" s="10">
        <f>SUMIF(DataQ!$B:$B,DataA!$A35,DataQ!K:K)</f>
        <v>1948.0819999999999</v>
      </c>
      <c r="G35" s="10">
        <f>SUMIF(DataQ!$B:$B,DataA!$A35,DataQ!L:L)</f>
        <v>1771.5710000000001</v>
      </c>
      <c r="H35" s="10">
        <f>SUMIF(DataQ!$B:$B,DataA!$A35,DataQ!M:M)</f>
        <v>1536666.3</v>
      </c>
      <c r="I35" s="10">
        <f>SUMIF(DataQ!$B:$B,DataA!$A35,DataQ!N:N)</f>
        <v>16358</v>
      </c>
      <c r="J35" s="10">
        <f>SUMIF(DataQ!$B:$B,DataA!$A35,DataQ!O:O)</f>
        <v>39.950749999999999</v>
      </c>
      <c r="K35" s="10">
        <f>SUMIF(DataQ!$B:$B,DataA!$A35,DataQ!P:P)</f>
        <v>-38988.25</v>
      </c>
      <c r="L35" s="10">
        <f>SUMIF(DataQ!$B:$B,DataA!$A35,DataQ!Q:Q)</f>
        <v>-36.509</v>
      </c>
      <c r="M35" s="10">
        <f>SUMIF(DataQ!$B:$B,DataA!$A35,DataQ!R:R)</f>
        <v>-19.365000000000002</v>
      </c>
      <c r="N35" s="10">
        <f>SUMIF(DataQ!$B:$B,DataA!$A35,DataQ!S:S)</f>
        <v>-30.123999999999999</v>
      </c>
      <c r="O35" s="10">
        <f>SUMIF(DataQ!$B:$B,DataA!$A35,DataQ!T:T)</f>
        <v>33367</v>
      </c>
      <c r="P35" s="10">
        <f>SUMIF(DataQ!$E:$E,DataA!$A35,DataQ!U:U)</f>
        <v>414826</v>
      </c>
      <c r="Q35" s="10">
        <f>SUMIF(DataQ!$E:$E,DataA!$A35,DataQ!V:V)</f>
        <v>7427.0879999999997</v>
      </c>
      <c r="R35" s="10">
        <f>SUMIF(DataQ!$E:$E,DataA!$A35,DataQ!W:W)</f>
        <v>699794</v>
      </c>
      <c r="S35" s="10">
        <f>SUMIF(DataQ!$E:$E,DataA!$A35,DataQ!X:X)</f>
        <v>1197.2860000000001</v>
      </c>
      <c r="T35" s="10">
        <f>SUMIF(DataQ!$E:$E,DataA!$A35,DataQ!Y:Y)</f>
        <v>1128.596</v>
      </c>
      <c r="U35" s="10">
        <f>SUMIF(DataQ!$E:$E,DataA!$A35,DataQ!Z:Z)</f>
        <v>1470.633</v>
      </c>
      <c r="V35" s="10">
        <f>SUMIF(DataQ!$E:$E,DataA!$A35,DataQ!AA:AA)</f>
        <v>941783</v>
      </c>
      <c r="W35" s="10">
        <f>SUMIF(DataQ!$B:$B,DataA!$A35,DataQ!AB:AB)</f>
        <v>1100752</v>
      </c>
      <c r="X35" s="10">
        <f>SUMIF(DataQ!$B:$B,DataA!$A35,DataQ!AC:AC)</f>
        <v>10250.950000000001</v>
      </c>
      <c r="Y35" s="10">
        <f>SUMIF(DataQ!$B:$B,DataA!$A35,DataQ!AD:AD)</f>
        <v>535693.19999999995</v>
      </c>
      <c r="Z35" s="10">
        <f>SUMIF(DataQ!$B:$B,DataA!$A35,DataQ!AE:AE)</f>
        <v>2129.884</v>
      </c>
      <c r="AA35" s="10">
        <f>SUMIF(DataQ!$B:$B,DataA!$A35,DataQ!AF:AF)</f>
        <v>1475.47</v>
      </c>
      <c r="AB35" s="10">
        <f>SUMIF(DataQ!$B:$B,DataA!$A35,DataQ!AG:AG)</f>
        <v>1245.6969999999999</v>
      </c>
      <c r="AC35" s="10">
        <f>SUMIF(DataQ!$B:$B,DataA!$A35,DataQ!AH:AH)</f>
        <v>1106071</v>
      </c>
    </row>
    <row r="36" spans="1:29" x14ac:dyDescent="0.25">
      <c r="A36">
        <v>2001</v>
      </c>
      <c r="B36" s="10">
        <f>SUMIF(DataQ!$B:$B,DataA!$A36,DataQ!G:G)</f>
        <v>1842720</v>
      </c>
      <c r="C36" s="10">
        <f>SUMIF(DataQ!$B:$B,DataA!$A36,DataQ!H:H)</f>
        <v>14230.725</v>
      </c>
      <c r="D36" s="10">
        <f>SUMIF(DataQ!$B:$B,DataA!$A36,DataQ!I:I)</f>
        <v>484719.39999999997</v>
      </c>
      <c r="E36" s="10">
        <f>SUMIF(DataQ!$B:$B,DataA!$A36,DataQ!J:J)</f>
        <v>2876.3599999999997</v>
      </c>
      <c r="F36" s="10">
        <f>SUMIF(DataQ!$B:$B,DataA!$A36,DataQ!K:K)</f>
        <v>1983.982</v>
      </c>
      <c r="G36" s="10">
        <f>SUMIF(DataQ!$B:$B,DataA!$A36,DataQ!L:L)</f>
        <v>1804.43</v>
      </c>
      <c r="H36" s="10">
        <f>SUMIF(DataQ!$B:$B,DataA!$A36,DataQ!M:M)</f>
        <v>1565480.3</v>
      </c>
      <c r="I36" s="10">
        <f>SUMIF(DataQ!$B:$B,DataA!$A36,DataQ!N:N)</f>
        <v>2985</v>
      </c>
      <c r="J36" s="10">
        <f>SUMIF(DataQ!$B:$B,DataA!$A36,DataQ!O:O)</f>
        <v>-194.45724999999999</v>
      </c>
      <c r="K36" s="10">
        <f>SUMIF(DataQ!$B:$B,DataA!$A36,DataQ!P:P)</f>
        <v>-32964.998999999996</v>
      </c>
      <c r="L36" s="10">
        <f>SUMIF(DataQ!$B:$B,DataA!$A36,DataQ!Q:Q)</f>
        <v>-68.603000000000009</v>
      </c>
      <c r="M36" s="10">
        <f>SUMIF(DataQ!$B:$B,DataA!$A36,DataQ!R:R)</f>
        <v>-21.650999999999996</v>
      </c>
      <c r="N36" s="10">
        <f>SUMIF(DataQ!$B:$B,DataA!$A36,DataQ!S:S)</f>
        <v>-41.625</v>
      </c>
      <c r="O36" s="10">
        <f>SUMIF(DataQ!$B:$B,DataA!$A36,DataQ!T:T)</f>
        <v>11135</v>
      </c>
      <c r="P36" s="10">
        <f>SUMIF(DataQ!$E:$E,DataA!$A36,DataQ!U:U)</f>
        <v>400663</v>
      </c>
      <c r="Q36" s="10">
        <f>SUMIF(DataQ!$E:$E,DataA!$A36,DataQ!V:V)</f>
        <v>7946.78</v>
      </c>
      <c r="R36" s="10">
        <f>SUMIF(DataQ!$E:$E,DataA!$A36,DataQ!W:W)</f>
        <v>722779</v>
      </c>
      <c r="S36" s="10">
        <f>SUMIF(DataQ!$E:$E,DataA!$A36,DataQ!X:X)</f>
        <v>1221.5889999999999</v>
      </c>
      <c r="T36" s="10">
        <f>SUMIF(DataQ!$E:$E,DataA!$A36,DataQ!Y:Y)</f>
        <v>1174.0730000000001</v>
      </c>
      <c r="U36" s="10">
        <f>SUMIF(DataQ!$E:$E,DataA!$A36,DataQ!Z:Z)</f>
        <v>1530.4860000000001</v>
      </c>
      <c r="V36" s="10">
        <f>SUMIF(DataQ!$E:$E,DataA!$A36,DataQ!AA:AA)</f>
        <v>982166</v>
      </c>
      <c r="W36" s="10">
        <f>SUMIF(DataQ!$B:$B,DataA!$A36,DataQ!AB:AB)</f>
        <v>1146135</v>
      </c>
      <c r="X36" s="10">
        <f>SUMIF(DataQ!$B:$B,DataA!$A36,DataQ!AC:AC)</f>
        <v>10581.924999999999</v>
      </c>
      <c r="Y36" s="10">
        <f>SUMIF(DataQ!$B:$B,DataA!$A36,DataQ!AD:AD)</f>
        <v>531940.1</v>
      </c>
      <c r="Z36" s="10">
        <f>SUMIF(DataQ!$B:$B,DataA!$A36,DataQ!AE:AE)</f>
        <v>2198.462</v>
      </c>
      <c r="AA36" s="10">
        <f>SUMIF(DataQ!$B:$B,DataA!$A36,DataQ!AF:AF)</f>
        <v>1531.2420000000002</v>
      </c>
      <c r="AB36" s="10">
        <f>SUMIF(DataQ!$B:$B,DataA!$A36,DataQ!AG:AG)</f>
        <v>1307.681</v>
      </c>
      <c r="AC36" s="10">
        <f>SUMIF(DataQ!$B:$B,DataA!$A36,DataQ!AH:AH)</f>
        <v>1144543</v>
      </c>
    </row>
    <row r="37" spans="1:29" x14ac:dyDescent="0.25">
      <c r="A37">
        <v>2002</v>
      </c>
      <c r="B37" s="10">
        <f>SUMIF(DataQ!$B:$B,DataA!$A37,DataQ!G:G)</f>
        <v>1875809</v>
      </c>
      <c r="C37" s="10">
        <f>SUMIF(DataQ!$B:$B,DataA!$A37,DataQ!H:H)</f>
        <v>14472.699999999999</v>
      </c>
      <c r="D37" s="10">
        <f>SUMIF(DataQ!$B:$B,DataA!$A37,DataQ!I:I)</f>
        <v>484747.80000000005</v>
      </c>
      <c r="E37" s="10">
        <f>SUMIF(DataQ!$B:$B,DataA!$A37,DataQ!J:J)</f>
        <v>2870.5699999999997</v>
      </c>
      <c r="F37" s="10">
        <f>SUMIF(DataQ!$B:$B,DataA!$A37,DataQ!K:K)</f>
        <v>2006.2550000000001</v>
      </c>
      <c r="G37" s="10">
        <f>SUMIF(DataQ!$B:$B,DataA!$A37,DataQ!L:L)</f>
        <v>1808.864</v>
      </c>
      <c r="H37" s="10">
        <f>SUMIF(DataQ!$B:$B,DataA!$A37,DataQ!M:M)</f>
        <v>1612433.1</v>
      </c>
      <c r="I37" s="10">
        <f>SUMIF(DataQ!$B:$B,DataA!$A37,DataQ!N:N)</f>
        <v>-26446.999</v>
      </c>
      <c r="J37" s="10">
        <f>SUMIF(DataQ!$B:$B,DataA!$A37,DataQ!O:O)</f>
        <v>-570.78070000000002</v>
      </c>
      <c r="K37" s="10">
        <f>SUMIF(DataQ!$B:$B,DataA!$A37,DataQ!P:P)</f>
        <v>-38475.75</v>
      </c>
      <c r="L37" s="10">
        <f>SUMIF(DataQ!$B:$B,DataA!$A37,DataQ!Q:Q)</f>
        <v>-90.849000000000004</v>
      </c>
      <c r="M37" s="10">
        <f>SUMIF(DataQ!$B:$B,DataA!$A37,DataQ!R:R)</f>
        <v>-50.037999999999997</v>
      </c>
      <c r="N37" s="10">
        <f>SUMIF(DataQ!$B:$B,DataA!$A37,DataQ!S:S)</f>
        <v>-39.036003000000008</v>
      </c>
      <c r="O37" s="10">
        <f>SUMIF(DataQ!$B:$B,DataA!$A37,DataQ!T:T)</f>
        <v>4202</v>
      </c>
      <c r="P37" s="10">
        <f>SUMIF(DataQ!$E:$E,DataA!$A37,DataQ!U:U)</f>
        <v>422180</v>
      </c>
      <c r="Q37" s="10">
        <f>SUMIF(DataQ!$E:$E,DataA!$A37,DataQ!V:V)</f>
        <v>8827.26</v>
      </c>
      <c r="R37" s="10">
        <f>SUMIF(DataQ!$E:$E,DataA!$A37,DataQ!W:W)</f>
        <v>751017</v>
      </c>
      <c r="S37" s="10">
        <f>SUMIF(DataQ!$E:$E,DataA!$A37,DataQ!X:X)</f>
        <v>1285.606</v>
      </c>
      <c r="T37" s="10">
        <f>SUMIF(DataQ!$E:$E,DataA!$A37,DataQ!Y:Y)</f>
        <v>1276.144</v>
      </c>
      <c r="U37" s="10">
        <f>SUMIF(DataQ!$E:$E,DataA!$A37,DataQ!Z:Z)</f>
        <v>1570.204</v>
      </c>
      <c r="V37" s="10">
        <f>SUMIF(DataQ!$E:$E,DataA!$A37,DataQ!AA:AA)</f>
        <v>1003151</v>
      </c>
      <c r="W37" s="10">
        <f>SUMIF(DataQ!$B:$B,DataA!$A37,DataQ!AB:AB)</f>
        <v>1191439</v>
      </c>
      <c r="X37" s="10">
        <f>SUMIF(DataQ!$B:$B,DataA!$A37,DataQ!AC:AC)</f>
        <v>10929.1</v>
      </c>
      <c r="Y37" s="10">
        <f>SUMIF(DataQ!$B:$B,DataA!$A37,DataQ!AD:AD)</f>
        <v>524581.80000000005</v>
      </c>
      <c r="Z37" s="10">
        <f>SUMIF(DataQ!$B:$B,DataA!$A37,DataQ!AE:AE)</f>
        <v>2227.0450000000001</v>
      </c>
      <c r="AA37" s="10">
        <f>SUMIF(DataQ!$B:$B,DataA!$A37,DataQ!AF:AF)</f>
        <v>1580.395</v>
      </c>
      <c r="AB37" s="10">
        <f>SUMIF(DataQ!$B:$B,DataA!$A37,DataQ!AG:AG)</f>
        <v>1354.231</v>
      </c>
      <c r="AC37" s="10">
        <f>SUMIF(DataQ!$B:$B,DataA!$A37,DataQ!AH:AH)</f>
        <v>1193694</v>
      </c>
    </row>
    <row r="38" spans="1:29" x14ac:dyDescent="0.25">
      <c r="A38">
        <v>2003</v>
      </c>
      <c r="B38" s="10">
        <f>SUMIF(DataQ!$B:$B,DataA!$A38,DataQ!G:G)</f>
        <v>1934941</v>
      </c>
      <c r="C38" s="10">
        <f>SUMIF(DataQ!$B:$B,DataA!$A38,DataQ!H:H)</f>
        <v>14877.325000000001</v>
      </c>
      <c r="D38" s="10">
        <f>SUMIF(DataQ!$B:$B,DataA!$A38,DataQ!I:I)</f>
        <v>492378.8</v>
      </c>
      <c r="E38" s="10">
        <f>SUMIF(DataQ!$B:$B,DataA!$A38,DataQ!J:J)</f>
        <v>2855.04</v>
      </c>
      <c r="F38" s="10">
        <f>SUMIF(DataQ!$B:$B,DataA!$A38,DataQ!K:K)</f>
        <v>2026.1320000000001</v>
      </c>
      <c r="G38" s="10">
        <f>SUMIF(DataQ!$B:$B,DataA!$A38,DataQ!L:L)</f>
        <v>1811.5510000000002</v>
      </c>
      <c r="H38" s="10">
        <f>SUMIF(DataQ!$B:$B,DataA!$A38,DataQ!M:M)</f>
        <v>1641559.8</v>
      </c>
      <c r="I38" s="10">
        <f>SUMIF(DataQ!$B:$B,DataA!$A38,DataQ!N:N)</f>
        <v>-46798</v>
      </c>
      <c r="J38" s="10">
        <f>SUMIF(DataQ!$B:$B,DataA!$A38,DataQ!O:O)</f>
        <v>-729.96070000000009</v>
      </c>
      <c r="K38" s="10">
        <f>SUMIF(DataQ!$B:$B,DataA!$A38,DataQ!P:P)</f>
        <v>-38948.501000000004</v>
      </c>
      <c r="L38" s="10">
        <f>SUMIF(DataQ!$B:$B,DataA!$A38,DataQ!Q:Q)</f>
        <v>-85.813000000000002</v>
      </c>
      <c r="M38" s="10">
        <f>SUMIF(DataQ!$B:$B,DataA!$A38,DataQ!R:R)</f>
        <v>-66.119</v>
      </c>
      <c r="N38" s="10">
        <f>SUMIF(DataQ!$B:$B,DataA!$A38,DataQ!S:S)</f>
        <v>-45.146990000000002</v>
      </c>
      <c r="O38" s="10">
        <f>SUMIF(DataQ!$B:$B,DataA!$A38,DataQ!T:T)</f>
        <v>6262</v>
      </c>
      <c r="P38" s="10">
        <f>SUMIF(DataQ!$E:$E,DataA!$A38,DataQ!U:U)</f>
        <v>462610</v>
      </c>
      <c r="Q38" s="10">
        <f>SUMIF(DataQ!$E:$E,DataA!$A38,DataQ!V:V)</f>
        <v>9416.8340000000007</v>
      </c>
      <c r="R38" s="10">
        <f>SUMIF(DataQ!$E:$E,DataA!$A38,DataQ!W:W)</f>
        <v>790564</v>
      </c>
      <c r="S38" s="10">
        <f>SUMIF(DataQ!$E:$E,DataA!$A38,DataQ!X:X)</f>
        <v>1364.643</v>
      </c>
      <c r="T38" s="10">
        <f>SUMIF(DataQ!$E:$E,DataA!$A38,DataQ!Y:Y)</f>
        <v>1380.8119999999999</v>
      </c>
      <c r="U38" s="10">
        <f>SUMIF(DataQ!$E:$E,DataA!$A38,DataQ!Z:Z)</f>
        <v>1590.1479999999999</v>
      </c>
      <c r="V38" s="10">
        <f>SUMIF(DataQ!$E:$E,DataA!$A38,DataQ!AA:AA)</f>
        <v>1010686</v>
      </c>
      <c r="W38" s="10">
        <f>SUMIF(DataQ!$B:$B,DataA!$A38,DataQ!AB:AB)</f>
        <v>1258334</v>
      </c>
      <c r="X38" s="10">
        <f>SUMIF(DataQ!$B:$B,DataA!$A38,DataQ!AC:AC)</f>
        <v>11456.45</v>
      </c>
      <c r="Y38" s="10">
        <f>SUMIF(DataQ!$B:$B,DataA!$A38,DataQ!AD:AD)</f>
        <v>524168.8</v>
      </c>
      <c r="Z38" s="10">
        <f>SUMIF(DataQ!$B:$B,DataA!$A38,DataQ!AE:AE)</f>
        <v>2244.252</v>
      </c>
      <c r="AA38" s="10">
        <f>SUMIF(DataQ!$B:$B,DataA!$A38,DataQ!AF:AF)</f>
        <v>1624.7779999999998</v>
      </c>
      <c r="AB38" s="10">
        <f>SUMIF(DataQ!$B:$B,DataA!$A38,DataQ!AG:AG)</f>
        <v>1399.201</v>
      </c>
      <c r="AC38" s="10">
        <f>SUMIF(DataQ!$B:$B,DataA!$A38,DataQ!AH:AH)</f>
        <v>1254747</v>
      </c>
    </row>
    <row r="39" spans="1:29" x14ac:dyDescent="0.25">
      <c r="A39">
        <v>2004</v>
      </c>
      <c r="B39" s="10">
        <f>SUMIF(DataQ!$B:$B,DataA!$A39,DataQ!G:G)</f>
        <v>1982500</v>
      </c>
      <c r="C39" s="10">
        <f>SUMIF(DataQ!$B:$B,DataA!$A39,DataQ!H:H)</f>
        <v>15449.775</v>
      </c>
      <c r="D39" s="10">
        <f>SUMIF(DataQ!$B:$B,DataA!$A39,DataQ!I:I)</f>
        <v>503011.9</v>
      </c>
      <c r="E39" s="10">
        <f>SUMIF(DataQ!$B:$B,DataA!$A39,DataQ!J:J)</f>
        <v>2874.97</v>
      </c>
      <c r="F39" s="10">
        <f>SUMIF(DataQ!$B:$B,DataA!$A39,DataQ!K:K)</f>
        <v>2077.2719999999999</v>
      </c>
      <c r="G39" s="10">
        <f>SUMIF(DataQ!$B:$B,DataA!$A39,DataQ!L:L)</f>
        <v>1834.2049999999999</v>
      </c>
      <c r="H39" s="10">
        <f>SUMIF(DataQ!$B:$B,DataA!$A39,DataQ!M:M)</f>
        <v>1692322.8</v>
      </c>
      <c r="I39" s="10">
        <f>SUMIF(DataQ!$B:$B,DataA!$A39,DataQ!N:N)</f>
        <v>-49047</v>
      </c>
      <c r="J39" s="10">
        <f>SUMIF(DataQ!$B:$B,DataA!$A39,DataQ!O:O)</f>
        <v>-702.48200000000008</v>
      </c>
      <c r="K39" s="10">
        <f>SUMIF(DataQ!$B:$B,DataA!$A39,DataQ!P:P)</f>
        <v>-28133.25</v>
      </c>
      <c r="L39" s="10">
        <f>SUMIF(DataQ!$B:$B,DataA!$A39,DataQ!Q:Q)</f>
        <v>-78.445999999999998</v>
      </c>
      <c r="M39" s="10">
        <f>SUMIF(DataQ!$B:$B,DataA!$A39,DataQ!R:R)</f>
        <v>-60.217999999999996</v>
      </c>
      <c r="N39" s="10">
        <f>SUMIF(DataQ!$B:$B,DataA!$A39,DataQ!S:S)</f>
        <v>-50.438010000000006</v>
      </c>
      <c r="O39" s="10">
        <f>SUMIF(DataQ!$B:$B,DataA!$A39,DataQ!T:T)</f>
        <v>19916</v>
      </c>
      <c r="P39" s="10">
        <f>SUMIF(DataQ!$E:$E,DataA!$A39,DataQ!U:U)</f>
        <v>526430</v>
      </c>
      <c r="Q39" s="10">
        <f>SUMIF(DataQ!$E:$E,DataA!$A39,DataQ!V:V)</f>
        <v>10890.62</v>
      </c>
      <c r="R39" s="10">
        <f>SUMIF(DataQ!$E:$E,DataA!$A39,DataQ!W:W)</f>
        <v>818109</v>
      </c>
      <c r="S39" s="10">
        <f>SUMIF(DataQ!$E:$E,DataA!$A39,DataQ!X:X)</f>
        <v>1431.4739999999999</v>
      </c>
      <c r="T39" s="10">
        <f>SUMIF(DataQ!$E:$E,DataA!$A39,DataQ!Y:Y)</f>
        <v>1462.9</v>
      </c>
      <c r="U39" s="10">
        <f>SUMIF(DataQ!$E:$E,DataA!$A39,DataQ!Z:Z)</f>
        <v>1685.3009999999999</v>
      </c>
      <c r="V39" s="10">
        <f>SUMIF(DataQ!$E:$E,DataA!$A39,DataQ!AA:AA)</f>
        <v>1067711</v>
      </c>
      <c r="W39" s="10">
        <f>SUMIF(DataQ!$B:$B,DataA!$A39,DataQ!AB:AB)</f>
        <v>1322637</v>
      </c>
      <c r="X39" s="10">
        <f>SUMIF(DataQ!$B:$B,DataA!$A39,DataQ!AC:AC)</f>
        <v>12217.174999999999</v>
      </c>
      <c r="Y39" s="10">
        <f>SUMIF(DataQ!$B:$B,DataA!$A39,DataQ!AD:AD)</f>
        <v>529354</v>
      </c>
      <c r="Z39" s="10">
        <f>SUMIF(DataQ!$B:$B,DataA!$A39,DataQ!AE:AE)</f>
        <v>2285.9609999999998</v>
      </c>
      <c r="AA39" s="10">
        <f>SUMIF(DataQ!$B:$B,DataA!$A39,DataQ!AF:AF)</f>
        <v>1692.998</v>
      </c>
      <c r="AB39" s="10">
        <f>SUMIF(DataQ!$B:$B,DataA!$A39,DataQ!AG:AG)</f>
        <v>1454.0160000000001</v>
      </c>
      <c r="AC39" s="10">
        <f>SUMIF(DataQ!$B:$B,DataA!$A39,DataQ!AH:AH)</f>
        <v>1335731</v>
      </c>
    </row>
    <row r="40" spans="1:29" x14ac:dyDescent="0.25">
      <c r="A40">
        <v>2005</v>
      </c>
      <c r="B40" s="10">
        <f>SUMIF(DataQ!$B:$B,DataA!$A40,DataQ!G:G)</f>
        <v>2036675</v>
      </c>
      <c r="C40" s="10">
        <f>SUMIF(DataQ!$B:$B,DataA!$A40,DataQ!H:H)</f>
        <v>15987.95</v>
      </c>
      <c r="D40" s="10">
        <f>SUMIF(DataQ!$B:$B,DataA!$A40,DataQ!I:I)</f>
        <v>512155.5</v>
      </c>
      <c r="E40" s="10">
        <f>SUMIF(DataQ!$B:$B,DataA!$A40,DataQ!J:J)</f>
        <v>2905.42</v>
      </c>
      <c r="F40" s="10">
        <f>SUMIF(DataQ!$B:$B,DataA!$A40,DataQ!K:K)</f>
        <v>2118.498</v>
      </c>
      <c r="G40" s="10">
        <f>SUMIF(DataQ!$B:$B,DataA!$A40,DataQ!L:L)</f>
        <v>1855.1959999999999</v>
      </c>
      <c r="H40" s="10">
        <f>SUMIF(DataQ!$B:$B,DataA!$A40,DataQ!M:M)</f>
        <v>1746654.1</v>
      </c>
      <c r="I40" s="10">
        <f>SUMIF(DataQ!$B:$B,DataA!$A40,DataQ!N:N)</f>
        <v>-48996</v>
      </c>
      <c r="J40" s="10">
        <f>SUMIF(DataQ!$B:$B,DataA!$A40,DataQ!O:O)</f>
        <v>-584.3614</v>
      </c>
      <c r="K40" s="10">
        <f>SUMIF(DataQ!$B:$B,DataA!$A40,DataQ!P:P)</f>
        <v>-23635.25</v>
      </c>
      <c r="L40" s="10">
        <f>SUMIF(DataQ!$B:$B,DataA!$A40,DataQ!Q:Q)</f>
        <v>-78.394999999999996</v>
      </c>
      <c r="M40" s="10">
        <f>SUMIF(DataQ!$B:$B,DataA!$A40,DataQ!R:R)</f>
        <v>-61.765999999999998</v>
      </c>
      <c r="N40" s="10">
        <f>SUMIF(DataQ!$B:$B,DataA!$A40,DataQ!S:S)</f>
        <v>-61.439989999999995</v>
      </c>
      <c r="O40" s="10">
        <f>SUMIF(DataQ!$B:$B,DataA!$A40,DataQ!T:T)</f>
        <v>35015</v>
      </c>
      <c r="P40" s="10">
        <f>SUMIF(DataQ!$E:$E,DataA!$A40,DataQ!U:U)</f>
        <v>573493</v>
      </c>
      <c r="Q40" s="10">
        <f>SUMIF(DataQ!$E:$E,DataA!$A40,DataQ!V:V)</f>
        <v>11586.42</v>
      </c>
      <c r="R40" s="10">
        <f>SUMIF(DataQ!$E:$E,DataA!$A40,DataQ!W:W)</f>
        <v>823499</v>
      </c>
      <c r="S40" s="10">
        <f>SUMIF(DataQ!$E:$E,DataA!$A40,DataQ!X:X)</f>
        <v>1488.3720000000001</v>
      </c>
      <c r="T40" s="10">
        <f>SUMIF(DataQ!$E:$E,DataA!$A40,DataQ!Y:Y)</f>
        <v>1548.2429999999999</v>
      </c>
      <c r="U40" s="10">
        <f>SUMIF(DataQ!$E:$E,DataA!$A40,DataQ!Z:Z)</f>
        <v>1775.239</v>
      </c>
      <c r="V40" s="10">
        <f>SUMIF(DataQ!$E:$E,DataA!$A40,DataQ!AA:AA)</f>
        <v>1106114</v>
      </c>
      <c r="W40" s="10">
        <f>SUMIF(DataQ!$B:$B,DataA!$A40,DataQ!AB:AB)</f>
        <v>1398749</v>
      </c>
      <c r="X40" s="10">
        <f>SUMIF(DataQ!$B:$B,DataA!$A40,DataQ!AC:AC)</f>
        <v>13039.2</v>
      </c>
      <c r="Y40" s="10">
        <f>SUMIF(DataQ!$B:$B,DataA!$A40,DataQ!AD:AD)</f>
        <v>532642.5</v>
      </c>
      <c r="Z40" s="10">
        <f>SUMIF(DataQ!$B:$B,DataA!$A40,DataQ!AE:AE)</f>
        <v>2322.4870000000001</v>
      </c>
      <c r="AA40" s="10">
        <f>SUMIF(DataQ!$B:$B,DataA!$A40,DataQ!AF:AF)</f>
        <v>1760.5309999999999</v>
      </c>
      <c r="AB40" s="10">
        <f>SUMIF(DataQ!$B:$B,DataA!$A40,DataQ!AG:AG)</f>
        <v>1501.26</v>
      </c>
      <c r="AC40" s="10">
        <f>SUMIF(DataQ!$B:$B,DataA!$A40,DataQ!AH:AH)</f>
        <v>1421590</v>
      </c>
    </row>
    <row r="41" spans="1:29" x14ac:dyDescent="0.25">
      <c r="A41">
        <v>2006</v>
      </c>
      <c r="B41" s="10">
        <f>SUMIF(DataQ!$B:$B,DataA!$A41,DataQ!G:G)</f>
        <v>2085162</v>
      </c>
      <c r="C41" s="10">
        <f>SUMIF(DataQ!$B:$B,DataA!$A41,DataQ!H:H)</f>
        <v>16433.150000000001</v>
      </c>
      <c r="D41" s="10">
        <f>SUMIF(DataQ!$B:$B,DataA!$A41,DataQ!I:I)</f>
        <v>519048.4</v>
      </c>
      <c r="E41" s="10">
        <f>SUMIF(DataQ!$B:$B,DataA!$A41,DataQ!J:J)</f>
        <v>3022.66</v>
      </c>
      <c r="F41" s="10">
        <f>SUMIF(DataQ!$B:$B,DataA!$A41,DataQ!K:K)</f>
        <v>2180.5740000000001</v>
      </c>
      <c r="G41" s="10">
        <f>SUMIF(DataQ!$B:$B,DataA!$A41,DataQ!L:L)</f>
        <v>1890.3159999999998</v>
      </c>
      <c r="H41" s="10">
        <f>SUMIF(DataQ!$B:$B,DataA!$A41,DataQ!M:M)</f>
        <v>1792729.8</v>
      </c>
      <c r="I41" s="10">
        <f>SUMIF(DataQ!$B:$B,DataA!$A41,DataQ!N:N)</f>
        <v>-44270</v>
      </c>
      <c r="J41" s="10">
        <f>SUMIF(DataQ!$B:$B,DataA!$A41,DataQ!O:O)</f>
        <v>-476.09579999999994</v>
      </c>
      <c r="K41" s="10">
        <f>SUMIF(DataQ!$B:$B,DataA!$A41,DataQ!P:P)</f>
        <v>-16209</v>
      </c>
      <c r="L41" s="10">
        <f>SUMIF(DataQ!$B:$B,DataA!$A41,DataQ!Q:Q)</f>
        <v>-42.582999999999998</v>
      </c>
      <c r="M41" s="10">
        <f>SUMIF(DataQ!$B:$B,DataA!$A41,DataQ!R:R)</f>
        <v>-49.094000000000001</v>
      </c>
      <c r="N41" s="10">
        <f>SUMIF(DataQ!$B:$B,DataA!$A41,DataQ!S:S)</f>
        <v>-56.24</v>
      </c>
      <c r="O41" s="10">
        <f>SUMIF(DataQ!$B:$B,DataA!$A41,DataQ!T:T)</f>
        <v>41616</v>
      </c>
      <c r="P41" s="10">
        <f>SUMIF(DataQ!$E:$E,DataA!$A41,DataQ!U:U)</f>
        <v>619114</v>
      </c>
      <c r="Q41" s="10">
        <f>SUMIF(DataQ!$E:$E,DataA!$A41,DataQ!V:V)</f>
        <v>11913.59</v>
      </c>
      <c r="R41" s="10">
        <f>SUMIF(DataQ!$E:$E,DataA!$A41,DataQ!W:W)</f>
        <v>818453</v>
      </c>
      <c r="S41" s="10">
        <f>SUMIF(DataQ!$E:$E,DataA!$A41,DataQ!X:X)</f>
        <v>1528.7670000000001</v>
      </c>
      <c r="T41" s="10">
        <f>SUMIF(DataQ!$E:$E,DataA!$A41,DataQ!Y:Y)</f>
        <v>1539.9949999999999</v>
      </c>
      <c r="U41" s="10">
        <f>SUMIF(DataQ!$E:$E,DataA!$A41,DataQ!Z:Z)</f>
        <v>1799.598</v>
      </c>
      <c r="V41" s="10">
        <f>SUMIF(DataQ!$E:$E,DataA!$A41,DataQ!AA:AA)</f>
        <v>1126511</v>
      </c>
      <c r="W41" s="10">
        <f>SUMIF(DataQ!$B:$B,DataA!$A41,DataQ!AB:AB)</f>
        <v>1472038</v>
      </c>
      <c r="X41" s="10">
        <f>SUMIF(DataQ!$B:$B,DataA!$A41,DataQ!AC:AC)</f>
        <v>13815.6</v>
      </c>
      <c r="Y41" s="10">
        <f>SUMIF(DataQ!$B:$B,DataA!$A41,DataQ!AD:AD)</f>
        <v>535175.19999999995</v>
      </c>
      <c r="Z41" s="10">
        <f>SUMIF(DataQ!$B:$B,DataA!$A41,DataQ!AE:AE)</f>
        <v>2426.9679999999998</v>
      </c>
      <c r="AA41" s="10">
        <f>SUMIF(DataQ!$B:$B,DataA!$A41,DataQ!AF:AF)</f>
        <v>1848.1079999999999</v>
      </c>
      <c r="AB41" s="10">
        <f>SUMIF(DataQ!$B:$B,DataA!$A41,DataQ!AG:AG)</f>
        <v>1563.4850000000001</v>
      </c>
      <c r="AC41" s="10">
        <f>SUMIF(DataQ!$B:$B,DataA!$A41,DataQ!AH:AH)</f>
        <v>1496604</v>
      </c>
    </row>
    <row r="42" spans="1:29" x14ac:dyDescent="0.25">
      <c r="A42">
        <v>2007</v>
      </c>
      <c r="B42" s="10">
        <f>SUMIF(DataQ!$B:$B,DataA!$A42,DataQ!G:G)</f>
        <v>2139895</v>
      </c>
      <c r="C42" s="10">
        <f>SUMIF(DataQ!$B:$B,DataA!$A42,DataQ!H:H)</f>
        <v>16762.45</v>
      </c>
      <c r="D42" s="10">
        <f>SUMIF(DataQ!$B:$B,DataA!$A42,DataQ!I:I)</f>
        <v>526714.80000000005</v>
      </c>
      <c r="E42" s="10">
        <f>SUMIF(DataQ!$B:$B,DataA!$A42,DataQ!J:J)</f>
        <v>3113.15</v>
      </c>
      <c r="F42" s="10">
        <f>SUMIF(DataQ!$B:$B,DataA!$A42,DataQ!K:K)</f>
        <v>2234.7579999999998</v>
      </c>
      <c r="G42" s="10">
        <f>SUMIF(DataQ!$B:$B,DataA!$A42,DataQ!L:L)</f>
        <v>1914.4839999999999</v>
      </c>
      <c r="H42" s="10">
        <f>SUMIF(DataQ!$B:$B,DataA!$A42,DataQ!M:M)</f>
        <v>1829479.2</v>
      </c>
      <c r="I42" s="10">
        <f>SUMIF(DataQ!$B:$B,DataA!$A42,DataQ!N:N)</f>
        <v>-42444</v>
      </c>
      <c r="J42" s="10">
        <f>SUMIF(DataQ!$B:$B,DataA!$A42,DataQ!O:O)</f>
        <v>-580.95920000000001</v>
      </c>
      <c r="K42" s="10">
        <f>SUMIF(DataQ!$B:$B,DataA!$A42,DataQ!P:P)</f>
        <v>-15644.75</v>
      </c>
      <c r="L42" s="10">
        <f>SUMIF(DataQ!$B:$B,DataA!$A42,DataQ!Q:Q)</f>
        <v>3.9379999999999997</v>
      </c>
      <c r="M42" s="10">
        <f>SUMIF(DataQ!$B:$B,DataA!$A42,DataQ!R:R)</f>
        <v>-57.896999999999991</v>
      </c>
      <c r="N42" s="10">
        <f>SUMIF(DataQ!$B:$B,DataA!$A42,DataQ!S:S)</f>
        <v>-21.503001000000001</v>
      </c>
      <c r="O42" s="10">
        <f>SUMIF(DataQ!$B:$B,DataA!$A42,DataQ!T:T)</f>
        <v>45897</v>
      </c>
      <c r="P42" s="10">
        <f>SUMIF(DataQ!$E:$E,DataA!$A42,DataQ!U:U)</f>
        <v>666880</v>
      </c>
      <c r="Q42" s="10">
        <f>SUMIF(DataQ!$E:$E,DataA!$A42,DataQ!V:V)</f>
        <v>12530.64</v>
      </c>
      <c r="R42" s="10">
        <f>SUMIF(DataQ!$E:$E,DataA!$A42,DataQ!W:W)</f>
        <v>825082</v>
      </c>
      <c r="S42" s="10">
        <f>SUMIF(DataQ!$E:$E,DataA!$A42,DataQ!X:X)</f>
        <v>1536.96</v>
      </c>
      <c r="T42" s="10">
        <f>SUMIF(DataQ!$E:$E,DataA!$A42,DataQ!Y:Y)</f>
        <v>1601.674</v>
      </c>
      <c r="U42" s="10">
        <f>SUMIF(DataQ!$E:$E,DataA!$A42,DataQ!Z:Z)</f>
        <v>1796.4349999999999</v>
      </c>
      <c r="V42" s="10">
        <f>SUMIF(DataQ!$E:$E,DataA!$A42,DataQ!AA:AA)</f>
        <v>1125273</v>
      </c>
      <c r="W42" s="10">
        <f>SUMIF(DataQ!$B:$B,DataA!$A42,DataQ!AB:AB)</f>
        <v>1544637</v>
      </c>
      <c r="X42" s="10">
        <f>SUMIF(DataQ!$B:$B,DataA!$A42,DataQ!AC:AC)</f>
        <v>14474.25</v>
      </c>
      <c r="Y42" s="10">
        <f>SUMIF(DataQ!$B:$B,DataA!$A42,DataQ!AD:AD)</f>
        <v>539326.9</v>
      </c>
      <c r="Z42" s="10">
        <f>SUMIF(DataQ!$B:$B,DataA!$A42,DataQ!AE:AE)</f>
        <v>2545.5549999999998</v>
      </c>
      <c r="AA42" s="10">
        <f>SUMIF(DataQ!$B:$B,DataA!$A42,DataQ!AF:AF)</f>
        <v>1939.3290000000002</v>
      </c>
      <c r="AB42" s="10">
        <f>SUMIF(DataQ!$B:$B,DataA!$A42,DataQ!AG:AG)</f>
        <v>1622.539</v>
      </c>
      <c r="AC42" s="10">
        <f>SUMIF(DataQ!$B:$B,DataA!$A42,DataQ!AH:AH)</f>
        <v>1577661</v>
      </c>
    </row>
    <row r="43" spans="1:29" x14ac:dyDescent="0.25">
      <c r="A43">
        <v>2008</v>
      </c>
      <c r="B43" s="10">
        <f>SUMIF(DataQ!$B:$B,DataA!$A43,DataQ!G:G)</f>
        <v>2134571</v>
      </c>
      <c r="C43" s="10">
        <f>SUMIF(DataQ!$B:$B,DataA!$A43,DataQ!H:H)</f>
        <v>16781.5</v>
      </c>
      <c r="D43" s="10">
        <f>SUMIF(DataQ!$B:$B,DataA!$A43,DataQ!I:I)</f>
        <v>520184.9</v>
      </c>
      <c r="E43" s="10">
        <f>SUMIF(DataQ!$B:$B,DataA!$A43,DataQ!J:J)</f>
        <v>3132.6600000000003</v>
      </c>
      <c r="F43" s="10">
        <f>SUMIF(DataQ!$B:$B,DataA!$A43,DataQ!K:K)</f>
        <v>2240.62</v>
      </c>
      <c r="G43" s="10">
        <f>SUMIF(DataQ!$B:$B,DataA!$A43,DataQ!L:L)</f>
        <v>1894.1610000000001</v>
      </c>
      <c r="H43" s="10">
        <f>SUMIF(DataQ!$B:$B,DataA!$A43,DataQ!M:M)</f>
        <v>1847689.9000000001</v>
      </c>
      <c r="I43" s="10">
        <f>SUMIF(DataQ!$B:$B,DataA!$A43,DataQ!N:N)</f>
        <v>-88657</v>
      </c>
      <c r="J43" s="10">
        <f>SUMIF(DataQ!$B:$B,DataA!$A43,DataQ!O:O)</f>
        <v>-1040.7397000000001</v>
      </c>
      <c r="K43" s="10">
        <f>SUMIF(DataQ!$B:$B,DataA!$A43,DataQ!P:P)</f>
        <v>-21691.75</v>
      </c>
      <c r="L43" s="10">
        <f>SUMIF(DataQ!$B:$B,DataA!$A43,DataQ!Q:Q)</f>
        <v>-6.8079999999999998</v>
      </c>
      <c r="M43" s="10">
        <f>SUMIF(DataQ!$B:$B,DataA!$A43,DataQ!R:R)</f>
        <v>-69.556999999999988</v>
      </c>
      <c r="N43" s="10">
        <f>SUMIF(DataQ!$B:$B,DataA!$A43,DataQ!S:S)</f>
        <v>-42.473004000000003</v>
      </c>
      <c r="O43" s="10">
        <f>SUMIF(DataQ!$B:$B,DataA!$A43,DataQ!T:T)</f>
        <v>18025</v>
      </c>
      <c r="P43" s="10">
        <f>SUMIF(DataQ!$E:$E,DataA!$A43,DataQ!U:U)</f>
        <v>809985</v>
      </c>
      <c r="Q43" s="10">
        <f>SUMIF(DataQ!$E:$E,DataA!$A43,DataQ!V:V)</f>
        <v>15114.3</v>
      </c>
      <c r="R43" s="10">
        <f>SUMIF(DataQ!$E:$E,DataA!$A43,DataQ!W:W)</f>
        <v>837205</v>
      </c>
      <c r="S43" s="10">
        <f>SUMIF(DataQ!$E:$E,DataA!$A43,DataQ!X:X)</f>
        <v>1589.694</v>
      </c>
      <c r="T43" s="10">
        <f>SUMIF(DataQ!$E:$E,DataA!$A43,DataQ!Y:Y)</f>
        <v>1788.386</v>
      </c>
      <c r="U43" s="10">
        <f>SUMIF(DataQ!$E:$E,DataA!$A43,DataQ!Z:Z)</f>
        <v>1868.0889999999999</v>
      </c>
      <c r="V43" s="10">
        <f>SUMIF(DataQ!$E:$E,DataA!$A43,DataQ!AA:AA)</f>
        <v>1230238</v>
      </c>
      <c r="W43" s="10">
        <f>SUMIF(DataQ!$B:$B,DataA!$A43,DataQ!AB:AB)</f>
        <v>1593600</v>
      </c>
      <c r="X43" s="10">
        <f>SUMIF(DataQ!$B:$B,DataA!$A43,DataQ!AC:AC)</f>
        <v>14769.849999999999</v>
      </c>
      <c r="Y43" s="10">
        <f>SUMIF(DataQ!$B:$B,DataA!$A43,DataQ!AD:AD)</f>
        <v>527842</v>
      </c>
      <c r="Z43" s="10">
        <f>SUMIF(DataQ!$B:$B,DataA!$A43,DataQ!AE:AE)</f>
        <v>2585.9740000000002</v>
      </c>
      <c r="AA43" s="10">
        <f>SUMIF(DataQ!$B:$B,DataA!$A43,DataQ!AF:AF)</f>
        <v>1989.1350000000002</v>
      </c>
      <c r="AB43" s="10">
        <f>SUMIF(DataQ!$B:$B,DataA!$A43,DataQ!AG:AG)</f>
        <v>1643.9139999999998</v>
      </c>
      <c r="AC43" s="10">
        <f>SUMIF(DataQ!$B:$B,DataA!$A43,DataQ!AH:AH)</f>
        <v>1657041</v>
      </c>
    </row>
    <row r="44" spans="1:29" x14ac:dyDescent="0.25">
      <c r="A44">
        <v>2009</v>
      </c>
      <c r="B44" s="10">
        <f>SUMIF(DataQ!$B:$B,DataA!$A44,DataQ!G:G)</f>
        <v>2035942</v>
      </c>
      <c r="C44" s="10">
        <f>SUMIF(DataQ!$B:$B,DataA!$A44,DataQ!H:H)</f>
        <v>16349.125</v>
      </c>
      <c r="D44" s="10">
        <f>SUMIF(DataQ!$B:$B,DataA!$A44,DataQ!I:I)</f>
        <v>490619.3</v>
      </c>
      <c r="E44" s="10">
        <f>SUMIF(DataQ!$B:$B,DataA!$A44,DataQ!J:J)</f>
        <v>2960.3799999999997</v>
      </c>
      <c r="F44" s="10">
        <f>SUMIF(DataQ!$B:$B,DataA!$A44,DataQ!K:K)</f>
        <v>2179.4360000000001</v>
      </c>
      <c r="G44" s="10">
        <f>SUMIF(DataQ!$B:$B,DataA!$A44,DataQ!L:L)</f>
        <v>1793.3249999999998</v>
      </c>
      <c r="H44" s="10">
        <f>SUMIF(DataQ!$B:$B,DataA!$A44,DataQ!M:M)</f>
        <v>1793828.2</v>
      </c>
      <c r="I44" s="10">
        <f>SUMIF(DataQ!$B:$B,DataA!$A44,DataQ!N:N)</f>
        <v>-161765</v>
      </c>
      <c r="J44" s="10">
        <f>SUMIF(DataQ!$B:$B,DataA!$A44,DataQ!O:O)</f>
        <v>-1786.3977</v>
      </c>
      <c r="K44" s="10">
        <f>SUMIF(DataQ!$B:$B,DataA!$A44,DataQ!P:P)</f>
        <v>-47974.75</v>
      </c>
      <c r="L44" s="10">
        <f>SUMIF(DataQ!$B:$B,DataA!$A44,DataQ!Q:Q)</f>
        <v>-79.206000000000003</v>
      </c>
      <c r="M44" s="10">
        <f>SUMIF(DataQ!$B:$B,DataA!$A44,DataQ!R:R)</f>
        <v>-142.803</v>
      </c>
      <c r="N44" s="10">
        <f>SUMIF(DataQ!$B:$B,DataA!$A44,DataQ!S:S)</f>
        <v>-80.100999999999999</v>
      </c>
      <c r="O44" s="10">
        <f>SUMIF(DataQ!$B:$B,DataA!$A44,DataQ!T:T)</f>
        <v>-38162.998999999996</v>
      </c>
      <c r="P44" s="10">
        <f>SUMIF(DataQ!$E:$E,DataA!$A44,DataQ!U:U)</f>
        <v>1005405</v>
      </c>
      <c r="Q44" s="10">
        <f>SUMIF(DataQ!$E:$E,DataA!$A44,DataQ!V:V)</f>
        <v>16769.52</v>
      </c>
      <c r="R44" s="10">
        <f>SUMIF(DataQ!$E:$E,DataA!$A44,DataQ!W:W)</f>
        <v>877169</v>
      </c>
      <c r="S44" s="10">
        <f>SUMIF(DataQ!$E:$E,DataA!$A44,DataQ!X:X)</f>
        <v>1769.5219999999999</v>
      </c>
      <c r="T44" s="10">
        <f>SUMIF(DataQ!$E:$E,DataA!$A44,DataQ!Y:Y)</f>
        <v>1995.277</v>
      </c>
      <c r="U44" s="10">
        <f>SUMIF(DataQ!$E:$E,DataA!$A44,DataQ!Z:Z)</f>
        <v>2002.124</v>
      </c>
      <c r="V44" s="10">
        <f>SUMIF(DataQ!$E:$E,DataA!$A44,DataQ!AA:AA)</f>
        <v>1361026</v>
      </c>
      <c r="W44" s="10">
        <f>SUMIF(DataQ!$B:$B,DataA!$A44,DataQ!AB:AB)</f>
        <v>1548802</v>
      </c>
      <c r="X44" s="10">
        <f>SUMIF(DataQ!$B:$B,DataA!$A44,DataQ!AC:AC)</f>
        <v>14478.05</v>
      </c>
      <c r="Y44" s="10">
        <f>SUMIF(DataQ!$B:$B,DataA!$A44,DataQ!AD:AD)</f>
        <v>495047.3</v>
      </c>
      <c r="Z44" s="10">
        <f>SUMIF(DataQ!$B:$B,DataA!$A44,DataQ!AE:AE)</f>
        <v>2492.0210000000002</v>
      </c>
      <c r="AA44" s="10">
        <f>SUMIF(DataQ!$B:$B,DataA!$A44,DataQ!AF:AF)</f>
        <v>1936.8960000000002</v>
      </c>
      <c r="AB44" s="10">
        <f>SUMIF(DataQ!$B:$B,DataA!$A44,DataQ!AG:AG)</f>
        <v>1584.0029999999999</v>
      </c>
      <c r="AC44" s="10">
        <f>SUMIF(DataQ!$B:$B,DataA!$A44,DataQ!AH:AH)</f>
        <v>1571334</v>
      </c>
    </row>
    <row r="45" spans="1:29" x14ac:dyDescent="0.25">
      <c r="A45">
        <v>2010</v>
      </c>
      <c r="B45" s="10">
        <f>SUMIF(DataQ!$B:$B,DataA!$A45,DataQ!G:G)</f>
        <v>2081411</v>
      </c>
      <c r="C45" s="10">
        <f>SUMIF(DataQ!$B:$B,DataA!$A45,DataQ!H:H)</f>
        <v>16789.775000000001</v>
      </c>
      <c r="D45" s="10">
        <f>SUMIF(DataQ!$B:$B,DataA!$A45,DataQ!I:I)</f>
        <v>510745.2</v>
      </c>
      <c r="E45" s="10">
        <f>SUMIF(DataQ!$B:$B,DataA!$A45,DataQ!J:J)</f>
        <v>3078.9900000000002</v>
      </c>
      <c r="F45" s="10">
        <f>SUMIF(DataQ!$B:$B,DataA!$A45,DataQ!K:K)</f>
        <v>2219.5</v>
      </c>
      <c r="G45" s="10">
        <f>SUMIF(DataQ!$B:$B,DataA!$A45,DataQ!L:L)</f>
        <v>1819.847</v>
      </c>
      <c r="H45" s="10">
        <f>SUMIF(DataQ!$B:$B,DataA!$A45,DataQ!M:M)</f>
        <v>1849271.8</v>
      </c>
      <c r="I45" s="10">
        <f>SUMIF(DataQ!$B:$B,DataA!$A45,DataQ!N:N)</f>
        <v>-147961</v>
      </c>
      <c r="J45" s="10">
        <f>SUMIF(DataQ!$B:$B,DataA!$A45,DataQ!O:O)</f>
        <v>-1826.6068</v>
      </c>
      <c r="K45" s="10">
        <f>SUMIF(DataQ!$B:$B,DataA!$A45,DataQ!P:P)</f>
        <v>-45881.25</v>
      </c>
      <c r="L45" s="10">
        <f>SUMIF(DataQ!$B:$B,DataA!$A45,DataQ!Q:Q)</f>
        <v>-115.61999999999999</v>
      </c>
      <c r="M45" s="10">
        <f>SUMIF(DataQ!$B:$B,DataA!$A45,DataQ!R:R)</f>
        <v>-142.63499999999999</v>
      </c>
      <c r="N45" s="10">
        <f>SUMIF(DataQ!$B:$B,DataA!$A45,DataQ!S:S)</f>
        <v>-67.328999999999994</v>
      </c>
      <c r="O45" s="10">
        <f>SUMIF(DataQ!$B:$B,DataA!$A45,DataQ!T:T)</f>
        <v>-49755.001000000004</v>
      </c>
      <c r="P45" s="10">
        <f>SUMIF(DataQ!$E:$E,DataA!$A45,DataQ!U:U)</f>
        <v>1220252</v>
      </c>
      <c r="Q45" s="10">
        <f>SUMIF(DataQ!$E:$E,DataA!$A45,DataQ!V:V)</f>
        <v>18928.23</v>
      </c>
      <c r="R45" s="10">
        <f>SUMIF(DataQ!$E:$E,DataA!$A45,DataQ!W:W)</f>
        <v>917549</v>
      </c>
      <c r="S45" s="10">
        <f>SUMIF(DataQ!$E:$E,DataA!$A45,DataQ!X:X)</f>
        <v>2011.6769999999999</v>
      </c>
      <c r="T45" s="10">
        <f>SUMIF(DataQ!$E:$E,DataA!$A45,DataQ!Y:Y)</f>
        <v>2162.3739999999998</v>
      </c>
      <c r="U45" s="10">
        <f>SUMIF(DataQ!$E:$E,DataA!$A45,DataQ!Z:Z)</f>
        <v>2022.163</v>
      </c>
      <c r="V45" s="10">
        <f>SUMIF(DataQ!$E:$E,DataA!$A45,DataQ!AA:AA)</f>
        <v>1492208</v>
      </c>
      <c r="W45" s="10">
        <f>SUMIF(DataQ!$B:$B,DataA!$A45,DataQ!AB:AB)</f>
        <v>1608553</v>
      </c>
      <c r="X45" s="10">
        <f>SUMIF(DataQ!$B:$B,DataA!$A45,DataQ!AC:AC)</f>
        <v>15048.975</v>
      </c>
      <c r="Y45" s="10">
        <f>SUMIF(DataQ!$B:$B,DataA!$A45,DataQ!AD:AD)</f>
        <v>505674.5</v>
      </c>
      <c r="Z45" s="10">
        <f>SUMIF(DataQ!$B:$B,DataA!$A45,DataQ!AE:AE)</f>
        <v>2609.8130000000001</v>
      </c>
      <c r="AA45" s="10">
        <f>SUMIF(DataQ!$B:$B,DataA!$A45,DataQ!AF:AF)</f>
        <v>1993.932</v>
      </c>
      <c r="AB45" s="10">
        <f>SUMIF(DataQ!$B:$B,DataA!$A45,DataQ!AG:AG)</f>
        <v>1617.0619999999999</v>
      </c>
      <c r="AC45" s="10">
        <f>SUMIF(DataQ!$B:$B,DataA!$A45,DataQ!AH:AH)</f>
        <v>1666048</v>
      </c>
    </row>
    <row r="46" spans="1:29" x14ac:dyDescent="0.25">
      <c r="A46">
        <v>2011</v>
      </c>
      <c r="B46" s="10">
        <f>SUMIF(DataQ!$B:$B,DataA!$A46,DataQ!G:G)</f>
        <v>2105105</v>
      </c>
      <c r="C46" s="10">
        <f>SUMIF(DataQ!$B:$B,DataA!$A46,DataQ!H:H)</f>
        <v>17052.400000000001</v>
      </c>
      <c r="D46" s="10">
        <f>SUMIF(DataQ!$B:$B,DataA!$A46,DataQ!I:I)</f>
        <v>510927</v>
      </c>
      <c r="E46" s="10">
        <f>SUMIF(DataQ!$B:$B,DataA!$A46,DataQ!J:J)</f>
        <v>3196.9200000000005</v>
      </c>
      <c r="F46" s="10">
        <f>SUMIF(DataQ!$B:$B,DataA!$A46,DataQ!K:K)</f>
        <v>2274.6310000000003</v>
      </c>
      <c r="G46" s="10">
        <f>SUMIF(DataQ!$B:$B,DataA!$A46,DataQ!L:L)</f>
        <v>1835.4119999999998</v>
      </c>
      <c r="H46" s="10">
        <f>SUMIF(DataQ!$B:$B,DataA!$A46,DataQ!M:M)</f>
        <v>1907287.1</v>
      </c>
      <c r="I46" s="10">
        <f>SUMIF(DataQ!$B:$B,DataA!$A46,DataQ!N:N)</f>
        <v>-121306</v>
      </c>
      <c r="J46" s="10">
        <f>SUMIF(DataQ!$B:$B,DataA!$A46,DataQ!O:O)</f>
        <v>-1682.4553000000001</v>
      </c>
      <c r="K46" s="10">
        <f>SUMIF(DataQ!$B:$B,DataA!$A46,DataQ!P:P)</f>
        <v>-44698.25</v>
      </c>
      <c r="L46" s="10">
        <f>SUMIF(DataQ!$B:$B,DataA!$A46,DataQ!Q:Q)</f>
        <v>-23.074000000000002</v>
      </c>
      <c r="M46" s="10">
        <f>SUMIF(DataQ!$B:$B,DataA!$A46,DataQ!R:R)</f>
        <v>-109.43800000000002</v>
      </c>
      <c r="N46" s="10">
        <f>SUMIF(DataQ!$B:$B,DataA!$A46,DataQ!S:S)</f>
        <v>-58.411990000000003</v>
      </c>
      <c r="O46" s="10">
        <f>SUMIF(DataQ!$B:$B,DataA!$A46,DataQ!T:T)</f>
        <v>-37675.998999999996</v>
      </c>
      <c r="P46" s="10">
        <f>SUMIF(DataQ!$E:$E,DataA!$A46,DataQ!U:U)</f>
        <v>1353765</v>
      </c>
      <c r="Q46" s="10">
        <f>SUMIF(DataQ!$E:$E,DataA!$A46,DataQ!V:V)</f>
        <v>20428.82</v>
      </c>
      <c r="R46" s="10">
        <f>SUMIF(DataQ!$E:$E,DataA!$A46,DataQ!W:W)</f>
        <v>976423</v>
      </c>
      <c r="S46" s="10">
        <f>SUMIF(DataQ!$E:$E,DataA!$A46,DataQ!X:X)</f>
        <v>2025.4380000000001</v>
      </c>
      <c r="T46" s="10">
        <f>SUMIF(DataQ!$E:$E,DataA!$A46,DataQ!Y:Y)</f>
        <v>2220.614</v>
      </c>
      <c r="U46" s="10">
        <f>SUMIF(DataQ!$E:$E,DataA!$A46,DataQ!Z:Z)</f>
        <v>1965.944</v>
      </c>
      <c r="V46" s="10">
        <f>SUMIF(DataQ!$E:$E,DataA!$A46,DataQ!AA:AA)</f>
        <v>1642422</v>
      </c>
      <c r="W46" s="10">
        <f>SUMIF(DataQ!$B:$B,DataA!$A46,DataQ!AB:AB)</f>
        <v>1662590</v>
      </c>
      <c r="X46" s="10">
        <f>SUMIF(DataQ!$B:$B,DataA!$A46,DataQ!AC:AC)</f>
        <v>15599.725000000002</v>
      </c>
      <c r="Y46" s="10">
        <f>SUMIF(DataQ!$B:$B,DataA!$A46,DataQ!AD:AD)</f>
        <v>497671.6</v>
      </c>
      <c r="Z46" s="10">
        <f>SUMIF(DataQ!$B:$B,DataA!$A46,DataQ!AE:AE)</f>
        <v>2743.1480000000001</v>
      </c>
      <c r="AA46" s="10">
        <f>SUMIF(DataQ!$B:$B,DataA!$A46,DataQ!AF:AF)</f>
        <v>2061.0050000000001</v>
      </c>
      <c r="AB46" s="10">
        <f>SUMIF(DataQ!$B:$B,DataA!$A46,DataQ!AG:AG)</f>
        <v>1659.0659999999998</v>
      </c>
      <c r="AC46" s="10">
        <f>SUMIF(DataQ!$B:$B,DataA!$A46,DataQ!AH:AH)</f>
        <v>1774063</v>
      </c>
    </row>
    <row r="47" spans="1:29" x14ac:dyDescent="0.25">
      <c r="A47">
        <v>2012</v>
      </c>
      <c r="B47" s="10">
        <f>SUMIF(DataQ!$B:$B,DataA!$A47,DataQ!G:G)</f>
        <v>2136871</v>
      </c>
      <c r="C47" s="10">
        <f>SUMIF(DataQ!$B:$B,DataA!$A47,DataQ!H:H)</f>
        <v>17442.775000000001</v>
      </c>
      <c r="D47" s="10">
        <f>SUMIF(DataQ!$B:$B,DataA!$A47,DataQ!I:I)</f>
        <v>517969.19999999995</v>
      </c>
      <c r="E47" s="10">
        <f>SUMIF(DataQ!$B:$B,DataA!$A47,DataQ!J:J)</f>
        <v>3217.7200000000003</v>
      </c>
      <c r="F47" s="10">
        <f>SUMIF(DataQ!$B:$B,DataA!$A47,DataQ!K:K)</f>
        <v>2279.8530000000001</v>
      </c>
      <c r="G47" s="10">
        <f>SUMIF(DataQ!$B:$B,DataA!$A47,DataQ!L:L)</f>
        <v>1777.154</v>
      </c>
      <c r="H47" s="10">
        <f>SUMIF(DataQ!$B:$B,DataA!$A47,DataQ!M:M)</f>
        <v>1940772.6</v>
      </c>
      <c r="I47" s="10">
        <f>SUMIF(DataQ!$B:$B,DataA!$A47,DataQ!N:N)</f>
        <v>-130358</v>
      </c>
      <c r="J47" s="10">
        <f>SUMIF(DataQ!$B:$B,DataA!$A47,DataQ!O:O)</f>
        <v>-1494.0663</v>
      </c>
      <c r="K47" s="10">
        <f>SUMIF(DataQ!$B:$B,DataA!$A47,DataQ!P:P)</f>
        <v>-41021.25</v>
      </c>
      <c r="L47" s="10">
        <f>SUMIF(DataQ!$B:$B,DataA!$A47,DataQ!Q:Q)</f>
        <v>-1.5230000000000001</v>
      </c>
      <c r="M47" s="10">
        <f>SUMIF(DataQ!$B:$B,DataA!$A47,DataQ!R:R)</f>
        <v>-107.899</v>
      </c>
      <c r="N47" s="10">
        <f>SUMIF(DataQ!$B:$B,DataA!$A47,DataQ!S:S)</f>
        <v>-48.75</v>
      </c>
      <c r="O47" s="10">
        <f>SUMIF(DataQ!$B:$B,DataA!$A47,DataQ!T:T)</f>
        <v>-27901.999</v>
      </c>
      <c r="P47" s="10">
        <f>SUMIF(DataQ!$E:$E,DataA!$A47,DataQ!U:U)</f>
        <v>1447791</v>
      </c>
      <c r="Q47" s="10">
        <f>SUMIF(DataQ!$E:$E,DataA!$A47,DataQ!V:V)</f>
        <v>21562.81</v>
      </c>
      <c r="R47" s="10">
        <f>SUMIF(DataQ!$E:$E,DataA!$A47,DataQ!W:W)</f>
        <v>1028155</v>
      </c>
      <c r="S47" s="10">
        <f>SUMIF(DataQ!$E:$E,DataA!$A47,DataQ!X:X)</f>
        <v>2068.2890000000002</v>
      </c>
      <c r="T47" s="10">
        <f>SUMIF(DataQ!$E:$E,DataA!$A47,DataQ!Y:Y)</f>
        <v>2434.989</v>
      </c>
      <c r="U47" s="10">
        <f>SUMIF(DataQ!$E:$E,DataA!$A47,DataQ!Z:Z)</f>
        <v>2240.8029999999999</v>
      </c>
      <c r="V47" s="10">
        <f>SUMIF(DataQ!$E:$E,DataA!$A47,DataQ!AA:AA)</f>
        <v>1739555</v>
      </c>
      <c r="W47" s="10">
        <f>SUMIF(DataQ!$B:$B,DataA!$A47,DataQ!AB:AB)</f>
        <v>1713715</v>
      </c>
      <c r="X47" s="10">
        <f>SUMIF(DataQ!$B:$B,DataA!$A47,DataQ!AC:AC)</f>
        <v>16253.95</v>
      </c>
      <c r="Y47" s="10">
        <f>SUMIF(DataQ!$B:$B,DataA!$A47,DataQ!AD:AD)</f>
        <v>500614.69999999995</v>
      </c>
      <c r="Z47" s="10">
        <f>SUMIF(DataQ!$B:$B,DataA!$A47,DataQ!AE:AE)</f>
        <v>2800.605</v>
      </c>
      <c r="AA47" s="10">
        <f>SUMIF(DataQ!$B:$B,DataA!$A47,DataQ!AF:AF)</f>
        <v>2088.098</v>
      </c>
      <c r="AB47" s="10">
        <f>SUMIF(DataQ!$B:$B,DataA!$A47,DataQ!AG:AG)</f>
        <v>1633.7469999999998</v>
      </c>
      <c r="AC47" s="10">
        <f>SUMIF(DataQ!$B:$B,DataA!$A47,DataQ!AH:AH)</f>
        <v>1827201</v>
      </c>
    </row>
    <row r="48" spans="1:29" x14ac:dyDescent="0.25">
      <c r="A48">
        <v>2013</v>
      </c>
      <c r="B48" s="10">
        <f>SUMIF(DataQ!$B:$B,DataA!$A48,DataQ!G:G)</f>
        <v>2175333</v>
      </c>
      <c r="C48" s="10">
        <f>SUMIF(DataQ!$B:$B,DataA!$A48,DataQ!H:H)</f>
        <v>17812.175000000003</v>
      </c>
      <c r="D48" s="10">
        <f>SUMIF(DataQ!$B:$B,DataA!$A48,DataQ!I:I)</f>
        <v>528512.39999999991</v>
      </c>
      <c r="E48" s="10">
        <f>SUMIF(DataQ!$B:$B,DataA!$A48,DataQ!J:J)</f>
        <v>3234.2799999999997</v>
      </c>
      <c r="F48" s="10">
        <f>SUMIF(DataQ!$B:$B,DataA!$A48,DataQ!K:K)</f>
        <v>2300.951</v>
      </c>
      <c r="G48" s="10">
        <f>SUMIF(DataQ!$B:$B,DataA!$A48,DataQ!L:L)</f>
        <v>1744.712</v>
      </c>
      <c r="H48" s="10">
        <f>SUMIF(DataQ!$B:$B,DataA!$A48,DataQ!M:M)</f>
        <v>1985911.3</v>
      </c>
      <c r="I48" s="10">
        <f>SUMIF(DataQ!$B:$B,DataA!$A48,DataQ!N:N)</f>
        <v>-104534</v>
      </c>
      <c r="J48" s="10">
        <f>SUMIF(DataQ!$B:$B,DataA!$A48,DataQ!O:O)</f>
        <v>-987.49520000000007</v>
      </c>
      <c r="K48" s="10">
        <f>SUMIF(DataQ!$B:$B,DataA!$A48,DataQ!P:P)</f>
        <v>-38719.502999999997</v>
      </c>
      <c r="L48" s="10">
        <f>SUMIF(DataQ!$B:$B,DataA!$A48,DataQ!Q:Q)</f>
        <v>3.5120000000000005</v>
      </c>
      <c r="M48" s="10">
        <f>SUMIF(DataQ!$B:$B,DataA!$A48,DataQ!R:R)</f>
        <v>-104.896</v>
      </c>
      <c r="N48" s="10">
        <f>SUMIF(DataQ!$B:$B,DataA!$A48,DataQ!S:S)</f>
        <v>-46.604010000000002</v>
      </c>
      <c r="O48" s="10">
        <f>SUMIF(DataQ!$B:$B,DataA!$A48,DataQ!T:T)</f>
        <v>-16052</v>
      </c>
      <c r="P48" s="10">
        <f>SUMIF(DataQ!$E:$E,DataA!$A48,DataQ!U:U)</f>
        <v>1519787</v>
      </c>
      <c r="Q48" s="10">
        <f>SUMIF(DataQ!$E:$E,DataA!$A48,DataQ!V:V)</f>
        <v>22989.06</v>
      </c>
      <c r="R48" s="10">
        <f>SUMIF(DataQ!$E:$E,DataA!$A48,DataQ!W:W)</f>
        <v>1060606</v>
      </c>
      <c r="S48" s="10">
        <f>SUMIF(DataQ!$E:$E,DataA!$A48,DataQ!X:X)</f>
        <v>2043.3440000000001</v>
      </c>
      <c r="T48" s="10">
        <f>SUMIF(DataQ!$E:$E,DataA!$A48,DataQ!Y:Y)</f>
        <v>2498.3739999999998</v>
      </c>
      <c r="U48" s="10">
        <f>SUMIF(DataQ!$E:$E,DataA!$A48,DataQ!Z:Z)</f>
        <v>2343.8829999999998</v>
      </c>
      <c r="V48" s="10">
        <f>SUMIF(DataQ!$E:$E,DataA!$A48,DataQ!AA:AA)</f>
        <v>1753831</v>
      </c>
      <c r="W48" s="10">
        <f>SUMIF(DataQ!$B:$B,DataA!$A48,DataQ!AB:AB)</f>
        <v>1781361</v>
      </c>
      <c r="X48" s="10">
        <f>SUMIF(DataQ!$B:$B,DataA!$A48,DataQ!AC:AC)</f>
        <v>16880.674999999999</v>
      </c>
      <c r="Y48" s="10">
        <f>SUMIF(DataQ!$B:$B,DataA!$A48,DataQ!AD:AD)</f>
        <v>508966.80000000005</v>
      </c>
      <c r="Z48" s="10">
        <f>SUMIF(DataQ!$B:$B,DataA!$A48,DataQ!AE:AE)</f>
        <v>2871.2310000000002</v>
      </c>
      <c r="AA48" s="10">
        <f>SUMIF(DataQ!$B:$B,DataA!$A48,DataQ!AF:AF)</f>
        <v>2123.0659999999998</v>
      </c>
      <c r="AB48" s="10">
        <f>SUMIF(DataQ!$B:$B,DataA!$A48,DataQ!AG:AG)</f>
        <v>1621.9770000000001</v>
      </c>
      <c r="AC48" s="10">
        <f>SUMIF(DataQ!$B:$B,DataA!$A48,DataQ!AH:AH)</f>
        <v>1902247</v>
      </c>
    </row>
    <row r="49" spans="1:29" x14ac:dyDescent="0.25">
      <c r="A49">
        <v>2014</v>
      </c>
      <c r="B49" s="10">
        <f>SUMIF(DataQ!$B:$B,DataA!$A49,DataQ!G:G)</f>
        <v>2244827</v>
      </c>
      <c r="C49" s="10">
        <f>SUMIF(DataQ!$B:$B,DataA!$A49,DataQ!H:H)</f>
        <v>18261.7</v>
      </c>
      <c r="D49" s="10">
        <f>SUMIF(DataQ!$B:$B,DataA!$A49,DataQ!I:I)</f>
        <v>529647</v>
      </c>
      <c r="E49" s="10">
        <f>SUMIF(DataQ!$B:$B,DataA!$A49,DataQ!J:J)</f>
        <v>3304.4100000000003</v>
      </c>
      <c r="F49" s="10">
        <f>SUMIF(DataQ!$B:$B,DataA!$A49,DataQ!K:K)</f>
        <v>2323.982</v>
      </c>
      <c r="G49" s="10">
        <f>SUMIF(DataQ!$B:$B,DataA!$A49,DataQ!L:L)</f>
        <v>1746.0339999999999</v>
      </c>
      <c r="H49" s="10">
        <f>SUMIF(DataQ!$B:$B,DataA!$A49,DataQ!M:M)</f>
        <v>2042975.9</v>
      </c>
      <c r="I49" s="10">
        <f>SUMIF(DataQ!$B:$B,DataA!$A49,DataQ!N:N)</f>
        <v>-104921</v>
      </c>
      <c r="J49" s="10">
        <f>SUMIF(DataQ!$B:$B,DataA!$A49,DataQ!O:O)</f>
        <v>-911.83910000000003</v>
      </c>
      <c r="K49" s="10">
        <f>SUMIF(DataQ!$B:$B,DataA!$A49,DataQ!P:P)</f>
        <v>-29136.999</v>
      </c>
      <c r="L49" s="10">
        <f>SUMIF(DataQ!$B:$B,DataA!$A49,DataQ!Q:Q)</f>
        <v>21.832999999999998</v>
      </c>
      <c r="M49" s="10">
        <f>SUMIF(DataQ!$B:$B,DataA!$A49,DataQ!R:R)</f>
        <v>-98.528000000000006</v>
      </c>
      <c r="N49" s="10">
        <f>SUMIF(DataQ!$B:$B,DataA!$A49,DataQ!S:S)</f>
        <v>-46.106999999999999</v>
      </c>
      <c r="O49" s="10">
        <f>SUMIF(DataQ!$B:$B,DataA!$A49,DataQ!T:T)</f>
        <v>6738</v>
      </c>
      <c r="P49" s="10">
        <f>SUMIF(DataQ!$E:$E,DataA!$A49,DataQ!U:U)</f>
        <v>1622144</v>
      </c>
      <c r="Q49" s="10">
        <f>SUMIF(DataQ!$E:$E,DataA!$A49,DataQ!V:V)</f>
        <v>23856.06</v>
      </c>
      <c r="R49" s="10">
        <f>SUMIF(DataQ!$E:$E,DataA!$A49,DataQ!W:W)</f>
        <v>1114183</v>
      </c>
      <c r="S49" s="10">
        <f>SUMIF(DataQ!$E:$E,DataA!$A49,DataQ!X:X)</f>
        <v>2043.9179999999999</v>
      </c>
      <c r="T49" s="10">
        <f>SUMIF(DataQ!$E:$E,DataA!$A49,DataQ!Y:Y)</f>
        <v>2725.884</v>
      </c>
      <c r="U49" s="10">
        <f>SUMIF(DataQ!$E:$E,DataA!$A49,DataQ!Z:Z)</f>
        <v>2573.5309999999999</v>
      </c>
      <c r="V49" s="10">
        <f>SUMIF(DataQ!$E:$E,DataA!$A49,DataQ!AA:AA)</f>
        <v>1858520</v>
      </c>
      <c r="W49" s="10">
        <f>SUMIF(DataQ!$B:$B,DataA!$A49,DataQ!AB:AB)</f>
        <v>1862514</v>
      </c>
      <c r="X49" s="10">
        <f>SUMIF(DataQ!$B:$B,DataA!$A49,DataQ!AC:AC)</f>
        <v>17608.125</v>
      </c>
      <c r="Y49" s="10">
        <f>SUMIF(DataQ!$B:$B,DataA!$A49,DataQ!AD:AD)</f>
        <v>518726.9</v>
      </c>
      <c r="Z49" s="10">
        <f>SUMIF(DataQ!$B:$B,DataA!$A49,DataQ!AE:AE)</f>
        <v>2989.1350000000002</v>
      </c>
      <c r="AA49" s="10">
        <f>SUMIF(DataQ!$B:$B,DataA!$A49,DataQ!AF:AF)</f>
        <v>2156.4690000000001</v>
      </c>
      <c r="AB49" s="10">
        <f>SUMIF(DataQ!$B:$B,DataA!$A49,DataQ!AG:AG)</f>
        <v>1637.8620000000001</v>
      </c>
      <c r="AC49" s="10">
        <f>SUMIF(DataQ!$B:$B,DataA!$A49,DataQ!AH:AH)</f>
        <v>1994898</v>
      </c>
    </row>
    <row r="50" spans="1:29" x14ac:dyDescent="0.25">
      <c r="A50">
        <v>2015</v>
      </c>
      <c r="B50" s="10">
        <f>SUMIF(DataQ!$B:$B,DataA!$A50,DataQ!G:G)</f>
        <v>2294727</v>
      </c>
      <c r="C50" s="10">
        <f>SUMIF(DataQ!$B:$B,DataA!$A50,DataQ!H:H)</f>
        <v>18799.600000000002</v>
      </c>
      <c r="D50" s="10">
        <f>SUMIF(DataQ!$B:$B,DataA!$A50,DataQ!I:I)</f>
        <v>538095.4</v>
      </c>
      <c r="E50" s="10">
        <f>SUMIF(DataQ!$B:$B,DataA!$A50,DataQ!J:J)</f>
        <v>3351.2599999999998</v>
      </c>
      <c r="F50" s="10">
        <f>SUMIF(DataQ!$B:$B,DataA!$A50,DataQ!K:K)</f>
        <v>2347.165</v>
      </c>
      <c r="G50" s="10">
        <f>SUMIF(DataQ!$B:$B,DataA!$A50,DataQ!L:L)</f>
        <v>1759.049</v>
      </c>
      <c r="H50" s="10">
        <f>SUMIF(DataQ!$B:$B,DataA!$A50,DataQ!M:M)</f>
        <v>2056254.5</v>
      </c>
      <c r="I50" s="10">
        <f>SUMIF(DataQ!$B:$B,DataA!$A50,DataQ!N:N)</f>
        <v>-86719</v>
      </c>
      <c r="J50" s="10">
        <f>SUMIF(DataQ!$B:$B,DataA!$A50,DataQ!O:O)</f>
        <v>-866.12920000000008</v>
      </c>
      <c r="K50" s="10">
        <f>SUMIF(DataQ!$B:$B,DataA!$A50,DataQ!P:P)</f>
        <v>-19788.25</v>
      </c>
      <c r="L50" s="10">
        <f>SUMIF(DataQ!$B:$B,DataA!$A50,DataQ!Q:Q)</f>
        <v>28.24</v>
      </c>
      <c r="M50" s="10">
        <f>SUMIF(DataQ!$B:$B,DataA!$A50,DataQ!R:R)</f>
        <v>-85.763999999999996</v>
      </c>
      <c r="N50" s="10">
        <f>SUMIF(DataQ!$B:$B,DataA!$A50,DataQ!S:S)</f>
        <v>-40.902000000000001</v>
      </c>
      <c r="O50" s="10">
        <f>SUMIF(DataQ!$B:$B,DataA!$A50,DataQ!T:T)</f>
        <v>6187</v>
      </c>
      <c r="P50" s="10">
        <f>SUMIF(DataQ!$E:$E,DataA!$A50,DataQ!U:U)</f>
        <v>1683922</v>
      </c>
      <c r="Q50" s="10">
        <f>SUMIF(DataQ!$E:$E,DataA!$A50,DataQ!V:V)</f>
        <v>25009.53</v>
      </c>
      <c r="R50" s="10">
        <f>SUMIF(DataQ!$E:$E,DataA!$A50,DataQ!W:W)</f>
        <v>1171031</v>
      </c>
      <c r="S50" s="10">
        <f>SUMIF(DataQ!$E:$E,DataA!$A50,DataQ!X:X)</f>
        <v>2020.704</v>
      </c>
      <c r="T50" s="10">
        <f>SUMIF(DataQ!$E:$E,DataA!$A50,DataQ!Y:Y)</f>
        <v>2804.6370000000002</v>
      </c>
      <c r="U50" s="10">
        <f>SUMIF(DataQ!$E:$E,DataA!$A50,DataQ!Z:Z)</f>
        <v>2624.2379999999998</v>
      </c>
      <c r="V50" s="10">
        <f>SUMIF(DataQ!$E:$E,DataA!$A50,DataQ!AA:AA)</f>
        <v>1983658</v>
      </c>
      <c r="W50" s="10">
        <f>SUMIF(DataQ!$B:$B,DataA!$A50,DataQ!AB:AB)</f>
        <v>1916451</v>
      </c>
      <c r="X50" s="10">
        <f>SUMIF(DataQ!$B:$B,DataA!$A50,DataQ!AC:AC)</f>
        <v>18295</v>
      </c>
      <c r="Y50" s="10">
        <f>SUMIF(DataQ!$B:$B,DataA!$A50,DataQ!AD:AD)</f>
        <v>538034</v>
      </c>
      <c r="Z50" s="10">
        <f>SUMIF(DataQ!$B:$B,DataA!$A50,DataQ!AE:AE)</f>
        <v>3084.3580000000002</v>
      </c>
      <c r="AA50" s="10">
        <f>SUMIF(DataQ!$B:$B,DataA!$A50,DataQ!AF:AF)</f>
        <v>2202.7660000000001</v>
      </c>
      <c r="AB50" s="10">
        <f>SUMIF(DataQ!$B:$B,DataA!$A50,DataQ!AG:AG)</f>
        <v>1662.9900000000002</v>
      </c>
      <c r="AC50" s="10">
        <f>SUMIF(DataQ!$B:$B,DataA!$A50,DataQ!AH:AH)</f>
        <v>1990441</v>
      </c>
    </row>
    <row r="51" spans="1:29" x14ac:dyDescent="0.25">
      <c r="A51">
        <v>2016</v>
      </c>
      <c r="B51" s="10">
        <f>SUMIF(DataQ!$B:$B,DataA!$A51,DataQ!G:G)</f>
        <v>2338825</v>
      </c>
      <c r="C51" s="10">
        <f>SUMIF(DataQ!$B:$B,DataA!$A51,DataQ!H:H)</f>
        <v>19141.675000000003</v>
      </c>
      <c r="D51" s="10">
        <f>SUMIF(DataQ!$B:$B,DataA!$A51,DataQ!I:I)</f>
        <v>542028.4</v>
      </c>
      <c r="E51" s="10">
        <f>SUMIF(DataQ!$B:$B,DataA!$A51,DataQ!J:J)</f>
        <v>3422.86</v>
      </c>
      <c r="F51" s="10">
        <f>SUMIF(DataQ!$B:$B,DataA!$A51,DataQ!K:K)</f>
        <v>2364.41</v>
      </c>
      <c r="G51" s="10">
        <f>SUMIF(DataQ!$B:$B,DataA!$A51,DataQ!L:L)</f>
        <v>1782.8709999999999</v>
      </c>
      <c r="H51" s="10">
        <f>SUMIF(DataQ!$B:$B,DataA!$A51,DataQ!M:M)</f>
        <v>2077609.8</v>
      </c>
      <c r="I51" s="10">
        <f>SUMIF(DataQ!$B:$B,DataA!$A51,DataQ!N:N)</f>
        <v>-68460</v>
      </c>
      <c r="J51" s="10">
        <f>SUMIF(DataQ!$B:$B,DataA!$A51,DataQ!O:O)</f>
        <v>-1012.6519</v>
      </c>
      <c r="K51" s="10">
        <f>SUMIF(DataQ!$B:$B,DataA!$A51,DataQ!P:P)</f>
        <v>-19594.75</v>
      </c>
      <c r="L51" s="10">
        <f>SUMIF(DataQ!$B:$B,DataA!$A51,DataQ!Q:Q)</f>
        <v>36.236000000000004</v>
      </c>
      <c r="M51" s="10">
        <f>SUMIF(DataQ!$B:$B,DataA!$A51,DataQ!R:R)</f>
        <v>-84.031000000000006</v>
      </c>
      <c r="N51" s="10">
        <f>SUMIF(DataQ!$B:$B,DataA!$A51,DataQ!S:S)</f>
        <v>-40.995999999999995</v>
      </c>
      <c r="O51" s="10">
        <f>SUMIF(DataQ!$B:$B,DataA!$A51,DataQ!T:T)</f>
        <v>180</v>
      </c>
      <c r="P51" s="10">
        <f>SUMIF(DataQ!$E:$E,DataA!$A51,DataQ!U:U)</f>
        <v>1749166</v>
      </c>
      <c r="Q51" s="10">
        <f>SUMIF(DataQ!$E:$E,DataA!$A51,DataQ!V:V)</f>
        <v>26031.279999999999</v>
      </c>
      <c r="R51" s="10">
        <f>SUMIF(DataQ!$E:$E,DataA!$A51,DataQ!W:W)</f>
        <v>1191152</v>
      </c>
      <c r="S51" s="10">
        <f>SUMIF(DataQ!$E:$E,DataA!$A51,DataQ!X:X)</f>
        <v>2006.8130000000001</v>
      </c>
      <c r="T51" s="10">
        <f>SUMIF(DataQ!$E:$E,DataA!$A51,DataQ!Y:Y)</f>
        <v>2898.7339999999999</v>
      </c>
      <c r="U51" s="10">
        <f>SUMIF(DataQ!$E:$E,DataA!$A51,DataQ!Z:Z)</f>
        <v>2640.7429999999999</v>
      </c>
      <c r="V51" s="10">
        <f>SUMIF(DataQ!$E:$E,DataA!$A51,DataQ!AA:AA)</f>
        <v>2014521</v>
      </c>
      <c r="W51" s="10">
        <f>SUMIF(DataQ!$B:$B,DataA!$A51,DataQ!AB:AB)</f>
        <v>1991645</v>
      </c>
      <c r="X51" s="10">
        <f>SUMIF(DataQ!$B:$B,DataA!$A51,DataQ!AC:AC)</f>
        <v>18804.900000000001</v>
      </c>
      <c r="Y51" s="10">
        <f>SUMIF(DataQ!$B:$B,DataA!$A51,DataQ!AD:AD)</f>
        <v>544198.5</v>
      </c>
      <c r="Z51" s="10">
        <f>SUMIF(DataQ!$B:$B,DataA!$A51,DataQ!AE:AE)</f>
        <v>3189.9849999999997</v>
      </c>
      <c r="AA51" s="10">
        <f>SUMIF(DataQ!$B:$B,DataA!$A51,DataQ!AF:AF)</f>
        <v>2230.6379999999999</v>
      </c>
      <c r="AB51" s="10">
        <f>SUMIF(DataQ!$B:$B,DataA!$A51,DataQ!AG:AG)</f>
        <v>1706.567</v>
      </c>
      <c r="AC51" s="10">
        <f>SUMIF(DataQ!$B:$B,DataA!$A51,DataQ!AH:AH)</f>
        <v>2025535</v>
      </c>
    </row>
    <row r="52" spans="1:29" x14ac:dyDescent="0.25">
      <c r="A52">
        <v>2017</v>
      </c>
      <c r="B52" s="10">
        <f>SUMIF(DataQ!$B:$B,DataA!$A52,DataQ!G:G)</f>
        <v>2400956</v>
      </c>
      <c r="C52" s="10">
        <f>SUMIF(DataQ!$B:$B,DataA!$A52,DataQ!H:H)</f>
        <v>19612.099999999999</v>
      </c>
      <c r="D52" s="10">
        <f>SUMIF(DataQ!$B:$B,DataA!$A52,DataQ!I:I)</f>
        <v>551227.70000000007</v>
      </c>
      <c r="E52" s="10">
        <f>SUMIF(DataQ!$B:$B,DataA!$A52,DataQ!J:J)</f>
        <v>3528.98</v>
      </c>
      <c r="F52" s="10">
        <f>SUMIF(DataQ!$B:$B,DataA!$A52,DataQ!K:K)</f>
        <v>2418.0340000000001</v>
      </c>
      <c r="G52" s="10">
        <f>SUMIF(DataQ!$B:$B,DataA!$A52,DataQ!L:L)</f>
        <v>1812.9989999999998</v>
      </c>
      <c r="H52" s="10">
        <f>SUMIF(DataQ!$B:$B,DataA!$A52,DataQ!M:M)</f>
        <v>2140641.1</v>
      </c>
      <c r="I52" s="10">
        <f>SUMIF(DataQ!$B:$B,DataA!$A52,DataQ!N:N)</f>
        <v>-54853</v>
      </c>
      <c r="J52" s="10">
        <f>SUMIF(DataQ!$B:$B,DataA!$A52,DataQ!O:O)</f>
        <v>-854.10074999999995</v>
      </c>
      <c r="K52" s="10">
        <f>SUMIF(DataQ!$B:$B,DataA!$A52,DataQ!P:P)</f>
        <v>-17138.5</v>
      </c>
      <c r="L52" s="10">
        <f>SUMIF(DataQ!$B:$B,DataA!$A52,DataQ!Q:Q)</f>
        <v>44.573</v>
      </c>
      <c r="M52" s="10">
        <f>SUMIF(DataQ!$B:$B,DataA!$A52,DataQ!R:R)</f>
        <v>-77.173000000000002</v>
      </c>
      <c r="N52" s="10">
        <f>SUMIF(DataQ!$B:$B,DataA!$A52,DataQ!S:S)</f>
        <v>-43.767000000000003</v>
      </c>
      <c r="O52" s="10">
        <f>SUMIF(DataQ!$B:$B,DataA!$A52,DataQ!T:T)</f>
        <v>10641</v>
      </c>
      <c r="P52" s="10">
        <f>SUMIF(DataQ!$E:$E,DataA!$A52,DataQ!U:U)</f>
        <v>1805987</v>
      </c>
      <c r="Q52" s="10">
        <f>SUMIF(DataQ!$E:$E,DataA!$A52,DataQ!V:V)</f>
        <v>26466.6</v>
      </c>
      <c r="R52" s="10">
        <f>SUMIF(DataQ!$E:$E,DataA!$A52,DataQ!W:W)</f>
        <v>1208725</v>
      </c>
      <c r="S52" s="10">
        <f>SUMIF(DataQ!$E:$E,DataA!$A52,DataQ!X:X)</f>
        <v>1967.2650000000001</v>
      </c>
      <c r="T52" s="10">
        <f>SUMIF(DataQ!$E:$E,DataA!$A52,DataQ!Y:Y)</f>
        <v>2985.366</v>
      </c>
      <c r="U52" s="10">
        <f>SUMIF(DataQ!$E:$E,DataA!$A52,DataQ!Z:Z)</f>
        <v>2651.348</v>
      </c>
      <c r="V52" s="10">
        <f>SUMIF(DataQ!$E:$E,DataA!$A52,DataQ!AA:AA)</f>
        <v>2058193</v>
      </c>
      <c r="W52" s="10">
        <f>SUMIF(DataQ!$B:$B,DataA!$A52,DataQ!AB:AB)</f>
        <v>2082482</v>
      </c>
      <c r="X52" s="10">
        <f>SUMIF(DataQ!$B:$B,DataA!$A52,DataQ!AC:AC)</f>
        <v>19612.099999999999</v>
      </c>
      <c r="Y52" s="10">
        <f>SUMIF(DataQ!$B:$B,DataA!$A52,DataQ!AD:AD)</f>
        <v>553048.6</v>
      </c>
      <c r="Z52" s="10">
        <f>SUMIF(DataQ!$B:$B,DataA!$A52,DataQ!AE:AE)</f>
        <v>3337.2709999999997</v>
      </c>
      <c r="AA52" s="10">
        <f>SUMIF(DataQ!$B:$B,DataA!$A52,DataQ!AF:AF)</f>
        <v>2294.29</v>
      </c>
      <c r="AB52" s="10">
        <f>SUMIF(DataQ!$B:$B,DataA!$A52,DataQ!AG:AG)</f>
        <v>1747.6709999999998</v>
      </c>
      <c r="AC52" s="10">
        <f>SUMIF(DataQ!$B:$B,DataA!$A52,DataQ!AH:AH)</f>
        <v>2140641</v>
      </c>
    </row>
    <row r="53" spans="1:29" x14ac:dyDescent="0.25">
      <c r="A53">
        <v>2018</v>
      </c>
      <c r="B53" s="10">
        <f>SUMIF(DataQ!$B:$B,DataA!$A53,DataQ!G:G)</f>
        <v>2434694</v>
      </c>
      <c r="C53" s="10">
        <f>SUMIF(DataQ!$B:$B,DataA!$A53,DataQ!H:H)</f>
        <v>20193.925000000003</v>
      </c>
      <c r="D53" s="10">
        <f>SUMIF(DataQ!$B:$B,DataA!$A53,DataQ!I:I)</f>
        <v>554698.19999999995</v>
      </c>
      <c r="E53" s="10">
        <f>SUMIF(DataQ!$B:$B,DataA!$A53,DataQ!J:J)</f>
        <v>3569.5200000000004</v>
      </c>
      <c r="F53" s="10">
        <f>SUMIF(DataQ!$B:$B,DataA!$A53,DataQ!K:K)</f>
        <v>2456.56</v>
      </c>
      <c r="G53" s="10">
        <f>SUMIF(DataQ!$B:$B,DataA!$A53,DataQ!L:L)</f>
        <v>1825.326</v>
      </c>
      <c r="H53" s="10">
        <f>SUMIF(DataQ!$B:$B,DataA!$A53,DataQ!M:M)</f>
        <v>2199358.1</v>
      </c>
      <c r="I53" s="10">
        <f>SUMIF(DataQ!$B:$B,DataA!$A53,DataQ!N:N)</f>
        <v>-51794</v>
      </c>
      <c r="J53" s="10">
        <f>SUMIF(DataQ!$B:$B,DataA!$A53,DataQ!O:O)</f>
        <v>-1247.075</v>
      </c>
      <c r="K53" s="10">
        <f>SUMIF(DataQ!$B:$B,DataA!$A53,DataQ!P:P)</f>
        <v>-13756.75</v>
      </c>
      <c r="L53" s="10">
        <f>SUMIF(DataQ!$B:$B,DataA!$A53,DataQ!Q:Q)</f>
        <v>64.665999999999997</v>
      </c>
      <c r="M53" s="10">
        <f>SUMIF(DataQ!$B:$B,DataA!$A53,DataQ!R:R)</f>
        <v>-54.612999999999992</v>
      </c>
      <c r="N53" s="10">
        <f>SUMIF(DataQ!$B:$B,DataA!$A53,DataQ!S:S)</f>
        <v>-38.967995000000002</v>
      </c>
      <c r="O53" s="10">
        <f>SUMIF(DataQ!$B:$B,DataA!$A53,DataQ!T:T)</f>
        <v>22413</v>
      </c>
      <c r="P53" s="10">
        <f>SUMIF(DataQ!$E:$E,DataA!$A53,DataQ!U:U)</f>
        <v>1858410</v>
      </c>
      <c r="Q53" s="10">
        <f>SUMIF(DataQ!$E:$E,DataA!$A53,DataQ!V:V)</f>
        <v>28281.55</v>
      </c>
      <c r="R53" s="10">
        <f>SUMIF(DataQ!$E:$E,DataA!$A53,DataQ!W:W)</f>
        <v>1234636</v>
      </c>
      <c r="S53" s="10">
        <f>SUMIF(DataQ!$E:$E,DataA!$A53,DataQ!X:X)</f>
        <v>1914.05</v>
      </c>
      <c r="T53" s="10">
        <f>SUMIF(DataQ!$E:$E,DataA!$A53,DataQ!Y:Y)</f>
        <v>3009.4389999999999</v>
      </c>
      <c r="U53" s="10">
        <f>SUMIF(DataQ!$E:$E,DataA!$A53,DataQ!Z:Z)</f>
        <v>2613.962</v>
      </c>
      <c r="V53" s="10">
        <f>SUMIF(DataQ!$E:$E,DataA!$A53,DataQ!AA:AA)</f>
        <v>2129521</v>
      </c>
      <c r="W53" s="10">
        <f>SUMIF(DataQ!$B:$B,DataA!$A53,DataQ!AB:AB)</f>
        <v>2152304</v>
      </c>
      <c r="X53" s="10">
        <f>SUMIF(DataQ!$B:$B,DataA!$A53,DataQ!AC:AC)</f>
        <v>20656.525000000001</v>
      </c>
      <c r="Y53" s="10">
        <f>SUMIF(DataQ!$B:$B,DataA!$A53,DataQ!AD:AD)</f>
        <v>556551</v>
      </c>
      <c r="Z53" s="10">
        <f>SUMIF(DataQ!$B:$B,DataA!$A53,DataQ!AE:AE)</f>
        <v>3438.806</v>
      </c>
      <c r="AA53" s="10">
        <f>SUMIF(DataQ!$B:$B,DataA!$A53,DataQ!AF:AF)</f>
        <v>2356.9340000000002</v>
      </c>
      <c r="AB53" s="10">
        <f>SUMIF(DataQ!$B:$B,DataA!$A53,DataQ!AG:AG)</f>
        <v>1778.3969999999999</v>
      </c>
      <c r="AC53" s="10">
        <f>SUMIF(DataQ!$B:$B,DataA!$A53,DataQ!AH:AH)</f>
        <v>2235675</v>
      </c>
    </row>
    <row r="54" spans="1:29" x14ac:dyDescent="0.25">
      <c r="A54">
        <v>2019</v>
      </c>
      <c r="B54" s="10">
        <f>SUMIF(DataQ!$B:$B,DataA!$A54,DataQ!G:G)</f>
        <v>2474245</v>
      </c>
      <c r="C54" s="10">
        <f>SUMIF(DataQ!$B:$B,DataA!$A54,DataQ!H:H)</f>
        <v>20715.650000000001</v>
      </c>
      <c r="D54" s="10">
        <f>SUMIF(DataQ!$B:$B,DataA!$A54,DataQ!I:I)</f>
        <v>552504.4</v>
      </c>
      <c r="E54" s="10">
        <f>SUMIF(DataQ!$B:$B,DataA!$A54,DataQ!J:J)</f>
        <v>3605.56</v>
      </c>
      <c r="F54" s="10">
        <f>SUMIF(DataQ!$B:$B,DataA!$A54,DataQ!K:K)</f>
        <v>2507.915</v>
      </c>
      <c r="G54" s="10">
        <f>SUMIF(DataQ!$B:$B,DataA!$A54,DataQ!L:L)</f>
        <v>1832.9390000000001</v>
      </c>
      <c r="H54" s="10">
        <f>SUMIF(DataQ!$B:$B,DataA!$A54,DataQ!M:M)</f>
        <v>2241331.2999999998</v>
      </c>
      <c r="I54" s="10">
        <f>SUMIF(DataQ!$B:$B,DataA!$A54,DataQ!N:N)</f>
        <v>-51581</v>
      </c>
      <c r="J54" s="10">
        <f>SUMIF(DataQ!$B:$B,DataA!$A54,DataQ!O:O)</f>
        <v>-1427.6388000000002</v>
      </c>
      <c r="K54" s="10">
        <f>SUMIF(DataQ!$B:$B,DataA!$A54,DataQ!P:P)</f>
        <v>-16986.25</v>
      </c>
      <c r="L54" s="10">
        <f>SUMIF(DataQ!$B:$B,DataA!$A54,DataQ!Q:Q)</f>
        <v>46.949000000000005</v>
      </c>
      <c r="M54" s="10">
        <f>SUMIF(DataQ!$B:$B,DataA!$A54,DataQ!R:R)</f>
        <v>-58.422000000000004</v>
      </c>
      <c r="N54" s="10">
        <f>SUMIF(DataQ!$B:$B,DataA!$A54,DataQ!S:S)</f>
        <v>-26.160995300000003</v>
      </c>
      <c r="O54" s="10">
        <f>SUMIF(DataQ!$B:$B,DataA!$A54,DataQ!T:T)</f>
        <v>7004</v>
      </c>
      <c r="P54" s="10">
        <f>SUMIF(DataQ!$E:$E,DataA!$A54,DataQ!U:U)</f>
        <v>1913514</v>
      </c>
      <c r="Q54" s="10">
        <f>SUMIF(DataQ!$E:$E,DataA!$A54,DataQ!V:V)</f>
        <v>29150.46</v>
      </c>
      <c r="R54" s="10">
        <f>SUMIF(DataQ!$E:$E,DataA!$A54,DataQ!W:W)</f>
        <v>1249037</v>
      </c>
      <c r="S54" s="10">
        <f>SUMIF(DataQ!$E:$E,DataA!$A54,DataQ!X:X)</f>
        <v>1899.1679999999999</v>
      </c>
      <c r="T54" s="10">
        <f>SUMIF(DataQ!$E:$E,DataA!$A54,DataQ!Y:Y)</f>
        <v>3092.223</v>
      </c>
      <c r="U54" s="10">
        <f>SUMIF(DataQ!$E:$E,DataA!$A54,DataQ!Z:Z)</f>
        <v>2785.43</v>
      </c>
      <c r="V54" s="10">
        <f>SUMIF(DataQ!$E:$E,DataA!$A54,DataQ!AA:AA)</f>
        <v>2237183</v>
      </c>
      <c r="W54" s="10">
        <f>SUMIF(DataQ!$B:$B,DataA!$A54,DataQ!AB:AB)</f>
        <v>2233921</v>
      </c>
      <c r="X54" s="10">
        <f>SUMIF(DataQ!$B:$B,DataA!$A54,DataQ!AC:AC)</f>
        <v>21539.974999999999</v>
      </c>
      <c r="Y54" s="10">
        <f>SUMIF(DataQ!$B:$B,DataA!$A54,DataQ!AD:AD)</f>
        <v>557848.9</v>
      </c>
      <c r="Z54" s="10">
        <f>SUMIF(DataQ!$B:$B,DataA!$A54,DataQ!AE:AE)</f>
        <v>3543.4849999999997</v>
      </c>
      <c r="AA54" s="10">
        <f>SUMIF(DataQ!$B:$B,DataA!$A54,DataQ!AF:AF)</f>
        <v>2435.248</v>
      </c>
      <c r="AB54" s="10">
        <f>SUMIF(DataQ!$B:$B,DataA!$A54,DataQ!AG:AG)</f>
        <v>1804.5050000000001</v>
      </c>
      <c r="AC54" s="10">
        <f>SUMIF(DataQ!$B:$B,DataA!$A54,DataQ!AH:AH)</f>
        <v>2313563</v>
      </c>
    </row>
    <row r="55" spans="1:29" x14ac:dyDescent="0.25">
      <c r="A55">
        <v>2020</v>
      </c>
      <c r="B55" s="10">
        <f>SUMIF(DataQ!$B:$B,DataA!$A55,DataQ!G:G)</f>
        <v>2219474</v>
      </c>
      <c r="C55" s="10">
        <f>SUMIF(DataQ!$B:$B,DataA!$A55,DataQ!H:H)</f>
        <v>20267.575000000001</v>
      </c>
      <c r="D55" s="10">
        <f>SUMIF(DataQ!$B:$B,DataA!$A55,DataQ!I:I)</f>
        <v>529269.19999999995</v>
      </c>
      <c r="E55" s="10">
        <f>SUMIF(DataQ!$B:$B,DataA!$A55,DataQ!J:J)</f>
        <v>3443.8100000000004</v>
      </c>
      <c r="F55" s="10">
        <f>SUMIF(DataQ!$B:$B,DataA!$A55,DataQ!K:K)</f>
        <v>2317.2289999999998</v>
      </c>
      <c r="G55" s="10">
        <f>SUMIF(DataQ!$B:$B,DataA!$A55,DataQ!L:L)</f>
        <v>1668.855</v>
      </c>
      <c r="H55" s="10">
        <f>SUMIF(DataQ!$B:$B,DataA!$A55,DataQ!M:M)</f>
        <v>2128407.7999999998</v>
      </c>
      <c r="I55" s="10">
        <f>SUMIF(DataQ!$B:$B,DataA!$A55,DataQ!N:N)</f>
        <v>-272954.01</v>
      </c>
      <c r="J55" s="10">
        <f>SUMIF(DataQ!$B:$B,DataA!$A55,DataQ!O:O)</f>
        <v>-3177.6414</v>
      </c>
      <c r="K55" s="10">
        <f>SUMIF(DataQ!$B:$B,DataA!$A55,DataQ!P:P)</f>
        <v>-48973.5</v>
      </c>
      <c r="L55" s="10">
        <f>SUMIF(DataQ!$B:$B,DataA!$A55,DataQ!Q:Q)</f>
        <v>-151.131</v>
      </c>
      <c r="M55" s="10">
        <f>SUMIF(DataQ!$B:$B,DataA!$A55,DataQ!R:R)</f>
        <v>-207.06299999999999</v>
      </c>
      <c r="N55" s="10">
        <f>SUMIF(DataQ!$B:$B,DataA!$A55,DataQ!S:S)</f>
        <v>-156.62699000000001</v>
      </c>
      <c r="O55" s="10">
        <f>SUMIF(DataQ!$B:$B,DataA!$A55,DataQ!T:T)</f>
        <v>-231827.01</v>
      </c>
      <c r="P55" s="10">
        <f>SUMIF(DataQ!$E:$E,DataA!$A55,DataQ!U:U)</f>
        <v>2226332</v>
      </c>
      <c r="Q55" s="10">
        <f>SUMIF(DataQ!$E:$E,DataA!$A55,DataQ!V:V)</f>
        <v>33791.4</v>
      </c>
      <c r="R55" s="10">
        <f>SUMIF(DataQ!$E:$E,DataA!$A55,DataQ!W:W)</f>
        <v>1297639</v>
      </c>
      <c r="S55" s="10">
        <f>SUMIF(DataQ!$E:$E,DataA!$A55,DataQ!X:X)</f>
        <v>2171.7979999999998</v>
      </c>
      <c r="T55" s="10">
        <f>SUMIF(DataQ!$E:$E,DataA!$A55,DataQ!Y:Y)</f>
        <v>3530.5149999999999</v>
      </c>
      <c r="U55" s="10">
        <f>SUMIF(DataQ!$E:$E,DataA!$A55,DataQ!Z:Z)</f>
        <v>3063.1210000000001</v>
      </c>
      <c r="V55" s="10">
        <f>SUMIF(DataQ!$E:$E,DataA!$A55,DataQ!AA:AA)</f>
        <v>2855359</v>
      </c>
      <c r="W55" s="10">
        <f>SUMIF(DataQ!$B:$B,DataA!$A55,DataQ!AB:AB)</f>
        <v>2103486</v>
      </c>
      <c r="X55" s="10">
        <f>SUMIF(DataQ!$B:$B,DataA!$A55,DataQ!AC:AC)</f>
        <v>21354.125</v>
      </c>
      <c r="Y55" s="10">
        <f>SUMIF(DataQ!$B:$B,DataA!$A55,DataQ!AD:AD)</f>
        <v>539436.80000000005</v>
      </c>
      <c r="Z55" s="10">
        <f>SUMIF(DataQ!$B:$B,DataA!$A55,DataQ!AE:AE)</f>
        <v>3443.8310000000001</v>
      </c>
      <c r="AA55" s="10">
        <f>SUMIF(DataQ!$B:$B,DataA!$A55,DataQ!AF:AF)</f>
        <v>2317.2930000000001</v>
      </c>
      <c r="AB55" s="10">
        <f>SUMIF(DataQ!$B:$B,DataA!$A55,DataQ!AG:AG)</f>
        <v>1668.855</v>
      </c>
      <c r="AC55" s="10">
        <f>SUMIF(DataQ!$B:$B,DataA!$A55,DataQ!AH:AH)</f>
        <v>2220527</v>
      </c>
    </row>
    <row r="56" spans="1:29" x14ac:dyDescent="0.25">
      <c r="A56">
        <v>2021</v>
      </c>
      <c r="B56" s="10">
        <f>SUMIF(DataQ!$B:$B,DataA!$A56,DataQ!G:G)</f>
        <v>2409815</v>
      </c>
      <c r="C56" s="10">
        <f>SUMIF(DataQ!$B:$B,DataA!$A56,DataQ!H:H)</f>
        <v>21494.800000000003</v>
      </c>
      <c r="D56" s="10">
        <f>SUMIF(DataQ!$B:$B,DataA!$A56,DataQ!I:I)</f>
        <v>543951.1</v>
      </c>
      <c r="E56" s="10">
        <f>SUMIF(DataQ!$B:$B,DataA!$A56,DataQ!J:J)</f>
        <v>3576.9300000000003</v>
      </c>
      <c r="F56" s="10">
        <f>SUMIF(DataQ!$B:$B,DataA!$A56,DataQ!K:K)</f>
        <v>2474.6530000000002</v>
      </c>
      <c r="G56" s="10">
        <f>SUMIF(DataQ!$B:$B,DataA!$A56,DataQ!L:L)</f>
        <v>1815.8519999999999</v>
      </c>
      <c r="H56" s="10">
        <f>SUMIF(DataQ!$B:$B,DataA!$A56,DataQ!M:M)</f>
        <v>2255059.2999999998</v>
      </c>
      <c r="I56" s="10">
        <f>SUMIF(DataQ!$B:$B,DataA!$A56,DataQ!N:N)</f>
        <v>-163093</v>
      </c>
      <c r="J56" s="10">
        <f>SUMIF(DataQ!$B:$B,DataA!$A56,DataQ!O:O)</f>
        <v>-2791.3496000000005</v>
      </c>
      <c r="K56" s="10">
        <f>SUMIF(DataQ!$B:$B,DataA!$A56,DataQ!P:P)</f>
        <v>-33890.5</v>
      </c>
      <c r="L56" s="10">
        <f>SUMIF(DataQ!$B:$B,DataA!$A56,DataQ!Q:Q)</f>
        <v>-116.629</v>
      </c>
      <c r="M56" s="10">
        <f>SUMIF(DataQ!$B:$B,DataA!$A56,DataQ!R:R)</f>
        <v>-165.12700000000001</v>
      </c>
      <c r="N56" s="10">
        <f>SUMIF(DataQ!$B:$B,DataA!$A56,DataQ!S:S)</f>
        <v>-163.60300000000001</v>
      </c>
      <c r="O56" s="10">
        <f>SUMIF(DataQ!$B:$B,DataA!$A56,DataQ!T:T)</f>
        <v>-73608</v>
      </c>
      <c r="P56" s="10">
        <f>SUMIF(DataQ!$E:$E,DataA!$A56,DataQ!U:U)</f>
        <v>2402658</v>
      </c>
      <c r="Q56" s="10">
        <f>SUMIF(DataQ!$E:$E,DataA!$A56,DataQ!V:V)</f>
        <v>34673.699999999997</v>
      </c>
      <c r="R56" s="10">
        <f>SUMIF(DataQ!$E:$E,DataA!$A56,DataQ!W:W)</f>
        <v>1331569</v>
      </c>
      <c r="S56" s="10">
        <f>SUMIF(DataQ!$E:$E,DataA!$A56,DataQ!X:X)</f>
        <v>2319.9110000000001</v>
      </c>
      <c r="T56" s="10">
        <f>SUMIF(DataQ!$E:$E,DataA!$A56,DataQ!Y:Y)</f>
        <v>3614.22</v>
      </c>
      <c r="U56" s="10">
        <f>SUMIF(DataQ!$E:$E,DataA!$A56,DataQ!Z:Z)</f>
        <v>3138.5120000000002</v>
      </c>
      <c r="V56" s="10">
        <f>SUMIF(DataQ!$E:$E,DataA!$A56,DataQ!AA:AA)</f>
        <v>2987687</v>
      </c>
      <c r="W56" s="10">
        <f>SUMIF(DataQ!$B:$B,DataA!$A56,DataQ!AB:AB)</f>
        <v>2285400</v>
      </c>
      <c r="X56" s="10">
        <f>SUMIF(DataQ!$B:$B,DataA!$A56,DataQ!AC:AC)</f>
        <v>23681.174999999999</v>
      </c>
      <c r="Y56" s="10">
        <f>SUMIF(DataQ!$B:$B,DataA!$A56,DataQ!AD:AD)</f>
        <v>553283.4</v>
      </c>
      <c r="Z56" s="10">
        <f>SUMIF(DataQ!$B:$B,DataA!$A56,DataQ!AE:AE)</f>
        <v>3673.1949999999997</v>
      </c>
      <c r="AA56" s="10">
        <f>SUMIF(DataQ!$B:$B,DataA!$A56,DataQ!AF:AF)</f>
        <v>2504.873</v>
      </c>
      <c r="AB56" s="10">
        <f>SUMIF(DataQ!$B:$B,DataA!$A56,DataQ!AG:AG)</f>
        <v>1839.1789999999999</v>
      </c>
      <c r="AC56" s="10">
        <f>SUMIF(DataQ!$B:$B,DataA!$A56,DataQ!AH:AH)</f>
        <v>2535818</v>
      </c>
    </row>
    <row r="57" spans="1:29" x14ac:dyDescent="0.25">
      <c r="A57">
        <v>2022</v>
      </c>
      <c r="B57" s="10">
        <f>SUMIF(DataQ!$B:$B,DataA!$A57,DataQ!G:G)</f>
        <v>2526428</v>
      </c>
      <c r="C57" s="10">
        <f>SUMIF(DataQ!$B:$B,DataA!$A57,DataQ!H:H)</f>
        <v>22034.850000000002</v>
      </c>
      <c r="D57" s="10">
        <f>SUMIF(DataQ!$B:$B,DataA!$A57,DataQ!I:I)</f>
        <v>549019.79999999993</v>
      </c>
      <c r="E57" s="10">
        <f>SUMIF(DataQ!$B:$B,DataA!$A57,DataQ!J:J)</f>
        <v>3644.39</v>
      </c>
      <c r="F57" s="10">
        <f>SUMIF(DataQ!$B:$B,DataA!$A57,DataQ!K:K)</f>
        <v>2543.9660000000003</v>
      </c>
      <c r="G57" s="10">
        <f>SUMIF(DataQ!$B:$B,DataA!$A57,DataQ!L:L)</f>
        <v>1906.1860000000001</v>
      </c>
      <c r="H57" s="10">
        <f>SUMIF(DataQ!$B:$B,DataA!$A57,DataQ!M:M)</f>
        <v>2349524.7000000002</v>
      </c>
      <c r="I57" s="10">
        <f>SUMIF(DataQ!$B:$B,DataA!$A57,DataQ!N:N)</f>
        <v>-108627</v>
      </c>
      <c r="J57" s="10">
        <f>SUMIF(DataQ!$B:$B,DataA!$A57,DataQ!O:O)</f>
        <v>-1039.8813</v>
      </c>
      <c r="K57" s="10">
        <f>SUMIF(DataQ!$B:$B,DataA!$A57,DataQ!P:P)</f>
        <v>-23587.5</v>
      </c>
      <c r="L57" s="10">
        <f>SUMIF(DataQ!$B:$B,DataA!$A57,DataQ!Q:Q)</f>
        <v>-76.13900000000001</v>
      </c>
      <c r="M57" s="10">
        <f>SUMIF(DataQ!$B:$B,DataA!$A57,DataQ!R:R)</f>
        <v>-126.036</v>
      </c>
      <c r="N57" s="10">
        <f>SUMIF(DataQ!$B:$B,DataA!$A57,DataQ!S:S)</f>
        <v>-162.03001</v>
      </c>
      <c r="O57" s="10">
        <f>SUMIF(DataQ!$B:$B,DataA!$A57,DataQ!T:T)</f>
        <v>26901</v>
      </c>
      <c r="P57" s="10">
        <f>SUMIF(DataQ!$E:$E,DataA!$A57,DataQ!U:U)</f>
        <v>2516668</v>
      </c>
      <c r="Q57" s="10">
        <f>SUMIF(DataQ!$E:$E,DataA!$A57,DataQ!V:V)</f>
        <v>35599.07</v>
      </c>
      <c r="R57" s="10">
        <f>SUMIF(DataQ!$E:$E,DataA!$A57,DataQ!W:W)</f>
        <v>1345463</v>
      </c>
      <c r="S57" s="10">
        <f>SUMIF(DataQ!$E:$E,DataA!$A57,DataQ!X:X)</f>
        <v>2367.6869999999999</v>
      </c>
      <c r="T57" s="10">
        <f>SUMIF(DataQ!$E:$E,DataA!$A57,DataQ!Y:Y)</f>
        <v>3250.3380000000002</v>
      </c>
      <c r="U57" s="10">
        <f>SUMIF(DataQ!$E:$E,DataA!$A57,DataQ!Z:Z)</f>
        <v>2899.8159999999998</v>
      </c>
      <c r="V57" s="10">
        <f>SUMIF(DataQ!$E:$E,DataA!$A57,DataQ!AA:AA)</f>
        <v>2816866</v>
      </c>
      <c r="W57" s="10">
        <f>SUMIF(DataQ!$B:$B,DataA!$A57,DataQ!AB:AB)</f>
        <v>2526428</v>
      </c>
      <c r="X57" s="10">
        <f>SUMIF(DataQ!$B:$B,DataA!$A57,DataQ!AC:AC)</f>
        <v>26006.9</v>
      </c>
      <c r="Y57" s="10">
        <f>SUMIF(DataQ!$B:$B,DataA!$A57,DataQ!AD:AD)</f>
        <v>560610.4</v>
      </c>
      <c r="Z57" s="10">
        <f>SUMIF(DataQ!$B:$B,DataA!$A57,DataQ!AE:AE)</f>
        <v>3982.7819999999997</v>
      </c>
      <c r="AA57" s="10">
        <f>SUMIF(DataQ!$B:$B,DataA!$A57,DataQ!AF:AF)</f>
        <v>2652.8109999999997</v>
      </c>
      <c r="AB57" s="10">
        <f>SUMIF(DataQ!$B:$B,DataA!$A57,DataQ!AG:AG)</f>
        <v>1997.3390000000002</v>
      </c>
      <c r="AC57" s="10">
        <f>SUMIF(DataQ!$B:$B,DataA!$A57,DataQ!AH:AH)</f>
        <v>2850940</v>
      </c>
    </row>
    <row r="58" spans="1:29" x14ac:dyDescent="0.25">
      <c r="A58">
        <v>2023</v>
      </c>
      <c r="B58" s="10">
        <f>SUMIF(DataQ!$B:$B,DataA!$A58,DataQ!G:G)</f>
        <v>2536460</v>
      </c>
      <c r="C58" s="10">
        <f>SUMIF(DataQ!$B:$B,DataA!$A58,DataQ!H:H)</f>
        <v>22671.075000000004</v>
      </c>
      <c r="D58" s="10">
        <f>SUMIF(DataQ!$B:$B,DataA!$A58,DataQ!I:I)</f>
        <v>555855.39999999991</v>
      </c>
      <c r="E58" s="10">
        <f>SUMIF(DataQ!$B:$B,DataA!$A58,DataQ!J:J)</f>
        <v>3619.79</v>
      </c>
      <c r="F58" s="10">
        <f>SUMIF(DataQ!$B:$B,DataA!$A58,DataQ!K:K)</f>
        <v>2585.16</v>
      </c>
      <c r="G58" s="10">
        <f>SUMIF(DataQ!$B:$B,DataA!$A58,DataQ!L:L)</f>
        <v>1921.7059999999999</v>
      </c>
      <c r="H58" s="10">
        <f>SUMIF(DataQ!$B:$B,DataA!$A58,DataQ!M:M)</f>
        <v>2385442.9000000004</v>
      </c>
      <c r="I58" s="10">
        <f>SUMIF(DataQ!$B:$B,DataA!$A58,DataQ!N:N)</f>
        <v>-141418</v>
      </c>
      <c r="J58" s="10">
        <f>SUMIF(DataQ!$B:$B,DataA!$A58,DataQ!O:O)</f>
        <v>-2089.9223999999999</v>
      </c>
      <c r="K58" s="10">
        <f>SUMIF(DataQ!$B:$B,DataA!$A58,DataQ!P:P)</f>
        <v>-13346.25</v>
      </c>
      <c r="L58" s="10">
        <f>SUMIF(DataQ!$B:$B,DataA!$A58,DataQ!Q:Q)</f>
        <v>-105.248</v>
      </c>
      <c r="M58" s="10">
        <f>SUMIF(DataQ!$B:$B,DataA!$A58,DataQ!R:R)</f>
        <v>-151.79599999999999</v>
      </c>
      <c r="N58" s="10">
        <f>SUMIF(DataQ!$B:$B,DataA!$A58,DataQ!S:S)</f>
        <v>-154.28399999999999</v>
      </c>
      <c r="O58" s="10">
        <f>SUMIF(DataQ!$B:$B,DataA!$A58,DataQ!T:T)</f>
        <v>14088</v>
      </c>
      <c r="P58" s="10">
        <f>SUMIF(DataQ!$E:$E,DataA!$A58,DataQ!U:U)</f>
        <v>2721026</v>
      </c>
      <c r="Q58" s="10">
        <f>SUMIF(DataQ!$E:$E,DataA!$A58,DataQ!V:V)</f>
        <v>38131.93</v>
      </c>
      <c r="R58" s="10">
        <f>SUMIF(DataQ!$E:$E,DataA!$A58,DataQ!W:W)</f>
        <v>1341028</v>
      </c>
      <c r="S58" s="10">
        <f>SUMIF(DataQ!$E:$E,DataA!$A58,DataQ!X:X)</f>
        <v>2445.6909999999998</v>
      </c>
      <c r="T58" s="10">
        <f>SUMIF(DataQ!$E:$E,DataA!$A58,DataQ!Y:Y)</f>
        <v>3470.0250000000001</v>
      </c>
      <c r="U58" s="10">
        <f>SUMIF(DataQ!$E:$E,DataA!$A58,DataQ!Z:Z)</f>
        <v>3160.433</v>
      </c>
      <c r="V58" s="10">
        <f>SUMIF(DataQ!$E:$E,DataA!$A58,DataQ!AA:AA)</f>
        <v>3052045</v>
      </c>
      <c r="W58" s="10">
        <f>SUMIF(DataQ!$B:$B,DataA!$A58,DataQ!AB:AB)</f>
        <v>2711185</v>
      </c>
      <c r="X58" s="10">
        <f>SUMIF(DataQ!$B:$B,DataA!$A58,DataQ!AC:AC)</f>
        <v>27720.724999999999</v>
      </c>
      <c r="Y58" s="10">
        <f>SUMIF(DataQ!$B:$B,DataA!$A58,DataQ!AD:AD)</f>
        <v>590645.39999999991</v>
      </c>
      <c r="Z58" s="10">
        <f>SUMIF(DataQ!$B:$B,DataA!$A58,DataQ!AE:AE)</f>
        <v>4220.7809999999999</v>
      </c>
      <c r="AA58" s="10">
        <f>SUMIF(DataQ!$B:$B,DataA!$A58,DataQ!AF:AF)</f>
        <v>2830.1990000000001</v>
      </c>
      <c r="AB58" s="10">
        <f>SUMIF(DataQ!$B:$B,DataA!$A58,DataQ!AG:AG)</f>
        <v>2132.683</v>
      </c>
      <c r="AC58" s="10">
        <f>SUMIF(DataQ!$B:$B,DataA!$A58,DataQ!AH:AH)</f>
        <v>2933810</v>
      </c>
    </row>
    <row r="59" spans="1:29" x14ac:dyDescent="0.25">
      <c r="A59">
        <v>2024</v>
      </c>
      <c r="B59" s="10">
        <f>SUMIF(DataQ!$B:$B,DataA!$A59,DataQ!G:G)</f>
        <v>2564378</v>
      </c>
      <c r="C59" s="10">
        <f>SUMIF(DataQ!$B:$B,DataA!$A59,DataQ!H:H)</f>
        <v>23305</v>
      </c>
      <c r="D59" s="10">
        <f>SUMIF(DataQ!$B:$B,DataA!$A59,DataQ!I:I)</f>
        <v>556466.5</v>
      </c>
      <c r="E59" s="10">
        <f>SUMIF(DataQ!$B:$B,DataA!$A59,DataQ!J:J)</f>
        <v>3602.72</v>
      </c>
      <c r="F59" s="10">
        <f>SUMIF(DataQ!$B:$B,DataA!$A59,DataQ!K:K)</f>
        <v>2613.6579999999999</v>
      </c>
      <c r="G59" s="10">
        <f>SUMIF(DataQ!$B:$B,DataA!$A59,DataQ!L:L)</f>
        <v>1931.691</v>
      </c>
      <c r="H59" s="10">
        <f>SUMIF(DataQ!$B:$B,DataA!$A59,DataQ!M:M)</f>
        <v>2422531.6</v>
      </c>
      <c r="I59" s="10">
        <f>SUMIF(DataQ!$B:$B,DataA!$A59,DataQ!N:N)</f>
        <v>-146009</v>
      </c>
      <c r="J59" s="10">
        <f>SUMIF(DataQ!$B:$B,DataA!$A59,DataQ!O:O)</f>
        <v>-2193.1612</v>
      </c>
      <c r="K59" s="10">
        <f>SUMIF(DataQ!$B:$B,DataA!$A59,DataQ!P:P)</f>
        <v>-13142.73</v>
      </c>
      <c r="L59" s="10">
        <f>SUMIF(DataQ!$B:$B,DataA!$A59,DataQ!Q:Q)</f>
        <v>-115.29399999999998</v>
      </c>
      <c r="M59" s="10">
        <f>SUMIF(DataQ!$B:$B,DataA!$A59,DataQ!R:R)</f>
        <v>-169.69799999999998</v>
      </c>
      <c r="N59" s="10">
        <f>SUMIF(DataQ!$B:$B,DataA!$A59,DataQ!S:S)</f>
        <v>-75.546999999999997</v>
      </c>
      <c r="O59" s="10">
        <f>SUMIF(DataQ!$B:$B,DataA!$A59,DataQ!T:T)</f>
        <v>-39970</v>
      </c>
      <c r="P59" s="10">
        <f>SUMIF(DataQ!$E:$E,DataA!$A59,DataQ!U:U)</f>
        <v>2887750</v>
      </c>
      <c r="Q59" s="10">
        <f>SUMIF(DataQ!$E:$E,DataA!$A59,DataQ!V:V)</f>
        <v>40325.089999999997</v>
      </c>
      <c r="R59" s="10">
        <f>SUMIF(DataQ!$E:$E,DataA!$A59,DataQ!W:W)</f>
        <v>1354171</v>
      </c>
      <c r="S59" s="10">
        <f>SUMIF(DataQ!$E:$E,DataA!$A59,DataQ!X:X)</f>
        <v>2508.9850000000001</v>
      </c>
      <c r="T59" s="10">
        <f>SUMIF(DataQ!$E:$E,DataA!$A59,DataQ!Y:Y)</f>
        <v>3601.4189999999999</v>
      </c>
      <c r="U59" s="10">
        <f>SUMIF(DataQ!$E:$E,DataA!$A59,DataQ!Z:Z)</f>
        <v>3255.3339999999998</v>
      </c>
      <c r="V59" s="10">
        <f>SUMIF(DataQ!$E:$E,DataA!$A59,DataQ!AA:AA)</f>
        <v>3293439</v>
      </c>
      <c r="W59" s="10">
        <f>SUMIF(DataQ!$B:$B,DataA!$A59,DataQ!AB:AB)</f>
        <v>2850989</v>
      </c>
      <c r="X59" s="10">
        <f>SUMIF(DataQ!$B:$B,DataA!$A59,DataQ!AC:AC)</f>
        <v>29184.9</v>
      </c>
      <c r="Y59" s="10">
        <f>SUMIF(DataQ!$B:$B,DataA!$A59,DataQ!AD:AD)</f>
        <v>608312.80000000005</v>
      </c>
      <c r="Z59" s="10">
        <f>SUMIF(DataQ!$B:$B,DataA!$A59,DataQ!AE:AE)</f>
        <v>4331.4189999999999</v>
      </c>
      <c r="AA59" s="10">
        <f>SUMIF(DataQ!$B:$B,DataA!$A59,DataQ!AF:AF)</f>
        <v>2921.2070000000003</v>
      </c>
      <c r="AB59" s="10">
        <f>SUMIF(DataQ!$B:$B,DataA!$A59,DataQ!AG:AG)</f>
        <v>2189.096</v>
      </c>
      <c r="AC59" s="10">
        <f>SUMIF(DataQ!$B:$B,DataA!$A59,DataQ!AH:AH)</f>
        <v>3072346</v>
      </c>
    </row>
    <row r="60" spans="1:29" x14ac:dyDescent="0.25">
      <c r="A60">
        <v>2025</v>
      </c>
      <c r="B60" s="10">
        <f>SUMIF(DataQ!$B:$B,DataA!$A60,DataQ!G:G)</f>
        <v>2596689.4000000004</v>
      </c>
      <c r="C60" s="10">
        <f>SUMIF(DataQ!$B:$B,DataA!$A60,DataQ!H:H)</f>
        <v>23745.923999999999</v>
      </c>
      <c r="D60" s="10">
        <f>SUMIF(DataQ!$B:$B,DataA!$A60,DataQ!I:I)</f>
        <v>562241</v>
      </c>
      <c r="E60" s="10">
        <f>SUMIF(DataQ!$B:$B,DataA!$A60,DataQ!J:J)</f>
        <v>3610.8662000000004</v>
      </c>
      <c r="F60" s="10">
        <f>SUMIF(DataQ!$B:$B,DataA!$A60,DataQ!K:K)</f>
        <v>2629.2629999999999</v>
      </c>
      <c r="G60" s="10">
        <f>SUMIF(DataQ!$B:$B,DataA!$A60,DataQ!L:L)</f>
        <v>1942.4024000000002</v>
      </c>
      <c r="H60" s="10">
        <f>SUMIF(DataQ!$B:$B,DataA!$A60,DataQ!M:M)</f>
        <v>2448739.2000000002</v>
      </c>
      <c r="I60" s="10">
        <f>SUMIF(DataQ!$B:$B,DataA!$A60,DataQ!N:N)</f>
        <v>-134747.5</v>
      </c>
      <c r="J60" s="10">
        <f>SUMIF(DataQ!$B:$B,DataA!$A60,DataQ!O:O)</f>
        <v>-2163.2829999999999</v>
      </c>
      <c r="K60" s="10">
        <f>SUMIF(DataQ!$B:$B,DataA!$A60,DataQ!P:P)</f>
        <v>-18649.120999999999</v>
      </c>
      <c r="L60" s="10">
        <f>SUMIF(DataQ!$B:$B,DataA!$A60,DataQ!Q:Q)</f>
        <v>-92.056429999999992</v>
      </c>
      <c r="M60" s="10">
        <f>SUMIF(DataQ!$B:$B,DataA!$A60,DataQ!R:R)</f>
        <v>-160.61788999999999</v>
      </c>
      <c r="N60" s="10">
        <f>SUMIF(DataQ!$B:$B,DataA!$A60,DataQ!S:S)</f>
        <v>-67.410509999999988</v>
      </c>
      <c r="O60" s="10">
        <f>SUMIF(DataQ!$B:$B,DataA!$A60,DataQ!T:T)</f>
        <v>-49544.311000000002</v>
      </c>
      <c r="P60" s="10">
        <f>SUMIF(DataQ!$E:$E,DataA!$A60,DataQ!U:U)</f>
        <v>3063203</v>
      </c>
      <c r="Q60" s="10">
        <f>SUMIF(DataQ!$E:$E,DataA!$A60,DataQ!V:V)</f>
        <v>42488.37</v>
      </c>
      <c r="R60" s="10">
        <f>SUMIF(DataQ!$E:$E,DataA!$A60,DataQ!W:W)</f>
        <v>1372820</v>
      </c>
      <c r="S60" s="10">
        <f>SUMIF(DataQ!$E:$E,DataA!$A60,DataQ!X:X)</f>
        <v>2594.9630000000002</v>
      </c>
      <c r="T60" s="10">
        <f>SUMIF(DataQ!$E:$E,DataA!$A60,DataQ!Y:Y)</f>
        <v>3805.1280000000002</v>
      </c>
      <c r="U60" s="10">
        <f>SUMIF(DataQ!$E:$E,DataA!$A60,DataQ!Z:Z)</f>
        <v>3370.7919999999999</v>
      </c>
      <c r="V60" s="10">
        <f>SUMIF(DataQ!$E:$E,DataA!$A60,DataQ!AA:AA)</f>
        <v>3394659</v>
      </c>
      <c r="W60" s="10">
        <f>SUMIF(DataQ!$B:$B,DataA!$A60,DataQ!AB:AB)</f>
        <v>2988394.0999999996</v>
      </c>
      <c r="X60" s="10">
        <f>SUMIF(DataQ!$B:$B,DataA!$A60,DataQ!AC:AC)</f>
        <v>30485.383999999998</v>
      </c>
      <c r="Y60" s="10">
        <f>SUMIF(DataQ!$B:$B,DataA!$A60,DataQ!AD:AD)</f>
        <v>632369.19999999995</v>
      </c>
      <c r="Z60" s="10">
        <f>SUMIF(DataQ!$B:$B,DataA!$A60,DataQ!AE:AE)</f>
        <v>4456.4310000000005</v>
      </c>
      <c r="AA60" s="10">
        <f>SUMIF(DataQ!$B:$B,DataA!$A60,DataQ!AF:AF)</f>
        <v>2984.4537</v>
      </c>
      <c r="AB60" s="10">
        <f>SUMIF(DataQ!$B:$B,DataA!$A60,DataQ!AG:AG)</f>
        <v>2246.3334999999997</v>
      </c>
      <c r="AC60" s="10">
        <f>SUMIF(DataQ!$B:$B,DataA!$A60,DataQ!AH:AH)</f>
        <v>3170405</v>
      </c>
    </row>
    <row r="61" spans="1:29" x14ac:dyDescent="0.25">
      <c r="A61">
        <v>2026</v>
      </c>
      <c r="B61" s="10">
        <f>SUMIF(DataQ!$B:$B,DataA!$A61,DataQ!G:G)</f>
        <v>2619633.4</v>
      </c>
      <c r="C61" s="10">
        <f>SUMIF(DataQ!$B:$B,DataA!$A61,DataQ!H:H)</f>
        <v>24227.400999999998</v>
      </c>
      <c r="D61" s="10">
        <f>SUMIF(DataQ!$B:$B,DataA!$A61,DataQ!I:I)</f>
        <v>564827</v>
      </c>
      <c r="E61" s="10">
        <f>SUMIF(DataQ!$B:$B,DataA!$A61,DataQ!J:J)</f>
        <v>3639.5188000000003</v>
      </c>
      <c r="F61" s="10">
        <f>SUMIF(DataQ!$B:$B,DataA!$A61,DataQ!K:K)</f>
        <v>2646.7</v>
      </c>
      <c r="G61" s="10">
        <f>SUMIF(DataQ!$B:$B,DataA!$A61,DataQ!L:L)</f>
        <v>1952.9711</v>
      </c>
      <c r="H61" s="10">
        <f>SUMIF(DataQ!$B:$B,DataA!$A61,DataQ!M:M)</f>
        <v>2470386.2999999998</v>
      </c>
      <c r="I61" s="10">
        <f>SUMIF(DataQ!$B:$B,DataA!$A61,DataQ!N:N)</f>
        <v>-110078.969</v>
      </c>
      <c r="J61" s="10">
        <f>SUMIF(DataQ!$B:$B,DataA!$A61,DataQ!O:O)</f>
        <v>-2489.3267000000001</v>
      </c>
      <c r="K61" s="10">
        <f>SUMIF(DataQ!$B:$B,DataA!$A61,DataQ!P:P)</f>
        <v>-22510.367000000002</v>
      </c>
      <c r="L61" s="10">
        <f>SUMIF(DataQ!$B:$B,DataA!$A61,DataQ!Q:Q)</f>
        <v>-118.02459</v>
      </c>
      <c r="M61" s="10">
        <f>SUMIF(DataQ!$B:$B,DataA!$A61,DataQ!R:R)</f>
        <v>-164.21771000000001</v>
      </c>
      <c r="N61" s="10">
        <f>SUMIF(DataQ!$B:$B,DataA!$A61,DataQ!S:S)</f>
        <v>-64.241620000000012</v>
      </c>
      <c r="O61" s="10">
        <f>SUMIF(DataQ!$B:$B,DataA!$A61,DataQ!T:T)</f>
        <v>-116683.85</v>
      </c>
      <c r="P61" s="10">
        <f>SUMIF(DataQ!$E:$E,DataA!$A61,DataQ!U:U)</f>
        <v>3173282</v>
      </c>
      <c r="Q61" s="10">
        <f>SUMIF(DataQ!$E:$E,DataA!$A61,DataQ!V:V)</f>
        <v>44977.7</v>
      </c>
      <c r="R61" s="10">
        <f>SUMIF(DataQ!$E:$E,DataA!$A61,DataQ!W:W)</f>
        <v>1395330</v>
      </c>
      <c r="S61" s="10">
        <f>SUMIF(DataQ!$E:$E,DataA!$A61,DataQ!X:X)</f>
        <v>2712.9879999999998</v>
      </c>
      <c r="T61" s="10">
        <f>SUMIF(DataQ!$E:$E,DataA!$A61,DataQ!Y:Y)</f>
        <v>3969.3449999999998</v>
      </c>
      <c r="U61" s="10">
        <f>SUMIF(DataQ!$E:$E,DataA!$A61,DataQ!Z:Z)</f>
        <v>3484.4270000000001</v>
      </c>
      <c r="V61" s="10">
        <f>SUMIF(DataQ!$E:$E,DataA!$A61,DataQ!AA:AA)</f>
        <v>3511343</v>
      </c>
      <c r="W61" s="10">
        <f>SUMIF(DataQ!$B:$B,DataA!$A61,DataQ!AB:AB)</f>
        <v>3087636.2</v>
      </c>
      <c r="X61" s="10">
        <f>SUMIF(DataQ!$B:$B,DataA!$A61,DataQ!AC:AC)</f>
        <v>31752.760999999999</v>
      </c>
      <c r="Y61" s="10">
        <f>SUMIF(DataQ!$B:$B,DataA!$A61,DataQ!AD:AD)</f>
        <v>641984.6</v>
      </c>
      <c r="Z61" s="10">
        <f>SUMIF(DataQ!$B:$B,DataA!$A61,DataQ!AE:AE)</f>
        <v>4598.4189999999999</v>
      </c>
      <c r="AA61" s="10">
        <f>SUMIF(DataQ!$B:$B,DataA!$A61,DataQ!AF:AF)</f>
        <v>3060.1394999999998</v>
      </c>
      <c r="AB61" s="10">
        <f>SUMIF(DataQ!$B:$B,DataA!$A61,DataQ!AG:AG)</f>
        <v>2289.1814999999997</v>
      </c>
      <c r="AC61" s="10">
        <f>SUMIF(DataQ!$B:$B,DataA!$A61,DataQ!AH:AH)</f>
        <v>3246276</v>
      </c>
    </row>
    <row r="62" spans="1:29" x14ac:dyDescent="0.25">
      <c r="A62">
        <v>2027</v>
      </c>
      <c r="B62" s="10">
        <f>SUMIF(DataQ!$B:$B,DataA!$A62,DataQ!G:G)</f>
        <v>2654548.5</v>
      </c>
      <c r="C62" s="10">
        <f>SUMIF(DataQ!$B:$B,DataA!$A62,DataQ!H:H)</f>
        <v>24815.698</v>
      </c>
      <c r="D62" s="10">
        <f>SUMIF(DataQ!$B:$B,DataA!$A62,DataQ!I:I)</f>
        <v>567648.5</v>
      </c>
      <c r="E62" s="10">
        <f>SUMIF(DataQ!$B:$B,DataA!$A62,DataQ!J:J)</f>
        <v>3716.1264999999999</v>
      </c>
      <c r="F62" s="10">
        <f>SUMIF(DataQ!$B:$B,DataA!$A62,DataQ!K:K)</f>
        <v>2680.3300000000004</v>
      </c>
      <c r="G62" s="10">
        <f>SUMIF(DataQ!$B:$B,DataA!$A62,DataQ!L:L)</f>
        <v>1967.4896999999999</v>
      </c>
      <c r="H62" s="10">
        <f>SUMIF(DataQ!$B:$B,DataA!$A62,DataQ!M:M)</f>
        <v>2532613.2000000002</v>
      </c>
      <c r="I62" s="10">
        <f>SUMIF(DataQ!$B:$B,DataA!$A62,DataQ!N:N)</f>
        <v>-94448.847500000003</v>
      </c>
      <c r="J62" s="10">
        <f>SUMIF(DataQ!$B:$B,DataA!$A62,DataQ!O:O)</f>
        <v>-2610.9210000000003</v>
      </c>
      <c r="K62" s="10">
        <f>SUMIF(DataQ!$B:$B,DataA!$A62,DataQ!P:P)</f>
        <v>-21989.800000000003</v>
      </c>
      <c r="L62" s="10">
        <f>SUMIF(DataQ!$B:$B,DataA!$A62,DataQ!Q:Q)</f>
        <v>-139.53405000000001</v>
      </c>
      <c r="M62" s="10">
        <f>SUMIF(DataQ!$B:$B,DataA!$A62,DataQ!R:R)</f>
        <v>-160.50733</v>
      </c>
      <c r="N62" s="10">
        <f>SUMIF(DataQ!$B:$B,DataA!$A62,DataQ!S:S)</f>
        <v>-63.942120000000003</v>
      </c>
      <c r="O62" s="10">
        <f>SUMIF(DataQ!$B:$B,DataA!$A62,DataQ!T:T)</f>
        <v>-126004.53</v>
      </c>
      <c r="P62" s="10">
        <f>SUMIF(DataQ!$E:$E,DataA!$A62,DataQ!U:U)</f>
        <v>3267731</v>
      </c>
      <c r="Q62" s="10">
        <f>SUMIF(DataQ!$E:$E,DataA!$A62,DataQ!V:V)</f>
        <v>47588.62</v>
      </c>
      <c r="R62" s="10">
        <f>SUMIF(DataQ!$E:$E,DataA!$A62,DataQ!W:W)</f>
        <v>1417320</v>
      </c>
      <c r="S62" s="10">
        <f>SUMIF(DataQ!$E:$E,DataA!$A62,DataQ!X:X)</f>
        <v>2852.5219999999999</v>
      </c>
      <c r="T62" s="10">
        <f>SUMIF(DataQ!$E:$E,DataA!$A62,DataQ!Y:Y)</f>
        <v>4129.8530000000001</v>
      </c>
      <c r="U62" s="10">
        <f>SUMIF(DataQ!$E:$E,DataA!$A62,DataQ!Z:Z)</f>
        <v>3562.1849999999999</v>
      </c>
      <c r="V62" s="10">
        <f>SUMIF(DataQ!$E:$E,DataA!$A62,DataQ!AA:AA)</f>
        <v>3637347</v>
      </c>
      <c r="W62" s="10">
        <f>SUMIF(DataQ!$B:$B,DataA!$A62,DataQ!AB:AB)</f>
        <v>3200302.7</v>
      </c>
      <c r="X62" s="10">
        <f>SUMIF(DataQ!$B:$B,DataA!$A62,DataQ!AC:AC)</f>
        <v>33133.46</v>
      </c>
      <c r="Y62" s="10">
        <f>SUMIF(DataQ!$B:$B,DataA!$A62,DataQ!AD:AD)</f>
        <v>648426.4</v>
      </c>
      <c r="Z62" s="10">
        <f>SUMIF(DataQ!$B:$B,DataA!$A62,DataQ!AE:AE)</f>
        <v>4815.223</v>
      </c>
      <c r="AA62" s="10">
        <f>SUMIF(DataQ!$B:$B,DataA!$A62,DataQ!AF:AF)</f>
        <v>3159.2213999999999</v>
      </c>
      <c r="AB62" s="10">
        <f>SUMIF(DataQ!$B:$B,DataA!$A62,DataQ!AG:AG)</f>
        <v>2339.5302999999999</v>
      </c>
      <c r="AC62" s="10">
        <f>SUMIF(DataQ!$B:$B,DataA!$A62,DataQ!AH:AH)</f>
        <v>3393891.4000000004</v>
      </c>
    </row>
    <row r="63" spans="1:29" x14ac:dyDescent="0.25">
      <c r="A63">
        <v>2028</v>
      </c>
      <c r="B63" s="10">
        <f>SUMIF(DataQ!$B:$B,DataA!$A63,DataQ!G:G)</f>
        <v>2700622.6000000006</v>
      </c>
      <c r="C63" s="10">
        <f>SUMIF(DataQ!$B:$B,DataA!$A63,DataQ!H:H)</f>
        <v>25393.776999999998</v>
      </c>
      <c r="D63" s="10">
        <f>SUMIF(DataQ!$B:$B,DataA!$A63,DataQ!I:I)</f>
        <v>569106.5</v>
      </c>
      <c r="E63" s="10">
        <f>SUMIF(DataQ!$B:$B,DataA!$A63,DataQ!J:J)</f>
        <v>3801.9287000000004</v>
      </c>
      <c r="F63" s="10">
        <f>SUMIF(DataQ!$B:$B,DataA!$A63,DataQ!K:K)</f>
        <v>2721.9799999999996</v>
      </c>
      <c r="G63" s="10">
        <f>SUMIF(DataQ!$B:$B,DataA!$A63,DataQ!L:L)</f>
        <v>1982.7664999999997</v>
      </c>
      <c r="H63" s="10">
        <f>SUMIF(DataQ!$B:$B,DataA!$A63,DataQ!M:M)</f>
        <v>2586508.4</v>
      </c>
      <c r="I63" s="10">
        <f>SUMIF(DataQ!$B:$B,DataA!$A63,DataQ!N:N)</f>
        <v>-87408.223999999987</v>
      </c>
      <c r="J63" s="10">
        <f>SUMIF(DataQ!$B:$B,DataA!$A63,DataQ!O:O)</f>
        <v>-2699.0699999999997</v>
      </c>
      <c r="K63" s="10">
        <f>SUMIF(DataQ!$B:$B,DataA!$A63,DataQ!P:P)</f>
        <v>-21324.5</v>
      </c>
      <c r="L63" s="10">
        <f>SUMIF(DataQ!$B:$B,DataA!$A63,DataQ!Q:Q)</f>
        <v>-163.10425000000001</v>
      </c>
      <c r="M63" s="10">
        <f>SUMIF(DataQ!$B:$B,DataA!$A63,DataQ!R:R)</f>
        <v>-160.1028</v>
      </c>
      <c r="N63" s="10">
        <f>SUMIF(DataQ!$B:$B,DataA!$A63,DataQ!S:S)</f>
        <v>-64.262889999999999</v>
      </c>
      <c r="O63" s="10">
        <f>SUMIF(DataQ!$B:$B,DataA!$A63,DataQ!T:T)</f>
        <v>-124468.13</v>
      </c>
      <c r="P63" s="10">
        <f>SUMIF(DataQ!$E:$E,DataA!$A63,DataQ!U:U)</f>
        <v>3355139</v>
      </c>
      <c r="Q63" s="10">
        <f>SUMIF(DataQ!$E:$E,DataA!$A63,DataQ!V:V)</f>
        <v>50287.69</v>
      </c>
      <c r="R63" s="10">
        <f>SUMIF(DataQ!$E:$E,DataA!$A63,DataQ!W:W)</f>
        <v>1438645</v>
      </c>
      <c r="S63" s="10">
        <f>SUMIF(DataQ!$E:$E,DataA!$A63,DataQ!X:X)</f>
        <v>3015.6260000000002</v>
      </c>
      <c r="T63" s="10">
        <f>SUMIF(DataQ!$E:$E,DataA!$A63,DataQ!Y:Y)</f>
        <v>4289.9560000000001</v>
      </c>
      <c r="U63" s="10">
        <f>SUMIF(DataQ!$E:$E,DataA!$A63,DataQ!Z:Z)</f>
        <v>3635.8719999999998</v>
      </c>
      <c r="V63" s="10">
        <f>SUMIF(DataQ!$E:$E,DataA!$A63,DataQ!AA:AA)</f>
        <v>3761816</v>
      </c>
      <c r="W63" s="10">
        <f>SUMIF(DataQ!$B:$B,DataA!$A63,DataQ!AB:AB)</f>
        <v>3326403.6</v>
      </c>
      <c r="X63" s="10">
        <f>SUMIF(DataQ!$B:$B,DataA!$A63,DataQ!AC:AC)</f>
        <v>34536.819000000003</v>
      </c>
      <c r="Y63" s="10">
        <f>SUMIF(DataQ!$B:$B,DataA!$A63,DataQ!AD:AD)</f>
        <v>655450.19999999995</v>
      </c>
      <c r="Z63" s="10">
        <f>SUMIF(DataQ!$B:$B,DataA!$A63,DataQ!AE:AE)</f>
        <v>5057.1189999999997</v>
      </c>
      <c r="AA63" s="10">
        <f>SUMIF(DataQ!$B:$B,DataA!$A63,DataQ!AF:AF)</f>
        <v>3274.0194999999999</v>
      </c>
      <c r="AB63" s="10">
        <f>SUMIF(DataQ!$B:$B,DataA!$A63,DataQ!AG:AG)</f>
        <v>2397.9270999999999</v>
      </c>
      <c r="AC63" s="10">
        <f>SUMIF(DataQ!$B:$B,DataA!$A63,DataQ!AH:AH)</f>
        <v>3538137.3999999994</v>
      </c>
    </row>
    <row r="64" spans="1:29" x14ac:dyDescent="0.25">
      <c r="A64">
        <v>2029</v>
      </c>
      <c r="B64" s="10">
        <f>SUMIF(DataQ!$B:$B,DataA!$A64,DataQ!G:G)</f>
        <v>2745693.2</v>
      </c>
      <c r="C64" s="10">
        <f>SUMIF(DataQ!$B:$B,DataA!$A64,DataQ!H:H)</f>
        <v>25945.144</v>
      </c>
      <c r="D64" s="10">
        <f>SUMIF(DataQ!$B:$B,DataA!$A64,DataQ!I:I)</f>
        <v>569994.80000000005</v>
      </c>
      <c r="E64" s="10">
        <f>SUMIF(DataQ!$B:$B,DataA!$A64,DataQ!J:J)</f>
        <v>3866.2752999999998</v>
      </c>
      <c r="F64" s="10">
        <f>SUMIF(DataQ!$B:$B,DataA!$A64,DataQ!K:K)</f>
        <v>2765.48</v>
      </c>
      <c r="G64" s="10">
        <f>SUMIF(DataQ!$B:$B,DataA!$A64,DataQ!L:L)</f>
        <v>1996.7663</v>
      </c>
      <c r="H64" s="10">
        <f>SUMIF(DataQ!$B:$B,DataA!$A64,DataQ!M:M)</f>
        <v>2631585.0999999996</v>
      </c>
      <c r="I64" s="10">
        <f>SUMIF(DataQ!$B:$B,DataA!$A64,DataQ!N:N)</f>
        <v>-84568.941000000006</v>
      </c>
      <c r="J64" s="10">
        <f>SUMIF(DataQ!$B:$B,DataA!$A64,DataQ!O:O)</f>
        <v>-2734.9445000000001</v>
      </c>
      <c r="K64" s="10">
        <f>SUMIF(DataQ!$B:$B,DataA!$A64,DataQ!P:P)</f>
        <v>-20659.196</v>
      </c>
      <c r="L64" s="10">
        <f>SUMIF(DataQ!$B:$B,DataA!$A64,DataQ!Q:Q)</f>
        <v>-182.94439</v>
      </c>
      <c r="M64" s="10">
        <f>SUMIF(DataQ!$B:$B,DataA!$A64,DataQ!R:R)</f>
        <v>-153.54239000000001</v>
      </c>
      <c r="N64" s="10">
        <f>SUMIF(DataQ!$B:$B,DataA!$A64,DataQ!S:S)</f>
        <v>-66.340730000000008</v>
      </c>
      <c r="O64" s="10">
        <f>SUMIF(DataQ!$B:$B,DataA!$A64,DataQ!T:T)</f>
        <v>-113655.53</v>
      </c>
      <c r="P64" s="10">
        <f>SUMIF(DataQ!$E:$E,DataA!$A64,DataQ!U:U)</f>
        <v>3439708</v>
      </c>
      <c r="Q64" s="10">
        <f>SUMIF(DataQ!$E:$E,DataA!$A64,DataQ!V:V)</f>
        <v>53022.63</v>
      </c>
      <c r="R64" s="10">
        <f>SUMIF(DataQ!$E:$E,DataA!$A64,DataQ!W:W)</f>
        <v>1459304</v>
      </c>
      <c r="S64" s="10">
        <f>SUMIF(DataQ!$E:$E,DataA!$A64,DataQ!X:X)</f>
        <v>3198.57</v>
      </c>
      <c r="T64" s="10">
        <f>SUMIF(DataQ!$E:$E,DataA!$A64,DataQ!Y:Y)</f>
        <v>4443.4979999999996</v>
      </c>
      <c r="U64" s="10">
        <f>SUMIF(DataQ!$E:$E,DataA!$A64,DataQ!Z:Z)</f>
        <v>3707.03</v>
      </c>
      <c r="V64" s="10">
        <f>SUMIF(DataQ!$E:$E,DataA!$A64,DataQ!AA:AA)</f>
        <v>3875471</v>
      </c>
      <c r="W64" s="10">
        <f>SUMIF(DataQ!$B:$B,DataA!$A64,DataQ!AB:AB)</f>
        <v>3451595.5</v>
      </c>
      <c r="X64" s="10">
        <f>SUMIF(DataQ!$B:$B,DataA!$A64,DataQ!AC:AC)</f>
        <v>35939.733</v>
      </c>
      <c r="Y64" s="10">
        <f>SUMIF(DataQ!$B:$B,DataA!$A64,DataQ!AD:AD)</f>
        <v>663624.19999999995</v>
      </c>
      <c r="Z64" s="10">
        <f>SUMIF(DataQ!$B:$B,DataA!$A64,DataQ!AE:AE)</f>
        <v>5274.0460000000003</v>
      </c>
      <c r="AA64" s="10">
        <f>SUMIF(DataQ!$B:$B,DataA!$A64,DataQ!AF:AF)</f>
        <v>3395.6358</v>
      </c>
      <c r="AB64" s="10">
        <f>SUMIF(DataQ!$B:$B,DataA!$A64,DataQ!AG:AG)</f>
        <v>2457.9677000000001</v>
      </c>
      <c r="AC64" s="10">
        <f>SUMIF(DataQ!$B:$B,DataA!$A64,DataQ!AH:AH)</f>
        <v>3670204.3</v>
      </c>
    </row>
    <row r="65" spans="1:29" x14ac:dyDescent="0.25">
      <c r="A65">
        <v>2030</v>
      </c>
      <c r="B65" s="10">
        <f>SUMIF(DataQ!$B:$B,DataA!$A65,DataQ!G:G)</f>
        <v>2789193.4</v>
      </c>
      <c r="C65" s="10">
        <f>SUMIF(DataQ!$B:$B,DataA!$A65,DataQ!H:H)</f>
        <v>26468.067999999999</v>
      </c>
      <c r="D65" s="10">
        <f>SUMIF(DataQ!$B:$B,DataA!$A65,DataQ!I:I)</f>
        <v>570555.5</v>
      </c>
      <c r="E65" s="10">
        <f>SUMIF(DataQ!$B:$B,DataA!$A65,DataQ!J:J)</f>
        <v>3915.6361999999999</v>
      </c>
      <c r="F65" s="10">
        <f>SUMIF(DataQ!$B:$B,DataA!$A65,DataQ!K:K)</f>
        <v>2804.6</v>
      </c>
      <c r="G65" s="10">
        <f>SUMIF(DataQ!$B:$B,DataA!$A65,DataQ!L:L)</f>
        <v>2008.4561999999999</v>
      </c>
      <c r="H65" s="10">
        <f>SUMIF(DataQ!$B:$B,DataA!$A65,DataQ!M:M)</f>
        <v>2684066.1</v>
      </c>
      <c r="I65" s="10">
        <f>SUMIF(DataQ!$B:$B,DataA!$A65,DataQ!N:N)</f>
        <v>-93628.6</v>
      </c>
      <c r="J65" s="10">
        <f>SUMIF(DataQ!$B:$B,DataA!$A65,DataQ!O:O)</f>
        <v>-2893.7942000000003</v>
      </c>
      <c r="K65" s="10">
        <f>SUMIF(DataQ!$B:$B,DataA!$A65,DataQ!P:P)</f>
        <v>-19493.507000000001</v>
      </c>
      <c r="L65" s="10">
        <f>SUMIF(DataQ!$B:$B,DataA!$A65,DataQ!Q:Q)</f>
        <v>-176.52094</v>
      </c>
      <c r="M65" s="10">
        <f>SUMIF(DataQ!$B:$B,DataA!$A65,DataQ!R:R)</f>
        <v>-146.90800999999999</v>
      </c>
      <c r="N65" s="10">
        <f>SUMIF(DataQ!$B:$B,DataA!$A65,DataQ!S:S)</f>
        <v>-66.929910000000007</v>
      </c>
      <c r="O65" s="10">
        <f>SUMIF(DataQ!$B:$B,DataA!$A65,DataQ!T:T)</f>
        <v>-108307.29000000001</v>
      </c>
      <c r="P65" s="10">
        <f>SUMIF(DataQ!$E:$E,DataA!$A65,DataQ!U:U)</f>
        <v>3533336</v>
      </c>
      <c r="Q65" s="10">
        <f>SUMIF(DataQ!$E:$E,DataA!$A65,DataQ!V:V)</f>
        <v>55916.42</v>
      </c>
      <c r="R65" s="10">
        <f>SUMIF(DataQ!$E:$E,DataA!$A65,DataQ!W:W)</f>
        <v>1478797</v>
      </c>
      <c r="S65" s="10">
        <f>SUMIF(DataQ!$E:$E,DataA!$A65,DataQ!X:X)</f>
        <v>3375.0909999999999</v>
      </c>
      <c r="T65" s="10">
        <f>SUMIF(DataQ!$E:$E,DataA!$A65,DataQ!Y:Y)</f>
        <v>4590.4049999999997</v>
      </c>
      <c r="U65" s="10">
        <f>SUMIF(DataQ!$E:$E,DataA!$A65,DataQ!Z:Z)</f>
        <v>3778.1010000000001</v>
      </c>
      <c r="V65" s="10">
        <f>SUMIF(DataQ!$E:$E,DataA!$A65,DataQ!AA:AA)</f>
        <v>3983778</v>
      </c>
      <c r="W65" s="10">
        <f>SUMIF(DataQ!$B:$B,DataA!$A65,DataQ!AB:AB)</f>
        <v>3577381.8000000003</v>
      </c>
      <c r="X65" s="10">
        <f>SUMIF(DataQ!$B:$B,DataA!$A65,DataQ!AC:AC)</f>
        <v>37351.83</v>
      </c>
      <c r="Y65" s="10">
        <f>SUMIF(DataQ!$B:$B,DataA!$A65,DataQ!AD:AD)</f>
        <v>672813.7</v>
      </c>
      <c r="Z65" s="10">
        <f>SUMIF(DataQ!$B:$B,DataA!$A65,DataQ!AE:AE)</f>
        <v>5472.9970000000003</v>
      </c>
      <c r="AA65" s="10">
        <f>SUMIF(DataQ!$B:$B,DataA!$A65,DataQ!AF:AF)</f>
        <v>3516.3604999999998</v>
      </c>
      <c r="AB65" s="10">
        <f>SUMIF(DataQ!$B:$B,DataA!$A65,DataQ!AG:AG)</f>
        <v>2517.9359999999997</v>
      </c>
      <c r="AC65" s="10">
        <f>SUMIF(DataQ!$B:$B,DataA!$A65,DataQ!AH:AH)</f>
        <v>3812186.9</v>
      </c>
    </row>
    <row r="66" spans="1:29" x14ac:dyDescent="0.25">
      <c r="A66">
        <v>2031</v>
      </c>
      <c r="B66" s="10">
        <f>SUMIF(DataQ!$B:$B,DataA!$A66,DataQ!G:G)</f>
        <v>2833559.6999999997</v>
      </c>
      <c r="C66" s="10">
        <f>SUMIF(DataQ!$B:$B,DataA!$A66,DataQ!H:H)</f>
        <v>26969.141</v>
      </c>
      <c r="D66" s="10">
        <f>SUMIF(DataQ!$B:$B,DataA!$A66,DataQ!I:I)</f>
        <v>570668.69999999995</v>
      </c>
      <c r="E66" s="10">
        <f>SUMIF(DataQ!$B:$B,DataA!$A66,DataQ!J:J)</f>
        <v>3950.6088999999997</v>
      </c>
      <c r="F66" s="10">
        <f>SUMIF(DataQ!$B:$B,DataA!$A66,DataQ!K:K)</f>
        <v>2837.5499999999997</v>
      </c>
      <c r="G66" s="10">
        <f>SUMIF(DataQ!$B:$B,DataA!$A66,DataQ!L:L)</f>
        <v>2017.4983999999999</v>
      </c>
      <c r="H66" s="10">
        <f>SUMIF(DataQ!$B:$B,DataA!$A66,DataQ!M:M)</f>
        <v>2739429.5</v>
      </c>
      <c r="I66" s="10">
        <f>SUMIF(DataQ!$B:$B,DataA!$A66,DataQ!N:N)</f>
        <v>-108279.19600000001</v>
      </c>
      <c r="J66" s="10">
        <f>SUMIF(DataQ!$B:$B,DataA!$A66,DataQ!O:O)</f>
        <v>-3033.4521000000004</v>
      </c>
      <c r="K66" s="10">
        <f>SUMIF(DataQ!$B:$B,DataA!$A66,DataQ!P:P)</f>
        <v>-17363.575000000001</v>
      </c>
      <c r="L66" s="10">
        <f>SUMIF(DataQ!$B:$B,DataA!$A66,DataQ!Q:Q)</f>
        <v>-158.30682999999999</v>
      </c>
      <c r="M66" s="10">
        <f>SUMIF(DataQ!$B:$B,DataA!$A66,DataQ!R:R)</f>
        <v>-145.11329000000001</v>
      </c>
      <c r="N66" s="10">
        <f>SUMIF(DataQ!$B:$B,DataA!$A66,DataQ!S:S)</f>
        <v>-63.814489999999999</v>
      </c>
      <c r="O66" s="10">
        <f>SUMIF(DataQ!$B:$B,DataA!$A66,DataQ!T:T)</f>
        <v>-108407.82</v>
      </c>
      <c r="P66" s="10">
        <f>SUMIF(DataQ!$E:$E,DataA!$A66,DataQ!U:U)</f>
        <v>3641616</v>
      </c>
      <c r="Q66" s="10">
        <f>SUMIF(DataQ!$E:$E,DataA!$A66,DataQ!V:V)</f>
        <v>58949.88</v>
      </c>
      <c r="R66" s="10">
        <f>SUMIF(DataQ!$E:$E,DataA!$A66,DataQ!W:W)</f>
        <v>1496161</v>
      </c>
      <c r="S66" s="10">
        <f>SUMIF(DataQ!$E:$E,DataA!$A66,DataQ!X:X)</f>
        <v>3533.3980000000001</v>
      </c>
      <c r="T66" s="10">
        <f>SUMIF(DataQ!$E:$E,DataA!$A66,DataQ!Y:Y)</f>
        <v>4735.518</v>
      </c>
      <c r="U66" s="10">
        <f>SUMIF(DataQ!$E:$E,DataA!$A66,DataQ!Z:Z)</f>
        <v>3844.9569999999999</v>
      </c>
      <c r="V66" s="10">
        <f>SUMIF(DataQ!$E:$E,DataA!$A66,DataQ!AA:AA)</f>
        <v>4092186</v>
      </c>
      <c r="W66" s="10">
        <f>SUMIF(DataQ!$B:$B,DataA!$A66,DataQ!AB:AB)</f>
        <v>3712130.5</v>
      </c>
      <c r="X66" s="10">
        <f>SUMIF(DataQ!$B:$B,DataA!$A66,DataQ!AC:AC)</f>
        <v>38763.123</v>
      </c>
      <c r="Y66" s="10">
        <f>SUMIF(DataQ!$B:$B,DataA!$A66,DataQ!AD:AD)</f>
        <v>682635.20000000007</v>
      </c>
      <c r="Z66" s="10">
        <f>SUMIF(DataQ!$B:$B,DataA!$A66,DataQ!AE:AE)</f>
        <v>5648.692</v>
      </c>
      <c r="AA66" s="10">
        <f>SUMIF(DataQ!$B:$B,DataA!$A66,DataQ!AF:AF)</f>
        <v>3634.3805000000002</v>
      </c>
      <c r="AB66" s="10">
        <f>SUMIF(DataQ!$B:$B,DataA!$A66,DataQ!AG:AG)</f>
        <v>2577.9589000000001</v>
      </c>
      <c r="AC66" s="10">
        <f>SUMIF(DataQ!$B:$B,DataA!$A66,DataQ!AH:AH)</f>
        <v>3961973.5</v>
      </c>
    </row>
    <row r="67" spans="1:29" x14ac:dyDescent="0.25">
      <c r="A67">
        <v>2032</v>
      </c>
      <c r="B67" s="10">
        <f>SUMIF(DataQ!$B:$B,DataA!$A67,DataQ!G:G)</f>
        <v>2878022.1</v>
      </c>
      <c r="C67" s="10">
        <f>SUMIF(DataQ!$B:$B,DataA!$A67,DataQ!H:H)</f>
        <v>27465.051000000003</v>
      </c>
      <c r="D67" s="10">
        <f>SUMIF(DataQ!$B:$B,DataA!$A67,DataQ!I:I)</f>
        <v>570362.80000000005</v>
      </c>
      <c r="E67" s="10">
        <f>SUMIF(DataQ!$B:$B,DataA!$A67,DataQ!J:J)</f>
        <v>3974.9096999999997</v>
      </c>
      <c r="F67" s="10">
        <f>SUMIF(DataQ!$B:$B,DataA!$A67,DataQ!K:K)</f>
        <v>2861.59</v>
      </c>
      <c r="G67" s="10">
        <f>SUMIF(DataQ!$B:$B,DataA!$A67,DataQ!L:L)</f>
        <v>2024.4754</v>
      </c>
      <c r="H67" s="10">
        <f>SUMIF(DataQ!$B:$B,DataA!$A67,DataQ!M:M)</f>
        <v>2793710.1</v>
      </c>
      <c r="I67" s="10">
        <f>SUMIF(DataQ!$B:$B,DataA!$A67,DataQ!N:N)</f>
        <v>-118049.50700000001</v>
      </c>
      <c r="J67" s="10">
        <f>SUMIF(DataQ!$B:$B,DataA!$A67,DataQ!O:O)</f>
        <v>-3261.1221</v>
      </c>
      <c r="K67" s="10">
        <f>SUMIF(DataQ!$B:$B,DataA!$A67,DataQ!P:P)</f>
        <v>-14683.164000000001</v>
      </c>
      <c r="L67" s="10">
        <f>SUMIF(DataQ!$B:$B,DataA!$A67,DataQ!Q:Q)</f>
        <v>-140.41368999999997</v>
      </c>
      <c r="M67" s="10">
        <f>SUMIF(DataQ!$B:$B,DataA!$A67,DataQ!R:R)</f>
        <v>-145.80804000000001</v>
      </c>
      <c r="N67" s="10">
        <f>SUMIF(DataQ!$B:$B,DataA!$A67,DataQ!S:S)</f>
        <v>-60.249210000000005</v>
      </c>
      <c r="O67" s="10">
        <f>SUMIF(DataQ!$B:$B,DataA!$A67,DataQ!T:T)</f>
        <v>-108405.57</v>
      </c>
      <c r="P67" s="10">
        <f>SUMIF(DataQ!$E:$E,DataA!$A67,DataQ!U:U)</f>
        <v>3759665</v>
      </c>
      <c r="Q67" s="10">
        <f>SUMIF(DataQ!$E:$E,DataA!$A67,DataQ!V:V)</f>
        <v>62210.99</v>
      </c>
      <c r="R67" s="10">
        <f>SUMIF(DataQ!$E:$E,DataA!$A67,DataQ!W:W)</f>
        <v>1510844</v>
      </c>
      <c r="S67" s="10">
        <f>SUMIF(DataQ!$E:$E,DataA!$A67,DataQ!X:X)</f>
        <v>3673.8119999999999</v>
      </c>
      <c r="T67" s="10">
        <f>SUMIF(DataQ!$E:$E,DataA!$A67,DataQ!Y:Y)</f>
        <v>4881.326</v>
      </c>
      <c r="U67" s="10">
        <f>SUMIF(DataQ!$E:$E,DataA!$A67,DataQ!Z:Z)</f>
        <v>3906.1869999999999</v>
      </c>
      <c r="V67" s="10">
        <f>SUMIF(DataQ!$E:$E,DataA!$A67,DataQ!AA:AA)</f>
        <v>4200592</v>
      </c>
      <c r="W67" s="10">
        <f>SUMIF(DataQ!$B:$B,DataA!$A67,DataQ!AB:AB)</f>
        <v>3852299.4</v>
      </c>
      <c r="X67" s="10">
        <f>SUMIF(DataQ!$B:$B,DataA!$A67,DataQ!AC:AC)</f>
        <v>40201.915999999997</v>
      </c>
      <c r="Y67" s="10">
        <f>SUMIF(DataQ!$B:$B,DataA!$A67,DataQ!AD:AD)</f>
        <v>691861.60000000009</v>
      </c>
      <c r="Z67" s="10">
        <f>SUMIF(DataQ!$B:$B,DataA!$A67,DataQ!AE:AE)</f>
        <v>5804.8600000000006</v>
      </c>
      <c r="AA67" s="10">
        <f>SUMIF(DataQ!$B:$B,DataA!$A67,DataQ!AF:AF)</f>
        <v>3745.1107999999999</v>
      </c>
      <c r="AB67" s="10">
        <f>SUMIF(DataQ!$B:$B,DataA!$A67,DataQ!AG:AG)</f>
        <v>2637.8344999999999</v>
      </c>
      <c r="AC67" s="10">
        <f>SUMIF(DataQ!$B:$B,DataA!$A67,DataQ!AH:AH)</f>
        <v>4115123</v>
      </c>
    </row>
    <row r="68" spans="1:29" x14ac:dyDescent="0.25">
      <c r="A68">
        <v>2033</v>
      </c>
      <c r="B68" s="10">
        <f>SUMIF(DataQ!$B:$B,DataA!$A68,DataQ!G:G)</f>
        <v>2922584.5000000005</v>
      </c>
      <c r="C68" s="10">
        <f>SUMIF(DataQ!$B:$B,DataA!$A68,DataQ!H:H)</f>
        <v>27963.733999999997</v>
      </c>
      <c r="D68" s="10">
        <f>SUMIF(DataQ!$B:$B,DataA!$A68,DataQ!I:I)</f>
        <v>569829.9</v>
      </c>
      <c r="E68" s="10">
        <f>SUMIF(DataQ!$B:$B,DataA!$A68,DataQ!J:J)</f>
        <v>3994.2970999999998</v>
      </c>
      <c r="F68" s="10">
        <f>SUMIF(DataQ!$B:$B,DataA!$A68,DataQ!K:K)</f>
        <v>2881.7999999999997</v>
      </c>
      <c r="G68" s="10">
        <f>SUMIF(DataQ!$B:$B,DataA!$A68,DataQ!L:L)</f>
        <v>2030.8729000000001</v>
      </c>
      <c r="H68" s="10">
        <f>SUMIF(DataQ!$B:$B,DataA!$A68,DataQ!M:M)</f>
        <v>2848379.3000000003</v>
      </c>
      <c r="I68" s="10">
        <f>SUMIF(DataQ!$B:$B,DataA!$A68,DataQ!N:N)</f>
        <v>-128350.46399999999</v>
      </c>
      <c r="J68" s="10">
        <f>SUMIF(DataQ!$B:$B,DataA!$A68,DataQ!O:O)</f>
        <v>-3572.8064999999997</v>
      </c>
      <c r="K68" s="10">
        <f>SUMIF(DataQ!$B:$B,DataA!$A68,DataQ!P:P)</f>
        <v>-12074.53</v>
      </c>
      <c r="L68" s="10">
        <f>SUMIF(DataQ!$B:$B,DataA!$A68,DataQ!Q:Q)</f>
        <v>-124.09258999999999</v>
      </c>
      <c r="M68" s="10">
        <f>SUMIF(DataQ!$B:$B,DataA!$A68,DataQ!R:R)</f>
        <v>-143.33638999999999</v>
      </c>
      <c r="N68" s="10">
        <f>SUMIF(DataQ!$B:$B,DataA!$A68,DataQ!S:S)</f>
        <v>-56.688710000000007</v>
      </c>
      <c r="O68" s="10">
        <f>SUMIF(DataQ!$B:$B,DataA!$A68,DataQ!T:T)</f>
        <v>-109981.19</v>
      </c>
      <c r="P68" s="10">
        <f>SUMIF(DataQ!$E:$E,DataA!$A68,DataQ!U:U)</f>
        <v>3888016</v>
      </c>
      <c r="Q68" s="10">
        <f>SUMIF(DataQ!$E:$E,DataA!$A68,DataQ!V:V)</f>
        <v>65783.8</v>
      </c>
      <c r="R68" s="10">
        <f>SUMIF(DataQ!$E:$E,DataA!$A68,DataQ!W:W)</f>
        <v>1522919</v>
      </c>
      <c r="S68" s="10">
        <f>SUMIF(DataQ!$E:$E,DataA!$A68,DataQ!X:X)</f>
        <v>3797.904</v>
      </c>
      <c r="T68" s="10">
        <f>SUMIF(DataQ!$E:$E,DataA!$A68,DataQ!Y:Y)</f>
        <v>5024.6620000000003</v>
      </c>
      <c r="U68" s="10">
        <f>SUMIF(DataQ!$E:$E,DataA!$A68,DataQ!Z:Z)</f>
        <v>3963.4490000000001</v>
      </c>
      <c r="V68" s="10">
        <f>SUMIF(DataQ!$E:$E,DataA!$A68,DataQ!AA:AA)</f>
        <v>4310573</v>
      </c>
      <c r="W68" s="10">
        <f>SUMIF(DataQ!$B:$B,DataA!$A68,DataQ!AB:AB)</f>
        <v>3996968.6</v>
      </c>
      <c r="X68" s="10">
        <f>SUMIF(DataQ!$B:$B,DataA!$A68,DataQ!AC:AC)</f>
        <v>41685.51</v>
      </c>
      <c r="Y68" s="10">
        <f>SUMIF(DataQ!$B:$B,DataA!$A68,DataQ!AD:AD)</f>
        <v>700881</v>
      </c>
      <c r="Z68" s="10">
        <f>SUMIF(DataQ!$B:$B,DataA!$A68,DataQ!AE:AE)</f>
        <v>5950.8110000000006</v>
      </c>
      <c r="AA68" s="10">
        <f>SUMIF(DataQ!$B:$B,DataA!$A68,DataQ!AF:AF)</f>
        <v>3852.0562</v>
      </c>
      <c r="AB68" s="10">
        <f>SUMIF(DataQ!$B:$B,DataA!$A68,DataQ!AG:AG)</f>
        <v>2698.5262000000002</v>
      </c>
      <c r="AC68" s="10">
        <f>SUMIF(DataQ!$B:$B,DataA!$A68,DataQ!AH:AH)</f>
        <v>4273268</v>
      </c>
    </row>
    <row r="69" spans="1:29" x14ac:dyDescent="0.25">
      <c r="A69">
        <v>2034</v>
      </c>
      <c r="B69" s="10">
        <f>SUMIF(DataQ!$B:$B,DataA!$A69,DataQ!G:G)</f>
        <v>2966662.9</v>
      </c>
      <c r="C69" s="10">
        <f>SUMIF(DataQ!$B:$B,DataA!$A69,DataQ!H:H)</f>
        <v>28470.237000000001</v>
      </c>
      <c r="D69" s="10">
        <f>SUMIF(DataQ!$B:$B,DataA!$A69,DataQ!I:I)</f>
        <v>569172.4</v>
      </c>
      <c r="E69" s="10">
        <f>SUMIF(DataQ!$B:$B,DataA!$A69,DataQ!J:J)</f>
        <v>4012.9169999999999</v>
      </c>
      <c r="F69" s="10">
        <f>SUMIF(DataQ!$B:$B,DataA!$A69,DataQ!K:K)</f>
        <v>2903.46</v>
      </c>
      <c r="G69" s="10">
        <f>SUMIF(DataQ!$B:$B,DataA!$A69,DataQ!L:L)</f>
        <v>2036.326</v>
      </c>
      <c r="H69" s="10">
        <f>SUMIF(DataQ!$B:$B,DataA!$A69,DataQ!M:M)</f>
        <v>2904832.4</v>
      </c>
      <c r="I69" s="10">
        <f>SUMIF(DataQ!$B:$B,DataA!$A69,DataQ!N:N)</f>
        <v>-139222.87</v>
      </c>
      <c r="J69" s="10">
        <f>SUMIF(DataQ!$B:$B,DataA!$A69,DataQ!O:O)</f>
        <v>-3709.6749999999997</v>
      </c>
      <c r="K69" s="10">
        <f>SUMIF(DataQ!$B:$B,DataA!$A69,DataQ!P:P)</f>
        <v>-9203.1959999999999</v>
      </c>
      <c r="L69" s="10">
        <f>SUMIF(DataQ!$B:$B,DataA!$A69,DataQ!Q:Q)</f>
        <v>-104.03381</v>
      </c>
      <c r="M69" s="10">
        <f>SUMIF(DataQ!$B:$B,DataA!$A69,DataQ!R:R)</f>
        <v>-139.31947000000002</v>
      </c>
      <c r="N69" s="10">
        <f>SUMIF(DataQ!$B:$B,DataA!$A69,DataQ!S:S)</f>
        <v>-53.451210000000003</v>
      </c>
      <c r="O69" s="10">
        <f>SUMIF(DataQ!$B:$B,DataA!$A69,DataQ!T:T)</f>
        <v>-110551.44</v>
      </c>
      <c r="P69" s="10">
        <f>SUMIF(DataQ!$E:$E,DataA!$A69,DataQ!U:U)</f>
        <v>4027238</v>
      </c>
      <c r="Q69" s="10">
        <f>SUMIF(DataQ!$E:$E,DataA!$A69,DataQ!V:V)</f>
        <v>69493.48</v>
      </c>
      <c r="R69" s="10">
        <f>SUMIF(DataQ!$E:$E,DataA!$A69,DataQ!W:W)</f>
        <v>1532122</v>
      </c>
      <c r="S69" s="10">
        <f>SUMIF(DataQ!$E:$E,DataA!$A69,DataQ!X:X)</f>
        <v>3901.9380000000001</v>
      </c>
      <c r="T69" s="10">
        <f>SUMIF(DataQ!$E:$E,DataA!$A69,DataQ!Y:Y)</f>
        <v>5163.9809999999998</v>
      </c>
      <c r="U69" s="10">
        <f>SUMIF(DataQ!$E:$E,DataA!$A69,DataQ!Z:Z)</f>
        <v>4017.002</v>
      </c>
      <c r="V69" s="10">
        <f>SUMIF(DataQ!$E:$E,DataA!$A69,DataQ!AA:AA)</f>
        <v>4421125</v>
      </c>
      <c r="W69" s="10">
        <f>SUMIF(DataQ!$B:$B,DataA!$A69,DataQ!AB:AB)</f>
        <v>4145435</v>
      </c>
      <c r="X69" s="10">
        <f>SUMIF(DataQ!$B:$B,DataA!$A69,DataQ!AC:AC)</f>
        <v>43223.729999999996</v>
      </c>
      <c r="Y69" s="10">
        <f>SUMIF(DataQ!$B:$B,DataA!$A69,DataQ!AD:AD)</f>
        <v>710223.59999999986</v>
      </c>
      <c r="Z69" s="10">
        <f>SUMIF(DataQ!$B:$B,DataA!$A69,DataQ!AE:AE)</f>
        <v>6098.0140000000001</v>
      </c>
      <c r="AA69" s="10">
        <f>SUMIF(DataQ!$B:$B,DataA!$A69,DataQ!AF:AF)</f>
        <v>3963.5616999999997</v>
      </c>
      <c r="AB69" s="10">
        <f>SUMIF(DataQ!$B:$B,DataA!$A69,DataQ!AG:AG)</f>
        <v>2759.6504999999997</v>
      </c>
      <c r="AC69" s="10">
        <f>SUMIF(DataQ!$B:$B,DataA!$A69,DataQ!AH:AH)</f>
        <v>4439180</v>
      </c>
    </row>
    <row r="70" spans="1:29" x14ac:dyDescent="0.25">
      <c r="A70">
        <v>2035</v>
      </c>
      <c r="B70" s="10">
        <f>SUMIF(DataQ!$B:$B,DataA!$A70,DataQ!G:G)</f>
        <v>3011434.8000000003</v>
      </c>
      <c r="C70" s="10">
        <f>SUMIF(DataQ!$B:$B,DataA!$A70,DataQ!H:H)</f>
        <v>28985.045000000002</v>
      </c>
      <c r="D70" s="10">
        <f>SUMIF(DataQ!$B:$B,DataA!$A70,DataQ!I:I)</f>
        <v>568164.80000000005</v>
      </c>
      <c r="E70" s="10">
        <f>SUMIF(DataQ!$B:$B,DataA!$A70,DataQ!J:J)</f>
        <v>4033.9070000000002</v>
      </c>
      <c r="F70" s="10">
        <f>SUMIF(DataQ!$B:$B,DataA!$A70,DataQ!K:K)</f>
        <v>2924.9279999999999</v>
      </c>
      <c r="G70" s="10">
        <f>SUMIF(DataQ!$B:$B,DataA!$A70,DataQ!L:L)</f>
        <v>2041.5622000000001</v>
      </c>
      <c r="H70" s="10">
        <f>SUMIF(DataQ!$B:$B,DataA!$A70,DataQ!M:M)</f>
        <v>2960626.5999999996</v>
      </c>
      <c r="I70" s="10">
        <f>SUMIF(DataQ!$B:$B,DataA!$A70,DataQ!N:N)</f>
        <v>-150735.57199999999</v>
      </c>
      <c r="J70" s="10">
        <f>SUMIF(DataQ!$B:$B,DataA!$A70,DataQ!O:O)</f>
        <v>-3795.0425</v>
      </c>
      <c r="K70" s="10">
        <f>SUMIF(DataQ!$B:$B,DataA!$A70,DataQ!P:P)</f>
        <v>-7182.2350000000006</v>
      </c>
      <c r="L70" s="10">
        <f>SUMIF(DataQ!$B:$B,DataA!$A70,DataQ!Q:Q)</f>
        <v>-91.91828000000001</v>
      </c>
      <c r="M70" s="10">
        <f>SUMIF(DataQ!$B:$B,DataA!$A70,DataQ!R:R)</f>
        <v>-136.50731999999999</v>
      </c>
      <c r="N70" s="10">
        <f>SUMIF(DataQ!$B:$B,DataA!$A70,DataQ!S:S)</f>
        <v>-50.903909999999996</v>
      </c>
      <c r="O70" s="10">
        <f>SUMIF(DataQ!$B:$B,DataA!$A70,DataQ!T:T)</f>
        <v>-110903.03</v>
      </c>
      <c r="P70" s="10">
        <f>SUMIF(DataQ!$E:$E,DataA!$A70,DataQ!U:U)</f>
        <v>4177974</v>
      </c>
      <c r="Q70" s="10">
        <f>SUMIF(DataQ!$E:$E,DataA!$A70,DataQ!V:V)</f>
        <v>73288.52</v>
      </c>
      <c r="R70" s="10">
        <f>SUMIF(DataQ!$E:$E,DataA!$A70,DataQ!W:W)</f>
        <v>1539304</v>
      </c>
      <c r="S70" s="10">
        <f>SUMIF(DataQ!$E:$E,DataA!$A70,DataQ!X:X)</f>
        <v>3993.8560000000002</v>
      </c>
      <c r="T70" s="10">
        <f>SUMIF(DataQ!$E:$E,DataA!$A70,DataQ!Y:Y)</f>
        <v>5300.4889999999996</v>
      </c>
      <c r="U70" s="10">
        <f>SUMIF(DataQ!$E:$E,DataA!$A70,DataQ!Z:Z)</f>
        <v>4067.9059999999999</v>
      </c>
      <c r="V70" s="10">
        <f>SUMIF(DataQ!$E:$E,DataA!$A70,DataQ!AA:AA)</f>
        <v>4532027</v>
      </c>
      <c r="W70" s="10">
        <f>SUMIF(DataQ!$B:$B,DataA!$A70,DataQ!AB:AB)</f>
        <v>4299259</v>
      </c>
      <c r="X70" s="10">
        <f>SUMIF(DataQ!$B:$B,DataA!$A70,DataQ!AC:AC)</f>
        <v>44816.36</v>
      </c>
      <c r="Y70" s="10">
        <f>SUMIF(DataQ!$B:$B,DataA!$A70,DataQ!AD:AD)</f>
        <v>719319.3</v>
      </c>
      <c r="Z70" s="10">
        <f>SUMIF(DataQ!$B:$B,DataA!$A70,DataQ!AE:AE)</f>
        <v>6252.47</v>
      </c>
      <c r="AA70" s="10">
        <f>SUMIF(DataQ!$B:$B,DataA!$A70,DataQ!AF:AF)</f>
        <v>4076.8379999999997</v>
      </c>
      <c r="AB70" s="10">
        <f>SUMIF(DataQ!$B:$B,DataA!$A70,DataQ!AG:AG)</f>
        <v>2822.0567999999998</v>
      </c>
      <c r="AC70" s="10">
        <f>SUMIF(DataQ!$B:$B,DataA!$A70,DataQ!AH:AH)</f>
        <v>4609571</v>
      </c>
    </row>
    <row r="71" spans="1:29" x14ac:dyDescent="0.25">
      <c r="A71">
        <v>2036</v>
      </c>
      <c r="B71" s="10">
        <f>SUMIF(DataQ!$B:$B,DataA!$A71,DataQ!G:G)</f>
        <v>3058007.3000000003</v>
      </c>
      <c r="C71" s="10">
        <f>SUMIF(DataQ!$B:$B,DataA!$A71,DataQ!H:H)</f>
        <v>29507.837</v>
      </c>
      <c r="D71" s="10">
        <f>SUMIF(DataQ!$B:$B,DataA!$A71,DataQ!I:I)</f>
        <v>566856.30000000005</v>
      </c>
      <c r="E71" s="10">
        <f>SUMIF(DataQ!$B:$B,DataA!$A71,DataQ!J:J)</f>
        <v>4063.723</v>
      </c>
      <c r="F71" s="10">
        <f>SUMIF(DataQ!$B:$B,DataA!$A71,DataQ!K:K)</f>
        <v>2945.3746999999998</v>
      </c>
      <c r="G71" s="10">
        <f>SUMIF(DataQ!$B:$B,DataA!$A71,DataQ!L:L)</f>
        <v>2046.5049999999999</v>
      </c>
      <c r="H71" s="10">
        <f>SUMIF(DataQ!$B:$B,DataA!$A71,DataQ!M:M)</f>
        <v>3018572.3</v>
      </c>
      <c r="I71" s="10">
        <f>SUMIF(DataQ!$B:$B,DataA!$A71,DataQ!N:N)</f>
        <v>-161183.31</v>
      </c>
      <c r="J71" s="10">
        <f>SUMIF(DataQ!$B:$B,DataA!$A71,DataQ!O:O)</f>
        <v>-3875.6266999999998</v>
      </c>
      <c r="K71" s="10">
        <f>SUMIF(DataQ!$B:$B,DataA!$A71,DataQ!P:P)</f>
        <v>-6789.3979999999992</v>
      </c>
      <c r="L71" s="10">
        <f>SUMIF(DataQ!$B:$B,DataA!$A71,DataQ!Q:Q)</f>
        <v>-91.945439999999991</v>
      </c>
      <c r="M71" s="10">
        <f>SUMIF(DataQ!$B:$B,DataA!$A71,DataQ!R:R)</f>
        <v>-138.15118000000001</v>
      </c>
      <c r="N71" s="10">
        <f>SUMIF(DataQ!$B:$B,DataA!$A71,DataQ!S:S)</f>
        <v>-51.198740000000001</v>
      </c>
      <c r="O71" s="10">
        <f>SUMIF(DataQ!$B:$B,DataA!$A71,DataQ!T:T)</f>
        <v>-112900.16</v>
      </c>
      <c r="P71" s="10">
        <f>SUMIF(DataQ!$E:$E,DataA!$A71,DataQ!U:U)</f>
        <v>4339157</v>
      </c>
      <c r="Q71" s="10">
        <f>SUMIF(DataQ!$E:$E,DataA!$A71,DataQ!V:V)</f>
        <v>77164.160000000003</v>
      </c>
      <c r="R71" s="10">
        <f>SUMIF(DataQ!$E:$E,DataA!$A71,DataQ!W:W)</f>
        <v>1546094</v>
      </c>
      <c r="S71" s="10">
        <f>SUMIF(DataQ!$E:$E,DataA!$A71,DataQ!X:X)</f>
        <v>4085.8020000000001</v>
      </c>
      <c r="T71" s="10">
        <f>SUMIF(DataQ!$E:$E,DataA!$A71,DataQ!Y:Y)</f>
        <v>5438.64</v>
      </c>
      <c r="U71" s="10">
        <f>SUMIF(DataQ!$E:$E,DataA!$A71,DataQ!Z:Z)</f>
        <v>4119.1049999999996</v>
      </c>
      <c r="V71" s="10">
        <f>SUMIF(DataQ!$E:$E,DataA!$A71,DataQ!AA:AA)</f>
        <v>4644928</v>
      </c>
      <c r="W71" s="10">
        <f>SUMIF(DataQ!$B:$B,DataA!$A71,DataQ!AB:AB)</f>
        <v>4459801</v>
      </c>
      <c r="X71" s="10">
        <f>SUMIF(DataQ!$B:$B,DataA!$A71,DataQ!AC:AC)</f>
        <v>46464.869999999995</v>
      </c>
      <c r="Y71" s="10">
        <f>SUMIF(DataQ!$B:$B,DataA!$A71,DataQ!AD:AD)</f>
        <v>728143.5</v>
      </c>
      <c r="Z71" s="10">
        <f>SUMIF(DataQ!$B:$B,DataA!$A71,DataQ!AE:AE)</f>
        <v>6424.62</v>
      </c>
      <c r="AA71" s="10">
        <f>SUMIF(DataQ!$B:$B,DataA!$A71,DataQ!AF:AF)</f>
        <v>4186.7930000000006</v>
      </c>
      <c r="AB71" s="10">
        <f>SUMIF(DataQ!$B:$B,DataA!$A71,DataQ!AG:AG)</f>
        <v>2885.6320000000001</v>
      </c>
      <c r="AC71" s="10">
        <f>SUMIF(DataQ!$B:$B,DataA!$A71,DataQ!AH:AH)</f>
        <v>4789755</v>
      </c>
    </row>
    <row r="72" spans="1:29" x14ac:dyDescent="0.25">
      <c r="A72">
        <v>2037</v>
      </c>
      <c r="B72" s="10">
        <f>SUMIF(DataQ!$B:$B,DataA!$A72,DataQ!G:G)</f>
        <v>3105911.3000000003</v>
      </c>
      <c r="C72" s="10">
        <f>SUMIF(DataQ!$B:$B,DataA!$A72,DataQ!H:H)</f>
        <v>30034.548999999999</v>
      </c>
      <c r="D72" s="10">
        <f>SUMIF(DataQ!$B:$B,DataA!$A72,DataQ!I:I)</f>
        <v>565442.9</v>
      </c>
      <c r="E72" s="10">
        <f>SUMIF(DataQ!$B:$B,DataA!$A72,DataQ!J:J)</f>
        <v>4095.886</v>
      </c>
      <c r="F72" s="10">
        <f>SUMIF(DataQ!$B:$B,DataA!$A72,DataQ!K:K)</f>
        <v>2965.5958999999998</v>
      </c>
      <c r="G72" s="10">
        <f>SUMIF(DataQ!$B:$B,DataA!$A72,DataQ!L:L)</f>
        <v>2051.0181000000002</v>
      </c>
      <c r="H72" s="10">
        <f>SUMIF(DataQ!$B:$B,DataA!$A72,DataQ!M:M)</f>
        <v>3078820.6999999997</v>
      </c>
      <c r="I72" s="10">
        <f>SUMIF(DataQ!$B:$B,DataA!$A72,DataQ!N:N)</f>
        <v>-172233.965</v>
      </c>
      <c r="J72" s="10">
        <f>SUMIF(DataQ!$B:$B,DataA!$A72,DataQ!O:O)</f>
        <v>-3952.5325999999995</v>
      </c>
      <c r="K72" s="10">
        <f>SUMIF(DataQ!$B:$B,DataA!$A72,DataQ!P:P)</f>
        <v>-6871.5160000000005</v>
      </c>
      <c r="L72" s="10">
        <f>SUMIF(DataQ!$B:$B,DataA!$A72,DataQ!Q:Q)</f>
        <v>-94.549669999999992</v>
      </c>
      <c r="M72" s="10">
        <f>SUMIF(DataQ!$B:$B,DataA!$A72,DataQ!R:R)</f>
        <v>-141.84423999999999</v>
      </c>
      <c r="N72" s="10">
        <f>SUMIF(DataQ!$B:$B,DataA!$A72,DataQ!S:S)</f>
        <v>-52.345839999999995</v>
      </c>
      <c r="O72" s="10">
        <f>SUMIF(DataQ!$B:$B,DataA!$A72,DataQ!T:T)</f>
        <v>-116326.07</v>
      </c>
      <c r="P72" s="10">
        <f>SUMIF(DataQ!$E:$E,DataA!$A72,DataQ!U:U)</f>
        <v>4511391</v>
      </c>
      <c r="Q72" s="10">
        <f>SUMIF(DataQ!$E:$E,DataA!$A72,DataQ!V:V)</f>
        <v>81116.679999999993</v>
      </c>
      <c r="R72" s="10">
        <f>SUMIF(DataQ!$E:$E,DataA!$A72,DataQ!W:W)</f>
        <v>1552965</v>
      </c>
      <c r="S72" s="10">
        <f>SUMIF(DataQ!$E:$E,DataA!$A72,DataQ!X:X)</f>
        <v>4180.3519999999999</v>
      </c>
      <c r="T72" s="10">
        <f>SUMIF(DataQ!$E:$E,DataA!$A72,DataQ!Y:Y)</f>
        <v>5580.4840000000004</v>
      </c>
      <c r="U72" s="10">
        <f>SUMIF(DataQ!$E:$E,DataA!$A72,DataQ!Z:Z)</f>
        <v>4171.451</v>
      </c>
      <c r="V72" s="10">
        <f>SUMIF(DataQ!$E:$E,DataA!$A72,DataQ!AA:AA)</f>
        <v>4761254</v>
      </c>
      <c r="W72" s="10">
        <f>SUMIF(DataQ!$B:$B,DataA!$A72,DataQ!AB:AB)</f>
        <v>4627011</v>
      </c>
      <c r="X72" s="10">
        <f>SUMIF(DataQ!$B:$B,DataA!$A72,DataQ!AC:AC)</f>
        <v>48167.09</v>
      </c>
      <c r="Y72" s="10">
        <f>SUMIF(DataQ!$B:$B,DataA!$A72,DataQ!AD:AD)</f>
        <v>736914.3</v>
      </c>
      <c r="Z72" s="10">
        <f>SUMIF(DataQ!$B:$B,DataA!$A72,DataQ!AE:AE)</f>
        <v>6604.93</v>
      </c>
      <c r="AA72" s="10">
        <f>SUMIF(DataQ!$B:$B,DataA!$A72,DataQ!AF:AF)</f>
        <v>4298.4340000000002</v>
      </c>
      <c r="AB72" s="10">
        <f>SUMIF(DataQ!$B:$B,DataA!$A72,DataQ!AG:AG)</f>
        <v>2950.1799000000001</v>
      </c>
      <c r="AC72" s="10">
        <f>SUMIF(DataQ!$B:$B,DataA!$A72,DataQ!AH:AH)</f>
        <v>4979855</v>
      </c>
    </row>
    <row r="73" spans="1:29" x14ac:dyDescent="0.25">
      <c r="A73">
        <v>2038</v>
      </c>
      <c r="B73" s="10">
        <f>SUMIF(DataQ!$B:$B,DataA!$A73,DataQ!G:G)</f>
        <v>3154789.9</v>
      </c>
      <c r="C73" s="10">
        <f>SUMIF(DataQ!$B:$B,DataA!$A73,DataQ!H:H)</f>
        <v>30563.804</v>
      </c>
      <c r="D73" s="10">
        <f>SUMIF(DataQ!$B:$B,DataA!$A73,DataQ!I:I)</f>
        <v>563928.80000000005</v>
      </c>
      <c r="E73" s="10">
        <f>SUMIF(DataQ!$B:$B,DataA!$A73,DataQ!J:J)</f>
        <v>4128.4629999999997</v>
      </c>
      <c r="F73" s="10">
        <f>SUMIF(DataQ!$B:$B,DataA!$A73,DataQ!K:K)</f>
        <v>2982.9234999999999</v>
      </c>
      <c r="G73" s="10">
        <f>SUMIF(DataQ!$B:$B,DataA!$A73,DataQ!L:L)</f>
        <v>2055.1958</v>
      </c>
      <c r="H73" s="10">
        <f>SUMIF(DataQ!$B:$B,DataA!$A73,DataQ!M:M)</f>
        <v>3138740.8</v>
      </c>
      <c r="I73" s="10">
        <f>SUMIF(DataQ!$B:$B,DataA!$A73,DataQ!N:N)</f>
        <v>-183911.5025</v>
      </c>
      <c r="J73" s="10">
        <f>SUMIF(DataQ!$B:$B,DataA!$A73,DataQ!O:O)</f>
        <v>-4024.9953999999998</v>
      </c>
      <c r="K73" s="10">
        <f>SUMIF(DataQ!$B:$B,DataA!$A73,DataQ!P:P)</f>
        <v>-6953.2579999999998</v>
      </c>
      <c r="L73" s="10">
        <f>SUMIF(DataQ!$B:$B,DataA!$A73,DataQ!Q:Q)</f>
        <v>-97.214179999999999</v>
      </c>
      <c r="M73" s="10">
        <f>SUMIF(DataQ!$B:$B,DataA!$A73,DataQ!R:R)</f>
        <v>-145.48802999999998</v>
      </c>
      <c r="N73" s="10">
        <f>SUMIF(DataQ!$B:$B,DataA!$A73,DataQ!S:S)</f>
        <v>-53.511719999999997</v>
      </c>
      <c r="O73" s="10">
        <f>SUMIF(DataQ!$B:$B,DataA!$A73,DataQ!T:T)</f>
        <v>-120236.47</v>
      </c>
      <c r="P73" s="10">
        <f>SUMIF(DataQ!$E:$E,DataA!$A73,DataQ!U:U)</f>
        <v>4695303</v>
      </c>
      <c r="Q73" s="10">
        <f>SUMIF(DataQ!$E:$E,DataA!$A73,DataQ!V:V)</f>
        <v>85141.68</v>
      </c>
      <c r="R73" s="10">
        <f>SUMIF(DataQ!$E:$E,DataA!$A73,DataQ!W:W)</f>
        <v>1559918</v>
      </c>
      <c r="S73" s="10">
        <f>SUMIF(DataQ!$E:$E,DataA!$A73,DataQ!X:X)</f>
        <v>4277.5659999999998</v>
      </c>
      <c r="T73" s="10">
        <f>SUMIF(DataQ!$E:$E,DataA!$A73,DataQ!Y:Y)</f>
        <v>5725.973</v>
      </c>
      <c r="U73" s="10">
        <f>SUMIF(DataQ!$E:$E,DataA!$A73,DataQ!Z:Z)</f>
        <v>4224.9620000000004</v>
      </c>
      <c r="V73" s="10">
        <f>SUMIF(DataQ!$E:$E,DataA!$A73,DataQ!AA:AA)</f>
        <v>4881490</v>
      </c>
      <c r="W73" s="10">
        <f>SUMIF(DataQ!$B:$B,DataA!$A73,DataQ!AB:AB)</f>
        <v>4800834</v>
      </c>
      <c r="X73" s="10">
        <f>SUMIF(DataQ!$B:$B,DataA!$A73,DataQ!AC:AC)</f>
        <v>49923.87</v>
      </c>
      <c r="Y73" s="10">
        <f>SUMIF(DataQ!$B:$B,DataA!$A73,DataQ!AD:AD)</f>
        <v>745649.4</v>
      </c>
      <c r="Z73" s="10">
        <f>SUMIF(DataQ!$B:$B,DataA!$A73,DataQ!AE:AE)</f>
        <v>6790.5540000000001</v>
      </c>
      <c r="AA73" s="10">
        <f>SUMIF(DataQ!$B:$B,DataA!$A73,DataQ!AF:AF)</f>
        <v>4408.7449999999999</v>
      </c>
      <c r="AB73" s="10">
        <f>SUMIF(DataQ!$B:$B,DataA!$A73,DataQ!AG:AG)</f>
        <v>3015.7925999999998</v>
      </c>
      <c r="AC73" s="10">
        <f>SUMIF(DataQ!$B:$B,DataA!$A73,DataQ!AH:AH)</f>
        <v>5175246</v>
      </c>
    </row>
    <row r="74" spans="1:29" x14ac:dyDescent="0.25">
      <c r="A74">
        <v>2039</v>
      </c>
      <c r="B74" s="10">
        <f>SUMIF(DataQ!$B:$B,DataA!$A74,DataQ!G:G)</f>
        <v>3204669.1</v>
      </c>
      <c r="C74" s="10">
        <f>SUMIF(DataQ!$B:$B,DataA!$A74,DataQ!H:H)</f>
        <v>31097.254999999997</v>
      </c>
      <c r="D74" s="10">
        <f>SUMIF(DataQ!$B:$B,DataA!$A74,DataQ!I:I)</f>
        <v>562293.5</v>
      </c>
      <c r="E74" s="10">
        <f>SUMIF(DataQ!$B:$B,DataA!$A74,DataQ!J:J)</f>
        <v>4163.4960000000001</v>
      </c>
      <c r="F74" s="10">
        <f>SUMIF(DataQ!$B:$B,DataA!$A74,DataQ!K:K)</f>
        <v>2998.5709999999999</v>
      </c>
      <c r="G74" s="10">
        <f>SUMIF(DataQ!$B:$B,DataA!$A74,DataQ!L:L)</f>
        <v>2058.8010000000004</v>
      </c>
      <c r="H74" s="10">
        <f>SUMIF(DataQ!$B:$B,DataA!$A74,DataQ!M:M)</f>
        <v>3199780.9</v>
      </c>
      <c r="I74" s="10">
        <f>SUMIF(DataQ!$B:$B,DataA!$A74,DataQ!N:N)</f>
        <v>-196256.12299999999</v>
      </c>
      <c r="J74" s="10">
        <f>SUMIF(DataQ!$B:$B,DataA!$A74,DataQ!O:O)</f>
        <v>-4093.1059999999998</v>
      </c>
      <c r="K74" s="10">
        <f>SUMIF(DataQ!$B:$B,DataA!$A74,DataQ!P:P)</f>
        <v>-7034.54</v>
      </c>
      <c r="L74" s="10">
        <f>SUMIF(DataQ!$B:$B,DataA!$A74,DataQ!Q:Q)</f>
        <v>-99.990349999999992</v>
      </c>
      <c r="M74" s="10">
        <f>SUMIF(DataQ!$B:$B,DataA!$A74,DataQ!R:R)</f>
        <v>-149.12078</v>
      </c>
      <c r="N74" s="10">
        <f>SUMIF(DataQ!$B:$B,DataA!$A74,DataQ!S:S)</f>
        <v>-54.689900000000002</v>
      </c>
      <c r="O74" s="10">
        <f>SUMIF(DataQ!$B:$B,DataA!$A74,DataQ!T:T)</f>
        <v>-124498.82</v>
      </c>
      <c r="P74" s="10">
        <f>SUMIF(DataQ!$E:$E,DataA!$A74,DataQ!U:U)</f>
        <v>4891559</v>
      </c>
      <c r="Q74" s="10">
        <f>SUMIF(DataQ!$E:$E,DataA!$A74,DataQ!V:V)</f>
        <v>89234.78</v>
      </c>
      <c r="R74" s="10">
        <f>SUMIF(DataQ!$E:$E,DataA!$A74,DataQ!W:W)</f>
        <v>1566953</v>
      </c>
      <c r="S74" s="10">
        <f>SUMIF(DataQ!$E:$E,DataA!$A74,DataQ!X:X)</f>
        <v>4377.5559999999996</v>
      </c>
      <c r="T74" s="10">
        <f>SUMIF(DataQ!$E:$E,DataA!$A74,DataQ!Y:Y)</f>
        <v>5875.0940000000001</v>
      </c>
      <c r="U74" s="10">
        <f>SUMIF(DataQ!$E:$E,DataA!$A74,DataQ!Z:Z)</f>
        <v>4279.652</v>
      </c>
      <c r="V74" s="10">
        <f>SUMIF(DataQ!$E:$E,DataA!$A74,DataQ!AA:AA)</f>
        <v>5005989</v>
      </c>
      <c r="W74" s="10">
        <f>SUMIF(DataQ!$B:$B,DataA!$A74,DataQ!AB:AB)</f>
        <v>4981670</v>
      </c>
      <c r="X74" s="10">
        <f>SUMIF(DataQ!$B:$B,DataA!$A74,DataQ!AC:AC)</f>
        <v>51739.55</v>
      </c>
      <c r="Y74" s="10">
        <f>SUMIF(DataQ!$B:$B,DataA!$A74,DataQ!AD:AD)</f>
        <v>754348.39999999991</v>
      </c>
      <c r="Z74" s="10">
        <f>SUMIF(DataQ!$B:$B,DataA!$A74,DataQ!AE:AE)</f>
        <v>6985.0950000000003</v>
      </c>
      <c r="AA74" s="10">
        <f>SUMIF(DataQ!$B:$B,DataA!$A74,DataQ!AF:AF)</f>
        <v>4518.9380000000001</v>
      </c>
      <c r="AB74" s="10">
        <f>SUMIF(DataQ!$B:$B,DataA!$A74,DataQ!AG:AG)</f>
        <v>3081.8749000000003</v>
      </c>
      <c r="AC74" s="10">
        <f>SUMIF(DataQ!$B:$B,DataA!$A74,DataQ!AH:AH)</f>
        <v>5378351</v>
      </c>
    </row>
    <row r="75" spans="1:29" x14ac:dyDescent="0.25">
      <c r="A75">
        <v>2040</v>
      </c>
      <c r="B75" s="10">
        <f>SUMIF(DataQ!$B:$B,DataA!$A75,DataQ!G:G)</f>
        <v>3255558.2</v>
      </c>
      <c r="C75" s="10">
        <f>SUMIF(DataQ!$B:$B,DataA!$A75,DataQ!H:H)</f>
        <v>31634.329999999998</v>
      </c>
      <c r="D75" s="10">
        <f>SUMIF(DataQ!$B:$B,DataA!$A75,DataQ!I:I)</f>
        <v>560749.29999999993</v>
      </c>
      <c r="E75" s="10">
        <f>SUMIF(DataQ!$B:$B,DataA!$A75,DataQ!J:J)</f>
        <v>4201.7070000000003</v>
      </c>
      <c r="F75" s="10">
        <f>SUMIF(DataQ!$B:$B,DataA!$A75,DataQ!K:K)</f>
        <v>3014.1986000000002</v>
      </c>
      <c r="G75" s="10">
        <f>SUMIF(DataQ!$B:$B,DataA!$A75,DataQ!L:L)</f>
        <v>2062.2007000000003</v>
      </c>
      <c r="H75" s="10">
        <f>SUMIF(DataQ!$B:$B,DataA!$A75,DataQ!M:M)</f>
        <v>3263360.1</v>
      </c>
      <c r="I75" s="10">
        <f>SUMIF(DataQ!$B:$B,DataA!$A75,DataQ!N:N)</f>
        <v>-209298.74799999999</v>
      </c>
      <c r="J75" s="10">
        <f>SUMIF(DataQ!$B:$B,DataA!$A75,DataQ!O:O)</f>
        <v>-4156.9040000000005</v>
      </c>
      <c r="K75" s="10">
        <f>SUMIF(DataQ!$B:$B,DataA!$A75,DataQ!P:P)</f>
        <v>-7117.5929999999998</v>
      </c>
      <c r="L75" s="10">
        <f>SUMIF(DataQ!$B:$B,DataA!$A75,DataQ!Q:Q)</f>
        <v>-102.89996000000001</v>
      </c>
      <c r="M75" s="10">
        <f>SUMIF(DataQ!$B:$B,DataA!$A75,DataQ!R:R)</f>
        <v>-152.89856</v>
      </c>
      <c r="N75" s="10">
        <f>SUMIF(DataQ!$B:$B,DataA!$A75,DataQ!S:S)</f>
        <v>-55.879680000000008</v>
      </c>
      <c r="O75" s="10">
        <f>SUMIF(DataQ!$B:$B,DataA!$A75,DataQ!T:T)</f>
        <v>-129485.07</v>
      </c>
      <c r="P75" s="10">
        <f>SUMIF(DataQ!$E:$E,DataA!$A75,DataQ!U:U)</f>
        <v>5100857</v>
      </c>
      <c r="Q75" s="10">
        <f>SUMIF(DataQ!$E:$E,DataA!$A75,DataQ!V:V)</f>
        <v>93391.69</v>
      </c>
      <c r="R75" s="10">
        <f>SUMIF(DataQ!$E:$E,DataA!$A75,DataQ!W:W)</f>
        <v>1574070</v>
      </c>
      <c r="S75" s="10">
        <f>SUMIF(DataQ!$E:$E,DataA!$A75,DataQ!X:X)</f>
        <v>4480.4560000000001</v>
      </c>
      <c r="T75" s="10">
        <f>SUMIF(DataQ!$E:$E,DataA!$A75,DataQ!Y:Y)</f>
        <v>6027.9920000000002</v>
      </c>
      <c r="U75" s="10">
        <f>SUMIF(DataQ!$E:$E,DataA!$A75,DataQ!Z:Z)</f>
        <v>4335.5320000000002</v>
      </c>
      <c r="V75" s="10">
        <f>SUMIF(DataQ!$E:$E,DataA!$A75,DataQ!AA:AA)</f>
        <v>5135473</v>
      </c>
      <c r="W75" s="10">
        <f>SUMIF(DataQ!$B:$B,DataA!$A75,DataQ!AB:AB)</f>
        <v>5169744</v>
      </c>
      <c r="X75" s="10">
        <f>SUMIF(DataQ!$B:$B,DataA!$A75,DataQ!AC:AC)</f>
        <v>53613.09</v>
      </c>
      <c r="Y75" s="10">
        <f>SUMIF(DataQ!$B:$B,DataA!$A75,DataQ!AD:AD)</f>
        <v>763310.3</v>
      </c>
      <c r="Z75" s="10">
        <f>SUMIF(DataQ!$B:$B,DataA!$A75,DataQ!AE:AE)</f>
        <v>7190.1289999999999</v>
      </c>
      <c r="AA75" s="10">
        <f>SUMIF(DataQ!$B:$B,DataA!$A75,DataQ!AF:AF)</f>
        <v>4633.6000000000004</v>
      </c>
      <c r="AB75" s="10">
        <f>SUMIF(DataQ!$B:$B,DataA!$A75,DataQ!AG:AG)</f>
        <v>3148.9286000000002</v>
      </c>
      <c r="AC75" s="10">
        <f>SUMIF(DataQ!$B:$B,DataA!$A75,DataQ!AH:AH)</f>
        <v>5591924</v>
      </c>
    </row>
    <row r="76" spans="1:29" x14ac:dyDescent="0.25">
      <c r="A76">
        <v>2041</v>
      </c>
      <c r="B76" s="10">
        <f>SUMIF(DataQ!$B:$B,DataA!$A76,DataQ!G:G)</f>
        <v>3308220</v>
      </c>
      <c r="C76" s="10">
        <f>SUMIF(DataQ!$B:$B,DataA!$A76,DataQ!H:H)</f>
        <v>32175.943000000003</v>
      </c>
      <c r="D76" s="10">
        <f>SUMIF(DataQ!$B:$B,DataA!$A76,DataQ!I:I)</f>
        <v>559363.80000000005</v>
      </c>
      <c r="E76" s="10">
        <f>SUMIF(DataQ!$B:$B,DataA!$A76,DataQ!J:J)</f>
        <v>4242.0419999999995</v>
      </c>
      <c r="F76" s="10">
        <f>SUMIF(DataQ!$B:$B,DataA!$A76,DataQ!K:K)</f>
        <v>3029.2451999999998</v>
      </c>
      <c r="G76" s="10">
        <f>SUMIF(DataQ!$B:$B,DataA!$A76,DataQ!L:L)</f>
        <v>2065.4245000000001</v>
      </c>
      <c r="H76" s="10">
        <f>SUMIF(DataQ!$B:$B,DataA!$A76,DataQ!M:M)</f>
        <v>3328959.4000000004</v>
      </c>
      <c r="I76" s="10">
        <f>SUMIF(DataQ!$B:$B,DataA!$A76,DataQ!N:N)</f>
        <v>-217376.5</v>
      </c>
      <c r="J76" s="10">
        <f>SUMIF(DataQ!$B:$B,DataA!$A76,DataQ!O:O)</f>
        <v>-4216.1100000000006</v>
      </c>
      <c r="K76" s="10">
        <f>SUMIF(DataQ!$B:$B,DataA!$A76,DataQ!P:P)</f>
        <v>-7203.8519999999999</v>
      </c>
      <c r="L76" s="10">
        <f>SUMIF(DataQ!$B:$B,DataA!$A76,DataQ!Q:Q)</f>
        <v>-105.9228</v>
      </c>
      <c r="M76" s="10">
        <f>SUMIF(DataQ!$B:$B,DataA!$A76,DataQ!R:R)</f>
        <v>-156.74205999999998</v>
      </c>
      <c r="N76" s="10">
        <f>SUMIF(DataQ!$B:$B,DataA!$A76,DataQ!S:S)</f>
        <v>-57.091099999999997</v>
      </c>
      <c r="O76" s="10">
        <f>SUMIF(DataQ!$B:$B,DataA!$A76,DataQ!T:T)</f>
        <v>-135282.19</v>
      </c>
      <c r="P76" s="10">
        <f>SUMIF(DataQ!$E:$E,DataA!$A76,DataQ!U:U)</f>
        <v>5318233</v>
      </c>
      <c r="Q76" s="10">
        <f>SUMIF(DataQ!$E:$E,DataA!$A76,DataQ!V:V)</f>
        <v>97607.8</v>
      </c>
      <c r="R76" s="10">
        <f>SUMIF(DataQ!$E:$E,DataA!$A76,DataQ!W:W)</f>
        <v>1581274</v>
      </c>
      <c r="S76" s="10">
        <f>SUMIF(DataQ!$E:$E,DataA!$A76,DataQ!X:X)</f>
        <v>4586.3779999999997</v>
      </c>
      <c r="T76" s="10">
        <f>SUMIF(DataQ!$E:$E,DataA!$A76,DataQ!Y:Y)</f>
        <v>6184.7340000000004</v>
      </c>
      <c r="U76" s="10">
        <f>SUMIF(DataQ!$E:$E,DataA!$A76,DataQ!Z:Z)</f>
        <v>4392.6229999999996</v>
      </c>
      <c r="V76" s="10">
        <f>SUMIF(DataQ!$E:$E,DataA!$A76,DataQ!AA:AA)</f>
        <v>5270755</v>
      </c>
      <c r="W76" s="10">
        <f>SUMIF(DataQ!$B:$B,DataA!$A76,DataQ!AB:AB)</f>
        <v>5366622</v>
      </c>
      <c r="X76" s="10">
        <f>SUMIF(DataQ!$B:$B,DataA!$A76,DataQ!AC:AC)</f>
        <v>55548.619999999995</v>
      </c>
      <c r="Y76" s="10">
        <f>SUMIF(DataQ!$B:$B,DataA!$A76,DataQ!AD:AD)</f>
        <v>772625.4</v>
      </c>
      <c r="Z76" s="10">
        <f>SUMIF(DataQ!$B:$B,DataA!$A76,DataQ!AE:AE)</f>
        <v>7404.2739999999994</v>
      </c>
      <c r="AA76" s="10">
        <f>SUMIF(DataQ!$B:$B,DataA!$A76,DataQ!AF:AF)</f>
        <v>4749.8560000000007</v>
      </c>
      <c r="AB76" s="10">
        <f>SUMIF(DataQ!$B:$B,DataA!$A76,DataQ!AG:AG)</f>
        <v>3217.0448000000001</v>
      </c>
      <c r="AC76" s="10">
        <f>SUMIF(DataQ!$B:$B,DataA!$A76,DataQ!AH:AH)</f>
        <v>5815681</v>
      </c>
    </row>
    <row r="77" spans="1:29" x14ac:dyDescent="0.25">
      <c r="A77">
        <v>2042</v>
      </c>
      <c r="B77" s="10">
        <f>SUMIF(DataQ!$B:$B,DataA!$A77,DataQ!G:G)</f>
        <v>3362276.0999999996</v>
      </c>
      <c r="C77" s="10">
        <f>SUMIF(DataQ!$B:$B,DataA!$A77,DataQ!H:H)</f>
        <v>32722.747000000003</v>
      </c>
      <c r="D77" s="10">
        <f>SUMIF(DataQ!$B:$B,DataA!$A77,DataQ!I:I)</f>
        <v>558143.6</v>
      </c>
      <c r="E77" s="10">
        <f>SUMIF(DataQ!$B:$B,DataA!$A77,DataQ!J:J)</f>
        <v>4283.6660000000002</v>
      </c>
      <c r="F77" s="10">
        <f>SUMIF(DataQ!$B:$B,DataA!$A77,DataQ!K:K)</f>
        <v>3045.6507000000001</v>
      </c>
      <c r="G77" s="10">
        <f>SUMIF(DataQ!$B:$B,DataA!$A77,DataQ!L:L)</f>
        <v>2068.5097999999998</v>
      </c>
      <c r="H77" s="10">
        <f>SUMIF(DataQ!$B:$B,DataA!$A77,DataQ!M:M)</f>
        <v>3395598.3000000003</v>
      </c>
      <c r="I77" s="10">
        <f>SUMIF(DataQ!$B:$B,DataA!$A77,DataQ!N:N)</f>
        <v>-225669.875</v>
      </c>
      <c r="J77" s="10">
        <f>SUMIF(DataQ!$B:$B,DataA!$A77,DataQ!O:O)</f>
        <v>-4269.9769999999999</v>
      </c>
      <c r="K77" s="10">
        <f>SUMIF(DataQ!$B:$B,DataA!$A77,DataQ!P:P)</f>
        <v>-7293.8269999999993</v>
      </c>
      <c r="L77" s="10">
        <f>SUMIF(DataQ!$B:$B,DataA!$A77,DataQ!Q:Q)</f>
        <v>-109.04211000000001</v>
      </c>
      <c r="M77" s="10">
        <f>SUMIF(DataQ!$B:$B,DataA!$A77,DataQ!R:R)</f>
        <v>-160.75299000000001</v>
      </c>
      <c r="N77" s="10">
        <f>SUMIF(DataQ!$B:$B,DataA!$A77,DataQ!S:S)</f>
        <v>-58.322049999999997</v>
      </c>
      <c r="O77" s="10">
        <f>SUMIF(DataQ!$B:$B,DataA!$A77,DataQ!T:T)</f>
        <v>-141569.76</v>
      </c>
      <c r="P77" s="10">
        <f>SUMIF(DataQ!$E:$E,DataA!$A77,DataQ!U:U)</f>
        <v>5543903</v>
      </c>
      <c r="Q77" s="10">
        <f>SUMIF(DataQ!$E:$E,DataA!$A77,DataQ!V:V)</f>
        <v>101877.8</v>
      </c>
      <c r="R77" s="10">
        <f>SUMIF(DataQ!$E:$E,DataA!$A77,DataQ!W:W)</f>
        <v>1588568</v>
      </c>
      <c r="S77" s="10">
        <f>SUMIF(DataQ!$E:$E,DataA!$A77,DataQ!X:X)</f>
        <v>4695.42</v>
      </c>
      <c r="T77" s="10">
        <f>SUMIF(DataQ!$E:$E,DataA!$A77,DataQ!Y:Y)</f>
        <v>6345.4870000000001</v>
      </c>
      <c r="U77" s="10">
        <f>SUMIF(DataQ!$E:$E,DataA!$A77,DataQ!Z:Z)</f>
        <v>4450.9449999999997</v>
      </c>
      <c r="V77" s="10">
        <f>SUMIF(DataQ!$E:$E,DataA!$A77,DataQ!AA:AA)</f>
        <v>5412325</v>
      </c>
      <c r="W77" s="10">
        <f>SUMIF(DataQ!$B:$B,DataA!$A77,DataQ!AB:AB)</f>
        <v>5571973</v>
      </c>
      <c r="X77" s="10">
        <f>SUMIF(DataQ!$B:$B,DataA!$A77,DataQ!AC:AC)</f>
        <v>57550.18</v>
      </c>
      <c r="Y77" s="10">
        <f>SUMIF(DataQ!$B:$B,DataA!$A77,DataQ!AD:AD)</f>
        <v>782355.70000000007</v>
      </c>
      <c r="Z77" s="10">
        <f>SUMIF(DataQ!$B:$B,DataA!$A77,DataQ!AE:AE)</f>
        <v>7626.4050000000007</v>
      </c>
      <c r="AA77" s="10">
        <f>SUMIF(DataQ!$B:$B,DataA!$A77,DataQ!AF:AF)</f>
        <v>4871.4169999999995</v>
      </c>
      <c r="AB77" s="10">
        <f>SUMIF(DataQ!$B:$B,DataA!$A77,DataQ!AG:AG)</f>
        <v>3286.4107999999997</v>
      </c>
      <c r="AC77" s="10">
        <f>SUMIF(DataQ!$B:$B,DataA!$A77,DataQ!AH:AH)</f>
        <v>6048060</v>
      </c>
    </row>
    <row r="78" spans="1:29" x14ac:dyDescent="0.25">
      <c r="A78">
        <v>2043</v>
      </c>
      <c r="B78" s="10">
        <f>SUMIF(DataQ!$B:$B,DataA!$A78,DataQ!G:G)</f>
        <v>3416232.7</v>
      </c>
      <c r="C78" s="10">
        <f>SUMIF(DataQ!$B:$B,DataA!$A78,DataQ!H:H)</f>
        <v>33275.930999999997</v>
      </c>
      <c r="D78" s="10">
        <f>SUMIF(DataQ!$B:$B,DataA!$A78,DataQ!I:I)</f>
        <v>557114.5</v>
      </c>
      <c r="E78" s="10">
        <f>SUMIF(DataQ!$B:$B,DataA!$A78,DataQ!J:J)</f>
        <v>4325.3340000000007</v>
      </c>
      <c r="F78" s="10">
        <f>SUMIF(DataQ!$B:$B,DataA!$A78,DataQ!K:K)</f>
        <v>3062.6486999999997</v>
      </c>
      <c r="G78" s="10">
        <f>SUMIF(DataQ!$B:$B,DataA!$A78,DataQ!L:L)</f>
        <v>2071.5457999999999</v>
      </c>
      <c r="H78" s="10">
        <f>SUMIF(DataQ!$B:$B,DataA!$A78,DataQ!M:M)</f>
        <v>3462663.5</v>
      </c>
      <c r="I78" s="10">
        <f>SUMIF(DataQ!$B:$B,DataA!$A78,DataQ!N:N)</f>
        <v>-234247.49799999999</v>
      </c>
      <c r="J78" s="10">
        <f>SUMIF(DataQ!$B:$B,DataA!$A78,DataQ!O:O)</f>
        <v>-4318.8820000000005</v>
      </c>
      <c r="K78" s="10">
        <f>SUMIF(DataQ!$B:$B,DataA!$A78,DataQ!P:P)</f>
        <v>-7387.0470000000005</v>
      </c>
      <c r="L78" s="10">
        <f>SUMIF(DataQ!$B:$B,DataA!$A78,DataQ!Q:Q)</f>
        <v>-112.22821</v>
      </c>
      <c r="M78" s="10">
        <f>SUMIF(DataQ!$B:$B,DataA!$A78,DataQ!R:R)</f>
        <v>-164.89287999999999</v>
      </c>
      <c r="N78" s="10">
        <f>SUMIF(DataQ!$B:$B,DataA!$A78,DataQ!S:S)</f>
        <v>-59.579900000000002</v>
      </c>
      <c r="O78" s="10">
        <f>SUMIF(DataQ!$B:$B,DataA!$A78,DataQ!T:T)</f>
        <v>-148024.07</v>
      </c>
      <c r="P78" s="10">
        <f>SUMIF(DataQ!$E:$E,DataA!$A78,DataQ!U:U)</f>
        <v>5778151</v>
      </c>
      <c r="Q78" s="10">
        <f>SUMIF(DataQ!$E:$E,DataA!$A78,DataQ!V:V)</f>
        <v>106196.6</v>
      </c>
      <c r="R78" s="10">
        <f>SUMIF(DataQ!$E:$E,DataA!$A78,DataQ!W:W)</f>
        <v>1595955</v>
      </c>
      <c r="S78" s="10">
        <f>SUMIF(DataQ!$E:$E,DataA!$A78,DataQ!X:X)</f>
        <v>4807.6480000000001</v>
      </c>
      <c r="T78" s="10">
        <f>SUMIF(DataQ!$E:$E,DataA!$A78,DataQ!Y:Y)</f>
        <v>6510.38</v>
      </c>
      <c r="U78" s="10">
        <f>SUMIF(DataQ!$E:$E,DataA!$A78,DataQ!Z:Z)</f>
        <v>4510.5240000000003</v>
      </c>
      <c r="V78" s="10">
        <f>SUMIF(DataQ!$E:$E,DataA!$A78,DataQ!AA:AA)</f>
        <v>5560349</v>
      </c>
      <c r="W78" s="10">
        <f>SUMIF(DataQ!$B:$B,DataA!$A78,DataQ!AB:AB)</f>
        <v>5783515</v>
      </c>
      <c r="X78" s="10">
        <f>SUMIF(DataQ!$B:$B,DataA!$A78,DataQ!AC:AC)</f>
        <v>59622.01</v>
      </c>
      <c r="Y78" s="10">
        <f>SUMIF(DataQ!$B:$B,DataA!$A78,DataQ!AD:AD)</f>
        <v>792405.89999999991</v>
      </c>
      <c r="Z78" s="10">
        <f>SUMIF(DataQ!$B:$B,DataA!$A78,DataQ!AE:AE)</f>
        <v>7854.5280000000002</v>
      </c>
      <c r="AA78" s="10">
        <f>SUMIF(DataQ!$B:$B,DataA!$A78,DataQ!AF:AF)</f>
        <v>4997.2160000000003</v>
      </c>
      <c r="AB78" s="10">
        <f>SUMIF(DataQ!$B:$B,DataA!$A78,DataQ!AG:AG)</f>
        <v>3357.1439</v>
      </c>
      <c r="AC78" s="10">
        <f>SUMIF(DataQ!$B:$B,DataA!$A78,DataQ!AH:AH)</f>
        <v>6288651</v>
      </c>
    </row>
    <row r="79" spans="1:29" x14ac:dyDescent="0.25">
      <c r="A79">
        <v>2044</v>
      </c>
      <c r="B79" s="10">
        <f>SUMIF(DataQ!$B:$B,DataA!$A79,DataQ!G:G)</f>
        <v>3469460.8</v>
      </c>
      <c r="C79" s="10">
        <f>SUMIF(DataQ!$B:$B,DataA!$A79,DataQ!H:H)</f>
        <v>33835.646000000001</v>
      </c>
      <c r="D79" s="10">
        <f>SUMIF(DataQ!$B:$B,DataA!$A79,DataQ!I:I)</f>
        <v>556308.80000000005</v>
      </c>
      <c r="E79" s="10">
        <f>SUMIF(DataQ!$B:$B,DataA!$A79,DataQ!J:J)</f>
        <v>4366.2120000000004</v>
      </c>
      <c r="F79" s="10">
        <f>SUMIF(DataQ!$B:$B,DataA!$A79,DataQ!K:K)</f>
        <v>3078.8438999999998</v>
      </c>
      <c r="G79" s="10">
        <f>SUMIF(DataQ!$B:$B,DataA!$A79,DataQ!L:L)</f>
        <v>2073.9247999999998</v>
      </c>
      <c r="H79" s="10">
        <f>SUMIF(DataQ!$B:$B,DataA!$A79,DataQ!M:M)</f>
        <v>3530266.0999999996</v>
      </c>
      <c r="I79" s="10">
        <f>SUMIF(DataQ!$B:$B,DataA!$A79,DataQ!N:N)</f>
        <v>-243045.505</v>
      </c>
      <c r="J79" s="10">
        <f>SUMIF(DataQ!$B:$B,DataA!$A79,DataQ!O:O)</f>
        <v>-4364.2430000000004</v>
      </c>
      <c r="K79" s="10">
        <f>SUMIF(DataQ!$B:$B,DataA!$A79,DataQ!P:P)</f>
        <v>-7484.2569999999996</v>
      </c>
      <c r="L79" s="10">
        <f>SUMIF(DataQ!$B:$B,DataA!$A79,DataQ!Q:Q)</f>
        <v>-115.46264000000001</v>
      </c>
      <c r="M79" s="10">
        <f>SUMIF(DataQ!$B:$B,DataA!$A79,DataQ!R:R)</f>
        <v>-169.10834</v>
      </c>
      <c r="N79" s="10">
        <f>SUMIF(DataQ!$B:$B,DataA!$A79,DataQ!S:S)</f>
        <v>-60.84525</v>
      </c>
      <c r="O79" s="10">
        <f>SUMIF(DataQ!$B:$B,DataA!$A79,DataQ!T:T)</f>
        <v>-154656.44</v>
      </c>
      <c r="P79" s="10">
        <f>SUMIF(DataQ!$E:$E,DataA!$A79,DataQ!U:U)</f>
        <v>6021196</v>
      </c>
      <c r="Q79" s="10">
        <f>SUMIF(DataQ!$E:$E,DataA!$A79,DataQ!V:V)</f>
        <v>110560.9</v>
      </c>
      <c r="R79" s="10">
        <f>SUMIF(DataQ!$E:$E,DataA!$A79,DataQ!W:W)</f>
        <v>1603439</v>
      </c>
      <c r="S79" s="10">
        <f>SUMIF(DataQ!$E:$E,DataA!$A79,DataQ!X:X)</f>
        <v>4923.1109999999999</v>
      </c>
      <c r="T79" s="10">
        <f>SUMIF(DataQ!$E:$E,DataA!$A79,DataQ!Y:Y)</f>
        <v>6679.4889999999996</v>
      </c>
      <c r="U79" s="10">
        <f>SUMIF(DataQ!$E:$E,DataA!$A79,DataQ!Z:Z)</f>
        <v>4571.3689999999997</v>
      </c>
      <c r="V79" s="10">
        <f>SUMIF(DataQ!$E:$E,DataA!$A79,DataQ!AA:AA)</f>
        <v>5715006</v>
      </c>
      <c r="W79" s="10">
        <f>SUMIF(DataQ!$B:$B,DataA!$A79,DataQ!AB:AB)</f>
        <v>6000330</v>
      </c>
      <c r="X79" s="10">
        <f>SUMIF(DataQ!$B:$B,DataA!$A79,DataQ!AC:AC)</f>
        <v>61766.25</v>
      </c>
      <c r="Y79" s="10">
        <f>SUMIF(DataQ!$B:$B,DataA!$A79,DataQ!AD:AD)</f>
        <v>802967.2</v>
      </c>
      <c r="Z79" s="10">
        <f>SUMIF(DataQ!$B:$B,DataA!$A79,DataQ!AE:AE)</f>
        <v>8087.2659999999996</v>
      </c>
      <c r="AA79" s="10">
        <f>SUMIF(DataQ!$B:$B,DataA!$A79,DataQ!AF:AF)</f>
        <v>5124.4989999999998</v>
      </c>
      <c r="AB79" s="10">
        <f>SUMIF(DataQ!$B:$B,DataA!$A79,DataQ!AG:AG)</f>
        <v>3428.2669000000001</v>
      </c>
      <c r="AC79" s="10">
        <f>SUMIF(DataQ!$B:$B,DataA!$A79,DataQ!AH:AH)</f>
        <v>6537059</v>
      </c>
    </row>
    <row r="80" spans="1:29" x14ac:dyDescent="0.25">
      <c r="A80">
        <v>2045</v>
      </c>
      <c r="B80" s="10">
        <f>SUMIF(DataQ!$B:$B,DataA!$A80,DataQ!G:G)</f>
        <v>3521238.3</v>
      </c>
      <c r="C80" s="10">
        <f>SUMIF(DataQ!$B:$B,DataA!$A80,DataQ!H:H)</f>
        <v>34399.610999999997</v>
      </c>
      <c r="D80" s="10">
        <f>SUMIF(DataQ!$B:$B,DataA!$A80,DataQ!I:I)</f>
        <v>555863.30000000005</v>
      </c>
      <c r="E80" s="10">
        <f>SUMIF(DataQ!$B:$B,DataA!$A80,DataQ!J:J)</f>
        <v>4406.5290000000005</v>
      </c>
      <c r="F80" s="10">
        <f>SUMIF(DataQ!$B:$B,DataA!$A80,DataQ!K:K)</f>
        <v>3093.8148000000001</v>
      </c>
      <c r="G80" s="10">
        <f>SUMIF(DataQ!$B:$B,DataA!$A80,DataQ!L:L)</f>
        <v>2076.7430999999997</v>
      </c>
      <c r="H80" s="10">
        <f>SUMIF(DataQ!$B:$B,DataA!$A80,DataQ!M:M)</f>
        <v>3597780.9</v>
      </c>
      <c r="I80" s="10">
        <f>SUMIF(DataQ!$B:$B,DataA!$A80,DataQ!N:N)</f>
        <v>-252009.57</v>
      </c>
      <c r="J80" s="10">
        <f>SUMIF(DataQ!$B:$B,DataA!$A80,DataQ!O:O)</f>
        <v>-4405.2349999999997</v>
      </c>
      <c r="K80" s="10">
        <f>SUMIF(DataQ!$B:$B,DataA!$A80,DataQ!P:P)</f>
        <v>-7588.2969999999996</v>
      </c>
      <c r="L80" s="10">
        <f>SUMIF(DataQ!$B:$B,DataA!$A80,DataQ!Q:Q)</f>
        <v>-118.74847</v>
      </c>
      <c r="M80" s="10">
        <f>SUMIF(DataQ!$B:$B,DataA!$A80,DataQ!R:R)</f>
        <v>-173.32825</v>
      </c>
      <c r="N80" s="10">
        <f>SUMIF(DataQ!$B:$B,DataA!$A80,DataQ!S:S)</f>
        <v>-62.143129999999999</v>
      </c>
      <c r="O80" s="10">
        <f>SUMIF(DataQ!$B:$B,DataA!$A80,DataQ!T:T)</f>
        <v>-161553.19</v>
      </c>
      <c r="P80" s="10">
        <f>SUMIF(DataQ!$E:$E,DataA!$A80,DataQ!U:U)</f>
        <v>6273206</v>
      </c>
      <c r="Q80" s="10">
        <f>SUMIF(DataQ!$E:$E,DataA!$A80,DataQ!V:V)</f>
        <v>114966.1</v>
      </c>
      <c r="R80" s="10">
        <f>SUMIF(DataQ!$E:$E,DataA!$A80,DataQ!W:W)</f>
        <v>1611028</v>
      </c>
      <c r="S80" s="10">
        <f>SUMIF(DataQ!$E:$E,DataA!$A80,DataQ!X:X)</f>
        <v>5041.8590000000004</v>
      </c>
      <c r="T80" s="10">
        <f>SUMIF(DataQ!$E:$E,DataA!$A80,DataQ!Y:Y)</f>
        <v>6852.817</v>
      </c>
      <c r="U80" s="10">
        <f>SUMIF(DataQ!$E:$E,DataA!$A80,DataQ!Z:Z)</f>
        <v>4633.5119999999997</v>
      </c>
      <c r="V80" s="10">
        <f>SUMIF(DataQ!$E:$E,DataA!$A80,DataQ!AA:AA)</f>
        <v>5876559</v>
      </c>
      <c r="W80" s="10">
        <f>SUMIF(DataQ!$B:$B,DataA!$A80,DataQ!AB:AB)</f>
        <v>6221245</v>
      </c>
      <c r="X80" s="10">
        <f>SUMIF(DataQ!$B:$B,DataA!$A80,DataQ!AC:AC)</f>
        <v>63979.73</v>
      </c>
      <c r="Y80" s="10">
        <f>SUMIF(DataQ!$B:$B,DataA!$A80,DataQ!AD:AD)</f>
        <v>814285.10000000009</v>
      </c>
      <c r="Z80" s="10">
        <f>SUMIF(DataQ!$B:$B,DataA!$A80,DataQ!AE:AE)</f>
        <v>8325.1090000000004</v>
      </c>
      <c r="AA80" s="10">
        <f>SUMIF(DataQ!$B:$B,DataA!$A80,DataQ!AF:AF)</f>
        <v>5252.741</v>
      </c>
      <c r="AB80" s="10">
        <f>SUMIF(DataQ!$B:$B,DataA!$A80,DataQ!AG:AG)</f>
        <v>3501.7081000000003</v>
      </c>
      <c r="AC80" s="10">
        <f>SUMIF(DataQ!$B:$B,DataA!$A80,DataQ!AH:AH)</f>
        <v>6792675</v>
      </c>
    </row>
    <row r="81" spans="1:29" x14ac:dyDescent="0.25">
      <c r="A81">
        <v>2046</v>
      </c>
      <c r="B81" s="10">
        <f>SUMIF(DataQ!$B:$B,DataA!$A81,DataQ!G:G)</f>
        <v>3572608.7</v>
      </c>
      <c r="C81" s="10">
        <f>SUMIF(DataQ!$B:$B,DataA!$A81,DataQ!H:H)</f>
        <v>34968.398999999998</v>
      </c>
      <c r="D81" s="10">
        <f>SUMIF(DataQ!$B:$B,DataA!$A81,DataQ!I:I)</f>
        <v>555754.6</v>
      </c>
      <c r="E81" s="10">
        <f>SUMIF(DataQ!$B:$B,DataA!$A81,DataQ!J:J)</f>
        <v>4446.2700000000004</v>
      </c>
      <c r="F81" s="10">
        <f>SUMIF(DataQ!$B:$B,DataA!$A81,DataQ!K:K)</f>
        <v>3107.8723</v>
      </c>
      <c r="G81" s="10">
        <f>SUMIF(DataQ!$B:$B,DataA!$A81,DataQ!L:L)</f>
        <v>2080.2613000000001</v>
      </c>
      <c r="H81" s="10">
        <f>SUMIF(DataQ!$B:$B,DataA!$A81,DataQ!M:M)</f>
        <v>3666196.2</v>
      </c>
      <c r="I81" s="10">
        <f>SUMIF(DataQ!$B:$B,DataA!$A81,DataQ!N:N)</f>
        <v>-261204.59</v>
      </c>
      <c r="J81" s="10">
        <f>SUMIF(DataQ!$B:$B,DataA!$A81,DataQ!O:O)</f>
        <v>-4440.9719999999998</v>
      </c>
      <c r="K81" s="10">
        <f>SUMIF(DataQ!$B:$B,DataA!$A81,DataQ!P:P)</f>
        <v>-7699.405999999999</v>
      </c>
      <c r="L81" s="10">
        <f>SUMIF(DataQ!$B:$B,DataA!$A81,DataQ!Q:Q)</f>
        <v>-122.09191999999999</v>
      </c>
      <c r="M81" s="10">
        <f>SUMIF(DataQ!$B:$B,DataA!$A81,DataQ!R:R)</f>
        <v>-177.63592999999997</v>
      </c>
      <c r="N81" s="10">
        <f>SUMIF(DataQ!$B:$B,DataA!$A81,DataQ!S:S)</f>
        <v>-63.49006</v>
      </c>
      <c r="O81" s="10">
        <f>SUMIF(DataQ!$B:$B,DataA!$A81,DataQ!T:T)</f>
        <v>-168493.13</v>
      </c>
      <c r="P81" s="10">
        <f>SUMIF(DataQ!$E:$E,DataA!$A81,DataQ!U:U)</f>
        <v>6534411</v>
      </c>
      <c r="Q81" s="10">
        <f>SUMIF(DataQ!$E:$E,DataA!$A81,DataQ!V:V)</f>
        <v>119407.1</v>
      </c>
      <c r="R81" s="10">
        <f>SUMIF(DataQ!$E:$E,DataA!$A81,DataQ!W:W)</f>
        <v>1618727</v>
      </c>
      <c r="S81" s="10">
        <f>SUMIF(DataQ!$E:$E,DataA!$A81,DataQ!X:X)</f>
        <v>5163.951</v>
      </c>
      <c r="T81" s="10">
        <f>SUMIF(DataQ!$E:$E,DataA!$A81,DataQ!Y:Y)</f>
        <v>7030.4530000000004</v>
      </c>
      <c r="U81" s="10">
        <f>SUMIF(DataQ!$E:$E,DataA!$A81,DataQ!Z:Z)</f>
        <v>4697.0029999999997</v>
      </c>
      <c r="V81" s="10">
        <f>SUMIF(DataQ!$E:$E,DataA!$A81,DataQ!AA:AA)</f>
        <v>6045051</v>
      </c>
      <c r="W81" s="10">
        <f>SUMIF(DataQ!$B:$B,DataA!$A81,DataQ!AB:AB)</f>
        <v>6448088</v>
      </c>
      <c r="X81" s="10">
        <f>SUMIF(DataQ!$B:$B,DataA!$A81,DataQ!AC:AC)</f>
        <v>66265.25</v>
      </c>
      <c r="Y81" s="10">
        <f>SUMIF(DataQ!$B:$B,DataA!$A81,DataQ!AD:AD)</f>
        <v>826342.5</v>
      </c>
      <c r="Z81" s="10">
        <f>SUMIF(DataQ!$B:$B,DataA!$A81,DataQ!AE:AE)</f>
        <v>8568.1229999999996</v>
      </c>
      <c r="AA81" s="10">
        <f>SUMIF(DataQ!$B:$B,DataA!$A81,DataQ!AF:AF)</f>
        <v>5382.8089999999993</v>
      </c>
      <c r="AB81" s="10">
        <f>SUMIF(DataQ!$B:$B,DataA!$A81,DataQ!AG:AG)</f>
        <v>3577.9706999999999</v>
      </c>
      <c r="AC81" s="10">
        <f>SUMIF(DataQ!$B:$B,DataA!$A81,DataQ!AH:AH)</f>
        <v>7057930</v>
      </c>
    </row>
    <row r="82" spans="1:29" x14ac:dyDescent="0.25">
      <c r="A82">
        <v>2047</v>
      </c>
      <c r="B82" s="10">
        <f>SUMIF(DataQ!$B:$B,DataA!$A82,DataQ!G:G)</f>
        <v>3624336.4</v>
      </c>
      <c r="C82" s="10">
        <f>SUMIF(DataQ!$B:$B,DataA!$A82,DataQ!H:H)</f>
        <v>35541.998</v>
      </c>
      <c r="D82" s="10">
        <f>SUMIF(DataQ!$B:$B,DataA!$A82,DataQ!I:I)</f>
        <v>555887.6</v>
      </c>
      <c r="E82" s="10">
        <f>SUMIF(DataQ!$B:$B,DataA!$A82,DataQ!J:J)</f>
        <v>4484.1329999999998</v>
      </c>
      <c r="F82" s="10">
        <f>SUMIF(DataQ!$B:$B,DataA!$A82,DataQ!K:K)</f>
        <v>3119.5688999999998</v>
      </c>
      <c r="G82" s="10">
        <f>SUMIF(DataQ!$B:$B,DataA!$A82,DataQ!L:L)</f>
        <v>2084.6294000000003</v>
      </c>
      <c r="H82" s="10">
        <f>SUMIF(DataQ!$B:$B,DataA!$A82,DataQ!M:M)</f>
        <v>3735380.3</v>
      </c>
      <c r="I82" s="10">
        <f>SUMIF(DataQ!$B:$B,DataA!$A82,DataQ!N:N)</f>
        <v>-270703.26300000004</v>
      </c>
      <c r="J82" s="10">
        <f>SUMIF(DataQ!$B:$B,DataA!$A82,DataQ!O:O)</f>
        <v>-4471.1149999999998</v>
      </c>
      <c r="K82" s="10">
        <f>SUMIF(DataQ!$B:$B,DataA!$A82,DataQ!P:P)</f>
        <v>-7816.6650000000009</v>
      </c>
      <c r="L82" s="10">
        <f>SUMIF(DataQ!$B:$B,DataA!$A82,DataQ!Q:Q)</f>
        <v>-125.45191</v>
      </c>
      <c r="M82" s="10">
        <f>SUMIF(DataQ!$B:$B,DataA!$A82,DataQ!R:R)</f>
        <v>-181.85644000000002</v>
      </c>
      <c r="N82" s="10">
        <f>SUMIF(DataQ!$B:$B,DataA!$A82,DataQ!S:S)</f>
        <v>-64.893709999999999</v>
      </c>
      <c r="O82" s="10">
        <f>SUMIF(DataQ!$B:$B,DataA!$A82,DataQ!T:T)</f>
        <v>-175591.51</v>
      </c>
      <c r="P82" s="10">
        <f>SUMIF(DataQ!$E:$E,DataA!$A82,DataQ!U:U)</f>
        <v>6805114</v>
      </c>
      <c r="Q82" s="10">
        <f>SUMIF(DataQ!$E:$E,DataA!$A82,DataQ!V:V)</f>
        <v>123878.2</v>
      </c>
      <c r="R82" s="10">
        <f>SUMIF(DataQ!$E:$E,DataA!$A82,DataQ!W:W)</f>
        <v>1626544</v>
      </c>
      <c r="S82" s="10">
        <f>SUMIF(DataQ!$E:$E,DataA!$A82,DataQ!X:X)</f>
        <v>5289.402</v>
      </c>
      <c r="T82" s="10">
        <f>SUMIF(DataQ!$E:$E,DataA!$A82,DataQ!Y:Y)</f>
        <v>7212.31</v>
      </c>
      <c r="U82" s="10">
        <f>SUMIF(DataQ!$E:$E,DataA!$A82,DataQ!Z:Z)</f>
        <v>4761.8969999999999</v>
      </c>
      <c r="V82" s="10">
        <f>SUMIF(DataQ!$E:$E,DataA!$A82,DataQ!AA:AA)</f>
        <v>6220643</v>
      </c>
      <c r="W82" s="10">
        <f>SUMIF(DataQ!$B:$B,DataA!$A82,DataQ!AB:AB)</f>
        <v>6682428</v>
      </c>
      <c r="X82" s="10">
        <f>SUMIF(DataQ!$B:$B,DataA!$A82,DataQ!AC:AC)</f>
        <v>68626.14</v>
      </c>
      <c r="Y82" s="10">
        <f>SUMIF(DataQ!$B:$B,DataA!$A82,DataQ!AD:AD)</f>
        <v>839015.9</v>
      </c>
      <c r="Z82" s="10">
        <f>SUMIF(DataQ!$B:$B,DataA!$A82,DataQ!AE:AE)</f>
        <v>8813.8269999999993</v>
      </c>
      <c r="AA82" s="10">
        <f>SUMIF(DataQ!$B:$B,DataA!$A82,DataQ!AF:AF)</f>
        <v>5510.8189999999995</v>
      </c>
      <c r="AB82" s="10">
        <f>SUMIF(DataQ!$B:$B,DataA!$A82,DataQ!AG:AG)</f>
        <v>3657.4304999999999</v>
      </c>
      <c r="AC82" s="10">
        <f>SUMIF(DataQ!$B:$B,DataA!$A82,DataQ!AH:AH)</f>
        <v>7332750</v>
      </c>
    </row>
    <row r="83" spans="1:29" x14ac:dyDescent="0.25">
      <c r="A83">
        <v>2048</v>
      </c>
      <c r="B83" s="10">
        <f>SUMIF(DataQ!$B:$B,DataA!$A83,DataQ!G:G)</f>
        <v>3675939</v>
      </c>
      <c r="C83" s="10">
        <f>SUMIF(DataQ!$B:$B,DataA!$A83,DataQ!H:H)</f>
        <v>36120.387000000002</v>
      </c>
      <c r="D83" s="10">
        <f>SUMIF(DataQ!$B:$B,DataA!$A83,DataQ!I:I)</f>
        <v>556168.1</v>
      </c>
      <c r="E83" s="10">
        <f>SUMIF(DataQ!$B:$B,DataA!$A83,DataQ!J:J)</f>
        <v>4520.8209999999999</v>
      </c>
      <c r="F83" s="10">
        <f>SUMIF(DataQ!$B:$B,DataA!$A83,DataQ!K:K)</f>
        <v>3130.0620999999996</v>
      </c>
      <c r="G83" s="10">
        <f>SUMIF(DataQ!$B:$B,DataA!$A83,DataQ!L:L)</f>
        <v>2089.3445000000002</v>
      </c>
      <c r="H83" s="10">
        <f>SUMIF(DataQ!$B:$B,DataA!$A83,DataQ!M:M)</f>
        <v>3804639.7</v>
      </c>
      <c r="I83" s="10">
        <f>SUMIF(DataQ!$B:$B,DataA!$A83,DataQ!N:N)</f>
        <v>-280481.46500000003</v>
      </c>
      <c r="J83" s="10">
        <f>SUMIF(DataQ!$B:$B,DataA!$A83,DataQ!O:O)</f>
        <v>-4494.8560000000007</v>
      </c>
      <c r="K83" s="10">
        <f>SUMIF(DataQ!$B:$B,DataA!$A83,DataQ!P:P)</f>
        <v>-7938.7190000000001</v>
      </c>
      <c r="L83" s="10">
        <f>SUMIF(DataQ!$B:$B,DataA!$A83,DataQ!Q:Q)</f>
        <v>-128.85217</v>
      </c>
      <c r="M83" s="10">
        <f>SUMIF(DataQ!$B:$B,DataA!$A83,DataQ!R:R)</f>
        <v>-186.08312000000001</v>
      </c>
      <c r="N83" s="10">
        <f>SUMIF(DataQ!$B:$B,DataA!$A83,DataQ!S:S)</f>
        <v>-66.345949999999988</v>
      </c>
      <c r="O83" s="10">
        <f>SUMIF(DataQ!$B:$B,DataA!$A83,DataQ!T:T)</f>
        <v>-182519.01</v>
      </c>
      <c r="P83" s="10">
        <f>SUMIF(DataQ!$E:$E,DataA!$A83,DataQ!U:U)</f>
        <v>7085595</v>
      </c>
      <c r="Q83" s="10">
        <f>SUMIF(DataQ!$E:$E,DataA!$A83,DataQ!V:V)</f>
        <v>128373.1</v>
      </c>
      <c r="R83" s="10">
        <f>SUMIF(DataQ!$E:$E,DataA!$A83,DataQ!W:W)</f>
        <v>1634482</v>
      </c>
      <c r="S83" s="10">
        <f>SUMIF(DataQ!$E:$E,DataA!$A83,DataQ!X:X)</f>
        <v>5418.2550000000001</v>
      </c>
      <c r="T83" s="10">
        <f>SUMIF(DataQ!$E:$E,DataA!$A83,DataQ!Y:Y)</f>
        <v>7398.3919999999998</v>
      </c>
      <c r="U83" s="10">
        <f>SUMIF(DataQ!$E:$E,DataA!$A83,DataQ!Z:Z)</f>
        <v>4828.2430000000004</v>
      </c>
      <c r="V83" s="10">
        <f>SUMIF(DataQ!$E:$E,DataA!$A83,DataQ!AA:AA)</f>
        <v>6403162</v>
      </c>
      <c r="W83" s="10">
        <f>SUMIF(DataQ!$B:$B,DataA!$A83,DataQ!AB:AB)</f>
        <v>6923641</v>
      </c>
      <c r="X83" s="10">
        <f>SUMIF(DataQ!$B:$B,DataA!$A83,DataQ!AC:AC)</f>
        <v>71065.179999999993</v>
      </c>
      <c r="Y83" s="10">
        <f>SUMIF(DataQ!$B:$B,DataA!$A83,DataQ!AD:AD)</f>
        <v>852170</v>
      </c>
      <c r="Z83" s="10">
        <f>SUMIF(DataQ!$B:$B,DataA!$A83,DataQ!AE:AE)</f>
        <v>9063.5889999999999</v>
      </c>
      <c r="AA83" s="10">
        <f>SUMIF(DataQ!$B:$B,DataA!$A83,DataQ!AF:AF)</f>
        <v>5639.2139999999999</v>
      </c>
      <c r="AB83" s="10">
        <f>SUMIF(DataQ!$B:$B,DataA!$A83,DataQ!AG:AG)</f>
        <v>3739.3208</v>
      </c>
      <c r="AC83" s="10">
        <f>SUMIF(DataQ!$B:$B,DataA!$A83,DataQ!AH:AH)</f>
        <v>7615928</v>
      </c>
    </row>
    <row r="84" spans="1:29" x14ac:dyDescent="0.25">
      <c r="A84">
        <v>2049</v>
      </c>
      <c r="B84" s="10">
        <f>SUMIF(DataQ!$B:$B,DataA!$A84,DataQ!G:G)</f>
        <v>3727545.6</v>
      </c>
      <c r="C84" s="10">
        <f>SUMIF(DataQ!$B:$B,DataA!$A84,DataQ!H:H)</f>
        <v>36703.327000000005</v>
      </c>
      <c r="D84" s="10">
        <f>SUMIF(DataQ!$B:$B,DataA!$A84,DataQ!I:I)</f>
        <v>556523.89999999991</v>
      </c>
      <c r="E84" s="10">
        <f>SUMIF(DataQ!$B:$B,DataA!$A84,DataQ!J:J)</f>
        <v>4557.1559999999999</v>
      </c>
      <c r="F84" s="10">
        <f>SUMIF(DataQ!$B:$B,DataA!$A84,DataQ!K:K)</f>
        <v>3140.38</v>
      </c>
      <c r="G84" s="10">
        <f>SUMIF(DataQ!$B:$B,DataA!$A84,DataQ!L:L)</f>
        <v>2094.6918999999998</v>
      </c>
      <c r="H84" s="10">
        <f>SUMIF(DataQ!$B:$B,DataA!$A84,DataQ!M:M)</f>
        <v>3874186.8</v>
      </c>
      <c r="I84" s="10">
        <f>SUMIF(DataQ!$B:$B,DataA!$A84,DataQ!N:N)</f>
        <v>-290558.04300000001</v>
      </c>
      <c r="J84" s="10">
        <f>SUMIF(DataQ!$B:$B,DataA!$A84,DataQ!O:O)</f>
        <v>-4512.4809999999998</v>
      </c>
      <c r="K84" s="10">
        <f>SUMIF(DataQ!$B:$B,DataA!$A84,DataQ!P:P)</f>
        <v>-8064.2579999999998</v>
      </c>
      <c r="L84" s="10">
        <f>SUMIF(DataQ!$B:$B,DataA!$A84,DataQ!Q:Q)</f>
        <v>-132.31505999999999</v>
      </c>
      <c r="M84" s="10">
        <f>SUMIF(DataQ!$B:$B,DataA!$A84,DataQ!R:R)</f>
        <v>-190.39453</v>
      </c>
      <c r="N84" s="10">
        <f>SUMIF(DataQ!$B:$B,DataA!$A84,DataQ!S:S)</f>
        <v>-67.844519999999989</v>
      </c>
      <c r="O84" s="10">
        <f>SUMIF(DataQ!$B:$B,DataA!$A84,DataQ!T:T)</f>
        <v>-189471.13</v>
      </c>
      <c r="P84" s="10">
        <f>SUMIF(DataQ!$E:$E,DataA!$A84,DataQ!U:U)</f>
        <v>7376153</v>
      </c>
      <c r="Q84" s="10">
        <f>SUMIF(DataQ!$E:$E,DataA!$A84,DataQ!V:V)</f>
        <v>132885.6</v>
      </c>
      <c r="R84" s="10">
        <f>SUMIF(DataQ!$E:$E,DataA!$A84,DataQ!W:W)</f>
        <v>1642547</v>
      </c>
      <c r="S84" s="10">
        <f>SUMIF(DataQ!$E:$E,DataA!$A84,DataQ!X:X)</f>
        <v>5550.5690000000004</v>
      </c>
      <c r="T84" s="10">
        <f>SUMIF(DataQ!$E:$E,DataA!$A84,DataQ!Y:Y)</f>
        <v>7588.7870000000003</v>
      </c>
      <c r="U84" s="10">
        <f>SUMIF(DataQ!$E:$E,DataA!$A84,DataQ!Z:Z)</f>
        <v>4896.0870000000004</v>
      </c>
      <c r="V84" s="10">
        <f>SUMIF(DataQ!$E:$E,DataA!$A84,DataQ!AA:AA)</f>
        <v>6592633</v>
      </c>
      <c r="W84" s="10">
        <f>SUMIF(DataQ!$B:$B,DataA!$A84,DataQ!AB:AB)</f>
        <v>7172152</v>
      </c>
      <c r="X84" s="10">
        <f>SUMIF(DataQ!$B:$B,DataA!$A84,DataQ!AC:AC)</f>
        <v>73584.19</v>
      </c>
      <c r="Y84" s="10">
        <f>SUMIF(DataQ!$B:$B,DataA!$A84,DataQ!AD:AD)</f>
        <v>865700.10000000009</v>
      </c>
      <c r="Z84" s="10">
        <f>SUMIF(DataQ!$B:$B,DataA!$A84,DataQ!AE:AE)</f>
        <v>9319.0939999999991</v>
      </c>
      <c r="AA84" s="10">
        <f>SUMIF(DataQ!$B:$B,DataA!$A84,DataQ!AF:AF)</f>
        <v>5769.7550000000001</v>
      </c>
      <c r="AB84" s="10">
        <f>SUMIF(DataQ!$B:$B,DataA!$A84,DataQ!AG:AG)</f>
        <v>3824.2305000000001</v>
      </c>
      <c r="AC84" s="10">
        <f>SUMIF(DataQ!$B:$B,DataA!$A84,DataQ!AH:AH)</f>
        <v>7908217</v>
      </c>
    </row>
    <row r="85" spans="1:29" x14ac:dyDescent="0.25">
      <c r="A85">
        <v>2050</v>
      </c>
      <c r="B85" s="10">
        <f>SUMIF(DataQ!$B:$B,DataA!$A85,DataQ!G:G)</f>
        <v>3778662.1</v>
      </c>
      <c r="C85" s="10">
        <f>SUMIF(DataQ!$B:$B,DataA!$A85,DataQ!H:H)</f>
        <v>37291.226999999999</v>
      </c>
      <c r="D85" s="10">
        <f>SUMIF(DataQ!$B:$B,DataA!$A85,DataQ!I:I)</f>
        <v>557123</v>
      </c>
      <c r="E85" s="10">
        <f>SUMIF(DataQ!$B:$B,DataA!$A85,DataQ!J:J)</f>
        <v>4593.8490000000002</v>
      </c>
      <c r="F85" s="10">
        <f>SUMIF(DataQ!$B:$B,DataA!$A85,DataQ!K:K)</f>
        <v>3151.6312999999996</v>
      </c>
      <c r="G85" s="10">
        <f>SUMIF(DataQ!$B:$B,DataA!$A85,DataQ!L:L)</f>
        <v>2100.7546000000002</v>
      </c>
      <c r="H85" s="10">
        <f>SUMIF(DataQ!$B:$B,DataA!$A85,DataQ!M:M)</f>
        <v>3944674.7</v>
      </c>
      <c r="I85" s="10">
        <f>SUMIF(DataQ!$B:$B,DataA!$A85,DataQ!N:N)</f>
        <v>-300899.51299999998</v>
      </c>
      <c r="J85" s="10">
        <f>SUMIF(DataQ!$B:$B,DataA!$A85,DataQ!O:O)</f>
        <v>-4522.9399999999996</v>
      </c>
      <c r="K85" s="10">
        <f>SUMIF(DataQ!$B:$B,DataA!$A85,DataQ!P:P)</f>
        <v>-8195.2569999999996</v>
      </c>
      <c r="L85" s="10">
        <f>SUMIF(DataQ!$B:$B,DataA!$A85,DataQ!Q:Q)</f>
        <v>-135.86097000000001</v>
      </c>
      <c r="M85" s="10">
        <f>SUMIF(DataQ!$B:$B,DataA!$A85,DataQ!R:R)</f>
        <v>-194.85108000000002</v>
      </c>
      <c r="N85" s="10">
        <f>SUMIF(DataQ!$B:$B,DataA!$A85,DataQ!S:S)</f>
        <v>-69.404540000000011</v>
      </c>
      <c r="O85" s="10">
        <f>SUMIF(DataQ!$B:$B,DataA!$A85,DataQ!T:T)</f>
        <v>-196820.88</v>
      </c>
      <c r="P85" s="10">
        <f>SUMIF(DataQ!$E:$E,DataA!$A85,DataQ!U:U)</f>
        <v>7677053</v>
      </c>
      <c r="Q85" s="10">
        <f>SUMIF(DataQ!$E:$E,DataA!$A85,DataQ!V:V)</f>
        <v>137408.5</v>
      </c>
      <c r="R85" s="10">
        <f>SUMIF(DataQ!$E:$E,DataA!$A85,DataQ!W:W)</f>
        <v>1650742</v>
      </c>
      <c r="S85" s="10">
        <f>SUMIF(DataQ!$E:$E,DataA!$A85,DataQ!X:X)</f>
        <v>5686.4309999999996</v>
      </c>
      <c r="T85" s="10">
        <f>SUMIF(DataQ!$E:$E,DataA!$A85,DataQ!Y:Y)</f>
        <v>7783.6379999999999</v>
      </c>
      <c r="U85" s="10">
        <f>SUMIF(DataQ!$E:$E,DataA!$A85,DataQ!Z:Z)</f>
        <v>4965.4920000000002</v>
      </c>
      <c r="V85" s="10">
        <f>SUMIF(DataQ!$E:$E,DataA!$A85,DataQ!AA:AA)</f>
        <v>6789455</v>
      </c>
      <c r="W85" s="10">
        <f>SUMIF(DataQ!$B:$B,DataA!$A85,DataQ!AB:AB)</f>
        <v>7427196</v>
      </c>
      <c r="X85" s="10">
        <f>SUMIF(DataQ!$B:$B,DataA!$A85,DataQ!AC:AC)</f>
        <v>76186.100000000006</v>
      </c>
      <c r="Y85" s="10">
        <f>SUMIF(DataQ!$B:$B,DataA!$A85,DataQ!AD:AD)</f>
        <v>879890.90000000014</v>
      </c>
      <c r="Z85" s="10">
        <f>SUMIF(DataQ!$B:$B,DataA!$A85,DataQ!AE:AE)</f>
        <v>9581.94</v>
      </c>
      <c r="AA85" s="10">
        <f>SUMIF(DataQ!$B:$B,DataA!$A85,DataQ!AF:AF)</f>
        <v>5905.2289999999994</v>
      </c>
      <c r="AB85" s="10">
        <f>SUMIF(DataQ!$B:$B,DataA!$A85,DataQ!AG:AG)</f>
        <v>3912.4416000000001</v>
      </c>
      <c r="AC85" s="10">
        <f>SUMIF(DataQ!$B:$B,DataA!$A85,DataQ!AH:AH)</f>
        <v>8211176</v>
      </c>
    </row>
    <row r="86" spans="1:29" x14ac:dyDescent="0.25">
      <c r="A86">
        <v>2051</v>
      </c>
      <c r="B86" s="10">
        <f>SUMIF(DataQ!$B:$B,DataA!$A86,DataQ!G:G)</f>
        <v>3829702.4</v>
      </c>
      <c r="C86" s="10">
        <f>SUMIF(DataQ!$B:$B,DataA!$A86,DataQ!H:H)</f>
        <v>37884.944000000003</v>
      </c>
      <c r="D86" s="10">
        <f>SUMIF(DataQ!$B:$B,DataA!$A86,DataQ!I:I)</f>
        <v>558021</v>
      </c>
      <c r="E86" s="10">
        <f>SUMIF(DataQ!$B:$B,DataA!$A86,DataQ!J:J)</f>
        <v>4630.8289999999997</v>
      </c>
      <c r="F86" s="10">
        <f>SUMIF(DataQ!$B:$B,DataA!$A86,DataQ!K:K)</f>
        <v>3162.8708000000001</v>
      </c>
      <c r="G86" s="10">
        <f>SUMIF(DataQ!$B:$B,DataA!$A86,DataQ!L:L)</f>
        <v>2107.2361000000001</v>
      </c>
      <c r="H86" s="10">
        <f>SUMIF(DataQ!$B:$B,DataA!$A86,DataQ!M:M)</f>
        <v>4015753.9</v>
      </c>
      <c r="I86" s="10">
        <f>SUMIF(DataQ!$B:$B,DataA!$A86,DataQ!N:N)</f>
        <v>-311544.39299999998</v>
      </c>
      <c r="J86" s="10">
        <f>SUMIF(DataQ!$B:$B,DataA!$A86,DataQ!O:O)</f>
        <v>-4524.1720000000005</v>
      </c>
      <c r="K86" s="10">
        <f>SUMIF(DataQ!$B:$B,DataA!$A86,DataQ!P:P)</f>
        <v>-8332.866</v>
      </c>
      <c r="L86" s="10">
        <f>SUMIF(DataQ!$B:$B,DataA!$A86,DataQ!Q:Q)</f>
        <v>-139.49279999999999</v>
      </c>
      <c r="M86" s="10">
        <f>SUMIF(DataQ!$B:$B,DataA!$A86,DataQ!R:R)</f>
        <v>-199.47485999999998</v>
      </c>
      <c r="N86" s="10">
        <f>SUMIF(DataQ!$B:$B,DataA!$A86,DataQ!S:S)</f>
        <v>-71.016300000000001</v>
      </c>
      <c r="O86" s="10">
        <f>SUMIF(DataQ!$B:$B,DataA!$A86,DataQ!T:T)</f>
        <v>-204689.45</v>
      </c>
      <c r="P86" s="10">
        <f>SUMIF(DataQ!$E:$E,DataA!$A86,DataQ!U:U)</f>
        <v>7988597</v>
      </c>
      <c r="Q86" s="10">
        <f>SUMIF(DataQ!$E:$E,DataA!$A86,DataQ!V:V)</f>
        <v>141932.70000000001</v>
      </c>
      <c r="R86" s="10">
        <f>SUMIF(DataQ!$E:$E,DataA!$A86,DataQ!W:W)</f>
        <v>1659075</v>
      </c>
      <c r="S86" s="10">
        <f>SUMIF(DataQ!$E:$E,DataA!$A86,DataQ!X:X)</f>
        <v>5825.9229999999998</v>
      </c>
      <c r="T86" s="10">
        <f>SUMIF(DataQ!$E:$E,DataA!$A86,DataQ!Y:Y)</f>
        <v>7983.1130000000003</v>
      </c>
      <c r="U86" s="10">
        <f>SUMIF(DataQ!$E:$E,DataA!$A86,DataQ!Z:Z)</f>
        <v>5036.5079999999998</v>
      </c>
      <c r="V86" s="10">
        <f>SUMIF(DataQ!$E:$E,DataA!$A86,DataQ!AA:AA)</f>
        <v>6994144</v>
      </c>
      <c r="W86" s="10">
        <f>SUMIF(DataQ!$B:$B,DataA!$A86,DataQ!AB:AB)</f>
        <v>7689750</v>
      </c>
      <c r="X86" s="10">
        <f>SUMIF(DataQ!$B:$B,DataA!$A86,DataQ!AC:AC)</f>
        <v>78876.22</v>
      </c>
      <c r="Y86" s="10">
        <f>SUMIF(DataQ!$B:$B,DataA!$A86,DataQ!AD:AD)</f>
        <v>894787.5</v>
      </c>
      <c r="Z86" s="10">
        <f>SUMIF(DataQ!$B:$B,DataA!$A86,DataQ!AE:AE)</f>
        <v>9852.1820000000007</v>
      </c>
      <c r="AA86" s="10">
        <f>SUMIF(DataQ!$B:$B,DataA!$A86,DataQ!AF:AF)</f>
        <v>6044.8099999999995</v>
      </c>
      <c r="AB86" s="10">
        <f>SUMIF(DataQ!$B:$B,DataA!$A86,DataQ!AG:AG)</f>
        <v>4003.4321</v>
      </c>
      <c r="AC86" s="10">
        <f>SUMIF(DataQ!$B:$B,DataA!$A86,DataQ!AH:AH)</f>
        <v>8524299</v>
      </c>
    </row>
    <row r="87" spans="1:29" x14ac:dyDescent="0.25">
      <c r="A87">
        <v>2052</v>
      </c>
      <c r="B87" s="10">
        <f>SUMIF(DataQ!$B:$B,DataA!$A87,DataQ!G:G)</f>
        <v>3880422.0999999996</v>
      </c>
      <c r="C87" s="10">
        <f>SUMIF(DataQ!$B:$B,DataA!$A87,DataQ!H:H)</f>
        <v>38487.036999999997</v>
      </c>
      <c r="D87" s="10">
        <f>SUMIF(DataQ!$B:$B,DataA!$A87,DataQ!I:I)</f>
        <v>559191.89999999991</v>
      </c>
      <c r="E87" s="10">
        <f>SUMIF(DataQ!$B:$B,DataA!$A87,DataQ!J:J)</f>
        <v>4666.5339999999997</v>
      </c>
      <c r="F87" s="10">
        <f>SUMIF(DataQ!$B:$B,DataA!$A87,DataQ!K:K)</f>
        <v>3173.1718000000001</v>
      </c>
      <c r="G87" s="10">
        <f>SUMIF(DataQ!$B:$B,DataA!$A87,DataQ!L:L)</f>
        <v>2114.0448000000001</v>
      </c>
      <c r="H87" s="10">
        <f>SUMIF(DataQ!$B:$B,DataA!$A87,DataQ!M:M)</f>
        <v>4087276</v>
      </c>
      <c r="I87" s="10">
        <f>SUMIF(DataQ!$B:$B,DataA!$A87,DataQ!N:N)</f>
        <v>-322486.57299999997</v>
      </c>
      <c r="J87" s="10">
        <f>SUMIF(DataQ!$B:$B,DataA!$A87,DataQ!O:O)</f>
        <v>-4515.634</v>
      </c>
      <c r="K87" s="10">
        <f>SUMIF(DataQ!$B:$B,DataA!$A87,DataQ!P:P)</f>
        <v>-8477.2899999999991</v>
      </c>
      <c r="L87" s="10">
        <f>SUMIF(DataQ!$B:$B,DataA!$A87,DataQ!Q:Q)</f>
        <v>-143.16589999999999</v>
      </c>
      <c r="M87" s="10">
        <f>SUMIF(DataQ!$B:$B,DataA!$A87,DataQ!R:R)</f>
        <v>-204.11858999999998</v>
      </c>
      <c r="N87" s="10">
        <f>SUMIF(DataQ!$B:$B,DataA!$A87,DataQ!S:S)</f>
        <v>-72.675880000000006</v>
      </c>
      <c r="O87" s="10">
        <f>SUMIF(DataQ!$B:$B,DataA!$A87,DataQ!T:T)</f>
        <v>-212807.44</v>
      </c>
      <c r="P87" s="10">
        <f>SUMIF(DataQ!$E:$E,DataA!$A87,DataQ!U:U)</f>
        <v>8311084</v>
      </c>
      <c r="Q87" s="10">
        <f>SUMIF(DataQ!$E:$E,DataA!$A87,DataQ!V:V)</f>
        <v>146448.29999999999</v>
      </c>
      <c r="R87" s="10">
        <f>SUMIF(DataQ!$E:$E,DataA!$A87,DataQ!W:W)</f>
        <v>1667552</v>
      </c>
      <c r="S87" s="10">
        <f>SUMIF(DataQ!$E:$E,DataA!$A87,DataQ!X:X)</f>
        <v>5969.0889999999999</v>
      </c>
      <c r="T87" s="10">
        <f>SUMIF(DataQ!$E:$E,DataA!$A87,DataQ!Y:Y)</f>
        <v>8187.2309999999998</v>
      </c>
      <c r="U87" s="10">
        <f>SUMIF(DataQ!$E:$E,DataA!$A87,DataQ!Z:Z)</f>
        <v>5109.1840000000002</v>
      </c>
      <c r="V87" s="10">
        <f>SUMIF(DataQ!$E:$E,DataA!$A87,DataQ!AA:AA)</f>
        <v>7206951</v>
      </c>
      <c r="W87" s="10">
        <f>SUMIF(DataQ!$B:$B,DataA!$A87,DataQ!AB:AB)</f>
        <v>7959542</v>
      </c>
      <c r="X87" s="10">
        <f>SUMIF(DataQ!$B:$B,DataA!$A87,DataQ!AC:AC)</f>
        <v>81663.09</v>
      </c>
      <c r="Y87" s="10">
        <f>SUMIF(DataQ!$B:$B,DataA!$A87,DataQ!AD:AD)</f>
        <v>910413.7</v>
      </c>
      <c r="Z87" s="10">
        <f>SUMIF(DataQ!$B:$B,DataA!$A87,DataQ!AE:AE)</f>
        <v>10126.628000000001</v>
      </c>
      <c r="AA87" s="10">
        <f>SUMIF(DataQ!$B:$B,DataA!$A87,DataQ!AF:AF)</f>
        <v>6185.3629999999994</v>
      </c>
      <c r="AB87" s="10">
        <f>SUMIF(DataQ!$B:$B,DataA!$A87,DataQ!AG:AG)</f>
        <v>4097.1409999999996</v>
      </c>
      <c r="AC87" s="10">
        <f>SUMIF(DataQ!$B:$B,DataA!$A87,DataQ!AH:AH)</f>
        <v>8847467</v>
      </c>
    </row>
    <row r="88" spans="1:29" x14ac:dyDescent="0.25">
      <c r="A88">
        <v>2053</v>
      </c>
      <c r="B88" s="10">
        <f>SUMIF(DataQ!$B:$B,DataA!$A88,DataQ!G:G)</f>
        <v>3930505.2</v>
      </c>
      <c r="C88" s="10">
        <f>SUMIF(DataQ!$B:$B,DataA!$A88,DataQ!H:H)</f>
        <v>39097.165000000001</v>
      </c>
      <c r="D88" s="10">
        <f>SUMIF(DataQ!$B:$B,DataA!$A88,DataQ!I:I)</f>
        <v>560706.79999999993</v>
      </c>
      <c r="E88" s="10">
        <f>SUMIF(DataQ!$B:$B,DataA!$A88,DataQ!J:J)</f>
        <v>4700.6180000000004</v>
      </c>
      <c r="F88" s="10">
        <f>SUMIF(DataQ!$B:$B,DataA!$A88,DataQ!K:K)</f>
        <v>3182.6771000000003</v>
      </c>
      <c r="G88" s="10">
        <f>SUMIF(DataQ!$B:$B,DataA!$A88,DataQ!L:L)</f>
        <v>2121.3539000000001</v>
      </c>
      <c r="H88" s="10">
        <f>SUMIF(DataQ!$B:$B,DataA!$A88,DataQ!M:M)</f>
        <v>4159485</v>
      </c>
      <c r="I88" s="10">
        <f>SUMIF(DataQ!$B:$B,DataA!$A88,DataQ!N:N)</f>
        <v>-333703.71299999999</v>
      </c>
      <c r="J88" s="10">
        <f>SUMIF(DataQ!$B:$B,DataA!$A88,DataQ!O:O)</f>
        <v>-4497.3770000000004</v>
      </c>
      <c r="K88" s="10">
        <f>SUMIF(DataQ!$B:$B,DataA!$A88,DataQ!P:P)</f>
        <v>-8629.5310000000009</v>
      </c>
      <c r="L88" s="10">
        <f>SUMIF(DataQ!$B:$B,DataA!$A88,DataQ!Q:Q)</f>
        <v>-146.86903000000001</v>
      </c>
      <c r="M88" s="10">
        <f>SUMIF(DataQ!$B:$B,DataA!$A88,DataQ!R:R)</f>
        <v>-208.82721999999998</v>
      </c>
      <c r="N88" s="10">
        <f>SUMIF(DataQ!$B:$B,DataA!$A88,DataQ!S:S)</f>
        <v>-74.38852</v>
      </c>
      <c r="O88" s="10">
        <f>SUMIF(DataQ!$B:$B,DataA!$A88,DataQ!T:T)</f>
        <v>-221111.94</v>
      </c>
      <c r="P88" s="10">
        <f>SUMIF(DataQ!$E:$E,DataA!$A88,DataQ!U:U)</f>
        <v>8644788</v>
      </c>
      <c r="Q88" s="10">
        <f>SUMIF(DataQ!$E:$E,DataA!$A88,DataQ!V:V)</f>
        <v>150945.70000000001</v>
      </c>
      <c r="R88" s="10">
        <f>SUMIF(DataQ!$E:$E,DataA!$A88,DataQ!W:W)</f>
        <v>1676182</v>
      </c>
      <c r="S88" s="10">
        <f>SUMIF(DataQ!$E:$E,DataA!$A88,DataQ!X:X)</f>
        <v>6115.9579999999996</v>
      </c>
      <c r="T88" s="10">
        <f>SUMIF(DataQ!$E:$E,DataA!$A88,DataQ!Y:Y)</f>
        <v>8396.0589999999993</v>
      </c>
      <c r="U88" s="10">
        <f>SUMIF(DataQ!$E:$E,DataA!$A88,DataQ!Z:Z)</f>
        <v>5183.5730000000003</v>
      </c>
      <c r="V88" s="10">
        <f>SUMIF(DataQ!$E:$E,DataA!$A88,DataQ!AA:AA)</f>
        <v>7428063</v>
      </c>
      <c r="W88" s="10">
        <f>SUMIF(DataQ!$B:$B,DataA!$A88,DataQ!AB:AB)</f>
        <v>8236179</v>
      </c>
      <c r="X88" s="10">
        <f>SUMIF(DataQ!$B:$B,DataA!$A88,DataQ!AC:AC)</f>
        <v>84548.95</v>
      </c>
      <c r="Y88" s="10">
        <f>SUMIF(DataQ!$B:$B,DataA!$A88,DataQ!AD:AD)</f>
        <v>926892.8</v>
      </c>
      <c r="Z88" s="10">
        <f>SUMIF(DataQ!$B:$B,DataA!$A88,DataQ!AE:AE)</f>
        <v>10404.513999999999</v>
      </c>
      <c r="AA88" s="10">
        <f>SUMIF(DataQ!$B:$B,DataA!$A88,DataQ!AF:AF)</f>
        <v>6327.9610000000002</v>
      </c>
      <c r="AB88" s="10">
        <f>SUMIF(DataQ!$B:$B,DataA!$A88,DataQ!AG:AG)</f>
        <v>4193.9650000000001</v>
      </c>
      <c r="AC88" s="10">
        <f>SUMIF(DataQ!$B:$B,DataA!$A88,DataQ!AH:AH)</f>
        <v>9181786</v>
      </c>
    </row>
    <row r="89" spans="1:29" x14ac:dyDescent="0.25">
      <c r="A89">
        <v>2054</v>
      </c>
      <c r="B89" s="10">
        <f>SUMIF(DataQ!$B:$B,DataA!$A89,DataQ!G:G)</f>
        <v>3980683.1</v>
      </c>
      <c r="C89" s="10">
        <f>SUMIF(DataQ!$B:$B,DataA!$A89,DataQ!H:H)</f>
        <v>39715.599000000002</v>
      </c>
      <c r="D89" s="10">
        <f>SUMIF(DataQ!$B:$B,DataA!$A89,DataQ!I:I)</f>
        <v>562450.4</v>
      </c>
      <c r="E89" s="10">
        <f>SUMIF(DataQ!$B:$B,DataA!$A89,DataQ!J:J)</f>
        <v>4733.2290000000003</v>
      </c>
      <c r="F89" s="10">
        <f>SUMIF(DataQ!$B:$B,DataA!$A89,DataQ!K:K)</f>
        <v>3191.9386999999997</v>
      </c>
      <c r="G89" s="10">
        <f>SUMIF(DataQ!$B:$B,DataA!$A89,DataQ!L:L)</f>
        <v>2129.0182000000004</v>
      </c>
      <c r="H89" s="10">
        <f>SUMIF(DataQ!$B:$B,DataA!$A89,DataQ!M:M)</f>
        <v>4232122</v>
      </c>
      <c r="I89" s="10">
        <f>SUMIF(DataQ!$B:$B,DataA!$A89,DataQ!N:N)</f>
        <v>-345261.33799999999</v>
      </c>
      <c r="J89" s="10">
        <f>SUMIF(DataQ!$B:$B,DataA!$A89,DataQ!O:O)</f>
        <v>-4469.5320000000002</v>
      </c>
      <c r="K89" s="10">
        <f>SUMIF(DataQ!$B:$B,DataA!$A89,DataQ!P:P)</f>
        <v>-8788.4369999999999</v>
      </c>
      <c r="L89" s="10">
        <f>SUMIF(DataQ!$B:$B,DataA!$A89,DataQ!Q:Q)</f>
        <v>-150.60619</v>
      </c>
      <c r="M89" s="10">
        <f>SUMIF(DataQ!$B:$B,DataA!$A89,DataQ!R:R)</f>
        <v>-213.61315999999999</v>
      </c>
      <c r="N89" s="10">
        <f>SUMIF(DataQ!$B:$B,DataA!$A89,DataQ!S:S)</f>
        <v>-76.156409999999994</v>
      </c>
      <c r="O89" s="10">
        <f>SUMIF(DataQ!$B:$B,DataA!$A89,DataQ!T:T)</f>
        <v>-229677.45</v>
      </c>
      <c r="P89" s="10">
        <f>SUMIF(DataQ!$E:$E,DataA!$A89,DataQ!U:U)</f>
        <v>8990049</v>
      </c>
      <c r="Q89" s="10">
        <f>SUMIF(DataQ!$E:$E,DataA!$A89,DataQ!V:V)</f>
        <v>155415.20000000001</v>
      </c>
      <c r="R89" s="10">
        <f>SUMIF(DataQ!$E:$E,DataA!$A89,DataQ!W:W)</f>
        <v>1684970</v>
      </c>
      <c r="S89" s="10">
        <f>SUMIF(DataQ!$E:$E,DataA!$A89,DataQ!X:X)</f>
        <v>6266.5649999999996</v>
      </c>
      <c r="T89" s="10">
        <f>SUMIF(DataQ!$E:$E,DataA!$A89,DataQ!Y:Y)</f>
        <v>8609.6720000000005</v>
      </c>
      <c r="U89" s="10">
        <f>SUMIF(DataQ!$E:$E,DataA!$A89,DataQ!Z:Z)</f>
        <v>5259.7290000000003</v>
      </c>
      <c r="V89" s="10">
        <f>SUMIF(DataQ!$E:$E,DataA!$A89,DataQ!AA:AA)</f>
        <v>7657740</v>
      </c>
      <c r="W89" s="10">
        <f>SUMIF(DataQ!$B:$B,DataA!$A89,DataQ!AB:AB)</f>
        <v>8521266</v>
      </c>
      <c r="X89" s="10">
        <f>SUMIF(DataQ!$B:$B,DataA!$A89,DataQ!AC:AC)</f>
        <v>87538.17</v>
      </c>
      <c r="Y89" s="10">
        <f>SUMIF(DataQ!$B:$B,DataA!$A89,DataQ!AD:AD)</f>
        <v>944045</v>
      </c>
      <c r="Z89" s="10">
        <f>SUMIF(DataQ!$B:$B,DataA!$A89,DataQ!AE:AE)</f>
        <v>10686.153</v>
      </c>
      <c r="AA89" s="10">
        <f>SUMIF(DataQ!$B:$B,DataA!$A89,DataQ!AF:AF)</f>
        <v>6473.1440000000002</v>
      </c>
      <c r="AB89" s="10">
        <f>SUMIF(DataQ!$B:$B,DataA!$A89,DataQ!AG:AG)</f>
        <v>4293.7359999999999</v>
      </c>
      <c r="AC89" s="10">
        <f>SUMIF(DataQ!$B:$B,DataA!$A89,DataQ!AH:AH)</f>
        <v>9526959</v>
      </c>
    </row>
    <row r="90" spans="1:29" x14ac:dyDescent="0.25">
      <c r="A90">
        <v>2055</v>
      </c>
      <c r="B90" s="10">
        <f>SUMIF(DataQ!$B:$B,DataA!$A90,DataQ!G:G)</f>
        <v>4030632</v>
      </c>
      <c r="C90" s="10">
        <f>SUMIF(DataQ!$B:$B,DataA!$A90,DataQ!H:H)</f>
        <v>40342.31</v>
      </c>
      <c r="D90" s="10">
        <f>SUMIF(DataQ!$B:$B,DataA!$A90,DataQ!I:I)</f>
        <v>564367.6</v>
      </c>
      <c r="E90" s="10">
        <f>SUMIF(DataQ!$B:$B,DataA!$A90,DataQ!J:J)</f>
        <v>4764.4719999999998</v>
      </c>
      <c r="F90" s="10">
        <f>SUMIF(DataQ!$B:$B,DataA!$A90,DataQ!K:K)</f>
        <v>3200.6958999999997</v>
      </c>
      <c r="G90" s="10">
        <f>SUMIF(DataQ!$B:$B,DataA!$A90,DataQ!L:L)</f>
        <v>2136.9521</v>
      </c>
      <c r="H90" s="10">
        <f>SUMIF(DataQ!$B:$B,DataA!$A90,DataQ!M:M)</f>
        <v>4305383</v>
      </c>
      <c r="I90" s="10">
        <f>SUMIF(DataQ!$B:$B,DataA!$A90,DataQ!N:N)</f>
        <v>-357144.54300000001</v>
      </c>
      <c r="J90" s="10">
        <f>SUMIF(DataQ!$B:$B,DataA!$A90,DataQ!O:O)</f>
        <v>-4431.4459999999999</v>
      </c>
      <c r="K90" s="10">
        <f>SUMIF(DataQ!$B:$B,DataA!$A90,DataQ!P:P)</f>
        <v>-8953.0859999999993</v>
      </c>
      <c r="L90" s="10">
        <f>SUMIF(DataQ!$B:$B,DataA!$A90,DataQ!Q:Q)</f>
        <v>-154.37986999999998</v>
      </c>
      <c r="M90" s="10">
        <f>SUMIF(DataQ!$B:$B,DataA!$A90,DataQ!R:R)</f>
        <v>-218.46953999999999</v>
      </c>
      <c r="N90" s="10">
        <f>SUMIF(DataQ!$B:$B,DataA!$A90,DataQ!S:S)</f>
        <v>-77.974620000000002</v>
      </c>
      <c r="O90" s="10">
        <f>SUMIF(DataQ!$B:$B,DataA!$A90,DataQ!T:T)</f>
        <v>-238508.57</v>
      </c>
      <c r="P90" s="10">
        <f>SUMIF(DataQ!$E:$E,DataA!$A90,DataQ!U:U)</f>
        <v>9347194</v>
      </c>
      <c r="Q90" s="10">
        <f>SUMIF(DataQ!$E:$E,DataA!$A90,DataQ!V:V)</f>
        <v>159846.70000000001</v>
      </c>
      <c r="R90" s="10">
        <f>SUMIF(DataQ!$E:$E,DataA!$A90,DataQ!W:W)</f>
        <v>1693923</v>
      </c>
      <c r="S90" s="10">
        <f>SUMIF(DataQ!$E:$E,DataA!$A90,DataQ!X:X)</f>
        <v>6420.9440000000004</v>
      </c>
      <c r="T90" s="10">
        <f>SUMIF(DataQ!$E:$E,DataA!$A90,DataQ!Y:Y)</f>
        <v>8828.1419999999998</v>
      </c>
      <c r="U90" s="10">
        <f>SUMIF(DataQ!$E:$E,DataA!$A90,DataQ!Z:Z)</f>
        <v>5337.7039999999997</v>
      </c>
      <c r="V90" s="10">
        <f>SUMIF(DataQ!$E:$E,DataA!$A90,DataQ!AA:AA)</f>
        <v>7896249</v>
      </c>
      <c r="W90" s="10">
        <f>SUMIF(DataQ!$B:$B,DataA!$A90,DataQ!AB:AB)</f>
        <v>8814316</v>
      </c>
      <c r="X90" s="10">
        <f>SUMIF(DataQ!$B:$B,DataA!$A90,DataQ!AC:AC)</f>
        <v>90633.34</v>
      </c>
      <c r="Y90" s="10">
        <f>SUMIF(DataQ!$B:$B,DataA!$A90,DataQ!AD:AD)</f>
        <v>961804.29999999993</v>
      </c>
      <c r="Z90" s="10">
        <f>SUMIF(DataQ!$B:$B,DataA!$A90,DataQ!AE:AE)</f>
        <v>10971.743</v>
      </c>
      <c r="AA90" s="10">
        <f>SUMIF(DataQ!$B:$B,DataA!$A90,DataQ!AF:AF)</f>
        <v>6620.5349999999999</v>
      </c>
      <c r="AB90" s="10">
        <f>SUMIF(DataQ!$B:$B,DataA!$A90,DataQ!AG:AG)</f>
        <v>4396.4079999999994</v>
      </c>
      <c r="AC90" s="10">
        <f>SUMIF(DataQ!$B:$B,DataA!$A90,DataQ!AH:AH)</f>
        <v>9883774</v>
      </c>
    </row>
    <row r="91" spans="1:29" x14ac:dyDescent="0.25">
      <c r="A91">
        <v>2056</v>
      </c>
      <c r="B91" s="10">
        <f>SUMIF(DataQ!$B:$B,DataA!$A91,DataQ!G:G)</f>
        <v>4080397</v>
      </c>
      <c r="C91" s="10">
        <f>SUMIF(DataQ!$B:$B,DataA!$A91,DataQ!H:H)</f>
        <v>40977.619999999995</v>
      </c>
      <c r="D91" s="10">
        <f>SUMIF(DataQ!$B:$B,DataA!$A91,DataQ!I:I)</f>
        <v>566472.10000000009</v>
      </c>
      <c r="E91" s="10">
        <f>SUMIF(DataQ!$B:$B,DataA!$A91,DataQ!J:J)</f>
        <v>4796.1030000000001</v>
      </c>
      <c r="F91" s="10">
        <f>SUMIF(DataQ!$B:$B,DataA!$A91,DataQ!K:K)</f>
        <v>3209.1967999999997</v>
      </c>
      <c r="G91" s="10">
        <f>SUMIF(DataQ!$B:$B,DataA!$A91,DataQ!L:L)</f>
        <v>2145.3163999999997</v>
      </c>
      <c r="H91" s="10">
        <f>SUMIF(DataQ!$B:$B,DataA!$A91,DataQ!M:M)</f>
        <v>4379574</v>
      </c>
      <c r="I91" s="10">
        <f>SUMIF(DataQ!$B:$B,DataA!$A91,DataQ!N:N)</f>
        <v>-369360.45999999996</v>
      </c>
      <c r="J91" s="10">
        <f>SUMIF(DataQ!$B:$B,DataA!$A91,DataQ!O:O)</f>
        <v>-4384.0339999999997</v>
      </c>
      <c r="K91" s="10">
        <f>SUMIF(DataQ!$B:$B,DataA!$A91,DataQ!P:P)</f>
        <v>-9123.8669999999984</v>
      </c>
      <c r="L91" s="10">
        <f>SUMIF(DataQ!$B:$B,DataA!$A91,DataQ!Q:Q)</f>
        <v>-158.25011999999998</v>
      </c>
      <c r="M91" s="10">
        <f>SUMIF(DataQ!$B:$B,DataA!$A91,DataQ!R:R)</f>
        <v>-223.43464</v>
      </c>
      <c r="N91" s="10">
        <f>SUMIF(DataQ!$B:$B,DataA!$A91,DataQ!S:S)</f>
        <v>-79.849739999999997</v>
      </c>
      <c r="O91" s="10">
        <f>SUMIF(DataQ!$B:$B,DataA!$A91,DataQ!T:T)</f>
        <v>-247576.07</v>
      </c>
      <c r="P91" s="10">
        <f>SUMIF(DataQ!$E:$E,DataA!$A91,DataQ!U:U)</f>
        <v>9716555</v>
      </c>
      <c r="Q91" s="10">
        <f>SUMIF(DataQ!$E:$E,DataA!$A91,DataQ!V:V)</f>
        <v>164230.70000000001</v>
      </c>
      <c r="R91" s="10">
        <f>SUMIF(DataQ!$E:$E,DataA!$A91,DataQ!W:W)</f>
        <v>1703047</v>
      </c>
      <c r="S91" s="10">
        <f>SUMIF(DataQ!$E:$E,DataA!$A91,DataQ!X:X)</f>
        <v>6579.1949999999997</v>
      </c>
      <c r="T91" s="10">
        <f>SUMIF(DataQ!$E:$E,DataA!$A91,DataQ!Y:Y)</f>
        <v>9051.5759999999991</v>
      </c>
      <c r="U91" s="10">
        <f>SUMIF(DataQ!$E:$E,DataA!$A91,DataQ!Z:Z)</f>
        <v>5417.5529999999999</v>
      </c>
      <c r="V91" s="10">
        <f>SUMIF(DataQ!$E:$E,DataA!$A91,DataQ!AA:AA)</f>
        <v>8143825</v>
      </c>
      <c r="W91" s="10">
        <f>SUMIF(DataQ!$B:$B,DataA!$A91,DataQ!AB:AB)</f>
        <v>9115635</v>
      </c>
      <c r="X91" s="10">
        <f>SUMIF(DataQ!$B:$B,DataA!$A91,DataQ!AC:AC)</f>
        <v>93838.82</v>
      </c>
      <c r="Y91" s="10">
        <f>SUMIF(DataQ!$B:$B,DataA!$A91,DataQ!AD:AD)</f>
        <v>980215.90000000014</v>
      </c>
      <c r="Z91" s="10">
        <f>SUMIF(DataQ!$B:$B,DataA!$A91,DataQ!AE:AE)</f>
        <v>11265.398000000001</v>
      </c>
      <c r="AA91" s="10">
        <f>SUMIF(DataQ!$B:$B,DataA!$A91,DataQ!AF:AF)</f>
        <v>6770.8680000000004</v>
      </c>
      <c r="AB91" s="10">
        <f>SUMIF(DataQ!$B:$B,DataA!$A91,DataQ!AG:AG)</f>
        <v>4502.3729999999996</v>
      </c>
      <c r="AC91" s="10">
        <f>SUMIF(DataQ!$B:$B,DataA!$A91,DataQ!AH:AH)</f>
        <v>10253266</v>
      </c>
    </row>
    <row r="92" spans="1:29" x14ac:dyDescent="0.25">
      <c r="A92">
        <v>2057</v>
      </c>
      <c r="B92" s="10">
        <f>SUMIF(DataQ!$B:$B,DataA!$A92,DataQ!G:G)</f>
        <v>4130416</v>
      </c>
      <c r="C92" s="10">
        <f>SUMIF(DataQ!$B:$B,DataA!$A92,DataQ!H:H)</f>
        <v>41621.629999999997</v>
      </c>
      <c r="D92" s="10">
        <f>SUMIF(DataQ!$B:$B,DataA!$A92,DataQ!I:I)</f>
        <v>568690.29999999993</v>
      </c>
      <c r="E92" s="10">
        <f>SUMIF(DataQ!$B:$B,DataA!$A92,DataQ!J:J)</f>
        <v>4827.8620000000001</v>
      </c>
      <c r="F92" s="10">
        <f>SUMIF(DataQ!$B:$B,DataA!$A92,DataQ!K:K)</f>
        <v>3217.0257000000001</v>
      </c>
      <c r="G92" s="10">
        <f>SUMIF(DataQ!$B:$B,DataA!$A92,DataQ!L:L)</f>
        <v>2153.7883999999999</v>
      </c>
      <c r="H92" s="10">
        <f>SUMIF(DataQ!$B:$B,DataA!$A92,DataQ!M:M)</f>
        <v>4456025</v>
      </c>
      <c r="I92" s="10">
        <f>SUMIF(DataQ!$B:$B,DataA!$A92,DataQ!N:N)</f>
        <v>-381956.21499999997</v>
      </c>
      <c r="J92" s="10">
        <f>SUMIF(DataQ!$B:$B,DataA!$A92,DataQ!O:O)</f>
        <v>-4327.2869999999994</v>
      </c>
      <c r="K92" s="10">
        <f>SUMIF(DataQ!$B:$B,DataA!$A92,DataQ!P:P)</f>
        <v>-9299.8130000000001</v>
      </c>
      <c r="L92" s="10">
        <f>SUMIF(DataQ!$B:$B,DataA!$A92,DataQ!Q:Q)</f>
        <v>-162.21007999999998</v>
      </c>
      <c r="M92" s="10">
        <f>SUMIF(DataQ!$B:$B,DataA!$A92,DataQ!R:R)</f>
        <v>-228.45855</v>
      </c>
      <c r="N92" s="10">
        <f>SUMIF(DataQ!$B:$B,DataA!$A92,DataQ!S:S)</f>
        <v>-81.779300000000006</v>
      </c>
      <c r="O92" s="10">
        <f>SUMIF(DataQ!$B:$B,DataA!$A92,DataQ!T:T)</f>
        <v>-256973.44</v>
      </c>
      <c r="P92" s="10">
        <f>SUMIF(DataQ!$E:$E,DataA!$A92,DataQ!U:U)</f>
        <v>10098510</v>
      </c>
      <c r="Q92" s="10">
        <f>SUMIF(DataQ!$E:$E,DataA!$A92,DataQ!V:V)</f>
        <v>168558</v>
      </c>
      <c r="R92" s="10">
        <f>SUMIF(DataQ!$E:$E,DataA!$A92,DataQ!W:W)</f>
        <v>1712347</v>
      </c>
      <c r="S92" s="10">
        <f>SUMIF(DataQ!$E:$E,DataA!$A92,DataQ!X:X)</f>
        <v>6741.4040000000005</v>
      </c>
      <c r="T92" s="10">
        <f>SUMIF(DataQ!$E:$E,DataA!$A92,DataQ!Y:Y)</f>
        <v>9280.0349999999999</v>
      </c>
      <c r="U92" s="10">
        <f>SUMIF(DataQ!$E:$E,DataA!$A92,DataQ!Z:Z)</f>
        <v>5499.3329999999996</v>
      </c>
      <c r="V92" s="10">
        <f>SUMIF(DataQ!$E:$E,DataA!$A92,DataQ!AA:AA)</f>
        <v>8400798</v>
      </c>
      <c r="W92" s="10">
        <f>SUMIF(DataQ!$B:$B,DataA!$A92,DataQ!AB:AB)</f>
        <v>9426433</v>
      </c>
      <c r="X92" s="10">
        <f>SUMIF(DataQ!$B:$B,DataA!$A92,DataQ!AC:AC)</f>
        <v>97159.64</v>
      </c>
      <c r="Y92" s="10">
        <f>SUMIF(DataQ!$B:$B,DataA!$A92,DataQ!AD:AD)</f>
        <v>999161.39999999991</v>
      </c>
      <c r="Z92" s="10">
        <f>SUMIF(DataQ!$B:$B,DataA!$A92,DataQ!AE:AE)</f>
        <v>11566.709000000001</v>
      </c>
      <c r="AA92" s="10">
        <f>SUMIF(DataQ!$B:$B,DataA!$A92,DataQ!AF:AF)</f>
        <v>6923.3119999999999</v>
      </c>
      <c r="AB92" s="10">
        <f>SUMIF(DataQ!$B:$B,DataA!$A92,DataQ!AG:AG)</f>
        <v>4611.0760000000009</v>
      </c>
      <c r="AC92" s="10">
        <f>SUMIF(DataQ!$B:$B,DataA!$A92,DataQ!AH:AH)</f>
        <v>10639083</v>
      </c>
    </row>
    <row r="93" spans="1:29" x14ac:dyDescent="0.25">
      <c r="A93">
        <v>2058</v>
      </c>
      <c r="B93" s="10">
        <f>SUMIF(DataQ!$B:$B,DataA!$A93,DataQ!G:G)</f>
        <v>4180923</v>
      </c>
      <c r="C93" s="10">
        <f>SUMIF(DataQ!$B:$B,DataA!$A93,DataQ!H:H)</f>
        <v>42275.5</v>
      </c>
      <c r="D93" s="10">
        <f>SUMIF(DataQ!$B:$B,DataA!$A93,DataQ!I:I)</f>
        <v>571039.89999999991</v>
      </c>
      <c r="E93" s="10">
        <f>SUMIF(DataQ!$B:$B,DataA!$A93,DataQ!J:J)</f>
        <v>4862.7119999999995</v>
      </c>
      <c r="F93" s="10">
        <f>SUMIF(DataQ!$B:$B,DataA!$A93,DataQ!K:K)</f>
        <v>3224.8268000000003</v>
      </c>
      <c r="G93" s="10">
        <f>SUMIF(DataQ!$B:$B,DataA!$A93,DataQ!L:L)</f>
        <v>2161.7294999999999</v>
      </c>
      <c r="H93" s="10">
        <f>SUMIF(DataQ!$B:$B,DataA!$A93,DataQ!M:M)</f>
        <v>4532924</v>
      </c>
      <c r="I93" s="10">
        <f>SUMIF(DataQ!$B:$B,DataA!$A93,DataQ!N:N)</f>
        <v>-394971.19999999995</v>
      </c>
      <c r="J93" s="10">
        <f>SUMIF(DataQ!$B:$B,DataA!$A93,DataQ!O:O)</f>
        <v>-4259.05</v>
      </c>
      <c r="K93" s="10">
        <f>SUMIF(DataQ!$B:$B,DataA!$A93,DataQ!P:P)</f>
        <v>-9481.1159999999982</v>
      </c>
      <c r="L93" s="10">
        <f>SUMIF(DataQ!$B:$B,DataA!$A93,DataQ!Q:Q)</f>
        <v>-166.36291999999997</v>
      </c>
      <c r="M93" s="10">
        <f>SUMIF(DataQ!$B:$B,DataA!$A93,DataQ!R:R)</f>
        <v>-233.58667</v>
      </c>
      <c r="N93" s="10">
        <f>SUMIF(DataQ!$B:$B,DataA!$A93,DataQ!S:S)</f>
        <v>-83.739869999999996</v>
      </c>
      <c r="O93" s="10">
        <f>SUMIF(DataQ!$B:$B,DataA!$A93,DataQ!T:T)</f>
        <v>-266893.76</v>
      </c>
      <c r="P93" s="10">
        <f>SUMIF(DataQ!$E:$E,DataA!$A93,DataQ!U:U)</f>
        <v>10493480</v>
      </c>
      <c r="Q93" s="10">
        <f>SUMIF(DataQ!$E:$E,DataA!$A93,DataQ!V:V)</f>
        <v>172817</v>
      </c>
      <c r="R93" s="10">
        <f>SUMIF(DataQ!$E:$E,DataA!$A93,DataQ!W:W)</f>
        <v>1721828</v>
      </c>
      <c r="S93" s="10">
        <f>SUMIF(DataQ!$E:$E,DataA!$A93,DataQ!X:X)</f>
        <v>6907.768</v>
      </c>
      <c r="T93" s="10">
        <f>SUMIF(DataQ!$E:$E,DataA!$A93,DataQ!Y:Y)</f>
        <v>9513.6219999999994</v>
      </c>
      <c r="U93" s="10">
        <f>SUMIF(DataQ!$E:$E,DataA!$A93,DataQ!Z:Z)</f>
        <v>5583.0730000000003</v>
      </c>
      <c r="V93" s="10">
        <f>SUMIF(DataQ!$E:$E,DataA!$A93,DataQ!AA:AA)</f>
        <v>8667692</v>
      </c>
      <c r="W93" s="10">
        <f>SUMIF(DataQ!$B:$B,DataA!$A93,DataQ!AB:AB)</f>
        <v>9747537</v>
      </c>
      <c r="X93" s="10">
        <f>SUMIF(DataQ!$B:$B,DataA!$A93,DataQ!AC:AC)</f>
        <v>100602.18999999999</v>
      </c>
      <c r="Y93" s="10">
        <f>SUMIF(DataQ!$B:$B,DataA!$A93,DataQ!AD:AD)</f>
        <v>1018693.5999999999</v>
      </c>
      <c r="Z93" s="10">
        <f>SUMIF(DataQ!$B:$B,DataA!$A93,DataQ!AE:AE)</f>
        <v>11883.150999999998</v>
      </c>
      <c r="AA93" s="10">
        <f>SUMIF(DataQ!$B:$B,DataA!$A93,DataQ!AF:AF)</f>
        <v>7078.777</v>
      </c>
      <c r="AB93" s="10">
        <f>SUMIF(DataQ!$B:$B,DataA!$A93,DataQ!AG:AG)</f>
        <v>4721.2079999999996</v>
      </c>
      <c r="AC93" s="10">
        <f>SUMIF(DataQ!$B:$B,DataA!$A93,DataQ!AH:AH)</f>
        <v>11037418</v>
      </c>
    </row>
    <row r="94" spans="1:29" x14ac:dyDescent="0.25">
      <c r="A94">
        <v>2059</v>
      </c>
      <c r="B94" s="10">
        <f>SUMIF(DataQ!$B:$B,DataA!$A94,DataQ!G:G)</f>
        <v>4231542</v>
      </c>
      <c r="C94" s="10">
        <f>SUMIF(DataQ!$B:$B,DataA!$A94,DataQ!H:H)</f>
        <v>42938.729999999996</v>
      </c>
      <c r="D94" s="10">
        <f>SUMIF(DataQ!$B:$B,DataA!$A94,DataQ!I:I)</f>
        <v>573458</v>
      </c>
      <c r="E94" s="10">
        <f>SUMIF(DataQ!$B:$B,DataA!$A94,DataQ!J:J)</f>
        <v>4900.7300000000005</v>
      </c>
      <c r="F94" s="10">
        <f>SUMIF(DataQ!$B:$B,DataA!$A94,DataQ!K:K)</f>
        <v>3232.4173000000001</v>
      </c>
      <c r="G94" s="10">
        <f>SUMIF(DataQ!$B:$B,DataA!$A94,DataQ!L:L)</f>
        <v>2167.8845000000001</v>
      </c>
      <c r="H94" s="10">
        <f>SUMIF(DataQ!$B:$B,DataA!$A94,DataQ!M:M)</f>
        <v>4611215</v>
      </c>
      <c r="I94" s="10">
        <f>SUMIF(DataQ!$B:$B,DataA!$A94,DataQ!N:N)</f>
        <v>-408379.68000000005</v>
      </c>
      <c r="J94" s="10">
        <f>SUMIF(DataQ!$B:$B,DataA!$A94,DataQ!O:O)</f>
        <v>-4178.91</v>
      </c>
      <c r="K94" s="10">
        <f>SUMIF(DataQ!$B:$B,DataA!$A94,DataQ!P:P)</f>
        <v>-9667.32</v>
      </c>
      <c r="L94" s="10">
        <f>SUMIF(DataQ!$B:$B,DataA!$A94,DataQ!Q:Q)</f>
        <v>-170.72080999999997</v>
      </c>
      <c r="M94" s="10">
        <f>SUMIF(DataQ!$B:$B,DataA!$A94,DataQ!R:R)</f>
        <v>-238.83825000000002</v>
      </c>
      <c r="N94" s="10">
        <f>SUMIF(DataQ!$B:$B,DataA!$A94,DataQ!S:S)</f>
        <v>-85.692820000000012</v>
      </c>
      <c r="O94" s="10">
        <f>SUMIF(DataQ!$B:$B,DataA!$A94,DataQ!T:T)</f>
        <v>-277051.77</v>
      </c>
      <c r="P94" s="10">
        <f>SUMIF(DataQ!$E:$E,DataA!$A94,DataQ!U:U)</f>
        <v>10901860</v>
      </c>
      <c r="Q94" s="10">
        <f>SUMIF(DataQ!$E:$E,DataA!$A94,DataQ!V:V)</f>
        <v>176995.9</v>
      </c>
      <c r="R94" s="10">
        <f>SUMIF(DataQ!$E:$E,DataA!$A94,DataQ!W:W)</f>
        <v>1731495</v>
      </c>
      <c r="S94" s="10">
        <f>SUMIF(DataQ!$E:$E,DataA!$A94,DataQ!X:X)</f>
        <v>7078.4880000000003</v>
      </c>
      <c r="T94" s="10">
        <f>SUMIF(DataQ!$E:$E,DataA!$A94,DataQ!Y:Y)</f>
        <v>9752.4599999999991</v>
      </c>
      <c r="U94" s="10">
        <f>SUMIF(DataQ!$E:$E,DataA!$A94,DataQ!Z:Z)</f>
        <v>5668.7659999999996</v>
      </c>
      <c r="V94" s="10">
        <f>SUMIF(DataQ!$E:$E,DataA!$A94,DataQ!AA:AA)</f>
        <v>8944743</v>
      </c>
      <c r="W94" s="10">
        <f>SUMIF(DataQ!$B:$B,DataA!$A94,DataQ!AB:AB)</f>
        <v>10078373</v>
      </c>
      <c r="X94" s="10">
        <f>SUMIF(DataQ!$B:$B,DataA!$A94,DataQ!AC:AC)</f>
        <v>104167.82</v>
      </c>
      <c r="Y94" s="10">
        <f>SUMIF(DataQ!$B:$B,DataA!$A94,DataQ!AD:AD)</f>
        <v>1038705.2999999999</v>
      </c>
      <c r="Z94" s="10">
        <f>SUMIF(DataQ!$B:$B,DataA!$A94,DataQ!AE:AE)</f>
        <v>12215.495999999999</v>
      </c>
      <c r="AA94" s="10">
        <f>SUMIF(DataQ!$B:$B,DataA!$A94,DataQ!AF:AF)</f>
        <v>7237.1570000000011</v>
      </c>
      <c r="AB94" s="10">
        <f>SUMIF(DataQ!$B:$B,DataA!$A94,DataQ!AG:AG)</f>
        <v>4829.9719999999998</v>
      </c>
      <c r="AC94" s="10">
        <f>SUMIF(DataQ!$B:$B,DataA!$A94,DataQ!AH:AH)</f>
        <v>11450948</v>
      </c>
    </row>
    <row r="95" spans="1:29" x14ac:dyDescent="0.25">
      <c r="A95">
        <v>2060</v>
      </c>
      <c r="B95" s="10">
        <f>SUMIF(DataQ!$B:$B,DataA!$A95,DataQ!G:G)</f>
        <v>4282693</v>
      </c>
      <c r="C95" s="10">
        <f>SUMIF(DataQ!$B:$B,DataA!$A95,DataQ!H:H)</f>
        <v>43611.64</v>
      </c>
      <c r="D95" s="10">
        <f>SUMIF(DataQ!$B:$B,DataA!$A95,DataQ!I:I)</f>
        <v>575869.80000000005</v>
      </c>
      <c r="E95" s="10">
        <f>SUMIF(DataQ!$B:$B,DataA!$A95,DataQ!J:J)</f>
        <v>4940.2290000000003</v>
      </c>
      <c r="F95" s="10">
        <f>SUMIF(DataQ!$B:$B,DataA!$A95,DataQ!K:K)</f>
        <v>3240.5261</v>
      </c>
      <c r="G95" s="10">
        <f>SUMIF(DataQ!$B:$B,DataA!$A95,DataQ!L:L)</f>
        <v>2172.8905999999997</v>
      </c>
      <c r="H95" s="10">
        <f>SUMIF(DataQ!$B:$B,DataA!$A95,DataQ!M:M)</f>
        <v>4690331</v>
      </c>
      <c r="I95" s="10">
        <f>SUMIF(DataQ!$B:$B,DataA!$A95,DataQ!N:N)</f>
        <v>-422235.07999999996</v>
      </c>
      <c r="J95" s="10">
        <f>SUMIF(DataQ!$B:$B,DataA!$A95,DataQ!O:O)</f>
        <v>-4085.0429999999997</v>
      </c>
      <c r="K95" s="10">
        <f>SUMIF(DataQ!$B:$B,DataA!$A95,DataQ!P:P)</f>
        <v>-9856.8760000000002</v>
      </c>
      <c r="L95" s="10">
        <f>SUMIF(DataQ!$B:$B,DataA!$A95,DataQ!Q:Q)</f>
        <v>-175.23095000000001</v>
      </c>
      <c r="M95" s="10">
        <f>SUMIF(DataQ!$B:$B,DataA!$A95,DataQ!R:R)</f>
        <v>-244.19832000000002</v>
      </c>
      <c r="N95" s="10">
        <f>SUMIF(DataQ!$B:$B,DataA!$A95,DataQ!S:S)</f>
        <v>-87.623739999999998</v>
      </c>
      <c r="O95" s="10">
        <f>SUMIF(DataQ!$B:$B,DataA!$A95,DataQ!T:T)</f>
        <v>-287749.88</v>
      </c>
      <c r="P95" s="10">
        <f>SUMIF(DataQ!$E:$E,DataA!$A95,DataQ!U:U)</f>
        <v>11324100</v>
      </c>
      <c r="Q95" s="10">
        <f>SUMIF(DataQ!$E:$E,DataA!$A95,DataQ!V:V)</f>
        <v>181081</v>
      </c>
      <c r="R95" s="10">
        <f>SUMIF(DataQ!$E:$E,DataA!$A95,DataQ!W:W)</f>
        <v>1741352</v>
      </c>
      <c r="S95" s="10">
        <f>SUMIF(DataQ!$E:$E,DataA!$A95,DataQ!X:X)</f>
        <v>7253.72</v>
      </c>
      <c r="T95" s="10">
        <f>SUMIF(DataQ!$E:$E,DataA!$A95,DataQ!Y:Y)</f>
        <v>9996.6579999999994</v>
      </c>
      <c r="U95" s="10">
        <f>SUMIF(DataQ!$E:$E,DataA!$A95,DataQ!Z:Z)</f>
        <v>5756.39</v>
      </c>
      <c r="V95" s="10">
        <f>SUMIF(DataQ!$E:$E,DataA!$A95,DataQ!AA:AA)</f>
        <v>9232492</v>
      </c>
      <c r="W95" s="10">
        <f>SUMIF(DataQ!$B:$B,DataA!$A95,DataQ!AB:AB)</f>
        <v>10420241</v>
      </c>
      <c r="X95" s="10">
        <f>SUMIF(DataQ!$B:$B,DataA!$A95,DataQ!AC:AC)</f>
        <v>107862.69</v>
      </c>
      <c r="Y95" s="10">
        <f>SUMIF(DataQ!$B:$B,DataA!$A95,DataQ!AD:AD)</f>
        <v>1059071.7</v>
      </c>
      <c r="Z95" s="10">
        <f>SUMIF(DataQ!$B:$B,DataA!$A95,DataQ!AE:AE)</f>
        <v>12560.150000000001</v>
      </c>
      <c r="AA95" s="10">
        <f>SUMIF(DataQ!$B:$B,DataA!$A95,DataQ!AF:AF)</f>
        <v>7400.0930000000008</v>
      </c>
      <c r="AB95" s="10">
        <f>SUMIF(DataQ!$B:$B,DataA!$A95,DataQ!AG:AG)</f>
        <v>4938.5569999999998</v>
      </c>
      <c r="AC95" s="10">
        <f>SUMIF(DataQ!$B:$B,DataA!$A95,DataQ!AH:AH)</f>
        <v>11878789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82E-CA43-4F80-A059-67CA594B308A}">
  <dimension ref="A1:AH359"/>
  <sheetViews>
    <sheetView workbookViewId="0">
      <pane xSplit="6" ySplit="6" topLeftCell="G7" activePane="bottomRight" state="frozen"/>
      <selection pane="topRight" activeCell="F1" sqref="F1"/>
      <selection pane="bottomLeft" activeCell="A7" sqref="A7"/>
      <selection pane="bottomRight" activeCell="E7" sqref="E7"/>
    </sheetView>
  </sheetViews>
  <sheetFormatPr defaultColWidth="9.140625" defaultRowHeight="15" x14ac:dyDescent="0.25"/>
  <cols>
    <col min="1" max="1" width="5" style="4" bestFit="1" customWidth="1"/>
    <col min="2" max="5" width="5" style="4" customWidth="1"/>
    <col min="6" max="6" width="9.140625" style="4"/>
    <col min="7" max="34" width="17.5703125" style="4" bestFit="1" customWidth="1"/>
    <col min="35" max="16384" width="9.140625" style="4"/>
  </cols>
  <sheetData>
    <row r="1" spans="1:34" x14ac:dyDescent="0.25">
      <c r="G1" s="4" t="str">
        <f>GMW!NF2</f>
        <v>SEP008W.db</v>
      </c>
      <c r="H1" s="4" t="str">
        <f>$G$1</f>
        <v>SEP008W.db</v>
      </c>
      <c r="I1" s="4" t="str">
        <f t="shared" ref="I1:M1" si="0">$G$1</f>
        <v>SEP008W.db</v>
      </c>
      <c r="J1" s="4" t="str">
        <f t="shared" si="0"/>
        <v>SEP008W.db</v>
      </c>
      <c r="K1" s="4" t="str">
        <f t="shared" si="0"/>
        <v>SEP008W.db</v>
      </c>
      <c r="L1" s="4" t="str">
        <f t="shared" si="0"/>
        <v>SEP008W.db</v>
      </c>
      <c r="M1" s="4" t="str">
        <f t="shared" si="0"/>
        <v>SEP008W.db</v>
      </c>
      <c r="N1" s="4" t="str">
        <f>$G$1</f>
        <v>SEP008W.db</v>
      </c>
      <c r="O1" s="4" t="str">
        <f>$G$1</f>
        <v>SEP008W.db</v>
      </c>
      <c r="P1" s="4" t="str">
        <f t="shared" ref="P1:T1" si="1">$G$1</f>
        <v>SEP008W.db</v>
      </c>
      <c r="Q1" s="4" t="str">
        <f t="shared" si="1"/>
        <v>SEP008W.db</v>
      </c>
      <c r="R1" s="4" t="str">
        <f t="shared" si="1"/>
        <v>SEP008W.db</v>
      </c>
      <c r="S1" s="4" t="str">
        <f t="shared" si="1"/>
        <v>SEP008W.db</v>
      </c>
      <c r="T1" s="4" t="str">
        <f t="shared" si="1"/>
        <v>SEP008W.db</v>
      </c>
      <c r="U1" s="4" t="str">
        <f>$G$1</f>
        <v>SEP008W.db</v>
      </c>
      <c r="V1" s="4" t="str">
        <f>$G$1</f>
        <v>SEP008W.db</v>
      </c>
      <c r="W1" s="4" t="str">
        <f t="shared" ref="W1:AA1" si="2">$G$1</f>
        <v>SEP008W.db</v>
      </c>
      <c r="X1" s="4" t="str">
        <f t="shared" si="2"/>
        <v>SEP008W.db</v>
      </c>
      <c r="Y1" s="4" t="str">
        <f t="shared" si="2"/>
        <v>SEP008W.db</v>
      </c>
      <c r="Z1" s="4" t="str">
        <f t="shared" si="2"/>
        <v>SEP008W.db</v>
      </c>
      <c r="AA1" s="4" t="str">
        <f t="shared" si="2"/>
        <v>SEP008W.db</v>
      </c>
      <c r="AB1" s="4" t="str">
        <f>$G$1</f>
        <v>SEP008W.db</v>
      </c>
      <c r="AC1" s="4" t="str">
        <f>$G$1</f>
        <v>SEP008W.db</v>
      </c>
      <c r="AD1" s="4" t="str">
        <f t="shared" ref="AD1:AH1" si="3">$G$1</f>
        <v>SEP008W.db</v>
      </c>
      <c r="AE1" s="4" t="str">
        <f t="shared" si="3"/>
        <v>SEP008W.db</v>
      </c>
      <c r="AF1" s="4" t="str">
        <f t="shared" si="3"/>
        <v>SEP008W.db</v>
      </c>
      <c r="AG1" s="4" t="str">
        <f t="shared" si="3"/>
        <v>SEP008W.db</v>
      </c>
      <c r="AH1" s="4" t="str">
        <f t="shared" si="3"/>
        <v>SEP008W.db</v>
      </c>
    </row>
    <row r="2" spans="1:34" x14ac:dyDescent="0.25">
      <c r="G2" s="4" t="s">
        <v>419</v>
      </c>
      <c r="H2" s="4" t="s">
        <v>424</v>
      </c>
      <c r="I2" s="4" t="s">
        <v>390</v>
      </c>
      <c r="J2" s="4" t="s">
        <v>396</v>
      </c>
      <c r="K2" s="4" t="s">
        <v>403</v>
      </c>
      <c r="L2" s="4" t="s">
        <v>408</v>
      </c>
      <c r="M2" s="4" t="s">
        <v>413</v>
      </c>
      <c r="N2" s="4" t="s">
        <v>419</v>
      </c>
      <c r="O2" s="4" t="s">
        <v>424</v>
      </c>
      <c r="P2" s="4" t="s">
        <v>390</v>
      </c>
      <c r="Q2" s="4" t="s">
        <v>396</v>
      </c>
      <c r="R2" s="4" t="s">
        <v>403</v>
      </c>
      <c r="S2" s="4" t="s">
        <v>408</v>
      </c>
      <c r="T2" s="4" t="s">
        <v>413</v>
      </c>
      <c r="U2" s="4" t="s">
        <v>419</v>
      </c>
      <c r="V2" s="4" t="s">
        <v>424</v>
      </c>
      <c r="W2" s="4" t="s">
        <v>390</v>
      </c>
      <c r="X2" s="4" t="s">
        <v>396</v>
      </c>
      <c r="Y2" s="4" t="s">
        <v>403</v>
      </c>
      <c r="Z2" s="4" t="s">
        <v>408</v>
      </c>
      <c r="AA2" s="4" t="s">
        <v>413</v>
      </c>
      <c r="AB2" s="4" t="s">
        <v>419</v>
      </c>
      <c r="AC2" s="4" t="s">
        <v>424</v>
      </c>
      <c r="AD2" s="4" t="s">
        <v>390</v>
      </c>
      <c r="AE2" s="4" t="s">
        <v>396</v>
      </c>
      <c r="AF2" s="4" t="s">
        <v>403</v>
      </c>
      <c r="AG2" s="4" t="s">
        <v>408</v>
      </c>
      <c r="AH2" s="4" t="s">
        <v>413</v>
      </c>
    </row>
    <row r="3" spans="1:34" x14ac:dyDescent="0.25">
      <c r="G3" s="4" t="s">
        <v>381</v>
      </c>
      <c r="H3" s="4" t="s">
        <v>381</v>
      </c>
      <c r="I3" s="4" t="s">
        <v>381</v>
      </c>
      <c r="J3" s="4" t="s">
        <v>381</v>
      </c>
      <c r="K3" s="4" t="s">
        <v>381</v>
      </c>
      <c r="L3" s="4" t="s">
        <v>381</v>
      </c>
      <c r="M3" s="4" t="s">
        <v>381</v>
      </c>
      <c r="N3" s="8" t="s">
        <v>432</v>
      </c>
      <c r="O3" s="8" t="s">
        <v>432</v>
      </c>
      <c r="P3" s="8" t="s">
        <v>432</v>
      </c>
      <c r="Q3" s="8" t="s">
        <v>432</v>
      </c>
      <c r="R3" s="8" t="s">
        <v>432</v>
      </c>
      <c r="S3" s="8" t="s">
        <v>432</v>
      </c>
      <c r="T3" s="8" t="s">
        <v>432</v>
      </c>
      <c r="U3" s="8" t="s">
        <v>450</v>
      </c>
      <c r="V3" s="8" t="s">
        <v>450</v>
      </c>
      <c r="W3" s="8" t="s">
        <v>450</v>
      </c>
      <c r="X3" s="8" t="s">
        <v>450</v>
      </c>
      <c r="Y3" s="8" t="s">
        <v>450</v>
      </c>
      <c r="Z3" s="8" t="s">
        <v>450</v>
      </c>
      <c r="AA3" s="8" t="s">
        <v>450</v>
      </c>
      <c r="AB3" s="8" t="s">
        <v>469</v>
      </c>
      <c r="AC3" s="8" t="s">
        <v>469</v>
      </c>
      <c r="AD3" s="8" t="s">
        <v>469</v>
      </c>
      <c r="AE3" s="8" t="s">
        <v>469</v>
      </c>
      <c r="AF3" s="8" t="s">
        <v>469</v>
      </c>
      <c r="AG3" s="8" t="s">
        <v>469</v>
      </c>
      <c r="AH3" s="8" t="s">
        <v>469</v>
      </c>
    </row>
    <row r="4" spans="1:34" x14ac:dyDescent="0.25">
      <c r="G4" s="4" t="s">
        <v>380</v>
      </c>
      <c r="H4" s="4" t="s">
        <v>389</v>
      </c>
      <c r="I4" s="4" t="s">
        <v>395</v>
      </c>
      <c r="J4" s="4" t="s">
        <v>402</v>
      </c>
      <c r="K4" s="4" t="s">
        <v>407</v>
      </c>
      <c r="L4" s="4" t="s">
        <v>412</v>
      </c>
      <c r="M4" s="4" t="s">
        <v>418</v>
      </c>
      <c r="N4" s="4" t="s">
        <v>380</v>
      </c>
      <c r="O4" s="4" t="s">
        <v>389</v>
      </c>
      <c r="P4" s="4" t="s">
        <v>395</v>
      </c>
      <c r="Q4" s="4" t="s">
        <v>402</v>
      </c>
      <c r="R4" s="4" t="s">
        <v>407</v>
      </c>
      <c r="S4" s="4" t="s">
        <v>412</v>
      </c>
      <c r="T4" s="4" t="s">
        <v>418</v>
      </c>
      <c r="U4" s="4" t="s">
        <v>380</v>
      </c>
      <c r="V4" s="4" t="s">
        <v>389</v>
      </c>
      <c r="W4" s="4" t="s">
        <v>395</v>
      </c>
      <c r="X4" s="4" t="s">
        <v>402</v>
      </c>
      <c r="Y4" s="4" t="s">
        <v>407</v>
      </c>
      <c r="Z4" s="4" t="s">
        <v>412</v>
      </c>
      <c r="AA4" s="4" t="s">
        <v>418</v>
      </c>
      <c r="AB4" s="4" t="s">
        <v>380</v>
      </c>
      <c r="AC4" s="4" t="s">
        <v>389</v>
      </c>
      <c r="AD4" s="4" t="s">
        <v>395</v>
      </c>
      <c r="AE4" s="4" t="s">
        <v>402</v>
      </c>
      <c r="AF4" s="4" t="s">
        <v>407</v>
      </c>
      <c r="AG4" s="4" t="s">
        <v>412</v>
      </c>
      <c r="AH4" s="4" t="s">
        <v>418</v>
      </c>
    </row>
    <row r="5" spans="1:34" x14ac:dyDescent="0.25">
      <c r="G5" s="4" t="s">
        <v>420</v>
      </c>
      <c r="H5" s="4" t="s">
        <v>420</v>
      </c>
      <c r="I5" s="4" t="s">
        <v>420</v>
      </c>
      <c r="J5" s="4" t="s">
        <v>420</v>
      </c>
      <c r="K5" s="4" t="s">
        <v>420</v>
      </c>
      <c r="L5" s="4" t="s">
        <v>420</v>
      </c>
      <c r="M5" s="4" t="s">
        <v>420</v>
      </c>
      <c r="N5" s="4" t="s">
        <v>420</v>
      </c>
      <c r="O5" s="4" t="s">
        <v>420</v>
      </c>
      <c r="P5" s="4" t="s">
        <v>420</v>
      </c>
      <c r="Q5" s="4" t="s">
        <v>420</v>
      </c>
      <c r="R5" s="4" t="s">
        <v>420</v>
      </c>
      <c r="S5" s="4" t="s">
        <v>420</v>
      </c>
      <c r="T5" s="4" t="s">
        <v>420</v>
      </c>
      <c r="U5" s="4" t="s">
        <v>420</v>
      </c>
      <c r="V5" s="4" t="s">
        <v>420</v>
      </c>
      <c r="W5" s="4" t="s">
        <v>420</v>
      </c>
      <c r="X5" s="4" t="s">
        <v>420</v>
      </c>
      <c r="Y5" s="4" t="s">
        <v>420</v>
      </c>
      <c r="Z5" s="4" t="s">
        <v>420</v>
      </c>
      <c r="AA5" s="4" t="s">
        <v>420</v>
      </c>
      <c r="AB5" s="4" t="s">
        <v>420</v>
      </c>
      <c r="AC5" s="4" t="s">
        <v>420</v>
      </c>
      <c r="AD5" s="4" t="s">
        <v>420</v>
      </c>
      <c r="AE5" s="4" t="s">
        <v>420</v>
      </c>
      <c r="AF5" s="4" t="s">
        <v>420</v>
      </c>
      <c r="AG5" s="4" t="s">
        <v>420</v>
      </c>
      <c r="AH5" s="4" t="s">
        <v>420</v>
      </c>
    </row>
    <row r="6" spans="1:34" x14ac:dyDescent="0.25">
      <c r="B6" s="4" t="s">
        <v>421</v>
      </c>
      <c r="C6" s="4" t="s">
        <v>422</v>
      </c>
      <c r="D6" s="4" t="s">
        <v>423</v>
      </c>
      <c r="E6" s="8" t="s">
        <v>483</v>
      </c>
      <c r="F6" s="4">
        <f>F358+5</f>
        <v>2329</v>
      </c>
      <c r="G6" s="5" t="str" cm="1">
        <f t="array" ref="G6">_xlfn.CONCAT(INDEX(GMW!$A$2:$NE$60,MATCH(1,(GMW!$NE$2:$NE$60=G$3)*(GMW!$ND$2:$ND$60=G$4)*(GMW!$NF$2:$NF$60=G$1),0),$F6-1966),"0",(INDEX(GMW!$A$2:$NE$60,MATCH(1,(GMW!$NE$2:$NE$60=G$3)*(GMW!$ND$2:$ND$60=G$4)*(GMW!$NF$2:$NF$60=G$1),0),$F6-1965)))</f>
        <v>202502</v>
      </c>
      <c r="H6" s="5" t="str" cm="1">
        <f t="array" ref="H6">_xlfn.CONCAT(INDEX(GMW!$A$2:$NE$60,MATCH(1,(GMW!$NE$2:$NE$60=H$3)*(GMW!$ND$2:$ND$60=H$4)*(GMW!$NF$2:$NF$60=H$1),0),$F6-1966),"0",(INDEX(GMW!$A$2:$NE$60,MATCH(1,(GMW!$NE$2:$NE$60=H$3)*(GMW!$ND$2:$ND$60=H$4)*(GMW!$NF$2:$NF$60=H$1),0),$F6-1965)))</f>
        <v>202502</v>
      </c>
      <c r="I6" s="5" t="str" cm="1">
        <f t="array" ref="I6">_xlfn.CONCAT(INDEX(GMW!$A$2:$NE$60,MATCH(1,(GMW!$NE$2:$NE$60=I$3)*(GMW!$ND$2:$ND$60=I$4)*(GMW!$NF$2:$NF$60=I$1),0),$F6-1966),"0",(INDEX(GMW!$A$2:$NE$60,MATCH(1,(GMW!$NE$2:$NE$60=I$3)*(GMW!$ND$2:$ND$60=I$4)*(GMW!$NF$2:$NF$60=I$1),0),$F6-1965)))</f>
        <v>202502</v>
      </c>
      <c r="J6" s="5" t="str" cm="1">
        <f t="array" ref="J6">_xlfn.CONCAT(INDEX(GMW!$A$2:$NE$60,MATCH(1,(GMW!$NE$2:$NE$60=J$3)*(GMW!$ND$2:$ND$60=J$4)*(GMW!$NF$2:$NF$60=J$1),0),$F6-1966),"0",(INDEX(GMW!$A$2:$NE$60,MATCH(1,(GMW!$NE$2:$NE$60=J$3)*(GMW!$ND$2:$ND$60=J$4)*(GMW!$NF$2:$NF$60=J$1),0),$F6-1965)))</f>
        <v>202502</v>
      </c>
      <c r="K6" s="5" t="str" cm="1">
        <f t="array" ref="K6">_xlfn.CONCAT(INDEX(GMW!$A$2:$NE$60,MATCH(1,(GMW!$NE$2:$NE$60=K$3)*(GMW!$ND$2:$ND$60=K$4)*(GMW!$NF$2:$NF$60=K$1),0),$F6-1966),"0",(INDEX(GMW!$A$2:$NE$60,MATCH(1,(GMW!$NE$2:$NE$60=K$3)*(GMW!$ND$2:$ND$60=K$4)*(GMW!$NF$2:$NF$60=K$1),0),$F6-1965)))</f>
        <v>202502</v>
      </c>
      <c r="L6" s="5" t="str" cm="1">
        <f t="array" ref="L6">_xlfn.CONCAT(INDEX(GMW!$A$2:$NE$60,MATCH(1,(GMW!$NE$2:$NE$60=L$3)*(GMW!$ND$2:$ND$60=L$4)*(GMW!$NF$2:$NF$60=L$1),0),$F6-1966),"0",(INDEX(GMW!$A$2:$NE$60,MATCH(1,(GMW!$NE$2:$NE$60=L$3)*(GMW!$ND$2:$ND$60=L$4)*(GMW!$NF$2:$NF$60=L$1),0),$F6-1965)))</f>
        <v>202502</v>
      </c>
      <c r="M6" s="5" t="str" cm="1">
        <f t="array" ref="M6">_xlfn.CONCAT(INDEX(GMW!$A$2:$NE$60,MATCH(1,(GMW!$NE$2:$NE$60=M$3)*(GMW!$ND$2:$ND$60=M$4)*(GMW!$NF$2:$NF$60=M$1),0),$F6-1966),"0",(INDEX(GMW!$A$2:$NE$60,MATCH(1,(GMW!$NE$2:$NE$60=M$3)*(GMW!$ND$2:$ND$60=M$4)*(GMW!$NF$2:$NF$60=M$1),0),$F6-1965)))</f>
        <v>202502</v>
      </c>
      <c r="N6" s="5" t="str" cm="1">
        <f t="array" ref="N6">_xlfn.CONCAT(INDEX(GMW!$A$2:$NE$60,MATCH(1,(GMW!$NE$2:$NE$60=N$3)*(GMW!$ND$2:$ND$60=N$4)*(GMW!$NF$2:$NF$60=N$1),0),$F6-1966),"0",(INDEX(GMW!$A$2:$NE$60,MATCH(1,(GMW!$NE$2:$NE$60=N$3)*(GMW!$ND$2:$ND$60=N$4)*(GMW!$NF$2:$NF$60=N$1),0),$F6-1965)))</f>
        <v>202502</v>
      </c>
      <c r="O6" s="5" t="str" cm="1">
        <f t="array" ref="O6">_xlfn.CONCAT(INDEX(GMW!$A$2:$NE$60,MATCH(1,(GMW!$NE$2:$NE$60=O$3)*(GMW!$ND$2:$ND$60=O$4)*(GMW!$NF$2:$NF$60=O$1),0),$F6-1966),"0",(INDEX(GMW!$A$2:$NE$60,MATCH(1,(GMW!$NE$2:$NE$60=O$3)*(GMW!$ND$2:$ND$60=O$4)*(GMW!$NF$2:$NF$60=O$1),0),$F6-1965)))</f>
        <v>202501</v>
      </c>
      <c r="P6" s="5" t="str" cm="1">
        <f t="array" ref="P6">_xlfn.CONCAT(INDEX(GMW!$A$2:$NE$60,MATCH(1,(GMW!$NE$2:$NE$60=P$3)*(GMW!$ND$2:$ND$60=P$4)*(GMW!$NF$2:$NF$60=P$1),0),$F6-1966),"0",(INDEX(GMW!$A$2:$NE$60,MATCH(1,(GMW!$NE$2:$NE$60=P$3)*(GMW!$ND$2:$ND$60=P$4)*(GMW!$NF$2:$NF$60=P$1),0),$F6-1965)))</f>
        <v>202402</v>
      </c>
      <c r="Q6" s="5" t="str" cm="1">
        <f t="array" ref="Q6">_xlfn.CONCAT(INDEX(GMW!$A$2:$NE$60,MATCH(1,(GMW!$NE$2:$NE$60=Q$3)*(GMW!$ND$2:$ND$60=Q$4)*(GMW!$NF$2:$NF$60=Q$1),0),$F6-1966),"0",(INDEX(GMW!$A$2:$NE$60,MATCH(1,(GMW!$NE$2:$NE$60=Q$3)*(GMW!$ND$2:$ND$60=Q$4)*(GMW!$NF$2:$NF$60=Q$1),0),$F6-1965)))</f>
        <v>202502</v>
      </c>
      <c r="R6" s="5" t="str" cm="1">
        <f t="array" ref="R6">_xlfn.CONCAT(INDEX(GMW!$A$2:$NE$60,MATCH(1,(GMW!$NE$2:$NE$60=R$3)*(GMW!$ND$2:$ND$60=R$4)*(GMW!$NF$2:$NF$60=R$1),0),$F6-1966),"0",(INDEX(GMW!$A$2:$NE$60,MATCH(1,(GMW!$NE$2:$NE$60=R$3)*(GMW!$ND$2:$ND$60=R$4)*(GMW!$NF$2:$NF$60=R$1),0),$F6-1965)))</f>
        <v>202502</v>
      </c>
      <c r="S6" s="5" t="str" cm="1">
        <f t="array" ref="S6">_xlfn.CONCAT(INDEX(GMW!$A$2:$NE$60,MATCH(1,(GMW!$NE$2:$NE$60=S$3)*(GMW!$ND$2:$ND$60=S$4)*(GMW!$NF$2:$NF$60=S$1),0),$F6-1966),"0",(INDEX(GMW!$A$2:$NE$60,MATCH(1,(GMW!$NE$2:$NE$60=S$3)*(GMW!$ND$2:$ND$60=S$4)*(GMW!$NF$2:$NF$60=S$1),0),$F6-1965)))</f>
        <v>202404</v>
      </c>
      <c r="T6" s="5" t="str" cm="1">
        <f t="array" ref="T6">_xlfn.CONCAT(INDEX(GMW!$A$2:$NE$60,MATCH(1,(GMW!$NE$2:$NE$60=T$3)*(GMW!$ND$2:$ND$60=T$4)*(GMW!$NF$2:$NF$60=T$1),0),$F6-1966),"0",(INDEX(GMW!$A$2:$NE$60,MATCH(1,(GMW!$NE$2:$NE$60=T$3)*(GMW!$ND$2:$ND$60=T$4)*(GMW!$NF$2:$NF$60=T$1),0),$F6-1965)))</f>
        <v>202502</v>
      </c>
      <c r="U6" s="5" t="str" cm="1">
        <f t="array" ref="U6">_xlfn.CONCAT(INDEX(GMW!$A$2:$NE$60,MATCH(1,(GMW!$NE$2:$NE$60=U$3)*(GMW!$ND$2:$ND$60=U$4)*(GMW!$NF$2:$NF$60=U$1),0),$F6-1966),"0",(INDEX(GMW!$A$2:$NE$60,MATCH(1,(GMW!$NE$2:$NE$60=U$3)*(GMW!$ND$2:$ND$60=U$4)*(GMW!$NF$2:$NF$60=U$1),0),$F6-1965)))</f>
        <v>202502</v>
      </c>
      <c r="V6" s="5" t="str" cm="1">
        <f t="array" ref="V6">_xlfn.CONCAT(INDEX(GMW!$A$2:$NE$60,MATCH(1,(GMW!$NE$2:$NE$60=V$3)*(GMW!$ND$2:$ND$60=V$4)*(GMW!$NF$2:$NF$60=V$1),0),$F6-1966),"0",(INDEX(GMW!$A$2:$NE$60,MATCH(1,(GMW!$NE$2:$NE$60=V$3)*(GMW!$ND$2:$ND$60=V$4)*(GMW!$NF$2:$NF$60=V$1),0),$F6-1965)))</f>
        <v>202303</v>
      </c>
      <c r="W6" s="5" t="str" cm="1">
        <f t="array" ref="W6">_xlfn.CONCAT(INDEX(GMW!$A$2:$NE$60,MATCH(1,(GMW!$NE$2:$NE$60=W$3)*(GMW!$ND$2:$ND$60=W$4)*(GMW!$NF$2:$NF$60=W$1),0),$F6-1966),"0",(INDEX(GMW!$A$2:$NE$60,MATCH(1,(GMW!$NE$2:$NE$60=W$3)*(GMW!$ND$2:$ND$60=W$4)*(GMW!$NF$2:$NF$60=W$1),0),$F6-1965)))</f>
        <v>202402</v>
      </c>
      <c r="X6" s="5" t="str" cm="1">
        <f t="array" ref="X6">_xlfn.CONCAT(INDEX(GMW!$A$2:$NE$60,MATCH(1,(GMW!$NE$2:$NE$60=X$3)*(GMW!$ND$2:$ND$60=X$4)*(GMW!$NF$2:$NF$60=X$1),0),$F6-1966),"0",(INDEX(GMW!$A$2:$NE$60,MATCH(1,(GMW!$NE$2:$NE$60=X$3)*(GMW!$ND$2:$ND$60=X$4)*(GMW!$NF$2:$NF$60=X$1),0),$F6-1965)))</f>
        <v>202501</v>
      </c>
      <c r="Y6" s="5" t="str" cm="1">
        <f t="array" ref="Y6">_xlfn.CONCAT(INDEX(GMW!$A$2:$NE$60,MATCH(1,(GMW!$NE$2:$NE$60=Y$3)*(GMW!$ND$2:$ND$60=Y$4)*(GMW!$NF$2:$NF$60=Y$1),0),$F6-1966),"0",(INDEX(GMW!$A$2:$NE$60,MATCH(1,(GMW!$NE$2:$NE$60=Y$3)*(GMW!$ND$2:$ND$60=Y$4)*(GMW!$NF$2:$NF$60=Y$1),0),$F6-1965)))</f>
        <v>202501</v>
      </c>
      <c r="Z6" s="5" t="str" cm="1">
        <f t="array" ref="Z6">_xlfn.CONCAT(INDEX(GMW!$A$2:$NE$60,MATCH(1,(GMW!$NE$2:$NE$60=Z$3)*(GMW!$ND$2:$ND$60=Z$4)*(GMW!$NF$2:$NF$60=Z$1),0),$F6-1966),"0",(INDEX(GMW!$A$2:$NE$60,MATCH(1,(GMW!$NE$2:$NE$60=Z$3)*(GMW!$ND$2:$ND$60=Z$4)*(GMW!$NF$2:$NF$60=Z$1),0),$F6-1965)))</f>
        <v>202404</v>
      </c>
      <c r="AA6" s="5" t="str" cm="1">
        <f t="array" ref="AA6">_xlfn.CONCAT(INDEX(GMW!$A$2:$NE$60,MATCH(1,(GMW!$NE$2:$NE$60=AA$3)*(GMW!$ND$2:$ND$60=AA$4)*(GMW!$NF$2:$NF$60=AA$1),0),$F6-1966),"0",(INDEX(GMW!$A$2:$NE$60,MATCH(1,(GMW!$NE$2:$NE$60=AA$3)*(GMW!$ND$2:$ND$60=AA$4)*(GMW!$NF$2:$NF$60=AA$1),0),$F6-1965)))</f>
        <v>202502</v>
      </c>
      <c r="AB6" s="5" t="str" cm="1">
        <f t="array" ref="AB6">_xlfn.CONCAT(INDEX(GMW!$A$2:$NE$60,MATCH(1,(GMW!$NE$2:$NE$60=AB$3)*(GMW!$ND$2:$ND$60=AB$4)*(GMW!$NF$2:$NF$60=AB$1),0),$F6-1966),"0",(INDEX(GMW!$A$2:$NE$60,MATCH(1,(GMW!$NE$2:$NE$60=AB$3)*(GMW!$ND$2:$ND$60=AB$4)*(GMW!$NF$2:$NF$60=AB$1),0),$F6-1965)))</f>
        <v>202502</v>
      </c>
      <c r="AC6" s="5" t="str" cm="1">
        <f t="array" ref="AC6">_xlfn.CONCAT(INDEX(GMW!$A$2:$NE$60,MATCH(1,(GMW!$NE$2:$NE$60=AC$3)*(GMW!$ND$2:$ND$60=AC$4)*(GMW!$NF$2:$NF$60=AC$1),0),$F6-1966),"0",(INDEX(GMW!$A$2:$NE$60,MATCH(1,(GMW!$NE$2:$NE$60=AC$3)*(GMW!$ND$2:$ND$60=AC$4)*(GMW!$NF$2:$NF$60=AC$1),0),$F6-1965)))</f>
        <v>202502</v>
      </c>
      <c r="AD6" s="5" t="str" cm="1">
        <f t="array" ref="AD6">_xlfn.CONCAT(INDEX(GMW!$A$2:$NE$60,MATCH(1,(GMW!$NE$2:$NE$60=AD$3)*(GMW!$ND$2:$ND$60=AD$4)*(GMW!$NF$2:$NF$60=AD$1),0),$F6-1966),"0",(INDEX(GMW!$A$2:$NE$60,MATCH(1,(GMW!$NE$2:$NE$60=AD$3)*(GMW!$ND$2:$ND$60=AD$4)*(GMW!$NF$2:$NF$60=AD$1),0),$F6-1965)))</f>
        <v>202502</v>
      </c>
      <c r="AE6" s="5" t="str" cm="1">
        <f t="array" ref="AE6">_xlfn.CONCAT(INDEX(GMW!$A$2:$NE$60,MATCH(1,(GMW!$NE$2:$NE$60=AE$3)*(GMW!$ND$2:$ND$60=AE$4)*(GMW!$NF$2:$NF$60=AE$1),0),$F6-1966),"0",(INDEX(GMW!$A$2:$NE$60,MATCH(1,(GMW!$NE$2:$NE$60=AE$3)*(GMW!$ND$2:$ND$60=AE$4)*(GMW!$NF$2:$NF$60=AE$1),0),$F6-1965)))</f>
        <v>202502</v>
      </c>
      <c r="AF6" s="5" t="str" cm="1">
        <f t="array" ref="AF6">_xlfn.CONCAT(INDEX(GMW!$A$2:$NE$60,MATCH(1,(GMW!$NE$2:$NE$60=AF$3)*(GMW!$ND$2:$ND$60=AF$4)*(GMW!$NF$2:$NF$60=AF$1),0),$F6-1966),"0",(INDEX(GMW!$A$2:$NE$60,MATCH(1,(GMW!$NE$2:$NE$60=AF$3)*(GMW!$ND$2:$ND$60=AF$4)*(GMW!$NF$2:$NF$60=AF$1),0),$F6-1965)))</f>
        <v>202502</v>
      </c>
      <c r="AG6" s="5" t="str" cm="1">
        <f t="array" ref="AG6">_xlfn.CONCAT(INDEX(GMW!$A$2:$NE$60,MATCH(1,(GMW!$NE$2:$NE$60=AG$3)*(GMW!$ND$2:$ND$60=AG$4)*(GMW!$NF$2:$NF$60=AG$1),0),$F6-1966),"0",(INDEX(GMW!$A$2:$NE$60,MATCH(1,(GMW!$NE$2:$NE$60=AG$3)*(GMW!$ND$2:$ND$60=AG$4)*(GMW!$NF$2:$NF$60=AG$1),0),$F6-1965)))</f>
        <v>202502</v>
      </c>
      <c r="AH6" s="5" t="str" cm="1">
        <f t="array" ref="AH6">_xlfn.CONCAT(INDEX(GMW!$A$2:$NE$60,MATCH(1,(GMW!$NE$2:$NE$60=AH$3)*(GMW!$ND$2:$ND$60=AH$4)*(GMW!$NF$2:$NF$60=AH$1),0),$F6-1966),"0",(INDEX(GMW!$A$2:$NE$60,MATCH(1,(GMW!$NE$2:$NE$60=AH$3)*(GMW!$ND$2:$ND$60=AH$4)*(GMW!$NF$2:$NF$60=AH$1),0),$F6-1965)))</f>
        <v>202502</v>
      </c>
    </row>
    <row r="7" spans="1:34" x14ac:dyDescent="0.25">
      <c r="A7" s="4">
        <v>1973</v>
      </c>
      <c r="B7" s="4">
        <v>1973</v>
      </c>
      <c r="F7" s="4">
        <v>1973</v>
      </c>
      <c r="G7" s="4" cm="1">
        <f t="array" ref="G7">INDEX(GMW!$A$2:$NF$60,MATCH(1,(GMW!$NE$2:$NE$60=G$3)*(GMW!$ND$2:$ND$60=G$4)*(GMW!$NF$2:$NF$60=G$1),0),$F7-1966)</f>
        <v>247921</v>
      </c>
      <c r="H7" s="4" cm="1">
        <f t="array" ref="H7">INDEX(GMW!$A$2:$NF$60,MATCH(1,(GMW!$NE$2:$NE$60=H$3)*(GMW!$ND$2:$ND$60=H$4)*(GMW!$NF$2:$NF$60=H$1),0),$F7-1966)</f>
        <v>1514.625</v>
      </c>
      <c r="I7" s="4" cm="1">
        <f t="array" ref="I7">INDEX(GMW!$A$2:$NF$60,MATCH(1,(GMW!$NE$2:$NE$60=I$3)*(GMW!$ND$2:$ND$60=I$4)*(GMW!$NF$2:$NF$60=I$1),0),$F7-1966)</f>
        <v>52242.65</v>
      </c>
      <c r="J7" s="4" cm="1">
        <f t="array" ref="J7">INDEX(GMW!$A$2:$NF$60,MATCH(1,(GMW!$NE$2:$NE$60=J$3)*(GMW!$ND$2:$ND$60=J$4)*(GMW!$NF$2:$NF$60=J$1),0),$F7-1966)</f>
        <v>386.07</v>
      </c>
      <c r="K7" s="4" cm="1">
        <f t="array" ref="K7">INDEX(GMW!$A$2:$NF$60,MATCH(1,(GMW!$NE$2:$NE$60=K$3)*(GMW!$ND$2:$ND$60=K$4)*(GMW!$NF$2:$NF$60=K$1),0),$F7-1966)</f>
        <v>244.37899999999999</v>
      </c>
      <c r="L7" s="4" cm="1">
        <f t="array" ref="L7">INDEX(GMW!$A$2:$NF$60,MATCH(1,(GMW!$NE$2:$NE$60=L$3)*(GMW!$ND$2:$ND$60=L$4)*(GMW!$NF$2:$NF$60=L$1),0),$F7-1966)</f>
        <v>223.02869999999999</v>
      </c>
      <c r="M7" s="4" cm="1">
        <f t="array" ref="M7">INDEX(GMW!$A$2:$NF$60,MATCH(1,(GMW!$NE$2:$NE$60=M$3)*(GMW!$ND$2:$ND$60=M$4)*(GMW!$NF$2:$NF$60=M$1),0),$F7-1966)</f>
        <v>174319.5</v>
      </c>
      <c r="N7" s="4" cm="1">
        <f t="array" ref="N7">INDEX(GMW!$A$2:$NF$60,MATCH(1,(GMW!$NE$2:$NE$60=N$3)*(GMW!$ND$2:$ND$60=N$4)*(GMW!$NF$2:$NF$60=N$1),0),$F7-1966)</f>
        <v>-145</v>
      </c>
      <c r="O7" s="4" cm="1">
        <f t="array" ref="O7">INDEX(GMW!$A$2:$NF$60,MATCH(1,(GMW!$NE$2:$NE$60=O$3)*(GMW!$ND$2:$ND$60=O$4)*(GMW!$NF$2:$NF$60=O$1),0),$F7-1966)</f>
        <v>-11.26225</v>
      </c>
      <c r="P7" s="4" cm="1">
        <f t="array" ref="P7">INDEX(GMW!$A$2:$NF$60,MATCH(1,(GMW!$NE$2:$NE$60=P$3)*(GMW!$ND$2:$ND$60=P$4)*(GMW!$NF$2:$NF$60=P$1),0),$F7-1966)</f>
        <v>-639</v>
      </c>
      <c r="Q7" s="4" cm="1">
        <f t="array" ref="Q7">INDEX(GMW!$A$2:$NF$60,MATCH(1,(GMW!$NE$2:$NE$60=Q$3)*(GMW!$ND$2:$ND$60=Q$4)*(GMW!$NF$2:$NF$60=Q$1),0),$F7-1966)</f>
        <v>-5.7613820000000002</v>
      </c>
      <c r="R7" s="4" cm="1">
        <f t="array" ref="R7">INDEX(GMW!$A$2:$NF$60,MATCH(1,(GMW!$NE$2:$NE$60=R$3)*(GMW!$ND$2:$ND$60=R$4)*(GMW!$NF$2:$NF$60=R$1),0),$F7-1966)</f>
        <v>0.20323050000000001</v>
      </c>
      <c r="S7" s="4" cm="1">
        <f t="array" ref="S7">INDEX(GMW!$A$2:$NF$60,MATCH(1,(GMW!$NE$2:$NE$60=S$3)*(GMW!$ND$2:$ND$60=S$4)*(GMW!$NF$2:$NF$60=S$1),0),$F7-1966)</f>
        <v>-0.80267379999999999</v>
      </c>
      <c r="T7" s="4" cm="1">
        <f t="array" ref="T7">INDEX(GMW!$A$2:$NF$60,MATCH(1,(GMW!$NE$2:$NE$60=T$3)*(GMW!$ND$2:$ND$60=T$4)*(GMW!$NF$2:$NF$60=T$1),0),$F7-1966)</f>
        <v>403</v>
      </c>
      <c r="U7" s="4" cm="1">
        <f t="array" ref="U7">INDEX(GMW!$A$2:$NF$60,MATCH(1,(GMW!$NE$2:$NE$60=U$3)*(GMW!$ND$2:$ND$60=U$4)*(GMW!$NF$2:$NF$60=U$1),0),$F7-1966)</f>
        <v>29960.61</v>
      </c>
      <c r="V7" s="4" cm="1">
        <f t="array" ref="V7">INDEX(GMW!$A$2:$NF$60,MATCH(1,(GMW!$NE$2:$NE$60=V$3)*(GMW!$ND$2:$ND$60=V$4)*(GMW!$NF$2:$NF$60=V$1),0),$F7-1966)</f>
        <v>1121.326</v>
      </c>
      <c r="W7" s="4" cm="1">
        <f t="array" ref="W7">INDEX(GMW!$A$2:$NF$60,MATCH(1,(GMW!$NE$2:$NE$60=W$3)*(GMW!$ND$2:$ND$60=W$4)*(GMW!$NF$2:$NF$60=W$1),0),$F7-1966)</f>
        <v>15745</v>
      </c>
      <c r="X7" s="4" cm="1">
        <f t="array" ref="X7">INDEX(GMW!$A$2:$NF$60,MATCH(1,(GMW!$NE$2:$NE$60=X$3)*(GMW!$ND$2:$ND$60=X$4)*(GMW!$NF$2:$NF$60=X$1),0),$F7-1966)</f>
        <v>81.432329999999993</v>
      </c>
      <c r="Y7" s="4" cm="1">
        <f t="array" ref="Y7">INDEX(GMW!$A$2:$NF$60,MATCH(1,(GMW!$NE$2:$NE$60=Y$3)*(GMW!$ND$2:$ND$60=Y$4)*(GMW!$NF$2:$NF$60=Y$1),0),$F7-1966)</f>
        <v>54.020290000000003</v>
      </c>
      <c r="Z7" s="4" cm="1">
        <f t="array" ref="Z7">INDEX(GMW!$A$2:$NF$60,MATCH(1,(GMW!$NE$2:$NE$60=Z$3)*(GMW!$ND$2:$ND$60=Z$4)*(GMW!$NF$2:$NF$60=Z$1),0),$F7-1966)</f>
        <v>29.060040000000001</v>
      </c>
      <c r="AA7" s="4" cm="1">
        <f t="array" ref="AA7">INDEX(GMW!$A$2:$NF$60,MATCH(1,(GMW!$NE$2:$NE$60=AA$3)*(GMW!$ND$2:$ND$60=AA$4)*(GMW!$NF$2:$NF$60=AA$1),0),$F7-1966)</f>
        <v>62477</v>
      </c>
      <c r="AB7" s="4" cm="1">
        <f t="array" ref="AB7">INDEX(GMW!$A$2:$NF$60,MATCH(1,(GMW!$NE$2:$NE$60=AB$3)*(GMW!$ND$2:$ND$60=AB$4)*(GMW!$NF$2:$NF$60=AB$1),0),$F7-1966)</f>
        <v>20046</v>
      </c>
      <c r="AC7" s="4" cm="1">
        <f t="array" ref="AC7">INDEX(GMW!$A$2:$NF$60,MATCH(1,(GMW!$NE$2:$NE$60=AC$3)*(GMW!$ND$2:$ND$60=AC$4)*(GMW!$NF$2:$NF$60=AC$1),0),$F7-1966)</f>
        <v>344.375</v>
      </c>
      <c r="AD7" s="4" cm="1">
        <f t="array" ref="AD7">INDEX(GMW!$A$2:$NF$60,MATCH(1,(GMW!$NE$2:$NE$60=AD$3)*(GMW!$ND$2:$ND$60=AD$4)*(GMW!$NF$2:$NF$60=AD$1),0),$F7-1966)</f>
        <v>26933.3</v>
      </c>
      <c r="AE7" s="4" cm="1">
        <f t="array" ref="AE7">INDEX(GMW!$A$2:$NF$60,MATCH(1,(GMW!$NE$2:$NE$60=AE$3)*(GMW!$ND$2:$ND$60=AE$4)*(GMW!$NF$2:$NF$60=AE$1),0),$F7-1966)</f>
        <v>134.9502</v>
      </c>
      <c r="AF7" s="4" cm="1">
        <f t="array" ref="AF7">INDEX(GMW!$A$2:$NF$60,MATCH(1,(GMW!$NE$2:$NE$60=AF$3)*(GMW!$ND$2:$ND$60=AF$4)*(GMW!$NF$2:$NF$60=AF$1),0),$F7-1966)</f>
        <v>41.868000000000002</v>
      </c>
      <c r="AG7" s="4" cm="1">
        <f t="array" ref="AG7">INDEX(GMW!$A$2:$NF$60,MATCH(1,(GMW!$NE$2:$NE$60=AG$3)*(GMW!$ND$2:$ND$60=AG$4)*(GMW!$NF$2:$NF$60=AG$1),0),$F7-1966)</f>
        <v>12.115</v>
      </c>
      <c r="AH7" s="4" cm="1">
        <f t="array" ref="AH7">INDEX(GMW!$A$2:$NF$60,MATCH(1,(GMW!$NE$2:$NE$60=AH$3)*(GMW!$ND$2:$ND$60=AH$4)*(GMW!$NF$2:$NF$60=AH$1),0),$F7-1966)</f>
        <v>31189</v>
      </c>
    </row>
    <row r="8" spans="1:34" x14ac:dyDescent="0.25">
      <c r="B8" s="4">
        <v>1973</v>
      </c>
      <c r="C8" s="4">
        <v>1973</v>
      </c>
      <c r="F8" s="4">
        <f>+F7+1</f>
        <v>1974</v>
      </c>
      <c r="G8" s="4" cm="1">
        <f t="array" ref="G8">INDEX(GMW!$A$2:$NF$60,MATCH(1,(GMW!$NE$2:$NE$60=G$3)*(GMW!$ND$2:$ND$60=G$4)*(GMW!$NF$2:$NF$60=G$1),0),$F8-1966)</f>
        <v>248384</v>
      </c>
      <c r="H8" s="4" cm="1">
        <f t="array" ref="H8">INDEX(GMW!$A$2:$NF$60,MATCH(1,(GMW!$NE$2:$NE$60=H$3)*(GMW!$ND$2:$ND$60=H$4)*(GMW!$NF$2:$NF$60=H$1),0),$F8-1966)</f>
        <v>1531.125</v>
      </c>
      <c r="I8" s="4" cm="1">
        <f t="array" ref="I8">INDEX(GMW!$A$2:$NF$60,MATCH(1,(GMW!$NE$2:$NE$60=I$3)*(GMW!$ND$2:$ND$60=I$4)*(GMW!$NF$2:$NF$60=I$1),0),$F8-1966)</f>
        <v>52722.43</v>
      </c>
      <c r="J8" s="4" cm="1">
        <f t="array" ref="J8">INDEX(GMW!$A$2:$NF$60,MATCH(1,(GMW!$NE$2:$NE$60=J$3)*(GMW!$ND$2:$ND$60=J$4)*(GMW!$NF$2:$NF$60=J$1),0),$F8-1966)</f>
        <v>388.81</v>
      </c>
      <c r="K8" s="4" cm="1">
        <f t="array" ref="K8">INDEX(GMW!$A$2:$NF$60,MATCH(1,(GMW!$NE$2:$NE$60=K$3)*(GMW!$ND$2:$ND$60=K$4)*(GMW!$NF$2:$NF$60=K$1),0),$F8-1966)</f>
        <v>247.94900000000001</v>
      </c>
      <c r="L8" s="4" cm="1">
        <f t="array" ref="L8">INDEX(GMW!$A$2:$NF$60,MATCH(1,(GMW!$NE$2:$NE$60=L$3)*(GMW!$ND$2:$ND$60=L$4)*(GMW!$NF$2:$NF$60=L$1),0),$F8-1966)</f>
        <v>229.71039999999999</v>
      </c>
      <c r="M8" s="4" cm="1">
        <f t="array" ref="M8">INDEX(GMW!$A$2:$NF$60,MATCH(1,(GMW!$NE$2:$NE$60=M$3)*(GMW!$ND$2:$ND$60=M$4)*(GMW!$NF$2:$NF$60=M$1),0),$F8-1966)</f>
        <v>175982.5</v>
      </c>
      <c r="N8" s="4" cm="1">
        <f t="array" ref="N8">INDEX(GMW!$A$2:$NF$60,MATCH(1,(GMW!$NE$2:$NE$60=N$3)*(GMW!$ND$2:$ND$60=N$4)*(GMW!$NF$2:$NF$60=N$1),0),$F8-1966)</f>
        <v>-1195</v>
      </c>
      <c r="O8" s="4" cm="1">
        <f t="array" ref="O8">INDEX(GMW!$A$2:$NF$60,MATCH(1,(GMW!$NE$2:$NE$60=O$3)*(GMW!$ND$2:$ND$60=O$4)*(GMW!$NF$2:$NF$60=O$1),0),$F8-1966)</f>
        <v>-11.97875</v>
      </c>
      <c r="P8" s="4" cm="1">
        <f t="array" ref="P8">INDEX(GMW!$A$2:$NF$60,MATCH(1,(GMW!$NE$2:$NE$60=P$3)*(GMW!$ND$2:$ND$60=P$4)*(GMW!$NF$2:$NF$60=P$1),0),$F8-1966)</f>
        <v>-519</v>
      </c>
      <c r="Q8" s="4" cm="1">
        <f t="array" ref="Q8">INDEX(GMW!$A$2:$NF$60,MATCH(1,(GMW!$NE$2:$NE$60=Q$3)*(GMW!$ND$2:$ND$60=Q$4)*(GMW!$NF$2:$NF$60=Q$1),0),$F8-1966)</f>
        <v>-5.7613820000000002</v>
      </c>
      <c r="R8" s="4" cm="1">
        <f t="array" ref="R8">INDEX(GMW!$A$2:$NF$60,MATCH(1,(GMW!$NE$2:$NE$60=R$3)*(GMW!$ND$2:$ND$60=R$4)*(GMW!$NF$2:$NF$60=R$1),0),$F8-1966)</f>
        <v>0.21495700000000001</v>
      </c>
      <c r="S8" s="4" cm="1">
        <f t="array" ref="S8">INDEX(GMW!$A$2:$NF$60,MATCH(1,(GMW!$NE$2:$NE$60=S$3)*(GMW!$ND$2:$ND$60=S$4)*(GMW!$NF$2:$NF$60=S$1),0),$F8-1966)</f>
        <v>-0.81484109999999998</v>
      </c>
      <c r="T8" s="4" cm="1">
        <f t="array" ref="T8">INDEX(GMW!$A$2:$NF$60,MATCH(1,(GMW!$NE$2:$NE$60=T$3)*(GMW!$ND$2:$ND$60=T$4)*(GMW!$NF$2:$NF$60=T$1),0),$F8-1966)</f>
        <v>445</v>
      </c>
      <c r="U8" s="4" cm="1">
        <f t="array" ref="U8">INDEX(GMW!$A$2:$NF$60,MATCH(1,(GMW!$NE$2:$NE$60=U$3)*(GMW!$ND$2:$ND$60=U$4)*(GMW!$NF$2:$NF$60=U$1),0),$F8-1966)</f>
        <v>30962.35</v>
      </c>
      <c r="V8" s="4" cm="1">
        <f t="array" ref="V8">INDEX(GMW!$A$2:$NF$60,MATCH(1,(GMW!$NE$2:$NE$60=V$3)*(GMW!$ND$2:$ND$60=V$4)*(GMW!$NF$2:$NF$60=V$1),0),$F8-1966)</f>
        <v>1127.145</v>
      </c>
      <c r="W8" s="4" cm="1">
        <f t="array" ref="W8">INDEX(GMW!$A$2:$NF$60,MATCH(1,(GMW!$NE$2:$NE$60=W$3)*(GMW!$ND$2:$ND$60=W$4)*(GMW!$NF$2:$NF$60=W$1),0),$F8-1966)</f>
        <v>16431</v>
      </c>
      <c r="X8" s="4" cm="1">
        <f t="array" ref="X8">INDEX(GMW!$A$2:$NF$60,MATCH(1,(GMW!$NE$2:$NE$60=X$3)*(GMW!$ND$2:$ND$60=X$4)*(GMW!$NF$2:$NF$60=X$1),0),$F8-1966)</f>
        <v>83.725650000000002</v>
      </c>
      <c r="Y8" s="4" cm="1">
        <f t="array" ref="Y8">INDEX(GMW!$A$2:$NF$60,MATCH(1,(GMW!$NE$2:$NE$60=Y$3)*(GMW!$ND$2:$ND$60=Y$4)*(GMW!$NF$2:$NF$60=Y$1),0),$F8-1966)</f>
        <v>54.872500000000002</v>
      </c>
      <c r="Z8" s="4" cm="1">
        <f t="array" ref="Z8">INDEX(GMW!$A$2:$NF$60,MATCH(1,(GMW!$NE$2:$NE$60=Z$3)*(GMW!$ND$2:$ND$60=Z$4)*(GMW!$NF$2:$NF$60=Z$1),0),$F8-1966)</f>
        <v>31.342300000000002</v>
      </c>
      <c r="AA8" s="4" cm="1">
        <f t="array" ref="AA8">INDEX(GMW!$A$2:$NF$60,MATCH(1,(GMW!$NE$2:$NE$60=AA$3)*(GMW!$ND$2:$ND$60=AA$4)*(GMW!$NF$2:$NF$60=AA$1),0),$F8-1966)</f>
        <v>63292</v>
      </c>
      <c r="AB8" s="4" cm="1">
        <f t="array" ref="AB8">INDEX(GMW!$A$2:$NF$60,MATCH(1,(GMW!$NE$2:$NE$60=AB$3)*(GMW!$ND$2:$ND$60=AB$4)*(GMW!$NF$2:$NF$60=AB$1),0),$F8-1966)</f>
        <v>19874</v>
      </c>
      <c r="AC8" s="4" cm="1">
        <f t="array" ref="AC8">INDEX(GMW!$A$2:$NF$60,MATCH(1,(GMW!$NE$2:$NE$60=AC$3)*(GMW!$ND$2:$ND$60=AC$4)*(GMW!$NF$2:$NF$60=AC$1),0),$F8-1966)</f>
        <v>353.47500000000002</v>
      </c>
      <c r="AD8" s="4" cm="1">
        <f t="array" ref="AD8">INDEX(GMW!$A$2:$NF$60,MATCH(1,(GMW!$NE$2:$NE$60=AD$3)*(GMW!$ND$2:$ND$60=AD$4)*(GMW!$NF$2:$NF$60=AD$1),0),$F8-1966)</f>
        <v>28157.05</v>
      </c>
      <c r="AE8" s="4" cm="1">
        <f t="array" ref="AE8">INDEX(GMW!$A$2:$NF$60,MATCH(1,(GMW!$NE$2:$NE$60=AE$3)*(GMW!$ND$2:$ND$60=AE$4)*(GMW!$NF$2:$NF$60=AE$1),0),$F8-1966)</f>
        <v>136.90799999999999</v>
      </c>
      <c r="AF8" s="4" cm="1">
        <f t="array" ref="AF8">INDEX(GMW!$A$2:$NF$60,MATCH(1,(GMW!$NE$2:$NE$60=AF$3)*(GMW!$ND$2:$ND$60=AF$4)*(GMW!$NF$2:$NF$60=AF$1),0),$F8-1966)</f>
        <v>43.317</v>
      </c>
      <c r="AG8" s="4" cm="1">
        <f t="array" ref="AG8">INDEX(GMW!$A$2:$NF$60,MATCH(1,(GMW!$NE$2:$NE$60=AG$3)*(GMW!$ND$2:$ND$60=AG$4)*(GMW!$NF$2:$NF$60=AG$1),0),$F8-1966)</f>
        <v>13.009</v>
      </c>
      <c r="AH8" s="4" cm="1">
        <f t="array" ref="AH8">INDEX(GMW!$A$2:$NF$60,MATCH(1,(GMW!$NE$2:$NE$60=AH$3)*(GMW!$ND$2:$ND$60=AH$4)*(GMW!$NF$2:$NF$60=AH$1),0),$F8-1966)</f>
        <v>32510</v>
      </c>
    </row>
    <row r="9" spans="1:34" x14ac:dyDescent="0.25">
      <c r="B9" s="4">
        <v>1973</v>
      </c>
      <c r="C9" s="4">
        <v>1973</v>
      </c>
      <c r="F9" s="4">
        <f t="shared" ref="F9:F47" si="4">+F8+1</f>
        <v>1975</v>
      </c>
      <c r="G9" s="4" cm="1">
        <f t="array" ref="G9">INDEX(GMW!$A$2:$NF$60,MATCH(1,(GMW!$NE$2:$NE$60=G$3)*(GMW!$ND$2:$ND$60=G$4)*(GMW!$NF$2:$NF$60=G$1),0),$F9-1966)</f>
        <v>246082</v>
      </c>
      <c r="H9" s="4" cm="1">
        <f t="array" ref="H9">INDEX(GMW!$A$2:$NF$60,MATCH(1,(GMW!$NE$2:$NE$60=H$3)*(GMW!$ND$2:$ND$60=H$4)*(GMW!$NF$2:$NF$60=H$1),0),$F9-1966)</f>
        <v>1523.075</v>
      </c>
      <c r="I9" s="4" cm="1">
        <f t="array" ref="I9">INDEX(GMW!$A$2:$NF$60,MATCH(1,(GMW!$NE$2:$NE$60=I$3)*(GMW!$ND$2:$ND$60=I$4)*(GMW!$NF$2:$NF$60=I$1),0),$F9-1966)</f>
        <v>52875.77</v>
      </c>
      <c r="J9" s="4" cm="1">
        <f t="array" ref="J9">INDEX(GMW!$A$2:$NF$60,MATCH(1,(GMW!$NE$2:$NE$60=J$3)*(GMW!$ND$2:$ND$60=J$4)*(GMW!$NF$2:$NF$60=J$1),0),$F9-1966)</f>
        <v>390.14</v>
      </c>
      <c r="K9" s="4" cm="1">
        <f t="array" ref="K9">INDEX(GMW!$A$2:$NF$60,MATCH(1,(GMW!$NE$2:$NE$60=K$3)*(GMW!$ND$2:$ND$60=K$4)*(GMW!$NF$2:$NF$60=K$1),0),$F9-1966)</f>
        <v>251.887</v>
      </c>
      <c r="L9" s="4" cm="1">
        <f t="array" ref="L9">INDEX(GMW!$A$2:$NF$60,MATCH(1,(GMW!$NE$2:$NE$60=L$3)*(GMW!$ND$2:$ND$60=L$4)*(GMW!$NF$2:$NF$60=L$1),0),$F9-1966)</f>
        <v>237.02080000000001</v>
      </c>
      <c r="M9" s="4" cm="1">
        <f t="array" ref="M9">INDEX(GMW!$A$2:$NF$60,MATCH(1,(GMW!$NE$2:$NE$60=M$3)*(GMW!$ND$2:$ND$60=M$4)*(GMW!$NF$2:$NF$60=M$1),0),$F9-1966)</f>
        <v>176800.8</v>
      </c>
      <c r="N9" s="4" cm="1">
        <f t="array" ref="N9">INDEX(GMW!$A$2:$NF$60,MATCH(1,(GMW!$NE$2:$NE$60=N$3)*(GMW!$ND$2:$ND$60=N$4)*(GMW!$NF$2:$NF$60=N$1),0),$F9-1966)</f>
        <v>-676</v>
      </c>
      <c r="O9" s="4" cm="1">
        <f t="array" ref="O9">INDEX(GMW!$A$2:$NF$60,MATCH(1,(GMW!$NE$2:$NE$60=O$3)*(GMW!$ND$2:$ND$60=O$4)*(GMW!$NF$2:$NF$60=O$1),0),$F9-1966)</f>
        <v>-10.911250000000001</v>
      </c>
      <c r="P9" s="4" cm="1">
        <f t="array" ref="P9">INDEX(GMW!$A$2:$NF$60,MATCH(1,(GMW!$NE$2:$NE$60=P$3)*(GMW!$ND$2:$ND$60=P$4)*(GMW!$NF$2:$NF$60=P$1),0),$F9-1966)</f>
        <v>-394.75</v>
      </c>
      <c r="Q9" s="4" cm="1">
        <f t="array" ref="Q9">INDEX(GMW!$A$2:$NF$60,MATCH(1,(GMW!$NE$2:$NE$60=Q$3)*(GMW!$ND$2:$ND$60=Q$4)*(GMW!$NF$2:$NF$60=Q$1),0),$F9-1966)</f>
        <v>-5.7613820000000002</v>
      </c>
      <c r="R9" s="4" cm="1">
        <f t="array" ref="R9">INDEX(GMW!$A$2:$NF$60,MATCH(1,(GMW!$NE$2:$NE$60=R$3)*(GMW!$ND$2:$ND$60=R$4)*(GMW!$NF$2:$NF$60=R$1),0),$F9-1966)</f>
        <v>0.2068633</v>
      </c>
      <c r="S9" s="4" cm="1">
        <f t="array" ref="S9">INDEX(GMW!$A$2:$NF$60,MATCH(1,(GMW!$NE$2:$NE$60=S$3)*(GMW!$ND$2:$ND$60=S$4)*(GMW!$NF$2:$NF$60=S$1),0),$F9-1966)</f>
        <v>-0.83225950000000004</v>
      </c>
      <c r="T9" s="4" cm="1">
        <f t="array" ref="T9">INDEX(GMW!$A$2:$NF$60,MATCH(1,(GMW!$NE$2:$NE$60=T$3)*(GMW!$ND$2:$ND$60=T$4)*(GMW!$NF$2:$NF$60=T$1),0),$F9-1966)</f>
        <v>247</v>
      </c>
      <c r="U9" s="4" cm="1">
        <f t="array" ref="U9">INDEX(GMW!$A$2:$NF$60,MATCH(1,(GMW!$NE$2:$NE$60=U$3)*(GMW!$ND$2:$ND$60=U$4)*(GMW!$NF$2:$NF$60=U$1),0),$F9-1966)</f>
        <v>32965.82</v>
      </c>
      <c r="V9" s="4" cm="1">
        <f t="array" ref="V9">INDEX(GMW!$A$2:$NF$60,MATCH(1,(GMW!$NE$2:$NE$60=V$3)*(GMW!$ND$2:$ND$60=V$4)*(GMW!$NF$2:$NF$60=V$1),0),$F9-1966)</f>
        <v>1135.6079999999999</v>
      </c>
      <c r="W9" s="4" cm="1">
        <f t="array" ref="W9">INDEX(GMW!$A$2:$NF$60,MATCH(1,(GMW!$NE$2:$NE$60=W$3)*(GMW!$ND$2:$ND$60=W$4)*(GMW!$NF$2:$NF$60=W$1),0),$F9-1966)</f>
        <v>17117</v>
      </c>
      <c r="X9" s="4" cm="1">
        <f t="array" ref="X9">INDEX(GMW!$A$2:$NF$60,MATCH(1,(GMW!$NE$2:$NE$60=X$3)*(GMW!$ND$2:$ND$60=X$4)*(GMW!$NF$2:$NF$60=X$1),0),$F9-1966)</f>
        <v>86.269949999999994</v>
      </c>
      <c r="Y9" s="4" cm="1">
        <f t="array" ref="Y9">INDEX(GMW!$A$2:$NF$60,MATCH(1,(GMW!$NE$2:$NE$60=Y$3)*(GMW!$ND$2:$ND$60=Y$4)*(GMW!$NF$2:$NF$60=Y$1),0),$F9-1966)</f>
        <v>56.008780000000002</v>
      </c>
      <c r="Z9" s="4" cm="1">
        <f t="array" ref="Z9">INDEX(GMW!$A$2:$NF$60,MATCH(1,(GMW!$NE$2:$NE$60=Z$3)*(GMW!$ND$2:$ND$60=Z$4)*(GMW!$NF$2:$NF$60=Z$1),0),$F9-1966)</f>
        <v>34.38532</v>
      </c>
      <c r="AA9" s="4" cm="1">
        <f t="array" ref="AA9">INDEX(GMW!$A$2:$NF$60,MATCH(1,(GMW!$NE$2:$NE$60=AA$3)*(GMW!$ND$2:$ND$60=AA$4)*(GMW!$NF$2:$NF$60=AA$1),0),$F9-1966)</f>
        <v>64108</v>
      </c>
      <c r="AB9" s="4" cm="1">
        <f t="array" ref="AB9">INDEX(GMW!$A$2:$NF$60,MATCH(1,(GMW!$NE$2:$NE$60=AB$3)*(GMW!$ND$2:$ND$60=AB$4)*(GMW!$NF$2:$NF$60=AB$1),0),$F9-1966)</f>
        <v>20558</v>
      </c>
      <c r="AC9" s="4" cm="1">
        <f t="array" ref="AC9">INDEX(GMW!$A$2:$NF$60,MATCH(1,(GMW!$NE$2:$NE$60=AC$3)*(GMW!$ND$2:$ND$60=AC$4)*(GMW!$NF$2:$NF$60=AC$1),0),$F9-1966)</f>
        <v>358.45</v>
      </c>
      <c r="AD9" s="4" cm="1">
        <f t="array" ref="AD9">INDEX(GMW!$A$2:$NF$60,MATCH(1,(GMW!$NE$2:$NE$60=AD$3)*(GMW!$ND$2:$ND$60=AD$4)*(GMW!$NF$2:$NF$60=AD$1),0),$F9-1966)</f>
        <v>29238.7</v>
      </c>
      <c r="AE9" s="4" cm="1">
        <f t="array" ref="AE9">INDEX(GMW!$A$2:$NF$60,MATCH(1,(GMW!$NE$2:$NE$60=AE$3)*(GMW!$ND$2:$ND$60=AE$4)*(GMW!$NF$2:$NF$60=AE$1),0),$F9-1966)</f>
        <v>139.22890000000001</v>
      </c>
      <c r="AF9" s="4" cm="1">
        <f t="array" ref="AF9">INDEX(GMW!$A$2:$NF$60,MATCH(1,(GMW!$NE$2:$NE$60=AF$3)*(GMW!$ND$2:$ND$60=AF$4)*(GMW!$NF$2:$NF$60=AF$1),0),$F9-1966)</f>
        <v>45.154000000000003</v>
      </c>
      <c r="AG9" s="4" cm="1">
        <f t="array" ref="AG9">INDEX(GMW!$A$2:$NF$60,MATCH(1,(GMW!$NE$2:$NE$60=AG$3)*(GMW!$ND$2:$ND$60=AG$4)*(GMW!$NF$2:$NF$60=AG$1),0),$F9-1966)</f>
        <v>13.872</v>
      </c>
      <c r="AH9" s="4" cm="1">
        <f t="array" ref="AH9">INDEX(GMW!$A$2:$NF$60,MATCH(1,(GMW!$NE$2:$NE$60=AH$3)*(GMW!$ND$2:$ND$60=AH$4)*(GMW!$NF$2:$NF$60=AH$1),0),$F9-1966)</f>
        <v>33631</v>
      </c>
    </row>
    <row r="10" spans="1:34" x14ac:dyDescent="0.25">
      <c r="B10" s="4">
        <v>1973</v>
      </c>
      <c r="C10" s="4">
        <v>1973</v>
      </c>
      <c r="E10" s="4">
        <v>1973</v>
      </c>
      <c r="F10" s="4">
        <f t="shared" si="4"/>
        <v>1976</v>
      </c>
      <c r="G10" s="4" cm="1">
        <f t="array" ref="G10">INDEX(GMW!$A$2:$NF$60,MATCH(1,(GMW!$NE$2:$NE$60=G$3)*(GMW!$ND$2:$ND$60=G$4)*(GMW!$NF$2:$NF$60=G$1),0),$F10-1966)</f>
        <v>245140</v>
      </c>
      <c r="H10" s="4" cm="1">
        <f t="array" ref="H10">INDEX(GMW!$A$2:$NF$60,MATCH(1,(GMW!$NE$2:$NE$60=H$3)*(GMW!$ND$2:$ND$60=H$4)*(GMW!$NF$2:$NF$60=H$1),0),$F10-1966)</f>
        <v>1537.5250000000001</v>
      </c>
      <c r="I10" s="4" cm="1">
        <f t="array" ref="I10">INDEX(GMW!$A$2:$NF$60,MATCH(1,(GMW!$NE$2:$NE$60=I$3)*(GMW!$ND$2:$ND$60=I$4)*(GMW!$NF$2:$NF$60=I$1),0),$F10-1966)</f>
        <v>53539.66</v>
      </c>
      <c r="J10" s="4" cm="1">
        <f t="array" ref="J10">INDEX(GMW!$A$2:$NF$60,MATCH(1,(GMW!$NE$2:$NE$60=J$3)*(GMW!$ND$2:$ND$60=J$4)*(GMW!$NF$2:$NF$60=J$1),0),$F10-1966)</f>
        <v>391.12</v>
      </c>
      <c r="K10" s="4" cm="1">
        <f t="array" ref="K10">INDEX(GMW!$A$2:$NF$60,MATCH(1,(GMW!$NE$2:$NE$60=K$3)*(GMW!$ND$2:$ND$60=K$4)*(GMW!$NF$2:$NF$60=K$1),0),$F10-1966)</f>
        <v>254.935</v>
      </c>
      <c r="L10" s="4" cm="1">
        <f t="array" ref="L10">INDEX(GMW!$A$2:$NF$60,MATCH(1,(GMW!$NE$2:$NE$60=L$3)*(GMW!$ND$2:$ND$60=L$4)*(GMW!$NF$2:$NF$60=L$1),0),$F10-1966)</f>
        <v>242.81</v>
      </c>
      <c r="M10" s="4" cm="1">
        <f t="array" ref="M10">INDEX(GMW!$A$2:$NF$60,MATCH(1,(GMW!$NE$2:$NE$60=M$3)*(GMW!$ND$2:$ND$60=M$4)*(GMW!$NF$2:$NF$60=M$1),0),$F10-1966)</f>
        <v>180061.8</v>
      </c>
      <c r="N10" s="4" cm="1">
        <f t="array" ref="N10">INDEX(GMW!$A$2:$NF$60,MATCH(1,(GMW!$NE$2:$NE$60=N$3)*(GMW!$ND$2:$ND$60=N$4)*(GMW!$NF$2:$NF$60=N$1),0),$F10-1966)</f>
        <v>-724</v>
      </c>
      <c r="O10" s="4" cm="1">
        <f t="array" ref="O10">INDEX(GMW!$A$2:$NF$60,MATCH(1,(GMW!$NE$2:$NE$60=O$3)*(GMW!$ND$2:$ND$60=O$4)*(GMW!$NF$2:$NF$60=O$1),0),$F10-1966)</f>
        <v>-10.439</v>
      </c>
      <c r="P10" s="4" cm="1">
        <f t="array" ref="P10">INDEX(GMW!$A$2:$NF$60,MATCH(1,(GMW!$NE$2:$NE$60=P$3)*(GMW!$ND$2:$ND$60=P$4)*(GMW!$NF$2:$NF$60=P$1),0),$F10-1966)</f>
        <v>-578</v>
      </c>
      <c r="Q10" s="4" cm="1">
        <f t="array" ref="Q10">INDEX(GMW!$A$2:$NF$60,MATCH(1,(GMW!$NE$2:$NE$60=Q$3)*(GMW!$ND$2:$ND$60=Q$4)*(GMW!$NF$2:$NF$60=Q$1),0),$F10-1966)</f>
        <v>-5.7613820000000002</v>
      </c>
      <c r="R10" s="4" cm="1">
        <f t="array" ref="R10">INDEX(GMW!$A$2:$NF$60,MATCH(1,(GMW!$NE$2:$NE$60=R$3)*(GMW!$ND$2:$ND$60=R$4)*(GMW!$NF$2:$NF$60=R$1),0),$F10-1966)</f>
        <v>0.17894930000000001</v>
      </c>
      <c r="S10" s="4" cm="1">
        <f t="array" ref="S10">INDEX(GMW!$A$2:$NF$60,MATCH(1,(GMW!$NE$2:$NE$60=S$3)*(GMW!$ND$2:$ND$60=S$4)*(GMW!$NF$2:$NF$60=S$1),0),$F10-1966)</f>
        <v>-0.83356909999999995</v>
      </c>
      <c r="T10" s="4" cm="1">
        <f t="array" ref="T10">INDEX(GMW!$A$2:$NF$60,MATCH(1,(GMW!$NE$2:$NE$60=T$3)*(GMW!$ND$2:$ND$60=T$4)*(GMW!$NF$2:$NF$60=T$1),0),$F10-1966)</f>
        <v>510</v>
      </c>
      <c r="U10" s="4" cm="1">
        <f t="array" ref="U10">INDEX(GMW!$A$2:$NF$60,MATCH(1,(GMW!$NE$2:$NE$60=U$3)*(GMW!$ND$2:$ND$60=U$4)*(GMW!$NF$2:$NF$60=U$1),0),$F10-1966)</f>
        <v>35969.43</v>
      </c>
      <c r="V10" s="4" cm="1">
        <f t="array" ref="V10">INDEX(GMW!$A$2:$NF$60,MATCH(1,(GMW!$NE$2:$NE$60=V$3)*(GMW!$ND$2:$ND$60=V$4)*(GMW!$NF$2:$NF$60=V$1),0),$F10-1966)</f>
        <v>1158.847</v>
      </c>
      <c r="W10" s="4" cm="1">
        <f t="array" ref="W10">INDEX(GMW!$A$2:$NF$60,MATCH(1,(GMW!$NE$2:$NE$60=W$3)*(GMW!$ND$2:$ND$60=W$4)*(GMW!$NF$2:$NF$60=W$1),0),$F10-1966)</f>
        <v>17803</v>
      </c>
      <c r="X10" s="4" cm="1">
        <f t="array" ref="X10">INDEX(GMW!$A$2:$NF$60,MATCH(1,(GMW!$NE$2:$NE$60=X$3)*(GMW!$ND$2:$ND$60=X$4)*(GMW!$NF$2:$NF$60=X$1),0),$F10-1966)</f>
        <v>89.06523</v>
      </c>
      <c r="Y10" s="4" cm="1">
        <f t="array" ref="Y10">INDEX(GMW!$A$2:$NF$60,MATCH(1,(GMW!$NE$2:$NE$60=Y$3)*(GMW!$ND$2:$ND$60=Y$4)*(GMW!$NF$2:$NF$60=Y$1),0),$F10-1966)</f>
        <v>56.766300000000001</v>
      </c>
      <c r="Z10" s="4" cm="1">
        <f t="array" ref="Z10">INDEX(GMW!$A$2:$NF$60,MATCH(1,(GMW!$NE$2:$NE$60=Z$3)*(GMW!$ND$2:$ND$60=Z$4)*(GMW!$NF$2:$NF$60=Z$1),0),$F10-1966)</f>
        <v>36.414000000000001</v>
      </c>
      <c r="AA10" s="4" cm="1">
        <f t="array" ref="AA10">INDEX(GMW!$A$2:$NF$60,MATCH(1,(GMW!$NE$2:$NE$60=AA$3)*(GMW!$ND$2:$ND$60=AA$4)*(GMW!$NF$2:$NF$60=AA$1),0),$F10-1966)</f>
        <v>64923</v>
      </c>
      <c r="AB10" s="4" cm="1">
        <f t="array" ref="AB10">INDEX(GMW!$A$2:$NF$60,MATCH(1,(GMW!$NE$2:$NE$60=AB$3)*(GMW!$ND$2:$ND$60=AB$4)*(GMW!$NF$2:$NF$60=AB$1),0),$F10-1966)</f>
        <v>21315</v>
      </c>
      <c r="AC10" s="4" cm="1">
        <f t="array" ref="AC10">INDEX(GMW!$A$2:$NF$60,MATCH(1,(GMW!$NE$2:$NE$60=AC$3)*(GMW!$ND$2:$ND$60=AC$4)*(GMW!$NF$2:$NF$60=AC$1),0),$F10-1966)</f>
        <v>369.07499999999999</v>
      </c>
      <c r="AD10" s="4" cm="1">
        <f t="array" ref="AD10">INDEX(GMW!$A$2:$NF$60,MATCH(1,(GMW!$NE$2:$NE$60=AD$3)*(GMW!$ND$2:$ND$60=AD$4)*(GMW!$NF$2:$NF$60=AD$1),0),$F10-1966)</f>
        <v>31016.400000000001</v>
      </c>
      <c r="AE10" s="4" cm="1">
        <f t="array" ref="AE10">INDEX(GMW!$A$2:$NF$60,MATCH(1,(GMW!$NE$2:$NE$60=AE$3)*(GMW!$ND$2:$ND$60=AE$4)*(GMW!$NF$2:$NF$60=AE$1),0),$F10-1966)</f>
        <v>142.09970000000001</v>
      </c>
      <c r="AF10" s="4" cm="1">
        <f t="array" ref="AF10">INDEX(GMW!$A$2:$NF$60,MATCH(1,(GMW!$NE$2:$NE$60=AF$3)*(GMW!$ND$2:$ND$60=AF$4)*(GMW!$NF$2:$NF$60=AF$1),0),$F10-1966)</f>
        <v>47.485999999999997</v>
      </c>
      <c r="AG10" s="4" cm="1">
        <f t="array" ref="AG10">INDEX(GMW!$A$2:$NF$60,MATCH(1,(GMW!$NE$2:$NE$60=AG$3)*(GMW!$ND$2:$ND$60=AG$4)*(GMW!$NF$2:$NF$60=AG$1),0),$F10-1966)</f>
        <v>14.297000000000001</v>
      </c>
      <c r="AH10" s="4" cm="1">
        <f t="array" ref="AH10">INDEX(GMW!$A$2:$NF$60,MATCH(1,(GMW!$NE$2:$NE$60=AH$3)*(GMW!$ND$2:$ND$60=AH$4)*(GMW!$NF$2:$NF$60=AH$1),0),$F10-1966)</f>
        <v>35636</v>
      </c>
    </row>
    <row r="11" spans="1:34" x14ac:dyDescent="0.25">
      <c r="A11" s="4">
        <v>1974</v>
      </c>
      <c r="B11" s="4">
        <f>+B7+1</f>
        <v>1974</v>
      </c>
      <c r="C11" s="4">
        <v>1973</v>
      </c>
      <c r="D11" s="4">
        <v>1973</v>
      </c>
      <c r="F11" s="4">
        <f t="shared" si="4"/>
        <v>1977</v>
      </c>
      <c r="G11" s="4" cm="1">
        <f t="array" ref="G11">INDEX(GMW!$A$2:$NF$60,MATCH(1,(GMW!$NE$2:$NE$60=G$3)*(GMW!$ND$2:$ND$60=G$4)*(GMW!$NF$2:$NF$60=G$1),0),$F11-1966)</f>
        <v>238319</v>
      </c>
      <c r="H11" s="4" cm="1">
        <f t="array" ref="H11">INDEX(GMW!$A$2:$NF$60,MATCH(1,(GMW!$NE$2:$NE$60=H$3)*(GMW!$ND$2:$ND$60=H$4)*(GMW!$NF$2:$NF$60=H$1),0),$F11-1966)</f>
        <v>1524.325</v>
      </c>
      <c r="I11" s="4" cm="1">
        <f t="array" ref="I11">INDEX(GMW!$A$2:$NF$60,MATCH(1,(GMW!$NE$2:$NE$60=I$3)*(GMW!$ND$2:$ND$60=I$4)*(GMW!$NF$2:$NF$60=I$1),0),$F11-1966)</f>
        <v>51759.14</v>
      </c>
      <c r="J11" s="4" cm="1">
        <f t="array" ref="J11">INDEX(GMW!$A$2:$NF$60,MATCH(1,(GMW!$NE$2:$NE$60=J$3)*(GMW!$ND$2:$ND$60=J$4)*(GMW!$NF$2:$NF$60=J$1),0),$F11-1966)</f>
        <v>394.27</v>
      </c>
      <c r="K11" s="4" cm="1">
        <f t="array" ref="K11">INDEX(GMW!$A$2:$NF$60,MATCH(1,(GMW!$NE$2:$NE$60=K$3)*(GMW!$ND$2:$ND$60=K$4)*(GMW!$NF$2:$NF$60=K$1),0),$F11-1966)</f>
        <v>259.11799999999999</v>
      </c>
      <c r="L11" s="4" cm="1">
        <f t="array" ref="L11">INDEX(GMW!$A$2:$NF$60,MATCH(1,(GMW!$NE$2:$NE$60=L$3)*(GMW!$ND$2:$ND$60=L$4)*(GMW!$NF$2:$NF$60=L$1),0),$F11-1966)</f>
        <v>244.77850000000001</v>
      </c>
      <c r="M11" s="4" cm="1">
        <f t="array" ref="M11">INDEX(GMW!$A$2:$NF$60,MATCH(1,(GMW!$NE$2:$NE$60=M$3)*(GMW!$ND$2:$ND$60=M$4)*(GMW!$NF$2:$NF$60=M$1),0),$F11-1966)</f>
        <v>181552</v>
      </c>
      <c r="N11" s="4" cm="1">
        <f t="array" ref="N11">INDEX(GMW!$A$2:$NF$60,MATCH(1,(GMW!$NE$2:$NE$60=N$3)*(GMW!$ND$2:$ND$60=N$4)*(GMW!$NF$2:$NF$60=N$1),0),$F11-1966)</f>
        <v>-788</v>
      </c>
      <c r="O11" s="4" cm="1">
        <f t="array" ref="O11">INDEX(GMW!$A$2:$NF$60,MATCH(1,(GMW!$NE$2:$NE$60=O$3)*(GMW!$ND$2:$ND$60=O$4)*(GMW!$NF$2:$NF$60=O$1),0),$F11-1966)</f>
        <v>-12.25375</v>
      </c>
      <c r="P11" s="4" cm="1">
        <f t="array" ref="P11">INDEX(GMW!$A$2:$NF$60,MATCH(1,(GMW!$NE$2:$NE$60=P$3)*(GMW!$ND$2:$ND$60=P$4)*(GMW!$NF$2:$NF$60=P$1),0),$F11-1966)</f>
        <v>168.75</v>
      </c>
      <c r="Q11" s="4" cm="1">
        <f t="array" ref="Q11">INDEX(GMW!$A$2:$NF$60,MATCH(1,(GMW!$NE$2:$NE$60=Q$3)*(GMW!$ND$2:$ND$60=Q$4)*(GMW!$NF$2:$NF$60=Q$1),0),$F11-1966)</f>
        <v>-5.7613820000000002</v>
      </c>
      <c r="R11" s="4" cm="1">
        <f t="array" ref="R11">INDEX(GMW!$A$2:$NF$60,MATCH(1,(GMW!$NE$2:$NE$60=R$3)*(GMW!$ND$2:$ND$60=R$4)*(GMW!$NF$2:$NF$60=R$1),0),$F11-1966)</f>
        <v>0.2445668</v>
      </c>
      <c r="S11" s="4" cm="1">
        <f t="array" ref="S11">INDEX(GMW!$A$2:$NF$60,MATCH(1,(GMW!$NE$2:$NE$60=S$3)*(GMW!$ND$2:$ND$60=S$4)*(GMW!$NF$2:$NF$60=S$1),0),$F11-1966)</f>
        <v>-0.8187702</v>
      </c>
      <c r="T11" s="4" cm="1">
        <f t="array" ref="T11">INDEX(GMW!$A$2:$NF$60,MATCH(1,(GMW!$NE$2:$NE$60=T$3)*(GMW!$ND$2:$ND$60=T$4)*(GMW!$NF$2:$NF$60=T$1),0),$F11-1966)</f>
        <v>691</v>
      </c>
      <c r="U11" s="4" cm="1">
        <f t="array" ref="U11">INDEX(GMW!$A$2:$NF$60,MATCH(1,(GMW!$NE$2:$NE$60=U$3)*(GMW!$ND$2:$ND$60=U$4)*(GMW!$NF$2:$NF$60=U$1),0),$F11-1966)</f>
        <v>38396.720000000001</v>
      </c>
      <c r="V11" s="4" cm="1">
        <f t="array" ref="V11">INDEX(GMW!$A$2:$NF$60,MATCH(1,(GMW!$NE$2:$NE$60=V$3)*(GMW!$ND$2:$ND$60=V$4)*(GMW!$NF$2:$NF$60=V$1),0),$F11-1966)</f>
        <v>1180.1300000000001</v>
      </c>
      <c r="W11" s="4" cm="1">
        <f t="array" ref="W11">INDEX(GMW!$A$2:$NF$60,MATCH(1,(GMW!$NE$2:$NE$60=W$3)*(GMW!$ND$2:$ND$60=W$4)*(GMW!$NF$2:$NF$60=W$1),0),$F11-1966)</f>
        <v>17485</v>
      </c>
      <c r="X11" s="4" cm="1">
        <f t="array" ref="X11">INDEX(GMW!$A$2:$NF$60,MATCH(1,(GMW!$NE$2:$NE$60=X$3)*(GMW!$ND$2:$ND$60=X$4)*(GMW!$NF$2:$NF$60=X$1),0),$F11-1966)</f>
        <v>90.068200000000004</v>
      </c>
      <c r="Y11" s="4" cm="1">
        <f t="array" ref="Y11">INDEX(GMW!$A$2:$NF$60,MATCH(1,(GMW!$NE$2:$NE$60=Y$3)*(GMW!$ND$2:$ND$60=Y$4)*(GMW!$NF$2:$NF$60=Y$1),0),$F11-1966)</f>
        <v>58.048589999999997</v>
      </c>
      <c r="Z11" s="4" cm="1">
        <f t="array" ref="Z11">INDEX(GMW!$A$2:$NF$60,MATCH(1,(GMW!$NE$2:$NE$60=Z$3)*(GMW!$ND$2:$ND$60=Z$4)*(GMW!$NF$2:$NF$60=Z$1),0),$F11-1966)</f>
        <v>38.759250000000002</v>
      </c>
      <c r="AA11" s="4" cm="1">
        <f t="array" ref="AA11">INDEX(GMW!$A$2:$NF$60,MATCH(1,(GMW!$NE$2:$NE$60=AA$3)*(GMW!$ND$2:$ND$60=AA$4)*(GMW!$NF$2:$NF$60=AA$1),0),$F11-1966)</f>
        <v>67201</v>
      </c>
      <c r="AB11" s="4" cm="1">
        <f t="array" ref="AB11">INDEX(GMW!$A$2:$NF$60,MATCH(1,(GMW!$NE$2:$NE$60=AB$3)*(GMW!$ND$2:$ND$60=AB$4)*(GMW!$NF$2:$NF$60=AB$1),0),$F11-1966)</f>
        <v>21132</v>
      </c>
      <c r="AC11" s="4" cm="1">
        <f t="array" ref="AC11">INDEX(GMW!$A$2:$NF$60,MATCH(1,(GMW!$NE$2:$NE$60=AC$3)*(GMW!$ND$2:$ND$60=AC$4)*(GMW!$NF$2:$NF$60=AC$1),0),$F11-1966)</f>
        <v>372.8</v>
      </c>
      <c r="AD11" s="4" cm="1">
        <f t="array" ref="AD11">INDEX(GMW!$A$2:$NF$60,MATCH(1,(GMW!$NE$2:$NE$60=AD$3)*(GMW!$ND$2:$ND$60=AD$4)*(GMW!$NF$2:$NF$60=AD$1),0),$F11-1966)</f>
        <v>31753.63</v>
      </c>
      <c r="AE11" s="4" cm="1">
        <f t="array" ref="AE11">INDEX(GMW!$A$2:$NF$60,MATCH(1,(GMW!$NE$2:$NE$60=AE$3)*(GMW!$ND$2:$ND$60=AE$4)*(GMW!$NF$2:$NF$60=AE$1),0),$F11-1966)</f>
        <v>146.2244</v>
      </c>
      <c r="AF11" s="4" cm="1">
        <f t="array" ref="AF11">INDEX(GMW!$A$2:$NF$60,MATCH(1,(GMW!$NE$2:$NE$60=AF$3)*(GMW!$ND$2:$ND$60=AF$4)*(GMW!$NF$2:$NF$60=AF$1),0),$F11-1966)</f>
        <v>48.938000000000002</v>
      </c>
      <c r="AG11" s="4" cm="1">
        <f t="array" ref="AG11">INDEX(GMW!$A$2:$NF$60,MATCH(1,(GMW!$NE$2:$NE$60=AG$3)*(GMW!$ND$2:$ND$60=AG$4)*(GMW!$NF$2:$NF$60=AG$1),0),$F11-1966)</f>
        <v>15.444000000000001</v>
      </c>
      <c r="AH11" s="4" cm="1">
        <f t="array" ref="AH11">INDEX(GMW!$A$2:$NF$60,MATCH(1,(GMW!$NE$2:$NE$60=AH$3)*(GMW!$ND$2:$ND$60=AH$4)*(GMW!$NF$2:$NF$60=AH$1),0),$F11-1966)</f>
        <v>37325</v>
      </c>
    </row>
    <row r="12" spans="1:34" x14ac:dyDescent="0.25">
      <c r="B12" s="4">
        <f t="shared" ref="B12:D27" si="5">+B8+1</f>
        <v>1974</v>
      </c>
      <c r="C12" s="4">
        <f>+C8+1</f>
        <v>1974</v>
      </c>
      <c r="F12" s="4">
        <f t="shared" si="4"/>
        <v>1978</v>
      </c>
      <c r="G12" s="4" cm="1">
        <f t="array" ref="G12">INDEX(GMW!$A$2:$NF$60,MATCH(1,(GMW!$NE$2:$NE$60=G$3)*(GMW!$ND$2:$ND$60=G$4)*(GMW!$NF$2:$NF$60=G$1),0),$F12-1966)</f>
        <v>241752</v>
      </c>
      <c r="H12" s="4" cm="1">
        <f t="array" ref="H12">INDEX(GMW!$A$2:$NF$60,MATCH(1,(GMW!$NE$2:$NE$60=H$3)*(GMW!$ND$2:$ND$60=H$4)*(GMW!$NF$2:$NF$60=H$1),0),$F12-1966)</f>
        <v>1527.95</v>
      </c>
      <c r="I12" s="4" cm="1">
        <f t="array" ref="I12">INDEX(GMW!$A$2:$NF$60,MATCH(1,(GMW!$NE$2:$NE$60=I$3)*(GMW!$ND$2:$ND$60=I$4)*(GMW!$NF$2:$NF$60=I$1),0),$F12-1966)</f>
        <v>52134.51</v>
      </c>
      <c r="J12" s="4" cm="1">
        <f t="array" ref="J12">INDEX(GMW!$A$2:$NF$60,MATCH(1,(GMW!$NE$2:$NE$60=J$3)*(GMW!$ND$2:$ND$60=J$4)*(GMW!$NF$2:$NF$60=J$1),0),$F12-1966)</f>
        <v>393.93</v>
      </c>
      <c r="K12" s="4" cm="1">
        <f t="array" ref="K12">INDEX(GMW!$A$2:$NF$60,MATCH(1,(GMW!$NE$2:$NE$60=K$3)*(GMW!$ND$2:$ND$60=K$4)*(GMW!$NF$2:$NF$60=K$1),0),$F12-1966)</f>
        <v>260.94600000000003</v>
      </c>
      <c r="L12" s="4" cm="1">
        <f t="array" ref="L12">INDEX(GMW!$A$2:$NF$60,MATCH(1,(GMW!$NE$2:$NE$60=L$3)*(GMW!$ND$2:$ND$60=L$4)*(GMW!$NF$2:$NF$60=L$1),0),$F12-1966)</f>
        <v>247.1172</v>
      </c>
      <c r="M12" s="4" cm="1">
        <f t="array" ref="M12">INDEX(GMW!$A$2:$NF$60,MATCH(1,(GMW!$NE$2:$NE$60=M$3)*(GMW!$ND$2:$ND$60=M$4)*(GMW!$NF$2:$NF$60=M$1),0),$F12-1966)</f>
        <v>183414.3</v>
      </c>
      <c r="N12" s="4" cm="1">
        <f t="array" ref="N12">INDEX(GMW!$A$2:$NF$60,MATCH(1,(GMW!$NE$2:$NE$60=N$3)*(GMW!$ND$2:$ND$60=N$4)*(GMW!$NF$2:$NF$60=N$1),0),$F12-1966)</f>
        <v>-631</v>
      </c>
      <c r="O12" s="4" cm="1">
        <f t="array" ref="O12">INDEX(GMW!$A$2:$NF$60,MATCH(1,(GMW!$NE$2:$NE$60=O$3)*(GMW!$ND$2:$ND$60=O$4)*(GMW!$NF$2:$NF$60=O$1),0),$F12-1966)</f>
        <v>-14.067500000000001</v>
      </c>
      <c r="P12" s="4" cm="1">
        <f t="array" ref="P12">INDEX(GMW!$A$2:$NF$60,MATCH(1,(GMW!$NE$2:$NE$60=P$3)*(GMW!$ND$2:$ND$60=P$4)*(GMW!$NF$2:$NF$60=P$1),0),$F12-1966)</f>
        <v>-619.75</v>
      </c>
      <c r="Q12" s="4" cm="1">
        <f t="array" ref="Q12">INDEX(GMW!$A$2:$NF$60,MATCH(1,(GMW!$NE$2:$NE$60=Q$3)*(GMW!$ND$2:$ND$60=Q$4)*(GMW!$NF$2:$NF$60=Q$1),0),$F12-1966)</f>
        <v>-8.1658670000000004</v>
      </c>
      <c r="R12" s="4" cm="1">
        <f t="array" ref="R12">INDEX(GMW!$A$2:$NF$60,MATCH(1,(GMW!$NE$2:$NE$60=R$3)*(GMW!$ND$2:$ND$60=R$4)*(GMW!$NF$2:$NF$60=R$1),0),$F12-1966)</f>
        <v>0.31599579999999999</v>
      </c>
      <c r="S12" s="4" cm="1">
        <f t="array" ref="S12">INDEX(GMW!$A$2:$NF$60,MATCH(1,(GMW!$NE$2:$NE$60=S$3)*(GMW!$ND$2:$ND$60=S$4)*(GMW!$NF$2:$NF$60=S$1),0),$F12-1966)</f>
        <v>-0.89044140000000005</v>
      </c>
      <c r="T12" s="4" cm="1">
        <f t="array" ref="T12">INDEX(GMW!$A$2:$NF$60,MATCH(1,(GMW!$NE$2:$NE$60=T$3)*(GMW!$ND$2:$ND$60=T$4)*(GMW!$NF$2:$NF$60=T$1),0),$F12-1966)</f>
        <v>1280</v>
      </c>
      <c r="U12" s="4" cm="1">
        <f t="array" ref="U12">INDEX(GMW!$A$2:$NF$60,MATCH(1,(GMW!$NE$2:$NE$60=U$3)*(GMW!$ND$2:$ND$60=U$4)*(GMW!$NF$2:$NF$60=U$1),0),$F12-1966)</f>
        <v>40432.300000000003</v>
      </c>
      <c r="V12" s="4" cm="1">
        <f t="array" ref="V12">INDEX(GMW!$A$2:$NF$60,MATCH(1,(GMW!$NE$2:$NE$60=V$3)*(GMW!$ND$2:$ND$60=V$4)*(GMW!$NF$2:$NF$60=V$1),0),$F12-1966)</f>
        <v>1196.0619999999999</v>
      </c>
      <c r="W12" s="4" cm="1">
        <f t="array" ref="W12">INDEX(GMW!$A$2:$NF$60,MATCH(1,(GMW!$NE$2:$NE$60=W$3)*(GMW!$ND$2:$ND$60=W$4)*(GMW!$NF$2:$NF$60=W$1),0),$F12-1966)</f>
        <v>17168</v>
      </c>
      <c r="X12" s="4" cm="1">
        <f t="array" ref="X12">INDEX(GMW!$A$2:$NF$60,MATCH(1,(GMW!$NE$2:$NE$60=X$3)*(GMW!$ND$2:$ND$60=X$4)*(GMW!$NF$2:$NF$60=X$1),0),$F12-1966)</f>
        <v>91.012050000000002</v>
      </c>
      <c r="Y12" s="4" cm="1">
        <f t="array" ref="Y12">INDEX(GMW!$A$2:$NF$60,MATCH(1,(GMW!$NE$2:$NE$60=Y$3)*(GMW!$ND$2:$ND$60=Y$4)*(GMW!$NF$2:$NF$60=Y$1),0),$F12-1966)</f>
        <v>59.330880000000001</v>
      </c>
      <c r="Z12" s="4" cm="1">
        <f t="array" ref="Z12">INDEX(GMW!$A$2:$NF$60,MATCH(1,(GMW!$NE$2:$NE$60=Z$3)*(GMW!$ND$2:$ND$60=Z$4)*(GMW!$NF$2:$NF$60=Z$1),0),$F12-1966)</f>
        <v>41.104500000000002</v>
      </c>
      <c r="AA12" s="4" cm="1">
        <f t="array" ref="AA12">INDEX(GMW!$A$2:$NF$60,MATCH(1,(GMW!$NE$2:$NE$60=AA$3)*(GMW!$ND$2:$ND$60=AA$4)*(GMW!$NF$2:$NF$60=AA$1),0),$F12-1966)</f>
        <v>69479</v>
      </c>
      <c r="AB12" s="4" cm="1">
        <f t="array" ref="AB12">INDEX(GMW!$A$2:$NF$60,MATCH(1,(GMW!$NE$2:$NE$60=AB$3)*(GMW!$ND$2:$ND$60=AB$4)*(GMW!$NF$2:$NF$60=AB$1),0),$F12-1966)</f>
        <v>22651</v>
      </c>
      <c r="AC12" s="4" cm="1">
        <f t="array" ref="AC12">INDEX(GMW!$A$2:$NF$60,MATCH(1,(GMW!$NE$2:$NE$60=AC$3)*(GMW!$ND$2:$ND$60=AC$4)*(GMW!$NF$2:$NF$60=AC$1),0),$F12-1966)</f>
        <v>382.52499999999998</v>
      </c>
      <c r="AD12" s="4" cm="1">
        <f t="array" ref="AD12">INDEX(GMW!$A$2:$NF$60,MATCH(1,(GMW!$NE$2:$NE$60=AD$3)*(GMW!$ND$2:$ND$60=AD$4)*(GMW!$NF$2:$NF$60=AD$1),0),$F12-1966)</f>
        <v>33930.949999999997</v>
      </c>
      <c r="AE12" s="4" cm="1">
        <f t="array" ref="AE12">INDEX(GMW!$A$2:$NF$60,MATCH(1,(GMW!$NE$2:$NE$60=AE$3)*(GMW!$ND$2:$ND$60=AE$4)*(GMW!$NF$2:$NF$60=AE$1),0),$F12-1966)</f>
        <v>148.4573</v>
      </c>
      <c r="AF12" s="4" cm="1">
        <f t="array" ref="AF12">INDEX(GMW!$A$2:$NF$60,MATCH(1,(GMW!$NE$2:$NE$60=AF$3)*(GMW!$ND$2:$ND$60=AF$4)*(GMW!$NF$2:$NF$60=AF$1),0),$F12-1966)</f>
        <v>50.814999999999998</v>
      </c>
      <c r="AG12" s="4" cm="1">
        <f t="array" ref="AG12">INDEX(GMW!$A$2:$NF$60,MATCH(1,(GMW!$NE$2:$NE$60=AG$3)*(GMW!$ND$2:$ND$60=AG$4)*(GMW!$NF$2:$NF$60=AG$1),0),$F12-1966)</f>
        <v>16.495000000000001</v>
      </c>
      <c r="AH12" s="4" cm="1">
        <f t="array" ref="AH12">INDEX(GMW!$A$2:$NF$60,MATCH(1,(GMW!$NE$2:$NE$60=AH$3)*(GMW!$ND$2:$ND$60=AH$4)*(GMW!$NF$2:$NF$60=AH$1),0),$F12-1966)</f>
        <v>38990</v>
      </c>
    </row>
    <row r="13" spans="1:34" x14ac:dyDescent="0.25">
      <c r="B13" s="4">
        <f t="shared" si="5"/>
        <v>1974</v>
      </c>
      <c r="C13" s="4">
        <f t="shared" si="5"/>
        <v>1974</v>
      </c>
      <c r="F13" s="4">
        <f t="shared" si="4"/>
        <v>1979</v>
      </c>
      <c r="G13" s="4" cm="1">
        <f t="array" ref="G13">INDEX(GMW!$A$2:$NF$60,MATCH(1,(GMW!$NE$2:$NE$60=G$3)*(GMW!$ND$2:$ND$60=G$4)*(GMW!$NF$2:$NF$60=G$1),0),$F13-1966)</f>
        <v>243197</v>
      </c>
      <c r="H13" s="4" cm="1">
        <f t="array" ref="H13">INDEX(GMW!$A$2:$NF$60,MATCH(1,(GMW!$NE$2:$NE$60=H$3)*(GMW!$ND$2:$ND$60=H$4)*(GMW!$NF$2:$NF$60=H$1),0),$F13-1966)</f>
        <v>1513.5</v>
      </c>
      <c r="I13" s="4" cm="1">
        <f t="array" ref="I13">INDEX(GMW!$A$2:$NF$60,MATCH(1,(GMW!$NE$2:$NE$60=I$3)*(GMW!$ND$2:$ND$60=I$4)*(GMW!$NF$2:$NF$60=I$1),0),$F13-1966)</f>
        <v>52810.48</v>
      </c>
      <c r="J13" s="4" cm="1">
        <f t="array" ref="J13">INDEX(GMW!$A$2:$NF$60,MATCH(1,(GMW!$NE$2:$NE$60=J$3)*(GMW!$ND$2:$ND$60=J$4)*(GMW!$NF$2:$NF$60=J$1),0),$F13-1966)</f>
        <v>394.09</v>
      </c>
      <c r="K13" s="4" cm="1">
        <f t="array" ref="K13">INDEX(GMW!$A$2:$NF$60,MATCH(1,(GMW!$NE$2:$NE$60=K$3)*(GMW!$ND$2:$ND$60=K$4)*(GMW!$NF$2:$NF$60=K$1),0),$F13-1966)</f>
        <v>263.84100000000001</v>
      </c>
      <c r="L13" s="4" cm="1">
        <f t="array" ref="L13">INDEX(GMW!$A$2:$NF$60,MATCH(1,(GMW!$NE$2:$NE$60=L$3)*(GMW!$ND$2:$ND$60=L$4)*(GMW!$NF$2:$NF$60=L$1),0),$F13-1966)</f>
        <v>247.5283</v>
      </c>
      <c r="M13" s="4" cm="1">
        <f t="array" ref="M13">INDEX(GMW!$A$2:$NF$60,MATCH(1,(GMW!$NE$2:$NE$60=M$3)*(GMW!$ND$2:$ND$60=M$4)*(GMW!$NF$2:$NF$60=M$1),0),$F13-1966)</f>
        <v>183449.5</v>
      </c>
      <c r="N13" s="4" cm="1">
        <f t="array" ref="N13">INDEX(GMW!$A$2:$NF$60,MATCH(1,(GMW!$NE$2:$NE$60=N$3)*(GMW!$ND$2:$ND$60=N$4)*(GMW!$NF$2:$NF$60=N$1),0),$F13-1966)</f>
        <v>-1345</v>
      </c>
      <c r="O13" s="4" cm="1">
        <f t="array" ref="O13">INDEX(GMW!$A$2:$NF$60,MATCH(1,(GMW!$NE$2:$NE$60=O$3)*(GMW!$ND$2:$ND$60=O$4)*(GMW!$NF$2:$NF$60=O$1),0),$F13-1966)</f>
        <v>-13.9215</v>
      </c>
      <c r="P13" s="4" cm="1">
        <f t="array" ref="P13">INDEX(GMW!$A$2:$NF$60,MATCH(1,(GMW!$NE$2:$NE$60=P$3)*(GMW!$ND$2:$ND$60=P$4)*(GMW!$NF$2:$NF$60=P$1),0),$F13-1966)</f>
        <v>-620.75</v>
      </c>
      <c r="Q13" s="4" cm="1">
        <f t="array" ref="Q13">INDEX(GMW!$A$2:$NF$60,MATCH(1,(GMW!$NE$2:$NE$60=Q$3)*(GMW!$ND$2:$ND$60=Q$4)*(GMW!$NF$2:$NF$60=Q$1),0),$F13-1966)</f>
        <v>-9.9428029999999996</v>
      </c>
      <c r="R13" s="4" cm="1">
        <f t="array" ref="R13">INDEX(GMW!$A$2:$NF$60,MATCH(1,(GMW!$NE$2:$NE$60=R$3)*(GMW!$ND$2:$ND$60=R$4)*(GMW!$NF$2:$NF$60=R$1),0),$F13-1966)</f>
        <v>0.15646450000000001</v>
      </c>
      <c r="S13" s="4" cm="1">
        <f t="array" ref="S13">INDEX(GMW!$A$2:$NF$60,MATCH(1,(GMW!$NE$2:$NE$60=S$3)*(GMW!$ND$2:$ND$60=S$4)*(GMW!$NF$2:$NF$60=S$1),0),$F13-1966)</f>
        <v>-1.0485819999999999</v>
      </c>
      <c r="T13" s="4" cm="1">
        <f t="array" ref="T13">INDEX(GMW!$A$2:$NF$60,MATCH(1,(GMW!$NE$2:$NE$60=T$3)*(GMW!$ND$2:$ND$60=T$4)*(GMW!$NF$2:$NF$60=T$1),0),$F13-1966)</f>
        <v>703</v>
      </c>
      <c r="U13" s="4" cm="1">
        <f t="array" ref="U13">INDEX(GMW!$A$2:$NF$60,MATCH(1,(GMW!$NE$2:$NE$60=U$3)*(GMW!$ND$2:$ND$60=U$4)*(GMW!$NF$2:$NF$60=U$1),0),$F13-1966)</f>
        <v>43911.09</v>
      </c>
      <c r="V13" s="4" cm="1">
        <f t="array" ref="V13">INDEX(GMW!$A$2:$NF$60,MATCH(1,(GMW!$NE$2:$NE$60=V$3)*(GMW!$ND$2:$ND$60=V$4)*(GMW!$NF$2:$NF$60=V$1),0),$F13-1966)</f>
        <v>1223.826</v>
      </c>
      <c r="W13" s="4" cm="1">
        <f t="array" ref="W13">INDEX(GMW!$A$2:$NF$60,MATCH(1,(GMW!$NE$2:$NE$60=W$3)*(GMW!$ND$2:$ND$60=W$4)*(GMW!$NF$2:$NF$60=W$1),0),$F13-1966)</f>
        <v>16851</v>
      </c>
      <c r="X13" s="4" cm="1">
        <f t="array" ref="X13">INDEX(GMW!$A$2:$NF$60,MATCH(1,(GMW!$NE$2:$NE$60=X$3)*(GMW!$ND$2:$ND$60=X$4)*(GMW!$NF$2:$NF$60=X$1),0),$F13-1966)</f>
        <v>96.378649999999993</v>
      </c>
      <c r="Y13" s="4" cm="1">
        <f t="array" ref="Y13">INDEX(GMW!$A$2:$NF$60,MATCH(1,(GMW!$NE$2:$NE$60=Y$3)*(GMW!$ND$2:$ND$60=Y$4)*(GMW!$NF$2:$NF$60=Y$1),0),$F13-1966)</f>
        <v>60.613169999999997</v>
      </c>
      <c r="Z13" s="4" cm="1">
        <f t="array" ref="Z13">INDEX(GMW!$A$2:$NF$60,MATCH(1,(GMW!$NE$2:$NE$60=Z$3)*(GMW!$ND$2:$ND$60=Z$4)*(GMW!$NF$2:$NF$60=Z$1),0),$F13-1966)</f>
        <v>43.449750000000002</v>
      </c>
      <c r="AA13" s="4" cm="1">
        <f t="array" ref="AA13">INDEX(GMW!$A$2:$NF$60,MATCH(1,(GMW!$NE$2:$NE$60=AA$3)*(GMW!$ND$2:$ND$60=AA$4)*(GMW!$NF$2:$NF$60=AA$1),0),$F13-1966)</f>
        <v>71758</v>
      </c>
      <c r="AB13" s="4" cm="1">
        <f t="array" ref="AB13">INDEX(GMW!$A$2:$NF$60,MATCH(1,(GMW!$NE$2:$NE$60=AB$3)*(GMW!$ND$2:$ND$60=AB$4)*(GMW!$NF$2:$NF$60=AB$1),0),$F13-1966)</f>
        <v>23896</v>
      </c>
      <c r="AC13" s="4" cm="1">
        <f t="array" ref="AC13">INDEX(GMW!$A$2:$NF$60,MATCH(1,(GMW!$NE$2:$NE$60=AC$3)*(GMW!$ND$2:$ND$60=AC$4)*(GMW!$NF$2:$NF$60=AC$1),0),$F13-1966)</f>
        <v>390</v>
      </c>
      <c r="AD13" s="4" cm="1">
        <f t="array" ref="AD13">INDEX(GMW!$A$2:$NF$60,MATCH(1,(GMW!$NE$2:$NE$60=AD$3)*(GMW!$ND$2:$ND$60=AD$4)*(GMW!$NF$2:$NF$60=AD$1),0),$F13-1966)</f>
        <v>35516.03</v>
      </c>
      <c r="AE13" s="4" cm="1">
        <f t="array" ref="AE13">INDEX(GMW!$A$2:$NF$60,MATCH(1,(GMW!$NE$2:$NE$60=AE$3)*(GMW!$ND$2:$ND$60=AE$4)*(GMW!$NF$2:$NF$60=AE$1),0),$F13-1966)</f>
        <v>151.58109999999999</v>
      </c>
      <c r="AF13" s="4" cm="1">
        <f t="array" ref="AF13">INDEX(GMW!$A$2:$NF$60,MATCH(1,(GMW!$NE$2:$NE$60=AF$3)*(GMW!$ND$2:$ND$60=AF$4)*(GMW!$NF$2:$NF$60=AF$1),0),$F13-1966)</f>
        <v>52.942</v>
      </c>
      <c r="AG13" s="4" cm="1">
        <f t="array" ref="AG13">INDEX(GMW!$A$2:$NF$60,MATCH(1,(GMW!$NE$2:$NE$60=AG$3)*(GMW!$ND$2:$ND$60=AG$4)*(GMW!$NF$2:$NF$60=AG$1),0),$F13-1966)</f>
        <v>17.571999999999999</v>
      </c>
      <c r="AH13" s="4" cm="1">
        <f t="array" ref="AH13">INDEX(GMW!$A$2:$NF$60,MATCH(1,(GMW!$NE$2:$NE$60=AH$3)*(GMW!$ND$2:$ND$60=AH$4)*(GMW!$NF$2:$NF$60=AH$1),0),$F13-1966)</f>
        <v>40561</v>
      </c>
    </row>
    <row r="14" spans="1:34" x14ac:dyDescent="0.25">
      <c r="B14" s="4">
        <f t="shared" si="5"/>
        <v>1974</v>
      </c>
      <c r="C14" s="4">
        <f t="shared" si="5"/>
        <v>1974</v>
      </c>
      <c r="E14" s="4">
        <f t="shared" ref="E14" si="6">+E10+1</f>
        <v>1974</v>
      </c>
      <c r="F14" s="4">
        <f t="shared" si="4"/>
        <v>1980</v>
      </c>
      <c r="G14" s="4" cm="1">
        <f t="array" ref="G14">INDEX(GMW!$A$2:$NF$60,MATCH(1,(GMW!$NE$2:$NE$60=G$3)*(GMW!$ND$2:$ND$60=G$4)*(GMW!$NF$2:$NF$60=G$1),0),$F14-1966)</f>
        <v>239612</v>
      </c>
      <c r="H14" s="4" cm="1">
        <f t="array" ref="H14">INDEX(GMW!$A$2:$NF$60,MATCH(1,(GMW!$NE$2:$NE$60=H$3)*(GMW!$ND$2:$ND$60=H$4)*(GMW!$NF$2:$NF$60=H$1),0),$F14-1966)</f>
        <v>1507.625</v>
      </c>
      <c r="I14" s="4" cm="1">
        <f t="array" ref="I14">INDEX(GMW!$A$2:$NF$60,MATCH(1,(GMW!$NE$2:$NE$60=I$3)*(GMW!$ND$2:$ND$60=I$4)*(GMW!$NF$2:$NF$60=I$1),0),$F14-1966)</f>
        <v>52526.84</v>
      </c>
      <c r="J14" s="4" cm="1">
        <f t="array" ref="J14">INDEX(GMW!$A$2:$NF$60,MATCH(1,(GMW!$NE$2:$NE$60=J$3)*(GMW!$ND$2:$ND$60=J$4)*(GMW!$NF$2:$NF$60=J$1),0),$F14-1966)</f>
        <v>389.05</v>
      </c>
      <c r="K14" s="4" cm="1">
        <f t="array" ref="K14">INDEX(GMW!$A$2:$NF$60,MATCH(1,(GMW!$NE$2:$NE$60=K$3)*(GMW!$ND$2:$ND$60=K$4)*(GMW!$NF$2:$NF$60=K$1),0),$F14-1966)</f>
        <v>259.13400000000001</v>
      </c>
      <c r="L14" s="4" cm="1">
        <f t="array" ref="L14">INDEX(GMW!$A$2:$NF$60,MATCH(1,(GMW!$NE$2:$NE$60=L$3)*(GMW!$ND$2:$ND$60=L$4)*(GMW!$NF$2:$NF$60=L$1),0),$F14-1966)</f>
        <v>242.35429999999999</v>
      </c>
      <c r="M14" s="4" cm="1">
        <f t="array" ref="M14">INDEX(GMW!$A$2:$NF$60,MATCH(1,(GMW!$NE$2:$NE$60=M$3)*(GMW!$ND$2:$ND$60=M$4)*(GMW!$NF$2:$NF$60=M$1),0),$F14-1966)</f>
        <v>182493.8</v>
      </c>
      <c r="N14" s="4" cm="1">
        <f t="array" ref="N14">INDEX(GMW!$A$2:$NF$60,MATCH(1,(GMW!$NE$2:$NE$60=N$3)*(GMW!$ND$2:$ND$60=N$4)*(GMW!$NF$2:$NF$60=N$1),0),$F14-1966)</f>
        <v>-1546</v>
      </c>
      <c r="O14" s="4" cm="1">
        <f t="array" ref="O14">INDEX(GMW!$A$2:$NF$60,MATCH(1,(GMW!$NE$2:$NE$60=O$3)*(GMW!$ND$2:$ND$60=O$4)*(GMW!$NF$2:$NF$60=O$1),0),$F14-1966)</f>
        <v>-19.52225</v>
      </c>
      <c r="P14" s="4" cm="1">
        <f t="array" ref="P14">INDEX(GMW!$A$2:$NF$60,MATCH(1,(GMW!$NE$2:$NE$60=P$3)*(GMW!$ND$2:$ND$60=P$4)*(GMW!$NF$2:$NF$60=P$1),0),$F14-1966)</f>
        <v>-1410.5</v>
      </c>
      <c r="Q14" s="4" cm="1">
        <f t="array" ref="Q14">INDEX(GMW!$A$2:$NF$60,MATCH(1,(GMW!$NE$2:$NE$60=Q$3)*(GMW!$ND$2:$ND$60=Q$4)*(GMW!$NF$2:$NF$60=Q$1),0),$F14-1966)</f>
        <v>-12.51153</v>
      </c>
      <c r="R14" s="4" cm="1">
        <f t="array" ref="R14">INDEX(GMW!$A$2:$NF$60,MATCH(1,(GMW!$NE$2:$NE$60=R$3)*(GMW!$ND$2:$ND$60=R$4)*(GMW!$NF$2:$NF$60=R$1),0),$F14-1966)</f>
        <v>-0.23402700000000001</v>
      </c>
      <c r="S14" s="4" cm="1">
        <f t="array" ref="S14">INDEX(GMW!$A$2:$NF$60,MATCH(1,(GMW!$NE$2:$NE$60=S$3)*(GMW!$ND$2:$ND$60=S$4)*(GMW!$NF$2:$NF$60=S$1),0),$F14-1966)</f>
        <v>-1.316276</v>
      </c>
      <c r="T14" s="4" cm="1">
        <f t="array" ref="T14">INDEX(GMW!$A$2:$NF$60,MATCH(1,(GMW!$NE$2:$NE$60=T$3)*(GMW!$ND$2:$ND$60=T$4)*(GMW!$NF$2:$NF$60=T$1),0),$F14-1966)</f>
        <v>378</v>
      </c>
      <c r="U14" s="4" cm="1">
        <f t="array" ref="U14">INDEX(GMW!$A$2:$NF$60,MATCH(1,(GMW!$NE$2:$NE$60=U$3)*(GMW!$ND$2:$ND$60=U$4)*(GMW!$NF$2:$NF$60=U$1),0),$F14-1966)</f>
        <v>48829.88</v>
      </c>
      <c r="V14" s="4" cm="1">
        <f t="array" ref="V14">INDEX(GMW!$A$2:$NF$60,MATCH(1,(GMW!$NE$2:$NE$60=V$3)*(GMW!$ND$2:$ND$60=V$4)*(GMW!$NF$2:$NF$60=V$1),0),$F14-1966)</f>
        <v>1251.7090000000001</v>
      </c>
      <c r="W14" s="4" cm="1">
        <f t="array" ref="W14">INDEX(GMW!$A$2:$NF$60,MATCH(1,(GMW!$NE$2:$NE$60=W$3)*(GMW!$ND$2:$ND$60=W$4)*(GMW!$NF$2:$NF$60=W$1),0),$F14-1966)</f>
        <v>16534</v>
      </c>
      <c r="X14" s="4" cm="1">
        <f t="array" ref="X14">INDEX(GMW!$A$2:$NF$60,MATCH(1,(GMW!$NE$2:$NE$60=X$3)*(GMW!$ND$2:$ND$60=X$4)*(GMW!$NF$2:$NF$60=X$1),0),$F14-1966)</f>
        <v>106.16800000000001</v>
      </c>
      <c r="Y14" s="4" cm="1">
        <f t="array" ref="Y14">INDEX(GMW!$A$2:$NF$60,MATCH(1,(GMW!$NE$2:$NE$60=Y$3)*(GMW!$ND$2:$ND$60=Y$4)*(GMW!$NF$2:$NF$60=Y$1),0),$F14-1966)</f>
        <v>61.89546</v>
      </c>
      <c r="Z14" s="4" cm="1">
        <f t="array" ref="Z14">INDEX(GMW!$A$2:$NF$60,MATCH(1,(GMW!$NE$2:$NE$60=Z$3)*(GMW!$ND$2:$ND$60=Z$4)*(GMW!$NF$2:$NF$60=Z$1),0),$F14-1966)</f>
        <v>45.795000000000002</v>
      </c>
      <c r="AA14" s="4" cm="1">
        <f t="array" ref="AA14">INDEX(GMW!$A$2:$NF$60,MATCH(1,(GMW!$NE$2:$NE$60=AA$3)*(GMW!$ND$2:$ND$60=AA$4)*(GMW!$NF$2:$NF$60=AA$1),0),$F14-1966)</f>
        <v>74036</v>
      </c>
      <c r="AB14" s="4" cm="1">
        <f t="array" ref="AB14">INDEX(GMW!$A$2:$NF$60,MATCH(1,(GMW!$NE$2:$NE$60=AB$3)*(GMW!$ND$2:$ND$60=AB$4)*(GMW!$NF$2:$NF$60=AB$1),0),$F14-1966)</f>
        <v>24994</v>
      </c>
      <c r="AC14" s="4" cm="1">
        <f t="array" ref="AC14">INDEX(GMW!$A$2:$NF$60,MATCH(1,(GMW!$NE$2:$NE$60=AC$3)*(GMW!$ND$2:$ND$60=AC$4)*(GMW!$NF$2:$NF$60=AC$1),0),$F14-1966)</f>
        <v>399.92500000000001</v>
      </c>
      <c r="AD14" s="4" cm="1">
        <f t="array" ref="AD14">INDEX(GMW!$A$2:$NF$60,MATCH(1,(GMW!$NE$2:$NE$60=AD$3)*(GMW!$ND$2:$ND$60=AD$4)*(GMW!$NF$2:$NF$60=AD$1),0),$F14-1966)</f>
        <v>36474.86</v>
      </c>
      <c r="AE14" s="4" cm="1">
        <f t="array" ref="AE14">INDEX(GMW!$A$2:$NF$60,MATCH(1,(GMW!$NE$2:$NE$60=AE$3)*(GMW!$ND$2:$ND$60=AE$4)*(GMW!$NF$2:$NF$60=AE$1),0),$F14-1966)</f>
        <v>153.066</v>
      </c>
      <c r="AF14" s="4" cm="1">
        <f t="array" ref="AF14">INDEX(GMW!$A$2:$NF$60,MATCH(1,(GMW!$NE$2:$NE$60=AF$3)*(GMW!$ND$2:$ND$60=AF$4)*(GMW!$NF$2:$NF$60=AF$1),0),$F14-1966)</f>
        <v>54.61</v>
      </c>
      <c r="AG14" s="4" cm="1">
        <f t="array" ref="AG14">INDEX(GMW!$A$2:$NF$60,MATCH(1,(GMW!$NE$2:$NE$60=AG$3)*(GMW!$ND$2:$ND$60=AG$4)*(GMW!$NF$2:$NF$60=AG$1),0),$F14-1966)</f>
        <v>17.898</v>
      </c>
      <c r="AH14" s="4" cm="1">
        <f t="array" ref="AH14">INDEX(GMW!$A$2:$NF$60,MATCH(1,(GMW!$NE$2:$NE$60=AH$3)*(GMW!$ND$2:$ND$60=AH$4)*(GMW!$NF$2:$NF$60=AH$1),0),$F14-1966)</f>
        <v>41300</v>
      </c>
    </row>
    <row r="15" spans="1:34" x14ac:dyDescent="0.25">
      <c r="A15" s="4">
        <v>1975</v>
      </c>
      <c r="B15" s="4">
        <f t="shared" si="5"/>
        <v>1975</v>
      </c>
      <c r="C15" s="4">
        <f t="shared" si="5"/>
        <v>1974</v>
      </c>
      <c r="D15" s="4">
        <f t="shared" si="5"/>
        <v>1974</v>
      </c>
      <c r="F15" s="4">
        <f t="shared" si="4"/>
        <v>1981</v>
      </c>
      <c r="G15" s="4" cm="1">
        <f t="array" ref="G15">INDEX(GMW!$A$2:$NF$60,MATCH(1,(GMW!$NE$2:$NE$60=G$3)*(GMW!$ND$2:$ND$60=G$4)*(GMW!$NF$2:$NF$60=G$1),0),$F15-1966)</f>
        <v>239702</v>
      </c>
      <c r="H15" s="4" cm="1">
        <f t="array" ref="H15">INDEX(GMW!$A$2:$NF$60,MATCH(1,(GMW!$NE$2:$NE$60=H$3)*(GMW!$ND$2:$ND$60=H$4)*(GMW!$NF$2:$NF$60=H$1),0),$F15-1966)</f>
        <v>1489.25</v>
      </c>
      <c r="I15" s="4" cm="1">
        <f t="array" ref="I15">INDEX(GMW!$A$2:$NF$60,MATCH(1,(GMW!$NE$2:$NE$60=I$3)*(GMW!$ND$2:$ND$60=I$4)*(GMW!$NF$2:$NF$60=I$1),0),$F15-1966)</f>
        <v>52595.21</v>
      </c>
      <c r="J15" s="4" cm="1">
        <f t="array" ref="J15">INDEX(GMW!$A$2:$NF$60,MATCH(1,(GMW!$NE$2:$NE$60=J$3)*(GMW!$ND$2:$ND$60=J$4)*(GMW!$NF$2:$NF$60=J$1),0),$F15-1966)</f>
        <v>386.82</v>
      </c>
      <c r="K15" s="4" cm="1">
        <f t="array" ref="K15">INDEX(GMW!$A$2:$NF$60,MATCH(1,(GMW!$NE$2:$NE$60=K$3)*(GMW!$ND$2:$ND$60=K$4)*(GMW!$NF$2:$NF$60=K$1),0),$F15-1966)</f>
        <v>257.13400000000001</v>
      </c>
      <c r="L15" s="4" cm="1">
        <f t="array" ref="L15">INDEX(GMW!$A$2:$NF$60,MATCH(1,(GMW!$NE$2:$NE$60=L$3)*(GMW!$ND$2:$ND$60=L$4)*(GMW!$NF$2:$NF$60=L$1),0),$F15-1966)</f>
        <v>238.1379</v>
      </c>
      <c r="M15" s="4" cm="1">
        <f t="array" ref="M15">INDEX(GMW!$A$2:$NF$60,MATCH(1,(GMW!$NE$2:$NE$60=M$3)*(GMW!$ND$2:$ND$60=M$4)*(GMW!$NF$2:$NF$60=M$1),0),$F15-1966)</f>
        <v>181499.5</v>
      </c>
      <c r="N15" s="4" cm="1">
        <f t="array" ref="N15">INDEX(GMW!$A$2:$NF$60,MATCH(1,(GMW!$NE$2:$NE$60=N$3)*(GMW!$ND$2:$ND$60=N$4)*(GMW!$NF$2:$NF$60=N$1),0),$F15-1966)</f>
        <v>-2070</v>
      </c>
      <c r="O15" s="4" cm="1">
        <f t="array" ref="O15">INDEX(GMW!$A$2:$NF$60,MATCH(1,(GMW!$NE$2:$NE$60=O$3)*(GMW!$ND$2:$ND$60=O$4)*(GMW!$NF$2:$NF$60=O$1),0),$F15-1966)</f>
        <v>-27.949750000000002</v>
      </c>
      <c r="P15" s="4" cm="1">
        <f t="array" ref="P15">INDEX(GMW!$A$2:$NF$60,MATCH(1,(GMW!$NE$2:$NE$60=P$3)*(GMW!$ND$2:$ND$60=P$4)*(GMW!$NF$2:$NF$60=P$1),0),$F15-1966)</f>
        <v>-1391</v>
      </c>
      <c r="Q15" s="4" cm="1">
        <f t="array" ref="Q15">INDEX(GMW!$A$2:$NF$60,MATCH(1,(GMW!$NE$2:$NE$60=Q$3)*(GMW!$ND$2:$ND$60=Q$4)*(GMW!$NF$2:$NF$60=Q$1),0),$F15-1966)</f>
        <v>-14.727130000000001</v>
      </c>
      <c r="R15" s="4" cm="1">
        <f t="array" ref="R15">INDEX(GMW!$A$2:$NF$60,MATCH(1,(GMW!$NE$2:$NE$60=R$3)*(GMW!$ND$2:$ND$60=R$4)*(GMW!$NF$2:$NF$60=R$1),0),$F15-1966)</f>
        <v>-0.78578300000000001</v>
      </c>
      <c r="S15" s="4" cm="1">
        <f t="array" ref="S15">INDEX(GMW!$A$2:$NF$60,MATCH(1,(GMW!$NE$2:$NE$60=S$3)*(GMW!$ND$2:$ND$60=S$4)*(GMW!$NF$2:$NF$60=S$1),0),$F15-1966)</f>
        <v>-1.693524</v>
      </c>
      <c r="T15" s="4" cm="1">
        <f t="array" ref="T15">INDEX(GMW!$A$2:$NF$60,MATCH(1,(GMW!$NE$2:$NE$60=T$3)*(GMW!$ND$2:$ND$60=T$4)*(GMW!$NF$2:$NF$60=T$1),0),$F15-1966)</f>
        <v>-417</v>
      </c>
      <c r="U15" s="4" cm="1">
        <f t="array" ref="U15">INDEX(GMW!$A$2:$NF$60,MATCH(1,(GMW!$NE$2:$NE$60=U$3)*(GMW!$ND$2:$ND$60=U$4)*(GMW!$NF$2:$NF$60=U$1),0),$F15-1966)</f>
        <v>53670</v>
      </c>
      <c r="V15" s="4" cm="1">
        <f t="array" ref="V15">INDEX(GMW!$A$2:$NF$60,MATCH(1,(GMW!$NE$2:$NE$60=V$3)*(GMW!$ND$2:$ND$60=V$4)*(GMW!$NF$2:$NF$60=V$1),0),$F15-1966)</f>
        <v>1289.7429999999999</v>
      </c>
      <c r="W15" s="4" cm="1">
        <f t="array" ref="W15">INDEX(GMW!$A$2:$NF$60,MATCH(1,(GMW!$NE$2:$NE$60=W$3)*(GMW!$ND$2:$ND$60=W$4)*(GMW!$NF$2:$NF$60=W$1),0),$F15-1966)</f>
        <v>19706</v>
      </c>
      <c r="X15" s="4" cm="1">
        <f t="array" ref="X15">INDEX(GMW!$A$2:$NF$60,MATCH(1,(GMW!$NE$2:$NE$60=X$3)*(GMW!$ND$2:$ND$60=X$4)*(GMW!$NF$2:$NF$60=X$1),0),$F15-1966)</f>
        <v>116.9717</v>
      </c>
      <c r="Y15" s="4" cm="1">
        <f t="array" ref="Y15">INDEX(GMW!$A$2:$NF$60,MATCH(1,(GMW!$NE$2:$NE$60=Y$3)*(GMW!$ND$2:$ND$60=Y$4)*(GMW!$NF$2:$NF$60=Y$1),0),$F15-1966)</f>
        <v>63.993580000000001</v>
      </c>
      <c r="Z15" s="4" cm="1">
        <f t="array" ref="Z15">INDEX(GMW!$A$2:$NF$60,MATCH(1,(GMW!$NE$2:$NE$60=Z$3)*(GMW!$ND$2:$ND$60=Z$4)*(GMW!$NF$2:$NF$60=Z$1),0),$F15-1966)</f>
        <v>49.706249999999997</v>
      </c>
      <c r="AA15" s="4" cm="1">
        <f t="array" ref="AA15">INDEX(GMW!$A$2:$NF$60,MATCH(1,(GMW!$NE$2:$NE$60=AA$3)*(GMW!$ND$2:$ND$60=AA$4)*(GMW!$NF$2:$NF$60=AA$1),0),$F15-1966)</f>
        <v>76102</v>
      </c>
      <c r="AB15" s="4" cm="1">
        <f t="array" ref="AB15">INDEX(GMW!$A$2:$NF$60,MATCH(1,(GMW!$NE$2:$NE$60=AB$3)*(GMW!$ND$2:$ND$60=AB$4)*(GMW!$NF$2:$NF$60=AB$1),0),$F15-1966)</f>
        <v>26814</v>
      </c>
      <c r="AC15" s="4" cm="1">
        <f t="array" ref="AC15">INDEX(GMW!$A$2:$NF$60,MATCH(1,(GMW!$NE$2:$NE$60=AC$3)*(GMW!$ND$2:$ND$60=AC$4)*(GMW!$NF$2:$NF$60=AC$1),0),$F15-1966)</f>
        <v>404.02499999999998</v>
      </c>
      <c r="AD15" s="4" cm="1">
        <f t="array" ref="AD15">INDEX(GMW!$A$2:$NF$60,MATCH(1,(GMW!$NE$2:$NE$60=AD$3)*(GMW!$ND$2:$ND$60=AD$4)*(GMW!$NF$2:$NF$60=AD$1),0),$F15-1966)</f>
        <v>36545.54</v>
      </c>
      <c r="AE15" s="4" cm="1">
        <f t="array" ref="AE15">INDEX(GMW!$A$2:$NF$60,MATCH(1,(GMW!$NE$2:$NE$60=AE$3)*(GMW!$ND$2:$ND$60=AE$4)*(GMW!$NF$2:$NF$60=AE$1),0),$F15-1966)</f>
        <v>154.1439</v>
      </c>
      <c r="AF15" s="4" cm="1">
        <f t="array" ref="AF15">INDEX(GMW!$A$2:$NF$60,MATCH(1,(GMW!$NE$2:$NE$60=AF$3)*(GMW!$ND$2:$ND$60=AF$4)*(GMW!$NF$2:$NF$60=AF$1),0),$F15-1966)</f>
        <v>56.112000000000002</v>
      </c>
      <c r="AG15" s="4" cm="1">
        <f t="array" ref="AG15">INDEX(GMW!$A$2:$NF$60,MATCH(1,(GMW!$NE$2:$NE$60=AG$3)*(GMW!$ND$2:$ND$60=AG$4)*(GMW!$NF$2:$NF$60=AG$1),0),$F15-1966)</f>
        <v>18.2</v>
      </c>
      <c r="AH15" s="4" cm="1">
        <f t="array" ref="AH15">INDEX(GMW!$A$2:$NF$60,MATCH(1,(GMW!$NE$2:$NE$60=AH$3)*(GMW!$ND$2:$ND$60=AH$4)*(GMW!$NF$2:$NF$60=AH$1),0),$F15-1966)</f>
        <v>41861</v>
      </c>
    </row>
    <row r="16" spans="1:34" x14ac:dyDescent="0.25">
      <c r="B16" s="4">
        <f t="shared" si="5"/>
        <v>1975</v>
      </c>
      <c r="C16" s="4">
        <f t="shared" si="5"/>
        <v>1975</v>
      </c>
      <c r="F16" s="4">
        <f t="shared" si="4"/>
        <v>1982</v>
      </c>
      <c r="G16" s="4" cm="1">
        <f t="array" ref="G16">INDEX(GMW!$A$2:$NF$60,MATCH(1,(GMW!$NE$2:$NE$60=G$3)*(GMW!$ND$2:$ND$60=G$4)*(GMW!$NF$2:$NF$60=G$1),0),$F16-1966)</f>
        <v>235807</v>
      </c>
      <c r="H16" s="4" cm="1">
        <f t="array" ref="H16">INDEX(GMW!$A$2:$NF$60,MATCH(1,(GMW!$NE$2:$NE$60=H$3)*(GMW!$ND$2:$ND$60=H$4)*(GMW!$NF$2:$NF$60=H$1),0),$F16-1966)</f>
        <v>1499.9</v>
      </c>
      <c r="I16" s="4" cm="1">
        <f t="array" ref="I16">INDEX(GMW!$A$2:$NF$60,MATCH(1,(GMW!$NE$2:$NE$60=I$3)*(GMW!$ND$2:$ND$60=I$4)*(GMW!$NF$2:$NF$60=I$1),0),$F16-1966)</f>
        <v>53789.34</v>
      </c>
      <c r="J16" s="4" cm="1">
        <f t="array" ref="J16">INDEX(GMW!$A$2:$NF$60,MATCH(1,(GMW!$NE$2:$NE$60=J$3)*(GMW!$ND$2:$ND$60=J$4)*(GMW!$NF$2:$NF$60=J$1),0),$F16-1966)</f>
        <v>384.92</v>
      </c>
      <c r="K16" s="4" cm="1">
        <f t="array" ref="K16">INDEX(GMW!$A$2:$NF$60,MATCH(1,(GMW!$NE$2:$NE$60=K$3)*(GMW!$ND$2:$ND$60=K$4)*(GMW!$NF$2:$NF$60=K$1),0),$F16-1966)</f>
        <v>257.05099999999999</v>
      </c>
      <c r="L16" s="4" cm="1">
        <f t="array" ref="L16">INDEX(GMW!$A$2:$NF$60,MATCH(1,(GMW!$NE$2:$NE$60=L$3)*(GMW!$ND$2:$ND$60=L$4)*(GMW!$NF$2:$NF$60=L$1),0),$F16-1966)</f>
        <v>238.0164</v>
      </c>
      <c r="M16" s="4" cm="1">
        <f t="array" ref="M16">INDEX(GMW!$A$2:$NF$60,MATCH(1,(GMW!$NE$2:$NE$60=M$3)*(GMW!$ND$2:$ND$60=M$4)*(GMW!$NF$2:$NF$60=M$1),0),$F16-1966)</f>
        <v>183828</v>
      </c>
      <c r="N16" s="4" cm="1">
        <f t="array" ref="N16">INDEX(GMW!$A$2:$NF$60,MATCH(1,(GMW!$NE$2:$NE$60=N$3)*(GMW!$ND$2:$ND$60=N$4)*(GMW!$NF$2:$NF$60=N$1),0),$F16-1966)</f>
        <v>-1658</v>
      </c>
      <c r="O16" s="4" cm="1">
        <f t="array" ref="O16">INDEX(GMW!$A$2:$NF$60,MATCH(1,(GMW!$NE$2:$NE$60=O$3)*(GMW!$ND$2:$ND$60=O$4)*(GMW!$NF$2:$NF$60=O$1),0),$F16-1966)</f>
        <v>-39.512500000000003</v>
      </c>
      <c r="P16" s="4" cm="1">
        <f t="array" ref="P16">INDEX(GMW!$A$2:$NF$60,MATCH(1,(GMW!$NE$2:$NE$60=P$3)*(GMW!$ND$2:$ND$60=P$4)*(GMW!$NF$2:$NF$60=P$1),0),$F16-1966)</f>
        <v>-1675.5</v>
      </c>
      <c r="Q16" s="4" cm="1">
        <f t="array" ref="Q16">INDEX(GMW!$A$2:$NF$60,MATCH(1,(GMW!$NE$2:$NE$60=Q$3)*(GMW!$ND$2:$ND$60=Q$4)*(GMW!$NF$2:$NF$60=Q$1),0),$F16-1966)</f>
        <v>-17.374580000000002</v>
      </c>
      <c r="R16" s="4" cm="1">
        <f t="array" ref="R16">INDEX(GMW!$A$2:$NF$60,MATCH(1,(GMW!$NE$2:$NE$60=R$3)*(GMW!$ND$2:$ND$60=R$4)*(GMW!$NF$2:$NF$60=R$1),0),$F16-1966)</f>
        <v>-1.240029</v>
      </c>
      <c r="S16" s="4" cm="1">
        <f t="array" ref="S16">INDEX(GMW!$A$2:$NF$60,MATCH(1,(GMW!$NE$2:$NE$60=S$3)*(GMW!$ND$2:$ND$60=S$4)*(GMW!$NF$2:$NF$60=S$1),0),$F16-1966)</f>
        <v>-1.939244</v>
      </c>
      <c r="T16" s="4" cm="1">
        <f t="array" ref="T16">INDEX(GMW!$A$2:$NF$60,MATCH(1,(GMW!$NE$2:$NE$60=T$3)*(GMW!$ND$2:$ND$60=T$4)*(GMW!$NF$2:$NF$60=T$1),0),$F16-1966)</f>
        <v>-1053</v>
      </c>
      <c r="U16" s="4" cm="1">
        <f t="array" ref="U16">INDEX(GMW!$A$2:$NF$60,MATCH(1,(GMW!$NE$2:$NE$60=U$3)*(GMW!$ND$2:$ND$60=U$4)*(GMW!$NF$2:$NF$60=U$1),0),$F16-1966)</f>
        <v>56662</v>
      </c>
      <c r="V16" s="4" cm="1">
        <f t="array" ref="V16">INDEX(GMW!$A$2:$NF$60,MATCH(1,(GMW!$NE$2:$NE$60=V$3)*(GMW!$ND$2:$ND$60=V$4)*(GMW!$NF$2:$NF$60=V$1),0),$F16-1966)</f>
        <v>1323.3409999999999</v>
      </c>
      <c r="W16" s="4" cm="1">
        <f t="array" ref="W16">INDEX(GMW!$A$2:$NF$60,MATCH(1,(GMW!$NE$2:$NE$60=W$3)*(GMW!$ND$2:$ND$60=W$4)*(GMW!$NF$2:$NF$60=W$1),0),$F16-1966)</f>
        <v>22879</v>
      </c>
      <c r="X16" s="4" cm="1">
        <f t="array" ref="X16">INDEX(GMW!$A$2:$NF$60,MATCH(1,(GMW!$NE$2:$NE$60=X$3)*(GMW!$ND$2:$ND$60=X$4)*(GMW!$NF$2:$NF$60=X$1),0),$F16-1966)</f>
        <v>125.9576</v>
      </c>
      <c r="Y16" s="4" cm="1">
        <f t="array" ref="Y16">INDEX(GMW!$A$2:$NF$60,MATCH(1,(GMW!$NE$2:$NE$60=Y$3)*(GMW!$ND$2:$ND$60=Y$4)*(GMW!$NF$2:$NF$60=Y$1),0),$F16-1966)</f>
        <v>66.091700000000003</v>
      </c>
      <c r="Z16" s="4" cm="1">
        <f t="array" ref="Z16">INDEX(GMW!$A$2:$NF$60,MATCH(1,(GMW!$NE$2:$NE$60=Z$3)*(GMW!$ND$2:$ND$60=Z$4)*(GMW!$NF$2:$NF$60=Z$1),0),$F16-1966)</f>
        <v>53.6175</v>
      </c>
      <c r="AA16" s="4" cm="1">
        <f t="array" ref="AA16">INDEX(GMW!$A$2:$NF$60,MATCH(1,(GMW!$NE$2:$NE$60=AA$3)*(GMW!$ND$2:$ND$60=AA$4)*(GMW!$NF$2:$NF$60=AA$1),0),$F16-1966)</f>
        <v>78167</v>
      </c>
      <c r="AB16" s="4" cm="1">
        <f t="array" ref="AB16">INDEX(GMW!$A$2:$NF$60,MATCH(1,(GMW!$NE$2:$NE$60=AB$3)*(GMW!$ND$2:$ND$60=AB$4)*(GMW!$NF$2:$NF$60=AB$1),0),$F16-1966)</f>
        <v>28129</v>
      </c>
      <c r="AC16" s="4" cm="1">
        <f t="array" ref="AC16">INDEX(GMW!$A$2:$NF$60,MATCH(1,(GMW!$NE$2:$NE$60=AC$3)*(GMW!$ND$2:$ND$60=AC$4)*(GMW!$NF$2:$NF$60=AC$1),0),$F16-1966)</f>
        <v>412.97500000000002</v>
      </c>
      <c r="AD16" s="4" cm="1">
        <f t="array" ref="AD16">INDEX(GMW!$A$2:$NF$60,MATCH(1,(GMW!$NE$2:$NE$60=AD$3)*(GMW!$ND$2:$ND$60=AD$4)*(GMW!$NF$2:$NF$60=AD$1),0),$F16-1966)</f>
        <v>37719.39</v>
      </c>
      <c r="AE16" s="4" cm="1">
        <f t="array" ref="AE16">INDEX(GMW!$A$2:$NF$60,MATCH(1,(GMW!$NE$2:$NE$60=AE$3)*(GMW!$ND$2:$ND$60=AE$4)*(GMW!$NF$2:$NF$60=AE$1),0),$F16-1966)</f>
        <v>154.7269</v>
      </c>
      <c r="AF16" s="4" cm="1">
        <f t="array" ref="AF16">INDEX(GMW!$A$2:$NF$60,MATCH(1,(GMW!$NE$2:$NE$60=AF$3)*(GMW!$ND$2:$ND$60=AF$4)*(GMW!$NF$2:$NF$60=AF$1),0),$F16-1966)</f>
        <v>57.372</v>
      </c>
      <c r="AG16" s="4" cm="1">
        <f t="array" ref="AG16">INDEX(GMW!$A$2:$NF$60,MATCH(1,(GMW!$NE$2:$NE$60=AG$3)*(GMW!$ND$2:$ND$60=AG$4)*(GMW!$NF$2:$NF$60=AG$1),0),$F16-1966)</f>
        <v>18.760999999999999</v>
      </c>
      <c r="AH16" s="4" cm="1">
        <f t="array" ref="AH16">INDEX(GMW!$A$2:$NF$60,MATCH(1,(GMW!$NE$2:$NE$60=AH$3)*(GMW!$ND$2:$ND$60=AH$4)*(GMW!$NF$2:$NF$60=AH$1),0),$F16-1966)</f>
        <v>43406</v>
      </c>
    </row>
    <row r="17" spans="1:34" x14ac:dyDescent="0.25">
      <c r="B17" s="4">
        <f t="shared" si="5"/>
        <v>1975</v>
      </c>
      <c r="C17" s="4">
        <f t="shared" si="5"/>
        <v>1975</v>
      </c>
      <c r="F17" s="4">
        <f t="shared" si="4"/>
        <v>1983</v>
      </c>
      <c r="G17" s="4" cm="1">
        <f t="array" ref="G17">INDEX(GMW!$A$2:$NF$60,MATCH(1,(GMW!$NE$2:$NE$60=G$3)*(GMW!$ND$2:$ND$60=G$4)*(GMW!$NF$2:$NF$60=G$1),0),$F17-1966)</f>
        <v>235105</v>
      </c>
      <c r="H17" s="4" cm="1">
        <f t="array" ref="H17">INDEX(GMW!$A$2:$NF$60,MATCH(1,(GMW!$NE$2:$NE$60=H$3)*(GMW!$ND$2:$ND$60=H$4)*(GMW!$NF$2:$NF$60=H$1),0),$F17-1966)</f>
        <v>1525.575</v>
      </c>
      <c r="I17" s="4" cm="1">
        <f t="array" ref="I17">INDEX(GMW!$A$2:$NF$60,MATCH(1,(GMW!$NE$2:$NE$60=I$3)*(GMW!$ND$2:$ND$60=I$4)*(GMW!$NF$2:$NF$60=I$1),0),$F17-1966)</f>
        <v>54409.61</v>
      </c>
      <c r="J17" s="4" cm="1">
        <f t="array" ref="J17">INDEX(GMW!$A$2:$NF$60,MATCH(1,(GMW!$NE$2:$NE$60=J$3)*(GMW!$ND$2:$ND$60=J$4)*(GMW!$NF$2:$NF$60=J$1),0),$F17-1966)</f>
        <v>389.05</v>
      </c>
      <c r="K17" s="4" cm="1">
        <f t="array" ref="K17">INDEX(GMW!$A$2:$NF$60,MATCH(1,(GMW!$NE$2:$NE$60=K$3)*(GMW!$ND$2:$ND$60=K$4)*(GMW!$NF$2:$NF$60=K$1),0),$F17-1966)</f>
        <v>256.88299999999998</v>
      </c>
      <c r="L17" s="4" cm="1">
        <f t="array" ref="L17">INDEX(GMW!$A$2:$NF$60,MATCH(1,(GMW!$NE$2:$NE$60=L$3)*(GMW!$ND$2:$ND$60=L$4)*(GMW!$NF$2:$NF$60=L$1),0),$F17-1966)</f>
        <v>241.39830000000001</v>
      </c>
      <c r="M17" s="4" cm="1">
        <f t="array" ref="M17">INDEX(GMW!$A$2:$NF$60,MATCH(1,(GMW!$NE$2:$NE$60=M$3)*(GMW!$ND$2:$ND$60=M$4)*(GMW!$NF$2:$NF$60=M$1),0),$F17-1966)</f>
        <v>187354.8</v>
      </c>
      <c r="N17" s="4" cm="1">
        <f t="array" ref="N17">INDEX(GMW!$A$2:$NF$60,MATCH(1,(GMW!$NE$2:$NE$60=N$3)*(GMW!$ND$2:$ND$60=N$4)*(GMW!$NF$2:$NF$60=N$1),0),$F17-1966)</f>
        <v>-1874</v>
      </c>
      <c r="O17" s="4" cm="1">
        <f t="array" ref="O17">INDEX(GMW!$A$2:$NF$60,MATCH(1,(GMW!$NE$2:$NE$60=O$3)*(GMW!$ND$2:$ND$60=O$4)*(GMW!$NF$2:$NF$60=O$1),0),$F17-1966)</f>
        <v>-29.704750000000001</v>
      </c>
      <c r="P17" s="4" cm="1">
        <f t="array" ref="P17">INDEX(GMW!$A$2:$NF$60,MATCH(1,(GMW!$NE$2:$NE$60=P$3)*(GMW!$ND$2:$ND$60=P$4)*(GMW!$NF$2:$NF$60=P$1),0),$F17-1966)</f>
        <v>-1872.25</v>
      </c>
      <c r="Q17" s="4" cm="1">
        <f t="array" ref="Q17">INDEX(GMW!$A$2:$NF$60,MATCH(1,(GMW!$NE$2:$NE$60=Q$3)*(GMW!$ND$2:$ND$60=Q$4)*(GMW!$NF$2:$NF$60=Q$1),0),$F17-1966)</f>
        <v>-15.930490000000001</v>
      </c>
      <c r="R17" s="4" cm="1">
        <f t="array" ref="R17">INDEX(GMW!$A$2:$NF$60,MATCH(1,(GMW!$NE$2:$NE$60=R$3)*(GMW!$ND$2:$ND$60=R$4)*(GMW!$NF$2:$NF$60=R$1),0),$F17-1966)</f>
        <v>-1.302373</v>
      </c>
      <c r="S17" s="4" cm="1">
        <f t="array" ref="S17">INDEX(GMW!$A$2:$NF$60,MATCH(1,(GMW!$NE$2:$NE$60=S$3)*(GMW!$ND$2:$ND$60=S$4)*(GMW!$NF$2:$NF$60=S$1),0),$F17-1966)</f>
        <v>-2.053436</v>
      </c>
      <c r="T17" s="4" cm="1">
        <f t="array" ref="T17">INDEX(GMW!$A$2:$NF$60,MATCH(1,(GMW!$NE$2:$NE$60=T$3)*(GMW!$ND$2:$ND$60=T$4)*(GMW!$NF$2:$NF$60=T$1),0),$F17-1966)</f>
        <v>-1461</v>
      </c>
      <c r="U17" s="4" cm="1">
        <f t="array" ref="U17">INDEX(GMW!$A$2:$NF$60,MATCH(1,(GMW!$NE$2:$NE$60=U$3)*(GMW!$ND$2:$ND$60=U$4)*(GMW!$NF$2:$NF$60=U$1),0),$F17-1966)</f>
        <v>59654</v>
      </c>
      <c r="V17" s="4" cm="1">
        <f t="array" ref="V17">INDEX(GMW!$A$2:$NF$60,MATCH(1,(GMW!$NE$2:$NE$60=V$3)*(GMW!$ND$2:$ND$60=V$4)*(GMW!$NF$2:$NF$60=V$1),0),$F17-1966)</f>
        <v>1367.3789999999999</v>
      </c>
      <c r="W17" s="4" cm="1">
        <f t="array" ref="W17">INDEX(GMW!$A$2:$NF$60,MATCH(1,(GMW!$NE$2:$NE$60=W$3)*(GMW!$ND$2:$ND$60=W$4)*(GMW!$NF$2:$NF$60=W$1),0),$F17-1966)</f>
        <v>26051</v>
      </c>
      <c r="X17" s="4" cm="1">
        <f t="array" ref="X17">INDEX(GMW!$A$2:$NF$60,MATCH(1,(GMW!$NE$2:$NE$60=X$3)*(GMW!$ND$2:$ND$60=X$4)*(GMW!$NF$2:$NF$60=X$1),0),$F17-1966)</f>
        <v>132.54900000000001</v>
      </c>
      <c r="Y17" s="4" cm="1">
        <f t="array" ref="Y17">INDEX(GMW!$A$2:$NF$60,MATCH(1,(GMW!$NE$2:$NE$60=Y$3)*(GMW!$ND$2:$ND$60=Y$4)*(GMW!$NF$2:$NF$60=Y$1),0),$F17-1966)</f>
        <v>68.189819999999997</v>
      </c>
      <c r="Z17" s="4" cm="1">
        <f t="array" ref="Z17">INDEX(GMW!$A$2:$NF$60,MATCH(1,(GMW!$NE$2:$NE$60=Z$3)*(GMW!$ND$2:$ND$60=Z$4)*(GMW!$NF$2:$NF$60=Z$1),0),$F17-1966)</f>
        <v>57.528750000000002</v>
      </c>
      <c r="AA17" s="4" cm="1">
        <f t="array" ref="AA17">INDEX(GMW!$A$2:$NF$60,MATCH(1,(GMW!$NE$2:$NE$60=AA$3)*(GMW!$ND$2:$ND$60=AA$4)*(GMW!$NF$2:$NF$60=AA$1),0),$F17-1966)</f>
        <v>80233</v>
      </c>
      <c r="AB17" s="4" cm="1">
        <f t="array" ref="AB17">INDEX(GMW!$A$2:$NF$60,MATCH(1,(GMW!$NE$2:$NE$60=AB$3)*(GMW!$ND$2:$ND$60=AB$4)*(GMW!$NF$2:$NF$60=AB$1),0),$F17-1966)</f>
        <v>29260</v>
      </c>
      <c r="AC17" s="4" cm="1">
        <f t="array" ref="AC17">INDEX(GMW!$A$2:$NF$60,MATCH(1,(GMW!$NE$2:$NE$60=AC$3)*(GMW!$ND$2:$ND$60=AC$4)*(GMW!$NF$2:$NF$60=AC$1),0),$F17-1966)</f>
        <v>427.45</v>
      </c>
      <c r="AD17" s="4" cm="1">
        <f t="array" ref="AD17">INDEX(GMW!$A$2:$NF$60,MATCH(1,(GMW!$NE$2:$NE$60=AD$3)*(GMW!$ND$2:$ND$60=AD$4)*(GMW!$NF$2:$NF$60=AD$1),0),$F17-1966)</f>
        <v>38571.11</v>
      </c>
      <c r="AE17" s="4" cm="1">
        <f t="array" ref="AE17">INDEX(GMW!$A$2:$NF$60,MATCH(1,(GMW!$NE$2:$NE$60=AE$3)*(GMW!$ND$2:$ND$60=AE$4)*(GMW!$NF$2:$NF$60=AE$1),0),$F17-1966)</f>
        <v>156.82769999999999</v>
      </c>
      <c r="AF17" s="4" cm="1">
        <f t="array" ref="AF17">INDEX(GMW!$A$2:$NF$60,MATCH(1,(GMW!$NE$2:$NE$60=AF$3)*(GMW!$ND$2:$ND$60=AF$4)*(GMW!$NF$2:$NF$60=AF$1),0),$F17-1966)</f>
        <v>59.029000000000003</v>
      </c>
      <c r="AG17" s="4" cm="1">
        <f t="array" ref="AG17">INDEX(GMW!$A$2:$NF$60,MATCH(1,(GMW!$NE$2:$NE$60=AG$3)*(GMW!$ND$2:$ND$60=AG$4)*(GMW!$NF$2:$NF$60=AG$1),0),$F17-1966)</f>
        <v>19.628</v>
      </c>
      <c r="AH17" s="4" cm="1">
        <f t="array" ref="AH17">INDEX(GMW!$A$2:$NF$60,MATCH(1,(GMW!$NE$2:$NE$60=AH$3)*(GMW!$ND$2:$ND$60=AH$4)*(GMW!$NF$2:$NF$60=AH$1),0),$F17-1966)</f>
        <v>45554</v>
      </c>
    </row>
    <row r="18" spans="1:34" x14ac:dyDescent="0.25">
      <c r="B18" s="4">
        <f t="shared" si="5"/>
        <v>1975</v>
      </c>
      <c r="C18" s="4">
        <f t="shared" si="5"/>
        <v>1975</v>
      </c>
      <c r="E18" s="4">
        <f t="shared" ref="E18" si="7">+E14+1</f>
        <v>1975</v>
      </c>
      <c r="F18" s="4">
        <f t="shared" si="4"/>
        <v>1984</v>
      </c>
      <c r="G18" s="4" cm="1">
        <f t="array" ref="G18">INDEX(GMW!$A$2:$NF$60,MATCH(1,(GMW!$NE$2:$NE$60=G$3)*(GMW!$ND$2:$ND$60=G$4)*(GMW!$NF$2:$NF$60=G$1),0),$F18-1966)</f>
        <v>237747</v>
      </c>
      <c r="H18" s="4" cm="1">
        <f t="array" ref="H18">INDEX(GMW!$A$2:$NF$60,MATCH(1,(GMW!$NE$2:$NE$60=H$3)*(GMW!$ND$2:$ND$60=H$4)*(GMW!$NF$2:$NF$60=H$1),0),$F18-1966)</f>
        <v>1546.125</v>
      </c>
      <c r="I18" s="4" cm="1">
        <f t="array" ref="I18">INDEX(GMW!$A$2:$NF$60,MATCH(1,(GMW!$NE$2:$NE$60=I$3)*(GMW!$ND$2:$ND$60=I$4)*(GMW!$NF$2:$NF$60=I$1),0),$F18-1966)</f>
        <v>54986.97</v>
      </c>
      <c r="J18" s="4" cm="1">
        <f t="array" ref="J18">INDEX(GMW!$A$2:$NF$60,MATCH(1,(GMW!$NE$2:$NE$60=J$3)*(GMW!$ND$2:$ND$60=J$4)*(GMW!$NF$2:$NF$60=J$1),0),$F18-1966)</f>
        <v>396.83</v>
      </c>
      <c r="K18" s="4" cm="1">
        <f t="array" ref="K18">INDEX(GMW!$A$2:$NF$60,MATCH(1,(GMW!$NE$2:$NE$60=K$3)*(GMW!$ND$2:$ND$60=K$4)*(GMW!$NF$2:$NF$60=K$1),0),$F18-1966)</f>
        <v>262.37599999999998</v>
      </c>
      <c r="L18" s="4" cm="1">
        <f t="array" ref="L18">INDEX(GMW!$A$2:$NF$60,MATCH(1,(GMW!$NE$2:$NE$60=L$3)*(GMW!$ND$2:$ND$60=L$4)*(GMW!$NF$2:$NF$60=L$1),0),$F18-1966)</f>
        <v>244.1035</v>
      </c>
      <c r="M18" s="4" cm="1">
        <f t="array" ref="M18">INDEX(GMW!$A$2:$NF$60,MATCH(1,(GMW!$NE$2:$NE$60=M$3)*(GMW!$ND$2:$ND$60=M$4)*(GMW!$NF$2:$NF$60=M$1),0),$F18-1966)</f>
        <v>189522.8</v>
      </c>
      <c r="N18" s="4" cm="1">
        <f t="array" ref="N18">INDEX(GMW!$A$2:$NF$60,MATCH(1,(GMW!$NE$2:$NE$60=N$3)*(GMW!$ND$2:$ND$60=N$4)*(GMW!$NF$2:$NF$60=N$1),0),$F18-1966)</f>
        <v>-1609</v>
      </c>
      <c r="O18" s="4" cm="1">
        <f t="array" ref="O18">INDEX(GMW!$A$2:$NF$60,MATCH(1,(GMW!$NE$2:$NE$60=O$3)*(GMW!$ND$2:$ND$60=O$4)*(GMW!$NF$2:$NF$60=O$1),0),$F18-1966)</f>
        <v>-31.439</v>
      </c>
      <c r="P18" s="4" cm="1">
        <f t="array" ref="P18">INDEX(GMW!$A$2:$NF$60,MATCH(1,(GMW!$NE$2:$NE$60=P$3)*(GMW!$ND$2:$ND$60=P$4)*(GMW!$NF$2:$NF$60=P$1),0),$F18-1966)</f>
        <v>-2403.25</v>
      </c>
      <c r="Q18" s="4" cm="1">
        <f t="array" ref="Q18">INDEX(GMW!$A$2:$NF$60,MATCH(1,(GMW!$NE$2:$NE$60=Q$3)*(GMW!$ND$2:$ND$60=Q$4)*(GMW!$NF$2:$NF$60=Q$1),0),$F18-1966)</f>
        <v>-14.416650000000001</v>
      </c>
      <c r="R18" s="4" cm="1">
        <f t="array" ref="R18">INDEX(GMW!$A$2:$NF$60,MATCH(1,(GMW!$NE$2:$NE$60=R$3)*(GMW!$ND$2:$ND$60=R$4)*(GMW!$NF$2:$NF$60=R$1),0),$F18-1966)</f>
        <v>-0.97281430000000002</v>
      </c>
      <c r="S18" s="4" cm="1">
        <f t="array" ref="S18">INDEX(GMW!$A$2:$NF$60,MATCH(1,(GMW!$NE$2:$NE$60=S$3)*(GMW!$ND$2:$ND$60=S$4)*(GMW!$NF$2:$NF$60=S$1),0),$F18-1966)</f>
        <v>-2.0480740000000002</v>
      </c>
      <c r="T18" s="4" cm="1">
        <f t="array" ref="T18">INDEX(GMW!$A$2:$NF$60,MATCH(1,(GMW!$NE$2:$NE$60=T$3)*(GMW!$ND$2:$ND$60=T$4)*(GMW!$NF$2:$NF$60=T$1),0),$F18-1966)</f>
        <v>-1574</v>
      </c>
      <c r="U18" s="4" cm="1">
        <f t="array" ref="U18">INDEX(GMW!$A$2:$NF$60,MATCH(1,(GMW!$NE$2:$NE$60=U$3)*(GMW!$ND$2:$ND$60=U$4)*(GMW!$NF$2:$NF$60=U$1),0),$F18-1966)</f>
        <v>62646</v>
      </c>
      <c r="V18" s="4" cm="1">
        <f t="array" ref="V18">INDEX(GMW!$A$2:$NF$60,MATCH(1,(GMW!$NE$2:$NE$60=V$3)*(GMW!$ND$2:$ND$60=V$4)*(GMW!$NF$2:$NF$60=V$1),0),$F18-1966)</f>
        <v>1412.028</v>
      </c>
      <c r="W18" s="4" cm="1">
        <f t="array" ref="W18">INDEX(GMW!$A$2:$NF$60,MATCH(1,(GMW!$NE$2:$NE$60=W$3)*(GMW!$ND$2:$ND$60=W$4)*(GMW!$NF$2:$NF$60=W$1),0),$F18-1966)</f>
        <v>29223</v>
      </c>
      <c r="X18" s="4" cm="1">
        <f t="array" ref="X18">INDEX(GMW!$A$2:$NF$60,MATCH(1,(GMW!$NE$2:$NE$60=X$3)*(GMW!$ND$2:$ND$60=X$4)*(GMW!$NF$2:$NF$60=X$1),0),$F18-1966)</f>
        <v>136.74610000000001</v>
      </c>
      <c r="Y18" s="4" cm="1">
        <f t="array" ref="Y18">INDEX(GMW!$A$2:$NF$60,MATCH(1,(GMW!$NE$2:$NE$60=Y$3)*(GMW!$ND$2:$ND$60=Y$4)*(GMW!$NF$2:$NF$60=Y$1),0),$F18-1966)</f>
        <v>70.287930000000003</v>
      </c>
      <c r="Z18" s="4" cm="1">
        <f t="array" ref="Z18">INDEX(GMW!$A$2:$NF$60,MATCH(1,(GMW!$NE$2:$NE$60=Z$3)*(GMW!$ND$2:$ND$60=Z$4)*(GMW!$NF$2:$NF$60=Z$1),0),$F18-1966)</f>
        <v>61.44</v>
      </c>
      <c r="AA18" s="4" cm="1">
        <f t="array" ref="AA18">INDEX(GMW!$A$2:$NF$60,MATCH(1,(GMW!$NE$2:$NE$60=AA$3)*(GMW!$ND$2:$ND$60=AA$4)*(GMW!$NF$2:$NF$60=AA$1),0),$F18-1966)</f>
        <v>82299</v>
      </c>
      <c r="AB18" s="4" cm="1">
        <f t="array" ref="AB18">INDEX(GMW!$A$2:$NF$60,MATCH(1,(GMW!$NE$2:$NE$60=AB$3)*(GMW!$ND$2:$ND$60=AB$4)*(GMW!$NF$2:$NF$60=AB$1),0),$F18-1966)</f>
        <v>30890</v>
      </c>
      <c r="AC18" s="4" cm="1">
        <f t="array" ref="AC18">INDEX(GMW!$A$2:$NF$60,MATCH(1,(GMW!$NE$2:$NE$60=AC$3)*(GMW!$ND$2:$ND$60=AC$4)*(GMW!$NF$2:$NF$60=AC$1),0),$F18-1966)</f>
        <v>440.45</v>
      </c>
      <c r="AD18" s="4" cm="1">
        <f t="array" ref="AD18">INDEX(GMW!$A$2:$NF$60,MATCH(1,(GMW!$NE$2:$NE$60=AD$3)*(GMW!$ND$2:$ND$60=AD$4)*(GMW!$NF$2:$NF$60=AD$1),0),$F18-1966)</f>
        <v>39688.019999999997</v>
      </c>
      <c r="AE18" s="4" cm="1">
        <f t="array" ref="AE18">INDEX(GMW!$A$2:$NF$60,MATCH(1,(GMW!$NE$2:$NE$60=AE$3)*(GMW!$ND$2:$ND$60=AE$4)*(GMW!$NF$2:$NF$60=AE$1),0),$F18-1966)</f>
        <v>161.94239999999999</v>
      </c>
      <c r="AF18" s="4" cm="1">
        <f t="array" ref="AF18">INDEX(GMW!$A$2:$NF$60,MATCH(1,(GMW!$NE$2:$NE$60=AF$3)*(GMW!$ND$2:$ND$60=AF$4)*(GMW!$NF$2:$NF$60=AF$1),0),$F18-1966)</f>
        <v>61.07</v>
      </c>
      <c r="AG18" s="4" cm="1">
        <f t="array" ref="AG18">INDEX(GMW!$A$2:$NF$60,MATCH(1,(GMW!$NE$2:$NE$60=AG$3)*(GMW!$ND$2:$ND$60=AG$4)*(GMW!$NF$2:$NF$60=AG$1),0),$F18-1966)</f>
        <v>20.312999999999999</v>
      </c>
      <c r="AH18" s="4" cm="1">
        <f t="array" ref="AH18">INDEX(GMW!$A$2:$NF$60,MATCH(1,(GMW!$NE$2:$NE$60=AH$3)*(GMW!$ND$2:$ND$60=AH$4)*(GMW!$NF$2:$NF$60=AH$1),0),$F18-1966)</f>
        <v>47107</v>
      </c>
    </row>
    <row r="19" spans="1:34" x14ac:dyDescent="0.25">
      <c r="A19" s="4">
        <v>1976</v>
      </c>
      <c r="B19" s="4">
        <f t="shared" si="5"/>
        <v>1976</v>
      </c>
      <c r="C19" s="4">
        <f t="shared" si="5"/>
        <v>1975</v>
      </c>
      <c r="D19" s="4">
        <f t="shared" si="5"/>
        <v>1975</v>
      </c>
      <c r="F19" s="4">
        <f t="shared" si="4"/>
        <v>1985</v>
      </c>
      <c r="G19" s="4" cm="1">
        <f t="array" ref="G19">INDEX(GMW!$A$2:$NF$60,MATCH(1,(GMW!$NE$2:$NE$60=G$3)*(GMW!$ND$2:$ND$60=G$4)*(GMW!$NF$2:$NF$60=G$1),0),$F19-1966)</f>
        <v>241709</v>
      </c>
      <c r="H19" s="4" cm="1">
        <f t="array" ref="H19">INDEX(GMW!$A$2:$NF$60,MATCH(1,(GMW!$NE$2:$NE$60=H$3)*(GMW!$ND$2:$ND$60=H$4)*(GMW!$NF$2:$NF$60=H$1),0),$F19-1966)</f>
        <v>1580.9</v>
      </c>
      <c r="I19" s="4" cm="1">
        <f t="array" ref="I19">INDEX(GMW!$A$2:$NF$60,MATCH(1,(GMW!$NE$2:$NE$60=I$3)*(GMW!$ND$2:$ND$60=I$4)*(GMW!$NF$2:$NF$60=I$1),0),$F19-1966)</f>
        <v>55458.37</v>
      </c>
      <c r="J19" s="4" cm="1">
        <f t="array" ref="J19">INDEX(GMW!$A$2:$NF$60,MATCH(1,(GMW!$NE$2:$NE$60=J$3)*(GMW!$ND$2:$ND$60=J$4)*(GMW!$NF$2:$NF$60=J$1),0),$F19-1966)</f>
        <v>400.23</v>
      </c>
      <c r="K19" s="4" cm="1">
        <f t="array" ref="K19">INDEX(GMW!$A$2:$NF$60,MATCH(1,(GMW!$NE$2:$NE$60=K$3)*(GMW!$ND$2:$ND$60=K$4)*(GMW!$NF$2:$NF$60=K$1),0),$F19-1966)</f>
        <v>264.851</v>
      </c>
      <c r="L19" s="4" cm="1">
        <f t="array" ref="L19">INDEX(GMW!$A$2:$NF$60,MATCH(1,(GMW!$NE$2:$NE$60=L$3)*(GMW!$ND$2:$ND$60=L$4)*(GMW!$NF$2:$NF$60=L$1),0),$F19-1966)</f>
        <v>248.40379999999999</v>
      </c>
      <c r="M19" s="4" cm="1">
        <f t="array" ref="M19">INDEX(GMW!$A$2:$NF$60,MATCH(1,(GMW!$NE$2:$NE$60=M$3)*(GMW!$ND$2:$ND$60=M$4)*(GMW!$NF$2:$NF$60=M$1),0),$F19-1966)</f>
        <v>192825.5</v>
      </c>
      <c r="N19" s="4" cm="1">
        <f t="array" ref="N19">INDEX(GMW!$A$2:$NF$60,MATCH(1,(GMW!$NE$2:$NE$60=N$3)*(GMW!$ND$2:$ND$60=N$4)*(GMW!$NF$2:$NF$60=N$1),0),$F19-1966)</f>
        <v>-2510</v>
      </c>
      <c r="O19" s="4" cm="1">
        <f t="array" ref="O19">INDEX(GMW!$A$2:$NF$60,MATCH(1,(GMW!$NE$2:$NE$60=O$3)*(GMW!$ND$2:$ND$60=O$4)*(GMW!$NF$2:$NF$60=O$1),0),$F19-1966)</f>
        <v>-28.024750000000001</v>
      </c>
      <c r="P19" s="4" cm="1">
        <f t="array" ref="P19">INDEX(GMW!$A$2:$NF$60,MATCH(1,(GMW!$NE$2:$NE$60=P$3)*(GMW!$ND$2:$ND$60=P$4)*(GMW!$NF$2:$NF$60=P$1),0),$F19-1966)</f>
        <v>-2461</v>
      </c>
      <c r="Q19" s="4" cm="1">
        <f t="array" ref="Q19">INDEX(GMW!$A$2:$NF$60,MATCH(1,(GMW!$NE$2:$NE$60=Q$3)*(GMW!$ND$2:$ND$60=Q$4)*(GMW!$NF$2:$NF$60=Q$1),0),$F19-1966)</f>
        <v>-14.207409999999999</v>
      </c>
      <c r="R19" s="4" cm="1">
        <f t="array" ref="R19">INDEX(GMW!$A$2:$NF$60,MATCH(1,(GMW!$NE$2:$NE$60=R$3)*(GMW!$ND$2:$ND$60=R$4)*(GMW!$NF$2:$NF$60=R$1),0),$F19-1966)</f>
        <v>-0.57176479999999996</v>
      </c>
      <c r="S19" s="4" cm="1">
        <f t="array" ref="S19">INDEX(GMW!$A$2:$NF$60,MATCH(1,(GMW!$NE$2:$NE$60=S$3)*(GMW!$ND$2:$ND$60=S$4)*(GMW!$NF$2:$NF$60=S$1),0),$F19-1966)</f>
        <v>-1.9231579999999999</v>
      </c>
      <c r="T19" s="4" cm="1">
        <f t="array" ref="T19">INDEX(GMW!$A$2:$NF$60,MATCH(1,(GMW!$NE$2:$NE$60=T$3)*(GMW!$ND$2:$ND$60=T$4)*(GMW!$NF$2:$NF$60=T$1),0),$F19-1966)</f>
        <v>-1027</v>
      </c>
      <c r="U19" s="4" cm="1">
        <f t="array" ref="U19">INDEX(GMW!$A$2:$NF$60,MATCH(1,(GMW!$NE$2:$NE$60=U$3)*(GMW!$ND$2:$ND$60=U$4)*(GMW!$NF$2:$NF$60=U$1),0),$F19-1966)</f>
        <v>65638</v>
      </c>
      <c r="V19" s="4" cm="1">
        <f t="array" ref="V19">INDEX(GMW!$A$2:$NF$60,MATCH(1,(GMW!$NE$2:$NE$60=V$3)*(GMW!$ND$2:$ND$60=V$4)*(GMW!$NF$2:$NF$60=V$1),0),$F19-1966)</f>
        <v>1443.0940000000001</v>
      </c>
      <c r="W19" s="4" cm="1">
        <f t="array" ref="W19">INDEX(GMW!$A$2:$NF$60,MATCH(1,(GMW!$NE$2:$NE$60=W$3)*(GMW!$ND$2:$ND$60=W$4)*(GMW!$NF$2:$NF$60=W$1),0),$F19-1966)</f>
        <v>32939</v>
      </c>
      <c r="X19" s="4" cm="1">
        <f t="array" ref="X19">INDEX(GMW!$A$2:$NF$60,MATCH(1,(GMW!$NE$2:$NE$60=X$3)*(GMW!$ND$2:$ND$60=X$4)*(GMW!$NF$2:$NF$60=X$1),0),$F19-1966)</f>
        <v>141.3073</v>
      </c>
      <c r="Y19" s="4" cm="1">
        <f t="array" ref="Y19">INDEX(GMW!$A$2:$NF$60,MATCH(1,(GMW!$NE$2:$NE$60=Y$3)*(GMW!$ND$2:$ND$60=Y$4)*(GMW!$NF$2:$NF$60=Y$1),0),$F19-1966)</f>
        <v>71.978139999999996</v>
      </c>
      <c r="Z19" s="4" cm="1">
        <f t="array" ref="Z19">INDEX(GMW!$A$2:$NF$60,MATCH(1,(GMW!$NE$2:$NE$60=Z$3)*(GMW!$ND$2:$ND$60=Z$4)*(GMW!$NF$2:$NF$60=Z$1),0),$F19-1966)</f>
        <v>65.316500000000005</v>
      </c>
      <c r="AA19" s="4" cm="1">
        <f t="array" ref="AA19">INDEX(GMW!$A$2:$NF$60,MATCH(1,(GMW!$NE$2:$NE$60=AA$3)*(GMW!$ND$2:$ND$60=AA$4)*(GMW!$NF$2:$NF$60=AA$1),0),$F19-1966)</f>
        <v>84583</v>
      </c>
      <c r="AB19" s="4" cm="1">
        <f t="array" ref="AB19">INDEX(GMW!$A$2:$NF$60,MATCH(1,(GMW!$NE$2:$NE$60=AB$3)*(GMW!$ND$2:$ND$60=AB$4)*(GMW!$NF$2:$NF$60=AB$1),0),$F19-1966)</f>
        <v>32449</v>
      </c>
      <c r="AC19" s="4" cm="1">
        <f t="array" ref="AC19">INDEX(GMW!$A$2:$NF$60,MATCH(1,(GMW!$NE$2:$NE$60=AC$3)*(GMW!$ND$2:$ND$60=AC$4)*(GMW!$NF$2:$NF$60=AC$1),0),$F19-1966)</f>
        <v>455.125</v>
      </c>
      <c r="AD19" s="4" cm="1">
        <f t="array" ref="AD19">INDEX(GMW!$A$2:$NF$60,MATCH(1,(GMW!$NE$2:$NE$60=AD$3)*(GMW!$ND$2:$ND$60=AD$4)*(GMW!$NF$2:$NF$60=AD$1),0),$F19-1966)</f>
        <v>41031.21</v>
      </c>
      <c r="AE19" s="4" cm="1">
        <f t="array" ref="AE19">INDEX(GMW!$A$2:$NF$60,MATCH(1,(GMW!$NE$2:$NE$60=AE$3)*(GMW!$ND$2:$ND$60=AE$4)*(GMW!$NF$2:$NF$60=AE$1),0),$F19-1966)</f>
        <v>164.31819999999999</v>
      </c>
      <c r="AF19" s="4" cm="1">
        <f t="array" ref="AF19">INDEX(GMW!$A$2:$NF$60,MATCH(1,(GMW!$NE$2:$NE$60=AF$3)*(GMW!$ND$2:$ND$60=AF$4)*(GMW!$NF$2:$NF$60=AF$1),0),$F19-1966)</f>
        <v>63.45</v>
      </c>
      <c r="AG19" s="4" cm="1">
        <f t="array" ref="AG19">INDEX(GMW!$A$2:$NF$60,MATCH(1,(GMW!$NE$2:$NE$60=AG$3)*(GMW!$ND$2:$ND$60=AG$4)*(GMW!$NF$2:$NF$60=AG$1),0),$F19-1966)</f>
        <v>21.300999999999998</v>
      </c>
      <c r="AH19" s="4" cm="1">
        <f t="array" ref="AH19">INDEX(GMW!$A$2:$NF$60,MATCH(1,(GMW!$NE$2:$NE$60=AH$3)*(GMW!$ND$2:$ND$60=AH$4)*(GMW!$NF$2:$NF$60=AH$1),0),$F19-1966)</f>
        <v>49062</v>
      </c>
    </row>
    <row r="20" spans="1:34" x14ac:dyDescent="0.25">
      <c r="B20" s="4">
        <f t="shared" si="5"/>
        <v>1976</v>
      </c>
      <c r="C20" s="4">
        <f t="shared" si="5"/>
        <v>1976</v>
      </c>
      <c r="F20" s="4">
        <f t="shared" si="4"/>
        <v>1986</v>
      </c>
      <c r="G20" s="4" cm="1">
        <f t="array" ref="G20">INDEX(GMW!$A$2:$NF$60,MATCH(1,(GMW!$NE$2:$NE$60=G$3)*(GMW!$ND$2:$ND$60=G$4)*(GMW!$NF$2:$NF$60=G$1),0),$F20-1966)</f>
        <v>241380</v>
      </c>
      <c r="H20" s="4" cm="1">
        <f t="array" ref="H20">INDEX(GMW!$A$2:$NF$60,MATCH(1,(GMW!$NE$2:$NE$60=H$3)*(GMW!$ND$2:$ND$60=H$4)*(GMW!$NF$2:$NF$60=H$1),0),$F20-1966)</f>
        <v>1592.5</v>
      </c>
      <c r="I20" s="4" cm="1">
        <f t="array" ref="I20">INDEX(GMW!$A$2:$NF$60,MATCH(1,(GMW!$NE$2:$NE$60=I$3)*(GMW!$ND$2:$ND$60=I$4)*(GMW!$NF$2:$NF$60=I$1),0),$F20-1966)</f>
        <v>55787.51</v>
      </c>
      <c r="J20" s="4" cm="1">
        <f t="array" ref="J20">INDEX(GMW!$A$2:$NF$60,MATCH(1,(GMW!$NE$2:$NE$60=J$3)*(GMW!$ND$2:$ND$60=J$4)*(GMW!$NF$2:$NF$60=J$1),0),$F20-1966)</f>
        <v>406.27</v>
      </c>
      <c r="K20" s="4" cm="1">
        <f t="array" ref="K20">INDEX(GMW!$A$2:$NF$60,MATCH(1,(GMW!$NE$2:$NE$60=K$3)*(GMW!$ND$2:$ND$60=K$4)*(GMW!$NF$2:$NF$60=K$1),0),$F20-1966)</f>
        <v>268.47199999999998</v>
      </c>
      <c r="L20" s="4" cm="1">
        <f t="array" ref="L20">INDEX(GMW!$A$2:$NF$60,MATCH(1,(GMW!$NE$2:$NE$60=L$3)*(GMW!$ND$2:$ND$60=L$4)*(GMW!$NF$2:$NF$60=L$1),0),$F20-1966)</f>
        <v>252.89420000000001</v>
      </c>
      <c r="M20" s="4" cm="1">
        <f t="array" ref="M20">INDEX(GMW!$A$2:$NF$60,MATCH(1,(GMW!$NE$2:$NE$60=M$3)*(GMW!$ND$2:$ND$60=M$4)*(GMW!$NF$2:$NF$60=M$1),0),$F20-1966)</f>
        <v>196983.8</v>
      </c>
      <c r="N20" s="4" cm="1">
        <f t="array" ref="N20">INDEX(GMW!$A$2:$NF$60,MATCH(1,(GMW!$NE$2:$NE$60=N$3)*(GMW!$ND$2:$ND$60=N$4)*(GMW!$NF$2:$NF$60=N$1),0),$F20-1966)</f>
        <v>-1926</v>
      </c>
      <c r="O20" s="4" cm="1">
        <f t="array" ref="O20">INDEX(GMW!$A$2:$NF$60,MATCH(1,(GMW!$NE$2:$NE$60=O$3)*(GMW!$ND$2:$ND$60=O$4)*(GMW!$NF$2:$NF$60=O$1),0),$F20-1966)</f>
        <v>-25.544750000000001</v>
      </c>
      <c r="P20" s="4" cm="1">
        <f t="array" ref="P20">INDEX(GMW!$A$2:$NF$60,MATCH(1,(GMW!$NE$2:$NE$60=P$3)*(GMW!$ND$2:$ND$60=P$4)*(GMW!$NF$2:$NF$60=P$1),0),$F20-1966)</f>
        <v>-2521</v>
      </c>
      <c r="Q20" s="4" cm="1">
        <f t="array" ref="Q20">INDEX(GMW!$A$2:$NF$60,MATCH(1,(GMW!$NE$2:$NE$60=Q$3)*(GMW!$ND$2:$ND$60=Q$4)*(GMW!$NF$2:$NF$60=Q$1),0),$F20-1966)</f>
        <v>-13.54607</v>
      </c>
      <c r="R20" s="4" cm="1">
        <f t="array" ref="R20">INDEX(GMW!$A$2:$NF$60,MATCH(1,(GMW!$NE$2:$NE$60=R$3)*(GMW!$ND$2:$ND$60=R$4)*(GMW!$NF$2:$NF$60=R$1),0),$F20-1966)</f>
        <v>-0.3313603</v>
      </c>
      <c r="S20" s="4" cm="1">
        <f t="array" ref="S20">INDEX(GMW!$A$2:$NF$60,MATCH(1,(GMW!$NE$2:$NE$60=S$3)*(GMW!$ND$2:$ND$60=S$4)*(GMW!$NF$2:$NF$60=S$1),0),$F20-1966)</f>
        <v>-1.847926</v>
      </c>
      <c r="T20" s="4" cm="1">
        <f t="array" ref="T20">INDEX(GMW!$A$2:$NF$60,MATCH(1,(GMW!$NE$2:$NE$60=T$3)*(GMW!$ND$2:$ND$60=T$4)*(GMW!$NF$2:$NF$60=T$1),0),$F20-1966)</f>
        <v>-1421</v>
      </c>
      <c r="U20" s="4" cm="1">
        <f t="array" ref="U20">INDEX(GMW!$A$2:$NF$60,MATCH(1,(GMW!$NE$2:$NE$60=U$3)*(GMW!$ND$2:$ND$60=U$4)*(GMW!$NF$2:$NF$60=U$1),0),$F20-1966)</f>
        <v>68226.25</v>
      </c>
      <c r="V20" s="4" cm="1">
        <f t="array" ref="V20">INDEX(GMW!$A$2:$NF$60,MATCH(1,(GMW!$NE$2:$NE$60=V$3)*(GMW!$ND$2:$ND$60=V$4)*(GMW!$NF$2:$NF$60=V$1),0),$F20-1966)</f>
        <v>1466.7360000000001</v>
      </c>
      <c r="W20" s="4" cm="1">
        <f t="array" ref="W20">INDEX(GMW!$A$2:$NF$60,MATCH(1,(GMW!$NE$2:$NE$60=W$3)*(GMW!$ND$2:$ND$60=W$4)*(GMW!$NF$2:$NF$60=W$1),0),$F20-1966)</f>
        <v>36655</v>
      </c>
      <c r="X20" s="4" cm="1">
        <f t="array" ref="X20">INDEX(GMW!$A$2:$NF$60,MATCH(1,(GMW!$NE$2:$NE$60=X$3)*(GMW!$ND$2:$ND$60=X$4)*(GMW!$NF$2:$NF$60=X$1),0),$F20-1966)</f>
        <v>146.83099999999999</v>
      </c>
      <c r="Y20" s="4" cm="1">
        <f t="array" ref="Y20">INDEX(GMW!$A$2:$NF$60,MATCH(1,(GMW!$NE$2:$NE$60=Y$3)*(GMW!$ND$2:$ND$60=Y$4)*(GMW!$NF$2:$NF$60=Y$1),0),$F20-1966)</f>
        <v>73.668340000000001</v>
      </c>
      <c r="Z20" s="4" cm="1">
        <f t="array" ref="Z20">INDEX(GMW!$A$2:$NF$60,MATCH(1,(GMW!$NE$2:$NE$60=Z$3)*(GMW!$ND$2:$ND$60=Z$4)*(GMW!$NF$2:$NF$60=Z$1),0),$F20-1966)</f>
        <v>69.192999999999998</v>
      </c>
      <c r="AA20" s="4" cm="1">
        <f t="array" ref="AA20">INDEX(GMW!$A$2:$NF$60,MATCH(1,(GMW!$NE$2:$NE$60=AA$3)*(GMW!$ND$2:$ND$60=AA$4)*(GMW!$NF$2:$NF$60=AA$1),0),$F20-1966)</f>
        <v>86868</v>
      </c>
      <c r="AB20" s="4" cm="1">
        <f t="array" ref="AB20">INDEX(GMW!$A$2:$NF$60,MATCH(1,(GMW!$NE$2:$NE$60=AB$3)*(GMW!$ND$2:$ND$60=AB$4)*(GMW!$NF$2:$NF$60=AB$1),0),$F20-1966)</f>
        <v>33322</v>
      </c>
      <c r="AC20" s="4" cm="1">
        <f t="array" ref="AC20">INDEX(GMW!$A$2:$NF$60,MATCH(1,(GMW!$NE$2:$NE$60=AC$3)*(GMW!$ND$2:$ND$60=AC$4)*(GMW!$NF$2:$NF$60=AC$1),0),$F20-1966)</f>
        <v>463.07499999999999</v>
      </c>
      <c r="AD20" s="4" cm="1">
        <f t="array" ref="AD20">INDEX(GMW!$A$2:$NF$60,MATCH(1,(GMW!$NE$2:$NE$60=AD$3)*(GMW!$ND$2:$ND$60=AD$4)*(GMW!$NF$2:$NF$60=AD$1),0),$F20-1966)</f>
        <v>42381.9</v>
      </c>
      <c r="AE20" s="4" cm="1">
        <f t="array" ref="AE20">INDEX(GMW!$A$2:$NF$60,MATCH(1,(GMW!$NE$2:$NE$60=AE$3)*(GMW!$ND$2:$ND$60=AE$4)*(GMW!$NF$2:$NF$60=AE$1),0),$F20-1966)</f>
        <v>168.48699999999999</v>
      </c>
      <c r="AF20" s="4" cm="1">
        <f t="array" ref="AF20">INDEX(GMW!$A$2:$NF$60,MATCH(1,(GMW!$NE$2:$NE$60=AF$3)*(GMW!$ND$2:$ND$60=AF$4)*(GMW!$NF$2:$NF$60=AF$1),0),$F20-1966)</f>
        <v>66.418000000000006</v>
      </c>
      <c r="AG20" s="4" cm="1">
        <f t="array" ref="AG20">INDEX(GMW!$A$2:$NF$60,MATCH(1,(GMW!$NE$2:$NE$60=AG$3)*(GMW!$ND$2:$ND$60=AG$4)*(GMW!$NF$2:$NF$60=AG$1),0),$F20-1966)</f>
        <v>23.439</v>
      </c>
      <c r="AH20" s="4" cm="1">
        <f t="array" ref="AH20">INDEX(GMW!$A$2:$NF$60,MATCH(1,(GMW!$NE$2:$NE$60=AH$3)*(GMW!$ND$2:$ND$60=AH$4)*(GMW!$NF$2:$NF$60=AH$1),0),$F20-1966)</f>
        <v>51563</v>
      </c>
    </row>
    <row r="21" spans="1:34" x14ac:dyDescent="0.25">
      <c r="B21" s="4">
        <f t="shared" si="5"/>
        <v>1976</v>
      </c>
      <c r="C21" s="4">
        <f t="shared" si="5"/>
        <v>1976</v>
      </c>
      <c r="F21" s="4">
        <f t="shared" si="4"/>
        <v>1987</v>
      </c>
      <c r="G21" s="4" cm="1">
        <f t="array" ref="G21">INDEX(GMW!$A$2:$NF$60,MATCH(1,(GMW!$NE$2:$NE$60=G$3)*(GMW!$ND$2:$ND$60=G$4)*(GMW!$NF$2:$NF$60=G$1),0),$F21-1966)</f>
        <v>244367</v>
      </c>
      <c r="H21" s="4" cm="1">
        <f t="array" ref="H21">INDEX(GMW!$A$2:$NF$60,MATCH(1,(GMW!$NE$2:$NE$60=H$3)*(GMW!$ND$2:$ND$60=H$4)*(GMW!$NF$2:$NF$60=H$1),0),$F21-1966)</f>
        <v>1601.2249999999999</v>
      </c>
      <c r="I21" s="4" cm="1">
        <f t="array" ref="I21">INDEX(GMW!$A$2:$NF$60,MATCH(1,(GMW!$NE$2:$NE$60=I$3)*(GMW!$ND$2:$ND$60=I$4)*(GMW!$NF$2:$NF$60=I$1),0),$F21-1966)</f>
        <v>56585.37</v>
      </c>
      <c r="J21" s="4" cm="1">
        <f t="array" ref="J21">INDEX(GMW!$A$2:$NF$60,MATCH(1,(GMW!$NE$2:$NE$60=J$3)*(GMW!$ND$2:$ND$60=J$4)*(GMW!$NF$2:$NF$60=J$1),0),$F21-1966)</f>
        <v>406.44</v>
      </c>
      <c r="K21" s="4" cm="1">
        <f t="array" ref="K21">INDEX(GMW!$A$2:$NF$60,MATCH(1,(GMW!$NE$2:$NE$60=K$3)*(GMW!$ND$2:$ND$60=K$4)*(GMW!$NF$2:$NF$60=K$1),0),$F21-1966)</f>
        <v>271.536</v>
      </c>
      <c r="L21" s="4" cm="1">
        <f t="array" ref="L21">INDEX(GMW!$A$2:$NF$60,MATCH(1,(GMW!$NE$2:$NE$60=L$3)*(GMW!$ND$2:$ND$60=L$4)*(GMW!$NF$2:$NF$60=L$1),0),$F21-1966)</f>
        <v>259.32069999999999</v>
      </c>
      <c r="M21" s="4" cm="1">
        <f t="array" ref="M21">INDEX(GMW!$A$2:$NF$60,MATCH(1,(GMW!$NE$2:$NE$60=M$3)*(GMW!$ND$2:$ND$60=M$4)*(GMW!$NF$2:$NF$60=M$1),0),$F21-1966)</f>
        <v>197893.3</v>
      </c>
      <c r="N21" s="4" cm="1">
        <f t="array" ref="N21">INDEX(GMW!$A$2:$NF$60,MATCH(1,(GMW!$NE$2:$NE$60=N$3)*(GMW!$ND$2:$ND$60=N$4)*(GMW!$NF$2:$NF$60=N$1),0),$F21-1966)</f>
        <v>-2444</v>
      </c>
      <c r="O21" s="4" cm="1">
        <f t="array" ref="O21">INDEX(GMW!$A$2:$NF$60,MATCH(1,(GMW!$NE$2:$NE$60=O$3)*(GMW!$ND$2:$ND$60=O$4)*(GMW!$NF$2:$NF$60=O$1),0),$F21-1966)</f>
        <v>-25.784749999999999</v>
      </c>
      <c r="P21" s="4" cm="1">
        <f t="array" ref="P21">INDEX(GMW!$A$2:$NF$60,MATCH(1,(GMW!$NE$2:$NE$60=P$3)*(GMW!$ND$2:$ND$60=P$4)*(GMW!$NF$2:$NF$60=P$1),0),$F21-1966)</f>
        <v>-2371</v>
      </c>
      <c r="Q21" s="4" cm="1">
        <f t="array" ref="Q21">INDEX(GMW!$A$2:$NF$60,MATCH(1,(GMW!$NE$2:$NE$60=Q$3)*(GMW!$ND$2:$ND$60=Q$4)*(GMW!$NF$2:$NF$60=Q$1),0),$F21-1966)</f>
        <v>-12.720549999999999</v>
      </c>
      <c r="R21" s="4" cm="1">
        <f t="array" ref="R21">INDEX(GMW!$A$2:$NF$60,MATCH(1,(GMW!$NE$2:$NE$60=R$3)*(GMW!$ND$2:$ND$60=R$4)*(GMW!$NF$2:$NF$60=R$1),0),$F21-1966)</f>
        <v>-0.25779770000000002</v>
      </c>
      <c r="S21" s="4" cm="1">
        <f t="array" ref="S21">INDEX(GMW!$A$2:$NF$60,MATCH(1,(GMW!$NE$2:$NE$60=S$3)*(GMW!$ND$2:$ND$60=S$4)*(GMW!$NF$2:$NF$60=S$1),0),$F21-1966)</f>
        <v>-1.8223780000000001</v>
      </c>
      <c r="T21" s="4" cm="1">
        <f t="array" ref="T21">INDEX(GMW!$A$2:$NF$60,MATCH(1,(GMW!$NE$2:$NE$60=T$3)*(GMW!$ND$2:$ND$60=T$4)*(GMW!$NF$2:$NF$60=T$1),0),$F21-1966)</f>
        <v>-623</v>
      </c>
      <c r="U21" s="4" cm="1">
        <f t="array" ref="U21">INDEX(GMW!$A$2:$NF$60,MATCH(1,(GMW!$NE$2:$NE$60=U$3)*(GMW!$ND$2:$ND$60=U$4)*(GMW!$NF$2:$NF$60=U$1),0),$F21-1966)</f>
        <v>70814.5</v>
      </c>
      <c r="V21" s="4" cm="1">
        <f t="array" ref="V21">INDEX(GMW!$A$2:$NF$60,MATCH(1,(GMW!$NE$2:$NE$60=V$3)*(GMW!$ND$2:$ND$60=V$4)*(GMW!$NF$2:$NF$60=V$1),0),$F21-1966)</f>
        <v>1495.921</v>
      </c>
      <c r="W21" s="4" cm="1">
        <f t="array" ref="W21">INDEX(GMW!$A$2:$NF$60,MATCH(1,(GMW!$NE$2:$NE$60=W$3)*(GMW!$ND$2:$ND$60=W$4)*(GMW!$NF$2:$NF$60=W$1),0),$F21-1966)</f>
        <v>40371</v>
      </c>
      <c r="X21" s="4" cm="1">
        <f t="array" ref="X21">INDEX(GMW!$A$2:$NF$60,MATCH(1,(GMW!$NE$2:$NE$60=X$3)*(GMW!$ND$2:$ND$60=X$4)*(GMW!$NF$2:$NF$60=X$1),0),$F21-1966)</f>
        <v>151.40020000000001</v>
      </c>
      <c r="Y21" s="4" cm="1">
        <f t="array" ref="Y21">INDEX(GMW!$A$2:$NF$60,MATCH(1,(GMW!$NE$2:$NE$60=Y$3)*(GMW!$ND$2:$ND$60=Y$4)*(GMW!$NF$2:$NF$60=Y$1),0),$F21-1966)</f>
        <v>75.358549999999994</v>
      </c>
      <c r="Z21" s="4" cm="1">
        <f t="array" ref="Z21">INDEX(GMW!$A$2:$NF$60,MATCH(1,(GMW!$NE$2:$NE$60=Z$3)*(GMW!$ND$2:$ND$60=Z$4)*(GMW!$NF$2:$NF$60=Z$1),0),$F21-1966)</f>
        <v>73.069500000000005</v>
      </c>
      <c r="AA21" s="4" cm="1">
        <f t="array" ref="AA21">INDEX(GMW!$A$2:$NF$60,MATCH(1,(GMW!$NE$2:$NE$60=AA$3)*(GMW!$ND$2:$ND$60=AA$4)*(GMW!$NF$2:$NF$60=AA$1),0),$F21-1966)</f>
        <v>89152</v>
      </c>
      <c r="AB21" s="4" cm="1">
        <f t="array" ref="AB21">INDEX(GMW!$A$2:$NF$60,MATCH(1,(GMW!$NE$2:$NE$60=AB$3)*(GMW!$ND$2:$ND$60=AB$4)*(GMW!$NF$2:$NF$60=AB$1),0),$F21-1966)</f>
        <v>34550</v>
      </c>
      <c r="AC21" s="4" cm="1">
        <f t="array" ref="AC21">INDEX(GMW!$A$2:$NF$60,MATCH(1,(GMW!$NE$2:$NE$60=AC$3)*(GMW!$ND$2:$ND$60=AC$4)*(GMW!$NF$2:$NF$60=AC$1),0),$F21-1966)</f>
        <v>471.65</v>
      </c>
      <c r="AD21" s="4" cm="1">
        <f t="array" ref="AD21">INDEX(GMW!$A$2:$NF$60,MATCH(1,(GMW!$NE$2:$NE$60=AD$3)*(GMW!$ND$2:$ND$60=AD$4)*(GMW!$NF$2:$NF$60=AD$1),0),$F21-1966)</f>
        <v>43663.79</v>
      </c>
      <c r="AE21" s="4" cm="1">
        <f t="array" ref="AE21">INDEX(GMW!$A$2:$NF$60,MATCH(1,(GMW!$NE$2:$NE$60=AE$3)*(GMW!$ND$2:$ND$60=AE$4)*(GMW!$NF$2:$NF$60=AE$1),0),$F21-1966)</f>
        <v>169.88390000000001</v>
      </c>
      <c r="AF21" s="4" cm="1">
        <f t="array" ref="AF21">INDEX(GMW!$A$2:$NF$60,MATCH(1,(GMW!$NE$2:$NE$60=AF$3)*(GMW!$ND$2:$ND$60=AF$4)*(GMW!$NF$2:$NF$60=AF$1),0),$F21-1966)</f>
        <v>68.849999999999994</v>
      </c>
      <c r="AG21" s="4" cm="1">
        <f t="array" ref="AG21">INDEX(GMW!$A$2:$NF$60,MATCH(1,(GMW!$NE$2:$NE$60=AG$3)*(GMW!$ND$2:$ND$60=AG$4)*(GMW!$NF$2:$NF$60=AG$1),0),$F21-1966)</f>
        <v>25.045999999999999</v>
      </c>
      <c r="AH21" s="4" cm="1">
        <f t="array" ref="AH21">INDEX(GMW!$A$2:$NF$60,MATCH(1,(GMW!$NE$2:$NE$60=AH$3)*(GMW!$ND$2:$ND$60=AH$4)*(GMW!$NF$2:$NF$60=AH$1),0),$F21-1966)</f>
        <v>52112</v>
      </c>
    </row>
    <row r="22" spans="1:34" x14ac:dyDescent="0.25">
      <c r="B22" s="4">
        <f t="shared" si="5"/>
        <v>1976</v>
      </c>
      <c r="C22" s="4">
        <f t="shared" si="5"/>
        <v>1976</v>
      </c>
      <c r="E22" s="4">
        <f t="shared" ref="E22" si="8">+E18+1</f>
        <v>1976</v>
      </c>
      <c r="F22" s="4">
        <f t="shared" si="4"/>
        <v>1988</v>
      </c>
      <c r="G22" s="4" cm="1">
        <f t="array" ref="G22">INDEX(GMW!$A$2:$NF$60,MATCH(1,(GMW!$NE$2:$NE$60=G$3)*(GMW!$ND$2:$ND$60=G$4)*(GMW!$NF$2:$NF$60=G$1),0),$F22-1966)</f>
        <v>249511</v>
      </c>
      <c r="H22" s="4" cm="1">
        <f t="array" ref="H22">INDEX(GMW!$A$2:$NF$60,MATCH(1,(GMW!$NE$2:$NE$60=H$3)*(GMW!$ND$2:$ND$60=H$4)*(GMW!$NF$2:$NF$60=H$1),0),$F22-1966)</f>
        <v>1612.8</v>
      </c>
      <c r="I22" s="4" cm="1">
        <f t="array" ref="I22">INDEX(GMW!$A$2:$NF$60,MATCH(1,(GMW!$NE$2:$NE$60=I$3)*(GMW!$ND$2:$ND$60=I$4)*(GMW!$NF$2:$NF$60=I$1),0),$F22-1966)</f>
        <v>56653.35</v>
      </c>
      <c r="J22" s="4" cm="1">
        <f t="array" ref="J22">INDEX(GMW!$A$2:$NF$60,MATCH(1,(GMW!$NE$2:$NE$60=J$3)*(GMW!$ND$2:$ND$60=J$4)*(GMW!$NF$2:$NF$60=J$1),0),$F22-1966)</f>
        <v>413.88</v>
      </c>
      <c r="K22" s="4" cm="1">
        <f t="array" ref="K22">INDEX(GMW!$A$2:$NF$60,MATCH(1,(GMW!$NE$2:$NE$60=K$3)*(GMW!$ND$2:$ND$60=K$4)*(GMW!$NF$2:$NF$60=K$1),0),$F22-1966)</f>
        <v>273.45299999999997</v>
      </c>
      <c r="L22" s="4" cm="1">
        <f t="array" ref="L22">INDEX(GMW!$A$2:$NF$60,MATCH(1,(GMW!$NE$2:$NE$60=L$3)*(GMW!$ND$2:$ND$60=L$4)*(GMW!$NF$2:$NF$60=L$1),0),$F22-1966)</f>
        <v>263.81970000000001</v>
      </c>
      <c r="M22" s="4" cm="1">
        <f t="array" ref="M22">INDEX(GMW!$A$2:$NF$60,MATCH(1,(GMW!$NE$2:$NE$60=M$3)*(GMW!$ND$2:$ND$60=M$4)*(GMW!$NF$2:$NF$60=M$1),0),$F22-1966)</f>
        <v>198213</v>
      </c>
      <c r="N22" s="4" cm="1">
        <f t="array" ref="N22">INDEX(GMW!$A$2:$NF$60,MATCH(1,(GMW!$NE$2:$NE$60=N$3)*(GMW!$ND$2:$ND$60=N$4)*(GMW!$NF$2:$NF$60=N$1),0),$F22-1966)</f>
        <v>-1081</v>
      </c>
      <c r="O22" s="4" cm="1">
        <f t="array" ref="O22">INDEX(GMW!$A$2:$NF$60,MATCH(1,(GMW!$NE$2:$NE$60=O$3)*(GMW!$ND$2:$ND$60=O$4)*(GMW!$NF$2:$NF$60=O$1),0),$F22-1966)</f>
        <v>-25.148</v>
      </c>
      <c r="P22" s="4" cm="1">
        <f t="array" ref="P22">INDEX(GMW!$A$2:$NF$60,MATCH(1,(GMW!$NE$2:$NE$60=P$3)*(GMW!$ND$2:$ND$60=P$4)*(GMW!$NF$2:$NF$60=P$1),0),$F22-1966)</f>
        <v>-1948</v>
      </c>
      <c r="Q22" s="4" cm="1">
        <f t="array" ref="Q22">INDEX(GMW!$A$2:$NF$60,MATCH(1,(GMW!$NE$2:$NE$60=Q$3)*(GMW!$ND$2:$ND$60=Q$4)*(GMW!$NF$2:$NF$60=Q$1),0),$F22-1966)</f>
        <v>-12.70025</v>
      </c>
      <c r="R22" s="4" cm="1">
        <f t="array" ref="R22">INDEX(GMW!$A$2:$NF$60,MATCH(1,(GMW!$NE$2:$NE$60=R$3)*(GMW!$ND$2:$ND$60=R$4)*(GMW!$NF$2:$NF$60=R$1),0),$F22-1966)</f>
        <v>-0.35107729999999998</v>
      </c>
      <c r="S22" s="4" cm="1">
        <f t="array" ref="S22">INDEX(GMW!$A$2:$NF$60,MATCH(1,(GMW!$NE$2:$NE$60=S$3)*(GMW!$ND$2:$ND$60=S$4)*(GMW!$NF$2:$NF$60=S$1),0),$F22-1966)</f>
        <v>-1.8091470000000001</v>
      </c>
      <c r="T22" s="4" cm="1">
        <f t="array" ref="T22">INDEX(GMW!$A$2:$NF$60,MATCH(1,(GMW!$NE$2:$NE$60=T$3)*(GMW!$ND$2:$ND$60=T$4)*(GMW!$NF$2:$NF$60=T$1),0),$F22-1966)</f>
        <v>-1430</v>
      </c>
      <c r="U22" s="4" cm="1">
        <f t="array" ref="U22">INDEX(GMW!$A$2:$NF$60,MATCH(1,(GMW!$NE$2:$NE$60=U$3)*(GMW!$ND$2:$ND$60=U$4)*(GMW!$NF$2:$NF$60=U$1),0),$F22-1966)</f>
        <v>73402.75</v>
      </c>
      <c r="V22" s="4" cm="1">
        <f t="array" ref="V22">INDEX(GMW!$A$2:$NF$60,MATCH(1,(GMW!$NE$2:$NE$60=V$3)*(GMW!$ND$2:$ND$60=V$4)*(GMW!$NF$2:$NF$60=V$1),0),$F22-1966)</f>
        <v>1521.4770000000001</v>
      </c>
      <c r="W22" s="4" cm="1">
        <f t="array" ref="W22">INDEX(GMW!$A$2:$NF$60,MATCH(1,(GMW!$NE$2:$NE$60=W$3)*(GMW!$ND$2:$ND$60=W$4)*(GMW!$NF$2:$NF$60=W$1),0),$F22-1966)</f>
        <v>44086</v>
      </c>
      <c r="X22" s="4" cm="1">
        <f t="array" ref="X22">INDEX(GMW!$A$2:$NF$60,MATCH(1,(GMW!$NE$2:$NE$60=X$3)*(GMW!$ND$2:$ND$60=X$4)*(GMW!$NF$2:$NF$60=X$1),0),$F22-1966)</f>
        <v>155.01509999999999</v>
      </c>
      <c r="Y22" s="4" cm="1">
        <f t="array" ref="Y22">INDEX(GMW!$A$2:$NF$60,MATCH(1,(GMW!$NE$2:$NE$60=Y$3)*(GMW!$ND$2:$ND$60=Y$4)*(GMW!$NF$2:$NF$60=Y$1),0),$F22-1966)</f>
        <v>77.048749999999998</v>
      </c>
      <c r="Z22" s="4" cm="1">
        <f t="array" ref="Z22">INDEX(GMW!$A$2:$NF$60,MATCH(1,(GMW!$NE$2:$NE$60=Z$3)*(GMW!$ND$2:$ND$60=Z$4)*(GMW!$NF$2:$NF$60=Z$1),0),$F22-1966)</f>
        <v>76.945999999999998</v>
      </c>
      <c r="AA22" s="4" cm="1">
        <f t="array" ref="AA22">INDEX(GMW!$A$2:$NF$60,MATCH(1,(GMW!$NE$2:$NE$60=AA$3)*(GMW!$ND$2:$ND$60=AA$4)*(GMW!$NF$2:$NF$60=AA$1),0),$F22-1966)</f>
        <v>91437</v>
      </c>
      <c r="AB22" s="4" cm="1">
        <f t="array" ref="AB22">INDEX(GMW!$A$2:$NF$60,MATCH(1,(GMW!$NE$2:$NE$60=AB$3)*(GMW!$ND$2:$ND$60=AB$4)*(GMW!$NF$2:$NF$60=AB$1),0),$F22-1966)</f>
        <v>36678</v>
      </c>
      <c r="AC22" s="4" cm="1">
        <f t="array" ref="AC22">INDEX(GMW!$A$2:$NF$60,MATCH(1,(GMW!$NE$2:$NE$60=AC$3)*(GMW!$ND$2:$ND$60=AC$4)*(GMW!$NF$2:$NF$60=AC$1),0),$F22-1966)</f>
        <v>483.57499999999999</v>
      </c>
      <c r="AD22" s="4" cm="1">
        <f t="array" ref="AD22">INDEX(GMW!$A$2:$NF$60,MATCH(1,(GMW!$NE$2:$NE$60=AD$3)*(GMW!$ND$2:$ND$60=AD$4)*(GMW!$NF$2:$NF$60=AD$1),0),$F22-1966)</f>
        <v>44307.26</v>
      </c>
      <c r="AE22" s="4" cm="1">
        <f t="array" ref="AE22">INDEX(GMW!$A$2:$NF$60,MATCH(1,(GMW!$NE$2:$NE$60=AE$3)*(GMW!$ND$2:$ND$60=AE$4)*(GMW!$NF$2:$NF$60=AE$1),0),$F22-1966)</f>
        <v>174.54759999999999</v>
      </c>
      <c r="AF22" s="4" cm="1">
        <f t="array" ref="AF22">INDEX(GMW!$A$2:$NF$60,MATCH(1,(GMW!$NE$2:$NE$60=AF$3)*(GMW!$ND$2:$ND$60=AF$4)*(GMW!$NF$2:$NF$60=AF$1),0),$F22-1966)</f>
        <v>70.995999999999995</v>
      </c>
      <c r="AG22" s="4" cm="1">
        <f t="array" ref="AG22">INDEX(GMW!$A$2:$NF$60,MATCH(1,(GMW!$NE$2:$NE$60=AG$3)*(GMW!$ND$2:$ND$60=AG$4)*(GMW!$NF$2:$NF$60=AG$1),0),$F22-1966)</f>
        <v>26.776</v>
      </c>
      <c r="AH22" s="4" cm="1">
        <f t="array" ref="AH22">INDEX(GMW!$A$2:$NF$60,MATCH(1,(GMW!$NE$2:$NE$60=AH$3)*(GMW!$ND$2:$ND$60=AH$4)*(GMW!$NF$2:$NF$60=AH$1),0),$F22-1966)</f>
        <v>53249</v>
      </c>
    </row>
    <row r="23" spans="1:34" x14ac:dyDescent="0.25">
      <c r="A23" s="4">
        <v>1977</v>
      </c>
      <c r="B23" s="4">
        <f t="shared" si="5"/>
        <v>1977</v>
      </c>
      <c r="C23" s="4">
        <f t="shared" si="5"/>
        <v>1976</v>
      </c>
      <c r="D23" s="4">
        <f t="shared" si="5"/>
        <v>1976</v>
      </c>
      <c r="F23" s="4">
        <f t="shared" si="4"/>
        <v>1989</v>
      </c>
      <c r="G23" s="4" cm="1">
        <f t="array" ref="G23">INDEX(GMW!$A$2:$NF$60,MATCH(1,(GMW!$NE$2:$NE$60=G$3)*(GMW!$ND$2:$ND$60=G$4)*(GMW!$NF$2:$NF$60=G$1),0),$F23-1966)</f>
        <v>249671</v>
      </c>
      <c r="H23" s="4" cm="1">
        <f t="array" ref="H23">INDEX(GMW!$A$2:$NF$60,MATCH(1,(GMW!$NE$2:$NE$60=H$3)*(GMW!$ND$2:$ND$60=H$4)*(GMW!$NF$2:$NF$60=H$1),0),$F23-1966)</f>
        <v>1631.925</v>
      </c>
      <c r="I23" s="4" cm="1">
        <f t="array" ref="I23">INDEX(GMW!$A$2:$NF$60,MATCH(1,(GMW!$NE$2:$NE$60=I$3)*(GMW!$ND$2:$ND$60=I$4)*(GMW!$NF$2:$NF$60=I$1),0),$F23-1966)</f>
        <v>57921.84</v>
      </c>
      <c r="J23" s="4" cm="1">
        <f t="array" ref="J23">INDEX(GMW!$A$2:$NF$60,MATCH(1,(GMW!$NE$2:$NE$60=J$3)*(GMW!$ND$2:$ND$60=J$4)*(GMW!$NF$2:$NF$60=J$1),0),$F23-1966)</f>
        <v>417.53</v>
      </c>
      <c r="K23" s="4" cm="1">
        <f t="array" ref="K23">INDEX(GMW!$A$2:$NF$60,MATCH(1,(GMW!$NE$2:$NE$60=K$3)*(GMW!$ND$2:$ND$60=K$4)*(GMW!$NF$2:$NF$60=K$1),0),$F23-1966)</f>
        <v>276.54700000000003</v>
      </c>
      <c r="L23" s="4" cm="1">
        <f t="array" ref="L23">INDEX(GMW!$A$2:$NF$60,MATCH(1,(GMW!$NE$2:$NE$60=L$3)*(GMW!$ND$2:$ND$60=L$4)*(GMW!$NF$2:$NF$60=L$1),0),$F23-1966)</f>
        <v>263.92410000000001</v>
      </c>
      <c r="M23" s="4" cm="1">
        <f t="array" ref="M23">INDEX(GMW!$A$2:$NF$60,MATCH(1,(GMW!$NE$2:$NE$60=M$3)*(GMW!$ND$2:$ND$60=M$4)*(GMW!$NF$2:$NF$60=M$1),0),$F23-1966)</f>
        <v>201253.3</v>
      </c>
      <c r="N23" s="4" cm="1">
        <f t="array" ref="N23">INDEX(GMW!$A$2:$NF$60,MATCH(1,(GMW!$NE$2:$NE$60=N$3)*(GMW!$ND$2:$ND$60=N$4)*(GMW!$NF$2:$NF$60=N$1),0),$F23-1966)</f>
        <v>-1553</v>
      </c>
      <c r="O23" s="4" cm="1">
        <f t="array" ref="O23">INDEX(GMW!$A$2:$NF$60,MATCH(1,(GMW!$NE$2:$NE$60=O$3)*(GMW!$ND$2:$ND$60=O$4)*(GMW!$NF$2:$NF$60=O$1),0),$F23-1966)</f>
        <v>-21.460999999999999</v>
      </c>
      <c r="P23" s="4" cm="1">
        <f t="array" ref="P23">INDEX(GMW!$A$2:$NF$60,MATCH(1,(GMW!$NE$2:$NE$60=P$3)*(GMW!$ND$2:$ND$60=P$4)*(GMW!$NF$2:$NF$60=P$1),0),$F23-1966)</f>
        <v>-2302.75</v>
      </c>
      <c r="Q23" s="4" cm="1">
        <f t="array" ref="Q23">INDEX(GMW!$A$2:$NF$60,MATCH(1,(GMW!$NE$2:$NE$60=Q$3)*(GMW!$ND$2:$ND$60=Q$4)*(GMW!$NF$2:$NF$60=Q$1),0),$F23-1966)</f>
        <v>-10.51159</v>
      </c>
      <c r="R23" s="4" cm="1">
        <f t="array" ref="R23">INDEX(GMW!$A$2:$NF$60,MATCH(1,(GMW!$NE$2:$NE$60=R$3)*(GMW!$ND$2:$ND$60=R$4)*(GMW!$NF$2:$NF$60=R$1),0),$F23-1966)</f>
        <v>-0.35524869999999997</v>
      </c>
      <c r="S23" s="4" cm="1">
        <f t="array" ref="S23">INDEX(GMW!$A$2:$NF$60,MATCH(1,(GMW!$NE$2:$NE$60=S$3)*(GMW!$ND$2:$ND$60=S$4)*(GMW!$NF$2:$NF$60=S$1),0),$F23-1966)</f>
        <v>-1.8082339999999999</v>
      </c>
      <c r="T23" s="4" cm="1">
        <f t="array" ref="T23">INDEX(GMW!$A$2:$NF$60,MATCH(1,(GMW!$NE$2:$NE$60=T$3)*(GMW!$ND$2:$ND$60=T$4)*(GMW!$NF$2:$NF$60=T$1),0),$F23-1966)</f>
        <v>-1183</v>
      </c>
      <c r="U23" s="4" cm="1">
        <f t="array" ref="U23">INDEX(GMW!$A$2:$NF$60,MATCH(1,(GMW!$NE$2:$NE$60=U$3)*(GMW!$ND$2:$ND$60=U$4)*(GMW!$NF$2:$NF$60=U$1),0),$F23-1966)</f>
        <v>75991</v>
      </c>
      <c r="V23" s="4" cm="1">
        <f t="array" ref="V23">INDEX(GMW!$A$2:$NF$60,MATCH(1,(GMW!$NE$2:$NE$60=V$3)*(GMW!$ND$2:$ND$60=V$4)*(GMW!$NF$2:$NF$60=V$1),0),$F23-1966)</f>
        <v>1556.1210000000001</v>
      </c>
      <c r="W23" s="4" cm="1">
        <f t="array" ref="W23">INDEX(GMW!$A$2:$NF$60,MATCH(1,(GMW!$NE$2:$NE$60=W$3)*(GMW!$ND$2:$ND$60=W$4)*(GMW!$NF$2:$NF$60=W$1),0),$F23-1966)</f>
        <v>47796</v>
      </c>
      <c r="X23" s="4" cm="1">
        <f t="array" ref="X23">INDEX(GMW!$A$2:$NF$60,MATCH(1,(GMW!$NE$2:$NE$60=X$3)*(GMW!$ND$2:$ND$60=X$4)*(GMW!$NF$2:$NF$60=X$1),0),$F23-1966)</f>
        <v>158.1867</v>
      </c>
      <c r="Y23" s="4" cm="1">
        <f t="array" ref="Y23">INDEX(GMW!$A$2:$NF$60,MATCH(1,(GMW!$NE$2:$NE$60=Y$3)*(GMW!$ND$2:$ND$60=Y$4)*(GMW!$NF$2:$NF$60=Y$1),0),$F23-1966)</f>
        <v>79.175899999999999</v>
      </c>
      <c r="Z23" s="4" cm="1">
        <f t="array" ref="Z23">INDEX(GMW!$A$2:$NF$60,MATCH(1,(GMW!$NE$2:$NE$60=Z$3)*(GMW!$ND$2:$ND$60=Z$4)*(GMW!$NF$2:$NF$60=Z$1),0),$F23-1966)</f>
        <v>82.096999999999994</v>
      </c>
      <c r="AA23" s="4" cm="1">
        <f t="array" ref="AA23">INDEX(GMW!$A$2:$NF$60,MATCH(1,(GMW!$NE$2:$NE$60=AA$3)*(GMW!$ND$2:$ND$60=AA$4)*(GMW!$NF$2:$NF$60=AA$1),0),$F23-1966)</f>
        <v>94704</v>
      </c>
      <c r="AB23" s="4" cm="1">
        <f t="array" ref="AB23">INDEX(GMW!$A$2:$NF$60,MATCH(1,(GMW!$NE$2:$NE$60=AB$3)*(GMW!$ND$2:$ND$60=AB$4)*(GMW!$NF$2:$NF$60=AB$1),0),$F23-1966)</f>
        <v>38038</v>
      </c>
      <c r="AC23" s="4" cm="1">
        <f t="array" ref="AC23">INDEX(GMW!$A$2:$NF$60,MATCH(1,(GMW!$NE$2:$NE$60=AC$3)*(GMW!$ND$2:$ND$60=AC$4)*(GMW!$NF$2:$NF$60=AC$1),0),$F23-1966)</f>
        <v>497.15</v>
      </c>
      <c r="AD23" s="4" cm="1">
        <f t="array" ref="AD23">INDEX(GMW!$A$2:$NF$60,MATCH(1,(GMW!$NE$2:$NE$60=AD$3)*(GMW!$ND$2:$ND$60=AD$4)*(GMW!$NF$2:$NF$60=AD$1),0),$F23-1966)</f>
        <v>46208.160000000003</v>
      </c>
      <c r="AE23" s="4" cm="1">
        <f t="array" ref="AE23">INDEX(GMW!$A$2:$NF$60,MATCH(1,(GMW!$NE$2:$NE$60=AE$3)*(GMW!$ND$2:$ND$60=AE$4)*(GMW!$NF$2:$NF$60=AE$1),0),$F23-1966)</f>
        <v>177.1104</v>
      </c>
      <c r="AF23" s="4" cm="1">
        <f t="array" ref="AF23">INDEX(GMW!$A$2:$NF$60,MATCH(1,(GMW!$NE$2:$NE$60=AF$3)*(GMW!$ND$2:$ND$60=AF$4)*(GMW!$NF$2:$NF$60=AF$1),0),$F23-1966)</f>
        <v>72.793999999999997</v>
      </c>
      <c r="AG23" s="4" cm="1">
        <f t="array" ref="AG23">INDEX(GMW!$A$2:$NF$60,MATCH(1,(GMW!$NE$2:$NE$60=AG$3)*(GMW!$ND$2:$ND$60=AG$4)*(GMW!$NF$2:$NF$60=AG$1),0),$F23-1966)</f>
        <v>27.997</v>
      </c>
      <c r="AH23" s="4" cm="1">
        <f t="array" ref="AH23">INDEX(GMW!$A$2:$NF$60,MATCH(1,(GMW!$NE$2:$NE$60=AH$3)*(GMW!$ND$2:$ND$60=AH$4)*(GMW!$NF$2:$NF$60=AH$1),0),$F23-1966)</f>
        <v>54978</v>
      </c>
    </row>
    <row r="24" spans="1:34" x14ac:dyDescent="0.25">
      <c r="B24" s="4">
        <f t="shared" si="5"/>
        <v>1977</v>
      </c>
      <c r="C24" s="4">
        <f t="shared" si="5"/>
        <v>1977</v>
      </c>
      <c r="F24" s="4">
        <f t="shared" si="4"/>
        <v>1990</v>
      </c>
      <c r="G24" s="4" cm="1">
        <f t="array" ref="G24">INDEX(GMW!$A$2:$NF$60,MATCH(1,(GMW!$NE$2:$NE$60=G$3)*(GMW!$ND$2:$ND$60=G$4)*(GMW!$NF$2:$NF$60=G$1),0),$F24-1966)</f>
        <v>247936</v>
      </c>
      <c r="H24" s="4" cm="1">
        <f t="array" ref="H24">INDEX(GMW!$A$2:$NF$60,MATCH(1,(GMW!$NE$2:$NE$60=H$3)*(GMW!$ND$2:$ND$60=H$4)*(GMW!$NF$2:$NF$60=H$1),0),$F24-1966)</f>
        <v>1663.625</v>
      </c>
      <c r="I24" s="4" cm="1">
        <f t="array" ref="I24">INDEX(GMW!$A$2:$NF$60,MATCH(1,(GMW!$NE$2:$NE$60=I$3)*(GMW!$ND$2:$ND$60=I$4)*(GMW!$NF$2:$NF$60=I$1),0),$F24-1966)</f>
        <v>58330.15</v>
      </c>
      <c r="J24" s="4" cm="1">
        <f t="array" ref="J24">INDEX(GMW!$A$2:$NF$60,MATCH(1,(GMW!$NE$2:$NE$60=J$3)*(GMW!$ND$2:$ND$60=J$4)*(GMW!$NF$2:$NF$60=J$1),0),$F24-1966)</f>
        <v>419.84</v>
      </c>
      <c r="K24" s="4" cm="1">
        <f t="array" ref="K24">INDEX(GMW!$A$2:$NF$60,MATCH(1,(GMW!$NE$2:$NE$60=K$3)*(GMW!$ND$2:$ND$60=K$4)*(GMW!$NF$2:$NF$60=K$1),0),$F24-1966)</f>
        <v>277.65499999999997</v>
      </c>
      <c r="L24" s="4" cm="1">
        <f t="array" ref="L24">INDEX(GMW!$A$2:$NF$60,MATCH(1,(GMW!$NE$2:$NE$60=L$3)*(GMW!$ND$2:$ND$60=L$4)*(GMW!$NF$2:$NF$60=L$1),0),$F24-1966)</f>
        <v>262.45429999999999</v>
      </c>
      <c r="M24" s="4" cm="1">
        <f t="array" ref="M24">INDEX(GMW!$A$2:$NF$60,MATCH(1,(GMW!$NE$2:$NE$60=M$3)*(GMW!$ND$2:$ND$60=M$4)*(GMW!$NF$2:$NF$60=M$1),0),$F24-1966)</f>
        <v>202280.3</v>
      </c>
      <c r="N24" s="4" cm="1">
        <f t="array" ref="N24">INDEX(GMW!$A$2:$NF$60,MATCH(1,(GMW!$NE$2:$NE$60=N$3)*(GMW!$ND$2:$ND$60=N$4)*(GMW!$NF$2:$NF$60=N$1),0),$F24-1966)</f>
        <v>-1256</v>
      </c>
      <c r="O24" s="4" cm="1">
        <f t="array" ref="O24">INDEX(GMW!$A$2:$NF$60,MATCH(1,(GMW!$NE$2:$NE$60=O$3)*(GMW!$ND$2:$ND$60=O$4)*(GMW!$NF$2:$NF$60=O$1),0),$F24-1966)</f>
        <v>-21.699000000000002</v>
      </c>
      <c r="P24" s="4" cm="1">
        <f t="array" ref="P24">INDEX(GMW!$A$2:$NF$60,MATCH(1,(GMW!$NE$2:$NE$60=P$3)*(GMW!$ND$2:$ND$60=P$4)*(GMW!$NF$2:$NF$60=P$1),0),$F24-1966)</f>
        <v>-2357.75</v>
      </c>
      <c r="Q24" s="4" cm="1">
        <f t="array" ref="Q24">INDEX(GMW!$A$2:$NF$60,MATCH(1,(GMW!$NE$2:$NE$60=Q$3)*(GMW!$ND$2:$ND$60=Q$4)*(GMW!$NF$2:$NF$60=Q$1),0),$F24-1966)</f>
        <v>-10.67578</v>
      </c>
      <c r="R24" s="4" cm="1">
        <f t="array" ref="R24">INDEX(GMW!$A$2:$NF$60,MATCH(1,(GMW!$NE$2:$NE$60=R$3)*(GMW!$ND$2:$ND$60=R$4)*(GMW!$NF$2:$NF$60=R$1),0),$F24-1966)</f>
        <v>-0.29387629999999998</v>
      </c>
      <c r="S24" s="4" cm="1">
        <f t="array" ref="S24">INDEX(GMW!$A$2:$NF$60,MATCH(1,(GMW!$NE$2:$NE$60=S$3)*(GMW!$ND$2:$ND$60=S$4)*(GMW!$NF$2:$NF$60=S$1),0),$F24-1966)</f>
        <v>-1.8745989999999999</v>
      </c>
      <c r="T24" s="4" cm="1">
        <f t="array" ref="T24">INDEX(GMW!$A$2:$NF$60,MATCH(1,(GMW!$NE$2:$NE$60=T$3)*(GMW!$ND$2:$ND$60=T$4)*(GMW!$NF$2:$NF$60=T$1),0),$F24-1966)</f>
        <v>-2465</v>
      </c>
      <c r="U24" s="4" cm="1">
        <f t="array" ref="U24">INDEX(GMW!$A$2:$NF$60,MATCH(1,(GMW!$NE$2:$NE$60=U$3)*(GMW!$ND$2:$ND$60=U$4)*(GMW!$NF$2:$NF$60=U$1),0),$F24-1966)</f>
        <v>78582.5</v>
      </c>
      <c r="V24" s="4" cm="1">
        <f t="array" ref="V24">INDEX(GMW!$A$2:$NF$60,MATCH(1,(GMW!$NE$2:$NE$60=V$3)*(GMW!$ND$2:$ND$60=V$4)*(GMW!$NF$2:$NF$60=V$1),0),$F24-1966)</f>
        <v>1571.52</v>
      </c>
      <c r="W24" s="4" cm="1">
        <f t="array" ref="W24">INDEX(GMW!$A$2:$NF$60,MATCH(1,(GMW!$NE$2:$NE$60=W$3)*(GMW!$ND$2:$ND$60=W$4)*(GMW!$NF$2:$NF$60=W$1),0),$F24-1966)</f>
        <v>51506</v>
      </c>
      <c r="X24" s="4" cm="1">
        <f t="array" ref="X24">INDEX(GMW!$A$2:$NF$60,MATCH(1,(GMW!$NE$2:$NE$60=X$3)*(GMW!$ND$2:$ND$60=X$4)*(GMW!$NF$2:$NF$60=X$1),0),$F24-1966)</f>
        <v>161.756</v>
      </c>
      <c r="Y24" s="4" cm="1">
        <f t="array" ref="Y24">INDEX(GMW!$A$2:$NF$60,MATCH(1,(GMW!$NE$2:$NE$60=Y$3)*(GMW!$ND$2:$ND$60=Y$4)*(GMW!$NF$2:$NF$60=Y$1),0),$F24-1966)</f>
        <v>81.303049999999999</v>
      </c>
      <c r="Z24" s="4" cm="1">
        <f t="array" ref="Z24">INDEX(GMW!$A$2:$NF$60,MATCH(1,(GMW!$NE$2:$NE$60=Z$3)*(GMW!$ND$2:$ND$60=Z$4)*(GMW!$NF$2:$NF$60=Z$1),0),$F24-1966)</f>
        <v>87.248000000000005</v>
      </c>
      <c r="AA24" s="4" cm="1">
        <f t="array" ref="AA24">INDEX(GMW!$A$2:$NF$60,MATCH(1,(GMW!$NE$2:$NE$60=AA$3)*(GMW!$ND$2:$ND$60=AA$4)*(GMW!$NF$2:$NF$60=AA$1),0),$F24-1966)</f>
        <v>97970</v>
      </c>
      <c r="AB24" s="4" cm="1">
        <f t="array" ref="AB24">INDEX(GMW!$A$2:$NF$60,MATCH(1,(GMW!$NE$2:$NE$60=AB$3)*(GMW!$ND$2:$ND$60=AB$4)*(GMW!$NF$2:$NF$60=AB$1),0),$F24-1966)</f>
        <v>39244</v>
      </c>
      <c r="AC24" s="4" cm="1">
        <f t="array" ref="AC24">INDEX(GMW!$A$2:$NF$60,MATCH(1,(GMW!$NE$2:$NE$60=AC$3)*(GMW!$ND$2:$ND$60=AC$4)*(GMW!$NF$2:$NF$60=AC$1),0),$F24-1966)</f>
        <v>513.97500000000002</v>
      </c>
      <c r="AD24" s="4" cm="1">
        <f t="array" ref="AD24">INDEX(GMW!$A$2:$NF$60,MATCH(1,(GMW!$NE$2:$NE$60=AD$3)*(GMW!$ND$2:$ND$60=AD$4)*(GMW!$NF$2:$NF$60=AD$1),0),$F24-1966)</f>
        <v>47188.55</v>
      </c>
      <c r="AE24" s="4" cm="1">
        <f t="array" ref="AE24">INDEX(GMW!$A$2:$NF$60,MATCH(1,(GMW!$NE$2:$NE$60=AE$3)*(GMW!$ND$2:$ND$60=AE$4)*(GMW!$NF$2:$NF$60=AE$1),0),$F24-1966)</f>
        <v>179.65119999999999</v>
      </c>
      <c r="AF24" s="4" cm="1">
        <f t="array" ref="AF24">INDEX(GMW!$A$2:$NF$60,MATCH(1,(GMW!$NE$2:$NE$60=AF$3)*(GMW!$ND$2:$ND$60=AF$4)*(GMW!$NF$2:$NF$60=AF$1),0),$F24-1966)</f>
        <v>74.933000000000007</v>
      </c>
      <c r="AG24" s="4" cm="1">
        <f t="array" ref="AG24">INDEX(GMW!$A$2:$NF$60,MATCH(1,(GMW!$NE$2:$NE$60=AG$3)*(GMW!$ND$2:$ND$60=AG$4)*(GMW!$NF$2:$NF$60=AG$1),0),$F24-1966)</f>
        <v>29.015999999999998</v>
      </c>
      <c r="AH24" s="4" cm="1">
        <f t="array" ref="AH24">INDEX(GMW!$A$2:$NF$60,MATCH(1,(GMW!$NE$2:$NE$60=AH$3)*(GMW!$ND$2:$ND$60=AH$4)*(GMW!$NF$2:$NF$60=AH$1),0),$F24-1966)</f>
        <v>56202</v>
      </c>
    </row>
    <row r="25" spans="1:34" x14ac:dyDescent="0.25">
      <c r="B25" s="4">
        <f t="shared" si="5"/>
        <v>1977</v>
      </c>
      <c r="C25" s="4">
        <f t="shared" si="5"/>
        <v>1977</v>
      </c>
      <c r="F25" s="4">
        <f t="shared" si="4"/>
        <v>1991</v>
      </c>
      <c r="G25" s="4" cm="1">
        <f t="array" ref="G25">INDEX(GMW!$A$2:$NF$60,MATCH(1,(GMW!$NE$2:$NE$60=G$3)*(GMW!$ND$2:$ND$60=G$4)*(GMW!$NF$2:$NF$60=G$1),0),$F25-1966)</f>
        <v>249578</v>
      </c>
      <c r="H25" s="4" cm="1">
        <f t="array" ref="H25">INDEX(GMW!$A$2:$NF$60,MATCH(1,(GMW!$NE$2:$NE$60=H$3)*(GMW!$ND$2:$ND$60=H$4)*(GMW!$NF$2:$NF$60=H$1),0),$F25-1966)</f>
        <v>1693.625</v>
      </c>
      <c r="I25" s="4" cm="1">
        <f t="array" ref="I25">INDEX(GMW!$A$2:$NF$60,MATCH(1,(GMW!$NE$2:$NE$60=I$3)*(GMW!$ND$2:$ND$60=I$4)*(GMW!$NF$2:$NF$60=I$1),0),$F25-1966)</f>
        <v>58729.51</v>
      </c>
      <c r="J25" s="4" cm="1">
        <f t="array" ref="J25">INDEX(GMW!$A$2:$NF$60,MATCH(1,(GMW!$NE$2:$NE$60=J$3)*(GMW!$ND$2:$ND$60=J$4)*(GMW!$NF$2:$NF$60=J$1),0),$F25-1966)</f>
        <v>419.68</v>
      </c>
      <c r="K25" s="4" cm="1">
        <f t="array" ref="K25">INDEX(GMW!$A$2:$NF$60,MATCH(1,(GMW!$NE$2:$NE$60=K$3)*(GMW!$ND$2:$ND$60=K$4)*(GMW!$NF$2:$NF$60=K$1),0),$F25-1966)</f>
        <v>279.92700000000002</v>
      </c>
      <c r="L25" s="4" cm="1">
        <f t="array" ref="L25">INDEX(GMW!$A$2:$NF$60,MATCH(1,(GMW!$NE$2:$NE$60=L$3)*(GMW!$ND$2:$ND$60=L$4)*(GMW!$NF$2:$NF$60=L$1),0),$F25-1966)</f>
        <v>259.9991</v>
      </c>
      <c r="M25" s="4" cm="1">
        <f t="array" ref="M25">INDEX(GMW!$A$2:$NF$60,MATCH(1,(GMW!$NE$2:$NE$60=M$3)*(GMW!$ND$2:$ND$60=M$4)*(GMW!$NF$2:$NF$60=M$1),0),$F25-1966)</f>
        <v>203469.3</v>
      </c>
      <c r="N25" s="4" cm="1">
        <f t="array" ref="N25">INDEX(GMW!$A$2:$NF$60,MATCH(1,(GMW!$NE$2:$NE$60=N$3)*(GMW!$ND$2:$ND$60=N$4)*(GMW!$NF$2:$NF$60=N$1),0),$F25-1966)</f>
        <v>-1656</v>
      </c>
      <c r="O25" s="4" cm="1">
        <f t="array" ref="O25">INDEX(GMW!$A$2:$NF$60,MATCH(1,(GMW!$NE$2:$NE$60=O$3)*(GMW!$ND$2:$ND$60=O$4)*(GMW!$NF$2:$NF$60=O$1),0),$F25-1966)</f>
        <v>-22.277999999999999</v>
      </c>
      <c r="P25" s="4" cm="1">
        <f t="array" ref="P25">INDEX(GMW!$A$2:$NF$60,MATCH(1,(GMW!$NE$2:$NE$60=P$3)*(GMW!$ND$2:$ND$60=P$4)*(GMW!$NF$2:$NF$60=P$1),0),$F25-1966)</f>
        <v>-2623.5</v>
      </c>
      <c r="Q25" s="4" cm="1">
        <f t="array" ref="Q25">INDEX(GMW!$A$2:$NF$60,MATCH(1,(GMW!$NE$2:$NE$60=Q$3)*(GMW!$ND$2:$ND$60=Q$4)*(GMW!$NF$2:$NF$60=Q$1),0),$F25-1966)</f>
        <v>-11.292059999999999</v>
      </c>
      <c r="R25" s="4" cm="1">
        <f t="array" ref="R25">INDEX(GMW!$A$2:$NF$60,MATCH(1,(GMW!$NE$2:$NE$60=R$3)*(GMW!$ND$2:$ND$60=R$4)*(GMW!$NF$2:$NF$60=R$1),0),$F25-1966)</f>
        <v>-0.45606370000000002</v>
      </c>
      <c r="S25" s="4" cm="1">
        <f t="array" ref="S25">INDEX(GMW!$A$2:$NF$60,MATCH(1,(GMW!$NE$2:$NE$60=S$3)*(GMW!$ND$2:$ND$60=S$4)*(GMW!$NF$2:$NF$60=S$1),0),$F25-1966)</f>
        <v>-2.0082420000000001</v>
      </c>
      <c r="T25" s="4" cm="1">
        <f t="array" ref="T25">INDEX(GMW!$A$2:$NF$60,MATCH(1,(GMW!$NE$2:$NE$60=T$3)*(GMW!$ND$2:$ND$60=T$4)*(GMW!$NF$2:$NF$60=T$1),0),$F25-1966)</f>
        <v>-1574</v>
      </c>
      <c r="U25" s="4" cm="1">
        <f t="array" ref="U25">INDEX(GMW!$A$2:$NF$60,MATCH(1,(GMW!$NE$2:$NE$60=U$3)*(GMW!$ND$2:$ND$60=U$4)*(GMW!$NF$2:$NF$60=U$1),0),$F25-1966)</f>
        <v>81174</v>
      </c>
      <c r="V25" s="4" cm="1">
        <f t="array" ref="V25">INDEX(GMW!$A$2:$NF$60,MATCH(1,(GMW!$NE$2:$NE$60=V$3)*(GMW!$ND$2:$ND$60=V$4)*(GMW!$NF$2:$NF$60=V$1),0),$F25-1966)</f>
        <v>1606.528</v>
      </c>
      <c r="W25" s="4" cm="1">
        <f t="array" ref="W25">INDEX(GMW!$A$2:$NF$60,MATCH(1,(GMW!$NE$2:$NE$60=W$3)*(GMW!$ND$2:$ND$60=W$4)*(GMW!$NF$2:$NF$60=W$1),0),$F25-1966)</f>
        <v>55216</v>
      </c>
      <c r="X25" s="4" cm="1">
        <f t="array" ref="X25">INDEX(GMW!$A$2:$NF$60,MATCH(1,(GMW!$NE$2:$NE$60=X$3)*(GMW!$ND$2:$ND$60=X$4)*(GMW!$NF$2:$NF$60=X$1),0),$F25-1966)</f>
        <v>166.3947</v>
      </c>
      <c r="Y25" s="4" cm="1">
        <f t="array" ref="Y25">INDEX(GMW!$A$2:$NF$60,MATCH(1,(GMW!$NE$2:$NE$60=Y$3)*(GMW!$ND$2:$ND$60=Y$4)*(GMW!$NF$2:$NF$60=Y$1),0),$F25-1966)</f>
        <v>83.430210000000002</v>
      </c>
      <c r="Z25" s="4" cm="1">
        <f t="array" ref="Z25">INDEX(GMW!$A$2:$NF$60,MATCH(1,(GMW!$NE$2:$NE$60=Z$3)*(GMW!$ND$2:$ND$60=Z$4)*(GMW!$NF$2:$NF$60=Z$1),0),$F25-1966)</f>
        <v>92.399000000000001</v>
      </c>
      <c r="AA25" s="4" cm="1">
        <f t="array" ref="AA25">INDEX(GMW!$A$2:$NF$60,MATCH(1,(GMW!$NE$2:$NE$60=AA$3)*(GMW!$ND$2:$ND$60=AA$4)*(GMW!$NF$2:$NF$60=AA$1),0),$F25-1966)</f>
        <v>101237</v>
      </c>
      <c r="AB25" s="4" cm="1">
        <f t="array" ref="AB25">INDEX(GMW!$A$2:$NF$60,MATCH(1,(GMW!$NE$2:$NE$60=AB$3)*(GMW!$ND$2:$ND$60=AB$4)*(GMW!$NF$2:$NF$60=AB$1),0),$F25-1966)</f>
        <v>40339</v>
      </c>
      <c r="AC25" s="4" cm="1">
        <f t="array" ref="AC25">INDEX(GMW!$A$2:$NF$60,MATCH(1,(GMW!$NE$2:$NE$60=AC$3)*(GMW!$ND$2:$ND$60=AC$4)*(GMW!$NF$2:$NF$60=AC$1),0),$F25-1966)</f>
        <v>529.625</v>
      </c>
      <c r="AD25" s="4" cm="1">
        <f t="array" ref="AD25">INDEX(GMW!$A$2:$NF$60,MATCH(1,(GMW!$NE$2:$NE$60=AD$3)*(GMW!$ND$2:$ND$60=AD$4)*(GMW!$NF$2:$NF$60=AD$1),0),$F25-1966)</f>
        <v>48206.74</v>
      </c>
      <c r="AE25" s="4" cm="1">
        <f t="array" ref="AE25">INDEX(GMW!$A$2:$NF$60,MATCH(1,(GMW!$NE$2:$NE$60=AE$3)*(GMW!$ND$2:$ND$60=AE$4)*(GMW!$NF$2:$NF$60=AE$1),0),$F25-1966)</f>
        <v>180.2672</v>
      </c>
      <c r="AF25" s="4" cm="1">
        <f t="array" ref="AF25">INDEX(GMW!$A$2:$NF$60,MATCH(1,(GMW!$NE$2:$NE$60=AF$3)*(GMW!$ND$2:$ND$60=AF$4)*(GMW!$NF$2:$NF$60=AF$1),0),$F25-1966)</f>
        <v>77.081999999999994</v>
      </c>
      <c r="AG25" s="4" cm="1">
        <f t="array" ref="AG25">INDEX(GMW!$A$2:$NF$60,MATCH(1,(GMW!$NE$2:$NE$60=AG$3)*(GMW!$ND$2:$ND$60=AG$4)*(GMW!$NF$2:$NF$60=AG$1),0),$F25-1966)</f>
        <v>29.611999999999998</v>
      </c>
      <c r="AH25" s="4" cm="1">
        <f t="array" ref="AH25">INDEX(GMW!$A$2:$NF$60,MATCH(1,(GMW!$NE$2:$NE$60=AH$3)*(GMW!$ND$2:$ND$60=AH$4)*(GMW!$NF$2:$NF$60=AH$1),0),$F25-1966)</f>
        <v>57431</v>
      </c>
    </row>
    <row r="26" spans="1:34" x14ac:dyDescent="0.25">
      <c r="B26" s="4">
        <f t="shared" si="5"/>
        <v>1977</v>
      </c>
      <c r="C26" s="4">
        <f t="shared" si="5"/>
        <v>1977</v>
      </c>
      <c r="E26" s="4">
        <f t="shared" ref="E26" si="9">+E22+1</f>
        <v>1977</v>
      </c>
      <c r="F26" s="4">
        <f t="shared" si="4"/>
        <v>1992</v>
      </c>
      <c r="G26" s="4" cm="1">
        <f t="array" ref="G26">INDEX(GMW!$A$2:$NF$60,MATCH(1,(GMW!$NE$2:$NE$60=G$3)*(GMW!$ND$2:$ND$60=G$4)*(GMW!$NF$2:$NF$60=G$1),0),$F26-1966)</f>
        <v>253819</v>
      </c>
      <c r="H26" s="4" cm="1">
        <f t="array" ref="H26">INDEX(GMW!$A$2:$NF$60,MATCH(1,(GMW!$NE$2:$NE$60=H$3)*(GMW!$ND$2:$ND$60=H$4)*(GMW!$NF$2:$NF$60=H$1),0),$F26-1966)</f>
        <v>1693.65</v>
      </c>
      <c r="I26" s="4" cm="1">
        <f t="array" ref="I26">INDEX(GMW!$A$2:$NF$60,MATCH(1,(GMW!$NE$2:$NE$60=I$3)*(GMW!$ND$2:$ND$60=I$4)*(GMW!$NF$2:$NF$60=I$1),0),$F26-1966)</f>
        <v>59539.25</v>
      </c>
      <c r="J26" s="4" cm="1">
        <f t="array" ref="J26">INDEX(GMW!$A$2:$NF$60,MATCH(1,(GMW!$NE$2:$NE$60=J$3)*(GMW!$ND$2:$ND$60=J$4)*(GMW!$NF$2:$NF$60=J$1),0),$F26-1966)</f>
        <v>426.88</v>
      </c>
      <c r="K26" s="4" cm="1">
        <f t="array" ref="K26">INDEX(GMW!$A$2:$NF$60,MATCH(1,(GMW!$NE$2:$NE$60=K$3)*(GMW!$ND$2:$ND$60=K$4)*(GMW!$NF$2:$NF$60=K$1),0),$F26-1966)</f>
        <v>282.16000000000003</v>
      </c>
      <c r="L26" s="4" cm="1">
        <f t="array" ref="L26">INDEX(GMW!$A$2:$NF$60,MATCH(1,(GMW!$NE$2:$NE$60=L$3)*(GMW!$ND$2:$ND$60=L$4)*(GMW!$NF$2:$NF$60=L$1),0),$F26-1966)</f>
        <v>262.22629999999998</v>
      </c>
      <c r="M26" s="4" cm="1">
        <f t="array" ref="M26">INDEX(GMW!$A$2:$NF$60,MATCH(1,(GMW!$NE$2:$NE$60=M$3)*(GMW!$ND$2:$ND$60=M$4)*(GMW!$NF$2:$NF$60=M$1),0),$F26-1966)</f>
        <v>206693.5</v>
      </c>
      <c r="N26" s="4" cm="1">
        <f t="array" ref="N26">INDEX(GMW!$A$2:$NF$60,MATCH(1,(GMW!$NE$2:$NE$60=N$3)*(GMW!$ND$2:$ND$60=N$4)*(GMW!$NF$2:$NF$60=N$1),0),$F26-1966)</f>
        <v>-1371</v>
      </c>
      <c r="O26" s="4" cm="1">
        <f t="array" ref="O26">INDEX(GMW!$A$2:$NF$60,MATCH(1,(GMW!$NE$2:$NE$60=O$3)*(GMW!$ND$2:$ND$60=O$4)*(GMW!$NF$2:$NF$60=O$1),0),$F26-1966)</f>
        <v>-22.713000000000001</v>
      </c>
      <c r="P26" s="4" cm="1">
        <f t="array" ref="P26">INDEX(GMW!$A$2:$NF$60,MATCH(1,(GMW!$NE$2:$NE$60=P$3)*(GMW!$ND$2:$ND$60=P$4)*(GMW!$NF$2:$NF$60=P$1),0),$F26-1966)</f>
        <v>-2907.75</v>
      </c>
      <c r="Q26" s="4" cm="1">
        <f t="array" ref="Q26">INDEX(GMW!$A$2:$NF$60,MATCH(1,(GMW!$NE$2:$NE$60=Q$3)*(GMW!$ND$2:$ND$60=Q$4)*(GMW!$NF$2:$NF$60=Q$1),0),$F26-1966)</f>
        <v>-12.22101</v>
      </c>
      <c r="R26" s="4" cm="1">
        <f t="array" ref="R26">INDEX(GMW!$A$2:$NF$60,MATCH(1,(GMW!$NE$2:$NE$60=R$3)*(GMW!$ND$2:$ND$60=R$4)*(GMW!$NF$2:$NF$60=R$1),0),$F26-1966)</f>
        <v>-0.84181119999999998</v>
      </c>
      <c r="S26" s="4" cm="1">
        <f t="array" ref="S26">INDEX(GMW!$A$2:$NF$60,MATCH(1,(GMW!$NE$2:$NE$60=S$3)*(GMW!$ND$2:$ND$60=S$4)*(GMW!$NF$2:$NF$60=S$1),0),$F26-1966)</f>
        <v>-2.2205279999999998</v>
      </c>
      <c r="T26" s="4" cm="1">
        <f t="array" ref="T26">INDEX(GMW!$A$2:$NF$60,MATCH(1,(GMW!$NE$2:$NE$60=T$3)*(GMW!$ND$2:$ND$60=T$4)*(GMW!$NF$2:$NF$60=T$1),0),$F26-1966)</f>
        <v>-2107</v>
      </c>
      <c r="U26" s="4" cm="1">
        <f t="array" ref="U26">INDEX(GMW!$A$2:$NF$60,MATCH(1,(GMW!$NE$2:$NE$60=U$3)*(GMW!$ND$2:$ND$60=U$4)*(GMW!$NF$2:$NF$60=U$1),0),$F26-1966)</f>
        <v>83765.5</v>
      </c>
      <c r="V26" s="4" cm="1">
        <f t="array" ref="V26">INDEX(GMW!$A$2:$NF$60,MATCH(1,(GMW!$NE$2:$NE$60=V$3)*(GMW!$ND$2:$ND$60=V$4)*(GMW!$NF$2:$NF$60=V$1),0),$F26-1966)</f>
        <v>1639.1120000000001</v>
      </c>
      <c r="W26" s="4" cm="1">
        <f t="array" ref="W26">INDEX(GMW!$A$2:$NF$60,MATCH(1,(GMW!$NE$2:$NE$60=W$3)*(GMW!$ND$2:$ND$60=W$4)*(GMW!$NF$2:$NF$60=W$1),0),$F26-1966)</f>
        <v>58926</v>
      </c>
      <c r="X26" s="4" cm="1">
        <f t="array" ref="X26">INDEX(GMW!$A$2:$NF$60,MATCH(1,(GMW!$NE$2:$NE$60=X$3)*(GMW!$ND$2:$ND$60=X$4)*(GMW!$NF$2:$NF$60=X$1),0),$F26-1966)</f>
        <v>172.10300000000001</v>
      </c>
      <c r="Y26" s="4" cm="1">
        <f t="array" ref="Y26">INDEX(GMW!$A$2:$NF$60,MATCH(1,(GMW!$NE$2:$NE$60=Y$3)*(GMW!$ND$2:$ND$60=Y$4)*(GMW!$NF$2:$NF$60=Y$1),0),$F26-1966)</f>
        <v>85.557360000000003</v>
      </c>
      <c r="Z26" s="4" cm="1">
        <f t="array" ref="Z26">INDEX(GMW!$A$2:$NF$60,MATCH(1,(GMW!$NE$2:$NE$60=Z$3)*(GMW!$ND$2:$ND$60=Z$4)*(GMW!$NF$2:$NF$60=Z$1),0),$F26-1966)</f>
        <v>97.55</v>
      </c>
      <c r="AA26" s="4" cm="1">
        <f t="array" ref="AA26">INDEX(GMW!$A$2:$NF$60,MATCH(1,(GMW!$NE$2:$NE$60=AA$3)*(GMW!$ND$2:$ND$60=AA$4)*(GMW!$NF$2:$NF$60=AA$1),0),$F26-1966)</f>
        <v>104504</v>
      </c>
      <c r="AB26" s="4" cm="1">
        <f t="array" ref="AB26">INDEX(GMW!$A$2:$NF$60,MATCH(1,(GMW!$NE$2:$NE$60=AB$3)*(GMW!$ND$2:$ND$60=AB$4)*(GMW!$NF$2:$NF$60=AB$1),0),$F26-1966)</f>
        <v>42165</v>
      </c>
      <c r="AC26" s="4" cm="1">
        <f t="array" ref="AC26">INDEX(GMW!$A$2:$NF$60,MATCH(1,(GMW!$NE$2:$NE$60=AC$3)*(GMW!$ND$2:$ND$60=AC$4)*(GMW!$NF$2:$NF$60=AC$1),0),$F26-1966)</f>
        <v>541.07500000000005</v>
      </c>
      <c r="AD26" s="4" cm="1">
        <f t="array" ref="AD26">INDEX(GMW!$A$2:$NF$60,MATCH(1,(GMW!$NE$2:$NE$60=AD$3)*(GMW!$ND$2:$ND$60=AD$4)*(GMW!$NF$2:$NF$60=AD$1),0),$F26-1966)</f>
        <v>49452.32</v>
      </c>
      <c r="AE26" s="4" cm="1">
        <f t="array" ref="AE26">INDEX(GMW!$A$2:$NF$60,MATCH(1,(GMW!$NE$2:$NE$60=AE$3)*(GMW!$ND$2:$ND$60=AE$4)*(GMW!$NF$2:$NF$60=AE$1),0),$F26-1966)</f>
        <v>185.6788</v>
      </c>
      <c r="AF26" s="4" cm="1">
        <f t="array" ref="AF26">INDEX(GMW!$A$2:$NF$60,MATCH(1,(GMW!$NE$2:$NE$60=AF$3)*(GMW!$ND$2:$ND$60=AF$4)*(GMW!$NF$2:$NF$60=AF$1),0),$F26-1966)</f>
        <v>79.097999999999999</v>
      </c>
      <c r="AG26" s="4" cm="1">
        <f t="array" ref="AG26">INDEX(GMW!$A$2:$NF$60,MATCH(1,(GMW!$NE$2:$NE$60=AG$3)*(GMW!$ND$2:$ND$60=AG$4)*(GMW!$NF$2:$NF$60=AG$1),0),$F26-1966)</f>
        <v>30.690999999999999</v>
      </c>
      <c r="AH26" s="4" cm="1">
        <f t="array" ref="AH26">INDEX(GMW!$A$2:$NF$60,MATCH(1,(GMW!$NE$2:$NE$60=AH$3)*(GMW!$ND$2:$ND$60=AH$4)*(GMW!$NF$2:$NF$60=AH$1),0),$F26-1966)</f>
        <v>58990</v>
      </c>
    </row>
    <row r="27" spans="1:34" x14ac:dyDescent="0.25">
      <c r="A27" s="4">
        <v>1978</v>
      </c>
      <c r="B27" s="4">
        <f t="shared" si="5"/>
        <v>1978</v>
      </c>
      <c r="C27" s="4">
        <f t="shared" si="5"/>
        <v>1977</v>
      </c>
      <c r="D27" s="4">
        <f t="shared" si="5"/>
        <v>1977</v>
      </c>
      <c r="F27" s="4">
        <f t="shared" si="4"/>
        <v>1993</v>
      </c>
      <c r="G27" s="4" cm="1">
        <f t="array" ref="G27">INDEX(GMW!$A$2:$NF$60,MATCH(1,(GMW!$NE$2:$NE$60=G$3)*(GMW!$ND$2:$ND$60=G$4)*(GMW!$NF$2:$NF$60=G$1),0),$F27-1966)</f>
        <v>256193</v>
      </c>
      <c r="H27" s="4" cm="1">
        <f t="array" ref="H27">INDEX(GMW!$A$2:$NF$60,MATCH(1,(GMW!$NE$2:$NE$60=H$3)*(GMW!$ND$2:$ND$60=H$4)*(GMW!$NF$2:$NF$60=H$1),0),$F27-1966)</f>
        <v>1699.075</v>
      </c>
      <c r="I27" s="4" cm="1">
        <f t="array" ref="I27">INDEX(GMW!$A$2:$NF$60,MATCH(1,(GMW!$NE$2:$NE$60=I$3)*(GMW!$ND$2:$ND$60=I$4)*(GMW!$NF$2:$NF$60=I$1),0),$F27-1966)</f>
        <v>60686.21</v>
      </c>
      <c r="J27" s="4" cm="1">
        <f t="array" ref="J27">INDEX(GMW!$A$2:$NF$60,MATCH(1,(GMW!$NE$2:$NE$60=J$3)*(GMW!$ND$2:$ND$60=J$4)*(GMW!$NF$2:$NF$60=J$1),0),$F27-1966)</f>
        <v>428.69</v>
      </c>
      <c r="K27" s="4" cm="1">
        <f t="array" ref="K27">INDEX(GMW!$A$2:$NF$60,MATCH(1,(GMW!$NE$2:$NE$60=K$3)*(GMW!$ND$2:$ND$60=K$4)*(GMW!$NF$2:$NF$60=K$1),0),$F27-1966)</f>
        <v>286.06200000000001</v>
      </c>
      <c r="L27" s="4" cm="1">
        <f t="array" ref="L27">INDEX(GMW!$A$2:$NF$60,MATCH(1,(GMW!$NE$2:$NE$60=L$3)*(GMW!$ND$2:$ND$60=L$4)*(GMW!$NF$2:$NF$60=L$1),0),$F27-1966)</f>
        <v>266.51299999999998</v>
      </c>
      <c r="M27" s="4" cm="1">
        <f t="array" ref="M27">INDEX(GMW!$A$2:$NF$60,MATCH(1,(GMW!$NE$2:$NE$60=M$3)*(GMW!$ND$2:$ND$60=M$4)*(GMW!$NF$2:$NF$60=M$1),0),$F27-1966)</f>
        <v>208478.5</v>
      </c>
      <c r="N27" s="4" cm="1">
        <f t="array" ref="N27">INDEX(GMW!$A$2:$NF$60,MATCH(1,(GMW!$NE$2:$NE$60=N$3)*(GMW!$ND$2:$ND$60=N$4)*(GMW!$NF$2:$NF$60=N$1),0),$F27-1966)</f>
        <v>-2141</v>
      </c>
      <c r="O27" s="4" cm="1">
        <f t="array" ref="O27">INDEX(GMW!$A$2:$NF$60,MATCH(1,(GMW!$NE$2:$NE$60=O$3)*(GMW!$ND$2:$ND$60=O$4)*(GMW!$NF$2:$NF$60=O$1),0),$F27-1966)</f>
        <v>-23.0655</v>
      </c>
      <c r="P27" s="4" cm="1">
        <f t="array" ref="P27">INDEX(GMW!$A$2:$NF$60,MATCH(1,(GMW!$NE$2:$NE$60=P$3)*(GMW!$ND$2:$ND$60=P$4)*(GMW!$NF$2:$NF$60=P$1),0),$F27-1966)</f>
        <v>-3194.75</v>
      </c>
      <c r="Q27" s="4" cm="1">
        <f t="array" ref="Q27">INDEX(GMW!$A$2:$NF$60,MATCH(1,(GMW!$NE$2:$NE$60=Q$3)*(GMW!$ND$2:$ND$60=Q$4)*(GMW!$NF$2:$NF$60=Q$1),0),$F27-1966)</f>
        <v>-11.86553</v>
      </c>
      <c r="R27" s="4" cm="1">
        <f t="array" ref="R27">INDEX(GMW!$A$2:$NF$60,MATCH(1,(GMW!$NE$2:$NE$60=R$3)*(GMW!$ND$2:$ND$60=R$4)*(GMW!$NF$2:$NF$60=R$1),0),$F27-1966)</f>
        <v>-1.4193910000000001</v>
      </c>
      <c r="S27" s="4" cm="1">
        <f t="array" ref="S27">INDEX(GMW!$A$2:$NF$60,MATCH(1,(GMW!$NE$2:$NE$60=S$3)*(GMW!$ND$2:$ND$60=S$4)*(GMW!$NF$2:$NF$60=S$1),0),$F27-1966)</f>
        <v>-2.5114540000000001</v>
      </c>
      <c r="T27" s="4" cm="1">
        <f t="array" ref="T27">INDEX(GMW!$A$2:$NF$60,MATCH(1,(GMW!$NE$2:$NE$60=T$3)*(GMW!$ND$2:$ND$60=T$4)*(GMW!$NF$2:$NF$60=T$1),0),$F27-1966)</f>
        <v>-3488</v>
      </c>
      <c r="U27" s="4" cm="1">
        <f t="array" ref="U27">INDEX(GMW!$A$2:$NF$60,MATCH(1,(GMW!$NE$2:$NE$60=U$3)*(GMW!$ND$2:$ND$60=U$4)*(GMW!$NF$2:$NF$60=U$1),0),$F27-1966)</f>
        <v>86357</v>
      </c>
      <c r="V27" s="4" cm="1">
        <f t="array" ref="V27">INDEX(GMW!$A$2:$NF$60,MATCH(1,(GMW!$NE$2:$NE$60=V$3)*(GMW!$ND$2:$ND$60=V$4)*(GMW!$NF$2:$NF$60=V$1),0),$F27-1966)</f>
        <v>1679.39</v>
      </c>
      <c r="W27" s="4" cm="1">
        <f t="array" ref="W27">INDEX(GMW!$A$2:$NF$60,MATCH(1,(GMW!$NE$2:$NE$60=W$3)*(GMW!$ND$2:$ND$60=W$4)*(GMW!$NF$2:$NF$60=W$1),0),$F27-1966)</f>
        <v>64735</v>
      </c>
      <c r="X27" s="4" cm="1">
        <f t="array" ref="X27">INDEX(GMW!$A$2:$NF$60,MATCH(1,(GMW!$NE$2:$NE$60=X$3)*(GMW!$ND$2:$ND$60=X$4)*(GMW!$NF$2:$NF$60=X$1),0),$F27-1966)</f>
        <v>177.74619999999999</v>
      </c>
      <c r="Y27" s="4" cm="1">
        <f t="array" ref="Y27">INDEX(GMW!$A$2:$NF$60,MATCH(1,(GMW!$NE$2:$NE$60=Y$3)*(GMW!$ND$2:$ND$60=Y$4)*(GMW!$NF$2:$NF$60=Y$1),0),$F27-1966)</f>
        <v>89.369590000000002</v>
      </c>
      <c r="Z27" s="4" cm="1">
        <f t="array" ref="Z27">INDEX(GMW!$A$2:$NF$60,MATCH(1,(GMW!$NE$2:$NE$60=Z$3)*(GMW!$ND$2:$ND$60=Z$4)*(GMW!$NF$2:$NF$60=Z$1),0),$F27-1966)</f>
        <v>103.581</v>
      </c>
      <c r="AA27" s="4" cm="1">
        <f t="array" ref="AA27">INDEX(GMW!$A$2:$NF$60,MATCH(1,(GMW!$NE$2:$NE$60=AA$3)*(GMW!$ND$2:$ND$60=AA$4)*(GMW!$NF$2:$NF$60=AA$1),0),$F27-1966)</f>
        <v>109200</v>
      </c>
      <c r="AB27" s="4" cm="1">
        <f t="array" ref="AB27">INDEX(GMW!$A$2:$NF$60,MATCH(1,(GMW!$NE$2:$NE$60=AB$3)*(GMW!$ND$2:$ND$60=AB$4)*(GMW!$NF$2:$NF$60=AB$1),0),$F27-1966)</f>
        <v>44140</v>
      </c>
      <c r="AC27" s="4" cm="1">
        <f t="array" ref="AC27">INDEX(GMW!$A$2:$NF$60,MATCH(1,(GMW!$NE$2:$NE$60=AC$3)*(GMW!$ND$2:$ND$60=AC$4)*(GMW!$NF$2:$NF$60=AC$1),0),$F27-1966)</f>
        <v>550.70000000000005</v>
      </c>
      <c r="AD27" s="4" cm="1">
        <f t="array" ref="AD27">INDEX(GMW!$A$2:$NF$60,MATCH(1,(GMW!$NE$2:$NE$60=AD$3)*(GMW!$ND$2:$ND$60=AD$4)*(GMW!$NF$2:$NF$60=AD$1),0),$F27-1966)</f>
        <v>50956.05</v>
      </c>
      <c r="AE27" s="4" cm="1">
        <f t="array" ref="AE27">INDEX(GMW!$A$2:$NF$60,MATCH(1,(GMW!$NE$2:$NE$60=AE$3)*(GMW!$ND$2:$ND$60=AE$4)*(GMW!$NF$2:$NF$60=AE$1),0),$F27-1966)</f>
        <v>187.94470000000001</v>
      </c>
      <c r="AF27" s="4" cm="1">
        <f t="array" ref="AF27">INDEX(GMW!$A$2:$NF$60,MATCH(1,(GMW!$NE$2:$NE$60=AF$3)*(GMW!$ND$2:$ND$60=AF$4)*(GMW!$NF$2:$NF$60=AF$1),0),$F27-1966)</f>
        <v>81.41</v>
      </c>
      <c r="AG27" s="4" cm="1">
        <f t="array" ref="AG27">INDEX(GMW!$A$2:$NF$60,MATCH(1,(GMW!$NE$2:$NE$60=AG$3)*(GMW!$ND$2:$ND$60=AG$4)*(GMW!$NF$2:$NF$60=AG$1),0),$F27-1966)</f>
        <v>32.432000000000002</v>
      </c>
      <c r="AH27" s="4" cm="1">
        <f t="array" ref="AH27">INDEX(GMW!$A$2:$NF$60,MATCH(1,(GMW!$NE$2:$NE$60=AH$3)*(GMW!$ND$2:$ND$60=AH$4)*(GMW!$NF$2:$NF$60=AH$1),0),$F27-1966)</f>
        <v>60330</v>
      </c>
    </row>
    <row r="28" spans="1:34" x14ac:dyDescent="0.25">
      <c r="B28" s="4">
        <f t="shared" ref="B28:D43" si="10">+B24+1</f>
        <v>1978</v>
      </c>
      <c r="C28" s="4">
        <f t="shared" si="10"/>
        <v>1978</v>
      </c>
      <c r="F28" s="4">
        <f t="shared" si="4"/>
        <v>1994</v>
      </c>
      <c r="G28" s="4" cm="1">
        <f t="array" ref="G28">INDEX(GMW!$A$2:$NF$60,MATCH(1,(GMW!$NE$2:$NE$60=G$3)*(GMW!$ND$2:$ND$60=G$4)*(GMW!$NF$2:$NF$60=G$1),0),$F28-1966)</f>
        <v>259127</v>
      </c>
      <c r="H28" s="4" cm="1">
        <f t="array" ref="H28">INDEX(GMW!$A$2:$NF$60,MATCH(1,(GMW!$NE$2:$NE$60=H$3)*(GMW!$ND$2:$ND$60=H$4)*(GMW!$NF$2:$NF$60=H$1),0),$F28-1966)</f>
        <v>1764.7249999999999</v>
      </c>
      <c r="I28" s="4" cm="1">
        <f t="array" ref="I28">INDEX(GMW!$A$2:$NF$60,MATCH(1,(GMW!$NE$2:$NE$60=I$3)*(GMW!$ND$2:$ND$60=I$4)*(GMW!$NF$2:$NF$60=I$1),0),$F28-1966)</f>
        <v>61280.639999999999</v>
      </c>
      <c r="J28" s="4" cm="1">
        <f t="array" ref="J28">INDEX(GMW!$A$2:$NF$60,MATCH(1,(GMW!$NE$2:$NE$60=J$3)*(GMW!$ND$2:$ND$60=J$4)*(GMW!$NF$2:$NF$60=J$1),0),$F28-1966)</f>
        <v>430.44</v>
      </c>
      <c r="K28" s="4" cm="1">
        <f t="array" ref="K28">INDEX(GMW!$A$2:$NF$60,MATCH(1,(GMW!$NE$2:$NE$60=K$3)*(GMW!$ND$2:$ND$60=K$4)*(GMW!$NF$2:$NF$60=K$1),0),$F28-1966)</f>
        <v>289.17899999999997</v>
      </c>
      <c r="L28" s="4" cm="1">
        <f t="array" ref="L28">INDEX(GMW!$A$2:$NF$60,MATCH(1,(GMW!$NE$2:$NE$60=L$3)*(GMW!$ND$2:$ND$60=L$4)*(GMW!$NF$2:$NF$60=L$1),0),$F28-1966)</f>
        <v>271.12329999999997</v>
      </c>
      <c r="M28" s="4" cm="1">
        <f t="array" ref="M28">INDEX(GMW!$A$2:$NF$60,MATCH(1,(GMW!$NE$2:$NE$60=M$3)*(GMW!$ND$2:$ND$60=M$4)*(GMW!$NF$2:$NF$60=M$1),0),$F28-1966)</f>
        <v>209897.5</v>
      </c>
      <c r="N28" s="4" cm="1">
        <f t="array" ref="N28">INDEX(GMW!$A$2:$NF$60,MATCH(1,(GMW!$NE$2:$NE$60=N$3)*(GMW!$ND$2:$ND$60=N$4)*(GMW!$NF$2:$NF$60=N$1),0),$F28-1966)</f>
        <v>-1905</v>
      </c>
      <c r="O28" s="4" cm="1">
        <f t="array" ref="O28">INDEX(GMW!$A$2:$NF$60,MATCH(1,(GMW!$NE$2:$NE$60=O$3)*(GMW!$ND$2:$ND$60=O$4)*(GMW!$NF$2:$NF$60=O$1),0),$F28-1966)</f>
        <v>-19.387499999999999</v>
      </c>
      <c r="P28" s="4" cm="1">
        <f t="array" ref="P28">INDEX(GMW!$A$2:$NF$60,MATCH(1,(GMW!$NE$2:$NE$60=P$3)*(GMW!$ND$2:$ND$60=P$4)*(GMW!$NF$2:$NF$60=P$1),0),$F28-1966)</f>
        <v>-3495.5</v>
      </c>
      <c r="Q28" s="4" cm="1">
        <f t="array" ref="Q28">INDEX(GMW!$A$2:$NF$60,MATCH(1,(GMW!$NE$2:$NE$60=Q$3)*(GMW!$ND$2:$ND$60=Q$4)*(GMW!$NF$2:$NF$60=Q$1),0),$F28-1966)</f>
        <v>-12.19843</v>
      </c>
      <c r="R28" s="4" cm="1">
        <f t="array" ref="R28">INDEX(GMW!$A$2:$NF$60,MATCH(1,(GMW!$NE$2:$NE$60=R$3)*(GMW!$ND$2:$ND$60=R$4)*(GMW!$NF$2:$NF$60=R$1),0),$F28-1966)</f>
        <v>-1.901734</v>
      </c>
      <c r="S28" s="4" cm="1">
        <f t="array" ref="S28">INDEX(GMW!$A$2:$NF$60,MATCH(1,(GMW!$NE$2:$NE$60=S$3)*(GMW!$ND$2:$ND$60=S$4)*(GMW!$NF$2:$NF$60=S$1),0),$F28-1966)</f>
        <v>-2.7578819999999999</v>
      </c>
      <c r="T28" s="4" cm="1">
        <f t="array" ref="T28">INDEX(GMW!$A$2:$NF$60,MATCH(1,(GMW!$NE$2:$NE$60=T$3)*(GMW!$ND$2:$ND$60=T$4)*(GMW!$NF$2:$NF$60=T$1),0),$F28-1966)</f>
        <v>-2840</v>
      </c>
      <c r="U28" s="4" cm="1">
        <f t="array" ref="U28">INDEX(GMW!$A$2:$NF$60,MATCH(1,(GMW!$NE$2:$NE$60=U$3)*(GMW!$ND$2:$ND$60=U$4)*(GMW!$NF$2:$NF$60=U$1),0),$F28-1966)</f>
        <v>88950.5</v>
      </c>
      <c r="V28" s="4" cm="1">
        <f t="array" ref="V28">INDEX(GMW!$A$2:$NF$60,MATCH(1,(GMW!$NE$2:$NE$60=V$3)*(GMW!$ND$2:$ND$60=V$4)*(GMW!$NF$2:$NF$60=V$1),0),$F28-1966)</f>
        <v>1703.202</v>
      </c>
      <c r="W28" s="4" cm="1">
        <f t="array" ref="W28">INDEX(GMW!$A$2:$NF$60,MATCH(1,(GMW!$NE$2:$NE$60=W$3)*(GMW!$ND$2:$ND$60=W$4)*(GMW!$NF$2:$NF$60=W$1),0),$F28-1966)</f>
        <v>70544</v>
      </c>
      <c r="X28" s="4" cm="1">
        <f t="array" ref="X28">INDEX(GMW!$A$2:$NF$60,MATCH(1,(GMW!$NE$2:$NE$60=X$3)*(GMW!$ND$2:$ND$60=X$4)*(GMW!$NF$2:$NF$60=X$1),0),$F28-1966)</f>
        <v>182.9573</v>
      </c>
      <c r="Y28" s="4" cm="1">
        <f t="array" ref="Y28">INDEX(GMW!$A$2:$NF$60,MATCH(1,(GMW!$NE$2:$NE$60=Y$3)*(GMW!$ND$2:$ND$60=Y$4)*(GMW!$NF$2:$NF$60=Y$1),0),$F28-1966)</f>
        <v>93.181820000000002</v>
      </c>
      <c r="Z28" s="4" cm="1">
        <f t="array" ref="Z28">INDEX(GMW!$A$2:$NF$60,MATCH(1,(GMW!$NE$2:$NE$60=Z$3)*(GMW!$ND$2:$ND$60=Z$4)*(GMW!$NF$2:$NF$60=Z$1),0),$F28-1966)</f>
        <v>109.61199999999999</v>
      </c>
      <c r="AA28" s="4" cm="1">
        <f t="array" ref="AA28">INDEX(GMW!$A$2:$NF$60,MATCH(1,(GMW!$NE$2:$NE$60=AA$3)*(GMW!$ND$2:$ND$60=AA$4)*(GMW!$NF$2:$NF$60=AA$1),0),$F28-1966)</f>
        <v>113896</v>
      </c>
      <c r="AB28" s="4" cm="1">
        <f t="array" ref="AB28">INDEX(GMW!$A$2:$NF$60,MATCH(1,(GMW!$NE$2:$NE$60=AB$3)*(GMW!$ND$2:$ND$60=AB$4)*(GMW!$NF$2:$NF$60=AB$1),0),$F28-1966)</f>
        <v>45905</v>
      </c>
      <c r="AC28" s="4" cm="1">
        <f t="array" ref="AC28">INDEX(GMW!$A$2:$NF$60,MATCH(1,(GMW!$NE$2:$NE$60=AC$3)*(GMW!$ND$2:$ND$60=AC$4)*(GMW!$NF$2:$NF$60=AC$1),0),$F28-1966)</f>
        <v>582.9</v>
      </c>
      <c r="AD28" s="4" cm="1">
        <f t="array" ref="AD28">INDEX(GMW!$A$2:$NF$60,MATCH(1,(GMW!$NE$2:$NE$60=AD$3)*(GMW!$ND$2:$ND$60=AD$4)*(GMW!$NF$2:$NF$60=AD$1),0),$F28-1966)</f>
        <v>51935.86</v>
      </c>
      <c r="AE28" s="4" cm="1">
        <f t="array" ref="AE28">INDEX(GMW!$A$2:$NF$60,MATCH(1,(GMW!$NE$2:$NE$60=AE$3)*(GMW!$ND$2:$ND$60=AE$4)*(GMW!$NF$2:$NF$60=AE$1),0),$F28-1966)</f>
        <v>190.29849999999999</v>
      </c>
      <c r="AF28" s="4" cm="1">
        <f t="array" ref="AF28">INDEX(GMW!$A$2:$NF$60,MATCH(1,(GMW!$NE$2:$NE$60=AF$3)*(GMW!$ND$2:$ND$60=AF$4)*(GMW!$NF$2:$NF$60=AF$1),0),$F28-1966)</f>
        <v>84.781999999999996</v>
      </c>
      <c r="AG28" s="4" cm="1">
        <f t="array" ref="AG28">INDEX(GMW!$A$2:$NF$60,MATCH(1,(GMW!$NE$2:$NE$60=AG$3)*(GMW!$ND$2:$ND$60=AG$4)*(GMW!$NF$2:$NF$60=AG$1),0),$F28-1966)</f>
        <v>34.070999999999998</v>
      </c>
      <c r="AH28" s="4" cm="1">
        <f t="array" ref="AH28">INDEX(GMW!$A$2:$NF$60,MATCH(1,(GMW!$NE$2:$NE$60=AH$3)*(GMW!$ND$2:$ND$60=AH$4)*(GMW!$NF$2:$NF$60=AH$1),0),$F28-1966)</f>
        <v>62171</v>
      </c>
    </row>
    <row r="29" spans="1:34" x14ac:dyDescent="0.25">
      <c r="B29" s="4">
        <f t="shared" si="10"/>
        <v>1978</v>
      </c>
      <c r="C29" s="4">
        <f t="shared" si="10"/>
        <v>1978</v>
      </c>
      <c r="F29" s="4">
        <f t="shared" si="4"/>
        <v>1995</v>
      </c>
      <c r="G29" s="4" cm="1">
        <f t="array" ref="G29">INDEX(GMW!$A$2:$NF$60,MATCH(1,(GMW!$NE$2:$NE$60=G$3)*(GMW!$ND$2:$ND$60=G$4)*(GMW!$NF$2:$NF$60=G$1),0),$F29-1966)</f>
        <v>262661</v>
      </c>
      <c r="H29" s="4" cm="1">
        <f t="array" ref="H29">INDEX(GMW!$A$2:$NF$60,MATCH(1,(GMW!$NE$2:$NE$60=H$3)*(GMW!$ND$2:$ND$60=H$4)*(GMW!$NF$2:$NF$60=H$1),0),$F29-1966)</f>
        <v>1782.4749999999999</v>
      </c>
      <c r="I29" s="4" cm="1">
        <f t="array" ref="I29">INDEX(GMW!$A$2:$NF$60,MATCH(1,(GMW!$NE$2:$NE$60=I$3)*(GMW!$ND$2:$ND$60=I$4)*(GMW!$NF$2:$NF$60=I$1),0),$F29-1966)</f>
        <v>62081.49</v>
      </c>
      <c r="J29" s="4" cm="1">
        <f t="array" ref="J29">INDEX(GMW!$A$2:$NF$60,MATCH(1,(GMW!$NE$2:$NE$60=J$3)*(GMW!$ND$2:$ND$60=J$4)*(GMW!$NF$2:$NF$60=J$1),0),$F29-1966)</f>
        <v>435.98</v>
      </c>
      <c r="K29" s="4" cm="1">
        <f t="array" ref="K29">INDEX(GMW!$A$2:$NF$60,MATCH(1,(GMW!$NE$2:$NE$60=K$3)*(GMW!$ND$2:$ND$60=K$4)*(GMW!$NF$2:$NF$60=K$1),0),$F29-1966)</f>
        <v>290.97899999999998</v>
      </c>
      <c r="L29" s="4" cm="1">
        <f t="array" ref="L29">INDEX(GMW!$A$2:$NF$60,MATCH(1,(GMW!$NE$2:$NE$60=L$3)*(GMW!$ND$2:$ND$60=L$4)*(GMW!$NF$2:$NF$60=L$1),0),$F29-1966)</f>
        <v>272.5487</v>
      </c>
      <c r="M29" s="4" cm="1">
        <f t="array" ref="M29">INDEX(GMW!$A$2:$NF$60,MATCH(1,(GMW!$NE$2:$NE$60=M$3)*(GMW!$ND$2:$ND$60=M$4)*(GMW!$NF$2:$NF$60=M$1),0),$F29-1966)</f>
        <v>211855.5</v>
      </c>
      <c r="N29" s="4" cm="1">
        <f t="array" ref="N29">INDEX(GMW!$A$2:$NF$60,MATCH(1,(GMW!$NE$2:$NE$60=N$3)*(GMW!$ND$2:$ND$60=N$4)*(GMW!$NF$2:$NF$60=N$1),0),$F29-1966)</f>
        <v>-2710</v>
      </c>
      <c r="O29" s="4" cm="1">
        <f t="array" ref="O29">INDEX(GMW!$A$2:$NF$60,MATCH(1,(GMW!$NE$2:$NE$60=O$3)*(GMW!$ND$2:$ND$60=O$4)*(GMW!$NF$2:$NF$60=O$1),0),$F29-1966)</f>
        <v>-20.11525</v>
      </c>
      <c r="P29" s="4" cm="1">
        <f t="array" ref="P29">INDEX(GMW!$A$2:$NF$60,MATCH(1,(GMW!$NE$2:$NE$60=P$3)*(GMW!$ND$2:$ND$60=P$4)*(GMW!$NF$2:$NF$60=P$1),0),$F29-1966)</f>
        <v>-3530</v>
      </c>
      <c r="Q29" s="4" cm="1">
        <f t="array" ref="Q29">INDEX(GMW!$A$2:$NF$60,MATCH(1,(GMW!$NE$2:$NE$60=Q$3)*(GMW!$ND$2:$ND$60=Q$4)*(GMW!$NF$2:$NF$60=Q$1),0),$F29-1966)</f>
        <v>-13.244339999999999</v>
      </c>
      <c r="R29" s="4" cm="1">
        <f t="array" ref="R29">INDEX(GMW!$A$2:$NF$60,MATCH(1,(GMW!$NE$2:$NE$60=R$3)*(GMW!$ND$2:$ND$60=R$4)*(GMW!$NF$2:$NF$60=R$1),0),$F29-1966)</f>
        <v>-1.9166719999999999</v>
      </c>
      <c r="S29" s="4" cm="1">
        <f t="array" ref="S29">INDEX(GMW!$A$2:$NF$60,MATCH(1,(GMW!$NE$2:$NE$60=S$3)*(GMW!$ND$2:$ND$60=S$4)*(GMW!$NF$2:$NF$60=S$1),0),$F29-1966)</f>
        <v>-2.9598089999999999</v>
      </c>
      <c r="T29" s="4" cm="1">
        <f t="array" ref="T29">INDEX(GMW!$A$2:$NF$60,MATCH(1,(GMW!$NE$2:$NE$60=T$3)*(GMW!$ND$2:$ND$60=T$4)*(GMW!$NF$2:$NF$60=T$1),0),$F29-1966)</f>
        <v>-2194</v>
      </c>
      <c r="U29" s="4" cm="1">
        <f t="array" ref="U29">INDEX(GMW!$A$2:$NF$60,MATCH(1,(GMW!$NE$2:$NE$60=U$3)*(GMW!$ND$2:$ND$60=U$4)*(GMW!$NF$2:$NF$60=U$1),0),$F29-1966)</f>
        <v>91544</v>
      </c>
      <c r="V29" s="4" cm="1">
        <f t="array" ref="V29">INDEX(GMW!$A$2:$NF$60,MATCH(1,(GMW!$NE$2:$NE$60=V$3)*(GMW!$ND$2:$ND$60=V$4)*(GMW!$NF$2:$NF$60=V$1),0),$F29-1966)</f>
        <v>1735.838</v>
      </c>
      <c r="W29" s="4" cm="1">
        <f t="array" ref="W29">INDEX(GMW!$A$2:$NF$60,MATCH(1,(GMW!$NE$2:$NE$60=W$3)*(GMW!$ND$2:$ND$60=W$4)*(GMW!$NF$2:$NF$60=W$1),0),$F29-1966)</f>
        <v>76353</v>
      </c>
      <c r="X29" s="4" cm="1">
        <f t="array" ref="X29">INDEX(GMW!$A$2:$NF$60,MATCH(1,(GMW!$NE$2:$NE$60=X$3)*(GMW!$ND$2:$ND$60=X$4)*(GMW!$NF$2:$NF$60=X$1),0),$F29-1966)</f>
        <v>188.35390000000001</v>
      </c>
      <c r="Y29" s="4" cm="1">
        <f t="array" ref="Y29">INDEX(GMW!$A$2:$NF$60,MATCH(1,(GMW!$NE$2:$NE$60=Y$3)*(GMW!$ND$2:$ND$60=Y$4)*(GMW!$NF$2:$NF$60=Y$1),0),$F29-1966)</f>
        <v>96.994050000000001</v>
      </c>
      <c r="Z29" s="4" cm="1">
        <f t="array" ref="Z29">INDEX(GMW!$A$2:$NF$60,MATCH(1,(GMW!$NE$2:$NE$60=Z$3)*(GMW!$ND$2:$ND$60=Z$4)*(GMW!$NF$2:$NF$60=Z$1),0),$F29-1966)</f>
        <v>115.643</v>
      </c>
      <c r="AA29" s="4" cm="1">
        <f t="array" ref="AA29">INDEX(GMW!$A$2:$NF$60,MATCH(1,(GMW!$NE$2:$NE$60=AA$3)*(GMW!$ND$2:$ND$60=AA$4)*(GMW!$NF$2:$NF$60=AA$1),0),$F29-1966)</f>
        <v>118592</v>
      </c>
      <c r="AB29" s="4" cm="1">
        <f t="array" ref="AB29">INDEX(GMW!$A$2:$NF$60,MATCH(1,(GMW!$NE$2:$NE$60=AB$3)*(GMW!$ND$2:$ND$60=AB$4)*(GMW!$NF$2:$NF$60=AB$1),0),$F29-1966)</f>
        <v>47207</v>
      </c>
      <c r="AC29" s="4" cm="1">
        <f t="array" ref="AC29">INDEX(GMW!$A$2:$NF$60,MATCH(1,(GMW!$NE$2:$NE$60=AC$3)*(GMW!$ND$2:$ND$60=AC$4)*(GMW!$NF$2:$NF$60=AC$1),0),$F29-1966)</f>
        <v>598.77499999999998</v>
      </c>
      <c r="AD29" s="4" cm="1">
        <f t="array" ref="AD29">INDEX(GMW!$A$2:$NF$60,MATCH(1,(GMW!$NE$2:$NE$60=AD$3)*(GMW!$ND$2:$ND$60=AD$4)*(GMW!$NF$2:$NF$60=AD$1),0),$F29-1966)</f>
        <v>53285.35</v>
      </c>
      <c r="AE29" s="4" cm="1">
        <f t="array" ref="AE29">INDEX(GMW!$A$2:$NF$60,MATCH(1,(GMW!$NE$2:$NE$60=AE$3)*(GMW!$ND$2:$ND$60=AE$4)*(GMW!$NF$2:$NF$60=AE$1),0),$F29-1966)</f>
        <v>195.0942</v>
      </c>
      <c r="AF29" s="4" cm="1">
        <f t="array" ref="AF29">INDEX(GMW!$A$2:$NF$60,MATCH(1,(GMW!$NE$2:$NE$60=AF$3)*(GMW!$ND$2:$ND$60=AF$4)*(GMW!$NF$2:$NF$60=AF$1),0),$F29-1966)</f>
        <v>88.087999999999994</v>
      </c>
      <c r="AG29" s="4" cm="1">
        <f t="array" ref="AG29">INDEX(GMW!$A$2:$NF$60,MATCH(1,(GMW!$NE$2:$NE$60=AG$3)*(GMW!$ND$2:$ND$60=AG$4)*(GMW!$NF$2:$NF$60=AG$1),0),$F29-1966)</f>
        <v>35.048999999999999</v>
      </c>
      <c r="AH29" s="4" cm="1">
        <f t="array" ref="AH29">INDEX(GMW!$A$2:$NF$60,MATCH(1,(GMW!$NE$2:$NE$60=AH$3)*(GMW!$ND$2:$ND$60=AH$4)*(GMW!$NF$2:$NF$60=AH$1),0),$F29-1966)</f>
        <v>63801</v>
      </c>
    </row>
    <row r="30" spans="1:34" x14ac:dyDescent="0.25">
      <c r="B30" s="4">
        <f t="shared" si="10"/>
        <v>1978</v>
      </c>
      <c r="C30" s="4">
        <f t="shared" si="10"/>
        <v>1978</v>
      </c>
      <c r="E30" s="4">
        <f t="shared" ref="E30" si="11">+E26+1</f>
        <v>1978</v>
      </c>
      <c r="F30" s="4">
        <f t="shared" si="4"/>
        <v>1996</v>
      </c>
      <c r="G30" s="4" cm="1">
        <f t="array" ref="G30">INDEX(GMW!$A$2:$NF$60,MATCH(1,(GMW!$NE$2:$NE$60=G$3)*(GMW!$ND$2:$ND$60=G$4)*(GMW!$NF$2:$NF$60=G$1),0),$F30-1966)</f>
        <v>264972</v>
      </c>
      <c r="H30" s="4" cm="1">
        <f t="array" ref="H30">INDEX(GMW!$A$2:$NF$60,MATCH(1,(GMW!$NE$2:$NE$60=H$3)*(GMW!$ND$2:$ND$60=H$4)*(GMW!$NF$2:$NF$60=H$1),0),$F30-1966)</f>
        <v>1806.45</v>
      </c>
      <c r="I30" s="4" cm="1">
        <f t="array" ref="I30">INDEX(GMW!$A$2:$NF$60,MATCH(1,(GMW!$NE$2:$NE$60=I$3)*(GMW!$ND$2:$ND$60=I$4)*(GMW!$NF$2:$NF$60=I$1),0),$F30-1966)</f>
        <v>62988.52</v>
      </c>
      <c r="J30" s="4" cm="1">
        <f t="array" ref="J30">INDEX(GMW!$A$2:$NF$60,MATCH(1,(GMW!$NE$2:$NE$60=J$3)*(GMW!$ND$2:$ND$60=J$4)*(GMW!$NF$2:$NF$60=J$1),0),$F30-1966)</f>
        <v>441.11</v>
      </c>
      <c r="K30" s="4" cm="1">
        <f t="array" ref="K30">INDEX(GMW!$A$2:$NF$60,MATCH(1,(GMW!$NE$2:$NE$60=K$3)*(GMW!$ND$2:$ND$60=K$4)*(GMW!$NF$2:$NF$60=K$1),0),$F30-1966)</f>
        <v>294.29399999999998</v>
      </c>
      <c r="L30" s="4" cm="1">
        <f t="array" ref="L30">INDEX(GMW!$A$2:$NF$60,MATCH(1,(GMW!$NE$2:$NE$60=L$3)*(GMW!$ND$2:$ND$60=L$4)*(GMW!$NF$2:$NF$60=L$1),0),$F30-1966)</f>
        <v>276.70170000000002</v>
      </c>
      <c r="M30" s="4" cm="1">
        <f t="array" ref="M30">INDEX(GMW!$A$2:$NF$60,MATCH(1,(GMW!$NE$2:$NE$60=M$3)*(GMW!$ND$2:$ND$60=M$4)*(GMW!$NF$2:$NF$60=M$1),0),$F30-1966)</f>
        <v>213864.3</v>
      </c>
      <c r="N30" s="4" cm="1">
        <f t="array" ref="N30">INDEX(GMW!$A$2:$NF$60,MATCH(1,(GMW!$NE$2:$NE$60=N$3)*(GMW!$ND$2:$ND$60=N$4)*(GMW!$NF$2:$NF$60=N$1),0),$F30-1966)</f>
        <v>-1578</v>
      </c>
      <c r="O30" s="4" cm="1">
        <f t="array" ref="O30">INDEX(GMW!$A$2:$NF$60,MATCH(1,(GMW!$NE$2:$NE$60=O$3)*(GMW!$ND$2:$ND$60=O$4)*(GMW!$NF$2:$NF$60=O$1),0),$F30-1966)</f>
        <v>-18.600999999999999</v>
      </c>
      <c r="P30" s="4" cm="1">
        <f t="array" ref="P30">INDEX(GMW!$A$2:$NF$60,MATCH(1,(GMW!$NE$2:$NE$60=P$3)*(GMW!$ND$2:$ND$60=P$4)*(GMW!$NF$2:$NF$60=P$1),0),$F30-1966)</f>
        <v>-3237.75</v>
      </c>
      <c r="Q30" s="4" cm="1">
        <f t="array" ref="Q30">INDEX(GMW!$A$2:$NF$60,MATCH(1,(GMW!$NE$2:$NE$60=Q$3)*(GMW!$ND$2:$ND$60=Q$4)*(GMW!$NF$2:$NF$60=Q$1),0),$F30-1966)</f>
        <v>-14.744579999999999</v>
      </c>
      <c r="R30" s="4" cm="1">
        <f t="array" ref="R30">INDEX(GMW!$A$2:$NF$60,MATCH(1,(GMW!$NE$2:$NE$60=R$3)*(GMW!$ND$2:$ND$60=R$4)*(GMW!$NF$2:$NF$60=R$1),0),$F30-1966)</f>
        <v>-1.4642029999999999</v>
      </c>
      <c r="S30" s="4" cm="1">
        <f t="array" ref="S30">INDEX(GMW!$A$2:$NF$60,MATCH(1,(GMW!$NE$2:$NE$60=S$3)*(GMW!$ND$2:$ND$60=S$4)*(GMW!$NF$2:$NF$60=S$1),0),$F30-1966)</f>
        <v>-3.1476359999999999</v>
      </c>
      <c r="T30" s="4" cm="1">
        <f t="array" ref="T30">INDEX(GMW!$A$2:$NF$60,MATCH(1,(GMW!$NE$2:$NE$60=T$3)*(GMW!$ND$2:$ND$60=T$4)*(GMW!$NF$2:$NF$60=T$1),0),$F30-1966)</f>
        <v>-1933</v>
      </c>
      <c r="U30" s="4" cm="1">
        <f t="array" ref="U30">INDEX(GMW!$A$2:$NF$60,MATCH(1,(GMW!$NE$2:$NE$60=U$3)*(GMW!$ND$2:$ND$60=U$4)*(GMW!$NF$2:$NF$60=U$1),0),$F30-1966)</f>
        <v>94137.5</v>
      </c>
      <c r="V30" s="4" cm="1">
        <f t="array" ref="V30">INDEX(GMW!$A$2:$NF$60,MATCH(1,(GMW!$NE$2:$NE$60=V$3)*(GMW!$ND$2:$ND$60=V$4)*(GMW!$NF$2:$NF$60=V$1),0),$F30-1966)</f>
        <v>1778.414</v>
      </c>
      <c r="W30" s="4" cm="1">
        <f t="array" ref="W30">INDEX(GMW!$A$2:$NF$60,MATCH(1,(GMW!$NE$2:$NE$60=W$3)*(GMW!$ND$2:$ND$60=W$4)*(GMW!$NF$2:$NF$60=W$1),0),$F30-1966)</f>
        <v>82162</v>
      </c>
      <c r="X30" s="4" cm="1">
        <f t="array" ref="X30">INDEX(GMW!$A$2:$NF$60,MATCH(1,(GMW!$NE$2:$NE$60=X$3)*(GMW!$ND$2:$ND$60=X$4)*(GMW!$NF$2:$NF$60=X$1),0),$F30-1966)</f>
        <v>193.93610000000001</v>
      </c>
      <c r="Y30" s="4" cm="1">
        <f t="array" ref="Y30">INDEX(GMW!$A$2:$NF$60,MATCH(1,(GMW!$NE$2:$NE$60=Y$3)*(GMW!$ND$2:$ND$60=Y$4)*(GMW!$NF$2:$NF$60=Y$1),0),$F30-1966)</f>
        <v>100.80629999999999</v>
      </c>
      <c r="Z30" s="4" cm="1">
        <f t="array" ref="Z30">INDEX(GMW!$A$2:$NF$60,MATCH(1,(GMW!$NE$2:$NE$60=Z$3)*(GMW!$ND$2:$ND$60=Z$4)*(GMW!$NF$2:$NF$60=Z$1),0),$F30-1966)</f>
        <v>121.67400000000001</v>
      </c>
      <c r="AA30" s="4" cm="1">
        <f t="array" ref="AA30">INDEX(GMW!$A$2:$NF$60,MATCH(1,(GMW!$NE$2:$NE$60=AA$3)*(GMW!$ND$2:$ND$60=AA$4)*(GMW!$NF$2:$NF$60=AA$1),0),$F30-1966)</f>
        <v>123288</v>
      </c>
      <c r="AB30" s="4" cm="1">
        <f t="array" ref="AB30">INDEX(GMW!$A$2:$NF$60,MATCH(1,(GMW!$NE$2:$NE$60=AB$3)*(GMW!$ND$2:$ND$60=AB$4)*(GMW!$NF$2:$NF$60=AB$1),0),$F30-1966)</f>
        <v>48906</v>
      </c>
      <c r="AC30" s="4" cm="1">
        <f t="array" ref="AC30">INDEX(GMW!$A$2:$NF$60,MATCH(1,(GMW!$NE$2:$NE$60=AC$3)*(GMW!$ND$2:$ND$60=AC$4)*(GMW!$NF$2:$NF$60=AC$1),0),$F30-1966)</f>
        <v>619.22500000000002</v>
      </c>
      <c r="AD30" s="4" cm="1">
        <f t="array" ref="AD30">INDEX(GMW!$A$2:$NF$60,MATCH(1,(GMW!$NE$2:$NE$60=AD$3)*(GMW!$ND$2:$ND$60=AD$4)*(GMW!$NF$2:$NF$60=AD$1),0),$F30-1966)</f>
        <v>54291.46</v>
      </c>
      <c r="AE30" s="4" cm="1">
        <f t="array" ref="AE30">INDEX(GMW!$A$2:$NF$60,MATCH(1,(GMW!$NE$2:$NE$60=AE$3)*(GMW!$ND$2:$ND$60=AE$4)*(GMW!$NF$2:$NF$60=AE$1),0),$F30-1966)</f>
        <v>198.22900000000001</v>
      </c>
      <c r="AF30" s="4" cm="1">
        <f t="array" ref="AF30">INDEX(GMW!$A$2:$NF$60,MATCH(1,(GMW!$NE$2:$NE$60=AF$3)*(GMW!$ND$2:$ND$60=AF$4)*(GMW!$NF$2:$NF$60=AF$1),0),$F30-1966)</f>
        <v>90.906999999999996</v>
      </c>
      <c r="AG30" s="4" cm="1">
        <f t="array" ref="AG30">INDEX(GMW!$A$2:$NF$60,MATCH(1,(GMW!$NE$2:$NE$60=AG$3)*(GMW!$ND$2:$ND$60=AG$4)*(GMW!$NF$2:$NF$60=AG$1),0),$F30-1966)</f>
        <v>36.47</v>
      </c>
      <c r="AH30" s="4" cm="1">
        <f t="array" ref="AH30">INDEX(GMW!$A$2:$NF$60,MATCH(1,(GMW!$NE$2:$NE$60=AH$3)*(GMW!$ND$2:$ND$60=AH$4)*(GMW!$NF$2:$NF$60=AH$1),0),$F30-1966)</f>
        <v>65773</v>
      </c>
    </row>
    <row r="31" spans="1:34" x14ac:dyDescent="0.25">
      <c r="A31" s="4">
        <v>1979</v>
      </c>
      <c r="B31" s="4">
        <f t="shared" si="10"/>
        <v>1979</v>
      </c>
      <c r="C31" s="4">
        <f t="shared" si="10"/>
        <v>1978</v>
      </c>
      <c r="D31" s="4">
        <f t="shared" si="10"/>
        <v>1978</v>
      </c>
      <c r="F31" s="4">
        <f t="shared" si="4"/>
        <v>1997</v>
      </c>
      <c r="G31" s="4" cm="1">
        <f t="array" ref="G31">INDEX(GMW!$A$2:$NF$60,MATCH(1,(GMW!$NE$2:$NE$60=G$3)*(GMW!$ND$2:$ND$60=G$4)*(GMW!$NF$2:$NF$60=G$1),0),$F31-1966)</f>
        <v>264185</v>
      </c>
      <c r="H31" s="4" cm="1">
        <f t="array" ref="H31">INDEX(GMW!$A$2:$NF$60,MATCH(1,(GMW!$NE$2:$NE$60=H$3)*(GMW!$ND$2:$ND$60=H$4)*(GMW!$NF$2:$NF$60=H$1),0),$F31-1966)</f>
        <v>1809.675</v>
      </c>
      <c r="I31" s="4" cm="1">
        <f t="array" ref="I31">INDEX(GMW!$A$2:$NF$60,MATCH(1,(GMW!$NE$2:$NE$60=I$3)*(GMW!$ND$2:$ND$60=I$4)*(GMW!$NF$2:$NF$60=I$1),0),$F31-1966)</f>
        <v>64175.77</v>
      </c>
      <c r="J31" s="4" cm="1">
        <f t="array" ref="J31">INDEX(GMW!$A$2:$NF$60,MATCH(1,(GMW!$NE$2:$NE$60=J$3)*(GMW!$ND$2:$ND$60=J$4)*(GMW!$NF$2:$NF$60=J$1),0),$F31-1966)</f>
        <v>441.69</v>
      </c>
      <c r="K31" s="4" cm="1">
        <f t="array" ref="K31">INDEX(GMW!$A$2:$NF$60,MATCH(1,(GMW!$NE$2:$NE$60=K$3)*(GMW!$ND$2:$ND$60=K$4)*(GMW!$NF$2:$NF$60=K$1),0),$F31-1966)</f>
        <v>297.55200000000002</v>
      </c>
      <c r="L31" s="4" cm="1">
        <f t="array" ref="L31">INDEX(GMW!$A$2:$NF$60,MATCH(1,(GMW!$NE$2:$NE$60=L$3)*(GMW!$ND$2:$ND$60=L$4)*(GMW!$NF$2:$NF$60=L$1),0),$F31-1966)</f>
        <v>281.07389999999998</v>
      </c>
      <c r="M31" s="4" cm="1">
        <f t="array" ref="M31">INDEX(GMW!$A$2:$NF$60,MATCH(1,(GMW!$NE$2:$NE$60=M$3)*(GMW!$ND$2:$ND$60=M$4)*(GMW!$NF$2:$NF$60=M$1),0),$F31-1966)</f>
        <v>215570.5</v>
      </c>
      <c r="N31" s="4" cm="1">
        <f t="array" ref="N31">INDEX(GMW!$A$2:$NF$60,MATCH(1,(GMW!$NE$2:$NE$60=N$3)*(GMW!$ND$2:$ND$60=N$4)*(GMW!$NF$2:$NF$60=N$1),0),$F31-1966)</f>
        <v>-2492</v>
      </c>
      <c r="O31" s="4" cm="1">
        <f t="array" ref="O31">INDEX(GMW!$A$2:$NF$60,MATCH(1,(GMW!$NE$2:$NE$60=O$3)*(GMW!$ND$2:$ND$60=O$4)*(GMW!$NF$2:$NF$60=O$1),0),$F31-1966)</f>
        <v>-16.863250000000001</v>
      </c>
      <c r="P31" s="4" cm="1">
        <f t="array" ref="P31">INDEX(GMW!$A$2:$NF$60,MATCH(1,(GMW!$NE$2:$NE$60=P$3)*(GMW!$ND$2:$ND$60=P$4)*(GMW!$NF$2:$NF$60=P$1),0),$F31-1966)</f>
        <v>-3275.5</v>
      </c>
      <c r="Q31" s="4" cm="1">
        <f t="array" ref="Q31">INDEX(GMW!$A$2:$NF$60,MATCH(1,(GMW!$NE$2:$NE$60=Q$3)*(GMW!$ND$2:$ND$60=Q$4)*(GMW!$NF$2:$NF$60=Q$1),0),$F31-1966)</f>
        <v>-13.23302</v>
      </c>
      <c r="R31" s="4" cm="1">
        <f t="array" ref="R31">INDEX(GMW!$A$2:$NF$60,MATCH(1,(GMW!$NE$2:$NE$60=R$3)*(GMW!$ND$2:$ND$60=R$4)*(GMW!$NF$2:$NF$60=R$1),0),$F31-1966)</f>
        <v>-0.79912019999999995</v>
      </c>
      <c r="S31" s="4" cm="1">
        <f t="array" ref="S31">INDEX(GMW!$A$2:$NF$60,MATCH(1,(GMW!$NE$2:$NE$60=S$3)*(GMW!$ND$2:$ND$60=S$4)*(GMW!$NF$2:$NF$60=S$1),0),$F31-1966)</f>
        <v>-3.3213629999999998</v>
      </c>
      <c r="T31" s="4" cm="1">
        <f t="array" ref="T31">INDEX(GMW!$A$2:$NF$60,MATCH(1,(GMW!$NE$2:$NE$60=T$3)*(GMW!$ND$2:$ND$60=T$4)*(GMW!$NF$2:$NF$60=T$1),0),$F31-1966)</f>
        <v>-2413</v>
      </c>
      <c r="U31" s="4" cm="1">
        <f t="array" ref="U31">INDEX(GMW!$A$2:$NF$60,MATCH(1,(GMW!$NE$2:$NE$60=U$3)*(GMW!$ND$2:$ND$60=U$4)*(GMW!$NF$2:$NF$60=U$1),0),$F31-1966)</f>
        <v>96731</v>
      </c>
      <c r="V31" s="4" cm="1">
        <f t="array" ref="V31">INDEX(GMW!$A$2:$NF$60,MATCH(1,(GMW!$NE$2:$NE$60=V$3)*(GMW!$ND$2:$ND$60=V$4)*(GMW!$NF$2:$NF$60=V$1),0),$F31-1966)</f>
        <v>1808.9549999999999</v>
      </c>
      <c r="W31" s="4" cm="1">
        <f t="array" ref="W31">INDEX(GMW!$A$2:$NF$60,MATCH(1,(GMW!$NE$2:$NE$60=W$3)*(GMW!$ND$2:$ND$60=W$4)*(GMW!$NF$2:$NF$60=W$1),0),$F31-1966)</f>
        <v>86361</v>
      </c>
      <c r="X31" s="4" cm="1">
        <f t="array" ref="X31">INDEX(GMW!$A$2:$NF$60,MATCH(1,(GMW!$NE$2:$NE$60=X$3)*(GMW!$ND$2:$ND$60=X$4)*(GMW!$NF$2:$NF$60=X$1),0),$F31-1966)</f>
        <v>199.05869999999999</v>
      </c>
      <c r="Y31" s="4" cm="1">
        <f t="array" ref="Y31">INDEX(GMW!$A$2:$NF$60,MATCH(1,(GMW!$NE$2:$NE$60=Y$3)*(GMW!$ND$2:$ND$60=Y$4)*(GMW!$NF$2:$NF$60=Y$1),0),$F31-1966)</f>
        <v>104.5368</v>
      </c>
      <c r="Z31" s="4" cm="1">
        <f t="array" ref="Z31">INDEX(GMW!$A$2:$NF$60,MATCH(1,(GMW!$NE$2:$NE$60=Z$3)*(GMW!$ND$2:$ND$60=Z$4)*(GMW!$NF$2:$NF$60=Z$1),0),$F31-1966)</f>
        <v>127.90819999999999</v>
      </c>
      <c r="AA31" s="4" cm="1">
        <f t="array" ref="AA31">INDEX(GMW!$A$2:$NF$60,MATCH(1,(GMW!$NE$2:$NE$60=AA$3)*(GMW!$ND$2:$ND$60=AA$4)*(GMW!$NF$2:$NF$60=AA$1),0),$F31-1966)</f>
        <v>125636</v>
      </c>
      <c r="AB31" s="4" cm="1">
        <f t="array" ref="AB31">INDEX(GMW!$A$2:$NF$60,MATCH(1,(GMW!$NE$2:$NE$60=AB$3)*(GMW!$ND$2:$ND$60=AB$4)*(GMW!$NF$2:$NF$60=AB$1),0),$F31-1966)</f>
        <v>50459</v>
      </c>
      <c r="AC31" s="4" cm="1">
        <f t="array" ref="AC31">INDEX(GMW!$A$2:$NF$60,MATCH(1,(GMW!$NE$2:$NE$60=AC$3)*(GMW!$ND$2:$ND$60=AC$4)*(GMW!$NF$2:$NF$60=AC$1),0),$F31-1966)</f>
        <v>631.65</v>
      </c>
      <c r="AD31" s="4" cm="1">
        <f t="array" ref="AD31">INDEX(GMW!$A$2:$NF$60,MATCH(1,(GMW!$NE$2:$NE$60=AD$3)*(GMW!$ND$2:$ND$60=AD$4)*(GMW!$NF$2:$NF$60=AD$1),0),$F31-1966)</f>
        <v>55388.07</v>
      </c>
      <c r="AE31" s="4" cm="1">
        <f t="array" ref="AE31">INDEX(GMW!$A$2:$NF$60,MATCH(1,(GMW!$NE$2:$NE$60=AE$3)*(GMW!$ND$2:$ND$60=AE$4)*(GMW!$NF$2:$NF$60=AE$1),0),$F31-1966)</f>
        <v>201.0008</v>
      </c>
      <c r="AF31" s="4" cm="1">
        <f t="array" ref="AF31">INDEX(GMW!$A$2:$NF$60,MATCH(1,(GMW!$NE$2:$NE$60=AF$3)*(GMW!$ND$2:$ND$60=AF$4)*(GMW!$NF$2:$NF$60=AF$1),0),$F31-1966)</f>
        <v>94.156000000000006</v>
      </c>
      <c r="AG31" s="4" cm="1">
        <f t="array" ref="AG31">INDEX(GMW!$A$2:$NF$60,MATCH(1,(GMW!$NE$2:$NE$60=AG$3)*(GMW!$ND$2:$ND$60=AG$4)*(GMW!$NF$2:$NF$60=AG$1),0),$F31-1966)</f>
        <v>38.427</v>
      </c>
      <c r="AH31" s="4" cm="1">
        <f t="array" ref="AH31">INDEX(GMW!$A$2:$NF$60,MATCH(1,(GMW!$NE$2:$NE$60=AH$3)*(GMW!$ND$2:$ND$60=AH$4)*(GMW!$NF$2:$NF$60=AH$1),0),$F31-1966)</f>
        <v>67850</v>
      </c>
    </row>
    <row r="32" spans="1:34" x14ac:dyDescent="0.25">
      <c r="B32" s="4">
        <f t="shared" si="10"/>
        <v>1979</v>
      </c>
      <c r="C32" s="4">
        <f t="shared" si="10"/>
        <v>1979</v>
      </c>
      <c r="F32" s="4">
        <f t="shared" si="4"/>
        <v>1998</v>
      </c>
      <c r="G32" s="4" cm="1">
        <f t="array" ref="G32">INDEX(GMW!$A$2:$NF$60,MATCH(1,(GMW!$NE$2:$NE$60=G$3)*(GMW!$ND$2:$ND$60=G$4)*(GMW!$NF$2:$NF$60=G$1),0),$F32-1966)</f>
        <v>275695</v>
      </c>
      <c r="H32" s="4" cm="1">
        <f t="array" ref="H32">INDEX(GMW!$A$2:$NF$60,MATCH(1,(GMW!$NE$2:$NE$60=H$3)*(GMW!$ND$2:$ND$60=H$4)*(GMW!$NF$2:$NF$60=H$1),0),$F32-1966)</f>
        <v>1811.625</v>
      </c>
      <c r="I32" s="4" cm="1">
        <f t="array" ref="I32">INDEX(GMW!$A$2:$NF$60,MATCH(1,(GMW!$NE$2:$NE$60=I$3)*(GMW!$ND$2:$ND$60=I$4)*(GMW!$NF$2:$NF$60=I$1),0),$F32-1966)</f>
        <v>65372.08</v>
      </c>
      <c r="J32" s="4" cm="1">
        <f t="array" ref="J32">INDEX(GMW!$A$2:$NF$60,MATCH(1,(GMW!$NE$2:$NE$60=J$3)*(GMW!$ND$2:$ND$60=J$4)*(GMW!$NF$2:$NF$60=J$1),0),$F32-1966)</f>
        <v>455.35</v>
      </c>
      <c r="K32" s="4" cm="1">
        <f t="array" ref="K32">INDEX(GMW!$A$2:$NF$60,MATCH(1,(GMW!$NE$2:$NE$60=K$3)*(GMW!$ND$2:$ND$60=K$4)*(GMW!$NF$2:$NF$60=K$1),0),$F32-1966)</f>
        <v>299.07100000000003</v>
      </c>
      <c r="L32" s="4" cm="1">
        <f t="array" ref="L32">INDEX(GMW!$A$2:$NF$60,MATCH(1,(GMW!$NE$2:$NE$60=L$3)*(GMW!$ND$2:$ND$60=L$4)*(GMW!$NF$2:$NF$60=L$1),0),$F32-1966)</f>
        <v>283.11779999999999</v>
      </c>
      <c r="M32" s="4" cm="1">
        <f t="array" ref="M32">INDEX(GMW!$A$2:$NF$60,MATCH(1,(GMW!$NE$2:$NE$60=M$3)*(GMW!$ND$2:$ND$60=M$4)*(GMW!$NF$2:$NF$60=M$1),0),$F32-1966)</f>
        <v>218430.3</v>
      </c>
      <c r="N32" s="4" cm="1">
        <f t="array" ref="N32">INDEX(GMW!$A$2:$NF$60,MATCH(1,(GMW!$NE$2:$NE$60=N$3)*(GMW!$ND$2:$ND$60=N$4)*(GMW!$NF$2:$NF$60=N$1),0),$F32-1966)</f>
        <v>-2137</v>
      </c>
      <c r="O32" s="4" cm="1">
        <f t="array" ref="O32">INDEX(GMW!$A$2:$NF$60,MATCH(1,(GMW!$NE$2:$NE$60=O$3)*(GMW!$ND$2:$ND$60=O$4)*(GMW!$NF$2:$NF$60=O$1),0),$F32-1966)</f>
        <v>-18.222000000000001</v>
      </c>
      <c r="P32" s="4" cm="1">
        <f t="array" ref="P32">INDEX(GMW!$A$2:$NF$60,MATCH(1,(GMW!$NE$2:$NE$60=P$3)*(GMW!$ND$2:$ND$60=P$4)*(GMW!$NF$2:$NF$60=P$1),0),$F32-1966)</f>
        <v>-3126.25</v>
      </c>
      <c r="Q32" s="4" cm="1">
        <f t="array" ref="Q32">INDEX(GMW!$A$2:$NF$60,MATCH(1,(GMW!$NE$2:$NE$60=Q$3)*(GMW!$ND$2:$ND$60=Q$4)*(GMW!$NF$2:$NF$60=Q$1),0),$F32-1966)</f>
        <v>-13.86726</v>
      </c>
      <c r="R32" s="4" cm="1">
        <f t="array" ref="R32">INDEX(GMW!$A$2:$NF$60,MATCH(1,(GMW!$NE$2:$NE$60=R$3)*(GMW!$ND$2:$ND$60=R$4)*(GMW!$NF$2:$NF$60=R$1),0),$F32-1966)</f>
        <v>-0.43894230000000001</v>
      </c>
      <c r="S32" s="4" cm="1">
        <f t="array" ref="S32">INDEX(GMW!$A$2:$NF$60,MATCH(1,(GMW!$NE$2:$NE$60=S$3)*(GMW!$ND$2:$ND$60=S$4)*(GMW!$NF$2:$NF$60=S$1),0),$F32-1966)</f>
        <v>-3.4217369999999998</v>
      </c>
      <c r="T32" s="4" cm="1">
        <f t="array" ref="T32">INDEX(GMW!$A$2:$NF$60,MATCH(1,(GMW!$NE$2:$NE$60=T$3)*(GMW!$ND$2:$ND$60=T$4)*(GMW!$NF$2:$NF$60=T$1),0),$F32-1966)</f>
        <v>-2502</v>
      </c>
      <c r="U32" s="4" cm="1">
        <f t="array" ref="U32">INDEX(GMW!$A$2:$NF$60,MATCH(1,(GMW!$NE$2:$NE$60=U$3)*(GMW!$ND$2:$ND$60=U$4)*(GMW!$NF$2:$NF$60=U$1),0),$F32-1966)</f>
        <v>99423</v>
      </c>
      <c r="V32" s="4" cm="1">
        <f t="array" ref="V32">INDEX(GMW!$A$2:$NF$60,MATCH(1,(GMW!$NE$2:$NE$60=V$3)*(GMW!$ND$2:$ND$60=V$4)*(GMW!$NF$2:$NF$60=V$1),0),$F32-1966)</f>
        <v>1833.5260000000001</v>
      </c>
      <c r="W32" s="4" cm="1">
        <f t="array" ref="W32">INDEX(GMW!$A$2:$NF$60,MATCH(1,(GMW!$NE$2:$NE$60=W$3)*(GMW!$ND$2:$ND$60=W$4)*(GMW!$NF$2:$NF$60=W$1),0),$F32-1966)</f>
        <v>90559</v>
      </c>
      <c r="X32" s="4" cm="1">
        <f t="array" ref="X32">INDEX(GMW!$A$2:$NF$60,MATCH(1,(GMW!$NE$2:$NE$60=X$3)*(GMW!$ND$2:$ND$60=X$4)*(GMW!$NF$2:$NF$60=X$1),0),$F32-1966)</f>
        <v>204.11709999999999</v>
      </c>
      <c r="Y32" s="4" cm="1">
        <f t="array" ref="Y32">INDEX(GMW!$A$2:$NF$60,MATCH(1,(GMW!$NE$2:$NE$60=Y$3)*(GMW!$ND$2:$ND$60=Y$4)*(GMW!$NF$2:$NF$60=Y$1),0),$F32-1966)</f>
        <v>108.26730000000001</v>
      </c>
      <c r="Z32" s="4" cm="1">
        <f t="array" ref="Z32">INDEX(GMW!$A$2:$NF$60,MATCH(1,(GMW!$NE$2:$NE$60=Z$3)*(GMW!$ND$2:$ND$60=Z$4)*(GMW!$NF$2:$NF$60=Z$1),0),$F32-1966)</f>
        <v>134.14250000000001</v>
      </c>
      <c r="AA32" s="4" cm="1">
        <f t="array" ref="AA32">INDEX(GMW!$A$2:$NF$60,MATCH(1,(GMW!$NE$2:$NE$60=AA$3)*(GMW!$ND$2:$ND$60=AA$4)*(GMW!$NF$2:$NF$60=AA$1),0),$F32-1966)</f>
        <v>127984</v>
      </c>
      <c r="AB32" s="4" cm="1">
        <f t="array" ref="AB32">INDEX(GMW!$A$2:$NF$60,MATCH(1,(GMW!$NE$2:$NE$60=AB$3)*(GMW!$ND$2:$ND$60=AB$4)*(GMW!$NF$2:$NF$60=AB$1),0),$F32-1966)</f>
        <v>53966</v>
      </c>
      <c r="AC32" s="4" cm="1">
        <f t="array" ref="AC32">INDEX(GMW!$A$2:$NF$60,MATCH(1,(GMW!$NE$2:$NE$60=AC$3)*(GMW!$ND$2:$ND$60=AC$4)*(GMW!$NF$2:$NF$60=AC$1),0),$F32-1966)</f>
        <v>647.79999999999995</v>
      </c>
      <c r="AD32" s="4" cm="1">
        <f t="array" ref="AD32">INDEX(GMW!$A$2:$NF$60,MATCH(1,(GMW!$NE$2:$NE$60=AD$3)*(GMW!$ND$2:$ND$60=AD$4)*(GMW!$NF$2:$NF$60=AD$1),0),$F32-1966)</f>
        <v>56633.06</v>
      </c>
      <c r="AE32" s="4" cm="1">
        <f t="array" ref="AE32">INDEX(GMW!$A$2:$NF$60,MATCH(1,(GMW!$NE$2:$NE$60=AE$3)*(GMW!$ND$2:$ND$60=AE$4)*(GMW!$NF$2:$NF$60=AE$1),0),$F32-1966)</f>
        <v>209.6463</v>
      </c>
      <c r="AF32" s="4" cm="1">
        <f t="array" ref="AF32">INDEX(GMW!$A$2:$NF$60,MATCH(1,(GMW!$NE$2:$NE$60=AF$3)*(GMW!$ND$2:$ND$60=AF$4)*(GMW!$NF$2:$NF$60=AF$1),0),$F32-1966)</f>
        <v>96.655000000000001</v>
      </c>
      <c r="AG32" s="4" cm="1">
        <f t="array" ref="AG32">INDEX(GMW!$A$2:$NF$60,MATCH(1,(GMW!$NE$2:$NE$60=AG$3)*(GMW!$ND$2:$ND$60=AG$4)*(GMW!$NF$2:$NF$60=AG$1),0),$F32-1966)</f>
        <v>40.445</v>
      </c>
      <c r="AH32" s="4" cm="1">
        <f t="array" ref="AH32">INDEX(GMW!$A$2:$NF$60,MATCH(1,(GMW!$NE$2:$NE$60=AH$3)*(GMW!$ND$2:$ND$60=AH$4)*(GMW!$NF$2:$NF$60=AH$1),0),$F32-1966)</f>
        <v>71043</v>
      </c>
    </row>
    <row r="33" spans="1:34" x14ac:dyDescent="0.25">
      <c r="B33" s="4">
        <f t="shared" si="10"/>
        <v>1979</v>
      </c>
      <c r="C33" s="4">
        <f t="shared" si="10"/>
        <v>1979</v>
      </c>
      <c r="F33" s="4">
        <f t="shared" si="4"/>
        <v>1999</v>
      </c>
      <c r="G33" s="4" cm="1">
        <f t="array" ref="G33">INDEX(GMW!$A$2:$NF$60,MATCH(1,(GMW!$NE$2:$NE$60=G$3)*(GMW!$ND$2:$ND$60=G$4)*(GMW!$NF$2:$NF$60=G$1),0),$F33-1966)</f>
        <v>269599</v>
      </c>
      <c r="H33" s="4" cm="1">
        <f t="array" ref="H33">INDEX(GMW!$A$2:$NF$60,MATCH(1,(GMW!$NE$2:$NE$60=H$3)*(GMW!$ND$2:$ND$60=H$4)*(GMW!$NF$2:$NF$60=H$1),0),$F33-1966)</f>
        <v>1825.075</v>
      </c>
      <c r="I33" s="4" cm="1">
        <f t="array" ref="I33">INDEX(GMW!$A$2:$NF$60,MATCH(1,(GMW!$NE$2:$NE$60=I$3)*(GMW!$ND$2:$ND$60=I$4)*(GMW!$NF$2:$NF$60=I$1),0),$F33-1966)</f>
        <v>65872.72</v>
      </c>
      <c r="J33" s="4" cm="1">
        <f t="array" ref="J33">INDEX(GMW!$A$2:$NF$60,MATCH(1,(GMW!$NE$2:$NE$60=J$3)*(GMW!$ND$2:$ND$60=J$4)*(GMW!$NF$2:$NF$60=J$1),0),$F33-1966)</f>
        <v>455.43</v>
      </c>
      <c r="K33" s="4" cm="1">
        <f t="array" ref="K33">INDEX(GMW!$A$2:$NF$60,MATCH(1,(GMW!$NE$2:$NE$60=K$3)*(GMW!$ND$2:$ND$60=K$4)*(GMW!$NF$2:$NF$60=K$1),0),$F33-1966)</f>
        <v>302.92</v>
      </c>
      <c r="L33" s="4" cm="1">
        <f t="array" ref="L33">INDEX(GMW!$A$2:$NF$60,MATCH(1,(GMW!$NE$2:$NE$60=L$3)*(GMW!$ND$2:$ND$60=L$4)*(GMW!$NF$2:$NF$60=L$1),0),$F33-1966)</f>
        <v>288.01780000000002</v>
      </c>
      <c r="M33" s="4" cm="1">
        <f t="array" ref="M33">INDEX(GMW!$A$2:$NF$60,MATCH(1,(GMW!$NE$2:$NE$60=M$3)*(GMW!$ND$2:$ND$60=M$4)*(GMW!$NF$2:$NF$60=M$1),0),$F33-1966)</f>
        <v>220031.5</v>
      </c>
      <c r="N33" s="4" cm="1">
        <f t="array" ref="N33">INDEX(GMW!$A$2:$NF$60,MATCH(1,(GMW!$NE$2:$NE$60=N$3)*(GMW!$ND$2:$ND$60=N$4)*(GMW!$NF$2:$NF$60=N$1),0),$F33-1966)</f>
        <v>-2934</v>
      </c>
      <c r="O33" s="4" cm="1">
        <f t="array" ref="O33">INDEX(GMW!$A$2:$NF$60,MATCH(1,(GMW!$NE$2:$NE$60=O$3)*(GMW!$ND$2:$ND$60=O$4)*(GMW!$NF$2:$NF$60=O$1),0),$F33-1966)</f>
        <v>-20.598500000000001</v>
      </c>
      <c r="P33" s="4" cm="1">
        <f t="array" ref="P33">INDEX(GMW!$A$2:$NF$60,MATCH(1,(GMW!$NE$2:$NE$60=P$3)*(GMW!$ND$2:$ND$60=P$4)*(GMW!$NF$2:$NF$60=P$1),0),$F33-1966)</f>
        <v>-3069</v>
      </c>
      <c r="Q33" s="4" cm="1">
        <f t="array" ref="Q33">INDEX(GMW!$A$2:$NF$60,MATCH(1,(GMW!$NE$2:$NE$60=Q$3)*(GMW!$ND$2:$ND$60=Q$4)*(GMW!$NF$2:$NF$60=Q$1),0),$F33-1966)</f>
        <v>-14.02688</v>
      </c>
      <c r="R33" s="4" cm="1">
        <f t="array" ref="R33">INDEX(GMW!$A$2:$NF$60,MATCH(1,(GMW!$NE$2:$NE$60=R$3)*(GMW!$ND$2:$ND$60=R$4)*(GMW!$NF$2:$NF$60=R$1),0),$F33-1966)</f>
        <v>-0.30341099999999999</v>
      </c>
      <c r="S33" s="4" cm="1">
        <f t="array" ref="S33">INDEX(GMW!$A$2:$NF$60,MATCH(1,(GMW!$NE$2:$NE$60=S$3)*(GMW!$ND$2:$ND$60=S$4)*(GMW!$NF$2:$NF$60=S$1),0),$F33-1966)</f>
        <v>-3.4487580000000002</v>
      </c>
      <c r="T33" s="4" cm="1">
        <f t="array" ref="T33">INDEX(GMW!$A$2:$NF$60,MATCH(1,(GMW!$NE$2:$NE$60=T$3)*(GMW!$ND$2:$ND$60=T$4)*(GMW!$NF$2:$NF$60=T$1),0),$F33-1966)</f>
        <v>-1693</v>
      </c>
      <c r="U33" s="4" cm="1">
        <f t="array" ref="U33">INDEX(GMW!$A$2:$NF$60,MATCH(1,(GMW!$NE$2:$NE$60=U$3)*(GMW!$ND$2:$ND$60=U$4)*(GMW!$NF$2:$NF$60=U$1),0),$F33-1966)</f>
        <v>102115</v>
      </c>
      <c r="V33" s="4" cm="1">
        <f t="array" ref="V33">INDEX(GMW!$A$2:$NF$60,MATCH(1,(GMW!$NE$2:$NE$60=V$3)*(GMW!$ND$2:$ND$60=V$4)*(GMW!$NF$2:$NF$60=V$1),0),$F33-1966)</f>
        <v>1873.4459999999999</v>
      </c>
      <c r="W33" s="4" cm="1">
        <f t="array" ref="W33">INDEX(GMW!$A$2:$NF$60,MATCH(1,(GMW!$NE$2:$NE$60=W$3)*(GMW!$ND$2:$ND$60=W$4)*(GMW!$NF$2:$NF$60=W$1),0),$F33-1966)</f>
        <v>94758</v>
      </c>
      <c r="X33" s="4" cm="1">
        <f t="array" ref="X33">INDEX(GMW!$A$2:$NF$60,MATCH(1,(GMW!$NE$2:$NE$60=X$3)*(GMW!$ND$2:$ND$60=X$4)*(GMW!$NF$2:$NF$60=X$1),0),$F33-1966)</f>
        <v>210.31229999999999</v>
      </c>
      <c r="Y33" s="4" cm="1">
        <f t="array" ref="Y33">INDEX(GMW!$A$2:$NF$60,MATCH(1,(GMW!$NE$2:$NE$60=Y$3)*(GMW!$ND$2:$ND$60=Y$4)*(GMW!$NF$2:$NF$60=Y$1),0),$F33-1966)</f>
        <v>111.9978</v>
      </c>
      <c r="Z33" s="4" cm="1">
        <f t="array" ref="Z33">INDEX(GMW!$A$2:$NF$60,MATCH(1,(GMW!$NE$2:$NE$60=Z$3)*(GMW!$ND$2:$ND$60=Z$4)*(GMW!$NF$2:$NF$60=Z$1),0),$F33-1966)</f>
        <v>140.3768</v>
      </c>
      <c r="AA33" s="4" cm="1">
        <f t="array" ref="AA33">INDEX(GMW!$A$2:$NF$60,MATCH(1,(GMW!$NE$2:$NE$60=AA$3)*(GMW!$ND$2:$ND$60=AA$4)*(GMW!$NF$2:$NF$60=AA$1),0),$F33-1966)</f>
        <v>130332</v>
      </c>
      <c r="AB33" s="4" cm="1">
        <f t="array" ref="AB33">INDEX(GMW!$A$2:$NF$60,MATCH(1,(GMW!$NE$2:$NE$60=AB$3)*(GMW!$ND$2:$ND$60=AB$4)*(GMW!$NF$2:$NF$60=AB$1),0),$F33-1966)</f>
        <v>56767</v>
      </c>
      <c r="AC33" s="4" cm="1">
        <f t="array" ref="AC33">INDEX(GMW!$A$2:$NF$60,MATCH(1,(GMW!$NE$2:$NE$60=AC$3)*(GMW!$ND$2:$ND$60=AC$4)*(GMW!$NF$2:$NF$60=AC$1),0),$F33-1966)</f>
        <v>666.9</v>
      </c>
      <c r="AD33" s="4" cm="1">
        <f t="array" ref="AD33">INDEX(GMW!$A$2:$NF$60,MATCH(1,(GMW!$NE$2:$NE$60=AD$3)*(GMW!$ND$2:$ND$60=AD$4)*(GMW!$NF$2:$NF$60=AD$1),0),$F33-1966)</f>
        <v>57492.95</v>
      </c>
      <c r="AE33" s="4" cm="1">
        <f t="array" ref="AE33">INDEX(GMW!$A$2:$NF$60,MATCH(1,(GMW!$NE$2:$NE$60=AE$3)*(GMW!$ND$2:$ND$60=AE$4)*(GMW!$NF$2:$NF$60=AE$1),0),$F33-1966)</f>
        <v>212.8031</v>
      </c>
      <c r="AF33" s="4" cm="1">
        <f t="array" ref="AF33">INDEX(GMW!$A$2:$NF$60,MATCH(1,(GMW!$NE$2:$NE$60=AF$3)*(GMW!$ND$2:$ND$60=AF$4)*(GMW!$NF$2:$NF$60=AF$1),0),$F33-1966)</f>
        <v>100.22199999999999</v>
      </c>
      <c r="AG33" s="4" cm="1">
        <f t="array" ref="AG33">INDEX(GMW!$A$2:$NF$60,MATCH(1,(GMW!$NE$2:$NE$60=AG$3)*(GMW!$ND$2:$ND$60=AG$4)*(GMW!$NF$2:$NF$60=AG$1),0),$F33-1966)</f>
        <v>43.356000000000002</v>
      </c>
      <c r="AH33" s="4" cm="1">
        <f t="array" ref="AH33">INDEX(GMW!$A$2:$NF$60,MATCH(1,(GMW!$NE$2:$NE$60=AH$3)*(GMW!$ND$2:$ND$60=AH$4)*(GMW!$NF$2:$NF$60=AH$1),0),$F33-1966)</f>
        <v>73230</v>
      </c>
    </row>
    <row r="34" spans="1:34" x14ac:dyDescent="0.25">
      <c r="B34" s="4">
        <f t="shared" si="10"/>
        <v>1979</v>
      </c>
      <c r="C34" s="4">
        <f t="shared" si="10"/>
        <v>1979</v>
      </c>
      <c r="E34" s="4">
        <f t="shared" ref="E34" si="12">+E30+1</f>
        <v>1979</v>
      </c>
      <c r="F34" s="4">
        <f t="shared" si="4"/>
        <v>2000</v>
      </c>
      <c r="G34" s="4" cm="1">
        <f t="array" ref="G34">INDEX(GMW!$A$2:$NF$60,MATCH(1,(GMW!$NE$2:$NE$60=G$3)*(GMW!$ND$2:$ND$60=G$4)*(GMW!$NF$2:$NF$60=G$1),0),$F34-1966)</f>
        <v>272359</v>
      </c>
      <c r="H34" s="4" cm="1">
        <f t="array" ref="H34">INDEX(GMW!$A$2:$NF$60,MATCH(1,(GMW!$NE$2:$NE$60=H$3)*(GMW!$ND$2:$ND$60=H$4)*(GMW!$NF$2:$NF$60=H$1),0),$F34-1966)</f>
        <v>1829.625</v>
      </c>
      <c r="I34" s="4" cm="1">
        <f t="array" ref="I34">INDEX(GMW!$A$2:$NF$60,MATCH(1,(GMW!$NE$2:$NE$60=I$3)*(GMW!$ND$2:$ND$60=I$4)*(GMW!$NF$2:$NF$60=I$1),0),$F34-1966)</f>
        <v>66157.2</v>
      </c>
      <c r="J34" s="4" cm="1">
        <f t="array" ref="J34">INDEX(GMW!$A$2:$NF$60,MATCH(1,(GMW!$NE$2:$NE$60=J$3)*(GMW!$ND$2:$ND$60=J$4)*(GMW!$NF$2:$NF$60=J$1),0),$F34-1966)</f>
        <v>458.15</v>
      </c>
      <c r="K34" s="4" cm="1">
        <f t="array" ref="K34">INDEX(GMW!$A$2:$NF$60,MATCH(1,(GMW!$NE$2:$NE$60=K$3)*(GMW!$ND$2:$ND$60=K$4)*(GMW!$NF$2:$NF$60=K$1),0),$F34-1966)</f>
        <v>303.971</v>
      </c>
      <c r="L34" s="4" cm="1">
        <f t="array" ref="L34">INDEX(GMW!$A$2:$NF$60,MATCH(1,(GMW!$NE$2:$NE$60=L$3)*(GMW!$ND$2:$ND$60=L$4)*(GMW!$NF$2:$NF$60=L$1),0),$F34-1966)</f>
        <v>294.7971</v>
      </c>
      <c r="M34" s="4" cm="1">
        <f t="array" ref="M34">INDEX(GMW!$A$2:$NF$60,MATCH(1,(GMW!$NE$2:$NE$60=M$3)*(GMW!$ND$2:$ND$60=M$4)*(GMW!$NF$2:$NF$60=M$1),0),$F34-1966)</f>
        <v>221507.8</v>
      </c>
      <c r="N34" s="4" cm="1">
        <f t="array" ref="N34">INDEX(GMW!$A$2:$NF$60,MATCH(1,(GMW!$NE$2:$NE$60=N$3)*(GMW!$ND$2:$ND$60=N$4)*(GMW!$NF$2:$NF$60=N$1),0),$F34-1966)</f>
        <v>-1801</v>
      </c>
      <c r="O34" s="4" cm="1">
        <f t="array" ref="O34">INDEX(GMW!$A$2:$NF$60,MATCH(1,(GMW!$NE$2:$NE$60=O$3)*(GMW!$ND$2:$ND$60=O$4)*(GMW!$NF$2:$NF$60=O$1),0),$F34-1966)</f>
        <v>-22.878499999999999</v>
      </c>
      <c r="P34" s="4" cm="1">
        <f t="array" ref="P34">INDEX(GMW!$A$2:$NF$60,MATCH(1,(GMW!$NE$2:$NE$60=P$3)*(GMW!$ND$2:$ND$60=P$4)*(GMW!$NF$2:$NF$60=P$1),0),$F34-1966)</f>
        <v>-2955.75</v>
      </c>
      <c r="Q34" s="4" cm="1">
        <f t="array" ref="Q34">INDEX(GMW!$A$2:$NF$60,MATCH(1,(GMW!$NE$2:$NE$60=Q$3)*(GMW!$ND$2:$ND$60=Q$4)*(GMW!$NF$2:$NF$60=Q$1),0),$F34-1966)</f>
        <v>-17.313199999999998</v>
      </c>
      <c r="R34" s="4" cm="1">
        <f t="array" ref="R34">INDEX(GMW!$A$2:$NF$60,MATCH(1,(GMW!$NE$2:$NE$60=R$3)*(GMW!$ND$2:$ND$60=R$4)*(GMW!$NF$2:$NF$60=R$1),0),$F34-1966)</f>
        <v>-0.3925265</v>
      </c>
      <c r="S34" s="4" cm="1">
        <f t="array" ref="S34">INDEX(GMW!$A$2:$NF$60,MATCH(1,(GMW!$NE$2:$NE$60=S$3)*(GMW!$ND$2:$ND$60=S$4)*(GMW!$NF$2:$NF$60=S$1),0),$F34-1966)</f>
        <v>-3.326092</v>
      </c>
      <c r="T34" s="4" cm="1">
        <f t="array" ref="T34">INDEX(GMW!$A$2:$NF$60,MATCH(1,(GMW!$NE$2:$NE$60=T$3)*(GMW!$ND$2:$ND$60=T$4)*(GMW!$NF$2:$NF$60=T$1),0),$F34-1966)</f>
        <v>-1924</v>
      </c>
      <c r="U34" s="4" cm="1">
        <f t="array" ref="U34">INDEX(GMW!$A$2:$NF$60,MATCH(1,(GMW!$NE$2:$NE$60=U$3)*(GMW!$ND$2:$ND$60=U$4)*(GMW!$NF$2:$NF$60=U$1),0),$F34-1966)</f>
        <v>104807</v>
      </c>
      <c r="V34" s="4" cm="1">
        <f t="array" ref="V34">INDEX(GMW!$A$2:$NF$60,MATCH(1,(GMW!$NE$2:$NE$60=V$3)*(GMW!$ND$2:$ND$60=V$4)*(GMW!$NF$2:$NF$60=V$1),0),$F34-1966)</f>
        <v>1922.42</v>
      </c>
      <c r="W34" s="4" cm="1">
        <f t="array" ref="W34">INDEX(GMW!$A$2:$NF$60,MATCH(1,(GMW!$NE$2:$NE$60=W$3)*(GMW!$ND$2:$ND$60=W$4)*(GMW!$NF$2:$NF$60=W$1),0),$F34-1966)</f>
        <v>98956</v>
      </c>
      <c r="X34" s="4" cm="1">
        <f t="array" ref="X34">INDEX(GMW!$A$2:$NF$60,MATCH(1,(GMW!$NE$2:$NE$60=X$3)*(GMW!$ND$2:$ND$60=X$4)*(GMW!$NF$2:$NF$60=X$1),0),$F34-1966)</f>
        <v>217.64449999999999</v>
      </c>
      <c r="Y34" s="4" cm="1">
        <f t="array" ref="Y34">INDEX(GMW!$A$2:$NF$60,MATCH(1,(GMW!$NE$2:$NE$60=Y$3)*(GMW!$ND$2:$ND$60=Y$4)*(GMW!$NF$2:$NF$60=Y$1),0),$F34-1966)</f>
        <v>115.7283</v>
      </c>
      <c r="Z34" s="4" cm="1">
        <f t="array" ref="Z34">INDEX(GMW!$A$2:$NF$60,MATCH(1,(GMW!$NE$2:$NE$60=Z$3)*(GMW!$ND$2:$ND$60=Z$4)*(GMW!$NF$2:$NF$60=Z$1),0),$F34-1966)</f>
        <v>146.61099999999999</v>
      </c>
      <c r="AA34" s="4" cm="1">
        <f t="array" ref="AA34">INDEX(GMW!$A$2:$NF$60,MATCH(1,(GMW!$NE$2:$NE$60=AA$3)*(GMW!$ND$2:$ND$60=AA$4)*(GMW!$NF$2:$NF$60=AA$1),0),$F34-1966)</f>
        <v>132680</v>
      </c>
      <c r="AB34" s="4" cm="1">
        <f t="array" ref="AB34">INDEX(GMW!$A$2:$NF$60,MATCH(1,(GMW!$NE$2:$NE$60=AB$3)*(GMW!$ND$2:$ND$60=AB$4)*(GMW!$NF$2:$NF$60=AB$1),0),$F34-1966)</f>
        <v>59789</v>
      </c>
      <c r="AC34" s="4" cm="1">
        <f t="array" ref="AC34">INDEX(GMW!$A$2:$NF$60,MATCH(1,(GMW!$NE$2:$NE$60=AC$3)*(GMW!$ND$2:$ND$60=AC$4)*(GMW!$NF$2:$NF$60=AC$1),0),$F34-1966)</f>
        <v>680.97500000000002</v>
      </c>
      <c r="AD34" s="4" cm="1">
        <f t="array" ref="AD34">INDEX(GMW!$A$2:$NF$60,MATCH(1,(GMW!$NE$2:$NE$60=AD$3)*(GMW!$ND$2:$ND$60=AD$4)*(GMW!$NF$2:$NF$60=AD$1),0),$F34-1966)</f>
        <v>58346.5</v>
      </c>
      <c r="AE34" s="4" cm="1">
        <f t="array" ref="AE34">INDEX(GMW!$A$2:$NF$60,MATCH(1,(GMW!$NE$2:$NE$60=AE$3)*(GMW!$ND$2:$ND$60=AE$4)*(GMW!$NF$2:$NF$60=AE$1),0),$F34-1966)</f>
        <v>215.57490000000001</v>
      </c>
      <c r="AF34" s="4" cm="1">
        <f t="array" ref="AF34">INDEX(GMW!$A$2:$NF$60,MATCH(1,(GMW!$NE$2:$NE$60=AF$3)*(GMW!$ND$2:$ND$60=AF$4)*(GMW!$NF$2:$NF$60=AF$1),0),$F34-1966)</f>
        <v>103.458</v>
      </c>
      <c r="AG34" s="4" cm="1">
        <f t="array" ref="AG34">INDEX(GMW!$A$2:$NF$60,MATCH(1,(GMW!$NE$2:$NE$60=AG$3)*(GMW!$ND$2:$ND$60=AG$4)*(GMW!$NF$2:$NF$60=AG$1),0),$F34-1966)</f>
        <v>46.655999999999999</v>
      </c>
      <c r="AH34" s="4" cm="1">
        <f t="array" ref="AH34">INDEX(GMW!$A$2:$NF$60,MATCH(1,(GMW!$NE$2:$NE$60=AH$3)*(GMW!$ND$2:$ND$60=AH$4)*(GMW!$NF$2:$NF$60=AH$1),0),$F34-1966)</f>
        <v>75485</v>
      </c>
    </row>
    <row r="35" spans="1:34" x14ac:dyDescent="0.25">
      <c r="A35" s="4">
        <v>1980</v>
      </c>
      <c r="B35" s="4">
        <f t="shared" si="10"/>
        <v>1980</v>
      </c>
      <c r="C35" s="4">
        <f t="shared" si="10"/>
        <v>1979</v>
      </c>
      <c r="D35" s="4">
        <f t="shared" si="10"/>
        <v>1979</v>
      </c>
      <c r="F35" s="4">
        <f t="shared" si="4"/>
        <v>2001</v>
      </c>
      <c r="G35" s="4" cm="1">
        <f t="array" ref="G35">INDEX(GMW!$A$2:$NF$60,MATCH(1,(GMW!$NE$2:$NE$60=G$3)*(GMW!$ND$2:$ND$60=G$4)*(GMW!$NF$2:$NF$60=G$1),0),$F35-1966)</f>
        <v>269776</v>
      </c>
      <c r="H35" s="4" cm="1">
        <f t="array" ref="H35">INDEX(GMW!$A$2:$NF$60,MATCH(1,(GMW!$NE$2:$NE$60=H$3)*(GMW!$ND$2:$ND$60=H$4)*(GMW!$NF$2:$NF$60=H$1),0),$F35-1966)</f>
        <v>1835.4</v>
      </c>
      <c r="I35" s="4" cm="1">
        <f t="array" ref="I35">INDEX(GMW!$A$2:$NF$60,MATCH(1,(GMW!$NE$2:$NE$60=I$3)*(GMW!$ND$2:$ND$60=I$4)*(GMW!$NF$2:$NF$60=I$1),0),$F35-1966)</f>
        <v>67431.649999999994</v>
      </c>
      <c r="J35" s="4" cm="1">
        <f t="array" ref="J35">INDEX(GMW!$A$2:$NF$60,MATCH(1,(GMW!$NE$2:$NE$60=J$3)*(GMW!$ND$2:$ND$60=J$4)*(GMW!$NF$2:$NF$60=J$1),0),$F35-1966)</f>
        <v>461.8</v>
      </c>
      <c r="K35" s="4" cm="1">
        <f t="array" ref="K35">INDEX(GMW!$A$2:$NF$60,MATCH(1,(GMW!$NE$2:$NE$60=K$3)*(GMW!$ND$2:$ND$60=K$4)*(GMW!$NF$2:$NF$60=K$1),0),$F35-1966)</f>
        <v>307.57400000000001</v>
      </c>
      <c r="L35" s="4" cm="1">
        <f t="array" ref="L35">INDEX(GMW!$A$2:$NF$60,MATCH(1,(GMW!$NE$2:$NE$60=L$3)*(GMW!$ND$2:$ND$60=L$4)*(GMW!$NF$2:$NF$60=L$1),0),$F35-1966)</f>
        <v>294.26940000000002</v>
      </c>
      <c r="M35" s="4" cm="1">
        <f t="array" ref="M35">INDEX(GMW!$A$2:$NF$60,MATCH(1,(GMW!$NE$2:$NE$60=M$3)*(GMW!$ND$2:$ND$60=M$4)*(GMW!$NF$2:$NF$60=M$1),0),$F35-1966)</f>
        <v>223045.8</v>
      </c>
      <c r="N35" s="4" cm="1">
        <f t="array" ref="N35">INDEX(GMW!$A$2:$NF$60,MATCH(1,(GMW!$NE$2:$NE$60=N$3)*(GMW!$ND$2:$ND$60=N$4)*(GMW!$NF$2:$NF$60=N$1),0),$F35-1966)</f>
        <v>-1674</v>
      </c>
      <c r="O35" s="4" cm="1">
        <f t="array" ref="O35">INDEX(GMW!$A$2:$NF$60,MATCH(1,(GMW!$NE$2:$NE$60=O$3)*(GMW!$ND$2:$ND$60=O$4)*(GMW!$NF$2:$NF$60=O$1),0),$F35-1966)</f>
        <v>-26.833749999999998</v>
      </c>
      <c r="P35" s="4" cm="1">
        <f t="array" ref="P35">INDEX(GMW!$A$2:$NF$60,MATCH(1,(GMW!$NE$2:$NE$60=P$3)*(GMW!$ND$2:$ND$60=P$4)*(GMW!$NF$2:$NF$60=P$1),0),$F35-1966)</f>
        <v>-2962</v>
      </c>
      <c r="Q35" s="4" cm="1">
        <f t="array" ref="Q35">INDEX(GMW!$A$2:$NF$60,MATCH(1,(GMW!$NE$2:$NE$60=Q$3)*(GMW!$ND$2:$ND$60=Q$4)*(GMW!$NF$2:$NF$60=Q$1),0),$F35-1966)</f>
        <v>-15.521699999999999</v>
      </c>
      <c r="R35" s="4" cm="1">
        <f t="array" ref="R35">INDEX(GMW!$A$2:$NF$60,MATCH(1,(GMW!$NE$2:$NE$60=R$3)*(GMW!$ND$2:$ND$60=R$4)*(GMW!$NF$2:$NF$60=R$1),0),$F35-1966)</f>
        <v>0.35099999999999998</v>
      </c>
      <c r="S35" s="4" cm="1">
        <f t="array" ref="S35">INDEX(GMW!$A$2:$NF$60,MATCH(1,(GMW!$NE$2:$NE$60=S$3)*(GMW!$ND$2:$ND$60=S$4)*(GMW!$NF$2:$NF$60=S$1),0),$F35-1966)</f>
        <v>-3.0537399999999999</v>
      </c>
      <c r="T35" s="4" cm="1">
        <f t="array" ref="T35">INDEX(GMW!$A$2:$NF$60,MATCH(1,(GMW!$NE$2:$NE$60=T$3)*(GMW!$ND$2:$ND$60=T$4)*(GMW!$NF$2:$NF$60=T$1),0),$F35-1966)</f>
        <v>-2024</v>
      </c>
      <c r="U35" s="4" cm="1">
        <f t="array" ref="U35">INDEX(GMW!$A$2:$NF$60,MATCH(1,(GMW!$NE$2:$NE$60=U$3)*(GMW!$ND$2:$ND$60=U$4)*(GMW!$NF$2:$NF$60=U$1),0),$F35-1966)</f>
        <v>107499</v>
      </c>
      <c r="V35" s="4" cm="1">
        <f t="array" ref="V35">INDEX(GMW!$A$2:$NF$60,MATCH(1,(GMW!$NE$2:$NE$60=V$3)*(GMW!$ND$2:$ND$60=V$4)*(GMW!$NF$2:$NF$60=V$1),0),$F35-1966)</f>
        <v>1964.289</v>
      </c>
      <c r="W35" s="4" cm="1">
        <f t="array" ref="W35">INDEX(GMW!$A$2:$NF$60,MATCH(1,(GMW!$NE$2:$NE$60=W$3)*(GMW!$ND$2:$ND$60=W$4)*(GMW!$NF$2:$NF$60=W$1),0),$F35-1966)</f>
        <v>103557</v>
      </c>
      <c r="X35" s="4" cm="1">
        <f t="array" ref="X35">INDEX(GMW!$A$2:$NF$60,MATCH(1,(GMW!$NE$2:$NE$60=X$3)*(GMW!$ND$2:$ND$60=X$4)*(GMW!$NF$2:$NF$60=X$1),0),$F35-1966)</f>
        <v>224.0462</v>
      </c>
      <c r="Y35" s="4" cm="1">
        <f t="array" ref="Y35">INDEX(GMW!$A$2:$NF$60,MATCH(1,(GMW!$NE$2:$NE$60=Y$3)*(GMW!$ND$2:$ND$60=Y$4)*(GMW!$NF$2:$NF$60=Y$1),0),$F35-1966)</f>
        <v>119.07940000000001</v>
      </c>
      <c r="Z35" s="4" cm="1">
        <f t="array" ref="Z35">INDEX(GMW!$A$2:$NF$60,MATCH(1,(GMW!$NE$2:$NE$60=Z$3)*(GMW!$ND$2:$ND$60=Z$4)*(GMW!$NF$2:$NF$60=Z$1),0),$F35-1966)</f>
        <v>154.61920000000001</v>
      </c>
      <c r="AA35" s="4" cm="1">
        <f t="array" ref="AA35">INDEX(GMW!$A$2:$NF$60,MATCH(1,(GMW!$NE$2:$NE$60=AA$3)*(GMW!$ND$2:$ND$60=AA$4)*(GMW!$NF$2:$NF$60=AA$1),0),$F35-1966)</f>
        <v>137108</v>
      </c>
      <c r="AB35" s="4" cm="1">
        <f t="array" ref="AB35">INDEX(GMW!$A$2:$NF$60,MATCH(1,(GMW!$NE$2:$NE$60=AB$3)*(GMW!$ND$2:$ND$60=AB$4)*(GMW!$NF$2:$NF$60=AB$1),0),$F35-1966)</f>
        <v>62107</v>
      </c>
      <c r="AC35" s="4" cm="1">
        <f t="array" ref="AC35">INDEX(GMW!$A$2:$NF$60,MATCH(1,(GMW!$NE$2:$NE$60=AC$3)*(GMW!$ND$2:$ND$60=AC$4)*(GMW!$NF$2:$NF$60=AC$1),0),$F35-1966)</f>
        <v>697.45</v>
      </c>
      <c r="AD35" s="4" cm="1">
        <f t="array" ref="AD35">INDEX(GMW!$A$2:$NF$60,MATCH(1,(GMW!$NE$2:$NE$60=AD$3)*(GMW!$ND$2:$ND$60=AD$4)*(GMW!$NF$2:$NF$60=AD$1),0),$F35-1966)</f>
        <v>61503.23</v>
      </c>
      <c r="AE35" s="4" cm="1">
        <f t="array" ref="AE35">INDEX(GMW!$A$2:$NF$60,MATCH(1,(GMW!$NE$2:$NE$60=AE$3)*(GMW!$ND$2:$ND$60=AE$4)*(GMW!$NF$2:$NF$60=AE$1),0),$F35-1966)</f>
        <v>221.54750000000001</v>
      </c>
      <c r="AF35" s="4" cm="1">
        <f t="array" ref="AF35">INDEX(GMW!$A$2:$NF$60,MATCH(1,(GMW!$NE$2:$NE$60=AF$3)*(GMW!$ND$2:$ND$60=AF$4)*(GMW!$NF$2:$NF$60=AF$1),0),$F35-1966)</f>
        <v>107.687</v>
      </c>
      <c r="AG35" s="4" cm="1">
        <f t="array" ref="AG35">INDEX(GMW!$A$2:$NF$60,MATCH(1,(GMW!$NE$2:$NE$60=AG$3)*(GMW!$ND$2:$ND$60=AG$4)*(GMW!$NF$2:$NF$60=AG$1),0),$F35-1966)</f>
        <v>51.17</v>
      </c>
      <c r="AH35" s="4" cm="1">
        <f t="array" ref="AH35">INDEX(GMW!$A$2:$NF$60,MATCH(1,(GMW!$NE$2:$NE$60=AH$3)*(GMW!$ND$2:$ND$60=AH$4)*(GMW!$NF$2:$NF$60=AH$1),0),$F35-1966)</f>
        <v>77446</v>
      </c>
    </row>
    <row r="36" spans="1:34" x14ac:dyDescent="0.25">
      <c r="B36" s="4">
        <f t="shared" si="10"/>
        <v>1980</v>
      </c>
      <c r="C36" s="4">
        <f t="shared" si="10"/>
        <v>1980</v>
      </c>
      <c r="F36" s="4">
        <f t="shared" si="4"/>
        <v>2002</v>
      </c>
      <c r="G36" s="4" cm="1">
        <f t="array" ref="G36">INDEX(GMW!$A$2:$NF$60,MATCH(1,(GMW!$NE$2:$NE$60=G$3)*(GMW!$ND$2:$ND$60=G$4)*(GMW!$NF$2:$NF$60=G$1),0),$F36-1966)</f>
        <v>264448</v>
      </c>
      <c r="H36" s="4" cm="1">
        <f t="array" ref="H36">INDEX(GMW!$A$2:$NF$60,MATCH(1,(GMW!$NE$2:$NE$60=H$3)*(GMW!$ND$2:$ND$60=H$4)*(GMW!$NF$2:$NF$60=H$1),0),$F36-1966)</f>
        <v>1797.575</v>
      </c>
      <c r="I36" s="4" cm="1">
        <f t="array" ref="I36">INDEX(GMW!$A$2:$NF$60,MATCH(1,(GMW!$NE$2:$NE$60=I$3)*(GMW!$ND$2:$ND$60=I$4)*(GMW!$NF$2:$NF$60=I$1),0),$F36-1966)</f>
        <v>67125.25</v>
      </c>
      <c r="J36" s="4" cm="1">
        <f t="array" ref="J36">INDEX(GMW!$A$2:$NF$60,MATCH(1,(GMW!$NE$2:$NE$60=J$3)*(GMW!$ND$2:$ND$60=J$4)*(GMW!$NF$2:$NF$60=J$1),0),$F36-1966)</f>
        <v>458.81</v>
      </c>
      <c r="K36" s="4" cm="1">
        <f t="array" ref="K36">INDEX(GMW!$A$2:$NF$60,MATCH(1,(GMW!$NE$2:$NE$60=K$3)*(GMW!$ND$2:$ND$60=K$4)*(GMW!$NF$2:$NF$60=K$1),0),$F36-1966)</f>
        <v>305.096</v>
      </c>
      <c r="L36" s="4" cm="1">
        <f t="array" ref="L36">INDEX(GMW!$A$2:$NF$60,MATCH(1,(GMW!$NE$2:$NE$60=L$3)*(GMW!$ND$2:$ND$60=L$4)*(GMW!$NF$2:$NF$60=L$1),0),$F36-1966)</f>
        <v>296.5532</v>
      </c>
      <c r="M36" s="4" cm="1">
        <f t="array" ref="M36">INDEX(GMW!$A$2:$NF$60,MATCH(1,(GMW!$NE$2:$NE$60=M$3)*(GMW!$ND$2:$ND$60=M$4)*(GMW!$NF$2:$NF$60=M$1),0),$F36-1966)</f>
        <v>222948.3</v>
      </c>
      <c r="N36" s="4" cm="1">
        <f t="array" ref="N36">INDEX(GMW!$A$2:$NF$60,MATCH(1,(GMW!$NE$2:$NE$60=N$3)*(GMW!$ND$2:$ND$60=N$4)*(GMW!$NF$2:$NF$60=N$1),0),$F36-1966)</f>
        <v>-3351</v>
      </c>
      <c r="O36" s="4" cm="1">
        <f t="array" ref="O36">INDEX(GMW!$A$2:$NF$60,MATCH(1,(GMW!$NE$2:$NE$60=O$3)*(GMW!$ND$2:$ND$60=O$4)*(GMW!$NF$2:$NF$60=O$1),0),$F36-1966)</f>
        <v>-34.053249999999998</v>
      </c>
      <c r="P36" s="4" cm="1">
        <f t="array" ref="P36">INDEX(GMW!$A$2:$NF$60,MATCH(1,(GMW!$NE$2:$NE$60=P$3)*(GMW!$ND$2:$ND$60=P$4)*(GMW!$NF$2:$NF$60=P$1),0),$F36-1966)</f>
        <v>-2916.75</v>
      </c>
      <c r="Q36" s="4" cm="1">
        <f t="array" ref="Q36">INDEX(GMW!$A$2:$NF$60,MATCH(1,(GMW!$NE$2:$NE$60=Q$3)*(GMW!$ND$2:$ND$60=Q$4)*(GMW!$NF$2:$NF$60=Q$1),0),$F36-1966)</f>
        <v>-15.521699999999999</v>
      </c>
      <c r="R36" s="4" cm="1">
        <f t="array" ref="R36">INDEX(GMW!$A$2:$NF$60,MATCH(1,(GMW!$NE$2:$NE$60=R$3)*(GMW!$ND$2:$ND$60=R$4)*(GMW!$NF$2:$NF$60=R$1),0),$F36-1966)</f>
        <v>-0.13200000000000001</v>
      </c>
      <c r="S36" s="4" cm="1">
        <f t="array" ref="S36">INDEX(GMW!$A$2:$NF$60,MATCH(1,(GMW!$NE$2:$NE$60=S$3)*(GMW!$ND$2:$ND$60=S$4)*(GMW!$NF$2:$NF$60=S$1),0),$F36-1966)</f>
        <v>-3.1489590000000001</v>
      </c>
      <c r="T36" s="4" cm="1">
        <f t="array" ref="T36">INDEX(GMW!$A$2:$NF$60,MATCH(1,(GMW!$NE$2:$NE$60=T$3)*(GMW!$ND$2:$ND$60=T$4)*(GMW!$NF$2:$NF$60=T$1),0),$F36-1966)</f>
        <v>-2956</v>
      </c>
      <c r="U36" s="4" cm="1">
        <f t="array" ref="U36">INDEX(GMW!$A$2:$NF$60,MATCH(1,(GMW!$NE$2:$NE$60=U$3)*(GMW!$ND$2:$ND$60=U$4)*(GMW!$NF$2:$NF$60=U$1),0),$F36-1966)</f>
        <v>112179.8</v>
      </c>
      <c r="V36" s="4" cm="1">
        <f t="array" ref="V36">INDEX(GMW!$A$2:$NF$60,MATCH(1,(GMW!$NE$2:$NE$60=V$3)*(GMW!$ND$2:$ND$60=V$4)*(GMW!$NF$2:$NF$60=V$1),0),$F36-1966)</f>
        <v>1985.2239999999999</v>
      </c>
      <c r="W36" s="4" cm="1">
        <f t="array" ref="W36">INDEX(GMW!$A$2:$NF$60,MATCH(1,(GMW!$NE$2:$NE$60=W$3)*(GMW!$ND$2:$ND$60=W$4)*(GMW!$NF$2:$NF$60=W$1),0),$F36-1966)</f>
        <v>108158</v>
      </c>
      <c r="X36" s="4" cm="1">
        <f t="array" ref="X36">INDEX(GMW!$A$2:$NF$60,MATCH(1,(GMW!$NE$2:$NE$60=X$3)*(GMW!$ND$2:$ND$60=X$4)*(GMW!$NF$2:$NF$60=X$1),0),$F36-1966)</f>
        <v>230.00909999999999</v>
      </c>
      <c r="Y36" s="4" cm="1">
        <f t="array" ref="Y36">INDEX(GMW!$A$2:$NF$60,MATCH(1,(GMW!$NE$2:$NE$60=Y$3)*(GMW!$ND$2:$ND$60=Y$4)*(GMW!$NF$2:$NF$60=Y$1),0),$F36-1966)</f>
        <v>122.4306</v>
      </c>
      <c r="Z36" s="4" cm="1">
        <f t="array" ref="Z36">INDEX(GMW!$A$2:$NF$60,MATCH(1,(GMW!$NE$2:$NE$60=Z$3)*(GMW!$ND$2:$ND$60=Z$4)*(GMW!$NF$2:$NF$60=Z$1),0),$F36-1966)</f>
        <v>162.6275</v>
      </c>
      <c r="AA36" s="4" cm="1">
        <f t="array" ref="AA36">INDEX(GMW!$A$2:$NF$60,MATCH(1,(GMW!$NE$2:$NE$60=AA$3)*(GMW!$ND$2:$ND$60=AA$4)*(GMW!$NF$2:$NF$60=AA$1),0),$F36-1966)</f>
        <v>141536</v>
      </c>
      <c r="AB36" s="4" cm="1">
        <f t="array" ref="AB36">INDEX(GMW!$A$2:$NF$60,MATCH(1,(GMW!$NE$2:$NE$60=AB$3)*(GMW!$ND$2:$ND$60=AB$4)*(GMW!$NF$2:$NF$60=AB$1),0),$F36-1966)</f>
        <v>63704</v>
      </c>
      <c r="AC36" s="4" cm="1">
        <f t="array" ref="AC36">INDEX(GMW!$A$2:$NF$60,MATCH(1,(GMW!$NE$2:$NE$60=AC$3)*(GMW!$ND$2:$ND$60=AC$4)*(GMW!$NF$2:$NF$60=AC$1),0),$F36-1966)</f>
        <v>699.35</v>
      </c>
      <c r="AD36" s="4" cm="1">
        <f t="array" ref="AD36">INDEX(GMW!$A$2:$NF$60,MATCH(1,(GMW!$NE$2:$NE$60=AD$3)*(GMW!$ND$2:$ND$60=AD$4)*(GMW!$NF$2:$NF$60=AD$1),0),$F36-1966)</f>
        <v>62726.55</v>
      </c>
      <c r="AE36" s="4" cm="1">
        <f t="array" ref="AE36">INDEX(GMW!$A$2:$NF$60,MATCH(1,(GMW!$NE$2:$NE$60=AE$3)*(GMW!$ND$2:$ND$60=AE$4)*(GMW!$NF$2:$NF$60=AE$1),0),$F36-1966)</f>
        <v>224.2533</v>
      </c>
      <c r="AF36" s="4" cm="1">
        <f t="array" ref="AF36">INDEX(GMW!$A$2:$NF$60,MATCH(1,(GMW!$NE$2:$NE$60=AF$3)*(GMW!$ND$2:$ND$60=AF$4)*(GMW!$NF$2:$NF$60=AF$1),0),$F36-1966)</f>
        <v>110.396</v>
      </c>
      <c r="AG36" s="4" cm="1">
        <f t="array" ref="AG36">INDEX(GMW!$A$2:$NF$60,MATCH(1,(GMW!$NE$2:$NE$60=AG$3)*(GMW!$ND$2:$ND$60=AG$4)*(GMW!$NF$2:$NF$60=AG$1),0),$F36-1966)</f>
        <v>53.286000000000001</v>
      </c>
      <c r="AH36" s="4" cm="1">
        <f t="array" ref="AH36">INDEX(GMW!$A$2:$NF$60,MATCH(1,(GMW!$NE$2:$NE$60=AH$3)*(GMW!$ND$2:$ND$60=AH$4)*(GMW!$NF$2:$NF$60=AH$1),0),$F36-1966)</f>
        <v>79307</v>
      </c>
    </row>
    <row r="37" spans="1:34" x14ac:dyDescent="0.25">
      <c r="B37" s="4">
        <f t="shared" si="10"/>
        <v>1980</v>
      </c>
      <c r="C37" s="4">
        <f t="shared" si="10"/>
        <v>1980</v>
      </c>
      <c r="F37" s="4">
        <f t="shared" si="4"/>
        <v>2003</v>
      </c>
      <c r="G37" s="4" cm="1">
        <f t="array" ref="G37">INDEX(GMW!$A$2:$NF$60,MATCH(1,(GMW!$NE$2:$NE$60=G$3)*(GMW!$ND$2:$ND$60=G$4)*(GMW!$NF$2:$NF$60=G$1),0),$F37-1966)</f>
        <v>264139</v>
      </c>
      <c r="H37" s="4" cm="1">
        <f t="array" ref="H37">INDEX(GMW!$A$2:$NF$60,MATCH(1,(GMW!$NE$2:$NE$60=H$3)*(GMW!$ND$2:$ND$60=H$4)*(GMW!$NF$2:$NF$60=H$1),0),$F37-1966)</f>
        <v>1795.425</v>
      </c>
      <c r="I37" s="4" cm="1">
        <f t="array" ref="I37">INDEX(GMW!$A$2:$NF$60,MATCH(1,(GMW!$NE$2:$NE$60=I$3)*(GMW!$ND$2:$ND$60=I$4)*(GMW!$NF$2:$NF$60=I$1),0),$F37-1966)</f>
        <v>68540.479999999996</v>
      </c>
      <c r="J37" s="4" cm="1">
        <f t="array" ref="J37">INDEX(GMW!$A$2:$NF$60,MATCH(1,(GMW!$NE$2:$NE$60=J$3)*(GMW!$ND$2:$ND$60=J$4)*(GMW!$NF$2:$NF$60=J$1),0),$F37-1966)</f>
        <v>457</v>
      </c>
      <c r="K37" s="4" cm="1">
        <f t="array" ref="K37">INDEX(GMW!$A$2:$NF$60,MATCH(1,(GMW!$NE$2:$NE$60=K$3)*(GMW!$ND$2:$ND$60=K$4)*(GMW!$NF$2:$NF$60=K$1),0),$F37-1966)</f>
        <v>305.55700000000002</v>
      </c>
      <c r="L37" s="4" cm="1">
        <f t="array" ref="L37">INDEX(GMW!$A$2:$NF$60,MATCH(1,(GMW!$NE$2:$NE$60=L$3)*(GMW!$ND$2:$ND$60=L$4)*(GMW!$NF$2:$NF$60=L$1),0),$F37-1966)</f>
        <v>296.80169999999998</v>
      </c>
      <c r="M37" s="4" cm="1">
        <f t="array" ref="M37">INDEX(GMW!$A$2:$NF$60,MATCH(1,(GMW!$NE$2:$NE$60=M$3)*(GMW!$ND$2:$ND$60=M$4)*(GMW!$NF$2:$NF$60=M$1),0),$F37-1966)</f>
        <v>222763</v>
      </c>
      <c r="N37" s="4" cm="1">
        <f t="array" ref="N37">INDEX(GMW!$A$2:$NF$60,MATCH(1,(GMW!$NE$2:$NE$60=N$3)*(GMW!$ND$2:$ND$60=N$4)*(GMW!$NF$2:$NF$60=N$1),0),$F37-1966)</f>
        <v>-3213</v>
      </c>
      <c r="O37" s="4" cm="1">
        <f t="array" ref="O37">INDEX(GMW!$A$2:$NF$60,MATCH(1,(GMW!$NE$2:$NE$60=O$3)*(GMW!$ND$2:$ND$60=O$4)*(GMW!$NF$2:$NF$60=O$1),0),$F37-1966)</f>
        <v>-35.22325</v>
      </c>
      <c r="P37" s="4" cm="1">
        <f t="array" ref="P37">INDEX(GMW!$A$2:$NF$60,MATCH(1,(GMW!$NE$2:$NE$60=P$3)*(GMW!$ND$2:$ND$60=P$4)*(GMW!$NF$2:$NF$60=P$1),0),$F37-1966)</f>
        <v>-2824.75</v>
      </c>
      <c r="Q37" s="4" cm="1">
        <f t="array" ref="Q37">INDEX(GMW!$A$2:$NF$60,MATCH(1,(GMW!$NE$2:$NE$60=Q$3)*(GMW!$ND$2:$ND$60=Q$4)*(GMW!$NF$2:$NF$60=Q$1),0),$F37-1966)</f>
        <v>-15.521699999999999</v>
      </c>
      <c r="R37" s="4" cm="1">
        <f t="array" ref="R37">INDEX(GMW!$A$2:$NF$60,MATCH(1,(GMW!$NE$2:$NE$60=R$3)*(GMW!$ND$2:$ND$60=R$4)*(GMW!$NF$2:$NF$60=R$1),0),$F37-1966)</f>
        <v>-0.70899999999999996</v>
      </c>
      <c r="S37" s="4" cm="1">
        <f t="array" ref="S37">INDEX(GMW!$A$2:$NF$60,MATCH(1,(GMW!$NE$2:$NE$60=S$3)*(GMW!$ND$2:$ND$60=S$4)*(GMW!$NF$2:$NF$60=S$1),0),$F37-1966)</f>
        <v>-3.6117499999999998</v>
      </c>
      <c r="T37" s="4" cm="1">
        <f t="array" ref="T37">INDEX(GMW!$A$2:$NF$60,MATCH(1,(GMW!$NE$2:$NE$60=T$3)*(GMW!$ND$2:$ND$60=T$4)*(GMW!$NF$2:$NF$60=T$1),0),$F37-1966)</f>
        <v>-3802</v>
      </c>
      <c r="U37" s="4" cm="1">
        <f t="array" ref="U37">INDEX(GMW!$A$2:$NF$60,MATCH(1,(GMW!$NE$2:$NE$60=U$3)*(GMW!$ND$2:$ND$60=U$4)*(GMW!$NF$2:$NF$60=U$1),0),$F37-1966)</f>
        <v>116860.5</v>
      </c>
      <c r="V37" s="4" cm="1">
        <f t="array" ref="V37">INDEX(GMW!$A$2:$NF$60,MATCH(1,(GMW!$NE$2:$NE$60=V$3)*(GMW!$ND$2:$ND$60=V$4)*(GMW!$NF$2:$NF$60=V$1),0),$F37-1966)</f>
        <v>2025.56</v>
      </c>
      <c r="W37" s="4" cm="1">
        <f t="array" ref="W37">INDEX(GMW!$A$2:$NF$60,MATCH(1,(GMW!$NE$2:$NE$60=W$3)*(GMW!$ND$2:$ND$60=W$4)*(GMW!$NF$2:$NF$60=W$1),0),$F37-1966)</f>
        <v>112759</v>
      </c>
      <c r="X37" s="4" cm="1">
        <f t="array" ref="X37">INDEX(GMW!$A$2:$NF$60,MATCH(1,(GMW!$NE$2:$NE$60=X$3)*(GMW!$ND$2:$ND$60=X$4)*(GMW!$NF$2:$NF$60=X$1),0),$F37-1966)</f>
        <v>238.29169999999999</v>
      </c>
      <c r="Y37" s="4" cm="1">
        <f t="array" ref="Y37">INDEX(GMW!$A$2:$NF$60,MATCH(1,(GMW!$NE$2:$NE$60=Y$3)*(GMW!$ND$2:$ND$60=Y$4)*(GMW!$NF$2:$NF$60=Y$1),0),$F37-1966)</f>
        <v>125.7817</v>
      </c>
      <c r="Z37" s="4" cm="1">
        <f t="array" ref="Z37">INDEX(GMW!$A$2:$NF$60,MATCH(1,(GMW!$NE$2:$NE$60=Z$3)*(GMW!$ND$2:$ND$60=Z$4)*(GMW!$NF$2:$NF$60=Z$1),0),$F37-1966)</f>
        <v>170.63579999999999</v>
      </c>
      <c r="AA37" s="4" cm="1">
        <f t="array" ref="AA37">INDEX(GMW!$A$2:$NF$60,MATCH(1,(GMW!$NE$2:$NE$60=AA$3)*(GMW!$ND$2:$ND$60=AA$4)*(GMW!$NF$2:$NF$60=AA$1),0),$F37-1966)</f>
        <v>145965</v>
      </c>
      <c r="AB37" s="4" cm="1">
        <f t="array" ref="AB37">INDEX(GMW!$A$2:$NF$60,MATCH(1,(GMW!$NE$2:$NE$60=AB$3)*(GMW!$ND$2:$ND$60=AB$4)*(GMW!$NF$2:$NF$60=AB$1),0),$F37-1966)</f>
        <v>66021</v>
      </c>
      <c r="AC37" s="4" cm="1">
        <f t="array" ref="AC37">INDEX(GMW!$A$2:$NF$60,MATCH(1,(GMW!$NE$2:$NE$60=AC$3)*(GMW!$ND$2:$ND$60=AC$4)*(GMW!$NF$2:$NF$60=AC$1),0),$F37-1966)</f>
        <v>714.125</v>
      </c>
      <c r="AD37" s="4" cm="1">
        <f t="array" ref="AD37">INDEX(GMW!$A$2:$NF$60,MATCH(1,(GMW!$NE$2:$NE$60=AD$3)*(GMW!$ND$2:$ND$60=AD$4)*(GMW!$NF$2:$NF$60=AD$1),0),$F37-1966)</f>
        <v>64704.800000000003</v>
      </c>
      <c r="AE37" s="4" cm="1">
        <f t="array" ref="AE37">INDEX(GMW!$A$2:$NF$60,MATCH(1,(GMW!$NE$2:$NE$60=AE$3)*(GMW!$ND$2:$ND$60=AE$4)*(GMW!$NF$2:$NF$60=AE$1),0),$F37-1966)</f>
        <v>225.26519999999999</v>
      </c>
      <c r="AF37" s="4" cm="1">
        <f t="array" ref="AF37">INDEX(GMW!$A$2:$NF$60,MATCH(1,(GMW!$NE$2:$NE$60=AF$3)*(GMW!$ND$2:$ND$60=AF$4)*(GMW!$NF$2:$NF$60=AF$1),0),$F37-1966)</f>
        <v>113.504</v>
      </c>
      <c r="AG37" s="4" cm="1">
        <f t="array" ref="AG37">INDEX(GMW!$A$2:$NF$60,MATCH(1,(GMW!$NE$2:$NE$60=AG$3)*(GMW!$ND$2:$ND$60=AG$4)*(GMW!$NF$2:$NF$60=AG$1),0),$F37-1966)</f>
        <v>55.334000000000003</v>
      </c>
      <c r="AH37" s="4" cm="1">
        <f t="array" ref="AH37">INDEX(GMW!$A$2:$NF$60,MATCH(1,(GMW!$NE$2:$NE$60=AH$3)*(GMW!$ND$2:$ND$60=AH$4)*(GMW!$NF$2:$NF$60=AH$1),0),$F37-1966)</f>
        <v>81191</v>
      </c>
    </row>
    <row r="38" spans="1:34" x14ac:dyDescent="0.25">
      <c r="B38" s="4">
        <f t="shared" si="10"/>
        <v>1980</v>
      </c>
      <c r="C38" s="4">
        <f t="shared" si="10"/>
        <v>1980</v>
      </c>
      <c r="E38" s="4">
        <f t="shared" ref="E38" si="13">+E34+1</f>
        <v>1980</v>
      </c>
      <c r="F38" s="4">
        <f t="shared" si="4"/>
        <v>2004</v>
      </c>
      <c r="G38" s="4" cm="1">
        <f t="array" ref="G38">INDEX(GMW!$A$2:$NF$60,MATCH(1,(GMW!$NE$2:$NE$60=G$3)*(GMW!$ND$2:$ND$60=G$4)*(GMW!$NF$2:$NF$60=G$1),0),$F38-1966)</f>
        <v>261297</v>
      </c>
      <c r="H38" s="4" cm="1">
        <f t="array" ref="H38">INDEX(GMW!$A$2:$NF$60,MATCH(1,(GMW!$NE$2:$NE$60=H$3)*(GMW!$ND$2:$ND$60=H$4)*(GMW!$NF$2:$NF$60=H$1),0),$F38-1966)</f>
        <v>1828.925</v>
      </c>
      <c r="I38" s="4" cm="1">
        <f t="array" ref="I38">INDEX(GMW!$A$2:$NF$60,MATCH(1,(GMW!$NE$2:$NE$60=I$3)*(GMW!$ND$2:$ND$60=I$4)*(GMW!$NF$2:$NF$60=I$1),0),$F38-1966)</f>
        <v>69895.05</v>
      </c>
      <c r="J38" s="4" cm="1">
        <f t="array" ref="J38">INDEX(GMW!$A$2:$NF$60,MATCH(1,(GMW!$NE$2:$NE$60=J$3)*(GMW!$ND$2:$ND$60=J$4)*(GMW!$NF$2:$NF$60=J$1),0),$F38-1966)</f>
        <v>456.34</v>
      </c>
      <c r="K38" s="4" cm="1">
        <f t="array" ref="K38">INDEX(GMW!$A$2:$NF$60,MATCH(1,(GMW!$NE$2:$NE$60=K$3)*(GMW!$ND$2:$ND$60=K$4)*(GMW!$NF$2:$NF$60=K$1),0),$F38-1966)</f>
        <v>305.08</v>
      </c>
      <c r="L38" s="4" cm="1">
        <f t="array" ref="L38">INDEX(GMW!$A$2:$NF$60,MATCH(1,(GMW!$NE$2:$NE$60=L$3)*(GMW!$ND$2:$ND$60=L$4)*(GMW!$NF$2:$NF$60=L$1),0),$F38-1966)</f>
        <v>299.3304</v>
      </c>
      <c r="M38" s="4" cm="1">
        <f t="array" ref="M38">INDEX(GMW!$A$2:$NF$60,MATCH(1,(GMW!$NE$2:$NE$60=M$3)*(GMW!$ND$2:$ND$60=M$4)*(GMW!$NF$2:$NF$60=M$1),0),$F38-1966)</f>
        <v>225845.3</v>
      </c>
      <c r="N38" s="4" cm="1">
        <f t="array" ref="N38">INDEX(GMW!$A$2:$NF$60,MATCH(1,(GMW!$NE$2:$NE$60=N$3)*(GMW!$ND$2:$ND$60=N$4)*(GMW!$NF$2:$NF$60=N$1),0),$F38-1966)</f>
        <v>-1803</v>
      </c>
      <c r="O38" s="4" cm="1">
        <f t="array" ref="O38">INDEX(GMW!$A$2:$NF$60,MATCH(1,(GMW!$NE$2:$NE$60=O$3)*(GMW!$ND$2:$ND$60=O$4)*(GMW!$NF$2:$NF$60=O$1),0),$F38-1966)</f>
        <v>-32.162750000000003</v>
      </c>
      <c r="P38" s="4" cm="1">
        <f t="array" ref="P38">INDEX(GMW!$A$2:$NF$60,MATCH(1,(GMW!$NE$2:$NE$60=P$3)*(GMW!$ND$2:$ND$60=P$4)*(GMW!$NF$2:$NF$60=P$1),0),$F38-1966)</f>
        <v>-3119</v>
      </c>
      <c r="Q38" s="4" cm="1">
        <f t="array" ref="Q38">INDEX(GMW!$A$2:$NF$60,MATCH(1,(GMW!$NE$2:$NE$60=Q$3)*(GMW!$ND$2:$ND$60=Q$4)*(GMW!$NF$2:$NF$60=Q$1),0),$F38-1966)</f>
        <v>-15.521699999999999</v>
      </c>
      <c r="R38" s="4" cm="1">
        <f t="array" ref="R38">INDEX(GMW!$A$2:$NF$60,MATCH(1,(GMW!$NE$2:$NE$60=R$3)*(GMW!$ND$2:$ND$60=R$4)*(GMW!$NF$2:$NF$60=R$1),0),$F38-1966)</f>
        <v>-1.4379999999999999</v>
      </c>
      <c r="S38" s="4" cm="1">
        <f t="array" ref="S38">INDEX(GMW!$A$2:$NF$60,MATCH(1,(GMW!$NE$2:$NE$60=S$3)*(GMW!$ND$2:$ND$60=S$4)*(GMW!$NF$2:$NF$60=S$1),0),$F38-1966)</f>
        <v>-4.4907050000000002</v>
      </c>
      <c r="T38" s="4" cm="1">
        <f t="array" ref="T38">INDEX(GMW!$A$2:$NF$60,MATCH(1,(GMW!$NE$2:$NE$60=T$3)*(GMW!$ND$2:$ND$60=T$4)*(GMW!$NF$2:$NF$60=T$1),0),$F38-1966)</f>
        <v>-2367</v>
      </c>
      <c r="U38" s="4" cm="1">
        <f t="array" ref="U38">INDEX(GMW!$A$2:$NF$60,MATCH(1,(GMW!$NE$2:$NE$60=U$3)*(GMW!$ND$2:$ND$60=U$4)*(GMW!$NF$2:$NF$60=U$1),0),$F38-1966)</f>
        <v>121541.3</v>
      </c>
      <c r="V38" s="4" cm="1">
        <f t="array" ref="V38">INDEX(GMW!$A$2:$NF$60,MATCH(1,(GMW!$NE$2:$NE$60=V$3)*(GMW!$ND$2:$ND$60=V$4)*(GMW!$NF$2:$NF$60=V$1),0),$F38-1966)</f>
        <v>2062.8510000000001</v>
      </c>
      <c r="W38" s="4" cm="1">
        <f t="array" ref="W38">INDEX(GMW!$A$2:$NF$60,MATCH(1,(GMW!$NE$2:$NE$60=W$3)*(GMW!$ND$2:$ND$60=W$4)*(GMW!$NF$2:$NF$60=W$1),0),$F38-1966)</f>
        <v>117360</v>
      </c>
      <c r="X38" s="4" cm="1">
        <f t="array" ref="X38">INDEX(GMW!$A$2:$NF$60,MATCH(1,(GMW!$NE$2:$NE$60=X$3)*(GMW!$ND$2:$ND$60=X$4)*(GMW!$NF$2:$NF$60=X$1),0),$F38-1966)</f>
        <v>248.89420000000001</v>
      </c>
      <c r="Y38" s="4" cm="1">
        <f t="array" ref="Y38">INDEX(GMW!$A$2:$NF$60,MATCH(1,(GMW!$NE$2:$NE$60=Y$3)*(GMW!$ND$2:$ND$60=Y$4)*(GMW!$NF$2:$NF$60=Y$1),0),$F38-1966)</f>
        <v>129.1328</v>
      </c>
      <c r="Z38" s="4" cm="1">
        <f t="array" ref="Z38">INDEX(GMW!$A$2:$NF$60,MATCH(1,(GMW!$NE$2:$NE$60=Z$3)*(GMW!$ND$2:$ND$60=Z$4)*(GMW!$NF$2:$NF$60=Z$1),0),$F38-1966)</f>
        <v>178.64400000000001</v>
      </c>
      <c r="AA38" s="4" cm="1">
        <f t="array" ref="AA38">INDEX(GMW!$A$2:$NF$60,MATCH(1,(GMW!$NE$2:$NE$60=AA$3)*(GMW!$ND$2:$ND$60=AA$4)*(GMW!$NF$2:$NF$60=AA$1),0),$F38-1966)</f>
        <v>150393</v>
      </c>
      <c r="AB38" s="4" cm="1">
        <f t="array" ref="AB38">INDEX(GMW!$A$2:$NF$60,MATCH(1,(GMW!$NE$2:$NE$60=AB$3)*(GMW!$ND$2:$ND$60=AB$4)*(GMW!$NF$2:$NF$60=AB$1),0),$F38-1966)</f>
        <v>68138</v>
      </c>
      <c r="AC38" s="4" cm="1">
        <f t="array" ref="AC38">INDEX(GMW!$A$2:$NF$60,MATCH(1,(GMW!$NE$2:$NE$60=AC$3)*(GMW!$ND$2:$ND$60=AC$4)*(GMW!$NF$2:$NF$60=AC$1),0),$F38-1966)</f>
        <v>746.4</v>
      </c>
      <c r="AD38" s="4" cm="1">
        <f t="array" ref="AD38">INDEX(GMW!$A$2:$NF$60,MATCH(1,(GMW!$NE$2:$NE$60=AD$3)*(GMW!$ND$2:$ND$60=AD$4)*(GMW!$NF$2:$NF$60=AD$1),0),$F38-1966)</f>
        <v>66661.77</v>
      </c>
      <c r="AE38" s="4" cm="1">
        <f t="array" ref="AE38">INDEX(GMW!$A$2:$NF$60,MATCH(1,(GMW!$NE$2:$NE$60=AE$3)*(GMW!$ND$2:$ND$60=AE$4)*(GMW!$NF$2:$NF$60=AE$1),0),$F38-1966)</f>
        <v>225.3862</v>
      </c>
      <c r="AF38" s="4" cm="1">
        <f t="array" ref="AF38">INDEX(GMW!$A$2:$NF$60,MATCH(1,(GMW!$NE$2:$NE$60=AF$3)*(GMW!$ND$2:$ND$60=AF$4)*(GMW!$NF$2:$NF$60=AF$1),0),$F38-1966)</f>
        <v>115.758</v>
      </c>
      <c r="AG38" s="4" cm="1">
        <f t="array" ref="AG38">INDEX(GMW!$A$2:$NF$60,MATCH(1,(GMW!$NE$2:$NE$60=AG$3)*(GMW!$ND$2:$ND$60=AG$4)*(GMW!$NF$2:$NF$60=AG$1),0),$F38-1966)</f>
        <v>57.710999999999999</v>
      </c>
      <c r="AH38" s="4" cm="1">
        <f t="array" ref="AH38">INDEX(GMW!$A$2:$NF$60,MATCH(1,(GMW!$NE$2:$NE$60=AH$3)*(GMW!$ND$2:$ND$60=AH$4)*(GMW!$NF$2:$NF$60=AH$1),0),$F38-1966)</f>
        <v>84838</v>
      </c>
    </row>
    <row r="39" spans="1:34" x14ac:dyDescent="0.25">
      <c r="A39" s="4">
        <v>1981</v>
      </c>
      <c r="B39" s="4">
        <f t="shared" si="10"/>
        <v>1981</v>
      </c>
      <c r="C39" s="4">
        <f t="shared" si="10"/>
        <v>1980</v>
      </c>
      <c r="D39" s="4">
        <f t="shared" si="10"/>
        <v>1980</v>
      </c>
      <c r="F39" s="4">
        <f t="shared" si="4"/>
        <v>2005</v>
      </c>
      <c r="G39" s="4" cm="1">
        <f t="array" ref="G39">INDEX(GMW!$A$2:$NF$60,MATCH(1,(GMW!$NE$2:$NE$60=G$3)*(GMW!$ND$2:$ND$60=G$4)*(GMW!$NF$2:$NF$60=G$1),0),$F39-1966)</f>
        <v>261131</v>
      </c>
      <c r="H39" s="4" cm="1">
        <f t="array" ref="H39">INDEX(GMW!$A$2:$NF$60,MATCH(1,(GMW!$NE$2:$NE$60=H$3)*(GMW!$ND$2:$ND$60=H$4)*(GMW!$NF$2:$NF$60=H$1),0),$F39-1966)</f>
        <v>1864.75</v>
      </c>
      <c r="I39" s="4" cm="1">
        <f t="array" ref="I39">INDEX(GMW!$A$2:$NF$60,MATCH(1,(GMW!$NE$2:$NE$60=I$3)*(GMW!$ND$2:$ND$60=I$4)*(GMW!$NF$2:$NF$60=I$1),0),$F39-1966)</f>
        <v>70493.48</v>
      </c>
      <c r="J39" s="4" cm="1">
        <f t="array" ref="J39">INDEX(GMW!$A$2:$NF$60,MATCH(1,(GMW!$NE$2:$NE$60=J$3)*(GMW!$ND$2:$ND$60=J$4)*(GMW!$NF$2:$NF$60=J$1),0),$F39-1966)</f>
        <v>461.88</v>
      </c>
      <c r="K39" s="4" cm="1">
        <f t="array" ref="K39">INDEX(GMW!$A$2:$NF$60,MATCH(1,(GMW!$NE$2:$NE$60=K$3)*(GMW!$ND$2:$ND$60=K$4)*(GMW!$NF$2:$NF$60=K$1),0),$F39-1966)</f>
        <v>306.214</v>
      </c>
      <c r="L39" s="4" cm="1">
        <f t="array" ref="L39">INDEX(GMW!$A$2:$NF$60,MATCH(1,(GMW!$NE$2:$NE$60=L$3)*(GMW!$ND$2:$ND$60=L$4)*(GMW!$NF$2:$NF$60=L$1),0),$F39-1966)</f>
        <v>298.35899999999998</v>
      </c>
      <c r="M39" s="4" cm="1">
        <f t="array" ref="M39">INDEX(GMW!$A$2:$NF$60,MATCH(1,(GMW!$NE$2:$NE$60=M$3)*(GMW!$ND$2:$ND$60=M$4)*(GMW!$NF$2:$NF$60=M$1),0),$F39-1966)</f>
        <v>230710.8</v>
      </c>
      <c r="N39" s="4" cm="1">
        <f t="array" ref="N39">INDEX(GMW!$A$2:$NF$60,MATCH(1,(GMW!$NE$2:$NE$60=N$3)*(GMW!$ND$2:$ND$60=N$4)*(GMW!$NF$2:$NF$60=N$1),0),$F39-1966)</f>
        <v>-3170</v>
      </c>
      <c r="O39" s="4" cm="1">
        <f t="array" ref="O39">INDEX(GMW!$A$2:$NF$60,MATCH(1,(GMW!$NE$2:$NE$60=O$3)*(GMW!$ND$2:$ND$60=O$4)*(GMW!$NF$2:$NF$60=O$1),0),$F39-1966)</f>
        <v>-28.623750000000001</v>
      </c>
      <c r="P39" s="4" cm="1">
        <f t="array" ref="P39">INDEX(GMW!$A$2:$NF$60,MATCH(1,(GMW!$NE$2:$NE$60=P$3)*(GMW!$ND$2:$ND$60=P$4)*(GMW!$NF$2:$NF$60=P$1),0),$F39-1966)</f>
        <v>-2734</v>
      </c>
      <c r="Q39" s="4" cm="1">
        <f t="array" ref="Q39">INDEX(GMW!$A$2:$NF$60,MATCH(1,(GMW!$NE$2:$NE$60=Q$3)*(GMW!$ND$2:$ND$60=Q$4)*(GMW!$NF$2:$NF$60=Q$1),0),$F39-1966)</f>
        <v>-18.791789999999999</v>
      </c>
      <c r="R39" s="4" cm="1">
        <f t="array" ref="R39">INDEX(GMW!$A$2:$NF$60,MATCH(1,(GMW!$NE$2:$NE$60=R$3)*(GMW!$ND$2:$ND$60=R$4)*(GMW!$NF$2:$NF$60=R$1),0),$F39-1966)</f>
        <v>-2.0419999999999998</v>
      </c>
      <c r="S39" s="4" cm="1">
        <f t="array" ref="S39">INDEX(GMW!$A$2:$NF$60,MATCH(1,(GMW!$NE$2:$NE$60=S$3)*(GMW!$ND$2:$ND$60=S$4)*(GMW!$NF$2:$NF$60=S$1),0),$F39-1966)</f>
        <v>-5.7858270000000003</v>
      </c>
      <c r="T39" s="4" cm="1">
        <f t="array" ref="T39">INDEX(GMW!$A$2:$NF$60,MATCH(1,(GMW!$NE$2:$NE$60=T$3)*(GMW!$ND$2:$ND$60=T$4)*(GMW!$NF$2:$NF$60=T$1),0),$F39-1966)</f>
        <v>-2318</v>
      </c>
      <c r="U39" s="4" cm="1">
        <f t="array" ref="U39">INDEX(GMW!$A$2:$NF$60,MATCH(1,(GMW!$NE$2:$NE$60=U$3)*(GMW!$ND$2:$ND$60=U$4)*(GMW!$NF$2:$NF$60=U$1),0),$F39-1966)</f>
        <v>126222</v>
      </c>
      <c r="V39" s="4" cm="1">
        <f t="array" ref="V39">INDEX(GMW!$A$2:$NF$60,MATCH(1,(GMW!$NE$2:$NE$60=V$3)*(GMW!$ND$2:$ND$60=V$4)*(GMW!$NF$2:$NF$60=V$1),0),$F39-1966)</f>
        <v>2124.1309999999999</v>
      </c>
      <c r="W39" s="4" cm="1">
        <f t="array" ref="W39">INDEX(GMW!$A$2:$NF$60,MATCH(1,(GMW!$NE$2:$NE$60=W$3)*(GMW!$ND$2:$ND$60=W$4)*(GMW!$NF$2:$NF$60=W$1),0),$F39-1966)</f>
        <v>123388</v>
      </c>
      <c r="X39" s="4" cm="1">
        <f t="array" ref="X39">INDEX(GMW!$A$2:$NF$60,MATCH(1,(GMW!$NE$2:$NE$60=X$3)*(GMW!$ND$2:$ND$60=X$4)*(GMW!$NF$2:$NF$60=X$1),0),$F39-1966)</f>
        <v>259.83460000000002</v>
      </c>
      <c r="Y39" s="4" cm="1">
        <f t="array" ref="Y39">INDEX(GMW!$A$2:$NF$60,MATCH(1,(GMW!$NE$2:$NE$60=Y$3)*(GMW!$ND$2:$ND$60=Y$4)*(GMW!$NF$2:$NF$60=Y$1),0),$F39-1966)</f>
        <v>132.22730000000001</v>
      </c>
      <c r="Z39" s="4" cm="1">
        <f t="array" ref="Z39">INDEX(GMW!$A$2:$NF$60,MATCH(1,(GMW!$NE$2:$NE$60=Z$3)*(GMW!$ND$2:$ND$60=Z$4)*(GMW!$NF$2:$NF$60=Z$1),0),$F39-1966)</f>
        <v>190.07419999999999</v>
      </c>
      <c r="AA39" s="4" cm="1">
        <f t="array" ref="AA39">INDEX(GMW!$A$2:$NF$60,MATCH(1,(GMW!$NE$2:$NE$60=AA$3)*(GMW!$ND$2:$ND$60=AA$4)*(GMW!$NF$2:$NF$60=AA$1),0),$F39-1966)</f>
        <v>157133</v>
      </c>
      <c r="AB39" s="4" cm="1">
        <f t="array" ref="AB39">INDEX(GMW!$A$2:$NF$60,MATCH(1,(GMW!$NE$2:$NE$60=AB$3)*(GMW!$ND$2:$ND$60=AB$4)*(GMW!$NF$2:$NF$60=AB$1),0),$F39-1966)</f>
        <v>69940</v>
      </c>
      <c r="AC39" s="4" cm="1">
        <f t="array" ref="AC39">INDEX(GMW!$A$2:$NF$60,MATCH(1,(GMW!$NE$2:$NE$60=AC$3)*(GMW!$ND$2:$ND$60=AC$4)*(GMW!$NF$2:$NF$60=AC$1),0),$F39-1966)</f>
        <v>781.05</v>
      </c>
      <c r="AD39" s="4" cm="1">
        <f t="array" ref="AD39">INDEX(GMW!$A$2:$NF$60,MATCH(1,(GMW!$NE$2:$NE$60=AD$3)*(GMW!$ND$2:$ND$60=AD$4)*(GMW!$NF$2:$NF$60=AD$1),0),$F39-1966)</f>
        <v>67372.83</v>
      </c>
      <c r="AE39" s="4" cm="1">
        <f t="array" ref="AE39">INDEX(GMW!$A$2:$NF$60,MATCH(1,(GMW!$NE$2:$NE$60=AE$3)*(GMW!$ND$2:$ND$60=AE$4)*(GMW!$NF$2:$NF$60=AE$1),0),$F39-1966)</f>
        <v>230.2919</v>
      </c>
      <c r="AF39" s="4" cm="1">
        <f t="array" ref="AF39">INDEX(GMW!$A$2:$NF$60,MATCH(1,(GMW!$NE$2:$NE$60=AF$3)*(GMW!$ND$2:$ND$60=AF$4)*(GMW!$NF$2:$NF$60=AF$1),0),$F39-1966)</f>
        <v>119.40300000000001</v>
      </c>
      <c r="AG39" s="4" cm="1">
        <f t="array" ref="AG39">INDEX(GMW!$A$2:$NF$60,MATCH(1,(GMW!$NE$2:$NE$60=AG$3)*(GMW!$ND$2:$ND$60=AG$4)*(GMW!$NF$2:$NF$60=AG$1),0),$F39-1966)</f>
        <v>60.31</v>
      </c>
      <c r="AH39" s="4" cm="1">
        <f t="array" ref="AH39">INDEX(GMW!$A$2:$NF$60,MATCH(1,(GMW!$NE$2:$NE$60=AH$3)*(GMW!$ND$2:$ND$60=AH$4)*(GMW!$NF$2:$NF$60=AH$1),0),$F39-1966)</f>
        <v>88998</v>
      </c>
    </row>
    <row r="40" spans="1:34" x14ac:dyDescent="0.25">
      <c r="B40" s="4">
        <f t="shared" si="10"/>
        <v>1981</v>
      </c>
      <c r="C40" s="4">
        <f t="shared" si="10"/>
        <v>1981</v>
      </c>
      <c r="F40" s="4">
        <f t="shared" si="4"/>
        <v>2006</v>
      </c>
      <c r="G40" s="4" cm="1">
        <f t="array" ref="G40">INDEX(GMW!$A$2:$NF$60,MATCH(1,(GMW!$NE$2:$NE$60=G$3)*(GMW!$ND$2:$ND$60=G$4)*(GMW!$NF$2:$NF$60=G$1),0),$F40-1966)</f>
        <v>261739</v>
      </c>
      <c r="H40" s="4" cm="1">
        <f t="array" ref="H40">INDEX(GMW!$A$2:$NF$60,MATCH(1,(GMW!$NE$2:$NE$60=H$3)*(GMW!$ND$2:$ND$60=H$4)*(GMW!$NF$2:$NF$60=H$1),0),$F40-1966)</f>
        <v>1850.925</v>
      </c>
      <c r="I40" s="4" cm="1">
        <f t="array" ref="I40">INDEX(GMW!$A$2:$NF$60,MATCH(1,(GMW!$NE$2:$NE$60=I$3)*(GMW!$ND$2:$ND$60=I$4)*(GMW!$NF$2:$NF$60=I$1),0),$F40-1966)</f>
        <v>71146.73</v>
      </c>
      <c r="J40" s="4" cm="1">
        <f t="array" ref="J40">INDEX(GMW!$A$2:$NF$60,MATCH(1,(GMW!$NE$2:$NE$60=J$3)*(GMW!$ND$2:$ND$60=J$4)*(GMW!$NF$2:$NF$60=J$1),0),$F40-1966)</f>
        <v>460.64</v>
      </c>
      <c r="K40" s="4" cm="1">
        <f t="array" ref="K40">INDEX(GMW!$A$2:$NF$60,MATCH(1,(GMW!$NE$2:$NE$60=K$3)*(GMW!$ND$2:$ND$60=K$4)*(GMW!$NF$2:$NF$60=K$1),0),$F40-1966)</f>
        <v>308.52999999999997</v>
      </c>
      <c r="L40" s="4" cm="1">
        <f t="array" ref="L40">INDEX(GMW!$A$2:$NF$60,MATCH(1,(GMW!$NE$2:$NE$60=L$3)*(GMW!$ND$2:$ND$60=L$4)*(GMW!$NF$2:$NF$60=L$1),0),$F40-1966)</f>
        <v>298.94099999999997</v>
      </c>
      <c r="M40" s="4" cm="1">
        <f t="array" ref="M40">INDEX(GMW!$A$2:$NF$60,MATCH(1,(GMW!$NE$2:$NE$60=M$3)*(GMW!$ND$2:$ND$60=M$4)*(GMW!$NF$2:$NF$60=M$1),0),$F40-1966)</f>
        <v>233233.3</v>
      </c>
      <c r="N40" s="4" cm="1">
        <f t="array" ref="N40">INDEX(GMW!$A$2:$NF$60,MATCH(1,(GMW!$NE$2:$NE$60=N$3)*(GMW!$ND$2:$ND$60=N$4)*(GMW!$NF$2:$NF$60=N$1),0),$F40-1966)</f>
        <v>-3679</v>
      </c>
      <c r="O40" s="4" cm="1">
        <f t="array" ref="O40">INDEX(GMW!$A$2:$NF$60,MATCH(1,(GMW!$NE$2:$NE$60=O$3)*(GMW!$ND$2:$ND$60=O$4)*(GMW!$NF$2:$NF$60=O$1),0),$F40-1966)</f>
        <v>-30.043749999999999</v>
      </c>
      <c r="P40" s="4" cm="1">
        <f t="array" ref="P40">INDEX(GMW!$A$2:$NF$60,MATCH(1,(GMW!$NE$2:$NE$60=P$3)*(GMW!$ND$2:$ND$60=P$4)*(GMW!$NF$2:$NF$60=P$1),0),$F40-1966)</f>
        <v>-2587.75</v>
      </c>
      <c r="Q40" s="4" cm="1">
        <f t="array" ref="Q40">INDEX(GMW!$A$2:$NF$60,MATCH(1,(GMW!$NE$2:$NE$60=Q$3)*(GMW!$ND$2:$ND$60=Q$4)*(GMW!$NF$2:$NF$60=Q$1),0),$F40-1966)</f>
        <v>-18.791789999999999</v>
      </c>
      <c r="R40" s="4" cm="1">
        <f t="array" ref="R40">INDEX(GMW!$A$2:$NF$60,MATCH(1,(GMW!$NE$2:$NE$60=R$3)*(GMW!$ND$2:$ND$60=R$4)*(GMW!$NF$2:$NF$60=R$1),0),$F40-1966)</f>
        <v>-3.234</v>
      </c>
      <c r="S40" s="4" cm="1">
        <f t="array" ref="S40">INDEX(GMW!$A$2:$NF$60,MATCH(1,(GMW!$NE$2:$NE$60=S$3)*(GMW!$ND$2:$ND$60=S$4)*(GMW!$NF$2:$NF$60=S$1),0),$F40-1966)</f>
        <v>-6.6882960000000002</v>
      </c>
      <c r="T40" s="4" cm="1">
        <f t="array" ref="T40">INDEX(GMW!$A$2:$NF$60,MATCH(1,(GMW!$NE$2:$NE$60=T$3)*(GMW!$ND$2:$ND$60=T$4)*(GMW!$NF$2:$NF$60=T$1),0),$F40-1966)</f>
        <v>-1436</v>
      </c>
      <c r="U40" s="4" cm="1">
        <f t="array" ref="U40">INDEX(GMW!$A$2:$NF$60,MATCH(1,(GMW!$NE$2:$NE$60=U$3)*(GMW!$ND$2:$ND$60=U$4)*(GMW!$NF$2:$NF$60=U$1),0),$F40-1966)</f>
        <v>128078.5</v>
      </c>
      <c r="V40" s="4" cm="1">
        <f t="array" ref="V40">INDEX(GMW!$A$2:$NF$60,MATCH(1,(GMW!$NE$2:$NE$60=V$3)*(GMW!$ND$2:$ND$60=V$4)*(GMW!$NF$2:$NF$60=V$1),0),$F40-1966)</f>
        <v>2145.0320000000002</v>
      </c>
      <c r="W40" s="4" cm="1">
        <f t="array" ref="W40">INDEX(GMW!$A$2:$NF$60,MATCH(1,(GMW!$NE$2:$NE$60=W$3)*(GMW!$ND$2:$ND$60=W$4)*(GMW!$NF$2:$NF$60=W$1),0),$F40-1966)</f>
        <v>129415</v>
      </c>
      <c r="X40" s="4" cm="1">
        <f t="array" ref="X40">INDEX(GMW!$A$2:$NF$60,MATCH(1,(GMW!$NE$2:$NE$60=X$3)*(GMW!$ND$2:$ND$60=X$4)*(GMW!$NF$2:$NF$60=X$1),0),$F40-1966)</f>
        <v>269.82600000000002</v>
      </c>
      <c r="Y40" s="4" cm="1">
        <f t="array" ref="Y40">INDEX(GMW!$A$2:$NF$60,MATCH(1,(GMW!$NE$2:$NE$60=Y$3)*(GMW!$ND$2:$ND$60=Y$4)*(GMW!$NF$2:$NF$60=Y$1),0),$F40-1966)</f>
        <v>135.3218</v>
      </c>
      <c r="Z40" s="4" cm="1">
        <f t="array" ref="Z40">INDEX(GMW!$A$2:$NF$60,MATCH(1,(GMW!$NE$2:$NE$60=Z$3)*(GMW!$ND$2:$ND$60=Z$4)*(GMW!$NF$2:$NF$60=Z$1),0),$F40-1966)</f>
        <v>201.50450000000001</v>
      </c>
      <c r="AA40" s="4" cm="1">
        <f t="array" ref="AA40">INDEX(GMW!$A$2:$NF$60,MATCH(1,(GMW!$NE$2:$NE$60=AA$3)*(GMW!$ND$2:$ND$60=AA$4)*(GMW!$NF$2:$NF$60=AA$1),0),$F40-1966)</f>
        <v>163873</v>
      </c>
      <c r="AB40" s="4" cm="1">
        <f t="array" ref="AB40">INDEX(GMW!$A$2:$NF$60,MATCH(1,(GMW!$NE$2:$NE$60=AB$3)*(GMW!$ND$2:$ND$60=AB$4)*(GMW!$NF$2:$NF$60=AB$1),0),$F40-1966)</f>
        <v>71334</v>
      </c>
      <c r="AC40" s="4" cm="1">
        <f t="array" ref="AC40">INDEX(GMW!$A$2:$NF$60,MATCH(1,(GMW!$NE$2:$NE$60=AC$3)*(GMW!$ND$2:$ND$60=AC$4)*(GMW!$NF$2:$NF$60=AC$1),0),$F40-1966)</f>
        <v>790.625</v>
      </c>
      <c r="AD40" s="4" cm="1">
        <f t="array" ref="AD40">INDEX(GMW!$A$2:$NF$60,MATCH(1,(GMW!$NE$2:$NE$60=AD$3)*(GMW!$ND$2:$ND$60=AD$4)*(GMW!$NF$2:$NF$60=AD$1),0),$F40-1966)</f>
        <v>68327.75</v>
      </c>
      <c r="AE40" s="4" cm="1">
        <f t="array" ref="AE40">INDEX(GMW!$A$2:$NF$60,MATCH(1,(GMW!$NE$2:$NE$60=AE$3)*(GMW!$ND$2:$ND$60=AE$4)*(GMW!$NF$2:$NF$60=AE$1),0),$F40-1966)</f>
        <v>233.69069999999999</v>
      </c>
      <c r="AF40" s="4" cm="1">
        <f t="array" ref="AF40">INDEX(GMW!$A$2:$NF$60,MATCH(1,(GMW!$NE$2:$NE$60=AF$3)*(GMW!$ND$2:$ND$60=AF$4)*(GMW!$NF$2:$NF$60=AF$1),0),$F40-1966)</f>
        <v>123.40600000000001</v>
      </c>
      <c r="AG40" s="4" cm="1">
        <f t="array" ref="AG40">INDEX(GMW!$A$2:$NF$60,MATCH(1,(GMW!$NE$2:$NE$60=AG$3)*(GMW!$ND$2:$ND$60=AG$4)*(GMW!$NF$2:$NF$60=AG$1),0),$F40-1966)</f>
        <v>63.563000000000002</v>
      </c>
      <c r="AH40" s="4" cm="1">
        <f t="array" ref="AH40">INDEX(GMW!$A$2:$NF$60,MATCH(1,(GMW!$NE$2:$NE$60=AH$3)*(GMW!$ND$2:$ND$60=AH$4)*(GMW!$NF$2:$NF$60=AH$1),0),$F40-1966)</f>
        <v>91998</v>
      </c>
    </row>
    <row r="41" spans="1:34" x14ac:dyDescent="0.25">
      <c r="B41" s="4">
        <f t="shared" si="10"/>
        <v>1981</v>
      </c>
      <c r="C41" s="4">
        <f t="shared" si="10"/>
        <v>1981</v>
      </c>
      <c r="F41" s="4">
        <f t="shared" si="4"/>
        <v>2007</v>
      </c>
      <c r="G41" s="4" cm="1">
        <f t="array" ref="G41">INDEX(GMW!$A$2:$NF$60,MATCH(1,(GMW!$NE$2:$NE$60=G$3)*(GMW!$ND$2:$ND$60=G$4)*(GMW!$NF$2:$NF$60=G$1),0),$F41-1966)</f>
        <v>264602</v>
      </c>
      <c r="H41" s="4" cm="1">
        <f t="array" ref="H41">INDEX(GMW!$A$2:$NF$60,MATCH(1,(GMW!$NE$2:$NE$60=H$3)*(GMW!$ND$2:$ND$60=H$4)*(GMW!$NF$2:$NF$60=H$1),0),$F41-1966)</f>
        <v>1873.1</v>
      </c>
      <c r="I41" s="4" cm="1">
        <f t="array" ref="I41">INDEX(GMW!$A$2:$NF$60,MATCH(1,(GMW!$NE$2:$NE$60=I$3)*(GMW!$ND$2:$ND$60=I$4)*(GMW!$NF$2:$NF$60=I$1),0),$F41-1966)</f>
        <v>71480.100000000006</v>
      </c>
      <c r="J41" s="4" cm="1">
        <f t="array" ref="J41">INDEX(GMW!$A$2:$NF$60,MATCH(1,(GMW!$NE$2:$NE$60=J$3)*(GMW!$ND$2:$ND$60=J$4)*(GMW!$NF$2:$NF$60=J$1),0),$F41-1966)</f>
        <v>461.88</v>
      </c>
      <c r="K41" s="4" cm="1">
        <f t="array" ref="K41">INDEX(GMW!$A$2:$NF$60,MATCH(1,(GMW!$NE$2:$NE$60=K$3)*(GMW!$ND$2:$ND$60=K$4)*(GMW!$NF$2:$NF$60=K$1),0),$F41-1966)</f>
        <v>310.60199999999998</v>
      </c>
      <c r="L41" s="4" cm="1">
        <f t="array" ref="L41">INDEX(GMW!$A$2:$NF$60,MATCH(1,(GMW!$NE$2:$NE$60=L$3)*(GMW!$ND$2:$ND$60=L$4)*(GMW!$NF$2:$NF$60=L$1),0),$F41-1966)</f>
        <v>299.08</v>
      </c>
      <c r="M41" s="4" cm="1">
        <f t="array" ref="M41">INDEX(GMW!$A$2:$NF$60,MATCH(1,(GMW!$NE$2:$NE$60=M$3)*(GMW!$ND$2:$ND$60=M$4)*(GMW!$NF$2:$NF$60=M$1),0),$F41-1966)</f>
        <v>231136.3</v>
      </c>
      <c r="N41" s="4" cm="1">
        <f t="array" ref="N41">INDEX(GMW!$A$2:$NF$60,MATCH(1,(GMW!$NE$2:$NE$60=N$3)*(GMW!$ND$2:$ND$60=N$4)*(GMW!$NF$2:$NF$60=N$1),0),$F41-1966)</f>
        <v>-2967</v>
      </c>
      <c r="O41" s="4" cm="1">
        <f t="array" ref="O41">INDEX(GMW!$A$2:$NF$60,MATCH(1,(GMW!$NE$2:$NE$60=O$3)*(GMW!$ND$2:$ND$60=O$4)*(GMW!$NF$2:$NF$60=O$1),0),$F41-1966)</f>
        <v>-31.364999999999998</v>
      </c>
      <c r="P41" s="4" cm="1">
        <f t="array" ref="P41">INDEX(GMW!$A$2:$NF$60,MATCH(1,(GMW!$NE$2:$NE$60=P$3)*(GMW!$ND$2:$ND$60=P$4)*(GMW!$NF$2:$NF$60=P$1),0),$F41-1966)</f>
        <v>-2705.25</v>
      </c>
      <c r="Q41" s="4" cm="1">
        <f t="array" ref="Q41">INDEX(GMW!$A$2:$NF$60,MATCH(1,(GMW!$NE$2:$NE$60=Q$3)*(GMW!$ND$2:$ND$60=Q$4)*(GMW!$NF$2:$NF$60=Q$1),0),$F41-1966)</f>
        <v>-18.791789999999999</v>
      </c>
      <c r="R41" s="4" cm="1">
        <f t="array" ref="R41">INDEX(GMW!$A$2:$NF$60,MATCH(1,(GMW!$NE$2:$NE$60=R$3)*(GMW!$ND$2:$ND$60=R$4)*(GMW!$NF$2:$NF$60=R$1),0),$F41-1966)</f>
        <v>-3.9369999999999998</v>
      </c>
      <c r="S41" s="4" cm="1">
        <f t="array" ref="S41">INDEX(GMW!$A$2:$NF$60,MATCH(1,(GMW!$NE$2:$NE$60=S$3)*(GMW!$ND$2:$ND$60=S$4)*(GMW!$NF$2:$NF$60=S$1),0),$F41-1966)</f>
        <v>-7.1981120000000001</v>
      </c>
      <c r="T41" s="4" cm="1">
        <f t="array" ref="T41">INDEX(GMW!$A$2:$NF$60,MATCH(1,(GMW!$NE$2:$NE$60=T$3)*(GMW!$ND$2:$ND$60=T$4)*(GMW!$NF$2:$NF$60=T$1),0),$F41-1966)</f>
        <v>-1763</v>
      </c>
      <c r="U41" s="4" cm="1">
        <f t="array" ref="U41">INDEX(GMW!$A$2:$NF$60,MATCH(1,(GMW!$NE$2:$NE$60=U$3)*(GMW!$ND$2:$ND$60=U$4)*(GMW!$NF$2:$NF$60=U$1),0),$F41-1966)</f>
        <v>129935</v>
      </c>
      <c r="V41" s="4" cm="1">
        <f t="array" ref="V41">INDEX(GMW!$A$2:$NF$60,MATCH(1,(GMW!$NE$2:$NE$60=V$3)*(GMW!$ND$2:$ND$60=V$4)*(GMW!$NF$2:$NF$60=V$1),0),$F41-1966)</f>
        <v>2196.1289999999999</v>
      </c>
      <c r="W41" s="4" cm="1">
        <f t="array" ref="W41">INDEX(GMW!$A$2:$NF$60,MATCH(1,(GMW!$NE$2:$NE$60=W$3)*(GMW!$ND$2:$ND$60=W$4)*(GMW!$NF$2:$NF$60=W$1),0),$F41-1966)</f>
        <v>135443</v>
      </c>
      <c r="X41" s="4" cm="1">
        <f t="array" ref="X41">INDEX(GMW!$A$2:$NF$60,MATCH(1,(GMW!$NE$2:$NE$60=X$3)*(GMW!$ND$2:$ND$60=X$4)*(GMW!$NF$2:$NF$60=X$1),0),$F41-1966)</f>
        <v>279.04020000000003</v>
      </c>
      <c r="Y41" s="4" cm="1">
        <f t="array" ref="Y41">INDEX(GMW!$A$2:$NF$60,MATCH(1,(GMW!$NE$2:$NE$60=Y$3)*(GMW!$ND$2:$ND$60=Y$4)*(GMW!$NF$2:$NF$60=Y$1),0),$F41-1966)</f>
        <v>138.41630000000001</v>
      </c>
      <c r="Z41" s="4" cm="1">
        <f t="array" ref="Z41">INDEX(GMW!$A$2:$NF$60,MATCH(1,(GMW!$NE$2:$NE$60=Z$3)*(GMW!$ND$2:$ND$60=Z$4)*(GMW!$NF$2:$NF$60=Z$1),0),$F41-1966)</f>
        <v>212.9348</v>
      </c>
      <c r="AA41" s="4" cm="1">
        <f t="array" ref="AA41">INDEX(GMW!$A$2:$NF$60,MATCH(1,(GMW!$NE$2:$NE$60=AA$3)*(GMW!$ND$2:$ND$60=AA$4)*(GMW!$NF$2:$NF$60=AA$1),0),$F41-1966)</f>
        <v>170613</v>
      </c>
      <c r="AB41" s="4" cm="1">
        <f t="array" ref="AB41">INDEX(GMW!$A$2:$NF$60,MATCH(1,(GMW!$NE$2:$NE$60=AB$3)*(GMW!$ND$2:$ND$60=AB$4)*(GMW!$NF$2:$NF$60=AB$1),0),$F41-1966)</f>
        <v>73310</v>
      </c>
      <c r="AC41" s="4" cm="1">
        <f t="array" ref="AC41">INDEX(GMW!$A$2:$NF$60,MATCH(1,(GMW!$NE$2:$NE$60=AC$3)*(GMW!$ND$2:$ND$60=AC$4)*(GMW!$NF$2:$NF$60=AC$1),0),$F41-1966)</f>
        <v>815.15</v>
      </c>
      <c r="AD41" s="4" cm="1">
        <f t="array" ref="AD41">INDEX(GMW!$A$2:$NF$60,MATCH(1,(GMW!$NE$2:$NE$60=AD$3)*(GMW!$ND$2:$ND$60=AD$4)*(GMW!$NF$2:$NF$60=AD$1),0),$F41-1966)</f>
        <v>68850.899999999994</v>
      </c>
      <c r="AE41" s="4" cm="1">
        <f t="array" ref="AE41">INDEX(GMW!$A$2:$NF$60,MATCH(1,(GMW!$NE$2:$NE$60=AE$3)*(GMW!$ND$2:$ND$60=AE$4)*(GMW!$NF$2:$NF$60=AE$1),0),$F41-1966)</f>
        <v>236.49549999999999</v>
      </c>
      <c r="AF41" s="4" cm="1">
        <f t="array" ref="AF41">INDEX(GMW!$A$2:$NF$60,MATCH(1,(GMW!$NE$2:$NE$60=AF$3)*(GMW!$ND$2:$ND$60=AF$4)*(GMW!$NF$2:$NF$60=AF$1),0),$F41-1966)</f>
        <v>128.10900000000001</v>
      </c>
      <c r="AG41" s="4" cm="1">
        <f t="array" ref="AG41">INDEX(GMW!$A$2:$NF$60,MATCH(1,(GMW!$NE$2:$NE$60=AG$3)*(GMW!$ND$2:$ND$60=AG$4)*(GMW!$NF$2:$NF$60=AG$1),0),$F41-1966)</f>
        <v>66.314999999999998</v>
      </c>
      <c r="AH41" s="4" cm="1">
        <f t="array" ref="AH41">INDEX(GMW!$A$2:$NF$60,MATCH(1,(GMW!$NE$2:$NE$60=AH$3)*(GMW!$ND$2:$ND$60=AH$4)*(GMW!$NF$2:$NF$60=AH$1),0),$F41-1966)</f>
        <v>93205</v>
      </c>
    </row>
    <row r="42" spans="1:34" x14ac:dyDescent="0.25">
      <c r="B42" s="4">
        <f t="shared" si="10"/>
        <v>1981</v>
      </c>
      <c r="C42" s="4">
        <f t="shared" si="10"/>
        <v>1981</v>
      </c>
      <c r="E42" s="4">
        <f t="shared" ref="E42" si="14">+E38+1</f>
        <v>1981</v>
      </c>
      <c r="F42" s="4">
        <f t="shared" si="4"/>
        <v>2008</v>
      </c>
      <c r="G42" s="4" cm="1">
        <f t="array" ref="G42">INDEX(GMW!$A$2:$NF$60,MATCH(1,(GMW!$NE$2:$NE$60=G$3)*(GMW!$ND$2:$ND$60=G$4)*(GMW!$NF$2:$NF$60=G$1),0),$F42-1966)</f>
        <v>264902</v>
      </c>
      <c r="H42" s="4" cm="1">
        <f t="array" ref="H42">INDEX(GMW!$A$2:$NF$60,MATCH(1,(GMW!$NE$2:$NE$60=H$3)*(GMW!$ND$2:$ND$60=H$4)*(GMW!$NF$2:$NF$60=H$1),0),$F42-1966)</f>
        <v>1852.7</v>
      </c>
      <c r="I42" s="4" cm="1">
        <f t="array" ref="I42">INDEX(GMW!$A$2:$NF$60,MATCH(1,(GMW!$NE$2:$NE$60=I$3)*(GMW!$ND$2:$ND$60=I$4)*(GMW!$NF$2:$NF$60=I$1),0),$F42-1966)</f>
        <v>71827.58</v>
      </c>
      <c r="J42" s="4" cm="1">
        <f t="array" ref="J42">INDEX(GMW!$A$2:$NF$60,MATCH(1,(GMW!$NE$2:$NE$60=J$3)*(GMW!$ND$2:$ND$60=J$4)*(GMW!$NF$2:$NF$60=J$1),0),$F42-1966)</f>
        <v>461.46</v>
      </c>
      <c r="K42" s="4" cm="1">
        <f t="array" ref="K42">INDEX(GMW!$A$2:$NF$60,MATCH(1,(GMW!$NE$2:$NE$60=K$3)*(GMW!$ND$2:$ND$60=K$4)*(GMW!$NF$2:$NF$60=K$1),0),$F42-1966)</f>
        <v>312.47399999999999</v>
      </c>
      <c r="L42" s="4" cm="1">
        <f t="array" ref="L42">INDEX(GMW!$A$2:$NF$60,MATCH(1,(GMW!$NE$2:$NE$60=L$3)*(GMW!$ND$2:$ND$60=L$4)*(GMW!$NF$2:$NF$60=L$1),0),$F42-1966)</f>
        <v>301.50700000000001</v>
      </c>
      <c r="M42" s="4" cm="1">
        <f t="array" ref="M42">INDEX(GMW!$A$2:$NF$60,MATCH(1,(GMW!$NE$2:$NE$60=M$3)*(GMW!$ND$2:$ND$60=M$4)*(GMW!$NF$2:$NF$60=M$1),0),$F42-1966)</f>
        <v>230073.3</v>
      </c>
      <c r="N42" s="4" cm="1">
        <f t="array" ref="N42">INDEX(GMW!$A$2:$NF$60,MATCH(1,(GMW!$NE$2:$NE$60=N$3)*(GMW!$ND$2:$ND$60=N$4)*(GMW!$NF$2:$NF$60=N$1),0),$F42-1966)</f>
        <v>991</v>
      </c>
      <c r="O42" s="4" cm="1">
        <f t="array" ref="O42">INDEX(GMW!$A$2:$NF$60,MATCH(1,(GMW!$NE$2:$NE$60=O$3)*(GMW!$ND$2:$ND$60=O$4)*(GMW!$NF$2:$NF$60=O$1),0),$F42-1966)</f>
        <v>-40.436500000000002</v>
      </c>
      <c r="P42" s="4" cm="1">
        <f t="array" ref="P42">INDEX(GMW!$A$2:$NF$60,MATCH(1,(GMW!$NE$2:$NE$60=P$3)*(GMW!$ND$2:$ND$60=P$4)*(GMW!$NF$2:$NF$60=P$1),0),$F42-1966)</f>
        <v>-2910.75</v>
      </c>
      <c r="Q42" s="4" cm="1">
        <f t="array" ref="Q42">INDEX(GMW!$A$2:$NF$60,MATCH(1,(GMW!$NE$2:$NE$60=Q$3)*(GMW!$ND$2:$ND$60=Q$4)*(GMW!$NF$2:$NF$60=Q$1),0),$F42-1966)</f>
        <v>-18.791789999999999</v>
      </c>
      <c r="R42" s="4" cm="1">
        <f t="array" ref="R42">INDEX(GMW!$A$2:$NF$60,MATCH(1,(GMW!$NE$2:$NE$60=R$3)*(GMW!$ND$2:$ND$60=R$4)*(GMW!$NF$2:$NF$60=R$1),0),$F42-1966)</f>
        <v>-3.0289999999999999</v>
      </c>
      <c r="S42" s="4" cm="1">
        <f t="array" ref="S42">INDEX(GMW!$A$2:$NF$60,MATCH(1,(GMW!$NE$2:$NE$60=S$3)*(GMW!$ND$2:$ND$60=S$4)*(GMW!$NF$2:$NF$60=S$1),0),$F42-1966)</f>
        <v>-7.3652280000000001</v>
      </c>
      <c r="T42" s="4" cm="1">
        <f t="array" ref="T42">INDEX(GMW!$A$2:$NF$60,MATCH(1,(GMW!$NE$2:$NE$60=T$3)*(GMW!$ND$2:$ND$60=T$4)*(GMW!$NF$2:$NF$60=T$1),0),$F42-1966)</f>
        <v>-2313</v>
      </c>
      <c r="U42" s="4" cm="1">
        <f t="array" ref="U42">INDEX(GMW!$A$2:$NF$60,MATCH(1,(GMW!$NE$2:$NE$60=U$3)*(GMW!$ND$2:$ND$60=U$4)*(GMW!$NF$2:$NF$60=U$1),0),$F42-1966)</f>
        <v>131791.5</v>
      </c>
      <c r="V42" s="4" cm="1">
        <f t="array" ref="V42">INDEX(GMW!$A$2:$NF$60,MATCH(1,(GMW!$NE$2:$NE$60=V$3)*(GMW!$ND$2:$ND$60=V$4)*(GMW!$NF$2:$NF$60=V$1),0),$F42-1966)</f>
        <v>2256.7330000000002</v>
      </c>
      <c r="W42" s="4" cm="1">
        <f t="array" ref="W42">INDEX(GMW!$A$2:$NF$60,MATCH(1,(GMW!$NE$2:$NE$60=W$3)*(GMW!$ND$2:$ND$60=W$4)*(GMW!$NF$2:$NF$60=W$1),0),$F42-1966)</f>
        <v>141470</v>
      </c>
      <c r="X42" s="4" cm="1">
        <f t="array" ref="X42">INDEX(GMW!$A$2:$NF$60,MATCH(1,(GMW!$NE$2:$NE$60=X$3)*(GMW!$ND$2:$ND$60=X$4)*(GMW!$NF$2:$NF$60=X$1),0),$F42-1966)</f>
        <v>287.47710000000001</v>
      </c>
      <c r="Y42" s="4" cm="1">
        <f t="array" ref="Y42">INDEX(GMW!$A$2:$NF$60,MATCH(1,(GMW!$NE$2:$NE$60=Y$3)*(GMW!$ND$2:$ND$60=Y$4)*(GMW!$NF$2:$NF$60=Y$1),0),$F42-1966)</f>
        <v>141.51079999999999</v>
      </c>
      <c r="Z42" s="4" cm="1">
        <f t="array" ref="Z42">INDEX(GMW!$A$2:$NF$60,MATCH(1,(GMW!$NE$2:$NE$60=Z$3)*(GMW!$ND$2:$ND$60=Z$4)*(GMW!$NF$2:$NF$60=Z$1),0),$F42-1966)</f>
        <v>224.36500000000001</v>
      </c>
      <c r="AA42" s="4" cm="1">
        <f t="array" ref="AA42">INDEX(GMW!$A$2:$NF$60,MATCH(1,(GMW!$NE$2:$NE$60=AA$3)*(GMW!$ND$2:$ND$60=AA$4)*(GMW!$NF$2:$NF$60=AA$1),0),$F42-1966)</f>
        <v>177353</v>
      </c>
      <c r="AB42" s="4" cm="1">
        <f t="array" ref="AB42">INDEX(GMW!$A$2:$NF$60,MATCH(1,(GMW!$NE$2:$NE$60=AB$3)*(GMW!$ND$2:$ND$60=AB$4)*(GMW!$NF$2:$NF$60=AB$1),0),$F42-1966)</f>
        <v>75596</v>
      </c>
      <c r="AC42" s="4" cm="1">
        <f t="array" ref="AC42">INDEX(GMW!$A$2:$NF$60,MATCH(1,(GMW!$NE$2:$NE$60=AC$3)*(GMW!$ND$2:$ND$60=AC$4)*(GMW!$NF$2:$NF$60=AC$1),0),$F42-1966)</f>
        <v>820.2</v>
      </c>
      <c r="AD42" s="4" cm="1">
        <f t="array" ref="AD42">INDEX(GMW!$A$2:$NF$60,MATCH(1,(GMW!$NE$2:$NE$60=AD$3)*(GMW!$ND$2:$ND$60=AD$4)*(GMW!$NF$2:$NF$60=AD$1),0),$F42-1966)</f>
        <v>69811.02</v>
      </c>
      <c r="AE42" s="4" cm="1">
        <f t="array" ref="AE42">INDEX(GMW!$A$2:$NF$60,MATCH(1,(GMW!$NE$2:$NE$60=AE$3)*(GMW!$ND$2:$ND$60=AE$4)*(GMW!$NF$2:$NF$60=AE$1),0),$F42-1966)</f>
        <v>239.2783</v>
      </c>
      <c r="AF42" s="4" cm="1">
        <f t="array" ref="AF42">INDEX(GMW!$A$2:$NF$60,MATCH(1,(GMW!$NE$2:$NE$60=AF$3)*(GMW!$ND$2:$ND$60=AF$4)*(GMW!$NF$2:$NF$60=AF$1),0),$F42-1966)</f>
        <v>133.648</v>
      </c>
      <c r="AG42" s="4" cm="1">
        <f t="array" ref="AG42">INDEX(GMW!$A$2:$NF$60,MATCH(1,(GMW!$NE$2:$NE$60=AG$3)*(GMW!$ND$2:$ND$60=AG$4)*(GMW!$NF$2:$NF$60=AG$1),0),$F42-1966)</f>
        <v>69.872</v>
      </c>
      <c r="AH42" s="4" cm="1">
        <f t="array" ref="AH42">INDEX(GMW!$A$2:$NF$60,MATCH(1,(GMW!$NE$2:$NE$60=AH$3)*(GMW!$ND$2:$ND$60=AH$4)*(GMW!$NF$2:$NF$60=AH$1),0),$F42-1966)</f>
        <v>94157</v>
      </c>
    </row>
    <row r="43" spans="1:34" x14ac:dyDescent="0.25">
      <c r="A43" s="4">
        <v>1982</v>
      </c>
      <c r="B43" s="4">
        <f t="shared" si="10"/>
        <v>1982</v>
      </c>
      <c r="C43" s="4">
        <f t="shared" si="10"/>
        <v>1981</v>
      </c>
      <c r="D43" s="4">
        <f t="shared" si="10"/>
        <v>1981</v>
      </c>
      <c r="F43" s="4">
        <f t="shared" si="4"/>
        <v>2009</v>
      </c>
      <c r="G43" s="4" cm="1">
        <f t="array" ref="G43">INDEX(GMW!$A$2:$NF$60,MATCH(1,(GMW!$NE$2:$NE$60=G$3)*(GMW!$ND$2:$ND$60=G$4)*(GMW!$NF$2:$NF$60=G$1),0),$F43-1966)</f>
        <v>265408</v>
      </c>
      <c r="H43" s="4" cm="1">
        <f t="array" ref="H43">INDEX(GMW!$A$2:$NF$60,MATCH(1,(GMW!$NE$2:$NE$60=H$3)*(GMW!$ND$2:$ND$60=H$4)*(GMW!$NF$2:$NF$60=H$1),0),$F43-1966)</f>
        <v>1823.9</v>
      </c>
      <c r="I43" s="4" cm="1">
        <f t="array" ref="I43">INDEX(GMW!$A$2:$NF$60,MATCH(1,(GMW!$NE$2:$NE$60=I$3)*(GMW!$ND$2:$ND$60=I$4)*(GMW!$NF$2:$NF$60=I$1),0),$F43-1966)</f>
        <v>72823.850000000006</v>
      </c>
      <c r="J43" s="4" cm="1">
        <f t="array" ref="J43">INDEX(GMW!$A$2:$NF$60,MATCH(1,(GMW!$NE$2:$NE$60=J$3)*(GMW!$ND$2:$ND$60=J$4)*(GMW!$NF$2:$NF$60=J$1),0),$F43-1966)</f>
        <v>463.29</v>
      </c>
      <c r="K43" s="4" cm="1">
        <f t="array" ref="K43">INDEX(GMW!$A$2:$NF$60,MATCH(1,(GMW!$NE$2:$NE$60=K$3)*(GMW!$ND$2:$ND$60=K$4)*(GMW!$NF$2:$NF$60=K$1),0),$F43-1966)</f>
        <v>314.83800000000002</v>
      </c>
      <c r="L43" s="4" cm="1">
        <f t="array" ref="L43">INDEX(GMW!$A$2:$NF$60,MATCH(1,(GMW!$NE$2:$NE$60=L$3)*(GMW!$ND$2:$ND$60=L$4)*(GMW!$NF$2:$NF$60=L$1),0),$F43-1966)</f>
        <v>301.387</v>
      </c>
      <c r="M43" s="4" cm="1">
        <f t="array" ref="M43">INDEX(GMW!$A$2:$NF$60,MATCH(1,(GMW!$NE$2:$NE$60=M$3)*(GMW!$ND$2:$ND$60=M$4)*(GMW!$NF$2:$NF$60=M$1),0),$F43-1966)</f>
        <v>227440.3</v>
      </c>
      <c r="N43" s="4" cm="1">
        <f t="array" ref="N43">INDEX(GMW!$A$2:$NF$60,MATCH(1,(GMW!$NE$2:$NE$60=N$3)*(GMW!$ND$2:$ND$60=N$4)*(GMW!$NF$2:$NF$60=N$1),0),$F43-1966)</f>
        <v>-344</v>
      </c>
      <c r="O43" s="4" cm="1">
        <f t="array" ref="O43">INDEX(GMW!$A$2:$NF$60,MATCH(1,(GMW!$NE$2:$NE$60=O$3)*(GMW!$ND$2:$ND$60=O$4)*(GMW!$NF$2:$NF$60=O$1),0),$F43-1966)</f>
        <v>-45.111499999999999</v>
      </c>
      <c r="P43" s="4" cm="1">
        <f t="array" ref="P43">INDEX(GMW!$A$2:$NF$60,MATCH(1,(GMW!$NE$2:$NE$60=P$3)*(GMW!$ND$2:$ND$60=P$4)*(GMW!$NF$2:$NF$60=P$1),0),$F43-1966)</f>
        <v>-2881.5</v>
      </c>
      <c r="Q43" s="4" cm="1">
        <f t="array" ref="Q43">INDEX(GMW!$A$2:$NF$60,MATCH(1,(GMW!$NE$2:$NE$60=Q$3)*(GMW!$ND$2:$ND$60=Q$4)*(GMW!$NF$2:$NF$60=Q$1),0),$F43-1966)</f>
        <v>-18.738769999999999</v>
      </c>
      <c r="R43" s="4" cm="1">
        <f t="array" ref="R43">INDEX(GMW!$A$2:$NF$60,MATCH(1,(GMW!$NE$2:$NE$60=R$3)*(GMW!$ND$2:$ND$60=R$4)*(GMW!$NF$2:$NF$60=R$1),0),$F43-1966)</f>
        <v>-3.5680000000000001</v>
      </c>
      <c r="S43" s="4" cm="1">
        <f t="array" ref="S43">INDEX(GMW!$A$2:$NF$60,MATCH(1,(GMW!$NE$2:$NE$60=S$3)*(GMW!$ND$2:$ND$60=S$4)*(GMW!$NF$2:$NF$60=S$1),0),$F43-1966)</f>
        <v>-7.1896409999999999</v>
      </c>
      <c r="T43" s="4" cm="1">
        <f t="array" ref="T43">INDEX(GMW!$A$2:$NF$60,MATCH(1,(GMW!$NE$2:$NE$60=T$3)*(GMW!$ND$2:$ND$60=T$4)*(GMW!$NF$2:$NF$60=T$1),0),$F43-1966)</f>
        <v>-3283</v>
      </c>
      <c r="U43" s="4" cm="1">
        <f t="array" ref="U43">INDEX(GMW!$A$2:$NF$60,MATCH(1,(GMW!$NE$2:$NE$60=U$3)*(GMW!$ND$2:$ND$60=U$4)*(GMW!$NF$2:$NF$60=U$1),0),$F43-1966)</f>
        <v>133648</v>
      </c>
      <c r="V43" s="4" cm="1">
        <f t="array" ref="V43">INDEX(GMW!$A$2:$NF$60,MATCH(1,(GMW!$NE$2:$NE$60=V$3)*(GMW!$ND$2:$ND$60=V$4)*(GMW!$NF$2:$NF$60=V$1),0),$F43-1966)</f>
        <v>2315.7240000000002</v>
      </c>
      <c r="W43" s="4" cm="1">
        <f t="array" ref="W43">INDEX(GMW!$A$2:$NF$60,MATCH(1,(GMW!$NE$2:$NE$60=W$3)*(GMW!$ND$2:$ND$60=W$4)*(GMW!$NF$2:$NF$60=W$1),0),$F43-1966)</f>
        <v>147402</v>
      </c>
      <c r="X43" s="4" cm="1">
        <f t="array" ref="X43">INDEX(GMW!$A$2:$NF$60,MATCH(1,(GMW!$NE$2:$NE$60=X$3)*(GMW!$ND$2:$ND$60=X$4)*(GMW!$NF$2:$NF$60=X$1),0),$F43-1966)</f>
        <v>296.40010000000001</v>
      </c>
      <c r="Y43" s="4" cm="1">
        <f t="array" ref="Y43">INDEX(GMW!$A$2:$NF$60,MATCH(1,(GMW!$NE$2:$NE$60=Y$3)*(GMW!$ND$2:$ND$60=Y$4)*(GMW!$NF$2:$NF$60=Y$1),0),$F43-1966)</f>
        <v>152.22210000000001</v>
      </c>
      <c r="Z43" s="4" cm="1">
        <f t="array" ref="Z43">INDEX(GMW!$A$2:$NF$60,MATCH(1,(GMW!$NE$2:$NE$60=Z$3)*(GMW!$ND$2:$ND$60=Z$4)*(GMW!$NF$2:$NF$60=Z$1),0),$F43-1966)</f>
        <v>237.19220000000001</v>
      </c>
      <c r="AA43" s="4" cm="1">
        <f t="array" ref="AA43">INDEX(GMW!$A$2:$NF$60,MATCH(1,(GMW!$NE$2:$NE$60=AA$3)*(GMW!$ND$2:$ND$60=AA$4)*(GMW!$NF$2:$NF$60=AA$1),0),$F43-1966)</f>
        <v>185448</v>
      </c>
      <c r="AB43" s="4" cm="1">
        <f t="array" ref="AB43">INDEX(GMW!$A$2:$NF$60,MATCH(1,(GMW!$NE$2:$NE$60=AB$3)*(GMW!$ND$2:$ND$60=AB$4)*(GMW!$NF$2:$NF$60=AB$1),0),$F43-1966)</f>
        <v>77468</v>
      </c>
      <c r="AC43" s="4" cm="1">
        <f t="array" ref="AC43">INDEX(GMW!$A$2:$NF$60,MATCH(1,(GMW!$NE$2:$NE$60=AC$3)*(GMW!$ND$2:$ND$60=AC$4)*(GMW!$NF$2:$NF$60=AC$1),0),$F43-1966)</f>
        <v>818.57500000000005</v>
      </c>
      <c r="AD43" s="4" cm="1">
        <f t="array" ref="AD43">INDEX(GMW!$A$2:$NF$60,MATCH(1,(GMW!$NE$2:$NE$60=AD$3)*(GMW!$ND$2:$ND$60=AD$4)*(GMW!$NF$2:$NF$60=AD$1),0),$F43-1966)</f>
        <v>71340.800000000003</v>
      </c>
      <c r="AE43" s="4" cm="1">
        <f t="array" ref="AE43">INDEX(GMW!$A$2:$NF$60,MATCH(1,(GMW!$NE$2:$NE$60=AE$3)*(GMW!$ND$2:$ND$60=AE$4)*(GMW!$NF$2:$NF$60=AE$1),0),$F43-1966)</f>
        <v>242.55609999999999</v>
      </c>
      <c r="AF43" s="4" cm="1">
        <f t="array" ref="AF43">INDEX(GMW!$A$2:$NF$60,MATCH(1,(GMW!$NE$2:$NE$60=AF$3)*(GMW!$ND$2:$ND$60=AF$4)*(GMW!$NF$2:$NF$60=AF$1),0),$F43-1966)</f>
        <v>139.08799999999999</v>
      </c>
      <c r="AG43" s="4" cm="1">
        <f t="array" ref="AG43">INDEX(GMW!$A$2:$NF$60,MATCH(1,(GMW!$NE$2:$NE$60=AG$3)*(GMW!$ND$2:$ND$60=AG$4)*(GMW!$NF$2:$NF$60=AG$1),0),$F43-1966)</f>
        <v>72.391000000000005</v>
      </c>
      <c r="AH43" s="4" cm="1">
        <f t="array" ref="AH43">INDEX(GMW!$A$2:$NF$60,MATCH(1,(GMW!$NE$2:$NE$60=AH$3)*(GMW!$ND$2:$ND$60=AH$4)*(GMW!$NF$2:$NF$60=AH$1),0),$F43-1966)</f>
        <v>95751</v>
      </c>
    </row>
    <row r="44" spans="1:34" x14ac:dyDescent="0.25">
      <c r="B44" s="4">
        <f t="shared" ref="B44:D59" si="15">+B40+1</f>
        <v>1982</v>
      </c>
      <c r="C44" s="4">
        <f t="shared" si="15"/>
        <v>1982</v>
      </c>
      <c r="F44" s="4">
        <f t="shared" si="4"/>
        <v>2010</v>
      </c>
      <c r="G44" s="4" cm="1">
        <f t="array" ref="G44">INDEX(GMW!$A$2:$NF$60,MATCH(1,(GMW!$NE$2:$NE$60=G$3)*(GMW!$ND$2:$ND$60=G$4)*(GMW!$NF$2:$NF$60=G$1),0),$F44-1966)</f>
        <v>268196</v>
      </c>
      <c r="H44" s="4" cm="1">
        <f t="array" ref="H44">INDEX(GMW!$A$2:$NF$60,MATCH(1,(GMW!$NE$2:$NE$60=H$3)*(GMW!$ND$2:$ND$60=H$4)*(GMW!$NF$2:$NF$60=H$1),0),$F44-1966)</f>
        <v>1832.2249999999999</v>
      </c>
      <c r="I44" s="4" cm="1">
        <f t="array" ref="I44">INDEX(GMW!$A$2:$NF$60,MATCH(1,(GMW!$NE$2:$NE$60=I$3)*(GMW!$ND$2:$ND$60=I$4)*(GMW!$NF$2:$NF$60=I$1),0),$F44-1966)</f>
        <v>73296.850000000006</v>
      </c>
      <c r="J44" s="4" cm="1">
        <f t="array" ref="J44">INDEX(GMW!$A$2:$NF$60,MATCH(1,(GMW!$NE$2:$NE$60=J$3)*(GMW!$ND$2:$ND$60=J$4)*(GMW!$NF$2:$NF$60=J$1),0),$F44-1966)</f>
        <v>460.39</v>
      </c>
      <c r="K44" s="4" cm="1">
        <f t="array" ref="K44">INDEX(GMW!$A$2:$NF$60,MATCH(1,(GMW!$NE$2:$NE$60=K$3)*(GMW!$ND$2:$ND$60=K$4)*(GMW!$NF$2:$NF$60=K$1),0),$F44-1966)</f>
        <v>317.06900000000002</v>
      </c>
      <c r="L44" s="4" cm="1">
        <f t="array" ref="L44">INDEX(GMW!$A$2:$NF$60,MATCH(1,(GMW!$NE$2:$NE$60=L$3)*(GMW!$ND$2:$ND$60=L$4)*(GMW!$NF$2:$NF$60=L$1),0),$F44-1966)</f>
        <v>300.53100000000001</v>
      </c>
      <c r="M44" s="4" cm="1">
        <f t="array" ref="M44">INDEX(GMW!$A$2:$NF$60,MATCH(1,(GMW!$NE$2:$NE$60=M$3)*(GMW!$ND$2:$ND$60=M$4)*(GMW!$NF$2:$NF$60=M$1),0),$F44-1966)</f>
        <v>224821.8</v>
      </c>
      <c r="N44" s="4" cm="1">
        <f t="array" ref="N44">INDEX(GMW!$A$2:$NF$60,MATCH(1,(GMW!$NE$2:$NE$60=N$3)*(GMW!$ND$2:$ND$60=N$4)*(GMW!$NF$2:$NF$60=N$1),0),$F44-1966)</f>
        <v>-2938</v>
      </c>
      <c r="O44" s="4" cm="1">
        <f t="array" ref="O44">INDEX(GMW!$A$2:$NF$60,MATCH(1,(GMW!$NE$2:$NE$60=O$3)*(GMW!$ND$2:$ND$60=O$4)*(GMW!$NF$2:$NF$60=O$1),0),$F44-1966)</f>
        <v>-49.078749999999999</v>
      </c>
      <c r="P44" s="4" cm="1">
        <f t="array" ref="P44">INDEX(GMW!$A$2:$NF$60,MATCH(1,(GMW!$NE$2:$NE$60=P$3)*(GMW!$ND$2:$ND$60=P$4)*(GMW!$NF$2:$NF$60=P$1),0),$F44-1966)</f>
        <v>-2845.5</v>
      </c>
      <c r="Q44" s="4" cm="1">
        <f t="array" ref="Q44">INDEX(GMW!$A$2:$NF$60,MATCH(1,(GMW!$NE$2:$NE$60=Q$3)*(GMW!$ND$2:$ND$60=Q$4)*(GMW!$NF$2:$NF$60=Q$1),0),$F44-1966)</f>
        <v>-18.738769999999999</v>
      </c>
      <c r="R44" s="4" cm="1">
        <f t="array" ref="R44">INDEX(GMW!$A$2:$NF$60,MATCH(1,(GMW!$NE$2:$NE$60=R$3)*(GMW!$ND$2:$ND$60=R$4)*(GMW!$NF$2:$NF$60=R$1),0),$F44-1966)</f>
        <v>-4.6740000000000004</v>
      </c>
      <c r="S44" s="4" cm="1">
        <f t="array" ref="S44">INDEX(GMW!$A$2:$NF$60,MATCH(1,(GMW!$NE$2:$NE$60=S$3)*(GMW!$ND$2:$ND$60=S$4)*(GMW!$NF$2:$NF$60=S$1),0),$F44-1966)</f>
        <v>-7.180466</v>
      </c>
      <c r="T44" s="4" cm="1">
        <f t="array" ref="T44">INDEX(GMW!$A$2:$NF$60,MATCH(1,(GMW!$NE$2:$NE$60=T$3)*(GMW!$ND$2:$ND$60=T$4)*(GMW!$NF$2:$NF$60=T$1),0),$F44-1966)</f>
        <v>-5018</v>
      </c>
      <c r="U44" s="4" cm="1">
        <f t="array" ref="U44">INDEX(GMW!$A$2:$NF$60,MATCH(1,(GMW!$NE$2:$NE$60=U$3)*(GMW!$ND$2:$ND$60=U$4)*(GMW!$NF$2:$NF$60=U$1),0),$F44-1966)</f>
        <v>135958.29999999999</v>
      </c>
      <c r="V44" s="4" cm="1">
        <f t="array" ref="V44">INDEX(GMW!$A$2:$NF$60,MATCH(1,(GMW!$NE$2:$NE$60=V$3)*(GMW!$ND$2:$ND$60=V$4)*(GMW!$NF$2:$NF$60=V$1),0),$F44-1966)</f>
        <v>2355.9430000000002</v>
      </c>
      <c r="W44" s="4" cm="1">
        <f t="array" ref="W44">INDEX(GMW!$A$2:$NF$60,MATCH(1,(GMW!$NE$2:$NE$60=W$3)*(GMW!$ND$2:$ND$60=W$4)*(GMW!$NF$2:$NF$60=W$1),0),$F44-1966)</f>
        <v>153333</v>
      </c>
      <c r="X44" s="4" cm="1">
        <f t="array" ref="X44">INDEX(GMW!$A$2:$NF$60,MATCH(1,(GMW!$NE$2:$NE$60=X$3)*(GMW!$ND$2:$ND$60=X$4)*(GMW!$NF$2:$NF$60=X$1),0),$F44-1966)</f>
        <v>305.6268</v>
      </c>
      <c r="Y44" s="4" cm="1">
        <f t="array" ref="Y44">INDEX(GMW!$A$2:$NF$60,MATCH(1,(GMW!$NE$2:$NE$60=Y$3)*(GMW!$ND$2:$ND$60=Y$4)*(GMW!$NF$2:$NF$60=Y$1),0),$F44-1966)</f>
        <v>162.93350000000001</v>
      </c>
      <c r="Z44" s="4" cm="1">
        <f t="array" ref="Z44">INDEX(GMW!$A$2:$NF$60,MATCH(1,(GMW!$NE$2:$NE$60=Z$3)*(GMW!$ND$2:$ND$60=Z$4)*(GMW!$NF$2:$NF$60=Z$1),0),$F44-1966)</f>
        <v>250.01949999999999</v>
      </c>
      <c r="AA44" s="4" cm="1">
        <f t="array" ref="AA44">INDEX(GMW!$A$2:$NF$60,MATCH(1,(GMW!$NE$2:$NE$60=AA$3)*(GMW!$ND$2:$ND$60=AA$4)*(GMW!$NF$2:$NF$60=AA$1),0),$F44-1966)</f>
        <v>193543</v>
      </c>
      <c r="AB44" s="4" cm="1">
        <f t="array" ref="AB44">INDEX(GMW!$A$2:$NF$60,MATCH(1,(GMW!$NE$2:$NE$60=AB$3)*(GMW!$ND$2:$ND$60=AB$4)*(GMW!$NF$2:$NF$60=AB$1),0),$F44-1966)</f>
        <v>78993</v>
      </c>
      <c r="AC44" s="4" cm="1">
        <f t="array" ref="AC44">INDEX(GMW!$A$2:$NF$60,MATCH(1,(GMW!$NE$2:$NE$60=AC$3)*(GMW!$ND$2:$ND$60=AC$4)*(GMW!$NF$2:$NF$60=AC$1),0),$F44-1966)</f>
        <v>833</v>
      </c>
      <c r="AD44" s="4" cm="1">
        <f t="array" ref="AD44">INDEX(GMW!$A$2:$NF$60,MATCH(1,(GMW!$NE$2:$NE$60=AD$3)*(GMW!$ND$2:$ND$60=AD$4)*(GMW!$NF$2:$NF$60=AD$1),0),$F44-1966)</f>
        <v>71689.350000000006</v>
      </c>
      <c r="AE44" s="4" cm="1">
        <f t="array" ref="AE44">INDEX(GMW!$A$2:$NF$60,MATCH(1,(GMW!$NE$2:$NE$60=AE$3)*(GMW!$ND$2:$ND$60=AE$4)*(GMW!$NF$2:$NF$60=AE$1),0),$F44-1966)</f>
        <v>244.19499999999999</v>
      </c>
      <c r="AF44" s="4" cm="1">
        <f t="array" ref="AF44">INDEX(GMW!$A$2:$NF$60,MATCH(1,(GMW!$NE$2:$NE$60=AF$3)*(GMW!$ND$2:$ND$60=AF$4)*(GMW!$NF$2:$NF$60=AF$1),0),$F44-1966)</f>
        <v>143.76300000000001</v>
      </c>
      <c r="AG44" s="4" cm="1">
        <f t="array" ref="AG44">INDEX(GMW!$A$2:$NF$60,MATCH(1,(GMW!$NE$2:$NE$60=AG$3)*(GMW!$ND$2:$ND$60=AG$4)*(GMW!$NF$2:$NF$60=AG$1),0),$F44-1966)</f>
        <v>74.629000000000005</v>
      </c>
      <c r="AH44" s="4" cm="1">
        <f t="array" ref="AH44">INDEX(GMW!$A$2:$NF$60,MATCH(1,(GMW!$NE$2:$NE$60=AH$3)*(GMW!$ND$2:$ND$60=AH$4)*(GMW!$NF$2:$NF$60=AH$1),0),$F44-1966)</f>
        <v>96629</v>
      </c>
    </row>
    <row r="45" spans="1:34" x14ac:dyDescent="0.25">
      <c r="B45" s="4">
        <f t="shared" si="15"/>
        <v>1982</v>
      </c>
      <c r="C45" s="4">
        <f t="shared" si="15"/>
        <v>1982</v>
      </c>
      <c r="F45" s="4">
        <f t="shared" si="4"/>
        <v>2011</v>
      </c>
      <c r="G45" s="4" cm="1">
        <f t="array" ref="G45">INDEX(GMW!$A$2:$NF$60,MATCH(1,(GMW!$NE$2:$NE$60=G$3)*(GMW!$ND$2:$ND$60=G$4)*(GMW!$NF$2:$NF$60=G$1),0),$F45-1966)</f>
        <v>268798</v>
      </c>
      <c r="H45" s="4" cm="1">
        <f t="array" ref="H45">INDEX(GMW!$A$2:$NF$60,MATCH(1,(GMW!$NE$2:$NE$60=H$3)*(GMW!$ND$2:$ND$60=H$4)*(GMW!$NF$2:$NF$60=H$1),0),$F45-1966)</f>
        <v>1825.2249999999999</v>
      </c>
      <c r="I45" s="4" cm="1">
        <f t="array" ref="I45">INDEX(GMW!$A$2:$NF$60,MATCH(1,(GMW!$NE$2:$NE$60=I$3)*(GMW!$ND$2:$ND$60=I$4)*(GMW!$NF$2:$NF$60=I$1),0),$F45-1966)</f>
        <v>73595.08</v>
      </c>
      <c r="J45" s="4" cm="1">
        <f t="array" ref="J45">INDEX(GMW!$A$2:$NF$60,MATCH(1,(GMW!$NE$2:$NE$60=J$3)*(GMW!$ND$2:$ND$60=J$4)*(GMW!$NF$2:$NF$60=J$1),0),$F45-1966)</f>
        <v>455.93</v>
      </c>
      <c r="K45" s="4" cm="1">
        <f t="array" ref="K45">INDEX(GMW!$A$2:$NF$60,MATCH(1,(GMW!$NE$2:$NE$60=K$3)*(GMW!$ND$2:$ND$60=K$4)*(GMW!$NF$2:$NF$60=K$1),0),$F45-1966)</f>
        <v>316.88499999999999</v>
      </c>
      <c r="L45" s="4" cm="1">
        <f t="array" ref="L45">INDEX(GMW!$A$2:$NF$60,MATCH(1,(GMW!$NE$2:$NE$60=L$3)*(GMW!$ND$2:$ND$60=L$4)*(GMW!$NF$2:$NF$60=L$1),0),$F45-1966)</f>
        <v>300.37</v>
      </c>
      <c r="M45" s="4" cm="1">
        <f t="array" ref="M45">INDEX(GMW!$A$2:$NF$60,MATCH(1,(GMW!$NE$2:$NE$60=M$3)*(GMW!$ND$2:$ND$60=M$4)*(GMW!$NF$2:$NF$60=M$1),0),$F45-1966)</f>
        <v>222828</v>
      </c>
      <c r="N45" s="4" cm="1">
        <f t="array" ref="N45">INDEX(GMW!$A$2:$NF$60,MATCH(1,(GMW!$NE$2:$NE$60=N$3)*(GMW!$ND$2:$ND$60=N$4)*(GMW!$NF$2:$NF$60=N$1),0),$F45-1966)</f>
        <v>-2421</v>
      </c>
      <c r="O45" s="4" cm="1">
        <f t="array" ref="O45">INDEX(GMW!$A$2:$NF$60,MATCH(1,(GMW!$NE$2:$NE$60=O$3)*(GMW!$ND$2:$ND$60=O$4)*(GMW!$NF$2:$NF$60=O$1),0),$F45-1966)</f>
        <v>-58.131500000000003</v>
      </c>
      <c r="P45" s="4" cm="1">
        <f t="array" ref="P45">INDEX(GMW!$A$2:$NF$60,MATCH(1,(GMW!$NE$2:$NE$60=P$3)*(GMW!$ND$2:$ND$60=P$4)*(GMW!$NF$2:$NF$60=P$1),0),$F45-1966)</f>
        <v>-2814.75</v>
      </c>
      <c r="Q45" s="4" cm="1">
        <f t="array" ref="Q45">INDEX(GMW!$A$2:$NF$60,MATCH(1,(GMW!$NE$2:$NE$60=Q$3)*(GMW!$ND$2:$ND$60=Q$4)*(GMW!$NF$2:$NF$60=Q$1),0),$F45-1966)</f>
        <v>-18.738769999999999</v>
      </c>
      <c r="R45" s="4" cm="1">
        <f t="array" ref="R45">INDEX(GMW!$A$2:$NF$60,MATCH(1,(GMW!$NE$2:$NE$60=R$3)*(GMW!$ND$2:$ND$60=R$4)*(GMW!$NF$2:$NF$60=R$1),0),$F45-1966)</f>
        <v>-4.8959999999999999</v>
      </c>
      <c r="S45" s="4" cm="1">
        <f t="array" ref="S45">INDEX(GMW!$A$2:$NF$60,MATCH(1,(GMW!$NE$2:$NE$60=S$3)*(GMW!$ND$2:$ND$60=S$4)*(GMW!$NF$2:$NF$60=S$1),0),$F45-1966)</f>
        <v>-7.3376979999999996</v>
      </c>
      <c r="T45" s="4" cm="1">
        <f t="array" ref="T45">INDEX(GMW!$A$2:$NF$60,MATCH(1,(GMW!$NE$2:$NE$60=T$3)*(GMW!$ND$2:$ND$60=T$4)*(GMW!$NF$2:$NF$60=T$1),0),$F45-1966)</f>
        <v>-6846</v>
      </c>
      <c r="U45" s="4" cm="1">
        <f t="array" ref="U45">INDEX(GMW!$A$2:$NF$60,MATCH(1,(GMW!$NE$2:$NE$60=U$3)*(GMW!$ND$2:$ND$60=U$4)*(GMW!$NF$2:$NF$60=U$1),0),$F45-1966)</f>
        <v>138268.5</v>
      </c>
      <c r="V45" s="4" cm="1">
        <f t="array" ref="V45">INDEX(GMW!$A$2:$NF$60,MATCH(1,(GMW!$NE$2:$NE$60=V$3)*(GMW!$ND$2:$ND$60=V$4)*(GMW!$NF$2:$NF$60=V$1),0),$F45-1966)</f>
        <v>2445.46</v>
      </c>
      <c r="W45" s="4" cm="1">
        <f t="array" ref="W45">INDEX(GMW!$A$2:$NF$60,MATCH(1,(GMW!$NE$2:$NE$60=W$3)*(GMW!$ND$2:$ND$60=W$4)*(GMW!$NF$2:$NF$60=W$1),0),$F45-1966)</f>
        <v>159265</v>
      </c>
      <c r="X45" s="4" cm="1">
        <f t="array" ref="X45">INDEX(GMW!$A$2:$NF$60,MATCH(1,(GMW!$NE$2:$NE$60=X$3)*(GMW!$ND$2:$ND$60=X$4)*(GMW!$NF$2:$NF$60=X$1),0),$F45-1966)</f>
        <v>313.637</v>
      </c>
      <c r="Y45" s="4" cm="1">
        <f t="array" ref="Y45">INDEX(GMW!$A$2:$NF$60,MATCH(1,(GMW!$NE$2:$NE$60=Y$3)*(GMW!$ND$2:$ND$60=Y$4)*(GMW!$NF$2:$NF$60=Y$1),0),$F45-1966)</f>
        <v>173.64490000000001</v>
      </c>
      <c r="Z45" s="4" cm="1">
        <f t="array" ref="Z45">INDEX(GMW!$A$2:$NF$60,MATCH(1,(GMW!$NE$2:$NE$60=Z$3)*(GMW!$ND$2:$ND$60=Z$4)*(GMW!$NF$2:$NF$60=Z$1),0),$F45-1966)</f>
        <v>262.8467</v>
      </c>
      <c r="AA45" s="4" cm="1">
        <f t="array" ref="AA45">INDEX(GMW!$A$2:$NF$60,MATCH(1,(GMW!$NE$2:$NE$60=AA$3)*(GMW!$ND$2:$ND$60=AA$4)*(GMW!$NF$2:$NF$60=AA$1),0),$F45-1966)</f>
        <v>201637</v>
      </c>
      <c r="AB45" s="4" cm="1">
        <f t="array" ref="AB45">INDEX(GMW!$A$2:$NF$60,MATCH(1,(GMW!$NE$2:$NE$60=AB$3)*(GMW!$ND$2:$ND$60=AB$4)*(GMW!$NF$2:$NF$60=AB$1),0),$F45-1966)</f>
        <v>80430</v>
      </c>
      <c r="AC45" s="4" cm="1">
        <f t="array" ref="AC45">INDEX(GMW!$A$2:$NF$60,MATCH(1,(GMW!$NE$2:$NE$60=AC$3)*(GMW!$ND$2:$ND$60=AC$4)*(GMW!$NF$2:$NF$60=AC$1),0),$F45-1966)</f>
        <v>841.57500000000005</v>
      </c>
      <c r="AD45" s="4" cm="1">
        <f t="array" ref="AD45">INDEX(GMW!$A$2:$NF$60,MATCH(1,(GMW!$NE$2:$NE$60=AD$3)*(GMW!$ND$2:$ND$60=AD$4)*(GMW!$NF$2:$NF$60=AD$1),0),$F45-1966)</f>
        <v>72286.67</v>
      </c>
      <c r="AE45" s="4" cm="1">
        <f t="array" ref="AE45">INDEX(GMW!$A$2:$NF$60,MATCH(1,(GMW!$NE$2:$NE$60=AE$3)*(GMW!$ND$2:$ND$60=AE$4)*(GMW!$NF$2:$NF$60=AE$1),0),$F45-1966)</f>
        <v>244.64599999999999</v>
      </c>
      <c r="AF45" s="4" cm="1">
        <f t="array" ref="AF45">INDEX(GMW!$A$2:$NF$60,MATCH(1,(GMW!$NE$2:$NE$60=AF$3)*(GMW!$ND$2:$ND$60=AF$4)*(GMW!$NF$2:$NF$60=AF$1),0),$F45-1966)</f>
        <v>146.46199999999999</v>
      </c>
      <c r="AG45" s="4" cm="1">
        <f t="array" ref="AG45">INDEX(GMW!$A$2:$NF$60,MATCH(1,(GMW!$NE$2:$NE$60=AG$3)*(GMW!$ND$2:$ND$60=AG$4)*(GMW!$NF$2:$NF$60=AG$1),0),$F45-1966)</f>
        <v>77.846999999999994</v>
      </c>
      <c r="AH45" s="4" cm="1">
        <f t="array" ref="AH45">INDEX(GMW!$A$2:$NF$60,MATCH(1,(GMW!$NE$2:$NE$60=AH$3)*(GMW!$ND$2:$ND$60=AH$4)*(GMW!$NF$2:$NF$60=AH$1),0),$F45-1966)</f>
        <v>97390</v>
      </c>
    </row>
    <row r="46" spans="1:34" x14ac:dyDescent="0.25">
      <c r="B46" s="4">
        <f t="shared" si="15"/>
        <v>1982</v>
      </c>
      <c r="C46" s="4">
        <f t="shared" si="15"/>
        <v>1982</v>
      </c>
      <c r="E46" s="4">
        <f t="shared" ref="E46" si="16">+E42+1</f>
        <v>1982</v>
      </c>
      <c r="F46" s="4">
        <f t="shared" si="4"/>
        <v>2012</v>
      </c>
      <c r="G46" s="4" cm="1">
        <f t="array" ref="G46">INDEX(GMW!$A$2:$NF$60,MATCH(1,(GMW!$NE$2:$NE$60=G$3)*(GMW!$ND$2:$ND$60=G$4)*(GMW!$NF$2:$NF$60=G$1),0),$F46-1966)</f>
        <v>270653</v>
      </c>
      <c r="H46" s="4" cm="1">
        <f t="array" ref="H46">INDEX(GMW!$A$2:$NF$60,MATCH(1,(GMW!$NE$2:$NE$60=H$3)*(GMW!$ND$2:$ND$60=H$4)*(GMW!$NF$2:$NF$60=H$1),0),$F46-1966)</f>
        <v>1825.95</v>
      </c>
      <c r="I46" s="4" cm="1">
        <f t="array" ref="I46">INDEX(GMW!$A$2:$NF$60,MATCH(1,(GMW!$NE$2:$NE$60=I$3)*(GMW!$ND$2:$ND$60=I$4)*(GMW!$NF$2:$NF$60=I$1),0),$F46-1966)</f>
        <v>74635.23</v>
      </c>
      <c r="J46" s="4" cm="1">
        <f t="array" ref="J46">INDEX(GMW!$A$2:$NF$60,MATCH(1,(GMW!$NE$2:$NE$60=J$3)*(GMW!$ND$2:$ND$60=J$4)*(GMW!$NF$2:$NF$60=J$1),0),$F46-1966)</f>
        <v>457</v>
      </c>
      <c r="K46" s="4" cm="1">
        <f t="array" ref="K46">INDEX(GMW!$A$2:$NF$60,MATCH(1,(GMW!$NE$2:$NE$60=K$3)*(GMW!$ND$2:$ND$60=K$4)*(GMW!$NF$2:$NF$60=K$1),0),$F46-1966)</f>
        <v>318.78199999999998</v>
      </c>
      <c r="L46" s="4" cm="1">
        <f t="array" ref="L46">INDEX(GMW!$A$2:$NF$60,MATCH(1,(GMW!$NE$2:$NE$60=L$3)*(GMW!$ND$2:$ND$60=L$4)*(GMW!$NF$2:$NF$60=L$1),0),$F46-1966)</f>
        <v>299.495</v>
      </c>
      <c r="M46" s="4" cm="1">
        <f t="array" ref="M46">INDEX(GMW!$A$2:$NF$60,MATCH(1,(GMW!$NE$2:$NE$60=M$3)*(GMW!$ND$2:$ND$60=M$4)*(GMW!$NF$2:$NF$60=M$1),0),$F46-1966)</f>
        <v>220771.8</v>
      </c>
      <c r="N46" s="4" cm="1">
        <f t="array" ref="N46">INDEX(GMW!$A$2:$NF$60,MATCH(1,(GMW!$NE$2:$NE$60=N$3)*(GMW!$ND$2:$ND$60=N$4)*(GMW!$NF$2:$NF$60=N$1),0),$F46-1966)</f>
        <v>-1656</v>
      </c>
      <c r="O46" s="4" cm="1">
        <f t="array" ref="O46">INDEX(GMW!$A$2:$NF$60,MATCH(1,(GMW!$NE$2:$NE$60=O$3)*(GMW!$ND$2:$ND$60=O$4)*(GMW!$NF$2:$NF$60=O$1),0),$F46-1966)</f>
        <v>-67.804249999999996</v>
      </c>
      <c r="P46" s="4" cm="1">
        <f t="array" ref="P46">INDEX(GMW!$A$2:$NF$60,MATCH(1,(GMW!$NE$2:$NE$60=P$3)*(GMW!$ND$2:$ND$60=P$4)*(GMW!$NF$2:$NF$60=P$1),0),$F46-1966)</f>
        <v>-2592.5</v>
      </c>
      <c r="Q46" s="4" cm="1">
        <f t="array" ref="Q46">INDEX(GMW!$A$2:$NF$60,MATCH(1,(GMW!$NE$2:$NE$60=Q$3)*(GMW!$ND$2:$ND$60=Q$4)*(GMW!$NF$2:$NF$60=Q$1),0),$F46-1966)</f>
        <v>-18.738769999999999</v>
      </c>
      <c r="R46" s="4" cm="1">
        <f t="array" ref="R46">INDEX(GMW!$A$2:$NF$60,MATCH(1,(GMW!$NE$2:$NE$60=R$3)*(GMW!$ND$2:$ND$60=R$4)*(GMW!$NF$2:$NF$60=R$1),0),$F46-1966)</f>
        <v>-3.36</v>
      </c>
      <c r="S46" s="4" cm="1">
        <f t="array" ref="S46">INDEX(GMW!$A$2:$NF$60,MATCH(1,(GMW!$NE$2:$NE$60=S$3)*(GMW!$ND$2:$ND$60=S$4)*(GMW!$NF$2:$NF$60=S$1),0),$F46-1966)</f>
        <v>-7.5736109999999996</v>
      </c>
      <c r="T46" s="4" cm="1">
        <f t="array" ref="T46">INDEX(GMW!$A$2:$NF$60,MATCH(1,(GMW!$NE$2:$NE$60=T$3)*(GMW!$ND$2:$ND$60=T$4)*(GMW!$NF$2:$NF$60=T$1),0),$F46-1966)</f>
        <v>-8260</v>
      </c>
      <c r="U46" s="4" cm="1">
        <f t="array" ref="U46">INDEX(GMW!$A$2:$NF$60,MATCH(1,(GMW!$NE$2:$NE$60=U$3)*(GMW!$ND$2:$ND$60=U$4)*(GMW!$NF$2:$NF$60=U$1),0),$F46-1966)</f>
        <v>140578.79999999999</v>
      </c>
      <c r="V46" s="4" cm="1">
        <f t="array" ref="V46">INDEX(GMW!$A$2:$NF$60,MATCH(1,(GMW!$NE$2:$NE$60=V$3)*(GMW!$ND$2:$ND$60=V$4)*(GMW!$NF$2:$NF$60=V$1),0),$F46-1966)</f>
        <v>2532.2979999999998</v>
      </c>
      <c r="W46" s="4" cm="1">
        <f t="array" ref="W46">INDEX(GMW!$A$2:$NF$60,MATCH(1,(GMW!$NE$2:$NE$60=W$3)*(GMW!$ND$2:$ND$60=W$4)*(GMW!$NF$2:$NF$60=W$1),0),$F46-1966)</f>
        <v>165196</v>
      </c>
      <c r="X46" s="4" cm="1">
        <f t="array" ref="X46">INDEX(GMW!$A$2:$NF$60,MATCH(1,(GMW!$NE$2:$NE$60=X$3)*(GMW!$ND$2:$ND$60=X$4)*(GMW!$NF$2:$NF$60=X$1),0),$F46-1966)</f>
        <v>320.43079999999998</v>
      </c>
      <c r="Y46" s="4" cm="1">
        <f t="array" ref="Y46">INDEX(GMW!$A$2:$NF$60,MATCH(1,(GMW!$NE$2:$NE$60=Y$3)*(GMW!$ND$2:$ND$60=Y$4)*(GMW!$NF$2:$NF$60=Y$1),0),$F46-1966)</f>
        <v>184.3563</v>
      </c>
      <c r="Z46" s="4" cm="1">
        <f t="array" ref="Z46">INDEX(GMW!$A$2:$NF$60,MATCH(1,(GMW!$NE$2:$NE$60=Z$3)*(GMW!$ND$2:$ND$60=Z$4)*(GMW!$NF$2:$NF$60=Z$1),0),$F46-1966)</f>
        <v>275.67399999999998</v>
      </c>
      <c r="AA46" s="4" cm="1">
        <f t="array" ref="AA46">INDEX(GMW!$A$2:$NF$60,MATCH(1,(GMW!$NE$2:$NE$60=AA$3)*(GMW!$ND$2:$ND$60=AA$4)*(GMW!$NF$2:$NF$60=AA$1),0),$F46-1966)</f>
        <v>209732</v>
      </c>
      <c r="AB46" s="4" cm="1">
        <f t="array" ref="AB46">INDEX(GMW!$A$2:$NF$60,MATCH(1,(GMW!$NE$2:$NE$60=AB$3)*(GMW!$ND$2:$ND$60=AB$4)*(GMW!$NF$2:$NF$60=AB$1),0),$F46-1966)</f>
        <v>82667</v>
      </c>
      <c r="AC46" s="4" cm="1">
        <f t="array" ref="AC46">INDEX(GMW!$A$2:$NF$60,MATCH(1,(GMW!$NE$2:$NE$60=AC$3)*(GMW!$ND$2:$ND$60=AC$4)*(GMW!$NF$2:$NF$60=AC$1),0),$F46-1966)</f>
        <v>850.65</v>
      </c>
      <c r="AD46" s="4" cm="1">
        <f t="array" ref="AD46">INDEX(GMW!$A$2:$NF$60,MATCH(1,(GMW!$NE$2:$NE$60=AD$3)*(GMW!$ND$2:$ND$60=AD$4)*(GMW!$NF$2:$NF$60=AD$1),0),$F46-1966)</f>
        <v>73223.199999999997</v>
      </c>
      <c r="AE46" s="4" cm="1">
        <f t="array" ref="AE46">INDEX(GMW!$A$2:$NF$60,MATCH(1,(GMW!$NE$2:$NE$60=AE$3)*(GMW!$ND$2:$ND$60=AE$4)*(GMW!$NF$2:$NF$60=AE$1),0),$F46-1966)</f>
        <v>246.4059</v>
      </c>
      <c r="AF46" s="4" cm="1">
        <f t="array" ref="AF46">INDEX(GMW!$A$2:$NF$60,MATCH(1,(GMW!$NE$2:$NE$60=AF$3)*(GMW!$ND$2:$ND$60=AF$4)*(GMW!$NF$2:$NF$60=AF$1),0),$F46-1966)</f>
        <v>149.61199999999999</v>
      </c>
      <c r="AG46" s="4" cm="1">
        <f t="array" ref="AG46">INDEX(GMW!$A$2:$NF$60,MATCH(1,(GMW!$NE$2:$NE$60=AG$3)*(GMW!$ND$2:$ND$60=AG$4)*(GMW!$NF$2:$NF$60=AG$1),0),$F46-1966)</f>
        <v>81.822000000000003</v>
      </c>
      <c r="AH46" s="4" cm="1">
        <f t="array" ref="AH46">INDEX(GMW!$A$2:$NF$60,MATCH(1,(GMW!$NE$2:$NE$60=AH$3)*(GMW!$ND$2:$ND$60=AH$4)*(GMW!$NF$2:$NF$60=AH$1),0),$F46-1966)</f>
        <v>98411</v>
      </c>
    </row>
    <row r="47" spans="1:34" x14ac:dyDescent="0.25">
      <c r="A47" s="4">
        <v>1983</v>
      </c>
      <c r="B47" s="4">
        <f t="shared" si="15"/>
        <v>1983</v>
      </c>
      <c r="C47" s="4">
        <f t="shared" si="15"/>
        <v>1982</v>
      </c>
      <c r="D47" s="4">
        <f t="shared" si="15"/>
        <v>1982</v>
      </c>
      <c r="F47" s="4">
        <f t="shared" si="4"/>
        <v>2013</v>
      </c>
      <c r="G47" s="4" cm="1">
        <f t="array" ref="G47">INDEX(GMW!$A$2:$NF$60,MATCH(1,(GMW!$NE$2:$NE$60=G$3)*(GMW!$ND$2:$ND$60=G$4)*(GMW!$NF$2:$NF$60=G$1),0),$F47-1966)</f>
        <v>275877</v>
      </c>
      <c r="H47" s="4" cm="1">
        <f t="array" ref="H47">INDEX(GMW!$A$2:$NF$60,MATCH(1,(GMW!$NE$2:$NE$60=H$3)*(GMW!$ND$2:$ND$60=H$4)*(GMW!$NF$2:$NF$60=H$1),0),$F47-1966)</f>
        <v>1850.0250000000001</v>
      </c>
      <c r="I47" s="4" cm="1">
        <f t="array" ref="I47">INDEX(GMW!$A$2:$NF$60,MATCH(1,(GMW!$NE$2:$NE$60=I$3)*(GMW!$ND$2:$ND$60=I$4)*(GMW!$NF$2:$NF$60=I$1),0),$F47-1966)</f>
        <v>75168.800000000003</v>
      </c>
      <c r="J47" s="4" cm="1">
        <f t="array" ref="J47">INDEX(GMW!$A$2:$NF$60,MATCH(1,(GMW!$NE$2:$NE$60=J$3)*(GMW!$ND$2:$ND$60=J$4)*(GMW!$NF$2:$NF$60=J$1),0),$F47-1966)</f>
        <v>461.22</v>
      </c>
      <c r="K47" s="4" cm="1">
        <f t="array" ref="K47">INDEX(GMW!$A$2:$NF$60,MATCH(1,(GMW!$NE$2:$NE$60=K$3)*(GMW!$ND$2:$ND$60=K$4)*(GMW!$NF$2:$NF$60=K$1),0),$F47-1966)</f>
        <v>320.00700000000001</v>
      </c>
      <c r="L47" s="4" cm="1">
        <f t="array" ref="L47">INDEX(GMW!$A$2:$NF$60,MATCH(1,(GMW!$NE$2:$NE$60=L$3)*(GMW!$ND$2:$ND$60=L$4)*(GMW!$NF$2:$NF$60=L$1),0),$F47-1966)</f>
        <v>300.334</v>
      </c>
      <c r="M47" s="4" cm="1">
        <f t="array" ref="M47">INDEX(GMW!$A$2:$NF$60,MATCH(1,(GMW!$NE$2:$NE$60=M$3)*(GMW!$ND$2:$ND$60=M$4)*(GMW!$NF$2:$NF$60=M$1),0),$F47-1966)</f>
        <v>224379.8</v>
      </c>
      <c r="N47" s="4" cm="1">
        <f t="array" ref="N47">INDEX(GMW!$A$2:$NF$60,MATCH(1,(GMW!$NE$2:$NE$60=N$3)*(GMW!$ND$2:$ND$60=N$4)*(GMW!$NF$2:$NF$60=N$1),0),$F47-1966)</f>
        <v>-1527</v>
      </c>
      <c r="O47" s="4" cm="1">
        <f t="array" ref="O47">INDEX(GMW!$A$2:$NF$60,MATCH(1,(GMW!$NE$2:$NE$60=O$3)*(GMW!$ND$2:$ND$60=O$4)*(GMW!$NF$2:$NF$60=O$1),0),$F47-1966)</f>
        <v>-68.061000000000007</v>
      </c>
      <c r="P47" s="4" cm="1">
        <f t="array" ref="P47">INDEX(GMW!$A$2:$NF$60,MATCH(1,(GMW!$NE$2:$NE$60=P$3)*(GMW!$ND$2:$ND$60=P$4)*(GMW!$NF$2:$NF$60=P$1),0),$F47-1966)</f>
        <v>-2895.5</v>
      </c>
      <c r="Q47" s="4" cm="1">
        <f t="array" ref="Q47">INDEX(GMW!$A$2:$NF$60,MATCH(1,(GMW!$NE$2:$NE$60=Q$3)*(GMW!$ND$2:$ND$60=Q$4)*(GMW!$NF$2:$NF$60=Q$1),0),$F47-1966)</f>
        <v>-17.79419</v>
      </c>
      <c r="R47" s="4" cm="1">
        <f t="array" ref="R47">INDEX(GMW!$A$2:$NF$60,MATCH(1,(GMW!$NE$2:$NE$60=R$3)*(GMW!$ND$2:$ND$60=R$4)*(GMW!$NF$2:$NF$60=R$1),0),$F47-1966)</f>
        <v>-4.5220000000000002</v>
      </c>
      <c r="S47" s="4" cm="1">
        <f t="array" ref="S47">INDEX(GMW!$A$2:$NF$60,MATCH(1,(GMW!$NE$2:$NE$60=S$3)*(GMW!$ND$2:$ND$60=S$4)*(GMW!$NF$2:$NF$60=S$1),0),$F47-1966)</f>
        <v>-7.888204</v>
      </c>
      <c r="T47" s="4" cm="1">
        <f t="array" ref="T47">INDEX(GMW!$A$2:$NF$60,MATCH(1,(GMW!$NE$2:$NE$60=T$3)*(GMW!$ND$2:$ND$60=T$4)*(GMW!$NF$2:$NF$60=T$1),0),$F47-1966)</f>
        <v>-7493</v>
      </c>
      <c r="U47" s="4" cm="1">
        <f t="array" ref="U47">INDEX(GMW!$A$2:$NF$60,MATCH(1,(GMW!$NE$2:$NE$60=U$3)*(GMW!$ND$2:$ND$60=U$4)*(GMW!$NF$2:$NF$60=U$1),0),$F47-1966)</f>
        <v>142889</v>
      </c>
      <c r="V47" s="4" cm="1">
        <f t="array" ref="V47">INDEX(GMW!$A$2:$NF$60,MATCH(1,(GMW!$NE$2:$NE$60=V$3)*(GMW!$ND$2:$ND$60=V$4)*(GMW!$NF$2:$NF$60=V$1),0),$F47-1966)</f>
        <v>2602.9560000000001</v>
      </c>
      <c r="W47" s="4" cm="1">
        <f t="array" ref="W47">INDEX(GMW!$A$2:$NF$60,MATCH(1,(GMW!$NE$2:$NE$60=W$3)*(GMW!$ND$2:$ND$60=W$4)*(GMW!$NF$2:$NF$60=W$1),0),$F47-1966)</f>
        <v>171368</v>
      </c>
      <c r="X47" s="4" cm="1">
        <f t="array" ref="X47">INDEX(GMW!$A$2:$NF$60,MATCH(1,(GMW!$NE$2:$NE$60=X$3)*(GMW!$ND$2:$ND$60=X$4)*(GMW!$NF$2:$NF$60=X$1),0),$F47-1966)</f>
        <v>327.721</v>
      </c>
      <c r="Y47" s="4" cm="1">
        <f t="array" ref="Y47">INDEX(GMW!$A$2:$NF$60,MATCH(1,(GMW!$NE$2:$NE$60=Y$3)*(GMW!$ND$2:$ND$60=Y$4)*(GMW!$NF$2:$NF$60=Y$1),0),$F47-1966)</f>
        <v>190.93559999999999</v>
      </c>
      <c r="Z47" s="4" cm="1">
        <f t="array" ref="Z47">INDEX(GMW!$A$2:$NF$60,MATCH(1,(GMW!$NE$2:$NE$60=Z$3)*(GMW!$ND$2:$ND$60=Z$4)*(GMW!$NF$2:$NF$60=Z$1),0),$F47-1966)</f>
        <v>274.03750000000002</v>
      </c>
      <c r="AA47" s="4" cm="1">
        <f t="array" ref="AA47">INDEX(GMW!$A$2:$NF$60,MATCH(1,(GMW!$NE$2:$NE$60=AA$3)*(GMW!$ND$2:$ND$60=AA$4)*(GMW!$NF$2:$NF$60=AA$1),0),$F47-1966)</f>
        <v>220266</v>
      </c>
      <c r="AB47" s="4" cm="1">
        <f t="array" ref="AB47">INDEX(GMW!$A$2:$NF$60,MATCH(1,(GMW!$NE$2:$NE$60=AB$3)*(GMW!$ND$2:$ND$60=AB$4)*(GMW!$NF$2:$NF$60=AB$1),0),$F47-1966)</f>
        <v>85727</v>
      </c>
      <c r="AC47" s="4" cm="1">
        <f t="array" ref="AC47">INDEX(GMW!$A$2:$NF$60,MATCH(1,(GMW!$NE$2:$NE$60=AC$3)*(GMW!$ND$2:$ND$60=AC$4)*(GMW!$NF$2:$NF$60=AC$1),0),$F47-1966)</f>
        <v>868.35</v>
      </c>
      <c r="AD47" s="4" cm="1">
        <f t="array" ref="AD47">INDEX(GMW!$A$2:$NF$60,MATCH(1,(GMW!$NE$2:$NE$60=AD$3)*(GMW!$ND$2:$ND$60=AD$4)*(GMW!$NF$2:$NF$60=AD$1),0),$F47-1966)</f>
        <v>74210.3</v>
      </c>
      <c r="AE47" s="4" cm="1">
        <f t="array" ref="AE47">INDEX(GMW!$A$2:$NF$60,MATCH(1,(GMW!$NE$2:$NE$60=AE$3)*(GMW!$ND$2:$ND$60=AE$4)*(GMW!$NF$2:$NF$60=AE$1),0),$F47-1966)</f>
        <v>249.7826</v>
      </c>
      <c r="AF47" s="4" cm="1">
        <f t="array" ref="AF47">INDEX(GMW!$A$2:$NF$60,MATCH(1,(GMW!$NE$2:$NE$60=AF$3)*(GMW!$ND$2:$ND$60=AF$4)*(GMW!$NF$2:$NF$60=AF$1),0),$F47-1966)</f>
        <v>154.297</v>
      </c>
      <c r="AG47" s="4" cm="1">
        <f t="array" ref="AG47">INDEX(GMW!$A$2:$NF$60,MATCH(1,(GMW!$NE$2:$NE$60=AG$3)*(GMW!$ND$2:$ND$60=AG$4)*(GMW!$NF$2:$NF$60=AG$1),0),$F47-1966)</f>
        <v>84.043999999999997</v>
      </c>
      <c r="AH47" s="4" cm="1">
        <f t="array" ref="AH47">INDEX(GMW!$A$2:$NF$60,MATCH(1,(GMW!$NE$2:$NE$60=AH$3)*(GMW!$ND$2:$ND$60=AH$4)*(GMW!$NF$2:$NF$60=AH$1),0),$F47-1966)</f>
        <v>100809</v>
      </c>
    </row>
    <row r="48" spans="1:34" x14ac:dyDescent="0.25">
      <c r="B48" s="4">
        <f t="shared" si="15"/>
        <v>1983</v>
      </c>
      <c r="C48" s="4">
        <f t="shared" si="15"/>
        <v>1983</v>
      </c>
      <c r="F48" s="4">
        <f>+F47+1</f>
        <v>2014</v>
      </c>
      <c r="G48" s="4" cm="1">
        <f t="array" ref="G48">INDEX(GMW!$A$2:$NF$60,MATCH(1,(GMW!$NE$2:$NE$60=G$3)*(GMW!$ND$2:$ND$60=G$4)*(GMW!$NF$2:$NF$60=G$1),0),$F48-1966)</f>
        <v>277790</v>
      </c>
      <c r="H48" s="4" cm="1">
        <f t="array" ref="H48">INDEX(GMW!$A$2:$NF$60,MATCH(1,(GMW!$NE$2:$NE$60=H$3)*(GMW!$ND$2:$ND$60=H$4)*(GMW!$NF$2:$NF$60=H$1),0),$F48-1966)</f>
        <v>1892.125</v>
      </c>
      <c r="I48" s="4" cm="1">
        <f t="array" ref="I48">INDEX(GMW!$A$2:$NF$60,MATCH(1,(GMW!$NE$2:$NE$60=I$3)*(GMW!$ND$2:$ND$60=I$4)*(GMW!$NF$2:$NF$60=I$1),0),$F48-1966)</f>
        <v>75743.88</v>
      </c>
      <c r="J48" s="4" cm="1">
        <f t="array" ref="J48">INDEX(GMW!$A$2:$NF$60,MATCH(1,(GMW!$NE$2:$NE$60=J$3)*(GMW!$ND$2:$ND$60=J$4)*(GMW!$NF$2:$NF$60=J$1),0),$F48-1966)</f>
        <v>466.02</v>
      </c>
      <c r="K48" s="4" cm="1">
        <f t="array" ref="K48">INDEX(GMW!$A$2:$NF$60,MATCH(1,(GMW!$NE$2:$NE$60=K$3)*(GMW!$ND$2:$ND$60=K$4)*(GMW!$NF$2:$NF$60=K$1),0),$F48-1966)</f>
        <v>320.18200000000002</v>
      </c>
      <c r="L48" s="4" cm="1">
        <f t="array" ref="L48">INDEX(GMW!$A$2:$NF$60,MATCH(1,(GMW!$NE$2:$NE$60=L$3)*(GMW!$ND$2:$ND$60=L$4)*(GMW!$NF$2:$NF$60=L$1),0),$F48-1966)</f>
        <v>299.97500000000002</v>
      </c>
      <c r="M48" s="4" cm="1">
        <f t="array" ref="M48">INDEX(GMW!$A$2:$NF$60,MATCH(1,(GMW!$NE$2:$NE$60=M$3)*(GMW!$ND$2:$ND$60=M$4)*(GMW!$NF$2:$NF$60=M$1),0),$F48-1966)</f>
        <v>228806.3</v>
      </c>
      <c r="N48" s="4" cm="1">
        <f t="array" ref="N48">INDEX(GMW!$A$2:$NF$60,MATCH(1,(GMW!$NE$2:$NE$60=N$3)*(GMW!$ND$2:$ND$60=N$4)*(GMW!$NF$2:$NF$60=N$1),0),$F48-1966)</f>
        <v>-4050</v>
      </c>
      <c r="O48" s="4" cm="1">
        <f t="array" ref="O48">INDEX(GMW!$A$2:$NF$60,MATCH(1,(GMW!$NE$2:$NE$60=O$3)*(GMW!$ND$2:$ND$60=O$4)*(GMW!$NF$2:$NF$60=O$1),0),$F48-1966)</f>
        <v>-65.452500000000001</v>
      </c>
      <c r="P48" s="4" cm="1">
        <f t="array" ref="P48">INDEX(GMW!$A$2:$NF$60,MATCH(1,(GMW!$NE$2:$NE$60=P$3)*(GMW!$ND$2:$ND$60=P$4)*(GMW!$NF$2:$NF$60=P$1),0),$F48-1966)</f>
        <v>-2977.75</v>
      </c>
      <c r="Q48" s="4" cm="1">
        <f t="array" ref="Q48">INDEX(GMW!$A$2:$NF$60,MATCH(1,(GMW!$NE$2:$NE$60=Q$3)*(GMW!$ND$2:$ND$60=Q$4)*(GMW!$NF$2:$NF$60=Q$1),0),$F48-1966)</f>
        <v>-17.79419</v>
      </c>
      <c r="R48" s="4" cm="1">
        <f t="array" ref="R48">INDEX(GMW!$A$2:$NF$60,MATCH(1,(GMW!$NE$2:$NE$60=R$3)*(GMW!$ND$2:$ND$60=R$4)*(GMW!$NF$2:$NF$60=R$1),0),$F48-1966)</f>
        <v>-4.2910000000000004</v>
      </c>
      <c r="S48" s="4" cm="1">
        <f t="array" ref="S48">INDEX(GMW!$A$2:$NF$60,MATCH(1,(GMW!$NE$2:$NE$60=S$3)*(GMW!$ND$2:$ND$60=S$4)*(GMW!$NF$2:$NF$60=S$1),0),$F48-1966)</f>
        <v>-8.2987380000000002</v>
      </c>
      <c r="T48" s="4" cm="1">
        <f t="array" ref="T48">INDEX(GMW!$A$2:$NF$60,MATCH(1,(GMW!$NE$2:$NE$60=T$3)*(GMW!$ND$2:$ND$60=T$4)*(GMW!$NF$2:$NF$60=T$1),0),$F48-1966)</f>
        <v>-5978</v>
      </c>
      <c r="U48" s="4" cm="1">
        <f t="array" ref="U48">INDEX(GMW!$A$2:$NF$60,MATCH(1,(GMW!$NE$2:$NE$60=U$3)*(GMW!$ND$2:$ND$60=U$4)*(GMW!$NF$2:$NF$60=U$1),0),$F48-1966)</f>
        <v>145953.79999999999</v>
      </c>
      <c r="V48" s="4" cm="1">
        <f t="array" ref="V48">INDEX(GMW!$A$2:$NF$60,MATCH(1,(GMW!$NE$2:$NE$60=V$3)*(GMW!$ND$2:$ND$60=V$4)*(GMW!$NF$2:$NF$60=V$1),0),$F48-1966)</f>
        <v>2669.596</v>
      </c>
      <c r="W48" s="4" cm="1">
        <f t="array" ref="W48">INDEX(GMW!$A$2:$NF$60,MATCH(1,(GMW!$NE$2:$NE$60=W$3)*(GMW!$ND$2:$ND$60=W$4)*(GMW!$NF$2:$NF$60=W$1),0),$F48-1966)</f>
        <v>177540</v>
      </c>
      <c r="X48" s="4" cm="1">
        <f t="array" ref="X48">INDEX(GMW!$A$2:$NF$60,MATCH(1,(GMW!$NE$2:$NE$60=X$3)*(GMW!$ND$2:$ND$60=X$4)*(GMW!$NF$2:$NF$60=X$1),0),$F48-1966)</f>
        <v>335.49290000000002</v>
      </c>
      <c r="Y48" s="4" cm="1">
        <f t="array" ref="Y48">INDEX(GMW!$A$2:$NF$60,MATCH(1,(GMW!$NE$2:$NE$60=Y$3)*(GMW!$ND$2:$ND$60=Y$4)*(GMW!$NF$2:$NF$60=Y$1),0),$F48-1966)</f>
        <v>197.51490000000001</v>
      </c>
      <c r="Z48" s="4" cm="1">
        <f t="array" ref="Z48">INDEX(GMW!$A$2:$NF$60,MATCH(1,(GMW!$NE$2:$NE$60=Z$3)*(GMW!$ND$2:$ND$60=Z$4)*(GMW!$NF$2:$NF$60=Z$1),0),$F48-1966)</f>
        <v>272.40100000000001</v>
      </c>
      <c r="AA48" s="4" cm="1">
        <f t="array" ref="AA48">INDEX(GMW!$A$2:$NF$60,MATCH(1,(GMW!$NE$2:$NE$60=AA$3)*(GMW!$ND$2:$ND$60=AA$4)*(GMW!$NF$2:$NF$60=AA$1),0),$F48-1966)</f>
        <v>230800</v>
      </c>
      <c r="AB48" s="4" cm="1">
        <f t="array" ref="AB48">INDEX(GMW!$A$2:$NF$60,MATCH(1,(GMW!$NE$2:$NE$60=AB$3)*(GMW!$ND$2:$ND$60=AB$4)*(GMW!$NF$2:$NF$60=AB$1),0),$F48-1966)</f>
        <v>86288</v>
      </c>
      <c r="AC48" s="4" cm="1">
        <f t="array" ref="AC48">INDEX(GMW!$A$2:$NF$60,MATCH(1,(GMW!$NE$2:$NE$60=AC$3)*(GMW!$ND$2:$ND$60=AC$4)*(GMW!$NF$2:$NF$60=AC$1),0),$F48-1966)</f>
        <v>894.7</v>
      </c>
      <c r="AD48" s="4" cm="1">
        <f t="array" ref="AD48">INDEX(GMW!$A$2:$NF$60,MATCH(1,(GMW!$NE$2:$NE$60=AD$3)*(GMW!$ND$2:$ND$60=AD$4)*(GMW!$NF$2:$NF$60=AD$1),0),$F48-1966)</f>
        <v>74890.83</v>
      </c>
      <c r="AE48" s="4" cm="1">
        <f t="array" ref="AE48">INDEX(GMW!$A$2:$NF$60,MATCH(1,(GMW!$NE$2:$NE$60=AE$3)*(GMW!$ND$2:$ND$60=AE$4)*(GMW!$NF$2:$NF$60=AE$1),0),$F48-1966)</f>
        <v>252.99440000000001</v>
      </c>
      <c r="AF48" s="4" cm="1">
        <f t="array" ref="AF48">INDEX(GMW!$A$2:$NF$60,MATCH(1,(GMW!$NE$2:$NE$60=AF$3)*(GMW!$ND$2:$ND$60=AF$4)*(GMW!$NF$2:$NF$60=AF$1),0),$F48-1966)</f>
        <v>158.578</v>
      </c>
      <c r="AG48" s="4" cm="1">
        <f t="array" ref="AG48">INDEX(GMW!$A$2:$NF$60,MATCH(1,(GMW!$NE$2:$NE$60=AG$3)*(GMW!$ND$2:$ND$60=AG$4)*(GMW!$NF$2:$NF$60=AG$1),0),$F48-1966)</f>
        <v>86.783000000000001</v>
      </c>
      <c r="AH48" s="4" cm="1">
        <f t="array" ref="AH48">INDEX(GMW!$A$2:$NF$60,MATCH(1,(GMW!$NE$2:$NE$60=AH$3)*(GMW!$ND$2:$ND$60=AH$4)*(GMW!$NF$2:$NF$60=AH$1),0),$F48-1966)</f>
        <v>103951</v>
      </c>
    </row>
    <row r="49" spans="1:34" x14ac:dyDescent="0.25">
      <c r="B49" s="4">
        <f t="shared" si="15"/>
        <v>1983</v>
      </c>
      <c r="C49" s="4">
        <f t="shared" si="15"/>
        <v>1983</v>
      </c>
      <c r="F49" s="4">
        <f t="shared" ref="F49:F112" si="17">+F48+1</f>
        <v>2015</v>
      </c>
      <c r="G49" s="4" cm="1">
        <f t="array" ref="G49">INDEX(GMW!$A$2:$NF$60,MATCH(1,(GMW!$NE$2:$NE$60=G$3)*(GMW!$ND$2:$ND$60=G$4)*(GMW!$NF$2:$NF$60=G$1),0),$F49-1966)</f>
        <v>280996</v>
      </c>
      <c r="H49" s="4" cm="1">
        <f t="array" ref="H49">INDEX(GMW!$A$2:$NF$60,MATCH(1,(GMW!$NE$2:$NE$60=H$3)*(GMW!$ND$2:$ND$60=H$4)*(GMW!$NF$2:$NF$60=H$1),0),$F49-1966)</f>
        <v>1929.925</v>
      </c>
      <c r="I49" s="4" cm="1">
        <f t="array" ref="I49">INDEX(GMW!$A$2:$NF$60,MATCH(1,(GMW!$NE$2:$NE$60=I$3)*(GMW!$ND$2:$ND$60=I$4)*(GMW!$NF$2:$NF$60=I$1),0),$F49-1966)</f>
        <v>76764.23</v>
      </c>
      <c r="J49" s="4" cm="1">
        <f t="array" ref="J49">INDEX(GMW!$A$2:$NF$60,MATCH(1,(GMW!$NE$2:$NE$60=J$3)*(GMW!$ND$2:$ND$60=J$4)*(GMW!$NF$2:$NF$60=J$1),0),$F49-1966)</f>
        <v>464.95</v>
      </c>
      <c r="K49" s="4" cm="1">
        <f t="array" ref="K49">INDEX(GMW!$A$2:$NF$60,MATCH(1,(GMW!$NE$2:$NE$60=K$3)*(GMW!$ND$2:$ND$60=K$4)*(GMW!$NF$2:$NF$60=K$1),0),$F49-1966)</f>
        <v>320.69600000000003</v>
      </c>
      <c r="L49" s="4" cm="1">
        <f t="array" ref="L49">INDEX(GMW!$A$2:$NF$60,MATCH(1,(GMW!$NE$2:$NE$60=L$3)*(GMW!$ND$2:$ND$60=L$4)*(GMW!$NF$2:$NF$60=L$1),0),$F49-1966)</f>
        <v>305.55900000000003</v>
      </c>
      <c r="M49" s="4" cm="1">
        <f t="array" ref="M49">INDEX(GMW!$A$2:$NF$60,MATCH(1,(GMW!$NE$2:$NE$60=M$3)*(GMW!$ND$2:$ND$60=M$4)*(GMW!$NF$2:$NF$60=M$1),0),$F49-1966)</f>
        <v>231376.8</v>
      </c>
      <c r="N49" s="4" cm="1">
        <f t="array" ref="N49">INDEX(GMW!$A$2:$NF$60,MATCH(1,(GMW!$NE$2:$NE$60=N$3)*(GMW!$ND$2:$ND$60=N$4)*(GMW!$NF$2:$NF$60=N$1),0),$F49-1966)</f>
        <v>-4112</v>
      </c>
      <c r="O49" s="4" cm="1">
        <f t="array" ref="O49">INDEX(GMW!$A$2:$NF$60,MATCH(1,(GMW!$NE$2:$NE$60=O$3)*(GMW!$ND$2:$ND$60=O$4)*(GMW!$NF$2:$NF$60=O$1),0),$F49-1966)</f>
        <v>-68.011750000000006</v>
      </c>
      <c r="P49" s="4" cm="1">
        <f t="array" ref="P49">INDEX(GMW!$A$2:$NF$60,MATCH(1,(GMW!$NE$2:$NE$60=P$3)*(GMW!$ND$2:$ND$60=P$4)*(GMW!$NF$2:$NF$60=P$1),0),$F49-1966)</f>
        <v>-3106.75</v>
      </c>
      <c r="Q49" s="4" cm="1">
        <f t="array" ref="Q49">INDEX(GMW!$A$2:$NF$60,MATCH(1,(GMW!$NE$2:$NE$60=Q$3)*(GMW!$ND$2:$ND$60=Q$4)*(GMW!$NF$2:$NF$60=Q$1),0),$F49-1966)</f>
        <v>-17.79419</v>
      </c>
      <c r="R49" s="4" cm="1">
        <f t="array" ref="R49">INDEX(GMW!$A$2:$NF$60,MATCH(1,(GMW!$NE$2:$NE$60=R$3)*(GMW!$ND$2:$ND$60=R$4)*(GMW!$NF$2:$NF$60=R$1),0),$F49-1966)</f>
        <v>-3.4940000000000002</v>
      </c>
      <c r="S49" s="4" cm="1">
        <f t="array" ref="S49">INDEX(GMW!$A$2:$NF$60,MATCH(1,(GMW!$NE$2:$NE$60=S$3)*(GMW!$ND$2:$ND$60=S$4)*(GMW!$NF$2:$NF$60=S$1),0),$F49-1966)</f>
        <v>-8.8052139999999994</v>
      </c>
      <c r="T49" s="4" cm="1">
        <f t="array" ref="T49">INDEX(GMW!$A$2:$NF$60,MATCH(1,(GMW!$NE$2:$NE$60=T$3)*(GMW!$ND$2:$ND$60=T$4)*(GMW!$NF$2:$NF$60=T$1),0),$F49-1966)</f>
        <v>-9424</v>
      </c>
      <c r="U49" s="4" cm="1">
        <f t="array" ref="U49">INDEX(GMW!$A$2:$NF$60,MATCH(1,(GMW!$NE$2:$NE$60=U$3)*(GMW!$ND$2:$ND$60=U$4)*(GMW!$NF$2:$NF$60=U$1),0),$F49-1966)</f>
        <v>149018.5</v>
      </c>
      <c r="V49" s="4" cm="1">
        <f t="array" ref="V49">INDEX(GMW!$A$2:$NF$60,MATCH(1,(GMW!$NE$2:$NE$60=V$3)*(GMW!$ND$2:$ND$60=V$4)*(GMW!$NF$2:$NF$60=V$1),0),$F49-1966)</f>
        <v>2749.0369999999998</v>
      </c>
      <c r="W49" s="4" cm="1">
        <f t="array" ref="W49">INDEX(GMW!$A$2:$NF$60,MATCH(1,(GMW!$NE$2:$NE$60=W$3)*(GMW!$ND$2:$ND$60=W$4)*(GMW!$NF$2:$NF$60=W$1),0),$F49-1966)</f>
        <v>183712</v>
      </c>
      <c r="X49" s="4" cm="1">
        <f t="array" ref="X49">INDEX(GMW!$A$2:$NF$60,MATCH(1,(GMW!$NE$2:$NE$60=X$3)*(GMW!$ND$2:$ND$60=X$4)*(GMW!$NF$2:$NF$60=X$1),0),$F49-1966)</f>
        <v>342.01209999999998</v>
      </c>
      <c r="Y49" s="4" cm="1">
        <f t="array" ref="Y49">INDEX(GMW!$A$2:$NF$60,MATCH(1,(GMW!$NE$2:$NE$60=Y$3)*(GMW!$ND$2:$ND$60=Y$4)*(GMW!$NF$2:$NF$60=Y$1),0),$F49-1966)</f>
        <v>204.0942</v>
      </c>
      <c r="Z49" s="4" cm="1">
        <f t="array" ref="Z49">INDEX(GMW!$A$2:$NF$60,MATCH(1,(GMW!$NE$2:$NE$60=Z$3)*(GMW!$ND$2:$ND$60=Z$4)*(GMW!$NF$2:$NF$60=Z$1),0),$F49-1966)</f>
        <v>270.7645</v>
      </c>
      <c r="AA49" s="4" cm="1">
        <f t="array" ref="AA49">INDEX(GMW!$A$2:$NF$60,MATCH(1,(GMW!$NE$2:$NE$60=AA$3)*(GMW!$ND$2:$ND$60=AA$4)*(GMW!$NF$2:$NF$60=AA$1),0),$F49-1966)</f>
        <v>241334</v>
      </c>
      <c r="AB49" s="4" cm="1">
        <f t="array" ref="AB49">INDEX(GMW!$A$2:$NF$60,MATCH(1,(GMW!$NE$2:$NE$60=AB$3)*(GMW!$ND$2:$ND$60=AB$4)*(GMW!$NF$2:$NF$60=AB$1),0),$F49-1966)</f>
        <v>88637</v>
      </c>
      <c r="AC49" s="4" cm="1">
        <f t="array" ref="AC49">INDEX(GMW!$A$2:$NF$60,MATCH(1,(GMW!$NE$2:$NE$60=AC$3)*(GMW!$ND$2:$ND$60=AC$4)*(GMW!$NF$2:$NF$60=AC$1),0),$F49-1966)</f>
        <v>922.3</v>
      </c>
      <c r="AD49" s="4" cm="1">
        <f t="array" ref="AD49">INDEX(GMW!$A$2:$NF$60,MATCH(1,(GMW!$NE$2:$NE$60=AD$3)*(GMW!$ND$2:$ND$60=AD$4)*(GMW!$NF$2:$NF$60=AD$1),0),$F49-1966)</f>
        <v>75910.92</v>
      </c>
      <c r="AE49" s="4" cm="1">
        <f t="array" ref="AE49">INDEX(GMW!$A$2:$NF$60,MATCH(1,(GMW!$NE$2:$NE$60=AE$3)*(GMW!$ND$2:$ND$60=AE$4)*(GMW!$NF$2:$NF$60=AE$1),0),$F49-1966)</f>
        <v>255.8322</v>
      </c>
      <c r="AF49" s="4" cm="1">
        <f t="array" ref="AF49">INDEX(GMW!$A$2:$NF$60,MATCH(1,(GMW!$NE$2:$NE$60=AF$3)*(GMW!$ND$2:$ND$60=AF$4)*(GMW!$NF$2:$NF$60=AF$1),0),$F49-1966)</f>
        <v>163.04900000000001</v>
      </c>
      <c r="AG49" s="4" cm="1">
        <f t="array" ref="AG49">INDEX(GMW!$A$2:$NF$60,MATCH(1,(GMW!$NE$2:$NE$60=AG$3)*(GMW!$ND$2:$ND$60=AG$4)*(GMW!$NF$2:$NF$60=AG$1),0),$F49-1966)</f>
        <v>90.63</v>
      </c>
      <c r="AH49" s="4" cm="1">
        <f t="array" ref="AH49">INDEX(GMW!$A$2:$NF$60,MATCH(1,(GMW!$NE$2:$NE$60=AH$3)*(GMW!$ND$2:$ND$60=AH$4)*(GMW!$NF$2:$NF$60=AH$1),0),$F49-1966)</f>
        <v>107240</v>
      </c>
    </row>
    <row r="50" spans="1:34" x14ac:dyDescent="0.25">
      <c r="B50" s="4">
        <f t="shared" si="15"/>
        <v>1983</v>
      </c>
      <c r="C50" s="4">
        <f t="shared" si="15"/>
        <v>1983</v>
      </c>
      <c r="E50" s="4">
        <f t="shared" ref="E50" si="18">+E46+1</f>
        <v>1983</v>
      </c>
      <c r="F50" s="4">
        <f t="shared" si="17"/>
        <v>2016</v>
      </c>
      <c r="G50" s="4" cm="1">
        <f t="array" ref="G50">INDEX(GMW!$A$2:$NF$60,MATCH(1,(GMW!$NE$2:$NE$60=G$3)*(GMW!$ND$2:$ND$60=G$4)*(GMW!$NF$2:$NF$60=G$1),0),$F50-1966)</f>
        <v>283096</v>
      </c>
      <c r="H50" s="4" cm="1">
        <f t="array" ref="H50">INDEX(GMW!$A$2:$NF$60,MATCH(1,(GMW!$NE$2:$NE$60=H$3)*(GMW!$ND$2:$ND$60=H$4)*(GMW!$NF$2:$NF$60=H$1),0),$F50-1966)</f>
        <v>1970.2</v>
      </c>
      <c r="I50" s="4" cm="1">
        <f t="array" ref="I50">INDEX(GMW!$A$2:$NF$60,MATCH(1,(GMW!$NE$2:$NE$60=I$3)*(GMW!$ND$2:$ND$60=I$4)*(GMW!$NF$2:$NF$60=I$1),0),$F50-1966)</f>
        <v>77307.77</v>
      </c>
      <c r="J50" s="4" cm="1">
        <f t="array" ref="J50">INDEX(GMW!$A$2:$NF$60,MATCH(1,(GMW!$NE$2:$NE$60=J$3)*(GMW!$ND$2:$ND$60=J$4)*(GMW!$NF$2:$NF$60=J$1),0),$F50-1966)</f>
        <v>471.39</v>
      </c>
      <c r="K50" s="4" cm="1">
        <f t="array" ref="K50">INDEX(GMW!$A$2:$NF$60,MATCH(1,(GMW!$NE$2:$NE$60=K$3)*(GMW!$ND$2:$ND$60=K$4)*(GMW!$NF$2:$NF$60=K$1),0),$F50-1966)</f>
        <v>322.69200000000001</v>
      </c>
      <c r="L50" s="4" cm="1">
        <f t="array" ref="L50">INDEX(GMW!$A$2:$NF$60,MATCH(1,(GMW!$NE$2:$NE$60=L$3)*(GMW!$ND$2:$ND$60=L$4)*(GMW!$NF$2:$NF$60=L$1),0),$F50-1966)</f>
        <v>312.334</v>
      </c>
      <c r="M50" s="4" cm="1">
        <f t="array" ref="M50">INDEX(GMW!$A$2:$NF$60,MATCH(1,(GMW!$NE$2:$NE$60=M$3)*(GMW!$ND$2:$ND$60=M$4)*(GMW!$NF$2:$NF$60=M$1),0),$F50-1966)</f>
        <v>234253.3</v>
      </c>
      <c r="N50" s="4" cm="1">
        <f t="array" ref="N50">INDEX(GMW!$A$2:$NF$60,MATCH(1,(GMW!$NE$2:$NE$60=N$3)*(GMW!$ND$2:$ND$60=N$4)*(GMW!$NF$2:$NF$60=N$1),0),$F50-1966)</f>
        <v>-893</v>
      </c>
      <c r="O50" s="4" cm="1">
        <f t="array" ref="O50">INDEX(GMW!$A$2:$NF$60,MATCH(1,(GMW!$NE$2:$NE$60=O$3)*(GMW!$ND$2:$ND$60=O$4)*(GMW!$NF$2:$NF$60=O$1),0),$F50-1966)</f>
        <v>-63.712000000000003</v>
      </c>
      <c r="P50" s="4" cm="1">
        <f t="array" ref="P50">INDEX(GMW!$A$2:$NF$60,MATCH(1,(GMW!$NE$2:$NE$60=P$3)*(GMW!$ND$2:$ND$60=P$4)*(GMW!$NF$2:$NF$60=P$1),0),$F50-1966)</f>
        <v>-2829.25</v>
      </c>
      <c r="Q50" s="4" cm="1">
        <f t="array" ref="Q50">INDEX(GMW!$A$2:$NF$60,MATCH(1,(GMW!$NE$2:$NE$60=Q$3)*(GMW!$ND$2:$ND$60=Q$4)*(GMW!$NF$2:$NF$60=Q$1),0),$F50-1966)</f>
        <v>-17.79419</v>
      </c>
      <c r="R50" s="4" cm="1">
        <f t="array" ref="R50">INDEX(GMW!$A$2:$NF$60,MATCH(1,(GMW!$NE$2:$NE$60=R$3)*(GMW!$ND$2:$ND$60=R$4)*(GMW!$NF$2:$NF$60=R$1),0),$F50-1966)</f>
        <v>-4.1740000000000004</v>
      </c>
      <c r="S50" s="4" cm="1">
        <f t="array" ref="S50">INDEX(GMW!$A$2:$NF$60,MATCH(1,(GMW!$NE$2:$NE$60=S$3)*(GMW!$ND$2:$ND$60=S$4)*(GMW!$NF$2:$NF$60=S$1),0),$F50-1966)</f>
        <v>-9.4313529999999997</v>
      </c>
      <c r="T50" s="4" cm="1">
        <f t="array" ref="T50">INDEX(GMW!$A$2:$NF$60,MATCH(1,(GMW!$NE$2:$NE$60=T$3)*(GMW!$ND$2:$ND$60=T$4)*(GMW!$NF$2:$NF$60=T$1),0),$F50-1966)</f>
        <v>-7742</v>
      </c>
      <c r="U50" s="4" cm="1">
        <f t="array" ref="U50">INDEX(GMW!$A$2:$NF$60,MATCH(1,(GMW!$NE$2:$NE$60=U$3)*(GMW!$ND$2:$ND$60=U$4)*(GMW!$NF$2:$NF$60=U$1),0),$F50-1966)</f>
        <v>152083.29999999999</v>
      </c>
      <c r="V50" s="4" cm="1">
        <f t="array" ref="V50">INDEX(GMW!$A$2:$NF$60,MATCH(1,(GMW!$NE$2:$NE$60=V$3)*(GMW!$ND$2:$ND$60=V$4)*(GMW!$NF$2:$NF$60=V$1),0),$F50-1966)</f>
        <v>2812.1959999999999</v>
      </c>
      <c r="W50" s="4" cm="1">
        <f t="array" ref="W50">INDEX(GMW!$A$2:$NF$60,MATCH(1,(GMW!$NE$2:$NE$60=W$3)*(GMW!$ND$2:$ND$60=W$4)*(GMW!$NF$2:$NF$60=W$1),0),$F50-1966)</f>
        <v>189884</v>
      </c>
      <c r="X50" s="4" cm="1">
        <f t="array" ref="X50">INDEX(GMW!$A$2:$NF$60,MATCH(1,(GMW!$NE$2:$NE$60=X$3)*(GMW!$ND$2:$ND$60=X$4)*(GMW!$NF$2:$NF$60=X$1),0),$F50-1966)</f>
        <v>347.27859999999998</v>
      </c>
      <c r="Y50" s="4" cm="1">
        <f t="array" ref="Y50">INDEX(GMW!$A$2:$NF$60,MATCH(1,(GMW!$NE$2:$NE$60=Y$3)*(GMW!$ND$2:$ND$60=Y$4)*(GMW!$NF$2:$NF$60=Y$1),0),$F50-1966)</f>
        <v>210.67349999999999</v>
      </c>
      <c r="Z50" s="4" cm="1">
        <f t="array" ref="Z50">INDEX(GMW!$A$2:$NF$60,MATCH(1,(GMW!$NE$2:$NE$60=Z$3)*(GMW!$ND$2:$ND$60=Z$4)*(GMW!$NF$2:$NF$60=Z$1),0),$F50-1966)</f>
        <v>269.12799999999999</v>
      </c>
      <c r="AA50" s="4" cm="1">
        <f t="array" ref="AA50">INDEX(GMW!$A$2:$NF$60,MATCH(1,(GMW!$NE$2:$NE$60=AA$3)*(GMW!$ND$2:$ND$60=AA$4)*(GMW!$NF$2:$NF$60=AA$1),0),$F50-1966)</f>
        <v>251868</v>
      </c>
      <c r="AB50" s="4" cm="1">
        <f t="array" ref="AB50">INDEX(GMW!$A$2:$NF$60,MATCH(1,(GMW!$NE$2:$NE$60=AB$3)*(GMW!$ND$2:$ND$60=AB$4)*(GMW!$NF$2:$NF$60=AB$1),0),$F50-1966)</f>
        <v>90695</v>
      </c>
      <c r="AC50" s="4" cm="1">
        <f t="array" ref="AC50">INDEX(GMW!$A$2:$NF$60,MATCH(1,(GMW!$NE$2:$NE$60=AC$3)*(GMW!$ND$2:$ND$60=AC$4)*(GMW!$NF$2:$NF$60=AC$1),0),$F50-1966)</f>
        <v>948.67499999999995</v>
      </c>
      <c r="AD50" s="4" cm="1">
        <f t="array" ref="AD50">INDEX(GMW!$A$2:$NF$60,MATCH(1,(GMW!$NE$2:$NE$60=AD$3)*(GMW!$ND$2:$ND$60=AD$4)*(GMW!$NF$2:$NF$60=AD$1),0),$F50-1966)</f>
        <v>76721.100000000006</v>
      </c>
      <c r="AE50" s="4" cm="1">
        <f t="array" ref="AE50">INDEX(GMW!$A$2:$NF$60,MATCH(1,(GMW!$NE$2:$NE$60=AE$3)*(GMW!$ND$2:$ND$60=AE$4)*(GMW!$NF$2:$NF$60=AE$1),0),$F50-1966)</f>
        <v>261.47489999999999</v>
      </c>
      <c r="AF50" s="4" cm="1">
        <f t="array" ref="AF50">INDEX(GMW!$A$2:$NF$60,MATCH(1,(GMW!$NE$2:$NE$60=AF$3)*(GMW!$ND$2:$ND$60=AF$4)*(GMW!$NF$2:$NF$60=AF$1),0),$F50-1966)</f>
        <v>166.61600000000001</v>
      </c>
      <c r="AG50" s="4" cm="1">
        <f t="array" ref="AG50">INDEX(GMW!$A$2:$NF$60,MATCH(1,(GMW!$NE$2:$NE$60=AG$3)*(GMW!$ND$2:$ND$60=AG$4)*(GMW!$NF$2:$NF$60=AG$1),0),$F50-1966)</f>
        <v>96.344999999999999</v>
      </c>
      <c r="AH50" s="4" cm="1">
        <f t="array" ref="AH50">INDEX(GMW!$A$2:$NF$60,MATCH(1,(GMW!$NE$2:$NE$60=AH$3)*(GMW!$ND$2:$ND$60=AH$4)*(GMW!$NF$2:$NF$60=AH$1),0),$F50-1966)</f>
        <v>109316</v>
      </c>
    </row>
    <row r="51" spans="1:34" x14ac:dyDescent="0.25">
      <c r="A51" s="4">
        <v>1984</v>
      </c>
      <c r="B51" s="4">
        <f t="shared" si="15"/>
        <v>1984</v>
      </c>
      <c r="C51" s="4">
        <f t="shared" si="15"/>
        <v>1983</v>
      </c>
      <c r="D51" s="4">
        <f t="shared" si="15"/>
        <v>1983</v>
      </c>
      <c r="F51" s="4">
        <f t="shared" si="17"/>
        <v>2017</v>
      </c>
      <c r="G51" s="4" cm="1">
        <f t="array" ref="G51">INDEX(GMW!$A$2:$NF$60,MATCH(1,(GMW!$NE$2:$NE$60=G$3)*(GMW!$ND$2:$ND$60=G$4)*(GMW!$NF$2:$NF$60=G$1),0),$F51-1966)</f>
        <v>285469</v>
      </c>
      <c r="H51" s="4" cm="1">
        <f t="array" ref="H51">INDEX(GMW!$A$2:$NF$60,MATCH(1,(GMW!$NE$2:$NE$60=H$3)*(GMW!$ND$2:$ND$60=H$4)*(GMW!$NF$2:$NF$60=H$1),0),$F51-1966)</f>
        <v>2008.7</v>
      </c>
      <c r="I51" s="4" cm="1">
        <f t="array" ref="I51">INDEX(GMW!$A$2:$NF$60,MATCH(1,(GMW!$NE$2:$NE$60=I$3)*(GMW!$ND$2:$ND$60=I$4)*(GMW!$NF$2:$NF$60=I$1),0),$F51-1966)</f>
        <v>78032.58</v>
      </c>
      <c r="J51" s="4" cm="1">
        <f t="array" ref="J51">INDEX(GMW!$A$2:$NF$60,MATCH(1,(GMW!$NE$2:$NE$60=J$3)*(GMW!$ND$2:$ND$60=J$4)*(GMW!$NF$2:$NF$60=J$1),0),$F51-1966)</f>
        <v>477.6</v>
      </c>
      <c r="K51" s="4" cm="1">
        <f t="array" ref="K51">INDEX(GMW!$A$2:$NF$60,MATCH(1,(GMW!$NE$2:$NE$60=K$3)*(GMW!$ND$2:$ND$60=K$4)*(GMW!$NF$2:$NF$60=K$1),0),$F51-1966)</f>
        <v>324.12900000000002</v>
      </c>
      <c r="L51" s="4" cm="1">
        <f t="array" ref="L51">INDEX(GMW!$A$2:$NF$60,MATCH(1,(GMW!$NE$2:$NE$60=L$3)*(GMW!$ND$2:$ND$60=L$4)*(GMW!$NF$2:$NF$60=L$1),0),$F51-1966)</f>
        <v>311.71899999999999</v>
      </c>
      <c r="M51" s="4" cm="1">
        <f t="array" ref="M51">INDEX(GMW!$A$2:$NF$60,MATCH(1,(GMW!$NE$2:$NE$60=M$3)*(GMW!$ND$2:$ND$60=M$4)*(GMW!$NF$2:$NF$60=M$1),0),$F51-1966)</f>
        <v>238310.5</v>
      </c>
      <c r="N51" s="4" cm="1">
        <f t="array" ref="N51">INDEX(GMW!$A$2:$NF$60,MATCH(1,(GMW!$NE$2:$NE$60=N$3)*(GMW!$ND$2:$ND$60=N$4)*(GMW!$NF$2:$NF$60=N$1),0),$F51-1966)</f>
        <v>-2747</v>
      </c>
      <c r="O51" s="4" cm="1">
        <f t="array" ref="O51">INDEX(GMW!$A$2:$NF$60,MATCH(1,(GMW!$NE$2:$NE$60=O$3)*(GMW!$ND$2:$ND$60=O$4)*(GMW!$NF$2:$NF$60=O$1),0),$F51-1966)</f>
        <v>-57.578749999999999</v>
      </c>
      <c r="P51" s="4" cm="1">
        <f t="array" ref="P51">INDEX(GMW!$A$2:$NF$60,MATCH(1,(GMW!$NE$2:$NE$60=P$3)*(GMW!$ND$2:$ND$60=P$4)*(GMW!$NF$2:$NF$60=P$1),0),$F51-1966)</f>
        <v>-2500.75</v>
      </c>
      <c r="Q51" s="4" cm="1">
        <f t="array" ref="Q51">INDEX(GMW!$A$2:$NF$60,MATCH(1,(GMW!$NE$2:$NE$60=Q$3)*(GMW!$ND$2:$ND$60=Q$4)*(GMW!$NF$2:$NF$60=Q$1),0),$F51-1966)</f>
        <v>-16.687100000000001</v>
      </c>
      <c r="R51" s="4" cm="1">
        <f t="array" ref="R51">INDEX(GMW!$A$2:$NF$60,MATCH(1,(GMW!$NE$2:$NE$60=R$3)*(GMW!$ND$2:$ND$60=R$4)*(GMW!$NF$2:$NF$60=R$1),0),$F51-1966)</f>
        <v>-5.01</v>
      </c>
      <c r="S51" s="4" cm="1">
        <f t="array" ref="S51">INDEX(GMW!$A$2:$NF$60,MATCH(1,(GMW!$NE$2:$NE$60=S$3)*(GMW!$ND$2:$ND$60=S$4)*(GMW!$NF$2:$NF$60=S$1),0),$F51-1966)</f>
        <v>-10.177149999999999</v>
      </c>
      <c r="T51" s="4" cm="1">
        <f t="array" ref="T51">INDEX(GMW!$A$2:$NF$60,MATCH(1,(GMW!$NE$2:$NE$60=T$3)*(GMW!$ND$2:$ND$60=T$4)*(GMW!$NF$2:$NF$60=T$1),0),$F51-1966)</f>
        <v>-7345</v>
      </c>
      <c r="U51" s="4" cm="1">
        <f t="array" ref="U51">INDEX(GMW!$A$2:$NF$60,MATCH(1,(GMW!$NE$2:$NE$60=U$3)*(GMW!$ND$2:$ND$60=U$4)*(GMW!$NF$2:$NF$60=U$1),0),$F51-1966)</f>
        <v>155148</v>
      </c>
      <c r="V51" s="4" cm="1">
        <f t="array" ref="V51">INDEX(GMW!$A$2:$NF$60,MATCH(1,(GMW!$NE$2:$NE$60=V$3)*(GMW!$ND$2:$ND$60=V$4)*(GMW!$NF$2:$NF$60=V$1),0),$F51-1966)</f>
        <v>2892.9409999999998</v>
      </c>
      <c r="W51" s="4" cm="1">
        <f t="array" ref="W51">INDEX(GMW!$A$2:$NF$60,MATCH(1,(GMW!$NE$2:$NE$60=W$3)*(GMW!$ND$2:$ND$60=W$4)*(GMW!$NF$2:$NF$60=W$1),0),$F51-1966)</f>
        <v>194495</v>
      </c>
      <c r="X51" s="4" cm="1">
        <f t="array" ref="X51">INDEX(GMW!$A$2:$NF$60,MATCH(1,(GMW!$NE$2:$NE$60=X$3)*(GMW!$ND$2:$ND$60=X$4)*(GMW!$NF$2:$NF$60=X$1),0),$F51-1966)</f>
        <v>352.6694</v>
      </c>
      <c r="Y51" s="4" cm="1">
        <f t="array" ref="Y51">INDEX(GMW!$A$2:$NF$60,MATCH(1,(GMW!$NE$2:$NE$60=Y$3)*(GMW!$ND$2:$ND$60=Y$4)*(GMW!$NF$2:$NF$60=Y$1),0),$F51-1966)</f>
        <v>218.20869999999999</v>
      </c>
      <c r="Z51" s="4" cm="1">
        <f t="array" ref="Z51">INDEX(GMW!$A$2:$NF$60,MATCH(1,(GMW!$NE$2:$NE$60=Z$3)*(GMW!$ND$2:$ND$60=Z$4)*(GMW!$NF$2:$NF$60=Z$1),0),$F51-1966)</f>
        <v>281.52769999999998</v>
      </c>
      <c r="AA51" s="4" cm="1">
        <f t="array" ref="AA51">INDEX(GMW!$A$2:$NF$60,MATCH(1,(GMW!$NE$2:$NE$60=AA$3)*(GMW!$ND$2:$ND$60=AA$4)*(GMW!$NF$2:$NF$60=AA$1),0),$F51-1966)</f>
        <v>261569</v>
      </c>
      <c r="AB51" s="4" cm="1">
        <f t="array" ref="AB51">INDEX(GMW!$A$2:$NF$60,MATCH(1,(GMW!$NE$2:$NE$60=AB$3)*(GMW!$ND$2:$ND$60=AB$4)*(GMW!$NF$2:$NF$60=AB$1),0),$F51-1966)</f>
        <v>91663</v>
      </c>
      <c r="AC51" s="4" cm="1">
        <f t="array" ref="AC51">INDEX(GMW!$A$2:$NF$60,MATCH(1,(GMW!$NE$2:$NE$60=AC$3)*(GMW!$ND$2:$ND$60=AC$4)*(GMW!$NF$2:$NF$60=AC$1),0),$F51-1966)</f>
        <v>977.02499999999998</v>
      </c>
      <c r="AD51" s="4" cm="1">
        <f t="array" ref="AD51">INDEX(GMW!$A$2:$NF$60,MATCH(1,(GMW!$NE$2:$NE$60=AD$3)*(GMW!$ND$2:$ND$60=AD$4)*(GMW!$NF$2:$NF$60=AD$1),0),$F51-1966)</f>
        <v>77905.98</v>
      </c>
      <c r="AE51" s="4" cm="1">
        <f t="array" ref="AE51">INDEX(GMW!$A$2:$NF$60,MATCH(1,(GMW!$NE$2:$NE$60=AE$3)*(GMW!$ND$2:$ND$60=AE$4)*(GMW!$NF$2:$NF$60=AE$1),0),$F51-1966)</f>
        <v>265.61059999999998</v>
      </c>
      <c r="AF51" s="4" cm="1">
        <f t="array" ref="AF51">INDEX(GMW!$A$2:$NF$60,MATCH(1,(GMW!$NE$2:$NE$60=AF$3)*(GMW!$ND$2:$ND$60=AF$4)*(GMW!$NF$2:$NF$60=AF$1),0),$F51-1966)</f>
        <v>170.501</v>
      </c>
      <c r="AG51" s="4" cm="1">
        <f t="array" ref="AG51">INDEX(GMW!$A$2:$NF$60,MATCH(1,(GMW!$NE$2:$NE$60=AG$3)*(GMW!$ND$2:$ND$60=AG$4)*(GMW!$NF$2:$NF$60=AG$1),0),$F51-1966)</f>
        <v>98.528000000000006</v>
      </c>
      <c r="AH51" s="4" cm="1">
        <f t="array" ref="AH51">INDEX(GMW!$A$2:$NF$60,MATCH(1,(GMW!$NE$2:$NE$60=AH$3)*(GMW!$ND$2:$ND$60=AH$4)*(GMW!$NF$2:$NF$60=AH$1),0),$F51-1966)</f>
        <v>111960</v>
      </c>
    </row>
    <row r="52" spans="1:34" x14ac:dyDescent="0.25">
      <c r="B52" s="4">
        <f t="shared" si="15"/>
        <v>1984</v>
      </c>
      <c r="C52" s="4">
        <f t="shared" si="15"/>
        <v>1984</v>
      </c>
      <c r="F52" s="4">
        <f t="shared" si="17"/>
        <v>2018</v>
      </c>
      <c r="G52" s="4" cm="1">
        <f t="array" ref="G52">INDEX(GMW!$A$2:$NF$60,MATCH(1,(GMW!$NE$2:$NE$60=G$3)*(GMW!$ND$2:$ND$60=G$4)*(GMW!$NF$2:$NF$60=G$1),0),$F52-1966)</f>
        <v>282605</v>
      </c>
      <c r="H52" s="4" cm="1">
        <f t="array" ref="H52">INDEX(GMW!$A$2:$NF$60,MATCH(1,(GMW!$NE$2:$NE$60=H$3)*(GMW!$ND$2:$ND$60=H$4)*(GMW!$NF$2:$NF$60=H$1),0),$F52-1966)</f>
        <v>2043.425</v>
      </c>
      <c r="I52" s="4" cm="1">
        <f t="array" ref="I52">INDEX(GMW!$A$2:$NF$60,MATCH(1,(GMW!$NE$2:$NE$60=I$3)*(GMW!$ND$2:$ND$60=I$4)*(GMW!$NF$2:$NF$60=I$1),0),$F52-1966)</f>
        <v>79658.95</v>
      </c>
      <c r="J52" s="4" cm="1">
        <f t="array" ref="J52">INDEX(GMW!$A$2:$NF$60,MATCH(1,(GMW!$NE$2:$NE$60=J$3)*(GMW!$ND$2:$ND$60=J$4)*(GMW!$NF$2:$NF$60=J$1),0),$F52-1966)</f>
        <v>470.16</v>
      </c>
      <c r="K52" s="4" cm="1">
        <f t="array" ref="K52">INDEX(GMW!$A$2:$NF$60,MATCH(1,(GMW!$NE$2:$NE$60=K$3)*(GMW!$ND$2:$ND$60=K$4)*(GMW!$NF$2:$NF$60=K$1),0),$F52-1966)</f>
        <v>325.67200000000003</v>
      </c>
      <c r="L52" s="4" cm="1">
        <f t="array" ref="L52">INDEX(GMW!$A$2:$NF$60,MATCH(1,(GMW!$NE$2:$NE$60=L$3)*(GMW!$ND$2:$ND$60=L$4)*(GMW!$NF$2:$NF$60=L$1),0),$F52-1966)</f>
        <v>312.72500000000002</v>
      </c>
      <c r="M52" s="4" cm="1">
        <f t="array" ref="M52">INDEX(GMW!$A$2:$NF$60,MATCH(1,(GMW!$NE$2:$NE$60=M$3)*(GMW!$ND$2:$ND$60=M$4)*(GMW!$NF$2:$NF$60=M$1),0),$F52-1966)</f>
        <v>242935.3</v>
      </c>
      <c r="N52" s="4" cm="1">
        <f t="array" ref="N52">INDEX(GMW!$A$2:$NF$60,MATCH(1,(GMW!$NE$2:$NE$60=N$3)*(GMW!$ND$2:$ND$60=N$4)*(GMW!$NF$2:$NF$60=N$1),0),$F52-1966)</f>
        <v>-4927</v>
      </c>
      <c r="O52" s="4" cm="1">
        <f t="array" ref="O52">INDEX(GMW!$A$2:$NF$60,MATCH(1,(GMW!$NE$2:$NE$60=O$3)*(GMW!$ND$2:$ND$60=O$4)*(GMW!$NF$2:$NF$60=O$1),0),$F52-1966)</f>
        <v>-61.354999999999997</v>
      </c>
      <c r="P52" s="4" cm="1">
        <f t="array" ref="P52">INDEX(GMW!$A$2:$NF$60,MATCH(1,(GMW!$NE$2:$NE$60=P$3)*(GMW!$ND$2:$ND$60=P$4)*(GMW!$NF$2:$NF$60=P$1),0),$F52-1966)</f>
        <v>-2653.5</v>
      </c>
      <c r="Q52" s="4" cm="1">
        <f t="array" ref="Q52">INDEX(GMW!$A$2:$NF$60,MATCH(1,(GMW!$NE$2:$NE$60=Q$3)*(GMW!$ND$2:$ND$60=Q$4)*(GMW!$NF$2:$NF$60=Q$1),0),$F52-1966)</f>
        <v>-16.687100000000001</v>
      </c>
      <c r="R52" s="4" cm="1">
        <f t="array" ref="R52">INDEX(GMW!$A$2:$NF$60,MATCH(1,(GMW!$NE$2:$NE$60=R$3)*(GMW!$ND$2:$ND$60=R$4)*(GMW!$NF$2:$NF$60=R$1),0),$F52-1966)</f>
        <v>-3.98</v>
      </c>
      <c r="S52" s="4" cm="1">
        <f t="array" ref="S52">INDEX(GMW!$A$2:$NF$60,MATCH(1,(GMW!$NE$2:$NE$60=S$3)*(GMW!$ND$2:$ND$60=S$4)*(GMW!$NF$2:$NF$60=S$1),0),$F52-1966)</f>
        <v>-10.88303</v>
      </c>
      <c r="T52" s="4" cm="1">
        <f t="array" ref="T52">INDEX(GMW!$A$2:$NF$60,MATCH(1,(GMW!$NE$2:$NE$60=T$3)*(GMW!$ND$2:$ND$60=T$4)*(GMW!$NF$2:$NF$60=T$1),0),$F52-1966)</f>
        <v>-8598</v>
      </c>
      <c r="U52" s="4" cm="1">
        <f t="array" ref="U52">INDEX(GMW!$A$2:$NF$60,MATCH(1,(GMW!$NE$2:$NE$60=U$3)*(GMW!$ND$2:$ND$60=U$4)*(GMW!$NF$2:$NF$60=U$1),0),$F52-1966)</f>
        <v>157981.5</v>
      </c>
      <c r="V52" s="4" cm="1">
        <f t="array" ref="V52">INDEX(GMW!$A$2:$NF$60,MATCH(1,(GMW!$NE$2:$NE$60=V$3)*(GMW!$ND$2:$ND$60=V$4)*(GMW!$NF$2:$NF$60=V$1),0),$F52-1966)</f>
        <v>2956.8429999999998</v>
      </c>
      <c r="W52" s="4" cm="1">
        <f t="array" ref="W52">INDEX(GMW!$A$2:$NF$60,MATCH(1,(GMW!$NE$2:$NE$60=W$3)*(GMW!$ND$2:$ND$60=W$4)*(GMW!$NF$2:$NF$60=W$1),0),$F52-1966)</f>
        <v>199105</v>
      </c>
      <c r="X52" s="4" cm="1">
        <f t="array" ref="X52">INDEX(GMW!$A$2:$NF$60,MATCH(1,(GMW!$NE$2:$NE$60=X$3)*(GMW!$ND$2:$ND$60=X$4)*(GMW!$NF$2:$NF$60=X$1),0),$F52-1966)</f>
        <v>358.5652</v>
      </c>
      <c r="Y52" s="4" cm="1">
        <f t="array" ref="Y52">INDEX(GMW!$A$2:$NF$60,MATCH(1,(GMW!$NE$2:$NE$60=Y$3)*(GMW!$ND$2:$ND$60=Y$4)*(GMW!$NF$2:$NF$60=Y$1),0),$F52-1966)</f>
        <v>225.7439</v>
      </c>
      <c r="Z52" s="4" cm="1">
        <f t="array" ref="Z52">INDEX(GMW!$A$2:$NF$60,MATCH(1,(GMW!$NE$2:$NE$60=Z$3)*(GMW!$ND$2:$ND$60=Z$4)*(GMW!$NF$2:$NF$60=Z$1),0),$F52-1966)</f>
        <v>293.92750000000001</v>
      </c>
      <c r="AA52" s="4" cm="1">
        <f t="array" ref="AA52">INDEX(GMW!$A$2:$NF$60,MATCH(1,(GMW!$NE$2:$NE$60=AA$3)*(GMW!$ND$2:$ND$60=AA$4)*(GMW!$NF$2:$NF$60=AA$1),0),$F52-1966)</f>
        <v>271270</v>
      </c>
      <c r="AB52" s="4" cm="1">
        <f t="array" ref="AB52">INDEX(GMW!$A$2:$NF$60,MATCH(1,(GMW!$NE$2:$NE$60=AB$3)*(GMW!$ND$2:$ND$60=AB$4)*(GMW!$NF$2:$NF$60=AB$1),0),$F52-1966)</f>
        <v>93433</v>
      </c>
      <c r="AC52" s="4" cm="1">
        <f t="array" ref="AC52">INDEX(GMW!$A$2:$NF$60,MATCH(1,(GMW!$NE$2:$NE$60=AC$3)*(GMW!$ND$2:$ND$60=AC$4)*(GMW!$NF$2:$NF$60=AC$1),0),$F52-1966)</f>
        <v>1002.4</v>
      </c>
      <c r="AD52" s="4" cm="1">
        <f t="array" ref="AD52">INDEX(GMW!$A$2:$NF$60,MATCH(1,(GMW!$NE$2:$NE$60=AD$3)*(GMW!$ND$2:$ND$60=AD$4)*(GMW!$NF$2:$NF$60=AD$1),0),$F52-1966)</f>
        <v>79687.98</v>
      </c>
      <c r="AE52" s="4" cm="1">
        <f t="array" ref="AE52">INDEX(GMW!$A$2:$NF$60,MATCH(1,(GMW!$NE$2:$NE$60=AE$3)*(GMW!$ND$2:$ND$60=AE$4)*(GMW!$NF$2:$NF$60=AE$1),0),$F52-1966)</f>
        <v>261.26589999999999</v>
      </c>
      <c r="AF52" s="4" cm="1">
        <f t="array" ref="AF52">INDEX(GMW!$A$2:$NF$60,MATCH(1,(GMW!$NE$2:$NE$60=AF$3)*(GMW!$ND$2:$ND$60=AF$4)*(GMW!$NF$2:$NF$60=AF$1),0),$F52-1966)</f>
        <v>173.58</v>
      </c>
      <c r="AG52" s="4" cm="1">
        <f t="array" ref="AG52">INDEX(GMW!$A$2:$NF$60,MATCH(1,(GMW!$NE$2:$NE$60=AG$3)*(GMW!$ND$2:$ND$60=AG$4)*(GMW!$NF$2:$NF$60=AG$1),0),$F52-1966)</f>
        <v>100.709</v>
      </c>
      <c r="AH52" s="4" cm="1">
        <f t="array" ref="AH52">INDEX(GMW!$A$2:$NF$60,MATCH(1,(GMW!$NE$2:$NE$60=AH$3)*(GMW!$ND$2:$ND$60=AH$4)*(GMW!$NF$2:$NF$60=AH$1),0),$F52-1966)</f>
        <v>114888</v>
      </c>
    </row>
    <row r="53" spans="1:34" x14ac:dyDescent="0.25">
      <c r="B53" s="4">
        <f t="shared" si="15"/>
        <v>1984</v>
      </c>
      <c r="C53" s="4">
        <f t="shared" si="15"/>
        <v>1984</v>
      </c>
      <c r="F53" s="4">
        <f t="shared" si="17"/>
        <v>2019</v>
      </c>
      <c r="G53" s="4" cm="1">
        <f t="array" ref="G53">INDEX(GMW!$A$2:$NF$60,MATCH(1,(GMW!$NE$2:$NE$60=G$3)*(GMW!$ND$2:$ND$60=G$4)*(GMW!$NF$2:$NF$60=G$1),0),$F53-1966)</f>
        <v>284676</v>
      </c>
      <c r="H53" s="4" cm="1">
        <f t="array" ref="H53">INDEX(GMW!$A$2:$NF$60,MATCH(1,(GMW!$NE$2:$NE$60=H$3)*(GMW!$ND$2:$ND$60=H$4)*(GMW!$NF$2:$NF$60=H$1),0),$F53-1966)</f>
        <v>2063.125</v>
      </c>
      <c r="I53" s="4" cm="1">
        <f t="array" ref="I53">INDEX(GMW!$A$2:$NF$60,MATCH(1,(GMW!$NE$2:$NE$60=I$3)*(GMW!$ND$2:$ND$60=I$4)*(GMW!$NF$2:$NF$60=I$1),0),$F53-1966)</f>
        <v>80246.33</v>
      </c>
      <c r="J53" s="4" cm="1">
        <f t="array" ref="J53">INDEX(GMW!$A$2:$NF$60,MATCH(1,(GMW!$NE$2:$NE$60=J$3)*(GMW!$ND$2:$ND$60=J$4)*(GMW!$NF$2:$NF$60=J$1),0),$F53-1966)</f>
        <v>482.9</v>
      </c>
      <c r="K53" s="4" cm="1">
        <f t="array" ref="K53">INDEX(GMW!$A$2:$NF$60,MATCH(1,(GMW!$NE$2:$NE$60=K$3)*(GMW!$ND$2:$ND$60=K$4)*(GMW!$NF$2:$NF$60=K$1),0),$F53-1966)</f>
        <v>327.77699999999999</v>
      </c>
      <c r="L53" s="4" cm="1">
        <f t="array" ref="L53">INDEX(GMW!$A$2:$NF$60,MATCH(1,(GMW!$NE$2:$NE$60=L$3)*(GMW!$ND$2:$ND$60=L$4)*(GMW!$NF$2:$NF$60=L$1),0),$F53-1966)</f>
        <v>316.40699999999998</v>
      </c>
      <c r="M53" s="4" cm="1">
        <f t="array" ref="M53">INDEX(GMW!$A$2:$NF$60,MATCH(1,(GMW!$NE$2:$NE$60=M$3)*(GMW!$ND$2:$ND$60=M$4)*(GMW!$NF$2:$NF$60=M$1),0),$F53-1966)</f>
        <v>243979.8</v>
      </c>
      <c r="N53" s="4" cm="1">
        <f t="array" ref="N53">INDEX(GMW!$A$2:$NF$60,MATCH(1,(GMW!$NE$2:$NE$60=N$3)*(GMW!$ND$2:$ND$60=N$4)*(GMW!$NF$2:$NF$60=N$1),0),$F53-1966)</f>
        <v>-2934</v>
      </c>
      <c r="O53" s="4" cm="1">
        <f t="array" ref="O53">INDEX(GMW!$A$2:$NF$60,MATCH(1,(GMW!$NE$2:$NE$60=O$3)*(GMW!$ND$2:$ND$60=O$4)*(GMW!$NF$2:$NF$60=O$1),0),$F53-1966)</f>
        <v>-63.138500000000001</v>
      </c>
      <c r="P53" s="4" cm="1">
        <f t="array" ref="P53">INDEX(GMW!$A$2:$NF$60,MATCH(1,(GMW!$NE$2:$NE$60=P$3)*(GMW!$ND$2:$ND$60=P$4)*(GMW!$NF$2:$NF$60=P$1),0),$F53-1966)</f>
        <v>-1735.5</v>
      </c>
      <c r="Q53" s="4" cm="1">
        <f t="array" ref="Q53">INDEX(GMW!$A$2:$NF$60,MATCH(1,(GMW!$NE$2:$NE$60=Q$3)*(GMW!$ND$2:$ND$60=Q$4)*(GMW!$NF$2:$NF$60=Q$1),0),$F53-1966)</f>
        <v>-16.687100000000001</v>
      </c>
      <c r="R53" s="4" cm="1">
        <f t="array" ref="R53">INDEX(GMW!$A$2:$NF$60,MATCH(1,(GMW!$NE$2:$NE$60=R$3)*(GMW!$ND$2:$ND$60=R$4)*(GMW!$NF$2:$NF$60=R$1),0),$F53-1966)</f>
        <v>-5.5339999999999998</v>
      </c>
      <c r="S53" s="4" cm="1">
        <f t="array" ref="S53">INDEX(GMW!$A$2:$NF$60,MATCH(1,(GMW!$NE$2:$NE$60=S$3)*(GMW!$ND$2:$ND$60=S$4)*(GMW!$NF$2:$NF$60=S$1),0),$F53-1966)</f>
        <v>-11.54898</v>
      </c>
      <c r="T53" s="4" cm="1">
        <f t="array" ref="T53">INDEX(GMW!$A$2:$NF$60,MATCH(1,(GMW!$NE$2:$NE$60=T$3)*(GMW!$ND$2:$ND$60=T$4)*(GMW!$NF$2:$NF$60=T$1),0),$F53-1966)</f>
        <v>-8506</v>
      </c>
      <c r="U53" s="4" cm="1">
        <f t="array" ref="U53">INDEX(GMW!$A$2:$NF$60,MATCH(1,(GMW!$NE$2:$NE$60=U$3)*(GMW!$ND$2:$ND$60=U$4)*(GMW!$NF$2:$NF$60=U$1),0),$F53-1966)</f>
        <v>160815</v>
      </c>
      <c r="V53" s="4" cm="1">
        <f t="array" ref="V53">INDEX(GMW!$A$2:$NF$60,MATCH(1,(GMW!$NE$2:$NE$60=V$3)*(GMW!$ND$2:$ND$60=V$4)*(GMW!$NF$2:$NF$60=V$1),0),$F53-1966)</f>
        <v>3037.3420000000001</v>
      </c>
      <c r="W53" s="4" cm="1">
        <f t="array" ref="W53">INDEX(GMW!$A$2:$NF$60,MATCH(1,(GMW!$NE$2:$NE$60=W$3)*(GMW!$ND$2:$ND$60=W$4)*(GMW!$NF$2:$NF$60=W$1),0),$F53-1966)</f>
        <v>203716</v>
      </c>
      <c r="X53" s="4" cm="1">
        <f t="array" ref="X53">INDEX(GMW!$A$2:$NF$60,MATCH(1,(GMW!$NE$2:$NE$60=X$3)*(GMW!$ND$2:$ND$60=X$4)*(GMW!$NF$2:$NF$60=X$1),0),$F53-1966)</f>
        <v>364.12509999999997</v>
      </c>
      <c r="Y53" s="4" cm="1">
        <f t="array" ref="Y53">INDEX(GMW!$A$2:$NF$60,MATCH(1,(GMW!$NE$2:$NE$60=Y$3)*(GMW!$ND$2:$ND$60=Y$4)*(GMW!$NF$2:$NF$60=Y$1),0),$F53-1966)</f>
        <v>233.279</v>
      </c>
      <c r="Z53" s="4" cm="1">
        <f t="array" ref="Z53">INDEX(GMW!$A$2:$NF$60,MATCH(1,(GMW!$NE$2:$NE$60=Z$3)*(GMW!$ND$2:$ND$60=Z$4)*(GMW!$NF$2:$NF$60=Z$1),0),$F53-1966)</f>
        <v>306.3272</v>
      </c>
      <c r="AA53" s="4" cm="1">
        <f t="array" ref="AA53">INDEX(GMW!$A$2:$NF$60,MATCH(1,(GMW!$NE$2:$NE$60=AA$3)*(GMW!$ND$2:$ND$60=AA$4)*(GMW!$NF$2:$NF$60=AA$1),0),$F53-1966)</f>
        <v>280971</v>
      </c>
      <c r="AB53" s="4" cm="1">
        <f t="array" ref="AB53">INDEX(GMW!$A$2:$NF$60,MATCH(1,(GMW!$NE$2:$NE$60=AB$3)*(GMW!$ND$2:$ND$60=AB$4)*(GMW!$NF$2:$NF$60=AB$1),0),$F53-1966)</f>
        <v>94862</v>
      </c>
      <c r="AC53" s="4" cm="1">
        <f t="array" ref="AC53">INDEX(GMW!$A$2:$NF$60,MATCH(1,(GMW!$NE$2:$NE$60=AC$3)*(GMW!$ND$2:$ND$60=AC$4)*(GMW!$NF$2:$NF$60=AC$1),0),$F53-1966)</f>
        <v>1021.075</v>
      </c>
      <c r="AD53" s="4" cm="1">
        <f t="array" ref="AD53">INDEX(GMW!$A$2:$NF$60,MATCH(1,(GMW!$NE$2:$NE$60=AD$3)*(GMW!$ND$2:$ND$60=AD$4)*(GMW!$NF$2:$NF$60=AD$1),0),$F53-1966)</f>
        <v>80630.67</v>
      </c>
      <c r="AE53" s="4" cm="1">
        <f t="array" ref="AE53">INDEX(GMW!$A$2:$NF$60,MATCH(1,(GMW!$NE$2:$NE$60=AE$3)*(GMW!$ND$2:$ND$60=AE$4)*(GMW!$NF$2:$NF$60=AE$1),0),$F53-1966)</f>
        <v>269.4273</v>
      </c>
      <c r="AF53" s="4" cm="1">
        <f t="array" ref="AF53">INDEX(GMW!$A$2:$NF$60,MATCH(1,(GMW!$NE$2:$NE$60=AF$3)*(GMW!$ND$2:$ND$60=AF$4)*(GMW!$NF$2:$NF$60=AF$1),0),$F53-1966)</f>
        <v>176.904</v>
      </c>
      <c r="AG53" s="4" cm="1">
        <f t="array" ref="AG53">INDEX(GMW!$A$2:$NF$60,MATCH(1,(GMW!$NE$2:$NE$60=AG$3)*(GMW!$ND$2:$ND$60=AG$4)*(GMW!$NF$2:$NF$60=AG$1),0),$F53-1966)</f>
        <v>103.68600000000001</v>
      </c>
      <c r="AH53" s="4" cm="1">
        <f t="array" ref="AH53">INDEX(GMW!$A$2:$NF$60,MATCH(1,(GMW!$NE$2:$NE$60=AH$3)*(GMW!$ND$2:$ND$60=AH$4)*(GMW!$NF$2:$NF$60=AH$1),0),$F53-1966)</f>
        <v>116295</v>
      </c>
    </row>
    <row r="54" spans="1:34" x14ac:dyDescent="0.25">
      <c r="B54" s="4">
        <f t="shared" si="15"/>
        <v>1984</v>
      </c>
      <c r="C54" s="4">
        <f t="shared" si="15"/>
        <v>1984</v>
      </c>
      <c r="E54" s="4">
        <f t="shared" ref="E54" si="19">+E50+1</f>
        <v>1984</v>
      </c>
      <c r="F54" s="4">
        <f t="shared" si="17"/>
        <v>2020</v>
      </c>
      <c r="G54" s="4" cm="1">
        <f t="array" ref="G54">INDEX(GMW!$A$2:$NF$60,MATCH(1,(GMW!$NE$2:$NE$60=G$3)*(GMW!$ND$2:$ND$60=G$4)*(GMW!$NF$2:$NF$60=G$1),0),$F54-1966)</f>
        <v>289829</v>
      </c>
      <c r="H54" s="4" cm="1">
        <f t="array" ref="H54">INDEX(GMW!$A$2:$NF$60,MATCH(1,(GMW!$NE$2:$NE$60=H$3)*(GMW!$ND$2:$ND$60=H$4)*(GMW!$NF$2:$NF$60=H$1),0),$F54-1966)</f>
        <v>2080.0500000000002</v>
      </c>
      <c r="I54" s="4" cm="1">
        <f t="array" ref="I54">INDEX(GMW!$A$2:$NF$60,MATCH(1,(GMW!$NE$2:$NE$60=I$3)*(GMW!$ND$2:$ND$60=I$4)*(GMW!$NF$2:$NF$60=I$1),0),$F54-1966)</f>
        <v>80542.25</v>
      </c>
      <c r="J54" s="4" cm="1">
        <f t="array" ref="J54">INDEX(GMW!$A$2:$NF$60,MATCH(1,(GMW!$NE$2:$NE$60=J$3)*(GMW!$ND$2:$ND$60=J$4)*(GMW!$NF$2:$NF$60=J$1),0),$F54-1966)</f>
        <v>486.95</v>
      </c>
      <c r="K54" s="4" cm="1">
        <f t="array" ref="K54">INDEX(GMW!$A$2:$NF$60,MATCH(1,(GMW!$NE$2:$NE$60=K$3)*(GMW!$ND$2:$ND$60=K$4)*(GMW!$NF$2:$NF$60=K$1),0),$F54-1966)</f>
        <v>327.47500000000002</v>
      </c>
      <c r="L54" s="4" cm="1">
        <f t="array" ref="L54">INDEX(GMW!$A$2:$NF$60,MATCH(1,(GMW!$NE$2:$NE$60=L$3)*(GMW!$ND$2:$ND$60=L$4)*(GMW!$NF$2:$NF$60=L$1),0),$F54-1966)</f>
        <v>316.45800000000003</v>
      </c>
      <c r="M54" s="4" cm="1">
        <f t="array" ref="M54">INDEX(GMW!$A$2:$NF$60,MATCH(1,(GMW!$NE$2:$NE$60=M$3)*(GMW!$ND$2:$ND$60=M$4)*(GMW!$NF$2:$NF$60=M$1),0),$F54-1966)</f>
        <v>247787.5</v>
      </c>
      <c r="N54" s="4" cm="1">
        <f t="array" ref="N54">INDEX(GMW!$A$2:$NF$60,MATCH(1,(GMW!$NE$2:$NE$60=N$3)*(GMW!$ND$2:$ND$60=N$4)*(GMW!$NF$2:$NF$60=N$1),0),$F54-1966)</f>
        <v>-1815</v>
      </c>
      <c r="O54" s="4" cm="1">
        <f t="array" ref="O54">INDEX(GMW!$A$2:$NF$60,MATCH(1,(GMW!$NE$2:$NE$60=O$3)*(GMW!$ND$2:$ND$60=O$4)*(GMW!$NF$2:$NF$60=O$1),0),$F54-1966)</f>
        <v>-67.535749999999993</v>
      </c>
      <c r="P54" s="4" cm="1">
        <f t="array" ref="P54">INDEX(GMW!$A$2:$NF$60,MATCH(1,(GMW!$NE$2:$NE$60=P$3)*(GMW!$ND$2:$ND$60=P$4)*(GMW!$NF$2:$NF$60=P$1),0),$F54-1966)</f>
        <v>-1315</v>
      </c>
      <c r="Q54" s="4" cm="1">
        <f t="array" ref="Q54">INDEX(GMW!$A$2:$NF$60,MATCH(1,(GMW!$NE$2:$NE$60=Q$3)*(GMW!$ND$2:$ND$60=Q$4)*(GMW!$NF$2:$NF$60=Q$1),0),$F54-1966)</f>
        <v>-16.687100000000001</v>
      </c>
      <c r="R54" s="4" cm="1">
        <f t="array" ref="R54">INDEX(GMW!$A$2:$NF$60,MATCH(1,(GMW!$NE$2:$NE$60=R$3)*(GMW!$ND$2:$ND$60=R$4)*(GMW!$NF$2:$NF$60=R$1),0),$F54-1966)</f>
        <v>-4.7789999999999999</v>
      </c>
      <c r="S54" s="4" cm="1">
        <f t="array" ref="S54">INDEX(GMW!$A$2:$NF$60,MATCH(1,(GMW!$NE$2:$NE$60=S$3)*(GMW!$ND$2:$ND$60=S$4)*(GMW!$NF$2:$NF$60=S$1),0),$F54-1966)</f>
        <v>-12.22724</v>
      </c>
      <c r="T54" s="4" cm="1">
        <f t="array" ref="T54">INDEX(GMW!$A$2:$NF$60,MATCH(1,(GMW!$NE$2:$NE$60=T$3)*(GMW!$ND$2:$ND$60=T$4)*(GMW!$NF$2:$NF$60=T$1),0),$F54-1966)</f>
        <v>-8775.9989999999998</v>
      </c>
      <c r="U54" s="4" cm="1">
        <f t="array" ref="U54">INDEX(GMW!$A$2:$NF$60,MATCH(1,(GMW!$NE$2:$NE$60=U$3)*(GMW!$ND$2:$ND$60=U$4)*(GMW!$NF$2:$NF$60=U$1),0),$F54-1966)</f>
        <v>163648.5</v>
      </c>
      <c r="V54" s="4" cm="1">
        <f t="array" ref="V54">INDEX(GMW!$A$2:$NF$60,MATCH(1,(GMW!$NE$2:$NE$60=V$3)*(GMW!$ND$2:$ND$60=V$4)*(GMW!$NF$2:$NF$60=V$1),0),$F54-1966)</f>
        <v>3127.6509999999998</v>
      </c>
      <c r="W54" s="4" cm="1">
        <f t="array" ref="W54">INDEX(GMW!$A$2:$NF$60,MATCH(1,(GMW!$NE$2:$NE$60=W$3)*(GMW!$ND$2:$ND$60=W$4)*(GMW!$NF$2:$NF$60=W$1),0),$F54-1966)</f>
        <v>208326</v>
      </c>
      <c r="X54" s="4" cm="1">
        <f t="array" ref="X54">INDEX(GMW!$A$2:$NF$60,MATCH(1,(GMW!$NE$2:$NE$60=X$3)*(GMW!$ND$2:$ND$60=X$4)*(GMW!$NF$2:$NF$60=X$1),0),$F54-1966)</f>
        <v>369.34899999999999</v>
      </c>
      <c r="Y54" s="4" cm="1">
        <f t="array" ref="Y54">INDEX(GMW!$A$2:$NF$60,MATCH(1,(GMW!$NE$2:$NE$60=Y$3)*(GMW!$ND$2:$ND$60=Y$4)*(GMW!$NF$2:$NF$60=Y$1),0),$F54-1966)</f>
        <v>240.8142</v>
      </c>
      <c r="Z54" s="4" cm="1">
        <f t="array" ref="Z54">INDEX(GMW!$A$2:$NF$60,MATCH(1,(GMW!$NE$2:$NE$60=Z$3)*(GMW!$ND$2:$ND$60=Z$4)*(GMW!$NF$2:$NF$60=Z$1),0),$F54-1966)</f>
        <v>318.72699999999998</v>
      </c>
      <c r="AA54" s="4" cm="1">
        <f t="array" ref="AA54">INDEX(GMW!$A$2:$NF$60,MATCH(1,(GMW!$NE$2:$NE$60=AA$3)*(GMW!$ND$2:$ND$60=AA$4)*(GMW!$NF$2:$NF$60=AA$1),0),$F54-1966)</f>
        <v>290671</v>
      </c>
      <c r="AB54" s="4" cm="1">
        <f t="array" ref="AB54">INDEX(GMW!$A$2:$NF$60,MATCH(1,(GMW!$NE$2:$NE$60=AB$3)*(GMW!$ND$2:$ND$60=AB$4)*(GMW!$NF$2:$NF$60=AB$1),0),$F54-1966)</f>
        <v>97962</v>
      </c>
      <c r="AC54" s="4" cm="1">
        <f t="array" ref="AC54">INDEX(GMW!$A$2:$NF$60,MATCH(1,(GMW!$NE$2:$NE$60=AC$3)*(GMW!$ND$2:$ND$60=AC$4)*(GMW!$NF$2:$NF$60=AC$1),0),$F54-1966)</f>
        <v>1037.1500000000001</v>
      </c>
      <c r="AD54" s="4" cm="1">
        <f t="array" ref="AD54">INDEX(GMW!$A$2:$NF$60,MATCH(1,(GMW!$NE$2:$NE$60=AD$3)*(GMW!$ND$2:$ND$60=AD$4)*(GMW!$NF$2:$NF$60=AD$1),0),$F54-1966)</f>
        <v>81410.850000000006</v>
      </c>
      <c r="AE54" s="4" cm="1">
        <f t="array" ref="AE54">INDEX(GMW!$A$2:$NF$60,MATCH(1,(GMW!$NE$2:$NE$60=AE$3)*(GMW!$ND$2:$ND$60=AE$4)*(GMW!$NF$2:$NF$60=AE$1),0),$F54-1966)</f>
        <v>274.41000000000003</v>
      </c>
      <c r="AF54" s="4" cm="1">
        <f t="array" ref="AF54">INDEX(GMW!$A$2:$NF$60,MATCH(1,(GMW!$NE$2:$NE$60=AF$3)*(GMW!$ND$2:$ND$60=AF$4)*(GMW!$NF$2:$NF$60=AF$1),0),$F54-1966)</f>
        <v>178.51499999999999</v>
      </c>
      <c r="AG54" s="4" cm="1">
        <f t="array" ref="AG54">INDEX(GMW!$A$2:$NF$60,MATCH(1,(GMW!$NE$2:$NE$60=AG$3)*(GMW!$ND$2:$ND$60=AG$4)*(GMW!$NF$2:$NF$60=AG$1),0),$F54-1966)</f>
        <v>106.10299999999999</v>
      </c>
      <c r="AH54" s="4" cm="1">
        <f t="array" ref="AH54">INDEX(GMW!$A$2:$NF$60,MATCH(1,(GMW!$NE$2:$NE$60=AH$3)*(GMW!$ND$2:$ND$60=AH$4)*(GMW!$NF$2:$NF$60=AH$1),0),$F54-1966)</f>
        <v>118843</v>
      </c>
    </row>
    <row r="55" spans="1:34" x14ac:dyDescent="0.25">
      <c r="A55" s="4">
        <v>1985</v>
      </c>
      <c r="B55" s="4">
        <f t="shared" si="15"/>
        <v>1985</v>
      </c>
      <c r="C55" s="4">
        <f t="shared" si="15"/>
        <v>1984</v>
      </c>
      <c r="D55" s="4">
        <f t="shared" si="15"/>
        <v>1984</v>
      </c>
      <c r="F55" s="4">
        <f t="shared" si="17"/>
        <v>2021</v>
      </c>
      <c r="G55" s="4" cm="1">
        <f t="array" ref="G55">INDEX(GMW!$A$2:$NF$60,MATCH(1,(GMW!$NE$2:$NE$60=G$3)*(GMW!$ND$2:$ND$60=G$4)*(GMW!$NF$2:$NF$60=G$1),0),$F55-1966)</f>
        <v>292612</v>
      </c>
      <c r="H55" s="4" cm="1">
        <f t="array" ref="H55">INDEX(GMW!$A$2:$NF$60,MATCH(1,(GMW!$NE$2:$NE$60=H$3)*(GMW!$ND$2:$ND$60=H$4)*(GMW!$NF$2:$NF$60=H$1),0),$F55-1966)</f>
        <v>2100.1999999999998</v>
      </c>
      <c r="I55" s="4" cm="1">
        <f t="array" ref="I55">INDEX(GMW!$A$2:$NF$60,MATCH(1,(GMW!$NE$2:$NE$60=I$3)*(GMW!$ND$2:$ND$60=I$4)*(GMW!$NF$2:$NF$60=I$1),0),$F55-1966)</f>
        <v>81627.42</v>
      </c>
      <c r="J55" s="4" cm="1">
        <f t="array" ref="J55">INDEX(GMW!$A$2:$NF$60,MATCH(1,(GMW!$NE$2:$NE$60=J$3)*(GMW!$ND$2:$ND$60=J$4)*(GMW!$NF$2:$NF$60=J$1),0),$F55-1966)</f>
        <v>484.39</v>
      </c>
      <c r="K55" s="4" cm="1">
        <f t="array" ref="K55">INDEX(GMW!$A$2:$NF$60,MATCH(1,(GMW!$NE$2:$NE$60=K$3)*(GMW!$ND$2:$ND$60=K$4)*(GMW!$NF$2:$NF$60=K$1),0),$F55-1966)</f>
        <v>328.29599999999999</v>
      </c>
      <c r="L55" s="4" cm="1">
        <f t="array" ref="L55">INDEX(GMW!$A$2:$NF$60,MATCH(1,(GMW!$NE$2:$NE$60=L$3)*(GMW!$ND$2:$ND$60=L$4)*(GMW!$NF$2:$NF$60=L$1),0),$F55-1966)</f>
        <v>318.26499999999999</v>
      </c>
      <c r="M55" s="4" cm="1">
        <f t="array" ref="M55">INDEX(GMW!$A$2:$NF$60,MATCH(1,(GMW!$NE$2:$NE$60=M$3)*(GMW!$ND$2:$ND$60=M$4)*(GMW!$NF$2:$NF$60=M$1),0),$F55-1966)</f>
        <v>251594.5</v>
      </c>
      <c r="N55" s="4" cm="1">
        <f t="array" ref="N55">INDEX(GMW!$A$2:$NF$60,MATCH(1,(GMW!$NE$2:$NE$60=N$3)*(GMW!$ND$2:$ND$60=N$4)*(GMW!$NF$2:$NF$60=N$1),0),$F55-1966)</f>
        <v>-2859</v>
      </c>
      <c r="O55" s="4" cm="1">
        <f t="array" ref="O55">INDEX(GMW!$A$2:$NF$60,MATCH(1,(GMW!$NE$2:$NE$60=O$3)*(GMW!$ND$2:$ND$60=O$4)*(GMW!$NF$2:$NF$60=O$1),0),$F55-1966)</f>
        <v>-57.966500000000003</v>
      </c>
      <c r="P55" s="4" cm="1">
        <f t="array" ref="P55">INDEX(GMW!$A$2:$NF$60,MATCH(1,(GMW!$NE$2:$NE$60=P$3)*(GMW!$ND$2:$ND$60=P$4)*(GMW!$NF$2:$NF$60=P$1),0),$F55-1966)</f>
        <v>-890.5</v>
      </c>
      <c r="Q55" s="4" cm="1">
        <f t="array" ref="Q55">INDEX(GMW!$A$2:$NF$60,MATCH(1,(GMW!$NE$2:$NE$60=Q$3)*(GMW!$ND$2:$ND$60=Q$4)*(GMW!$NF$2:$NF$60=Q$1),0),$F55-1966)</f>
        <v>-20.746320000000001</v>
      </c>
      <c r="R55" s="4" cm="1">
        <f t="array" ref="R55">INDEX(GMW!$A$2:$NF$60,MATCH(1,(GMW!$NE$2:$NE$60=R$3)*(GMW!$ND$2:$ND$60=R$4)*(GMW!$NF$2:$NF$60=R$1),0),$F55-1966)</f>
        <v>-4.2699999999999996</v>
      </c>
      <c r="S55" s="4" cm="1">
        <f t="array" ref="S55">INDEX(GMW!$A$2:$NF$60,MATCH(1,(GMW!$NE$2:$NE$60=S$3)*(GMW!$ND$2:$ND$60=S$4)*(GMW!$NF$2:$NF$60=S$1),0),$F55-1966)</f>
        <v>-12.917820000000001</v>
      </c>
      <c r="T55" s="4" cm="1">
        <f t="array" ref="T55">INDEX(GMW!$A$2:$NF$60,MATCH(1,(GMW!$NE$2:$NE$60=T$3)*(GMW!$ND$2:$ND$60=T$4)*(GMW!$NF$2:$NF$60=T$1),0),$F55-1966)</f>
        <v>-9813</v>
      </c>
      <c r="U55" s="4" cm="1">
        <f t="array" ref="U55">INDEX(GMW!$A$2:$NF$60,MATCH(1,(GMW!$NE$2:$NE$60=U$3)*(GMW!$ND$2:$ND$60=U$4)*(GMW!$NF$2:$NF$60=U$1),0),$F55-1966)</f>
        <v>166482</v>
      </c>
      <c r="V55" s="4" cm="1">
        <f t="array" ref="V55">INDEX(GMW!$A$2:$NF$60,MATCH(1,(GMW!$NE$2:$NE$60=V$3)*(GMW!$ND$2:$ND$60=V$4)*(GMW!$NF$2:$NF$60=V$1),0),$F55-1966)</f>
        <v>3208.2339999999999</v>
      </c>
      <c r="W55" s="4" cm="1">
        <f t="array" ref="W55">INDEX(GMW!$A$2:$NF$60,MATCH(1,(GMW!$NE$2:$NE$60=W$3)*(GMW!$ND$2:$ND$60=W$4)*(GMW!$NF$2:$NF$60=W$1),0),$F55-1966)</f>
        <v>214134</v>
      </c>
      <c r="X55" s="4" cm="1">
        <f t="array" ref="X55">INDEX(GMW!$A$2:$NF$60,MATCH(1,(GMW!$NE$2:$NE$60=X$3)*(GMW!$ND$2:$ND$60=X$4)*(GMW!$NF$2:$NF$60=X$1),0),$F55-1966)</f>
        <v>374.64330000000001</v>
      </c>
      <c r="Y55" s="4" cm="1">
        <f t="array" ref="Y55">INDEX(GMW!$A$2:$NF$60,MATCH(1,(GMW!$NE$2:$NE$60=Y$3)*(GMW!$ND$2:$ND$60=Y$4)*(GMW!$NF$2:$NF$60=Y$1),0),$F55-1966)</f>
        <v>248.05199999999999</v>
      </c>
      <c r="Z55" s="4" cm="1">
        <f t="array" ref="Z55">INDEX(GMW!$A$2:$NF$60,MATCH(1,(GMW!$NE$2:$NE$60=Z$3)*(GMW!$ND$2:$ND$60=Z$4)*(GMW!$NF$2:$NF$60=Z$1),0),$F55-1966)</f>
        <v>335.613</v>
      </c>
      <c r="AA55" s="4" cm="1">
        <f t="array" ref="AA55">INDEX(GMW!$A$2:$NF$60,MATCH(1,(GMW!$NE$2:$NE$60=AA$3)*(GMW!$ND$2:$ND$60=AA$4)*(GMW!$NF$2:$NF$60=AA$1),0),$F55-1966)</f>
        <v>303125</v>
      </c>
      <c r="AB55" s="4" cm="1">
        <f t="array" ref="AB55">INDEX(GMW!$A$2:$NF$60,MATCH(1,(GMW!$NE$2:$NE$60=AB$3)*(GMW!$ND$2:$ND$60=AB$4)*(GMW!$NF$2:$NF$60=AB$1),0),$F55-1966)</f>
        <v>99412</v>
      </c>
      <c r="AC55" s="4" cm="1">
        <f t="array" ref="AC55">INDEX(GMW!$A$2:$NF$60,MATCH(1,(GMW!$NE$2:$NE$60=AC$3)*(GMW!$ND$2:$ND$60=AC$4)*(GMW!$NF$2:$NF$60=AC$1),0),$F55-1966)</f>
        <v>1057.55</v>
      </c>
      <c r="AD55" s="4" cm="1">
        <f t="array" ref="AD55">INDEX(GMW!$A$2:$NF$60,MATCH(1,(GMW!$NE$2:$NE$60=AD$3)*(GMW!$ND$2:$ND$60=AD$4)*(GMW!$NF$2:$NF$60=AD$1),0),$F55-1966)</f>
        <v>82806.080000000002</v>
      </c>
      <c r="AE55" s="4" cm="1">
        <f t="array" ref="AE55">INDEX(GMW!$A$2:$NF$60,MATCH(1,(GMW!$NE$2:$NE$60=AE$3)*(GMW!$ND$2:$ND$60=AE$4)*(GMW!$NF$2:$NF$60=AE$1),0),$F55-1966)</f>
        <v>274.75099999999998</v>
      </c>
      <c r="AF55" s="4" cm="1">
        <f t="array" ref="AF55">INDEX(GMW!$A$2:$NF$60,MATCH(1,(GMW!$NE$2:$NE$60=AF$3)*(GMW!$ND$2:$ND$60=AF$4)*(GMW!$NF$2:$NF$60=AF$1),0),$F55-1966)</f>
        <v>181.874</v>
      </c>
      <c r="AG55" s="4" cm="1">
        <f t="array" ref="AG55">INDEX(GMW!$A$2:$NF$60,MATCH(1,(GMW!$NE$2:$NE$60=AG$3)*(GMW!$ND$2:$ND$60=AG$4)*(GMW!$NF$2:$NF$60=AG$1),0),$F55-1966)</f>
        <v>109.245</v>
      </c>
      <c r="AH55" s="4" cm="1">
        <f t="array" ref="AH55">INDEX(GMW!$A$2:$NF$60,MATCH(1,(GMW!$NE$2:$NE$60=AH$3)*(GMW!$ND$2:$ND$60=AH$4)*(GMW!$NF$2:$NF$60=AH$1),0),$F55-1966)</f>
        <v>121524</v>
      </c>
    </row>
    <row r="56" spans="1:34" x14ac:dyDescent="0.25">
      <c r="B56" s="4">
        <f t="shared" si="15"/>
        <v>1985</v>
      </c>
      <c r="C56" s="4">
        <f t="shared" si="15"/>
        <v>1985</v>
      </c>
      <c r="F56" s="4">
        <f t="shared" si="17"/>
        <v>2022</v>
      </c>
      <c r="G56" s="4" cm="1">
        <f t="array" ref="G56">INDEX(GMW!$A$2:$NF$60,MATCH(1,(GMW!$NE$2:$NE$60=G$3)*(GMW!$ND$2:$ND$60=G$4)*(GMW!$NF$2:$NF$60=G$1),0),$F56-1966)</f>
        <v>298873</v>
      </c>
      <c r="H56" s="4" cm="1">
        <f t="array" ref="H56">INDEX(GMW!$A$2:$NF$60,MATCH(1,(GMW!$NE$2:$NE$60=H$3)*(GMW!$ND$2:$ND$60=H$4)*(GMW!$NF$2:$NF$60=H$1),0),$F56-1966)</f>
        <v>2118.6999999999998</v>
      </c>
      <c r="I56" s="4" cm="1">
        <f t="array" ref="I56">INDEX(GMW!$A$2:$NF$60,MATCH(1,(GMW!$NE$2:$NE$60=I$3)*(GMW!$ND$2:$ND$60=I$4)*(GMW!$NF$2:$NF$60=I$1),0),$F56-1966)</f>
        <v>83146.850000000006</v>
      </c>
      <c r="J56" s="4" cm="1">
        <f t="array" ref="J56">INDEX(GMW!$A$2:$NF$60,MATCH(1,(GMW!$NE$2:$NE$60=J$3)*(GMW!$ND$2:$ND$60=J$4)*(GMW!$NF$2:$NF$60=J$1),0),$F56-1966)</f>
        <v>489.11</v>
      </c>
      <c r="K56" s="4" cm="1">
        <f t="array" ref="K56">INDEX(GMW!$A$2:$NF$60,MATCH(1,(GMW!$NE$2:$NE$60=K$3)*(GMW!$ND$2:$ND$60=K$4)*(GMW!$NF$2:$NF$60=K$1),0),$F56-1966)</f>
        <v>331.02699999999999</v>
      </c>
      <c r="L56" s="4" cm="1">
        <f t="array" ref="L56">INDEX(GMW!$A$2:$NF$60,MATCH(1,(GMW!$NE$2:$NE$60=L$3)*(GMW!$ND$2:$ND$60=L$4)*(GMW!$NF$2:$NF$60=L$1),0),$F56-1966)</f>
        <v>322.471</v>
      </c>
      <c r="M56" s="4" cm="1">
        <f t="array" ref="M56">INDEX(GMW!$A$2:$NF$60,MATCH(1,(GMW!$NE$2:$NE$60=M$3)*(GMW!$ND$2:$ND$60=M$4)*(GMW!$NF$2:$NF$60=M$1),0),$F56-1966)</f>
        <v>252403.8</v>
      </c>
      <c r="N56" s="4" cm="1">
        <f t="array" ref="N56">INDEX(GMW!$A$2:$NF$60,MATCH(1,(GMW!$NE$2:$NE$60=N$3)*(GMW!$ND$2:$ND$60=N$4)*(GMW!$NF$2:$NF$60=N$1),0),$F56-1966)</f>
        <v>-4910</v>
      </c>
      <c r="O56" s="4" cm="1">
        <f t="array" ref="O56">INDEX(GMW!$A$2:$NF$60,MATCH(1,(GMW!$NE$2:$NE$60=O$3)*(GMW!$ND$2:$ND$60=O$4)*(GMW!$NF$2:$NF$60=O$1),0),$F56-1966)</f>
        <v>-72.866</v>
      </c>
      <c r="P56" s="4" cm="1">
        <f t="array" ref="P56">INDEX(GMW!$A$2:$NF$60,MATCH(1,(GMW!$NE$2:$NE$60=P$3)*(GMW!$ND$2:$ND$60=P$4)*(GMW!$NF$2:$NF$60=P$1),0),$F56-1966)</f>
        <v>-1046.75</v>
      </c>
      <c r="Q56" s="4" cm="1">
        <f t="array" ref="Q56">INDEX(GMW!$A$2:$NF$60,MATCH(1,(GMW!$NE$2:$NE$60=Q$3)*(GMW!$ND$2:$ND$60=Q$4)*(GMW!$NF$2:$NF$60=Q$1),0),$F56-1966)</f>
        <v>-20.746320000000001</v>
      </c>
      <c r="R56" s="4" cm="1">
        <f t="array" ref="R56">INDEX(GMW!$A$2:$NF$60,MATCH(1,(GMW!$NE$2:$NE$60=R$3)*(GMW!$ND$2:$ND$60=R$4)*(GMW!$NF$2:$NF$60=R$1),0),$F56-1966)</f>
        <v>-4.6120000000000001</v>
      </c>
      <c r="S56" s="4" cm="1">
        <f t="array" ref="S56">INDEX(GMW!$A$2:$NF$60,MATCH(1,(GMW!$NE$2:$NE$60=S$3)*(GMW!$ND$2:$ND$60=S$4)*(GMW!$NF$2:$NF$60=S$1),0),$F56-1966)</f>
        <v>-13.466850000000001</v>
      </c>
      <c r="T56" s="4" cm="1">
        <f t="array" ref="T56">INDEX(GMW!$A$2:$NF$60,MATCH(1,(GMW!$NE$2:$NE$60=T$3)*(GMW!$ND$2:$ND$60=T$4)*(GMW!$NF$2:$NF$60=T$1),0),$F56-1966)</f>
        <v>-10589</v>
      </c>
      <c r="U56" s="4" cm="1">
        <f t="array" ref="U56">INDEX(GMW!$A$2:$NF$60,MATCH(1,(GMW!$NE$2:$NE$60=U$3)*(GMW!$ND$2:$ND$60=U$4)*(GMW!$NF$2:$NF$60=U$1),0),$F56-1966)</f>
        <v>169682.3</v>
      </c>
      <c r="V56" s="4" cm="1">
        <f t="array" ref="V56">INDEX(GMW!$A$2:$NF$60,MATCH(1,(GMW!$NE$2:$NE$60=V$3)*(GMW!$ND$2:$ND$60=V$4)*(GMW!$NF$2:$NF$60=V$1),0),$F56-1966)</f>
        <v>3289.1579999999999</v>
      </c>
      <c r="W56" s="4" cm="1">
        <f t="array" ref="W56">INDEX(GMW!$A$2:$NF$60,MATCH(1,(GMW!$NE$2:$NE$60=W$3)*(GMW!$ND$2:$ND$60=W$4)*(GMW!$NF$2:$NF$60=W$1),0),$F56-1966)</f>
        <v>219942</v>
      </c>
      <c r="X56" s="4" cm="1">
        <f t="array" ref="X56">INDEX(GMW!$A$2:$NF$60,MATCH(1,(GMW!$NE$2:$NE$60=X$3)*(GMW!$ND$2:$ND$60=X$4)*(GMW!$NF$2:$NF$60=X$1),0),$F56-1966)</f>
        <v>380.07220000000001</v>
      </c>
      <c r="Y56" s="4" cm="1">
        <f t="array" ref="Y56">INDEX(GMW!$A$2:$NF$60,MATCH(1,(GMW!$NE$2:$NE$60=Y$3)*(GMW!$ND$2:$ND$60=Y$4)*(GMW!$NF$2:$NF$60=Y$1),0),$F56-1966)</f>
        <v>255.28970000000001</v>
      </c>
      <c r="Z56" s="4" cm="1">
        <f t="array" ref="Z56">INDEX(GMW!$A$2:$NF$60,MATCH(1,(GMW!$NE$2:$NE$60=Z$3)*(GMW!$ND$2:$ND$60=Z$4)*(GMW!$NF$2:$NF$60=Z$1),0),$F56-1966)</f>
        <v>352.49900000000002</v>
      </c>
      <c r="AA56" s="4" cm="1">
        <f t="array" ref="AA56">INDEX(GMW!$A$2:$NF$60,MATCH(1,(GMW!$NE$2:$NE$60=AA$3)*(GMW!$ND$2:$ND$60=AA$4)*(GMW!$NF$2:$NF$60=AA$1),0),$F56-1966)</f>
        <v>315579</v>
      </c>
      <c r="AB56" s="4" cm="1">
        <f t="array" ref="AB56">INDEX(GMW!$A$2:$NF$60,MATCH(1,(GMW!$NE$2:$NE$60=AB$3)*(GMW!$ND$2:$ND$60=AB$4)*(GMW!$NF$2:$NF$60=AB$1),0),$F56-1966)</f>
        <v>103208</v>
      </c>
      <c r="AC56" s="4" cm="1">
        <f t="array" ref="AC56">INDEX(GMW!$A$2:$NF$60,MATCH(1,(GMW!$NE$2:$NE$60=AC$3)*(GMW!$ND$2:$ND$60=AC$4)*(GMW!$NF$2:$NF$60=AC$1),0),$F56-1966)</f>
        <v>1073.7249999999999</v>
      </c>
      <c r="AD56" s="4" cm="1">
        <f t="array" ref="AD56">INDEX(GMW!$A$2:$NF$60,MATCH(1,(GMW!$NE$2:$NE$60=AD$3)*(GMW!$ND$2:$ND$60=AD$4)*(GMW!$NF$2:$NF$60=AD$1),0),$F56-1966)</f>
        <v>84544.17</v>
      </c>
      <c r="AE56" s="4" cm="1">
        <f t="array" ref="AE56">INDEX(GMW!$A$2:$NF$60,MATCH(1,(GMW!$NE$2:$NE$60=AE$3)*(GMW!$ND$2:$ND$60=AE$4)*(GMW!$NF$2:$NF$60=AE$1),0),$F56-1966)</f>
        <v>276.90690000000001</v>
      </c>
      <c r="AF56" s="4" cm="1">
        <f t="array" ref="AF56">INDEX(GMW!$A$2:$NF$60,MATCH(1,(GMW!$NE$2:$NE$60=AF$3)*(GMW!$ND$2:$ND$60=AF$4)*(GMW!$NF$2:$NF$60=AF$1),0),$F56-1966)</f>
        <v>186.08500000000001</v>
      </c>
      <c r="AG56" s="4" cm="1">
        <f t="array" ref="AG56">INDEX(GMW!$A$2:$NF$60,MATCH(1,(GMW!$NE$2:$NE$60=AG$3)*(GMW!$ND$2:$ND$60=AG$4)*(GMW!$NF$2:$NF$60=AG$1),0),$F56-1966)</f>
        <v>113.411</v>
      </c>
      <c r="AH56" s="4" cm="1">
        <f t="array" ref="AH56">INDEX(GMW!$A$2:$NF$60,MATCH(1,(GMW!$NE$2:$NE$60=AH$3)*(GMW!$ND$2:$ND$60=AH$4)*(GMW!$NF$2:$NF$60=AH$1),0),$F56-1966)</f>
        <v>123838</v>
      </c>
    </row>
    <row r="57" spans="1:34" x14ac:dyDescent="0.25">
      <c r="B57" s="4">
        <f t="shared" si="15"/>
        <v>1985</v>
      </c>
      <c r="C57" s="4">
        <f t="shared" si="15"/>
        <v>1985</v>
      </c>
      <c r="F57" s="4">
        <f t="shared" si="17"/>
        <v>2023</v>
      </c>
      <c r="G57" s="4" cm="1">
        <f t="array" ref="G57">INDEX(GMW!$A$2:$NF$60,MATCH(1,(GMW!$NE$2:$NE$60=G$3)*(GMW!$ND$2:$ND$60=G$4)*(GMW!$NF$2:$NF$60=G$1),0),$F57-1966)</f>
        <v>298814</v>
      </c>
      <c r="H57" s="4" cm="1">
        <f t="array" ref="H57">INDEX(GMW!$A$2:$NF$60,MATCH(1,(GMW!$NE$2:$NE$60=H$3)*(GMW!$ND$2:$ND$60=H$4)*(GMW!$NF$2:$NF$60=H$1),0),$F57-1966)</f>
        <v>2151.0500000000002</v>
      </c>
      <c r="I57" s="4" cm="1">
        <f t="array" ref="I57">INDEX(GMW!$A$2:$NF$60,MATCH(1,(GMW!$NE$2:$NE$60=I$3)*(GMW!$ND$2:$ND$60=I$4)*(GMW!$NF$2:$NF$60=I$1),0),$F57-1966)</f>
        <v>84384.77</v>
      </c>
      <c r="J57" s="4" cm="1">
        <f t="array" ref="J57">INDEX(GMW!$A$2:$NF$60,MATCH(1,(GMW!$NE$2:$NE$60=J$3)*(GMW!$ND$2:$ND$60=J$4)*(GMW!$NF$2:$NF$60=J$1),0),$F57-1966)</f>
        <v>495.57</v>
      </c>
      <c r="K57" s="4" cm="1">
        <f t="array" ref="K57">INDEX(GMW!$A$2:$NF$60,MATCH(1,(GMW!$NE$2:$NE$60=K$3)*(GMW!$ND$2:$ND$60=K$4)*(GMW!$NF$2:$NF$60=K$1),0),$F57-1966)</f>
        <v>332.92099999999999</v>
      </c>
      <c r="L57" s="4" cm="1">
        <f t="array" ref="L57">INDEX(GMW!$A$2:$NF$60,MATCH(1,(GMW!$NE$2:$NE$60=L$3)*(GMW!$ND$2:$ND$60=L$4)*(GMW!$NF$2:$NF$60=L$1),0),$F57-1966)</f>
        <v>325.05200000000002</v>
      </c>
      <c r="M57" s="4" cm="1">
        <f t="array" ref="M57">INDEX(GMW!$A$2:$NF$60,MATCH(1,(GMW!$NE$2:$NE$60=M$3)*(GMW!$ND$2:$ND$60=M$4)*(GMW!$NF$2:$NF$60=M$1),0),$F57-1966)</f>
        <v>255608</v>
      </c>
      <c r="N57" s="4" cm="1">
        <f t="array" ref="N57">INDEX(GMW!$A$2:$NF$60,MATCH(1,(GMW!$NE$2:$NE$60=N$3)*(GMW!$ND$2:$ND$60=N$4)*(GMW!$NF$2:$NF$60=N$1),0),$F57-1966)</f>
        <v>-1575</v>
      </c>
      <c r="O57" s="4" cm="1">
        <f t="array" ref="O57">INDEX(GMW!$A$2:$NF$60,MATCH(1,(GMW!$NE$2:$NE$60=O$3)*(GMW!$ND$2:$ND$60=O$4)*(GMW!$NF$2:$NF$60=O$1),0),$F57-1966)</f>
        <v>-69.164490000000001</v>
      </c>
      <c r="P57" s="4" cm="1">
        <f t="array" ref="P57">INDEX(GMW!$A$2:$NF$60,MATCH(1,(GMW!$NE$2:$NE$60=P$3)*(GMW!$ND$2:$ND$60=P$4)*(GMW!$NF$2:$NF$60=P$1),0),$F57-1966)</f>
        <v>-1085.5</v>
      </c>
      <c r="Q57" s="4" cm="1">
        <f t="array" ref="Q57">INDEX(GMW!$A$2:$NF$60,MATCH(1,(GMW!$NE$2:$NE$60=Q$3)*(GMW!$ND$2:$ND$60=Q$4)*(GMW!$NF$2:$NF$60=Q$1),0),$F57-1966)</f>
        <v>-20.746320000000001</v>
      </c>
      <c r="R57" s="4" cm="1">
        <f t="array" ref="R57">INDEX(GMW!$A$2:$NF$60,MATCH(1,(GMW!$NE$2:$NE$60=R$3)*(GMW!$ND$2:$ND$60=R$4)*(GMW!$NF$2:$NF$60=R$1),0),$F57-1966)</f>
        <v>-6.9770000000000003</v>
      </c>
      <c r="S57" s="4" cm="1">
        <f t="array" ref="S57">INDEX(GMW!$A$2:$NF$60,MATCH(1,(GMW!$NE$2:$NE$60=S$3)*(GMW!$ND$2:$ND$60=S$4)*(GMW!$NF$2:$NF$60=S$1),0),$F57-1966)</f>
        <v>-13.87433</v>
      </c>
      <c r="T57" s="4" cm="1">
        <f t="array" ref="T57">INDEX(GMW!$A$2:$NF$60,MATCH(1,(GMW!$NE$2:$NE$60=T$3)*(GMW!$ND$2:$ND$60=T$4)*(GMW!$NF$2:$NF$60=T$1),0),$F57-1966)</f>
        <v>-8863</v>
      </c>
      <c r="U57" s="4" cm="1">
        <f t="array" ref="U57">INDEX(GMW!$A$2:$NF$60,MATCH(1,(GMW!$NE$2:$NE$60=U$3)*(GMW!$ND$2:$ND$60=U$4)*(GMW!$NF$2:$NF$60=U$1),0),$F57-1966)</f>
        <v>172882.5</v>
      </c>
      <c r="V57" s="4" cm="1">
        <f t="array" ref="V57">INDEX(GMW!$A$2:$NF$60,MATCH(1,(GMW!$NE$2:$NE$60=V$3)*(GMW!$ND$2:$ND$60=V$4)*(GMW!$NF$2:$NF$60=V$1),0),$F57-1966)</f>
        <v>3389.3150000000001</v>
      </c>
      <c r="W57" s="4" cm="1">
        <f t="array" ref="W57">INDEX(GMW!$A$2:$NF$60,MATCH(1,(GMW!$NE$2:$NE$60=W$3)*(GMW!$ND$2:$ND$60=W$4)*(GMW!$NF$2:$NF$60=W$1),0),$F57-1966)</f>
        <v>225749</v>
      </c>
      <c r="X57" s="4" cm="1">
        <f t="array" ref="X57">INDEX(GMW!$A$2:$NF$60,MATCH(1,(GMW!$NE$2:$NE$60=X$3)*(GMW!$ND$2:$ND$60=X$4)*(GMW!$NF$2:$NF$60=X$1),0),$F57-1966)</f>
        <v>385.31950000000001</v>
      </c>
      <c r="Y57" s="4" cm="1">
        <f t="array" ref="Y57">INDEX(GMW!$A$2:$NF$60,MATCH(1,(GMW!$NE$2:$NE$60=Y$3)*(GMW!$ND$2:$ND$60=Y$4)*(GMW!$NF$2:$NF$60=Y$1),0),$F57-1966)</f>
        <v>262.52749999999997</v>
      </c>
      <c r="Z57" s="4" cm="1">
        <f t="array" ref="Z57">INDEX(GMW!$A$2:$NF$60,MATCH(1,(GMW!$NE$2:$NE$60=Z$3)*(GMW!$ND$2:$ND$60=Z$4)*(GMW!$NF$2:$NF$60=Z$1),0),$F57-1966)</f>
        <v>369.38499999999999</v>
      </c>
      <c r="AA57" s="4" cm="1">
        <f t="array" ref="AA57">INDEX(GMW!$A$2:$NF$60,MATCH(1,(GMW!$NE$2:$NE$60=AA$3)*(GMW!$ND$2:$ND$60=AA$4)*(GMW!$NF$2:$NF$60=AA$1),0),$F57-1966)</f>
        <v>328033</v>
      </c>
      <c r="AB57" s="4" cm="1">
        <f t="array" ref="AB57">INDEX(GMW!$A$2:$NF$60,MATCH(1,(GMW!$NE$2:$NE$60=AB$3)*(GMW!$ND$2:$ND$60=AB$4)*(GMW!$NF$2:$NF$60=AB$1),0),$F57-1966)</f>
        <v>105169</v>
      </c>
      <c r="AC57" s="4" cm="1">
        <f t="array" ref="AC57">INDEX(GMW!$A$2:$NF$60,MATCH(1,(GMW!$NE$2:$NE$60=AC$3)*(GMW!$ND$2:$ND$60=AC$4)*(GMW!$NF$2:$NF$60=AC$1),0),$F57-1966)</f>
        <v>1096.7</v>
      </c>
      <c r="AD57" s="4" cm="1">
        <f t="array" ref="AD57">INDEX(GMW!$A$2:$NF$60,MATCH(1,(GMW!$NE$2:$NE$60=AD$3)*(GMW!$ND$2:$ND$60=AD$4)*(GMW!$NF$2:$NF$60=AD$1),0),$F57-1966)</f>
        <v>85629.42</v>
      </c>
      <c r="AE57" s="4" cm="1">
        <f t="array" ref="AE57">INDEX(GMW!$A$2:$NF$60,MATCH(1,(GMW!$NE$2:$NE$60=AE$3)*(GMW!$ND$2:$ND$60=AE$4)*(GMW!$NF$2:$NF$60=AE$1),0),$F57-1966)</f>
        <v>282.84649999999999</v>
      </c>
      <c r="AF57" s="4" cm="1">
        <f t="array" ref="AF57">INDEX(GMW!$A$2:$NF$60,MATCH(1,(GMW!$NE$2:$NE$60=AF$3)*(GMW!$ND$2:$ND$60=AF$4)*(GMW!$NF$2:$NF$60=AF$1),0),$F57-1966)</f>
        <v>189.33699999999999</v>
      </c>
      <c r="AG57" s="4" cm="1">
        <f t="array" ref="AG57">INDEX(GMW!$A$2:$NF$60,MATCH(1,(GMW!$NE$2:$NE$60=AG$3)*(GMW!$ND$2:$ND$60=AG$4)*(GMW!$NF$2:$NF$60=AG$1),0),$F57-1966)</f>
        <v>116.569</v>
      </c>
      <c r="AH57" s="4" cm="1">
        <f t="array" ref="AH57">INDEX(GMW!$A$2:$NF$60,MATCH(1,(GMW!$NE$2:$NE$60=AH$3)*(GMW!$ND$2:$ND$60=AH$4)*(GMW!$NF$2:$NF$60=AH$1),0),$F57-1966)</f>
        <v>125968</v>
      </c>
    </row>
    <row r="58" spans="1:34" x14ac:dyDescent="0.25">
      <c r="B58" s="4">
        <f t="shared" si="15"/>
        <v>1985</v>
      </c>
      <c r="C58" s="4">
        <f t="shared" si="15"/>
        <v>1985</v>
      </c>
      <c r="E58" s="4">
        <f t="shared" ref="E58" si="20">+E54+1</f>
        <v>1985</v>
      </c>
      <c r="F58" s="4">
        <f t="shared" si="17"/>
        <v>2024</v>
      </c>
      <c r="G58" s="4" cm="1">
        <f t="array" ref="G58">INDEX(GMW!$A$2:$NF$60,MATCH(1,(GMW!$NE$2:$NE$60=G$3)*(GMW!$ND$2:$ND$60=G$4)*(GMW!$NF$2:$NF$60=G$1),0),$F58-1966)</f>
        <v>298979</v>
      </c>
      <c r="H58" s="4" cm="1">
        <f t="array" ref="H58">INDEX(GMW!$A$2:$NF$60,MATCH(1,(GMW!$NE$2:$NE$60=H$3)*(GMW!$ND$2:$ND$60=H$4)*(GMW!$NF$2:$NF$60=H$1),0),$F58-1966)</f>
        <v>2167.0500000000002</v>
      </c>
      <c r="I58" s="4" cm="1">
        <f t="array" ref="I58">INDEX(GMW!$A$2:$NF$60,MATCH(1,(GMW!$NE$2:$NE$60=I$3)*(GMW!$ND$2:$ND$60=I$4)*(GMW!$NF$2:$NF$60=I$1),0),$F58-1966)</f>
        <v>85720.3</v>
      </c>
      <c r="J58" s="4" cm="1">
        <f t="array" ref="J58">INDEX(GMW!$A$2:$NF$60,MATCH(1,(GMW!$NE$2:$NE$60=J$3)*(GMW!$ND$2:$ND$60=J$4)*(GMW!$NF$2:$NF$60=J$1),0),$F58-1966)</f>
        <v>498.46</v>
      </c>
      <c r="K58" s="4" cm="1">
        <f t="array" ref="K58">INDEX(GMW!$A$2:$NF$60,MATCH(1,(GMW!$NE$2:$NE$60=K$3)*(GMW!$ND$2:$ND$60=K$4)*(GMW!$NF$2:$NF$60=K$1),0),$F58-1966)</f>
        <v>334.60199999999998</v>
      </c>
      <c r="L58" s="4" cm="1">
        <f t="array" ref="L58">INDEX(GMW!$A$2:$NF$60,MATCH(1,(GMW!$NE$2:$NE$60=L$3)*(GMW!$ND$2:$ND$60=L$4)*(GMW!$NF$2:$NF$60=L$1),0),$F58-1966)</f>
        <v>327.22000000000003</v>
      </c>
      <c r="M58" s="4" cm="1">
        <f t="array" ref="M58">INDEX(GMW!$A$2:$NF$60,MATCH(1,(GMW!$NE$2:$NE$60=M$3)*(GMW!$ND$2:$ND$60=M$4)*(GMW!$NF$2:$NF$60=M$1),0),$F58-1966)</f>
        <v>259505</v>
      </c>
      <c r="N58" s="4" cm="1">
        <f t="array" ref="N58">INDEX(GMW!$A$2:$NF$60,MATCH(1,(GMW!$NE$2:$NE$60=N$3)*(GMW!$ND$2:$ND$60=N$4)*(GMW!$NF$2:$NF$60=N$1),0),$F58-1966)</f>
        <v>-1219</v>
      </c>
      <c r="O58" s="4" cm="1">
        <f t="array" ref="O58">INDEX(GMW!$A$2:$NF$60,MATCH(1,(GMW!$NE$2:$NE$60=O$3)*(GMW!$ND$2:$ND$60=O$4)*(GMW!$NF$2:$NF$60=O$1),0),$F58-1966)</f>
        <v>-70.546250000000001</v>
      </c>
      <c r="P58" s="4" cm="1">
        <f t="array" ref="P58">INDEX(GMW!$A$2:$NF$60,MATCH(1,(GMW!$NE$2:$NE$60=P$3)*(GMW!$ND$2:$ND$60=P$4)*(GMW!$NF$2:$NF$60=P$1),0),$F58-1966)</f>
        <v>-1286</v>
      </c>
      <c r="Q58" s="4" cm="1">
        <f t="array" ref="Q58">INDEX(GMW!$A$2:$NF$60,MATCH(1,(GMW!$NE$2:$NE$60=Q$3)*(GMW!$ND$2:$ND$60=Q$4)*(GMW!$NF$2:$NF$60=Q$1),0),$F58-1966)</f>
        <v>-20.746320000000001</v>
      </c>
      <c r="R58" s="4" cm="1">
        <f t="array" ref="R58">INDEX(GMW!$A$2:$NF$60,MATCH(1,(GMW!$NE$2:$NE$60=R$3)*(GMW!$ND$2:$ND$60=R$4)*(GMW!$NF$2:$NF$60=R$1),0),$F58-1966)</f>
        <v>-6.758</v>
      </c>
      <c r="S58" s="4" cm="1">
        <f t="array" ref="S58">INDEX(GMW!$A$2:$NF$60,MATCH(1,(GMW!$NE$2:$NE$60=S$3)*(GMW!$ND$2:$ND$60=S$4)*(GMW!$NF$2:$NF$60=S$1),0),$F58-1966)</f>
        <v>-14.135619999999999</v>
      </c>
      <c r="T58" s="4" cm="1">
        <f t="array" ref="T58">INDEX(GMW!$A$2:$NF$60,MATCH(1,(GMW!$NE$2:$NE$60=T$3)*(GMW!$ND$2:$ND$60=T$4)*(GMW!$NF$2:$NF$60=T$1),0),$F58-1966)</f>
        <v>-9385</v>
      </c>
      <c r="U58" s="4" cm="1">
        <f t="array" ref="U58">INDEX(GMW!$A$2:$NF$60,MATCH(1,(GMW!$NE$2:$NE$60=U$3)*(GMW!$ND$2:$ND$60=U$4)*(GMW!$NF$2:$NF$60=U$1),0),$F58-1966)</f>
        <v>176082.8</v>
      </c>
      <c r="V58" s="4" cm="1">
        <f t="array" ref="V58">INDEX(GMW!$A$2:$NF$60,MATCH(1,(GMW!$NE$2:$NE$60=V$3)*(GMW!$ND$2:$ND$60=V$4)*(GMW!$NF$2:$NF$60=V$1),0),$F58-1966)</f>
        <v>3513.5859999999998</v>
      </c>
      <c r="W58" s="4" cm="1">
        <f t="array" ref="W58">INDEX(GMW!$A$2:$NF$60,MATCH(1,(GMW!$NE$2:$NE$60=W$3)*(GMW!$ND$2:$ND$60=W$4)*(GMW!$NF$2:$NF$60=W$1),0),$F58-1966)</f>
        <v>231557</v>
      </c>
      <c r="X58" s="4" cm="1">
        <f t="array" ref="X58">INDEX(GMW!$A$2:$NF$60,MATCH(1,(GMW!$NE$2:$NE$60=X$3)*(GMW!$ND$2:$ND$60=X$4)*(GMW!$NF$2:$NF$60=X$1),0),$F58-1966)</f>
        <v>390.3852</v>
      </c>
      <c r="Y58" s="4" cm="1">
        <f t="array" ref="Y58">INDEX(GMW!$A$2:$NF$60,MATCH(1,(GMW!$NE$2:$NE$60=Y$3)*(GMW!$ND$2:$ND$60=Y$4)*(GMW!$NF$2:$NF$60=Y$1),0),$F58-1966)</f>
        <v>269.76530000000002</v>
      </c>
      <c r="Z58" s="4" cm="1">
        <f t="array" ref="Z58">INDEX(GMW!$A$2:$NF$60,MATCH(1,(GMW!$NE$2:$NE$60=Z$3)*(GMW!$ND$2:$ND$60=Z$4)*(GMW!$NF$2:$NF$60=Z$1),0),$F58-1966)</f>
        <v>386.27100000000002</v>
      </c>
      <c r="AA58" s="4" cm="1">
        <f t="array" ref="AA58">INDEX(GMW!$A$2:$NF$60,MATCH(1,(GMW!$NE$2:$NE$60=AA$3)*(GMW!$ND$2:$ND$60=AA$4)*(GMW!$NF$2:$NF$60=AA$1),0),$F58-1966)</f>
        <v>340487</v>
      </c>
      <c r="AB58" s="4" cm="1">
        <f t="array" ref="AB58">INDEX(GMW!$A$2:$NF$60,MATCH(1,(GMW!$NE$2:$NE$60=AB$3)*(GMW!$ND$2:$ND$60=AB$4)*(GMW!$NF$2:$NF$60=AB$1),0),$F58-1966)</f>
        <v>106841</v>
      </c>
      <c r="AC58" s="4" cm="1">
        <f t="array" ref="AC58">INDEX(GMW!$A$2:$NF$60,MATCH(1,(GMW!$NE$2:$NE$60=AC$3)*(GMW!$ND$2:$ND$60=AC$4)*(GMW!$NF$2:$NF$60=AC$1),0),$F58-1966)</f>
        <v>1111.0250000000001</v>
      </c>
      <c r="AD58" s="4" cm="1">
        <f t="array" ref="AD58">INDEX(GMW!$A$2:$NF$60,MATCH(1,(GMW!$NE$2:$NE$60=AD$3)*(GMW!$ND$2:$ND$60=AD$4)*(GMW!$NF$2:$NF$60=AD$1),0),$F58-1966)</f>
        <v>87302.05</v>
      </c>
      <c r="AE58" s="4" cm="1">
        <f t="array" ref="AE58">INDEX(GMW!$A$2:$NF$60,MATCH(1,(GMW!$NE$2:$NE$60=AE$3)*(GMW!$ND$2:$ND$60=AE$4)*(GMW!$NF$2:$NF$60=AE$1),0),$F58-1966)</f>
        <v>287.40019999999998</v>
      </c>
      <c r="AF58" s="4" cm="1">
        <f t="array" ref="AF58">INDEX(GMW!$A$2:$NF$60,MATCH(1,(GMW!$NE$2:$NE$60=AF$3)*(GMW!$ND$2:$ND$60=AF$4)*(GMW!$NF$2:$NF$60=AF$1),0),$F58-1966)</f>
        <v>192.845</v>
      </c>
      <c r="AG58" s="4" cm="1">
        <f t="array" ref="AG58">INDEX(GMW!$A$2:$NF$60,MATCH(1,(GMW!$NE$2:$NE$60=AG$3)*(GMW!$ND$2:$ND$60=AG$4)*(GMW!$NF$2:$NF$60=AG$1),0),$F58-1966)</f>
        <v>120.004</v>
      </c>
      <c r="AH58" s="4" cm="1">
        <f t="array" ref="AH58">INDEX(GMW!$A$2:$NF$60,MATCH(1,(GMW!$NE$2:$NE$60=AH$3)*(GMW!$ND$2:$ND$60=AH$4)*(GMW!$NF$2:$NF$60=AH$1),0),$F58-1966)</f>
        <v>128697</v>
      </c>
    </row>
    <row r="59" spans="1:34" x14ac:dyDescent="0.25">
      <c r="A59" s="4">
        <v>1986</v>
      </c>
      <c r="B59" s="4">
        <f t="shared" si="15"/>
        <v>1986</v>
      </c>
      <c r="C59" s="4">
        <f t="shared" si="15"/>
        <v>1985</v>
      </c>
      <c r="D59" s="4">
        <f t="shared" si="15"/>
        <v>1985</v>
      </c>
      <c r="F59" s="4">
        <f t="shared" si="17"/>
        <v>2025</v>
      </c>
      <c r="G59" s="4" cm="1">
        <f t="array" ref="G59">INDEX(GMW!$A$2:$NF$60,MATCH(1,(GMW!$NE$2:$NE$60=G$3)*(GMW!$ND$2:$ND$60=G$4)*(GMW!$NF$2:$NF$60=G$1),0),$F59-1966)</f>
        <v>302117</v>
      </c>
      <c r="H59" s="4" cm="1">
        <f t="array" ref="H59">INDEX(GMW!$A$2:$NF$60,MATCH(1,(GMW!$NE$2:$NE$60=H$3)*(GMW!$ND$2:$ND$60=H$4)*(GMW!$NF$2:$NF$60=H$1),0),$F59-1966)</f>
        <v>2187.2750000000001</v>
      </c>
      <c r="I59" s="4" cm="1">
        <f t="array" ref="I59">INDEX(GMW!$A$2:$NF$60,MATCH(1,(GMW!$NE$2:$NE$60=I$3)*(GMW!$ND$2:$ND$60=I$4)*(GMW!$NF$2:$NF$60=I$1),0),$F59-1966)</f>
        <v>85758.42</v>
      </c>
      <c r="J59" s="4" cm="1">
        <f t="array" ref="J59">INDEX(GMW!$A$2:$NF$60,MATCH(1,(GMW!$NE$2:$NE$60=J$3)*(GMW!$ND$2:$ND$60=J$4)*(GMW!$NF$2:$NF$60=J$1),0),$F59-1966)</f>
        <v>495.73</v>
      </c>
      <c r="K59" s="4" cm="1">
        <f t="array" ref="K59">INDEX(GMW!$A$2:$NF$60,MATCH(1,(GMW!$NE$2:$NE$60=K$3)*(GMW!$ND$2:$ND$60=K$4)*(GMW!$NF$2:$NF$60=K$1),0),$F59-1966)</f>
        <v>335.63600000000002</v>
      </c>
      <c r="L59" s="4" cm="1">
        <f t="array" ref="L59">INDEX(GMW!$A$2:$NF$60,MATCH(1,(GMW!$NE$2:$NE$60=L$3)*(GMW!$ND$2:$ND$60=L$4)*(GMW!$NF$2:$NF$60=L$1),0),$F59-1966)</f>
        <v>329.26</v>
      </c>
      <c r="M59" s="4" cm="1">
        <f t="array" ref="M59">INDEX(GMW!$A$2:$NF$60,MATCH(1,(GMW!$NE$2:$NE$60=M$3)*(GMW!$ND$2:$ND$60=M$4)*(GMW!$NF$2:$NF$60=M$1),0),$F59-1966)</f>
        <v>259373.5</v>
      </c>
      <c r="N59" s="4" cm="1">
        <f t="array" ref="N59">INDEX(GMW!$A$2:$NF$60,MATCH(1,(GMW!$NE$2:$NE$60=N$3)*(GMW!$ND$2:$ND$60=N$4)*(GMW!$NF$2:$NF$60=N$1),0),$F59-1966)</f>
        <v>-1330</v>
      </c>
      <c r="O59" s="4" cm="1">
        <f t="array" ref="O59">INDEX(GMW!$A$2:$NF$60,MATCH(1,(GMW!$NE$2:$NE$60=O$3)*(GMW!$ND$2:$ND$60=O$4)*(GMW!$NF$2:$NF$60=O$1),0),$F59-1966)</f>
        <v>-69.484750000000005</v>
      </c>
      <c r="P59" s="4" cm="1">
        <f t="array" ref="P59">INDEX(GMW!$A$2:$NF$60,MATCH(1,(GMW!$NE$2:$NE$60=P$3)*(GMW!$ND$2:$ND$60=P$4)*(GMW!$NF$2:$NF$60=P$1),0),$F59-1966)</f>
        <v>-1306.25</v>
      </c>
      <c r="Q59" s="4" cm="1">
        <f t="array" ref="Q59">INDEX(GMW!$A$2:$NF$60,MATCH(1,(GMW!$NE$2:$NE$60=Q$3)*(GMW!$ND$2:$ND$60=Q$4)*(GMW!$NF$2:$NF$60=Q$1),0),$F59-1966)</f>
        <v>-21.16732</v>
      </c>
      <c r="R59" s="4" cm="1">
        <f t="array" ref="R59">INDEX(GMW!$A$2:$NF$60,MATCH(1,(GMW!$NE$2:$NE$60=R$3)*(GMW!$ND$2:$ND$60=R$4)*(GMW!$NF$2:$NF$60=R$1),0),$F59-1966)</f>
        <v>-7.0119999999999996</v>
      </c>
      <c r="S59" s="4" cm="1">
        <f t="array" ref="S59">INDEX(GMW!$A$2:$NF$60,MATCH(1,(GMW!$NE$2:$NE$60=S$3)*(GMW!$ND$2:$ND$60=S$4)*(GMW!$NF$2:$NF$60=S$1),0),$F59-1966)</f>
        <v>-14.25071</v>
      </c>
      <c r="T59" s="4" cm="1">
        <f t="array" ref="T59">INDEX(GMW!$A$2:$NF$60,MATCH(1,(GMW!$NE$2:$NE$60=T$3)*(GMW!$ND$2:$ND$60=T$4)*(GMW!$NF$2:$NF$60=T$1),0),$F59-1966)</f>
        <v>-7880</v>
      </c>
      <c r="U59" s="4" cm="1">
        <f t="array" ref="U59">INDEX(GMW!$A$2:$NF$60,MATCH(1,(GMW!$NE$2:$NE$60=U$3)*(GMW!$ND$2:$ND$60=U$4)*(GMW!$NF$2:$NF$60=U$1),0),$F59-1966)</f>
        <v>179283</v>
      </c>
      <c r="V59" s="4" cm="1">
        <f t="array" ref="V59">INDEX(GMW!$A$2:$NF$60,MATCH(1,(GMW!$NE$2:$NE$60=V$3)*(GMW!$ND$2:$ND$60=V$4)*(GMW!$NF$2:$NF$60=V$1),0),$F59-1966)</f>
        <v>3566.297</v>
      </c>
      <c r="W59" s="4" cm="1">
        <f t="array" ref="W59">INDEX(GMW!$A$2:$NF$60,MATCH(1,(GMW!$NE$2:$NE$60=W$3)*(GMW!$ND$2:$ND$60=W$4)*(GMW!$NF$2:$NF$60=W$1),0),$F59-1966)</f>
        <v>239226</v>
      </c>
      <c r="X59" s="4" cm="1">
        <f t="array" ref="X59">INDEX(GMW!$A$2:$NF$60,MATCH(1,(GMW!$NE$2:$NE$60=X$3)*(GMW!$ND$2:$ND$60=X$4)*(GMW!$NF$2:$NF$60=X$1),0),$F59-1966)</f>
        <v>395.14929999999998</v>
      </c>
      <c r="Y59" s="4" cm="1">
        <f t="array" ref="Y59">INDEX(GMW!$A$2:$NF$60,MATCH(1,(GMW!$NE$2:$NE$60=Y$3)*(GMW!$ND$2:$ND$60=Y$4)*(GMW!$NF$2:$NF$60=Y$1),0),$F59-1966)</f>
        <v>276.45999999999998</v>
      </c>
      <c r="Z59" s="4" cm="1">
        <f t="array" ref="Z59">INDEX(GMW!$A$2:$NF$60,MATCH(1,(GMW!$NE$2:$NE$60=Z$3)*(GMW!$ND$2:$ND$60=Z$4)*(GMW!$NF$2:$NF$60=Z$1),0),$F59-1966)</f>
        <v>401.25970000000001</v>
      </c>
      <c r="AA59" s="4" cm="1">
        <f t="array" ref="AA59">INDEX(GMW!$A$2:$NF$60,MATCH(1,(GMW!$NE$2:$NE$60=AA$3)*(GMW!$ND$2:$ND$60=AA$4)*(GMW!$NF$2:$NF$60=AA$1),0),$F59-1966)</f>
        <v>350735</v>
      </c>
      <c r="AB59" s="4" cm="1">
        <f t="array" ref="AB59">INDEX(GMW!$A$2:$NF$60,MATCH(1,(GMW!$NE$2:$NE$60=AB$3)*(GMW!$ND$2:$ND$60=AB$4)*(GMW!$NF$2:$NF$60=AB$1),0),$F59-1966)</f>
        <v>108753</v>
      </c>
      <c r="AC59" s="4" cm="1">
        <f t="array" ref="AC59">INDEX(GMW!$A$2:$NF$60,MATCH(1,(GMW!$NE$2:$NE$60=AC$3)*(GMW!$ND$2:$ND$60=AC$4)*(GMW!$NF$2:$NF$60=AC$1),0),$F59-1966)</f>
        <v>1126.9749999999999</v>
      </c>
      <c r="AD59" s="4" cm="1">
        <f t="array" ref="AD59">INDEX(GMW!$A$2:$NF$60,MATCH(1,(GMW!$NE$2:$NE$60=AD$3)*(GMW!$ND$2:$ND$60=AD$4)*(GMW!$NF$2:$NF$60=AD$1),0),$F59-1966)</f>
        <v>88088.88</v>
      </c>
      <c r="AE59" s="4" cm="1">
        <f t="array" ref="AE59">INDEX(GMW!$A$2:$NF$60,MATCH(1,(GMW!$NE$2:$NE$60=AE$3)*(GMW!$ND$2:$ND$60=AE$4)*(GMW!$NF$2:$NF$60=AE$1),0),$F59-1966)</f>
        <v>288.50009999999997</v>
      </c>
      <c r="AF59" s="4" cm="1">
        <f t="array" ref="AF59">INDEX(GMW!$A$2:$NF$60,MATCH(1,(GMW!$NE$2:$NE$60=AF$3)*(GMW!$ND$2:$ND$60=AF$4)*(GMW!$NF$2:$NF$60=AF$1),0),$F59-1966)</f>
        <v>196.75299999999999</v>
      </c>
      <c r="AG59" s="4" cm="1">
        <f t="array" ref="AG59">INDEX(GMW!$A$2:$NF$60,MATCH(1,(GMW!$NE$2:$NE$60=AG$3)*(GMW!$ND$2:$ND$60=AG$4)*(GMW!$NF$2:$NF$60=AG$1),0),$F59-1966)</f>
        <v>123.011</v>
      </c>
      <c r="AH59" s="4" cm="1">
        <f t="array" ref="AH59">INDEX(GMW!$A$2:$NF$60,MATCH(1,(GMW!$NE$2:$NE$60=AH$3)*(GMW!$ND$2:$ND$60=AH$4)*(GMW!$NF$2:$NF$60=AH$1),0),$F59-1966)</f>
        <v>129653</v>
      </c>
    </row>
    <row r="60" spans="1:34" x14ac:dyDescent="0.25">
      <c r="B60" s="4">
        <f t="shared" ref="B60:D75" si="21">+B56+1</f>
        <v>1986</v>
      </c>
      <c r="C60" s="4">
        <f t="shared" si="21"/>
        <v>1986</v>
      </c>
      <c r="F60" s="4">
        <f t="shared" si="17"/>
        <v>2026</v>
      </c>
      <c r="G60" s="4" cm="1">
        <f t="array" ref="G60">INDEX(GMW!$A$2:$NF$60,MATCH(1,(GMW!$NE$2:$NE$60=G$3)*(GMW!$ND$2:$ND$60=G$4)*(GMW!$NF$2:$NF$60=G$1),0),$F60-1966)</f>
        <v>304797</v>
      </c>
      <c r="H60" s="4" cm="1">
        <f t="array" ref="H60">INDEX(GMW!$A$2:$NF$60,MATCH(1,(GMW!$NE$2:$NE$60=H$3)*(GMW!$ND$2:$ND$60=H$4)*(GMW!$NF$2:$NF$60=H$1),0),$F60-1966)</f>
        <v>2197.125</v>
      </c>
      <c r="I60" s="4" cm="1">
        <f t="array" ref="I60">INDEX(GMW!$A$2:$NF$60,MATCH(1,(GMW!$NE$2:$NE$60=I$3)*(GMW!$ND$2:$ND$60=I$4)*(GMW!$NF$2:$NF$60=I$1),0),$F60-1966)</f>
        <v>86018.4</v>
      </c>
      <c r="J60" s="4" cm="1">
        <f t="array" ref="J60">INDEX(GMW!$A$2:$NF$60,MATCH(1,(GMW!$NE$2:$NE$60=J$3)*(GMW!$ND$2:$ND$60=J$4)*(GMW!$NF$2:$NF$60=J$1),0),$F60-1966)</f>
        <v>501.44</v>
      </c>
      <c r="K60" s="4" cm="1">
        <f t="array" ref="K60">INDEX(GMW!$A$2:$NF$60,MATCH(1,(GMW!$NE$2:$NE$60=K$3)*(GMW!$ND$2:$ND$60=K$4)*(GMW!$NF$2:$NF$60=K$1),0),$F60-1966)</f>
        <v>339.31799999999998</v>
      </c>
      <c r="L60" s="4" cm="1">
        <f t="array" ref="L60">INDEX(GMW!$A$2:$NF$60,MATCH(1,(GMW!$NE$2:$NE$60=L$3)*(GMW!$ND$2:$ND$60=L$4)*(GMW!$NF$2:$NF$60=L$1),0),$F60-1966)</f>
        <v>331.38900000000001</v>
      </c>
      <c r="M60" s="4" cm="1">
        <f t="array" ref="M60">INDEX(GMW!$A$2:$NF$60,MATCH(1,(GMW!$NE$2:$NE$60=M$3)*(GMW!$ND$2:$ND$60=M$4)*(GMW!$NF$2:$NF$60=M$1),0),$F60-1966)</f>
        <v>260864.3</v>
      </c>
      <c r="N60" s="4" cm="1">
        <f t="array" ref="N60">INDEX(GMW!$A$2:$NF$60,MATCH(1,(GMW!$NE$2:$NE$60=N$3)*(GMW!$ND$2:$ND$60=N$4)*(GMW!$NF$2:$NF$60=N$1),0),$F60-1966)</f>
        <v>-3479</v>
      </c>
      <c r="O60" s="4" cm="1">
        <f t="array" ref="O60">INDEX(GMW!$A$2:$NF$60,MATCH(1,(GMW!$NE$2:$NE$60=O$3)*(GMW!$ND$2:$ND$60=O$4)*(GMW!$NF$2:$NF$60=O$1),0),$F60-1966)</f>
        <v>-76.864249999999998</v>
      </c>
      <c r="P60" s="4" cm="1">
        <f t="array" ref="P60">INDEX(GMW!$A$2:$NF$60,MATCH(1,(GMW!$NE$2:$NE$60=P$3)*(GMW!$ND$2:$ND$60=P$4)*(GMW!$NF$2:$NF$60=P$1),0),$F60-1966)</f>
        <v>-1048.5</v>
      </c>
      <c r="Q60" s="4" cm="1">
        <f t="array" ref="Q60">INDEX(GMW!$A$2:$NF$60,MATCH(1,(GMW!$NE$2:$NE$60=Q$3)*(GMW!$ND$2:$ND$60=Q$4)*(GMW!$NF$2:$NF$60=Q$1),0),$F60-1966)</f>
        <v>-21.16732</v>
      </c>
      <c r="R60" s="4" cm="1">
        <f t="array" ref="R60">INDEX(GMW!$A$2:$NF$60,MATCH(1,(GMW!$NE$2:$NE$60=R$3)*(GMW!$ND$2:$ND$60=R$4)*(GMW!$NF$2:$NF$60=R$1),0),$F60-1966)</f>
        <v>-6.1680000000000001</v>
      </c>
      <c r="S60" s="4" cm="1">
        <f t="array" ref="S60">INDEX(GMW!$A$2:$NF$60,MATCH(1,(GMW!$NE$2:$NE$60=S$3)*(GMW!$ND$2:$ND$60=S$4)*(GMW!$NF$2:$NF$60=S$1),0),$F60-1966)</f>
        <v>-14.401350000000001</v>
      </c>
      <c r="T60" s="4" cm="1">
        <f t="array" ref="T60">INDEX(GMW!$A$2:$NF$60,MATCH(1,(GMW!$NE$2:$NE$60=T$3)*(GMW!$ND$2:$ND$60=T$4)*(GMW!$NF$2:$NF$60=T$1),0),$F60-1966)</f>
        <v>-9175</v>
      </c>
      <c r="U60" s="4" cm="1">
        <f t="array" ref="U60">INDEX(GMW!$A$2:$NF$60,MATCH(1,(GMW!$NE$2:$NE$60=U$3)*(GMW!$ND$2:$ND$60=U$4)*(GMW!$NF$2:$NF$60=U$1),0),$F60-1966)</f>
        <v>182133.3</v>
      </c>
      <c r="V60" s="4" cm="1">
        <f t="array" ref="V60">INDEX(GMW!$A$2:$NF$60,MATCH(1,(GMW!$NE$2:$NE$60=V$3)*(GMW!$ND$2:$ND$60=V$4)*(GMW!$NF$2:$NF$60=V$1),0),$F60-1966)</f>
        <v>3643.569</v>
      </c>
      <c r="W60" s="4" cm="1">
        <f t="array" ref="W60">INDEX(GMW!$A$2:$NF$60,MATCH(1,(GMW!$NE$2:$NE$60=W$3)*(GMW!$ND$2:$ND$60=W$4)*(GMW!$NF$2:$NF$60=W$1),0),$F60-1966)</f>
        <v>246895</v>
      </c>
      <c r="X60" s="4" cm="1">
        <f t="array" ref="X60">INDEX(GMW!$A$2:$NF$60,MATCH(1,(GMW!$NE$2:$NE$60=X$3)*(GMW!$ND$2:$ND$60=X$4)*(GMW!$NF$2:$NF$60=X$1),0),$F60-1966)</f>
        <v>399.99419999999998</v>
      </c>
      <c r="Y60" s="4" cm="1">
        <f t="array" ref="Y60">INDEX(GMW!$A$2:$NF$60,MATCH(1,(GMW!$NE$2:$NE$60=Y$3)*(GMW!$ND$2:$ND$60=Y$4)*(GMW!$NF$2:$NF$60=Y$1),0),$F60-1966)</f>
        <v>283.15469999999999</v>
      </c>
      <c r="Z60" s="4" cm="1">
        <f t="array" ref="Z60">INDEX(GMW!$A$2:$NF$60,MATCH(1,(GMW!$NE$2:$NE$60=Z$3)*(GMW!$ND$2:$ND$60=Z$4)*(GMW!$NF$2:$NF$60=Z$1),0),$F60-1966)</f>
        <v>416.24849999999998</v>
      </c>
      <c r="AA60" s="4" cm="1">
        <f t="array" ref="AA60">INDEX(GMW!$A$2:$NF$60,MATCH(1,(GMW!$NE$2:$NE$60=AA$3)*(GMW!$ND$2:$ND$60=AA$4)*(GMW!$NF$2:$NF$60=AA$1),0),$F60-1966)</f>
        <v>360982</v>
      </c>
      <c r="AB60" s="4" cm="1">
        <f t="array" ref="AB60">INDEX(GMW!$A$2:$NF$60,MATCH(1,(GMW!$NE$2:$NE$60=AB$3)*(GMW!$ND$2:$ND$60=AB$4)*(GMW!$NF$2:$NF$60=AB$1),0),$F60-1966)</f>
        <v>110079</v>
      </c>
      <c r="AC60" s="4" cm="1">
        <f t="array" ref="AC60">INDEX(GMW!$A$2:$NF$60,MATCH(1,(GMW!$NE$2:$NE$60=AC$3)*(GMW!$ND$2:$ND$60=AC$4)*(GMW!$NF$2:$NF$60=AC$1),0),$F60-1966)</f>
        <v>1136.325</v>
      </c>
      <c r="AD60" s="4" cm="1">
        <f t="array" ref="AD60">INDEX(GMW!$A$2:$NF$60,MATCH(1,(GMW!$NE$2:$NE$60=AD$3)*(GMW!$ND$2:$ND$60=AD$4)*(GMW!$NF$2:$NF$60=AD$1),0),$F60-1966)</f>
        <v>88883</v>
      </c>
      <c r="AE60" s="4" cm="1">
        <f t="array" ref="AE60">INDEX(GMW!$A$2:$NF$60,MATCH(1,(GMW!$NE$2:$NE$60=AE$3)*(GMW!$ND$2:$ND$60=AE$4)*(GMW!$NF$2:$NF$60=AE$1),0),$F60-1966)</f>
        <v>293.0428</v>
      </c>
      <c r="AF60" s="4" cm="1">
        <f t="array" ref="AF60">INDEX(GMW!$A$2:$NF$60,MATCH(1,(GMW!$NE$2:$NE$60=AF$3)*(GMW!$ND$2:$ND$60=AF$4)*(GMW!$NF$2:$NF$60=AF$1),0),$F60-1966)</f>
        <v>200.57900000000001</v>
      </c>
      <c r="AG60" s="4" cm="1">
        <f t="array" ref="AG60">INDEX(GMW!$A$2:$NF$60,MATCH(1,(GMW!$NE$2:$NE$60=AG$3)*(GMW!$ND$2:$ND$60=AG$4)*(GMW!$NF$2:$NF$60=AG$1),0),$F60-1966)</f>
        <v>125.68600000000001</v>
      </c>
      <c r="AH60" s="4" cm="1">
        <f t="array" ref="AH60">INDEX(GMW!$A$2:$NF$60,MATCH(1,(GMW!$NE$2:$NE$60=AH$3)*(GMW!$ND$2:$ND$60=AH$4)*(GMW!$NF$2:$NF$60=AH$1),0),$F60-1966)</f>
        <v>130961</v>
      </c>
    </row>
    <row r="61" spans="1:34" x14ac:dyDescent="0.25">
      <c r="B61" s="4">
        <f t="shared" si="21"/>
        <v>1986</v>
      </c>
      <c r="C61" s="4">
        <f t="shared" si="21"/>
        <v>1986</v>
      </c>
      <c r="F61" s="4">
        <f t="shared" si="17"/>
        <v>2027</v>
      </c>
      <c r="G61" s="4" cm="1">
        <f t="array" ref="G61">INDEX(GMW!$A$2:$NF$60,MATCH(1,(GMW!$NE$2:$NE$60=G$3)*(GMW!$ND$2:$ND$60=G$4)*(GMW!$NF$2:$NF$60=G$1),0),$F61-1966)</f>
        <v>306708</v>
      </c>
      <c r="H61" s="4" cm="1">
        <f t="array" ref="H61">INDEX(GMW!$A$2:$NF$60,MATCH(1,(GMW!$NE$2:$NE$60=H$3)*(GMW!$ND$2:$ND$60=H$4)*(GMW!$NF$2:$NF$60=H$1),0),$F61-1966)</f>
        <v>2218.15</v>
      </c>
      <c r="I61" s="4" cm="1">
        <f t="array" ref="I61">INDEX(GMW!$A$2:$NF$60,MATCH(1,(GMW!$NE$2:$NE$60=I$3)*(GMW!$ND$2:$ND$60=I$4)*(GMW!$NF$2:$NF$60=I$1),0),$F61-1966)</f>
        <v>86623.83</v>
      </c>
      <c r="J61" s="4" cm="1">
        <f t="array" ref="J61">INDEX(GMW!$A$2:$NF$60,MATCH(1,(GMW!$NE$2:$NE$60=J$3)*(GMW!$ND$2:$ND$60=J$4)*(GMW!$NF$2:$NF$60=J$1),0),$F61-1966)</f>
        <v>505.16</v>
      </c>
      <c r="K61" s="4" cm="1">
        <f t="array" ref="K61">INDEX(GMW!$A$2:$NF$60,MATCH(1,(GMW!$NE$2:$NE$60=K$3)*(GMW!$ND$2:$ND$60=K$4)*(GMW!$NF$2:$NF$60=K$1),0),$F61-1966)</f>
        <v>341.16</v>
      </c>
      <c r="L61" s="4" cm="1">
        <f t="array" ref="L61">INDEX(GMW!$A$2:$NF$60,MATCH(1,(GMW!$NE$2:$NE$60=L$3)*(GMW!$ND$2:$ND$60=L$4)*(GMW!$NF$2:$NF$60=L$1),0),$F61-1966)</f>
        <v>334.69799999999998</v>
      </c>
      <c r="M61" s="4" cm="1">
        <f t="array" ref="M61">INDEX(GMW!$A$2:$NF$60,MATCH(1,(GMW!$NE$2:$NE$60=M$3)*(GMW!$ND$2:$ND$60=M$4)*(GMW!$NF$2:$NF$60=M$1),0),$F61-1966)</f>
        <v>261192.3</v>
      </c>
      <c r="N61" s="4" cm="1">
        <f t="array" ref="N61">INDEX(GMW!$A$2:$NF$60,MATCH(1,(GMW!$NE$2:$NE$60=N$3)*(GMW!$ND$2:$ND$60=N$4)*(GMW!$NF$2:$NF$60=N$1),0),$F61-1966)</f>
        <v>-3898</v>
      </c>
      <c r="O61" s="4" cm="1">
        <f t="array" ref="O61">INDEX(GMW!$A$2:$NF$60,MATCH(1,(GMW!$NE$2:$NE$60=O$3)*(GMW!$ND$2:$ND$60=O$4)*(GMW!$NF$2:$NF$60=O$1),0),$F61-1966)</f>
        <v>-79.046250000000001</v>
      </c>
      <c r="P61" s="4" cm="1">
        <f t="array" ref="P61">INDEX(GMW!$A$2:$NF$60,MATCH(1,(GMW!$NE$2:$NE$60=P$3)*(GMW!$ND$2:$ND$60=P$4)*(GMW!$NF$2:$NF$60=P$1),0),$F61-1966)</f>
        <v>-995</v>
      </c>
      <c r="Q61" s="4" cm="1">
        <f t="array" ref="Q61">INDEX(GMW!$A$2:$NF$60,MATCH(1,(GMW!$NE$2:$NE$60=Q$3)*(GMW!$ND$2:$ND$60=Q$4)*(GMW!$NF$2:$NF$60=Q$1),0),$F61-1966)</f>
        <v>-21.16732</v>
      </c>
      <c r="R61" s="4" cm="1">
        <f t="array" ref="R61">INDEX(GMW!$A$2:$NF$60,MATCH(1,(GMW!$NE$2:$NE$60=R$3)*(GMW!$ND$2:$ND$60=R$4)*(GMW!$NF$2:$NF$60=R$1),0),$F61-1966)</f>
        <v>-6.234</v>
      </c>
      <c r="S61" s="4" cm="1">
        <f t="array" ref="S61">INDEX(GMW!$A$2:$NF$60,MATCH(1,(GMW!$NE$2:$NE$60=S$3)*(GMW!$ND$2:$ND$60=S$4)*(GMW!$NF$2:$NF$60=S$1),0),$F61-1966)</f>
        <v>-14.58752</v>
      </c>
      <c r="T61" s="4" cm="1">
        <f t="array" ref="T61">INDEX(GMW!$A$2:$NF$60,MATCH(1,(GMW!$NE$2:$NE$60=T$3)*(GMW!$ND$2:$ND$60=T$4)*(GMW!$NF$2:$NF$60=T$1),0),$F61-1966)</f>
        <v>-8727</v>
      </c>
      <c r="U61" s="4" cm="1">
        <f t="array" ref="U61">INDEX(GMW!$A$2:$NF$60,MATCH(1,(GMW!$NE$2:$NE$60=U$3)*(GMW!$ND$2:$ND$60=U$4)*(GMW!$NF$2:$NF$60=U$1),0),$F61-1966)</f>
        <v>184983.5</v>
      </c>
      <c r="V61" s="4" cm="1">
        <f t="array" ref="V61">INDEX(GMW!$A$2:$NF$60,MATCH(1,(GMW!$NE$2:$NE$60=V$3)*(GMW!$ND$2:$ND$60=V$4)*(GMW!$NF$2:$NF$60=V$1),0),$F61-1966)</f>
        <v>3758.6</v>
      </c>
      <c r="W61" s="4" cm="1">
        <f t="array" ref="W61">INDEX(GMW!$A$2:$NF$60,MATCH(1,(GMW!$NE$2:$NE$60=W$3)*(GMW!$ND$2:$ND$60=W$4)*(GMW!$NF$2:$NF$60=W$1),0),$F61-1966)</f>
        <v>254563</v>
      </c>
      <c r="X61" s="4" cm="1">
        <f t="array" ref="X61">INDEX(GMW!$A$2:$NF$60,MATCH(1,(GMW!$NE$2:$NE$60=X$3)*(GMW!$ND$2:$ND$60=X$4)*(GMW!$NF$2:$NF$60=X$1),0),$F61-1966)</f>
        <v>405.57810000000001</v>
      </c>
      <c r="Y61" s="4" cm="1">
        <f t="array" ref="Y61">INDEX(GMW!$A$2:$NF$60,MATCH(1,(GMW!$NE$2:$NE$60=Y$3)*(GMW!$ND$2:$ND$60=Y$4)*(GMW!$NF$2:$NF$60=Y$1),0),$F61-1966)</f>
        <v>289.8494</v>
      </c>
      <c r="Z61" s="4" cm="1">
        <f t="array" ref="Z61">INDEX(GMW!$A$2:$NF$60,MATCH(1,(GMW!$NE$2:$NE$60=Z$3)*(GMW!$ND$2:$ND$60=Z$4)*(GMW!$NF$2:$NF$60=Z$1),0),$F61-1966)</f>
        <v>431.23719999999997</v>
      </c>
      <c r="AA61" s="4" cm="1">
        <f t="array" ref="AA61">INDEX(GMW!$A$2:$NF$60,MATCH(1,(GMW!$NE$2:$NE$60=AA$3)*(GMW!$ND$2:$ND$60=AA$4)*(GMW!$NF$2:$NF$60=AA$1),0),$F61-1966)</f>
        <v>371230</v>
      </c>
      <c r="AB61" s="4" cm="1">
        <f t="array" ref="AB61">INDEX(GMW!$A$2:$NF$60,MATCH(1,(GMW!$NE$2:$NE$60=AB$3)*(GMW!$ND$2:$ND$60=AB$4)*(GMW!$NF$2:$NF$60=AB$1),0),$F61-1966)</f>
        <v>111989</v>
      </c>
      <c r="AC61" s="4" cm="1">
        <f t="array" ref="AC61">INDEX(GMW!$A$2:$NF$60,MATCH(1,(GMW!$NE$2:$NE$60=AC$3)*(GMW!$ND$2:$ND$60=AC$4)*(GMW!$NF$2:$NF$60=AC$1),0),$F61-1966)</f>
        <v>1151.925</v>
      </c>
      <c r="AD61" s="4" cm="1">
        <f t="array" ref="AD61">INDEX(GMW!$A$2:$NF$60,MATCH(1,(GMW!$NE$2:$NE$60=AD$3)*(GMW!$ND$2:$ND$60=AD$4)*(GMW!$NF$2:$NF$60=AD$1),0),$F61-1966)</f>
        <v>89778.35</v>
      </c>
      <c r="AE61" s="4" cm="1">
        <f t="array" ref="AE61">INDEX(GMW!$A$2:$NF$60,MATCH(1,(GMW!$NE$2:$NE$60=AE$3)*(GMW!$ND$2:$ND$60=AE$4)*(GMW!$NF$2:$NF$60=AE$1),0),$F61-1966)</f>
        <v>297.95949999999999</v>
      </c>
      <c r="AF61" s="4" cm="1">
        <f t="array" ref="AF61">INDEX(GMW!$A$2:$NF$60,MATCH(1,(GMW!$NE$2:$NE$60=AF$3)*(GMW!$ND$2:$ND$60=AF$4)*(GMW!$NF$2:$NF$60=AF$1),0),$F61-1966)</f>
        <v>204.27099999999999</v>
      </c>
      <c r="AG61" s="4" cm="1">
        <f t="array" ref="AG61">INDEX(GMW!$A$2:$NF$60,MATCH(1,(GMW!$NE$2:$NE$60=AG$3)*(GMW!$ND$2:$ND$60=AG$4)*(GMW!$NF$2:$NF$60=AG$1),0),$F61-1966)</f>
        <v>128.50800000000001</v>
      </c>
      <c r="AH61" s="4" cm="1">
        <f t="array" ref="AH61">INDEX(GMW!$A$2:$NF$60,MATCH(1,(GMW!$NE$2:$NE$60=AH$3)*(GMW!$ND$2:$ND$60=AH$4)*(GMW!$NF$2:$NF$60=AH$1),0),$F61-1966)</f>
        <v>132555</v>
      </c>
    </row>
    <row r="62" spans="1:34" x14ac:dyDescent="0.25">
      <c r="B62" s="4">
        <f t="shared" si="21"/>
        <v>1986</v>
      </c>
      <c r="C62" s="4">
        <f t="shared" si="21"/>
        <v>1986</v>
      </c>
      <c r="E62" s="4">
        <f t="shared" ref="E62" si="22">+E58+1</f>
        <v>1986</v>
      </c>
      <c r="F62" s="4">
        <f t="shared" si="17"/>
        <v>2028</v>
      </c>
      <c r="G62" s="4" cm="1">
        <f t="array" ref="G62">INDEX(GMW!$A$2:$NF$60,MATCH(1,(GMW!$NE$2:$NE$60=G$3)*(GMW!$ND$2:$ND$60=G$4)*(GMW!$NF$2:$NF$60=G$1),0),$F62-1966)</f>
        <v>312615</v>
      </c>
      <c r="H62" s="4" cm="1">
        <f t="array" ref="H62">INDEX(GMW!$A$2:$NF$60,MATCH(1,(GMW!$NE$2:$NE$60=H$3)*(GMW!$ND$2:$ND$60=H$4)*(GMW!$NF$2:$NF$60=H$1),0),$F62-1966)</f>
        <v>2230.0500000000002</v>
      </c>
      <c r="I62" s="4" cm="1">
        <f t="array" ref="I62">INDEX(GMW!$A$2:$NF$60,MATCH(1,(GMW!$NE$2:$NE$60=I$3)*(GMW!$ND$2:$ND$60=I$4)*(GMW!$NF$2:$NF$60=I$1),0),$F62-1966)</f>
        <v>87631.63</v>
      </c>
      <c r="J62" s="4" cm="1">
        <f t="array" ref="J62">INDEX(GMW!$A$2:$NF$60,MATCH(1,(GMW!$NE$2:$NE$60=J$3)*(GMW!$ND$2:$ND$60=J$4)*(GMW!$NF$2:$NF$60=J$1),0),$F62-1966)</f>
        <v>510.13</v>
      </c>
      <c r="K62" s="4" cm="1">
        <f t="array" ref="K62">INDEX(GMW!$A$2:$NF$60,MATCH(1,(GMW!$NE$2:$NE$60=K$3)*(GMW!$ND$2:$ND$60=K$4)*(GMW!$NF$2:$NF$60=K$1),0),$F62-1966)</f>
        <v>341.58600000000001</v>
      </c>
      <c r="L62" s="4" cm="1">
        <f t="array" ref="L62">INDEX(GMW!$A$2:$NF$60,MATCH(1,(GMW!$NE$2:$NE$60=L$3)*(GMW!$ND$2:$ND$60=L$4)*(GMW!$NF$2:$NF$60=L$1),0),$F62-1966)</f>
        <v>336.07100000000003</v>
      </c>
      <c r="M62" s="4" cm="1">
        <f t="array" ref="M62">INDEX(GMW!$A$2:$NF$60,MATCH(1,(GMW!$NE$2:$NE$60=M$3)*(GMW!$ND$2:$ND$60=M$4)*(GMW!$NF$2:$NF$60=M$1),0),$F62-1966)</f>
        <v>259301.5</v>
      </c>
      <c r="N62" s="4" cm="1">
        <f t="array" ref="N62">INDEX(GMW!$A$2:$NF$60,MATCH(1,(GMW!$NE$2:$NE$60=N$3)*(GMW!$ND$2:$ND$60=N$4)*(GMW!$NF$2:$NF$60=N$1),0),$F62-1966)</f>
        <v>-250</v>
      </c>
      <c r="O62" s="4" cm="1">
        <f t="array" ref="O62">INDEX(GMW!$A$2:$NF$60,MATCH(1,(GMW!$NE$2:$NE$60=O$3)*(GMW!$ND$2:$ND$60=O$4)*(GMW!$NF$2:$NF$60=O$1),0),$F62-1966)</f>
        <v>-71.27</v>
      </c>
      <c r="P62" s="4" cm="1">
        <f t="array" ref="P62">INDEX(GMW!$A$2:$NF$60,MATCH(1,(GMW!$NE$2:$NE$60=P$3)*(GMW!$ND$2:$ND$60=P$4)*(GMW!$NF$2:$NF$60=P$1),0),$F62-1966)</f>
        <v>-1069.75</v>
      </c>
      <c r="Q62" s="4" cm="1">
        <f t="array" ref="Q62">INDEX(GMW!$A$2:$NF$60,MATCH(1,(GMW!$NE$2:$NE$60=Q$3)*(GMW!$ND$2:$ND$60=Q$4)*(GMW!$NF$2:$NF$60=Q$1),0),$F62-1966)</f>
        <v>-21.16732</v>
      </c>
      <c r="R62" s="4" cm="1">
        <f t="array" ref="R62">INDEX(GMW!$A$2:$NF$60,MATCH(1,(GMW!$NE$2:$NE$60=R$3)*(GMW!$ND$2:$ND$60=R$4)*(GMW!$NF$2:$NF$60=R$1),0),$F62-1966)</f>
        <v>-6.64</v>
      </c>
      <c r="S62" s="4" cm="1">
        <f t="array" ref="S62">INDEX(GMW!$A$2:$NF$60,MATCH(1,(GMW!$NE$2:$NE$60=S$3)*(GMW!$ND$2:$ND$60=S$4)*(GMW!$NF$2:$NF$60=S$1),0),$F62-1966)</f>
        <v>-14.77957</v>
      </c>
      <c r="T62" s="4" cm="1">
        <f t="array" ref="T62">INDEX(GMW!$A$2:$NF$60,MATCH(1,(GMW!$NE$2:$NE$60=T$3)*(GMW!$ND$2:$ND$60=T$4)*(GMW!$NF$2:$NF$60=T$1),0),$F62-1966)</f>
        <v>-8867</v>
      </c>
      <c r="U62" s="4" cm="1">
        <f t="array" ref="U62">INDEX(GMW!$A$2:$NF$60,MATCH(1,(GMW!$NE$2:$NE$60=U$3)*(GMW!$ND$2:$ND$60=U$4)*(GMW!$NF$2:$NF$60=U$1),0),$F62-1966)</f>
        <v>187833.8</v>
      </c>
      <c r="V62" s="4" cm="1">
        <f t="array" ref="V62">INDEX(GMW!$A$2:$NF$60,MATCH(1,(GMW!$NE$2:$NE$60=V$3)*(GMW!$ND$2:$ND$60=V$4)*(GMW!$NF$2:$NF$60=V$1),0),$F62-1966)</f>
        <v>3842.6889999999999</v>
      </c>
      <c r="W62" s="4" cm="1">
        <f t="array" ref="W62">INDEX(GMW!$A$2:$NF$60,MATCH(1,(GMW!$NE$2:$NE$60=W$3)*(GMW!$ND$2:$ND$60=W$4)*(GMW!$NF$2:$NF$60=W$1),0),$F62-1966)</f>
        <v>262232</v>
      </c>
      <c r="X62" s="4" cm="1">
        <f t="array" ref="X62">INDEX(GMW!$A$2:$NF$60,MATCH(1,(GMW!$NE$2:$NE$60=X$3)*(GMW!$ND$2:$ND$60=X$4)*(GMW!$NF$2:$NF$60=X$1),0),$F62-1966)</f>
        <v>411.90100000000001</v>
      </c>
      <c r="Y62" s="4" cm="1">
        <f t="array" ref="Y62">INDEX(GMW!$A$2:$NF$60,MATCH(1,(GMW!$NE$2:$NE$60=Y$3)*(GMW!$ND$2:$ND$60=Y$4)*(GMW!$NF$2:$NF$60=Y$1),0),$F62-1966)</f>
        <v>296.54410000000001</v>
      </c>
      <c r="Z62" s="4" cm="1">
        <f t="array" ref="Z62">INDEX(GMW!$A$2:$NF$60,MATCH(1,(GMW!$NE$2:$NE$60=Z$3)*(GMW!$ND$2:$ND$60=Z$4)*(GMW!$NF$2:$NF$60=Z$1),0),$F62-1966)</f>
        <v>446.226</v>
      </c>
      <c r="AA62" s="4" cm="1">
        <f t="array" ref="AA62">INDEX(GMW!$A$2:$NF$60,MATCH(1,(GMW!$NE$2:$NE$60=AA$3)*(GMW!$ND$2:$ND$60=AA$4)*(GMW!$NF$2:$NF$60=AA$1),0),$F62-1966)</f>
        <v>381478</v>
      </c>
      <c r="AB62" s="4" cm="1">
        <f t="array" ref="AB62">INDEX(GMW!$A$2:$NF$60,MATCH(1,(GMW!$NE$2:$NE$60=AB$3)*(GMW!$ND$2:$ND$60=AB$4)*(GMW!$NF$2:$NF$60=AB$1),0),$F62-1966)</f>
        <v>115779</v>
      </c>
      <c r="AC62" s="4" cm="1">
        <f t="array" ref="AC62">INDEX(GMW!$A$2:$NF$60,MATCH(1,(GMW!$NE$2:$NE$60=AC$3)*(GMW!$ND$2:$ND$60=AC$4)*(GMW!$NF$2:$NF$60=AC$1),0),$F62-1966)</f>
        <v>1164.4000000000001</v>
      </c>
      <c r="AD62" s="4" cm="1">
        <f t="array" ref="AD62">INDEX(GMW!$A$2:$NF$60,MATCH(1,(GMW!$NE$2:$NE$60=AD$3)*(GMW!$ND$2:$ND$60=AD$4)*(GMW!$NF$2:$NF$60=AD$1),0),$F62-1966)</f>
        <v>90546.73</v>
      </c>
      <c r="AE62" s="4" cm="1">
        <f t="array" ref="AE62">INDEX(GMW!$A$2:$NF$60,MATCH(1,(GMW!$NE$2:$NE$60=AE$3)*(GMW!$ND$2:$ND$60=AE$4)*(GMW!$NF$2:$NF$60=AE$1),0),$F62-1966)</f>
        <v>302.11720000000003</v>
      </c>
      <c r="AF62" s="4" cm="1">
        <f t="array" ref="AF62">INDEX(GMW!$A$2:$NF$60,MATCH(1,(GMW!$NE$2:$NE$60=AF$3)*(GMW!$ND$2:$ND$60=AF$4)*(GMW!$NF$2:$NF$60=AF$1),0),$F62-1966)</f>
        <v>206.31700000000001</v>
      </c>
      <c r="AG62" s="4" cm="1">
        <f t="array" ref="AG62">INDEX(GMW!$A$2:$NF$60,MATCH(1,(GMW!$NE$2:$NE$60=AG$3)*(GMW!$ND$2:$ND$60=AG$4)*(GMW!$NF$2:$NF$60=AG$1),0),$F62-1966)</f>
        <v>131.06200000000001</v>
      </c>
      <c r="AH62" s="4" cm="1">
        <f t="array" ref="AH62">INDEX(GMW!$A$2:$NF$60,MATCH(1,(GMW!$NE$2:$NE$60=AH$3)*(GMW!$ND$2:$ND$60=AH$4)*(GMW!$NF$2:$NF$60=AH$1),0),$F62-1966)</f>
        <v>133461</v>
      </c>
    </row>
    <row r="63" spans="1:34" x14ac:dyDescent="0.25">
      <c r="A63" s="4">
        <v>1987</v>
      </c>
      <c r="B63" s="4">
        <f t="shared" si="21"/>
        <v>1987</v>
      </c>
      <c r="C63" s="4">
        <f t="shared" si="21"/>
        <v>1986</v>
      </c>
      <c r="D63" s="4">
        <f t="shared" si="21"/>
        <v>1986</v>
      </c>
      <c r="F63" s="4">
        <f t="shared" si="17"/>
        <v>2029</v>
      </c>
      <c r="G63" s="4" cm="1">
        <f t="array" ref="G63">INDEX(GMW!$A$2:$NF$60,MATCH(1,(GMW!$NE$2:$NE$60=G$3)*(GMW!$ND$2:$ND$60=G$4)*(GMW!$NF$2:$NF$60=G$1),0),$F63-1966)</f>
        <v>314804</v>
      </c>
      <c r="H63" s="4" cm="1">
        <f t="array" ref="H63">INDEX(GMW!$A$2:$NF$60,MATCH(1,(GMW!$NE$2:$NE$60=H$3)*(GMW!$ND$2:$ND$60=H$4)*(GMW!$NF$2:$NF$60=H$1),0),$F63-1966)</f>
        <v>2246.6</v>
      </c>
      <c r="I63" s="4" cm="1">
        <f t="array" ref="I63">INDEX(GMW!$A$2:$NF$60,MATCH(1,(GMW!$NE$2:$NE$60=I$3)*(GMW!$ND$2:$ND$60=I$4)*(GMW!$NF$2:$NF$60=I$1),0),$F63-1966)</f>
        <v>87931.4</v>
      </c>
      <c r="J63" s="4" cm="1">
        <f t="array" ref="J63">INDEX(GMW!$A$2:$NF$60,MATCH(1,(GMW!$NE$2:$NE$60=J$3)*(GMW!$ND$2:$ND$60=J$4)*(GMW!$NF$2:$NF$60=J$1),0),$F63-1966)</f>
        <v>497.3</v>
      </c>
      <c r="K63" s="4" cm="1">
        <f t="array" ref="K63">INDEX(GMW!$A$2:$NF$60,MATCH(1,(GMW!$NE$2:$NE$60=K$3)*(GMW!$ND$2:$ND$60=K$4)*(GMW!$NF$2:$NF$60=K$1),0),$F63-1966)</f>
        <v>341.86700000000002</v>
      </c>
      <c r="L63" s="4" cm="1">
        <f t="array" ref="L63">INDEX(GMW!$A$2:$NF$60,MATCH(1,(GMW!$NE$2:$NE$60=L$3)*(GMW!$ND$2:$ND$60=L$4)*(GMW!$NF$2:$NF$60=L$1),0),$F63-1966)</f>
        <v>337.44900000000001</v>
      </c>
      <c r="M63" s="4" cm="1">
        <f t="array" ref="M63">INDEX(GMW!$A$2:$NF$60,MATCH(1,(GMW!$NE$2:$NE$60=M$3)*(GMW!$ND$2:$ND$60=M$4)*(GMW!$NF$2:$NF$60=M$1),0),$F63-1966)</f>
        <v>265295</v>
      </c>
      <c r="N63" s="4" cm="1">
        <f t="array" ref="N63">INDEX(GMW!$A$2:$NF$60,MATCH(1,(GMW!$NE$2:$NE$60=N$3)*(GMW!$ND$2:$ND$60=N$4)*(GMW!$NF$2:$NF$60=N$1),0),$F63-1966)</f>
        <v>-855</v>
      </c>
      <c r="O63" s="4" cm="1">
        <f t="array" ref="O63">INDEX(GMW!$A$2:$NF$60,MATCH(1,(GMW!$NE$2:$NE$60=O$3)*(GMW!$ND$2:$ND$60=O$4)*(GMW!$NF$2:$NF$60=O$1),0),$F63-1966)</f>
        <v>-73.37424</v>
      </c>
      <c r="P63" s="4" cm="1">
        <f t="array" ref="P63">INDEX(GMW!$A$2:$NF$60,MATCH(1,(GMW!$NE$2:$NE$60=P$3)*(GMW!$ND$2:$ND$60=P$4)*(GMW!$NF$2:$NF$60=P$1),0),$F63-1966)</f>
        <v>-354.5</v>
      </c>
      <c r="Q63" s="4" cm="1">
        <f t="array" ref="Q63">INDEX(GMW!$A$2:$NF$60,MATCH(1,(GMW!$NE$2:$NE$60=Q$3)*(GMW!$ND$2:$ND$60=Q$4)*(GMW!$NF$2:$NF$60=Q$1),0),$F63-1966)</f>
        <v>-23.50929</v>
      </c>
      <c r="R63" s="4" cm="1">
        <f t="array" ref="R63">INDEX(GMW!$A$2:$NF$60,MATCH(1,(GMW!$NE$2:$NE$60=R$3)*(GMW!$ND$2:$ND$60=R$4)*(GMW!$NF$2:$NF$60=R$1),0),$F63-1966)</f>
        <v>-3.3919999999999999</v>
      </c>
      <c r="S63" s="4" cm="1">
        <f t="array" ref="S63">INDEX(GMW!$A$2:$NF$60,MATCH(1,(GMW!$NE$2:$NE$60=S$3)*(GMW!$ND$2:$ND$60=S$4)*(GMW!$NF$2:$NF$60=S$1),0),$F63-1966)</f>
        <v>-14.977510000000001</v>
      </c>
      <c r="T63" s="4" cm="1">
        <f t="array" ref="T63">INDEX(GMW!$A$2:$NF$60,MATCH(1,(GMW!$NE$2:$NE$60=T$3)*(GMW!$ND$2:$ND$60=T$4)*(GMW!$NF$2:$NF$60=T$1),0),$F63-1966)</f>
        <v>-9196.9989999999998</v>
      </c>
      <c r="U63" s="4" cm="1">
        <f t="array" ref="U63">INDEX(GMW!$A$2:$NF$60,MATCH(1,(GMW!$NE$2:$NE$60=U$3)*(GMW!$ND$2:$ND$60=U$4)*(GMW!$NF$2:$NF$60=U$1),0),$F63-1966)</f>
        <v>190684</v>
      </c>
      <c r="V63" s="4" cm="1">
        <f t="array" ref="V63">INDEX(GMW!$A$2:$NF$60,MATCH(1,(GMW!$NE$2:$NE$60=V$3)*(GMW!$ND$2:$ND$60=V$4)*(GMW!$NF$2:$NF$60=V$1),0),$F63-1966)</f>
        <v>3860.7449999999999</v>
      </c>
      <c r="W63" s="4" cm="1">
        <f t="array" ref="W63">INDEX(GMW!$A$2:$NF$60,MATCH(1,(GMW!$NE$2:$NE$60=W$3)*(GMW!$ND$2:$ND$60=W$4)*(GMW!$NF$2:$NF$60=W$1),0),$F63-1966)</f>
        <v>266423</v>
      </c>
      <c r="X63" s="4" cm="1">
        <f t="array" ref="X63">INDEX(GMW!$A$2:$NF$60,MATCH(1,(GMW!$NE$2:$NE$60=X$3)*(GMW!$ND$2:$ND$60=X$4)*(GMW!$NF$2:$NF$60=X$1),0),$F63-1966)</f>
        <v>417.96230000000003</v>
      </c>
      <c r="Y63" s="4" cm="1">
        <f t="array" ref="Y63">INDEX(GMW!$A$2:$NF$60,MATCH(1,(GMW!$NE$2:$NE$60=Y$3)*(GMW!$ND$2:$ND$60=Y$4)*(GMW!$NF$2:$NF$60=Y$1),0),$F63-1966)</f>
        <v>303.2088</v>
      </c>
      <c r="Z63" s="4" cm="1">
        <f t="array" ref="Z63">INDEX(GMW!$A$2:$NF$60,MATCH(1,(GMW!$NE$2:$NE$60=Z$3)*(GMW!$ND$2:$ND$60=Z$4)*(GMW!$NF$2:$NF$60=Z$1),0),$F63-1966)</f>
        <v>461.28149999999999</v>
      </c>
      <c r="AA63" s="4" cm="1">
        <f t="array" ref="AA63">INDEX(GMW!$A$2:$NF$60,MATCH(1,(GMW!$NE$2:$NE$60=AA$3)*(GMW!$ND$2:$ND$60=AA$4)*(GMW!$NF$2:$NF$60=AA$1),0),$F63-1966)</f>
        <v>390773</v>
      </c>
      <c r="AB63" s="4" cm="1">
        <f t="array" ref="AB63">INDEX(GMW!$A$2:$NF$60,MATCH(1,(GMW!$NE$2:$NE$60=AB$3)*(GMW!$ND$2:$ND$60=AB$4)*(GMW!$NF$2:$NF$60=AB$1),0),$F63-1966)</f>
        <v>118136</v>
      </c>
      <c r="AC63" s="4" cm="1">
        <f t="array" ref="AC63">INDEX(GMW!$A$2:$NF$60,MATCH(1,(GMW!$NE$2:$NE$60=AC$3)*(GMW!$ND$2:$ND$60=AC$4)*(GMW!$NF$2:$NF$60=AC$1),0),$F63-1966)</f>
        <v>1180.55</v>
      </c>
      <c r="AD63" s="4" cm="1">
        <f t="array" ref="AD63">INDEX(GMW!$A$2:$NF$60,MATCH(1,(GMW!$NE$2:$NE$60=AD$3)*(GMW!$ND$2:$ND$60=AD$4)*(GMW!$NF$2:$NF$60=AD$1),0),$F63-1966)</f>
        <v>90614.27</v>
      </c>
      <c r="AE63" s="4" cm="1">
        <f t="array" ref="AE63">INDEX(GMW!$A$2:$NF$60,MATCH(1,(GMW!$NE$2:$NE$60=AE$3)*(GMW!$ND$2:$ND$60=AE$4)*(GMW!$NF$2:$NF$60=AE$1),0),$F63-1966)</f>
        <v>294.68169999999998</v>
      </c>
      <c r="AF63" s="4" cm="1">
        <f t="array" ref="AF63">INDEX(GMW!$A$2:$NF$60,MATCH(1,(GMW!$NE$2:$NE$60=AF$3)*(GMW!$ND$2:$ND$60=AF$4)*(GMW!$NF$2:$NF$60=AF$1),0),$F63-1966)</f>
        <v>206.767</v>
      </c>
      <c r="AG63" s="4" cm="1">
        <f t="array" ref="AG63">INDEX(GMW!$A$2:$NF$60,MATCH(1,(GMW!$NE$2:$NE$60=AG$3)*(GMW!$ND$2:$ND$60=AG$4)*(GMW!$NF$2:$NF$60=AG$1),0),$F63-1966)</f>
        <v>133.29499999999999</v>
      </c>
      <c r="AH63" s="4" cm="1">
        <f t="array" ref="AH63">INDEX(GMW!$A$2:$NF$60,MATCH(1,(GMW!$NE$2:$NE$60=AH$3)*(GMW!$ND$2:$ND$60=AH$4)*(GMW!$NF$2:$NF$60=AH$1),0),$F63-1966)</f>
        <v>138121</v>
      </c>
    </row>
    <row r="64" spans="1:34" x14ac:dyDescent="0.25">
      <c r="B64" s="4">
        <f t="shared" si="21"/>
        <v>1987</v>
      </c>
      <c r="C64" s="4">
        <f t="shared" si="21"/>
        <v>1987</v>
      </c>
      <c r="F64" s="4">
        <f t="shared" si="17"/>
        <v>2030</v>
      </c>
      <c r="G64" s="4" cm="1">
        <f t="array" ref="G64">INDEX(GMW!$A$2:$NF$60,MATCH(1,(GMW!$NE$2:$NE$60=G$3)*(GMW!$ND$2:$ND$60=G$4)*(GMW!$NF$2:$NF$60=G$1),0),$F64-1966)</f>
        <v>319478</v>
      </c>
      <c r="H64" s="4" cm="1">
        <f t="array" ref="H64">INDEX(GMW!$A$2:$NF$60,MATCH(1,(GMW!$NE$2:$NE$60=H$3)*(GMW!$ND$2:$ND$60=H$4)*(GMW!$NF$2:$NF$60=H$1),0),$F64-1966)</f>
        <v>2270.8249999999998</v>
      </c>
      <c r="I64" s="4" cm="1">
        <f t="array" ref="I64">INDEX(GMW!$A$2:$NF$60,MATCH(1,(GMW!$NE$2:$NE$60=I$3)*(GMW!$ND$2:$ND$60=I$4)*(GMW!$NF$2:$NF$60=I$1),0),$F64-1966)</f>
        <v>89458.15</v>
      </c>
      <c r="J64" s="4" cm="1">
        <f t="array" ref="J64">INDEX(GMW!$A$2:$NF$60,MATCH(1,(GMW!$NE$2:$NE$60=J$3)*(GMW!$ND$2:$ND$60=J$4)*(GMW!$NF$2:$NF$60=J$1),0),$F64-1966)</f>
        <v>508.47</v>
      </c>
      <c r="K64" s="4" cm="1">
        <f t="array" ref="K64">INDEX(GMW!$A$2:$NF$60,MATCH(1,(GMW!$NE$2:$NE$60=K$3)*(GMW!$ND$2:$ND$60=K$4)*(GMW!$NF$2:$NF$60=K$1),0),$F64-1966)</f>
        <v>346.95699999999999</v>
      </c>
      <c r="L64" s="4" cm="1">
        <f t="array" ref="L64">INDEX(GMW!$A$2:$NF$60,MATCH(1,(GMW!$NE$2:$NE$60=L$3)*(GMW!$ND$2:$ND$60=L$4)*(GMW!$NF$2:$NF$60=L$1),0),$F64-1966)</f>
        <v>342.55799999999999</v>
      </c>
      <c r="M64" s="4" cm="1">
        <f t="array" ref="M64">INDEX(GMW!$A$2:$NF$60,MATCH(1,(GMW!$NE$2:$NE$60=M$3)*(GMW!$ND$2:$ND$60=M$4)*(GMW!$NF$2:$NF$60=M$1),0),$F64-1966)</f>
        <v>268693.5</v>
      </c>
      <c r="N64" s="4" cm="1">
        <f t="array" ref="N64">INDEX(GMW!$A$2:$NF$60,MATCH(1,(GMW!$NE$2:$NE$60=N$3)*(GMW!$ND$2:$ND$60=N$4)*(GMW!$NF$2:$NF$60=N$1),0),$F64-1966)</f>
        <v>-4353</v>
      </c>
      <c r="O64" s="4" cm="1">
        <f t="array" ref="O64">INDEX(GMW!$A$2:$NF$60,MATCH(1,(GMW!$NE$2:$NE$60=O$3)*(GMW!$ND$2:$ND$60=O$4)*(GMW!$NF$2:$NF$60=O$1),0),$F64-1966)</f>
        <v>-58.127749999999999</v>
      </c>
      <c r="P64" s="4" cm="1">
        <f t="array" ref="P64">INDEX(GMW!$A$2:$NF$60,MATCH(1,(GMW!$NE$2:$NE$60=P$3)*(GMW!$ND$2:$ND$60=P$4)*(GMW!$NF$2:$NF$60=P$1),0),$F64-1966)</f>
        <v>-242.25</v>
      </c>
      <c r="Q64" s="4" cm="1">
        <f t="array" ref="Q64">INDEX(GMW!$A$2:$NF$60,MATCH(1,(GMW!$NE$2:$NE$60=Q$3)*(GMW!$ND$2:$ND$60=Q$4)*(GMW!$NF$2:$NF$60=Q$1),0),$F64-1966)</f>
        <v>-23.50929</v>
      </c>
      <c r="R64" s="4" cm="1">
        <f t="array" ref="R64">INDEX(GMW!$A$2:$NF$60,MATCH(1,(GMW!$NE$2:$NE$60=R$3)*(GMW!$ND$2:$ND$60=R$4)*(GMW!$NF$2:$NF$60=R$1),0),$F64-1966)</f>
        <v>-4.6639999999999997</v>
      </c>
      <c r="S64" s="4" cm="1">
        <f t="array" ref="S64">INDEX(GMW!$A$2:$NF$60,MATCH(1,(GMW!$NE$2:$NE$60=S$3)*(GMW!$ND$2:$ND$60=S$4)*(GMW!$NF$2:$NF$60=S$1),0),$F64-1966)</f>
        <v>-15.17751</v>
      </c>
      <c r="T64" s="4" cm="1">
        <f t="array" ref="T64">INDEX(GMW!$A$2:$NF$60,MATCH(1,(GMW!$NE$2:$NE$60=T$3)*(GMW!$ND$2:$ND$60=T$4)*(GMW!$NF$2:$NF$60=T$1),0),$F64-1966)</f>
        <v>-7193</v>
      </c>
      <c r="U64" s="4" cm="1">
        <f t="array" ref="U64">INDEX(GMW!$A$2:$NF$60,MATCH(1,(GMW!$NE$2:$NE$60=U$3)*(GMW!$ND$2:$ND$60=U$4)*(GMW!$NF$2:$NF$60=U$1),0),$F64-1966)</f>
        <v>193241.8</v>
      </c>
      <c r="V64" s="4" cm="1">
        <f t="array" ref="V64">INDEX(GMW!$A$2:$NF$60,MATCH(1,(GMW!$NE$2:$NE$60=V$3)*(GMW!$ND$2:$ND$60=V$4)*(GMW!$NF$2:$NF$60=V$1),0),$F64-1966)</f>
        <v>3921.489</v>
      </c>
      <c r="W64" s="4" cm="1">
        <f t="array" ref="W64">INDEX(GMW!$A$2:$NF$60,MATCH(1,(GMW!$NE$2:$NE$60=W$3)*(GMW!$ND$2:$ND$60=W$4)*(GMW!$NF$2:$NF$60=W$1),0),$F64-1966)</f>
        <v>270614</v>
      </c>
      <c r="X64" s="4" cm="1">
        <f t="array" ref="X64">INDEX(GMW!$A$2:$NF$60,MATCH(1,(GMW!$NE$2:$NE$60=X$3)*(GMW!$ND$2:$ND$60=X$4)*(GMW!$NF$2:$NF$60=X$1),0),$F64-1966)</f>
        <v>423.73009999999999</v>
      </c>
      <c r="Y64" s="4" cm="1">
        <f t="array" ref="Y64">INDEX(GMW!$A$2:$NF$60,MATCH(1,(GMW!$NE$2:$NE$60=Y$3)*(GMW!$ND$2:$ND$60=Y$4)*(GMW!$NF$2:$NF$60=Y$1),0),$F64-1966)</f>
        <v>309.87349999999998</v>
      </c>
      <c r="Z64" s="4" cm="1">
        <f t="array" ref="Z64">INDEX(GMW!$A$2:$NF$60,MATCH(1,(GMW!$NE$2:$NE$60=Z$3)*(GMW!$ND$2:$ND$60=Z$4)*(GMW!$NF$2:$NF$60=Z$1),0),$F64-1966)</f>
        <v>476.33699999999999</v>
      </c>
      <c r="AA64" s="4" cm="1">
        <f t="array" ref="AA64">INDEX(GMW!$A$2:$NF$60,MATCH(1,(GMW!$NE$2:$NE$60=AA$3)*(GMW!$ND$2:$ND$60=AA$4)*(GMW!$NF$2:$NF$60=AA$1),0),$F64-1966)</f>
        <v>400069</v>
      </c>
      <c r="AB64" s="4" cm="1">
        <f t="array" ref="AB64">INDEX(GMW!$A$2:$NF$60,MATCH(1,(GMW!$NE$2:$NE$60=AB$3)*(GMW!$ND$2:$ND$60=AB$4)*(GMW!$NF$2:$NF$60=AB$1),0),$F64-1966)</f>
        <v>121739</v>
      </c>
      <c r="AC64" s="4" cm="1">
        <f t="array" ref="AC64">INDEX(GMW!$A$2:$NF$60,MATCH(1,(GMW!$NE$2:$NE$60=AC$3)*(GMW!$ND$2:$ND$60=AC$4)*(GMW!$NF$2:$NF$60=AC$1),0),$F64-1966)</f>
        <v>1201.55</v>
      </c>
      <c r="AD64" s="4" cm="1">
        <f t="array" ref="AD64">INDEX(GMW!$A$2:$NF$60,MATCH(1,(GMW!$NE$2:$NE$60=AD$3)*(GMW!$ND$2:$ND$60=AD$4)*(GMW!$NF$2:$NF$60=AD$1),0),$F64-1966)</f>
        <v>92024.13</v>
      </c>
      <c r="AE64" s="4" cm="1">
        <f t="array" ref="AE64">INDEX(GMW!$A$2:$NF$60,MATCH(1,(GMW!$NE$2:$NE$60=AE$3)*(GMW!$ND$2:$ND$60=AE$4)*(GMW!$NF$2:$NF$60=AE$1),0),$F64-1966)</f>
        <v>301.30329999999998</v>
      </c>
      <c r="AF64" s="4" cm="1">
        <f t="array" ref="AF64">INDEX(GMW!$A$2:$NF$60,MATCH(1,(GMW!$NE$2:$NE$60=AF$3)*(GMW!$ND$2:$ND$60=AF$4)*(GMW!$NF$2:$NF$60=AF$1),0),$F64-1966)</f>
        <v>210.55099999999999</v>
      </c>
      <c r="AG64" s="4" cm="1">
        <f t="array" ref="AG64">INDEX(GMW!$A$2:$NF$60,MATCH(1,(GMW!$NE$2:$NE$60=AG$3)*(GMW!$ND$2:$ND$60=AG$4)*(GMW!$NF$2:$NF$60=AG$1),0),$F64-1966)</f>
        <v>137.46899999999999</v>
      </c>
      <c r="AH64" s="4" cm="1">
        <f t="array" ref="AH64">INDEX(GMW!$A$2:$NF$60,MATCH(1,(GMW!$NE$2:$NE$60=AH$3)*(GMW!$ND$2:$ND$60=AH$4)*(GMW!$NF$2:$NF$60=AH$1),0),$F64-1966)</f>
        <v>141855</v>
      </c>
    </row>
    <row r="65" spans="1:34" x14ac:dyDescent="0.25">
      <c r="B65" s="4">
        <f t="shared" si="21"/>
        <v>1987</v>
      </c>
      <c r="C65" s="4">
        <f t="shared" si="21"/>
        <v>1987</v>
      </c>
      <c r="F65" s="4">
        <f t="shared" si="17"/>
        <v>2031</v>
      </c>
      <c r="G65" s="4" cm="1">
        <f t="array" ref="G65">INDEX(GMW!$A$2:$NF$60,MATCH(1,(GMW!$NE$2:$NE$60=G$3)*(GMW!$ND$2:$ND$60=G$4)*(GMW!$NF$2:$NF$60=G$1),0),$F65-1966)</f>
        <v>327346</v>
      </c>
      <c r="H65" s="4" cm="1">
        <f t="array" ref="H65">INDEX(GMW!$A$2:$NF$60,MATCH(1,(GMW!$NE$2:$NE$60=H$3)*(GMW!$ND$2:$ND$60=H$4)*(GMW!$NF$2:$NF$60=H$1),0),$F65-1966)</f>
        <v>2290.5</v>
      </c>
      <c r="I65" s="4" cm="1">
        <f t="array" ref="I65">INDEX(GMW!$A$2:$NF$60,MATCH(1,(GMW!$NE$2:$NE$60=I$3)*(GMW!$ND$2:$ND$60=I$4)*(GMW!$NF$2:$NF$60=I$1),0),$F65-1966)</f>
        <v>91089.55</v>
      </c>
      <c r="J65" s="4" cm="1">
        <f t="array" ref="J65">INDEX(GMW!$A$2:$NF$60,MATCH(1,(GMW!$NE$2:$NE$60=J$3)*(GMW!$ND$2:$ND$60=J$4)*(GMW!$NF$2:$NF$60=J$1),0),$F65-1966)</f>
        <v>512.03</v>
      </c>
      <c r="K65" s="4" cm="1">
        <f t="array" ref="K65">INDEX(GMW!$A$2:$NF$60,MATCH(1,(GMW!$NE$2:$NE$60=K$3)*(GMW!$ND$2:$ND$60=K$4)*(GMW!$NF$2:$NF$60=K$1),0),$F65-1966)</f>
        <v>349.29</v>
      </c>
      <c r="L65" s="4" cm="1">
        <f t="array" ref="L65">INDEX(GMW!$A$2:$NF$60,MATCH(1,(GMW!$NE$2:$NE$60=L$3)*(GMW!$ND$2:$ND$60=L$4)*(GMW!$NF$2:$NF$60=L$1),0),$F65-1966)</f>
        <v>343.54700000000003</v>
      </c>
      <c r="M65" s="4" cm="1">
        <f t="array" ref="M65">INDEX(GMW!$A$2:$NF$60,MATCH(1,(GMW!$NE$2:$NE$60=M$3)*(GMW!$ND$2:$ND$60=M$4)*(GMW!$NF$2:$NF$60=M$1),0),$F65-1966)</f>
        <v>272798.8</v>
      </c>
      <c r="N65" s="4" cm="1">
        <f t="array" ref="N65">INDEX(GMW!$A$2:$NF$60,MATCH(1,(GMW!$NE$2:$NE$60=N$3)*(GMW!$ND$2:$ND$60=N$4)*(GMW!$NF$2:$NF$60=N$1),0),$F65-1966)</f>
        <v>-1823</v>
      </c>
      <c r="O65" s="4" cm="1">
        <f t="array" ref="O65">INDEX(GMW!$A$2:$NF$60,MATCH(1,(GMW!$NE$2:$NE$60=O$3)*(GMW!$ND$2:$ND$60=O$4)*(GMW!$NF$2:$NF$60=O$1),0),$F65-1966)</f>
        <v>-64.236999999999995</v>
      </c>
      <c r="P65" s="4" cm="1">
        <f t="array" ref="P65">INDEX(GMW!$A$2:$NF$60,MATCH(1,(GMW!$NE$2:$NE$60=P$3)*(GMW!$ND$2:$ND$60=P$4)*(GMW!$NF$2:$NF$60=P$1),0),$F65-1966)</f>
        <v>-241.5</v>
      </c>
      <c r="Q65" s="4" cm="1">
        <f t="array" ref="Q65">INDEX(GMW!$A$2:$NF$60,MATCH(1,(GMW!$NE$2:$NE$60=Q$3)*(GMW!$ND$2:$ND$60=Q$4)*(GMW!$NF$2:$NF$60=Q$1),0),$F65-1966)</f>
        <v>-23.50929</v>
      </c>
      <c r="R65" s="4" cm="1">
        <f t="array" ref="R65">INDEX(GMW!$A$2:$NF$60,MATCH(1,(GMW!$NE$2:$NE$60=R$3)*(GMW!$ND$2:$ND$60=R$4)*(GMW!$NF$2:$NF$60=R$1),0),$F65-1966)</f>
        <v>-4.9349999999999996</v>
      </c>
      <c r="S65" s="4" cm="1">
        <f t="array" ref="S65">INDEX(GMW!$A$2:$NF$60,MATCH(1,(GMW!$NE$2:$NE$60=S$3)*(GMW!$ND$2:$ND$60=S$4)*(GMW!$NF$2:$NF$60=S$1),0),$F65-1966)</f>
        <v>-15.379569999999999</v>
      </c>
      <c r="T65" s="4" cm="1">
        <f t="array" ref="T65">INDEX(GMW!$A$2:$NF$60,MATCH(1,(GMW!$NE$2:$NE$60=T$3)*(GMW!$ND$2:$ND$60=T$4)*(GMW!$NF$2:$NF$60=T$1),0),$F65-1966)</f>
        <v>-6788</v>
      </c>
      <c r="U65" s="4" cm="1">
        <f t="array" ref="U65">INDEX(GMW!$A$2:$NF$60,MATCH(1,(GMW!$NE$2:$NE$60=U$3)*(GMW!$ND$2:$ND$60=U$4)*(GMW!$NF$2:$NF$60=U$1),0),$F65-1966)</f>
        <v>195799.5</v>
      </c>
      <c r="V65" s="4" cm="1">
        <f t="array" ref="V65">INDEX(GMW!$A$2:$NF$60,MATCH(1,(GMW!$NE$2:$NE$60=V$3)*(GMW!$ND$2:$ND$60=V$4)*(GMW!$NF$2:$NF$60=V$1),0),$F65-1966)</f>
        <v>3983.5360000000001</v>
      </c>
      <c r="W65" s="4" cm="1">
        <f t="array" ref="W65">INDEX(GMW!$A$2:$NF$60,MATCH(1,(GMW!$NE$2:$NE$60=W$3)*(GMW!$ND$2:$ND$60=W$4)*(GMW!$NF$2:$NF$60=W$1),0),$F65-1966)</f>
        <v>274805</v>
      </c>
      <c r="X65" s="4" cm="1">
        <f t="array" ref="X65">INDEX(GMW!$A$2:$NF$60,MATCH(1,(GMW!$NE$2:$NE$60=X$3)*(GMW!$ND$2:$ND$60=X$4)*(GMW!$NF$2:$NF$60=X$1),0),$F65-1966)</f>
        <v>430.16019999999997</v>
      </c>
      <c r="Y65" s="4" cm="1">
        <f t="array" ref="Y65">INDEX(GMW!$A$2:$NF$60,MATCH(1,(GMW!$NE$2:$NE$60=Y$3)*(GMW!$ND$2:$ND$60=Y$4)*(GMW!$NF$2:$NF$60=Y$1),0),$F65-1966)</f>
        <v>316.53820000000002</v>
      </c>
      <c r="Z65" s="4" cm="1">
        <f t="array" ref="Z65">INDEX(GMW!$A$2:$NF$60,MATCH(1,(GMW!$NE$2:$NE$60=Z$3)*(GMW!$ND$2:$ND$60=Z$4)*(GMW!$NF$2:$NF$60=Z$1),0),$F65-1966)</f>
        <v>491.39249999999998</v>
      </c>
      <c r="AA65" s="4" cm="1">
        <f t="array" ref="AA65">INDEX(GMW!$A$2:$NF$60,MATCH(1,(GMW!$NE$2:$NE$60=AA$3)*(GMW!$ND$2:$ND$60=AA$4)*(GMW!$NF$2:$NF$60=AA$1),0),$F65-1966)</f>
        <v>409364</v>
      </c>
      <c r="AB65" s="4" cm="1">
        <f t="array" ref="AB65">INDEX(GMW!$A$2:$NF$60,MATCH(1,(GMW!$NE$2:$NE$60=AB$3)*(GMW!$ND$2:$ND$60=AB$4)*(GMW!$NF$2:$NF$60=AB$1),0),$F65-1966)</f>
        <v>127119</v>
      </c>
      <c r="AC65" s="4" cm="1">
        <f t="array" ref="AC65">INDEX(GMW!$A$2:$NF$60,MATCH(1,(GMW!$NE$2:$NE$60=AC$3)*(GMW!$ND$2:$ND$60=AC$4)*(GMW!$NF$2:$NF$60=AC$1),0),$F65-1966)</f>
        <v>1221.1500000000001</v>
      </c>
      <c r="AD65" s="4" cm="1">
        <f t="array" ref="AD65">INDEX(GMW!$A$2:$NF$60,MATCH(1,(GMW!$NE$2:$NE$60=AD$3)*(GMW!$ND$2:$ND$60=AD$4)*(GMW!$NF$2:$NF$60=AD$1),0),$F65-1966)</f>
        <v>94048.6</v>
      </c>
      <c r="AE65" s="4" cm="1">
        <f t="array" ref="AE65">INDEX(GMW!$A$2:$NF$60,MATCH(1,(GMW!$NE$2:$NE$60=AE$3)*(GMW!$ND$2:$ND$60=AE$4)*(GMW!$NF$2:$NF$60=AE$1),0),$F65-1966)</f>
        <v>304.13010000000003</v>
      </c>
      <c r="AF65" s="4" cm="1">
        <f t="array" ref="AF65">INDEX(GMW!$A$2:$NF$60,MATCH(1,(GMW!$NE$2:$NE$60=AF$3)*(GMW!$ND$2:$ND$60=AF$4)*(GMW!$NF$2:$NF$60=AF$1),0),$F65-1966)</f>
        <v>213.721</v>
      </c>
      <c r="AG65" s="4" cm="1">
        <f t="array" ref="AG65">INDEX(GMW!$A$2:$NF$60,MATCH(1,(GMW!$NE$2:$NE$60=AG$3)*(GMW!$ND$2:$ND$60=AG$4)*(GMW!$NF$2:$NF$60=AG$1),0),$F65-1966)</f>
        <v>139.80699999999999</v>
      </c>
      <c r="AH65" s="4" cm="1">
        <f t="array" ref="AH65">INDEX(GMW!$A$2:$NF$60,MATCH(1,(GMW!$NE$2:$NE$60=AH$3)*(GMW!$ND$2:$ND$60=AH$4)*(GMW!$NF$2:$NF$60=AH$1),0),$F65-1966)</f>
        <v>145420</v>
      </c>
    </row>
    <row r="66" spans="1:34" x14ac:dyDescent="0.25">
      <c r="B66" s="4">
        <f t="shared" si="21"/>
        <v>1987</v>
      </c>
      <c r="C66" s="4">
        <f t="shared" si="21"/>
        <v>1987</v>
      </c>
      <c r="E66" s="4">
        <f t="shared" ref="E66" si="23">+E62+1</f>
        <v>1987</v>
      </c>
      <c r="F66" s="4">
        <f t="shared" si="17"/>
        <v>2032</v>
      </c>
      <c r="G66" s="4" cm="1">
        <f t="array" ref="G66">INDEX(GMW!$A$2:$NF$60,MATCH(1,(GMW!$NE$2:$NE$60=G$3)*(GMW!$ND$2:$ND$60=G$4)*(GMW!$NF$2:$NF$60=G$1),0),$F66-1966)</f>
        <v>331075</v>
      </c>
      <c r="H66" s="4" cm="1">
        <f t="array" ref="H66">INDEX(GMW!$A$2:$NF$60,MATCH(1,(GMW!$NE$2:$NE$60=H$3)*(GMW!$ND$2:$ND$60=H$4)*(GMW!$NF$2:$NF$60=H$1),0),$F66-1966)</f>
        <v>2329.8249999999998</v>
      </c>
      <c r="I66" s="4" cm="1">
        <f t="array" ref="I66">INDEX(GMW!$A$2:$NF$60,MATCH(1,(GMW!$NE$2:$NE$60=I$3)*(GMW!$ND$2:$ND$60=I$4)*(GMW!$NF$2:$NF$60=I$1),0),$F66-1966)</f>
        <v>93422.8</v>
      </c>
      <c r="J66" s="4" cm="1">
        <f t="array" ref="J66">INDEX(GMW!$A$2:$NF$60,MATCH(1,(GMW!$NE$2:$NE$60=J$3)*(GMW!$ND$2:$ND$60=J$4)*(GMW!$NF$2:$NF$60=J$1),0),$F66-1966)</f>
        <v>520.15</v>
      </c>
      <c r="K66" s="4" cm="1">
        <f t="array" ref="K66">INDEX(GMW!$A$2:$NF$60,MATCH(1,(GMW!$NE$2:$NE$60=K$3)*(GMW!$ND$2:$ND$60=K$4)*(GMW!$NF$2:$NF$60=K$1),0),$F66-1966)</f>
        <v>354.44200000000001</v>
      </c>
      <c r="L66" s="4" cm="1">
        <f t="array" ref="L66">INDEX(GMW!$A$2:$NF$60,MATCH(1,(GMW!$NE$2:$NE$60=L$3)*(GMW!$ND$2:$ND$60=L$4)*(GMW!$NF$2:$NF$60=L$1),0),$F66-1966)</f>
        <v>347.24299999999999</v>
      </c>
      <c r="M66" s="4" cm="1">
        <f t="array" ref="M66">INDEX(GMW!$A$2:$NF$60,MATCH(1,(GMW!$NE$2:$NE$60=M$3)*(GMW!$ND$2:$ND$60=M$4)*(GMW!$NF$2:$NF$60=M$1),0),$F66-1966)</f>
        <v>276323</v>
      </c>
      <c r="N66" s="4" cm="1">
        <f t="array" ref="N66">INDEX(GMW!$A$2:$NF$60,MATCH(1,(GMW!$NE$2:$NE$60=N$3)*(GMW!$ND$2:$ND$60=N$4)*(GMW!$NF$2:$NF$60=N$1),0),$F66-1966)</f>
        <v>101</v>
      </c>
      <c r="O66" s="4" cm="1">
        <f t="array" ref="O66">INDEX(GMW!$A$2:$NF$60,MATCH(1,(GMW!$NE$2:$NE$60=O$3)*(GMW!$ND$2:$ND$60=O$4)*(GMW!$NF$2:$NF$60=O$1),0),$F66-1966)</f>
        <v>-65.601489999999998</v>
      </c>
      <c r="P66" s="4" cm="1">
        <f t="array" ref="P66">INDEX(GMW!$A$2:$NF$60,MATCH(1,(GMW!$NE$2:$NE$60=P$3)*(GMW!$ND$2:$ND$60=P$4)*(GMW!$NF$2:$NF$60=P$1),0),$F66-1966)</f>
        <v>-115.25</v>
      </c>
      <c r="Q66" s="4" cm="1">
        <f t="array" ref="Q66">INDEX(GMW!$A$2:$NF$60,MATCH(1,(GMW!$NE$2:$NE$60=Q$3)*(GMW!$ND$2:$ND$60=Q$4)*(GMW!$NF$2:$NF$60=Q$1),0),$F66-1966)</f>
        <v>-23.50929</v>
      </c>
      <c r="R66" s="4" cm="1">
        <f t="array" ref="R66">INDEX(GMW!$A$2:$NF$60,MATCH(1,(GMW!$NE$2:$NE$60=R$3)*(GMW!$ND$2:$ND$60=R$4)*(GMW!$NF$2:$NF$60=R$1),0),$F66-1966)</f>
        <v>-4.2460000000000004</v>
      </c>
      <c r="S66" s="4" cm="1">
        <f t="array" ref="S66">INDEX(GMW!$A$2:$NF$60,MATCH(1,(GMW!$NE$2:$NE$60=S$3)*(GMW!$ND$2:$ND$60=S$4)*(GMW!$NF$2:$NF$60=S$1),0),$F66-1966)</f>
        <v>-15.559900000000001</v>
      </c>
      <c r="T66" s="4" cm="1">
        <f t="array" ref="T66">INDEX(GMW!$A$2:$NF$60,MATCH(1,(GMW!$NE$2:$NE$60=T$3)*(GMW!$ND$2:$ND$60=T$4)*(GMW!$NF$2:$NF$60=T$1),0),$F66-1966)</f>
        <v>-6234</v>
      </c>
      <c r="U66" s="4" cm="1">
        <f t="array" ref="U66">INDEX(GMW!$A$2:$NF$60,MATCH(1,(GMW!$NE$2:$NE$60=U$3)*(GMW!$ND$2:$ND$60=U$4)*(GMW!$NF$2:$NF$60=U$1),0),$F66-1966)</f>
        <v>198357.3</v>
      </c>
      <c r="V66" s="4" cm="1">
        <f t="array" ref="V66">INDEX(GMW!$A$2:$NF$60,MATCH(1,(GMW!$NE$2:$NE$60=V$3)*(GMW!$ND$2:$ND$60=V$4)*(GMW!$NF$2:$NF$60=V$1),0),$F66-1966)</f>
        <v>4130.4989999999998</v>
      </c>
      <c r="W66" s="4" cm="1">
        <f t="array" ref="W66">INDEX(GMW!$A$2:$NF$60,MATCH(1,(GMW!$NE$2:$NE$60=W$3)*(GMW!$ND$2:$ND$60=W$4)*(GMW!$NF$2:$NF$60=W$1),0),$F66-1966)</f>
        <v>278995</v>
      </c>
      <c r="X66" s="4" cm="1">
        <f t="array" ref="X66">INDEX(GMW!$A$2:$NF$60,MATCH(1,(GMW!$NE$2:$NE$60=X$3)*(GMW!$ND$2:$ND$60=X$4)*(GMW!$NF$2:$NF$60=X$1),0),$F66-1966)</f>
        <v>437.25279999999998</v>
      </c>
      <c r="Y66" s="4" cm="1">
        <f t="array" ref="Y66">INDEX(GMW!$A$2:$NF$60,MATCH(1,(GMW!$NE$2:$NE$60=Y$3)*(GMW!$ND$2:$ND$60=Y$4)*(GMW!$NF$2:$NF$60=Y$1),0),$F66-1966)</f>
        <v>323.2029</v>
      </c>
      <c r="Z66" s="4" cm="1">
        <f t="array" ref="Z66">INDEX(GMW!$A$2:$NF$60,MATCH(1,(GMW!$NE$2:$NE$60=Z$3)*(GMW!$ND$2:$ND$60=Z$4)*(GMW!$NF$2:$NF$60=Z$1),0),$F66-1966)</f>
        <v>506.44799999999998</v>
      </c>
      <c r="AA66" s="4" cm="1">
        <f t="array" ref="AA66">INDEX(GMW!$A$2:$NF$60,MATCH(1,(GMW!$NE$2:$NE$60=AA$3)*(GMW!$ND$2:$ND$60=AA$4)*(GMW!$NF$2:$NF$60=AA$1),0),$F66-1966)</f>
        <v>418659</v>
      </c>
      <c r="AB66" s="4" cm="1">
        <f t="array" ref="AB66">INDEX(GMW!$A$2:$NF$60,MATCH(1,(GMW!$NE$2:$NE$60=AB$3)*(GMW!$ND$2:$ND$60=AB$4)*(GMW!$NF$2:$NF$60=AB$1),0),$F66-1966)</f>
        <v>129815</v>
      </c>
      <c r="AC66" s="4" cm="1">
        <f t="array" ref="AC66">INDEX(GMW!$A$2:$NF$60,MATCH(1,(GMW!$NE$2:$NE$60=AC$3)*(GMW!$ND$2:$ND$60=AC$4)*(GMW!$NF$2:$NF$60=AC$1),0),$F66-1966)</f>
        <v>1252</v>
      </c>
      <c r="AD66" s="4" cm="1">
        <f t="array" ref="AD66">INDEX(GMW!$A$2:$NF$60,MATCH(1,(GMW!$NE$2:$NE$60=AD$3)*(GMW!$ND$2:$ND$60=AD$4)*(GMW!$NF$2:$NF$60=AD$1),0),$F66-1966)</f>
        <v>96334.38</v>
      </c>
      <c r="AE66" s="4" cm="1">
        <f t="array" ref="AE66">INDEX(GMW!$A$2:$NF$60,MATCH(1,(GMW!$NE$2:$NE$60=AE$3)*(GMW!$ND$2:$ND$60=AE$4)*(GMW!$NF$2:$NF$60=AE$1),0),$F66-1966)</f>
        <v>311.98360000000002</v>
      </c>
      <c r="AF66" s="4" cm="1">
        <f t="array" ref="AF66">INDEX(GMW!$A$2:$NF$60,MATCH(1,(GMW!$NE$2:$NE$60=AF$3)*(GMW!$ND$2:$ND$60=AF$4)*(GMW!$NF$2:$NF$60=AF$1),0),$F66-1966)</f>
        <v>218.08</v>
      </c>
      <c r="AG66" s="4" cm="1">
        <f t="array" ref="AG66">INDEX(GMW!$A$2:$NF$60,MATCH(1,(GMW!$NE$2:$NE$60=AG$3)*(GMW!$ND$2:$ND$60=AG$4)*(GMW!$NF$2:$NF$60=AG$1),0),$F66-1966)</f>
        <v>144.185</v>
      </c>
      <c r="AH66" s="4" cm="1">
        <f t="array" ref="AH66">INDEX(GMW!$A$2:$NF$60,MATCH(1,(GMW!$NE$2:$NE$60=AH$3)*(GMW!$ND$2:$ND$60=AH$4)*(GMW!$NF$2:$NF$60=AH$1),0),$F66-1966)</f>
        <v>148940</v>
      </c>
    </row>
    <row r="67" spans="1:34" x14ac:dyDescent="0.25">
      <c r="A67" s="4">
        <v>1988</v>
      </c>
      <c r="B67" s="4">
        <f t="shared" si="21"/>
        <v>1988</v>
      </c>
      <c r="C67" s="4">
        <f t="shared" si="21"/>
        <v>1987</v>
      </c>
      <c r="D67" s="4">
        <f t="shared" si="21"/>
        <v>1987</v>
      </c>
      <c r="F67" s="4">
        <f t="shared" si="17"/>
        <v>2033</v>
      </c>
      <c r="G67" s="4" cm="1">
        <f t="array" ref="G67">INDEX(GMW!$A$2:$NF$60,MATCH(1,(GMW!$NE$2:$NE$60=G$3)*(GMW!$ND$2:$ND$60=G$4)*(GMW!$NF$2:$NF$60=G$1),0),$F67-1966)</f>
        <v>336442</v>
      </c>
      <c r="H67" s="4" cm="1">
        <f t="array" ref="H67">INDEX(GMW!$A$2:$NF$60,MATCH(1,(GMW!$NE$2:$NE$60=H$3)*(GMW!$ND$2:$ND$60=H$4)*(GMW!$NF$2:$NF$60=H$1),0),$F67-1966)</f>
        <v>2341.875</v>
      </c>
      <c r="I67" s="4" cm="1">
        <f t="array" ref="I67">INDEX(GMW!$A$2:$NF$60,MATCH(1,(GMW!$NE$2:$NE$60=I$3)*(GMW!$ND$2:$ND$60=I$4)*(GMW!$NF$2:$NF$60=I$1),0),$F67-1966)</f>
        <v>94866.7</v>
      </c>
      <c r="J67" s="4" cm="1">
        <f t="array" ref="J67">INDEX(GMW!$A$2:$NF$60,MATCH(1,(GMW!$NE$2:$NE$60=J$3)*(GMW!$ND$2:$ND$60=J$4)*(GMW!$NF$2:$NF$60=J$1),0),$F67-1966)</f>
        <v>515.6</v>
      </c>
      <c r="K67" s="4" cm="1">
        <f t="array" ref="K67">INDEX(GMW!$A$2:$NF$60,MATCH(1,(GMW!$NE$2:$NE$60=K$3)*(GMW!$ND$2:$ND$60=K$4)*(GMW!$NF$2:$NF$60=K$1),0),$F67-1966)</f>
        <v>358.99299999999999</v>
      </c>
      <c r="L67" s="4" cm="1">
        <f t="array" ref="L67">INDEX(GMW!$A$2:$NF$60,MATCH(1,(GMW!$NE$2:$NE$60=L$3)*(GMW!$ND$2:$ND$60=L$4)*(GMW!$NF$2:$NF$60=L$1),0),$F67-1966)</f>
        <v>352.35399999999998</v>
      </c>
      <c r="M67" s="4" cm="1">
        <f t="array" ref="M67">INDEX(GMW!$A$2:$NF$60,MATCH(1,(GMW!$NE$2:$NE$60=M$3)*(GMW!$ND$2:$ND$60=M$4)*(GMW!$NF$2:$NF$60=M$1),0),$F67-1966)</f>
        <v>280349</v>
      </c>
      <c r="N67" s="4" cm="1">
        <f t="array" ref="N67">INDEX(GMW!$A$2:$NF$60,MATCH(1,(GMW!$NE$2:$NE$60=N$3)*(GMW!$ND$2:$ND$60=N$4)*(GMW!$NF$2:$NF$60=N$1),0),$F67-1966)</f>
        <v>1001</v>
      </c>
      <c r="O67" s="4" cm="1">
        <f t="array" ref="O67">INDEX(GMW!$A$2:$NF$60,MATCH(1,(GMW!$NE$2:$NE$60=O$3)*(GMW!$ND$2:$ND$60=O$4)*(GMW!$NF$2:$NF$60=O$1),0),$F67-1966)</f>
        <v>-62.976500000000001</v>
      </c>
      <c r="P67" s="4" cm="1">
        <f t="array" ref="P67">INDEX(GMW!$A$2:$NF$60,MATCH(1,(GMW!$NE$2:$NE$60=P$3)*(GMW!$ND$2:$ND$60=P$4)*(GMW!$NF$2:$NF$60=P$1),0),$F67-1966)</f>
        <v>-105</v>
      </c>
      <c r="Q67" s="4" cm="1">
        <f t="array" ref="Q67">INDEX(GMW!$A$2:$NF$60,MATCH(1,(GMW!$NE$2:$NE$60=Q$3)*(GMW!$ND$2:$ND$60=Q$4)*(GMW!$NF$2:$NF$60=Q$1),0),$F67-1966)</f>
        <v>-25.24335</v>
      </c>
      <c r="R67" s="4" cm="1">
        <f t="array" ref="R67">INDEX(GMW!$A$2:$NF$60,MATCH(1,(GMW!$NE$2:$NE$60=R$3)*(GMW!$ND$2:$ND$60=R$4)*(GMW!$NF$2:$NF$60=R$1),0),$F67-1966)</f>
        <v>-4.5339999999999998</v>
      </c>
      <c r="S67" s="4" cm="1">
        <f t="array" ref="S67">INDEX(GMW!$A$2:$NF$60,MATCH(1,(GMW!$NE$2:$NE$60=S$3)*(GMW!$ND$2:$ND$60=S$4)*(GMW!$NF$2:$NF$60=S$1),0),$F67-1966)</f>
        <v>-15.718529999999999</v>
      </c>
      <c r="T67" s="4" cm="1">
        <f t="array" ref="T67">INDEX(GMW!$A$2:$NF$60,MATCH(1,(GMW!$NE$2:$NE$60=T$3)*(GMW!$ND$2:$ND$60=T$4)*(GMW!$NF$2:$NF$60=T$1),0),$F67-1966)</f>
        <v>-6586</v>
      </c>
      <c r="U67" s="4" cm="1">
        <f t="array" ref="U67">INDEX(GMW!$A$2:$NF$60,MATCH(1,(GMW!$NE$2:$NE$60=U$3)*(GMW!$ND$2:$ND$60=U$4)*(GMW!$NF$2:$NF$60=U$1),0),$F67-1966)</f>
        <v>200915</v>
      </c>
      <c r="V67" s="4" cm="1">
        <f t="array" ref="V67">INDEX(GMW!$A$2:$NF$60,MATCH(1,(GMW!$NE$2:$NE$60=V$3)*(GMW!$ND$2:$ND$60=V$4)*(GMW!$NF$2:$NF$60=V$1),0),$F67-1966)</f>
        <v>4188.0519999999997</v>
      </c>
      <c r="W67" s="4" cm="1">
        <f t="array" ref="W67">INDEX(GMW!$A$2:$NF$60,MATCH(1,(GMW!$NE$2:$NE$60=W$3)*(GMW!$ND$2:$ND$60=W$4)*(GMW!$NF$2:$NF$60=W$1),0),$F67-1966)</f>
        <v>280281</v>
      </c>
      <c r="X67" s="4" cm="1">
        <f t="array" ref="X67">INDEX(GMW!$A$2:$NF$60,MATCH(1,(GMW!$NE$2:$NE$60=X$3)*(GMW!$ND$2:$ND$60=X$4)*(GMW!$NF$2:$NF$60=X$1),0),$F67-1966)</f>
        <v>445.55630000000002</v>
      </c>
      <c r="Y67" s="4" cm="1">
        <f t="array" ref="Y67">INDEX(GMW!$A$2:$NF$60,MATCH(1,(GMW!$NE$2:$NE$60=Y$3)*(GMW!$ND$2:$ND$60=Y$4)*(GMW!$NF$2:$NF$60=Y$1),0),$F67-1966)</f>
        <v>329.05349999999999</v>
      </c>
      <c r="Z67" s="4" cm="1">
        <f t="array" ref="Z67">INDEX(GMW!$A$2:$NF$60,MATCH(1,(GMW!$NE$2:$NE$60=Z$3)*(GMW!$ND$2:$ND$60=Z$4)*(GMW!$NF$2:$NF$60=Z$1),0),$F67-1966)</f>
        <v>524.01250000000005</v>
      </c>
      <c r="AA67" s="4" cm="1">
        <f t="array" ref="AA67">INDEX(GMW!$A$2:$NF$60,MATCH(1,(GMW!$NE$2:$NE$60=AA$3)*(GMW!$ND$2:$ND$60=AA$4)*(GMW!$NF$2:$NF$60=AA$1),0),$F67-1966)</f>
        <v>428211</v>
      </c>
      <c r="AB67" s="4" cm="1">
        <f t="array" ref="AB67">INDEX(GMW!$A$2:$NF$60,MATCH(1,(GMW!$NE$2:$NE$60=AB$3)*(GMW!$ND$2:$ND$60=AB$4)*(GMW!$NF$2:$NF$60=AB$1),0),$F67-1966)</f>
        <v>133283</v>
      </c>
      <c r="AC67" s="4" cm="1">
        <f t="array" ref="AC67">INDEX(GMW!$A$2:$NF$60,MATCH(1,(GMW!$NE$2:$NE$60=AC$3)*(GMW!$ND$2:$ND$60=AC$4)*(GMW!$NF$2:$NF$60=AC$1),0),$F67-1966)</f>
        <v>1268.3499999999999</v>
      </c>
      <c r="AD67" s="4" cm="1">
        <f t="array" ref="AD67">INDEX(GMW!$A$2:$NF$60,MATCH(1,(GMW!$NE$2:$NE$60=AD$3)*(GMW!$ND$2:$ND$60=AD$4)*(GMW!$NF$2:$NF$60=AD$1),0),$F67-1966)</f>
        <v>98371.63</v>
      </c>
      <c r="AE67" s="4" cm="1">
        <f t="array" ref="AE67">INDEX(GMW!$A$2:$NF$60,MATCH(1,(GMW!$NE$2:$NE$60=AE$3)*(GMW!$ND$2:$ND$60=AE$4)*(GMW!$NF$2:$NF$60=AE$1),0),$F67-1966)</f>
        <v>308.03480000000002</v>
      </c>
      <c r="AF67" s="4" cm="1">
        <f t="array" ref="AF67">INDEX(GMW!$A$2:$NF$60,MATCH(1,(GMW!$NE$2:$NE$60=AF$3)*(GMW!$ND$2:$ND$60=AF$4)*(GMW!$NF$2:$NF$60=AF$1),0),$F67-1966)</f>
        <v>222.74799999999999</v>
      </c>
      <c r="AG67" s="4" cm="1">
        <f t="array" ref="AG67">INDEX(GMW!$A$2:$NF$60,MATCH(1,(GMW!$NE$2:$NE$60=AG$3)*(GMW!$ND$2:$ND$60=AG$4)*(GMW!$NF$2:$NF$60=AG$1),0),$F67-1966)</f>
        <v>149.197</v>
      </c>
      <c r="AH67" s="4" cm="1">
        <f t="array" ref="AH67">INDEX(GMW!$A$2:$NF$60,MATCH(1,(GMW!$NE$2:$NE$60=AH$3)*(GMW!$ND$2:$ND$60=AH$4)*(GMW!$NF$2:$NF$60=AH$1),0),$F67-1966)</f>
        <v>152737</v>
      </c>
    </row>
    <row r="68" spans="1:34" x14ac:dyDescent="0.25">
      <c r="B68" s="4">
        <f t="shared" si="21"/>
        <v>1988</v>
      </c>
      <c r="C68" s="4">
        <f t="shared" si="21"/>
        <v>1988</v>
      </c>
      <c r="F68" s="4">
        <f t="shared" si="17"/>
        <v>2034</v>
      </c>
      <c r="G68" s="4" cm="1">
        <f t="array" ref="G68">INDEX(GMW!$A$2:$NF$60,MATCH(1,(GMW!$NE$2:$NE$60=G$3)*(GMW!$ND$2:$ND$60=G$4)*(GMW!$NF$2:$NF$60=G$1),0),$F68-1966)</f>
        <v>338186</v>
      </c>
      <c r="H68" s="4" cm="1">
        <f t="array" ref="H68">INDEX(GMW!$A$2:$NF$60,MATCH(1,(GMW!$NE$2:$NE$60=H$3)*(GMW!$ND$2:$ND$60=H$4)*(GMW!$NF$2:$NF$60=H$1),0),$F68-1966)</f>
        <v>2372.65</v>
      </c>
      <c r="I68" s="4" cm="1">
        <f t="array" ref="I68">INDEX(GMW!$A$2:$NF$60,MATCH(1,(GMW!$NE$2:$NE$60=I$3)*(GMW!$ND$2:$ND$60=I$4)*(GMW!$NF$2:$NF$60=I$1),0),$F68-1966)</f>
        <v>95559.08</v>
      </c>
      <c r="J68" s="4" cm="1">
        <f t="array" ref="J68">INDEX(GMW!$A$2:$NF$60,MATCH(1,(GMW!$NE$2:$NE$60=J$3)*(GMW!$ND$2:$ND$60=J$4)*(GMW!$NF$2:$NF$60=J$1),0),$F68-1966)</f>
        <v>524.95000000000005</v>
      </c>
      <c r="K68" s="4" cm="1">
        <f t="array" ref="K68">INDEX(GMW!$A$2:$NF$60,MATCH(1,(GMW!$NE$2:$NE$60=K$3)*(GMW!$ND$2:$ND$60=K$4)*(GMW!$NF$2:$NF$60=K$1),0),$F68-1966)</f>
        <v>362.13499999999999</v>
      </c>
      <c r="L68" s="4" cm="1">
        <f t="array" ref="L68">INDEX(GMW!$A$2:$NF$60,MATCH(1,(GMW!$NE$2:$NE$60=L$3)*(GMW!$ND$2:$ND$60=L$4)*(GMW!$NF$2:$NF$60=L$1),0),$F68-1966)</f>
        <v>354.59199999999998</v>
      </c>
      <c r="M68" s="4" cm="1">
        <f t="array" ref="M68">INDEX(GMW!$A$2:$NF$60,MATCH(1,(GMW!$NE$2:$NE$60=M$3)*(GMW!$ND$2:$ND$60=M$4)*(GMW!$NF$2:$NF$60=M$1),0),$F68-1966)</f>
        <v>282836.8</v>
      </c>
      <c r="N68" s="4" cm="1">
        <f t="array" ref="N68">INDEX(GMW!$A$2:$NF$60,MATCH(1,(GMW!$NE$2:$NE$60=N$3)*(GMW!$ND$2:$ND$60=N$4)*(GMW!$NF$2:$NF$60=N$1),0),$F68-1966)</f>
        <v>-1693</v>
      </c>
      <c r="O68" s="4" cm="1">
        <f t="array" ref="O68">INDEX(GMW!$A$2:$NF$60,MATCH(1,(GMW!$NE$2:$NE$60=O$3)*(GMW!$ND$2:$ND$60=O$4)*(GMW!$NF$2:$NF$60=O$1),0),$F68-1966)</f>
        <v>-62.298000000000002</v>
      </c>
      <c r="P68" s="4" cm="1">
        <f t="array" ref="P68">INDEX(GMW!$A$2:$NF$60,MATCH(1,(GMW!$NE$2:$NE$60=P$3)*(GMW!$ND$2:$ND$60=P$4)*(GMW!$NF$2:$NF$60=P$1),0),$F68-1966)</f>
        <v>447.5</v>
      </c>
      <c r="Q68" s="4" cm="1">
        <f t="array" ref="Q68">INDEX(GMW!$A$2:$NF$60,MATCH(1,(GMW!$NE$2:$NE$60=Q$3)*(GMW!$ND$2:$ND$60=Q$4)*(GMW!$NF$2:$NF$60=Q$1),0),$F68-1966)</f>
        <v>-25.24335</v>
      </c>
      <c r="R68" s="4" cm="1">
        <f t="array" ref="R68">INDEX(GMW!$A$2:$NF$60,MATCH(1,(GMW!$NE$2:$NE$60=R$3)*(GMW!$ND$2:$ND$60=R$4)*(GMW!$NF$2:$NF$60=R$1),0),$F68-1966)</f>
        <v>-6.3019999999999996</v>
      </c>
      <c r="S68" s="4" cm="1">
        <f t="array" ref="S68">INDEX(GMW!$A$2:$NF$60,MATCH(1,(GMW!$NE$2:$NE$60=S$3)*(GMW!$ND$2:$ND$60=S$4)*(GMW!$NF$2:$NF$60=S$1),0),$F68-1966)</f>
        <v>-16.00189</v>
      </c>
      <c r="T68" s="4" cm="1">
        <f t="array" ref="T68">INDEX(GMW!$A$2:$NF$60,MATCH(1,(GMW!$NE$2:$NE$60=T$3)*(GMW!$ND$2:$ND$60=T$4)*(GMW!$NF$2:$NF$60=T$1),0),$F68-1966)</f>
        <v>-5417</v>
      </c>
      <c r="U68" s="4" cm="1">
        <f t="array" ref="U68">INDEX(GMW!$A$2:$NF$60,MATCH(1,(GMW!$NE$2:$NE$60=U$3)*(GMW!$ND$2:$ND$60=U$4)*(GMW!$NF$2:$NF$60=U$1),0),$F68-1966)</f>
        <v>199497.3</v>
      </c>
      <c r="V68" s="4" cm="1">
        <f t="array" ref="V68">INDEX(GMW!$A$2:$NF$60,MATCH(1,(GMW!$NE$2:$NE$60=V$3)*(GMW!$ND$2:$ND$60=V$4)*(GMW!$NF$2:$NF$60=V$1),0),$F68-1966)</f>
        <v>4245.1270000000004</v>
      </c>
      <c r="W68" s="4" cm="1">
        <f t="array" ref="W68">INDEX(GMW!$A$2:$NF$60,MATCH(1,(GMW!$NE$2:$NE$60=W$3)*(GMW!$ND$2:$ND$60=W$4)*(GMW!$NF$2:$NF$60=W$1),0),$F68-1966)</f>
        <v>281567</v>
      </c>
      <c r="X68" s="4" cm="1">
        <f t="array" ref="X68">INDEX(GMW!$A$2:$NF$60,MATCH(1,(GMW!$NE$2:$NE$60=X$3)*(GMW!$ND$2:$ND$60=X$4)*(GMW!$NF$2:$NF$60=X$1),0),$F68-1966)</f>
        <v>453.56229999999999</v>
      </c>
      <c r="Y68" s="4" cm="1">
        <f t="array" ref="Y68">INDEX(GMW!$A$2:$NF$60,MATCH(1,(GMW!$NE$2:$NE$60=Y$3)*(GMW!$ND$2:$ND$60=Y$4)*(GMW!$NF$2:$NF$60=Y$1),0),$F68-1966)</f>
        <v>334.90410000000003</v>
      </c>
      <c r="Z68" s="4" cm="1">
        <f t="array" ref="Z68">INDEX(GMW!$A$2:$NF$60,MATCH(1,(GMW!$NE$2:$NE$60=Z$3)*(GMW!$ND$2:$ND$60=Z$4)*(GMW!$NF$2:$NF$60=Z$1),0),$F68-1966)</f>
        <v>541.577</v>
      </c>
      <c r="AA68" s="4" cm="1">
        <f t="array" ref="AA68">INDEX(GMW!$A$2:$NF$60,MATCH(1,(GMW!$NE$2:$NE$60=AA$3)*(GMW!$ND$2:$ND$60=AA$4)*(GMW!$NF$2:$NF$60=AA$1),0),$F68-1966)</f>
        <v>437762</v>
      </c>
      <c r="AB68" s="4" cm="1">
        <f t="array" ref="AB68">INDEX(GMW!$A$2:$NF$60,MATCH(1,(GMW!$NE$2:$NE$60=AB$3)*(GMW!$ND$2:$ND$60=AB$4)*(GMW!$NF$2:$NF$60=AB$1),0),$F68-1966)</f>
        <v>136630</v>
      </c>
      <c r="AC68" s="4" cm="1">
        <f t="array" ref="AC68">INDEX(GMW!$A$2:$NF$60,MATCH(1,(GMW!$NE$2:$NE$60=AC$3)*(GMW!$ND$2:$ND$60=AC$4)*(GMW!$NF$2:$NF$60=AC$1),0),$F68-1966)</f>
        <v>1297.5</v>
      </c>
      <c r="AD68" s="4" cm="1">
        <f t="array" ref="AD68">INDEX(GMW!$A$2:$NF$60,MATCH(1,(GMW!$NE$2:$NE$60=AD$3)*(GMW!$ND$2:$ND$60=AD$4)*(GMW!$NF$2:$NF$60=AD$1),0),$F68-1966)</f>
        <v>98672.58</v>
      </c>
      <c r="AE68" s="4" cm="1">
        <f t="array" ref="AE68">INDEX(GMW!$A$2:$NF$60,MATCH(1,(GMW!$NE$2:$NE$60=AE$3)*(GMW!$ND$2:$ND$60=AE$4)*(GMW!$NF$2:$NF$60=AE$1),0),$F68-1966)</f>
        <v>315.88830000000002</v>
      </c>
      <c r="AF68" s="4" cm="1">
        <f t="array" ref="AF68">INDEX(GMW!$A$2:$NF$60,MATCH(1,(GMW!$NE$2:$NE$60=AF$3)*(GMW!$ND$2:$ND$60=AF$4)*(GMW!$NF$2:$NF$60=AF$1),0),$F68-1966)</f>
        <v>226.29300000000001</v>
      </c>
      <c r="AG68" s="4" cm="1">
        <f t="array" ref="AG68">INDEX(GMW!$A$2:$NF$60,MATCH(1,(GMW!$NE$2:$NE$60=AG$3)*(GMW!$ND$2:$ND$60=AG$4)*(GMW!$NF$2:$NF$60=AG$1),0),$F68-1966)</f>
        <v>152.16399999999999</v>
      </c>
      <c r="AH68" s="4" cm="1">
        <f t="array" ref="AH68">INDEX(GMW!$A$2:$NF$60,MATCH(1,(GMW!$NE$2:$NE$60=AH$3)*(GMW!$ND$2:$ND$60=AH$4)*(GMW!$NF$2:$NF$60=AH$1),0),$F68-1966)</f>
        <v>155292</v>
      </c>
    </row>
    <row r="69" spans="1:34" x14ac:dyDescent="0.25">
      <c r="B69" s="4">
        <f t="shared" si="21"/>
        <v>1988</v>
      </c>
      <c r="C69" s="4">
        <f t="shared" si="21"/>
        <v>1988</v>
      </c>
      <c r="F69" s="4">
        <f t="shared" si="17"/>
        <v>2035</v>
      </c>
      <c r="G69" s="4" cm="1">
        <f t="array" ref="G69">INDEX(GMW!$A$2:$NF$60,MATCH(1,(GMW!$NE$2:$NE$60=G$3)*(GMW!$ND$2:$ND$60=G$4)*(GMW!$NF$2:$NF$60=G$1),0),$F69-1966)</f>
        <v>342414</v>
      </c>
      <c r="H69" s="4" cm="1">
        <f t="array" ref="H69">INDEX(GMW!$A$2:$NF$60,MATCH(1,(GMW!$NE$2:$NE$60=H$3)*(GMW!$ND$2:$ND$60=H$4)*(GMW!$NF$2:$NF$60=H$1),0),$F69-1966)</f>
        <v>2386.5500000000002</v>
      </c>
      <c r="I69" s="4" cm="1">
        <f t="array" ref="I69">INDEX(GMW!$A$2:$NF$60,MATCH(1,(GMW!$NE$2:$NE$60=I$3)*(GMW!$ND$2:$ND$60=I$4)*(GMW!$NF$2:$NF$60=I$1),0),$F69-1966)</f>
        <v>97321.1</v>
      </c>
      <c r="J69" s="4" cm="1">
        <f t="array" ref="J69">INDEX(GMW!$A$2:$NF$60,MATCH(1,(GMW!$NE$2:$NE$60=J$3)*(GMW!$ND$2:$ND$60=J$4)*(GMW!$NF$2:$NF$60=J$1),0),$F69-1966)</f>
        <v>530.74</v>
      </c>
      <c r="K69" s="4" cm="1">
        <f t="array" ref="K69">INDEX(GMW!$A$2:$NF$60,MATCH(1,(GMW!$NE$2:$NE$60=K$3)*(GMW!$ND$2:$ND$60=K$4)*(GMW!$NF$2:$NF$60=K$1),0),$F69-1966)</f>
        <v>366.71800000000002</v>
      </c>
      <c r="L69" s="4" cm="1">
        <f t="array" ref="L69">INDEX(GMW!$A$2:$NF$60,MATCH(1,(GMW!$NE$2:$NE$60=L$3)*(GMW!$ND$2:$ND$60=L$4)*(GMW!$NF$2:$NF$60=L$1),0),$F69-1966)</f>
        <v>359.25200000000001</v>
      </c>
      <c r="M69" s="4" cm="1">
        <f t="array" ref="M69">INDEX(GMW!$A$2:$NF$60,MATCH(1,(GMW!$NE$2:$NE$60=M$3)*(GMW!$ND$2:$ND$60=M$4)*(GMW!$NF$2:$NF$60=M$1),0),$F69-1966)</f>
        <v>282878.8</v>
      </c>
      <c r="N69" s="4" cm="1">
        <f t="array" ref="N69">INDEX(GMW!$A$2:$NF$60,MATCH(1,(GMW!$NE$2:$NE$60=N$3)*(GMW!$ND$2:$ND$60=N$4)*(GMW!$NF$2:$NF$60=N$1),0),$F69-1966)</f>
        <v>1095</v>
      </c>
      <c r="O69" s="4" cm="1">
        <f t="array" ref="O69">INDEX(GMW!$A$2:$NF$60,MATCH(1,(GMW!$NE$2:$NE$60=O$3)*(GMW!$ND$2:$ND$60=O$4)*(GMW!$NF$2:$NF$60=O$1),0),$F69-1966)</f>
        <v>-57.320999999999998</v>
      </c>
      <c r="P69" s="4" cm="1">
        <f t="array" ref="P69">INDEX(GMW!$A$2:$NF$60,MATCH(1,(GMW!$NE$2:$NE$60=P$3)*(GMW!$ND$2:$ND$60=P$4)*(GMW!$NF$2:$NF$60=P$1),0),$F69-1966)</f>
        <v>715.75</v>
      </c>
      <c r="Q69" s="4" cm="1">
        <f t="array" ref="Q69">INDEX(GMW!$A$2:$NF$60,MATCH(1,(GMW!$NE$2:$NE$60=Q$3)*(GMW!$ND$2:$ND$60=Q$4)*(GMW!$NF$2:$NF$60=Q$1),0),$F69-1966)</f>
        <v>-25.24335</v>
      </c>
      <c r="R69" s="4" cm="1">
        <f t="array" ref="R69">INDEX(GMW!$A$2:$NF$60,MATCH(1,(GMW!$NE$2:$NE$60=R$3)*(GMW!$ND$2:$ND$60=R$4)*(GMW!$NF$2:$NF$60=R$1),0),$F69-1966)</f>
        <v>-6.0350000000000001</v>
      </c>
      <c r="S69" s="4" cm="1">
        <f t="array" ref="S69">INDEX(GMW!$A$2:$NF$60,MATCH(1,(GMW!$NE$2:$NE$60=S$3)*(GMW!$ND$2:$ND$60=S$4)*(GMW!$NF$2:$NF$60=S$1),0),$F69-1966)</f>
        <v>-16.41001</v>
      </c>
      <c r="T69" s="4" cm="1">
        <f t="array" ref="T69">INDEX(GMW!$A$2:$NF$60,MATCH(1,(GMW!$NE$2:$NE$60=T$3)*(GMW!$ND$2:$ND$60=T$4)*(GMW!$NF$2:$NF$60=T$1),0),$F69-1966)</f>
        <v>-6342</v>
      </c>
      <c r="U69" s="4" cm="1">
        <f t="array" ref="U69">INDEX(GMW!$A$2:$NF$60,MATCH(1,(GMW!$NE$2:$NE$60=U$3)*(GMW!$ND$2:$ND$60=U$4)*(GMW!$NF$2:$NF$60=U$1),0),$F69-1966)</f>
        <v>198079.5</v>
      </c>
      <c r="V69" s="4" cm="1">
        <f t="array" ref="V69">INDEX(GMW!$A$2:$NF$60,MATCH(1,(GMW!$NE$2:$NE$60=V$3)*(GMW!$ND$2:$ND$60=V$4)*(GMW!$NF$2:$NF$60=V$1),0),$F69-1966)</f>
        <v>4335.2830000000004</v>
      </c>
      <c r="W69" s="4" cm="1">
        <f t="array" ref="W69">INDEX(GMW!$A$2:$NF$60,MATCH(1,(GMW!$NE$2:$NE$60=W$3)*(GMW!$ND$2:$ND$60=W$4)*(GMW!$NF$2:$NF$60=W$1),0),$F69-1966)</f>
        <v>282853</v>
      </c>
      <c r="X69" s="4" cm="1">
        <f t="array" ref="X69">INDEX(GMW!$A$2:$NF$60,MATCH(1,(GMW!$NE$2:$NE$60=X$3)*(GMW!$ND$2:$ND$60=X$4)*(GMW!$NF$2:$NF$60=X$1),0),$F69-1966)</f>
        <v>458.6001</v>
      </c>
      <c r="Y69" s="4" cm="1">
        <f t="array" ref="Y69">INDEX(GMW!$A$2:$NF$60,MATCH(1,(GMW!$NE$2:$NE$60=Y$3)*(GMW!$ND$2:$ND$60=Y$4)*(GMW!$NF$2:$NF$60=Y$1),0),$F69-1966)</f>
        <v>340.75459999999998</v>
      </c>
      <c r="Z69" s="4" cm="1">
        <f t="array" ref="Z69">INDEX(GMW!$A$2:$NF$60,MATCH(1,(GMW!$NE$2:$NE$60=Z$3)*(GMW!$ND$2:$ND$60=Z$4)*(GMW!$NF$2:$NF$60=Z$1),0),$F69-1966)</f>
        <v>559.14149999999995</v>
      </c>
      <c r="AA69" s="4" cm="1">
        <f t="array" ref="AA69">INDEX(GMW!$A$2:$NF$60,MATCH(1,(GMW!$NE$2:$NE$60=AA$3)*(GMW!$ND$2:$ND$60=AA$4)*(GMW!$NF$2:$NF$60=AA$1),0),$F69-1966)</f>
        <v>447314</v>
      </c>
      <c r="AB69" s="4" cm="1">
        <f t="array" ref="AB69">INDEX(GMW!$A$2:$NF$60,MATCH(1,(GMW!$NE$2:$NE$60=AB$3)*(GMW!$ND$2:$ND$60=AB$4)*(GMW!$NF$2:$NF$60=AB$1),0),$F69-1966)</f>
        <v>140801</v>
      </c>
      <c r="AC69" s="4" cm="1">
        <f t="array" ref="AC69">INDEX(GMW!$A$2:$NF$60,MATCH(1,(GMW!$NE$2:$NE$60=AC$3)*(GMW!$ND$2:$ND$60=AC$4)*(GMW!$NF$2:$NF$60=AC$1),0),$F69-1966)</f>
        <v>1320.7</v>
      </c>
      <c r="AD69" s="4" cm="1">
        <f t="array" ref="AD69">INDEX(GMW!$A$2:$NF$60,MATCH(1,(GMW!$NE$2:$NE$60=AD$3)*(GMW!$ND$2:$ND$60=AD$4)*(GMW!$NF$2:$NF$60=AD$1),0),$F69-1966)</f>
        <v>100998.5</v>
      </c>
      <c r="AE69" s="4" cm="1">
        <f t="array" ref="AE69">INDEX(GMW!$A$2:$NF$60,MATCH(1,(GMW!$NE$2:$NE$60=AE$3)*(GMW!$ND$2:$ND$60=AE$4)*(GMW!$NF$2:$NF$60=AE$1),0),$F69-1966)</f>
        <v>322.00389999999999</v>
      </c>
      <c r="AF69" s="4" cm="1">
        <f t="array" ref="AF69">INDEX(GMW!$A$2:$NF$60,MATCH(1,(GMW!$NE$2:$NE$60=AF$3)*(GMW!$ND$2:$ND$60=AF$4)*(GMW!$NF$2:$NF$60=AF$1),0),$F69-1966)</f>
        <v>231.756</v>
      </c>
      <c r="AG69" s="4" cm="1">
        <f t="array" ref="AG69">INDEX(GMW!$A$2:$NF$60,MATCH(1,(GMW!$NE$2:$NE$60=AG$3)*(GMW!$ND$2:$ND$60=AG$4)*(GMW!$NF$2:$NF$60=AG$1),0),$F69-1966)</f>
        <v>155.96799999999999</v>
      </c>
      <c r="AH69" s="4" cm="1">
        <f t="array" ref="AH69">INDEX(GMW!$A$2:$NF$60,MATCH(1,(GMW!$NE$2:$NE$60=AH$3)*(GMW!$ND$2:$ND$60=AH$4)*(GMW!$NF$2:$NF$60=AH$1),0),$F69-1966)</f>
        <v>157848</v>
      </c>
    </row>
    <row r="70" spans="1:34" x14ac:dyDescent="0.25">
      <c r="B70" s="4">
        <f t="shared" si="21"/>
        <v>1988</v>
      </c>
      <c r="C70" s="4">
        <f t="shared" si="21"/>
        <v>1988</v>
      </c>
      <c r="E70" s="4">
        <f t="shared" ref="E70" si="24">+E66+1</f>
        <v>1988</v>
      </c>
      <c r="F70" s="4">
        <f t="shared" si="17"/>
        <v>2036</v>
      </c>
      <c r="G70" s="4" cm="1">
        <f t="array" ref="G70">INDEX(GMW!$A$2:$NF$60,MATCH(1,(GMW!$NE$2:$NE$60=G$3)*(GMW!$ND$2:$ND$60=G$4)*(GMW!$NF$2:$NF$60=G$1),0),$F70-1966)</f>
        <v>345162</v>
      </c>
      <c r="H70" s="4" cm="1">
        <f t="array" ref="H70">INDEX(GMW!$A$2:$NF$60,MATCH(1,(GMW!$NE$2:$NE$60=H$3)*(GMW!$ND$2:$ND$60=H$4)*(GMW!$NF$2:$NF$60=H$1),0),$F70-1966)</f>
        <v>2418.35</v>
      </c>
      <c r="I70" s="4" cm="1">
        <f t="array" ref="I70">INDEX(GMW!$A$2:$NF$60,MATCH(1,(GMW!$NE$2:$NE$60=I$3)*(GMW!$ND$2:$ND$60=I$4)*(GMW!$NF$2:$NF$60=I$1),0),$F70-1966)</f>
        <v>98386.73</v>
      </c>
      <c r="J70" s="4" cm="1">
        <f t="array" ref="J70">INDEX(GMW!$A$2:$NF$60,MATCH(1,(GMW!$NE$2:$NE$60=J$3)*(GMW!$ND$2:$ND$60=J$4)*(GMW!$NF$2:$NF$60=J$1),0),$F70-1966)</f>
        <v>537.11</v>
      </c>
      <c r="K70" s="4" cm="1">
        <f t="array" ref="K70">INDEX(GMW!$A$2:$NF$60,MATCH(1,(GMW!$NE$2:$NE$60=K$3)*(GMW!$ND$2:$ND$60=K$4)*(GMW!$NF$2:$NF$60=K$1),0),$F70-1966)</f>
        <v>369.74299999999999</v>
      </c>
      <c r="L70" s="4" cm="1">
        <f t="array" ref="L70">INDEX(GMW!$A$2:$NF$60,MATCH(1,(GMW!$NE$2:$NE$60=L$3)*(GMW!$ND$2:$ND$60=L$4)*(GMW!$NF$2:$NF$60=L$1),0),$F70-1966)</f>
        <v>363.541</v>
      </c>
      <c r="M70" s="4" cm="1">
        <f t="array" ref="M70">INDEX(GMW!$A$2:$NF$60,MATCH(1,(GMW!$NE$2:$NE$60=M$3)*(GMW!$ND$2:$ND$60=M$4)*(GMW!$NF$2:$NF$60=M$1),0),$F70-1966)</f>
        <v>284820</v>
      </c>
      <c r="N70" s="4" cm="1">
        <f t="array" ref="N70">INDEX(GMW!$A$2:$NF$60,MATCH(1,(GMW!$NE$2:$NE$60=N$3)*(GMW!$ND$2:$ND$60=N$4)*(GMW!$NF$2:$NF$60=N$1),0),$F70-1966)</f>
        <v>2730</v>
      </c>
      <c r="O70" s="4" cm="1">
        <f t="array" ref="O70">INDEX(GMW!$A$2:$NF$60,MATCH(1,(GMW!$NE$2:$NE$60=O$3)*(GMW!$ND$2:$ND$60=O$4)*(GMW!$NF$2:$NF$60=O$1),0),$F70-1966)</f>
        <v>-60.847749999999998</v>
      </c>
      <c r="P70" s="4" cm="1">
        <f t="array" ref="P70">INDEX(GMW!$A$2:$NF$60,MATCH(1,(GMW!$NE$2:$NE$60=P$3)*(GMW!$ND$2:$ND$60=P$4)*(GMW!$NF$2:$NF$60=P$1),0),$F70-1966)</f>
        <v>1362.25</v>
      </c>
      <c r="Q70" s="4" cm="1">
        <f t="array" ref="Q70">INDEX(GMW!$A$2:$NF$60,MATCH(1,(GMW!$NE$2:$NE$60=Q$3)*(GMW!$ND$2:$ND$60=Q$4)*(GMW!$NF$2:$NF$60=Q$1),0),$F70-1966)</f>
        <v>-25.24335</v>
      </c>
      <c r="R70" s="4" cm="1">
        <f t="array" ref="R70">INDEX(GMW!$A$2:$NF$60,MATCH(1,(GMW!$NE$2:$NE$60=R$3)*(GMW!$ND$2:$ND$60=R$4)*(GMW!$NF$2:$NF$60=R$1),0),$F70-1966)</f>
        <v>-6.7839999999999998</v>
      </c>
      <c r="S70" s="4" cm="1">
        <f t="array" ref="S70">INDEX(GMW!$A$2:$NF$60,MATCH(1,(GMW!$NE$2:$NE$60=S$3)*(GMW!$ND$2:$ND$60=S$4)*(GMW!$NF$2:$NF$60=S$1),0),$F70-1966)</f>
        <v>-16.952680000000001</v>
      </c>
      <c r="T70" s="4" cm="1">
        <f t="array" ref="T70">INDEX(GMW!$A$2:$NF$60,MATCH(1,(GMW!$NE$2:$NE$60=T$3)*(GMW!$ND$2:$ND$60=T$4)*(GMW!$NF$2:$NF$60=T$1),0),$F70-1966)</f>
        <v>-5592</v>
      </c>
      <c r="U70" s="4" cm="1">
        <f t="array" ref="U70">INDEX(GMW!$A$2:$NF$60,MATCH(1,(GMW!$NE$2:$NE$60=U$3)*(GMW!$ND$2:$ND$60=U$4)*(GMW!$NF$2:$NF$60=U$1),0),$F70-1966)</f>
        <v>196661.8</v>
      </c>
      <c r="V70" s="4" cm="1">
        <f t="array" ref="V70">INDEX(GMW!$A$2:$NF$60,MATCH(1,(GMW!$NE$2:$NE$60=V$3)*(GMW!$ND$2:$ND$60=V$4)*(GMW!$NF$2:$NF$60=V$1),0),$F70-1966)</f>
        <v>4425.4520000000002</v>
      </c>
      <c r="W70" s="4" cm="1">
        <f t="array" ref="W70">INDEX(GMW!$A$2:$NF$60,MATCH(1,(GMW!$NE$2:$NE$60=W$3)*(GMW!$ND$2:$ND$60=W$4)*(GMW!$NF$2:$NF$60=W$1),0),$F70-1966)</f>
        <v>284139</v>
      </c>
      <c r="X70" s="4" cm="1">
        <f t="array" ref="X70">INDEX(GMW!$A$2:$NF$60,MATCH(1,(GMW!$NE$2:$NE$60=X$3)*(GMW!$ND$2:$ND$60=X$4)*(GMW!$NF$2:$NF$60=X$1),0),$F70-1966)</f>
        <v>460.66950000000003</v>
      </c>
      <c r="Y70" s="4" cm="1">
        <f t="array" ref="Y70">INDEX(GMW!$A$2:$NF$60,MATCH(1,(GMW!$NE$2:$NE$60=Y$3)*(GMW!$ND$2:$ND$60=Y$4)*(GMW!$NF$2:$NF$60=Y$1),0),$F70-1966)</f>
        <v>346.60520000000002</v>
      </c>
      <c r="Z70" s="4" cm="1">
        <f t="array" ref="Z70">INDEX(GMW!$A$2:$NF$60,MATCH(1,(GMW!$NE$2:$NE$60=Z$3)*(GMW!$ND$2:$ND$60=Z$4)*(GMW!$NF$2:$NF$60=Z$1),0),$F70-1966)</f>
        <v>576.70600000000002</v>
      </c>
      <c r="AA70" s="4" cm="1">
        <f t="array" ref="AA70">INDEX(GMW!$A$2:$NF$60,MATCH(1,(GMW!$NE$2:$NE$60=AA$3)*(GMW!$ND$2:$ND$60=AA$4)*(GMW!$NF$2:$NF$60=AA$1),0),$F70-1966)</f>
        <v>456865</v>
      </c>
      <c r="AB70" s="4" cm="1">
        <f t="array" ref="AB70">INDEX(GMW!$A$2:$NF$60,MATCH(1,(GMW!$NE$2:$NE$60=AB$3)*(GMW!$ND$2:$ND$60=AB$4)*(GMW!$NF$2:$NF$60=AB$1),0),$F70-1966)</f>
        <v>144969</v>
      </c>
      <c r="AC70" s="4" cm="1">
        <f t="array" ref="AC70">INDEX(GMW!$A$2:$NF$60,MATCH(1,(GMW!$NE$2:$NE$60=AC$3)*(GMW!$ND$2:$ND$60=AC$4)*(GMW!$NF$2:$NF$60=AC$1),0),$F70-1966)</f>
        <v>1349.875</v>
      </c>
      <c r="AD70" s="4" cm="1">
        <f t="array" ref="AD70">INDEX(GMW!$A$2:$NF$60,MATCH(1,(GMW!$NE$2:$NE$60=AD$3)*(GMW!$ND$2:$ND$60=AD$4)*(GMW!$NF$2:$NF$60=AD$1),0),$F70-1966)</f>
        <v>102462.39999999999</v>
      </c>
      <c r="AE70" s="4" cm="1">
        <f t="array" ref="AE70">INDEX(GMW!$A$2:$NF$60,MATCH(1,(GMW!$NE$2:$NE$60=AE$3)*(GMW!$ND$2:$ND$60=AE$4)*(GMW!$NF$2:$NF$60=AE$1),0),$F70-1966)</f>
        <v>329.17540000000002</v>
      </c>
      <c r="AF70" s="4" cm="1">
        <f t="array" ref="AF70">INDEX(GMW!$A$2:$NF$60,MATCH(1,(GMW!$NE$2:$NE$60=AF$3)*(GMW!$ND$2:$ND$60=AF$4)*(GMW!$NF$2:$NF$60=AF$1),0),$F70-1966)</f>
        <v>236.31299999999999</v>
      </c>
      <c r="AG70" s="4" cm="1">
        <f t="array" ref="AG70">INDEX(GMW!$A$2:$NF$60,MATCH(1,(GMW!$NE$2:$NE$60=AG$3)*(GMW!$ND$2:$ND$60=AG$4)*(GMW!$NF$2:$NF$60=AG$1),0),$F70-1966)</f>
        <v>159.756</v>
      </c>
      <c r="AH70" s="4" cm="1">
        <f t="array" ref="AH70">INDEX(GMW!$A$2:$NF$60,MATCH(1,(GMW!$NE$2:$NE$60=AH$3)*(GMW!$ND$2:$ND$60=AH$4)*(GMW!$NF$2:$NF$60=AH$1),0),$F70-1966)</f>
        <v>161017</v>
      </c>
    </row>
    <row r="71" spans="1:34" x14ac:dyDescent="0.25">
      <c r="A71" s="4">
        <v>1989</v>
      </c>
      <c r="B71" s="4">
        <f t="shared" si="21"/>
        <v>1989</v>
      </c>
      <c r="C71" s="4">
        <f t="shared" si="21"/>
        <v>1988</v>
      </c>
      <c r="D71" s="4">
        <f t="shared" si="21"/>
        <v>1988</v>
      </c>
      <c r="F71" s="4">
        <f t="shared" si="17"/>
        <v>2037</v>
      </c>
      <c r="G71" s="4" cm="1">
        <f t="array" ref="G71">INDEX(GMW!$A$2:$NF$60,MATCH(1,(GMW!$NE$2:$NE$60=G$3)*(GMW!$ND$2:$ND$60=G$4)*(GMW!$NF$2:$NF$60=G$1),0),$F71-1966)</f>
        <v>346836</v>
      </c>
      <c r="H71" s="4" cm="1">
        <f t="array" ref="H71">INDEX(GMW!$A$2:$NF$60,MATCH(1,(GMW!$NE$2:$NE$60=H$3)*(GMW!$ND$2:$ND$60=H$4)*(GMW!$NF$2:$NF$60=H$1),0),$F71-1966)</f>
        <v>2442.9250000000002</v>
      </c>
      <c r="I71" s="4" cm="1">
        <f t="array" ref="I71">INDEX(GMW!$A$2:$NF$60,MATCH(1,(GMW!$NE$2:$NE$60=I$3)*(GMW!$ND$2:$ND$60=I$4)*(GMW!$NF$2:$NF$60=I$1),0),$F71-1966)</f>
        <v>100718.5</v>
      </c>
      <c r="J71" s="4" cm="1">
        <f t="array" ref="J71">INDEX(GMW!$A$2:$NF$60,MATCH(1,(GMW!$NE$2:$NE$60=J$3)*(GMW!$ND$2:$ND$60=J$4)*(GMW!$NF$2:$NF$60=J$1),0),$F71-1966)</f>
        <v>542.57000000000005</v>
      </c>
      <c r="K71" s="4" cm="1">
        <f t="array" ref="K71">INDEX(GMW!$A$2:$NF$60,MATCH(1,(GMW!$NE$2:$NE$60=K$3)*(GMW!$ND$2:$ND$60=K$4)*(GMW!$NF$2:$NF$60=K$1),0),$F71-1966)</f>
        <v>374.55200000000002</v>
      </c>
      <c r="L71" s="4" cm="1">
        <f t="array" ref="L71">INDEX(GMW!$A$2:$NF$60,MATCH(1,(GMW!$NE$2:$NE$60=L$3)*(GMW!$ND$2:$ND$60=L$4)*(GMW!$NF$2:$NF$60=L$1),0),$F71-1966)</f>
        <v>365.798</v>
      </c>
      <c r="M71" s="4" cm="1">
        <f t="array" ref="M71">INDEX(GMW!$A$2:$NF$60,MATCH(1,(GMW!$NE$2:$NE$60=M$3)*(GMW!$ND$2:$ND$60=M$4)*(GMW!$NF$2:$NF$60=M$1),0),$F71-1966)</f>
        <v>288111</v>
      </c>
      <c r="N71" s="4" cm="1">
        <f t="array" ref="N71">INDEX(GMW!$A$2:$NF$60,MATCH(1,(GMW!$NE$2:$NE$60=N$3)*(GMW!$ND$2:$ND$60=N$4)*(GMW!$NF$2:$NF$60=N$1),0),$F71-1966)</f>
        <v>3398</v>
      </c>
      <c r="O71" s="4" cm="1">
        <f t="array" ref="O71">INDEX(GMW!$A$2:$NF$60,MATCH(1,(GMW!$NE$2:$NE$60=O$3)*(GMW!$ND$2:$ND$60=O$4)*(GMW!$NF$2:$NF$60=O$1),0),$F71-1966)</f>
        <v>-54.259</v>
      </c>
      <c r="P71" s="4" cm="1">
        <f t="array" ref="P71">INDEX(GMW!$A$2:$NF$60,MATCH(1,(GMW!$NE$2:$NE$60=P$3)*(GMW!$ND$2:$ND$60=P$4)*(GMW!$NF$2:$NF$60=P$1),0),$F71-1966)</f>
        <v>1337.25</v>
      </c>
      <c r="Q71" s="4" cm="1">
        <f t="array" ref="Q71">INDEX(GMW!$A$2:$NF$60,MATCH(1,(GMW!$NE$2:$NE$60=Q$3)*(GMW!$ND$2:$ND$60=Q$4)*(GMW!$NF$2:$NF$60=Q$1),0),$F71-1966)</f>
        <v>-19.054559999999999</v>
      </c>
      <c r="R71" s="4" cm="1">
        <f t="array" ref="R71">INDEX(GMW!$A$2:$NF$60,MATCH(1,(GMW!$NE$2:$NE$60=R$3)*(GMW!$ND$2:$ND$60=R$4)*(GMW!$NF$2:$NF$60=R$1),0),$F71-1966)</f>
        <v>-4.915</v>
      </c>
      <c r="S71" s="4" cm="1">
        <f t="array" ref="S71">INDEX(GMW!$A$2:$NF$60,MATCH(1,(GMW!$NE$2:$NE$60=S$3)*(GMW!$ND$2:$ND$60=S$4)*(GMW!$NF$2:$NF$60=S$1),0),$F71-1966)</f>
        <v>-17.629909999999999</v>
      </c>
      <c r="T71" s="4" cm="1">
        <f t="array" ref="T71">INDEX(GMW!$A$2:$NF$60,MATCH(1,(GMW!$NE$2:$NE$60=T$3)*(GMW!$ND$2:$ND$60=T$4)*(GMW!$NF$2:$NF$60=T$1),0),$F71-1966)</f>
        <v>-6064</v>
      </c>
      <c r="U71" s="4" cm="1">
        <f t="array" ref="U71">INDEX(GMW!$A$2:$NF$60,MATCH(1,(GMW!$NE$2:$NE$60=U$3)*(GMW!$ND$2:$ND$60=U$4)*(GMW!$NF$2:$NF$60=U$1),0),$F71-1966)</f>
        <v>195244</v>
      </c>
      <c r="V71" s="4" cm="1">
        <f t="array" ref="V71">INDEX(GMW!$A$2:$NF$60,MATCH(1,(GMW!$NE$2:$NE$60=V$3)*(GMW!$ND$2:$ND$60=V$4)*(GMW!$NF$2:$NF$60=V$1),0),$F71-1966)</f>
        <v>4525.1980000000003</v>
      </c>
      <c r="W71" s="4" cm="1">
        <f t="array" ref="W71">INDEX(GMW!$A$2:$NF$60,MATCH(1,(GMW!$NE$2:$NE$60=W$3)*(GMW!$ND$2:$ND$60=W$4)*(GMW!$NF$2:$NF$60=W$1),0),$F71-1966)</f>
        <v>283190</v>
      </c>
      <c r="X71" s="4" cm="1">
        <f t="array" ref="X71">INDEX(GMW!$A$2:$NF$60,MATCH(1,(GMW!$NE$2:$NE$60=X$3)*(GMW!$ND$2:$ND$60=X$4)*(GMW!$NF$2:$NF$60=X$1),0),$F71-1966)</f>
        <v>458.53609999999998</v>
      </c>
      <c r="Y71" s="4" cm="1">
        <f t="array" ref="Y71">INDEX(GMW!$A$2:$NF$60,MATCH(1,(GMW!$NE$2:$NE$60=Y$3)*(GMW!$ND$2:$ND$60=Y$4)*(GMW!$NF$2:$NF$60=Y$1),0),$F71-1966)</f>
        <v>353.0582</v>
      </c>
      <c r="Z71" s="4" cm="1">
        <f t="array" ref="Z71">INDEX(GMW!$A$2:$NF$60,MATCH(1,(GMW!$NE$2:$NE$60=Z$3)*(GMW!$ND$2:$ND$60=Z$4)*(GMW!$NF$2:$NF$60=Z$1),0),$F71-1966)</f>
        <v>585.70600000000002</v>
      </c>
      <c r="AA71" s="4" cm="1">
        <f t="array" ref="AA71">INDEX(GMW!$A$2:$NF$60,MATCH(1,(GMW!$NE$2:$NE$60=AA$3)*(GMW!$ND$2:$ND$60=AA$4)*(GMW!$NF$2:$NF$60=AA$1),0),$F71-1966)</f>
        <v>467186</v>
      </c>
      <c r="AB71" s="4" cm="1">
        <f t="array" ref="AB71">INDEX(GMW!$A$2:$NF$60,MATCH(1,(GMW!$NE$2:$NE$60=AB$3)*(GMW!$ND$2:$ND$60=AB$4)*(GMW!$NF$2:$NF$60=AB$1),0),$F71-1966)</f>
        <v>148623</v>
      </c>
      <c r="AC71" s="4" cm="1">
        <f t="array" ref="AC71">INDEX(GMW!$A$2:$NF$60,MATCH(1,(GMW!$NE$2:$NE$60=AC$3)*(GMW!$ND$2:$ND$60=AC$4)*(GMW!$NF$2:$NF$60=AC$1),0),$F71-1966)</f>
        <v>1377.825</v>
      </c>
      <c r="AD71" s="4" cm="1">
        <f t="array" ref="AD71">INDEX(GMW!$A$2:$NF$60,MATCH(1,(GMW!$NE$2:$NE$60=AD$3)*(GMW!$ND$2:$ND$60=AD$4)*(GMW!$NF$2:$NF$60=AD$1),0),$F71-1966)</f>
        <v>105206.9</v>
      </c>
      <c r="AE71" s="4" cm="1">
        <f t="array" ref="AE71">INDEX(GMW!$A$2:$NF$60,MATCH(1,(GMW!$NE$2:$NE$60=AE$3)*(GMW!$ND$2:$ND$60=AE$4)*(GMW!$NF$2:$NF$60=AE$1),0),$F71-1966)</f>
        <v>335.04899999999998</v>
      </c>
      <c r="AF71" s="4" cm="1">
        <f t="array" ref="AF71">INDEX(GMW!$A$2:$NF$60,MATCH(1,(GMW!$NE$2:$NE$60=AF$3)*(GMW!$ND$2:$ND$60=AF$4)*(GMW!$NF$2:$NF$60=AF$1),0),$F71-1966)</f>
        <v>241.15100000000001</v>
      </c>
      <c r="AG71" s="4" cm="1">
        <f t="array" ref="AG71">INDEX(GMW!$A$2:$NF$60,MATCH(1,(GMW!$NE$2:$NE$60=AG$3)*(GMW!$ND$2:$ND$60=AG$4)*(GMW!$NF$2:$NF$60=AG$1),0),$F71-1966)</f>
        <v>164.19399999999999</v>
      </c>
      <c r="AH71" s="4" cm="1">
        <f t="array" ref="AH71">INDEX(GMW!$A$2:$NF$60,MATCH(1,(GMW!$NE$2:$NE$60=AH$3)*(GMW!$ND$2:$ND$60=AH$4)*(GMW!$NF$2:$NF$60=AH$1),0),$F71-1966)</f>
        <v>164040</v>
      </c>
    </row>
    <row r="72" spans="1:34" x14ac:dyDescent="0.25">
      <c r="B72" s="4">
        <f t="shared" si="21"/>
        <v>1989</v>
      </c>
      <c r="C72" s="4">
        <f t="shared" si="21"/>
        <v>1989</v>
      </c>
      <c r="F72" s="4">
        <f t="shared" si="17"/>
        <v>2038</v>
      </c>
      <c r="G72" s="4" cm="1">
        <f t="array" ref="G72">INDEX(GMW!$A$2:$NF$60,MATCH(1,(GMW!$NE$2:$NE$60=G$3)*(GMW!$ND$2:$ND$60=G$4)*(GMW!$NF$2:$NF$60=G$1),0),$F72-1966)</f>
        <v>348997</v>
      </c>
      <c r="H72" s="4" cm="1">
        <f t="array" ref="H72">INDEX(GMW!$A$2:$NF$60,MATCH(1,(GMW!$NE$2:$NE$60=H$3)*(GMW!$ND$2:$ND$60=H$4)*(GMW!$NF$2:$NF$60=H$1),0),$F72-1966)</f>
        <v>2461.5749999999998</v>
      </c>
      <c r="I72" s="4" cm="1">
        <f t="array" ref="I72">INDEX(GMW!$A$2:$NF$60,MATCH(1,(GMW!$NE$2:$NE$60=I$3)*(GMW!$ND$2:$ND$60=I$4)*(GMW!$NF$2:$NF$60=I$1),0),$F72-1966)</f>
        <v>99521.33</v>
      </c>
      <c r="J72" s="4" cm="1">
        <f t="array" ref="J72">INDEX(GMW!$A$2:$NF$60,MATCH(1,(GMW!$NE$2:$NE$60=J$3)*(GMW!$ND$2:$ND$60=J$4)*(GMW!$NF$2:$NF$60=J$1),0),$F72-1966)</f>
        <v>544.80999999999995</v>
      </c>
      <c r="K72" s="4" cm="1">
        <f t="array" ref="K72">INDEX(GMW!$A$2:$NF$60,MATCH(1,(GMW!$NE$2:$NE$60=K$3)*(GMW!$ND$2:$ND$60=K$4)*(GMW!$NF$2:$NF$60=K$1),0),$F72-1966)</f>
        <v>378.73099999999999</v>
      </c>
      <c r="L72" s="4" cm="1">
        <f t="array" ref="L72">INDEX(GMW!$A$2:$NF$60,MATCH(1,(GMW!$NE$2:$NE$60=L$3)*(GMW!$ND$2:$ND$60=L$4)*(GMW!$NF$2:$NF$60=L$1),0),$F72-1966)</f>
        <v>367.38200000000001</v>
      </c>
      <c r="M72" s="4" cm="1">
        <f t="array" ref="M72">INDEX(GMW!$A$2:$NF$60,MATCH(1,(GMW!$NE$2:$NE$60=M$3)*(GMW!$ND$2:$ND$60=M$4)*(GMW!$NF$2:$NF$60=M$1),0),$F72-1966)</f>
        <v>289231.8</v>
      </c>
      <c r="N72" s="4" cm="1">
        <f t="array" ref="N72">INDEX(GMW!$A$2:$NF$60,MATCH(1,(GMW!$NE$2:$NE$60=N$3)*(GMW!$ND$2:$ND$60=N$4)*(GMW!$NF$2:$NF$60=N$1),0),$F72-1966)</f>
        <v>-2035</v>
      </c>
      <c r="O72" s="4" cm="1">
        <f t="array" ref="O72">INDEX(GMW!$A$2:$NF$60,MATCH(1,(GMW!$NE$2:$NE$60=O$3)*(GMW!$ND$2:$ND$60=O$4)*(GMW!$NF$2:$NF$60=O$1),0),$F72-1966)</f>
        <v>-61.297750000000001</v>
      </c>
      <c r="P72" s="4" cm="1">
        <f t="array" ref="P72">INDEX(GMW!$A$2:$NF$60,MATCH(1,(GMW!$NE$2:$NE$60=P$3)*(GMW!$ND$2:$ND$60=P$4)*(GMW!$NF$2:$NF$60=P$1),0),$F72-1966)</f>
        <v>1588.5</v>
      </c>
      <c r="Q72" s="4" cm="1">
        <f t="array" ref="Q72">INDEX(GMW!$A$2:$NF$60,MATCH(1,(GMW!$NE$2:$NE$60=Q$3)*(GMW!$ND$2:$ND$60=Q$4)*(GMW!$NF$2:$NF$60=Q$1),0),$F72-1966)</f>
        <v>-19.054559999999999</v>
      </c>
      <c r="R72" s="4" cm="1">
        <f t="array" ref="R72">INDEX(GMW!$A$2:$NF$60,MATCH(1,(GMW!$NE$2:$NE$60=R$3)*(GMW!$ND$2:$ND$60=R$4)*(GMW!$NF$2:$NF$60=R$1),0),$F72-1966)</f>
        <v>-3.1280000000000001</v>
      </c>
      <c r="S72" s="4" cm="1">
        <f t="array" ref="S72">INDEX(GMW!$A$2:$NF$60,MATCH(1,(GMW!$NE$2:$NE$60=S$3)*(GMW!$ND$2:$ND$60=S$4)*(GMW!$NF$2:$NF$60=S$1),0),$F72-1966)</f>
        <v>-18.236360000000001</v>
      </c>
      <c r="T72" s="4" cm="1">
        <f t="array" ref="T72">INDEX(GMW!$A$2:$NF$60,MATCH(1,(GMW!$NE$2:$NE$60=T$3)*(GMW!$ND$2:$ND$60=T$4)*(GMW!$NF$2:$NF$60=T$1),0),$F72-1966)</f>
        <v>-6627</v>
      </c>
      <c r="U72" s="4" cm="1">
        <f t="array" ref="U72">INDEX(GMW!$A$2:$NF$60,MATCH(1,(GMW!$NE$2:$NE$60=U$3)*(GMW!$ND$2:$ND$60=U$4)*(GMW!$NF$2:$NF$60=U$1),0),$F72-1966)</f>
        <v>193097.5</v>
      </c>
      <c r="V72" s="4" cm="1">
        <f t="array" ref="V72">INDEX(GMW!$A$2:$NF$60,MATCH(1,(GMW!$NE$2:$NE$60=V$3)*(GMW!$ND$2:$ND$60=V$4)*(GMW!$NF$2:$NF$60=V$1),0),$F72-1966)</f>
        <v>4574.9859999999999</v>
      </c>
      <c r="W72" s="4" cm="1">
        <f t="array" ref="W72">INDEX(GMW!$A$2:$NF$60,MATCH(1,(GMW!$NE$2:$NE$60=W$3)*(GMW!$ND$2:$ND$60=W$4)*(GMW!$NF$2:$NF$60=W$1),0),$F72-1966)</f>
        <v>282241</v>
      </c>
      <c r="X72" s="4" cm="1">
        <f t="array" ref="X72">INDEX(GMW!$A$2:$NF$60,MATCH(1,(GMW!$NE$2:$NE$60=X$3)*(GMW!$ND$2:$ND$60=X$4)*(GMW!$NF$2:$NF$60=X$1),0),$F72-1966)</f>
        <v>457.70650000000001</v>
      </c>
      <c r="Y72" s="4" cm="1">
        <f t="array" ref="Y72">INDEX(GMW!$A$2:$NF$60,MATCH(1,(GMW!$NE$2:$NE$60=Y$3)*(GMW!$ND$2:$ND$60=Y$4)*(GMW!$NF$2:$NF$60=Y$1),0),$F72-1966)</f>
        <v>359.5111</v>
      </c>
      <c r="Z72" s="4" cm="1">
        <f t="array" ref="Z72">INDEX(GMW!$A$2:$NF$60,MATCH(1,(GMW!$NE$2:$NE$60=Z$3)*(GMW!$ND$2:$ND$60=Z$4)*(GMW!$NF$2:$NF$60=Z$1),0),$F72-1966)</f>
        <v>594.70600000000002</v>
      </c>
      <c r="AA72" s="4" cm="1">
        <f t="array" ref="AA72">INDEX(GMW!$A$2:$NF$60,MATCH(1,(GMW!$NE$2:$NE$60=AA$3)*(GMW!$ND$2:$ND$60=AA$4)*(GMW!$NF$2:$NF$60=AA$1),0),$F72-1966)</f>
        <v>477507</v>
      </c>
      <c r="AB72" s="4" cm="1">
        <f t="array" ref="AB72">INDEX(GMW!$A$2:$NF$60,MATCH(1,(GMW!$NE$2:$NE$60=AB$3)*(GMW!$ND$2:$ND$60=AB$4)*(GMW!$NF$2:$NF$60=AB$1),0),$F72-1966)</f>
        <v>151262</v>
      </c>
      <c r="AC72" s="4" cm="1">
        <f t="array" ref="AC72">INDEX(GMW!$A$2:$NF$60,MATCH(1,(GMW!$NE$2:$NE$60=AC$3)*(GMW!$ND$2:$ND$60=AC$4)*(GMW!$NF$2:$NF$60=AC$1),0),$F72-1966)</f>
        <v>1403.125</v>
      </c>
      <c r="AD72" s="4" cm="1">
        <f t="array" ref="AD72">INDEX(GMW!$A$2:$NF$60,MATCH(1,(GMW!$NE$2:$NE$60=AD$3)*(GMW!$ND$2:$ND$60=AD$4)*(GMW!$NF$2:$NF$60=AD$1),0),$F72-1966)</f>
        <v>105097.9</v>
      </c>
      <c r="AE72" s="4" cm="1">
        <f t="array" ref="AE72">INDEX(GMW!$A$2:$NF$60,MATCH(1,(GMW!$NE$2:$NE$60=AE$3)*(GMW!$ND$2:$ND$60=AE$4)*(GMW!$NF$2:$NF$60=AE$1),0),$F72-1966)</f>
        <v>337.42489999999998</v>
      </c>
      <c r="AF72" s="4" cm="1">
        <f t="array" ref="AF72">INDEX(GMW!$A$2:$NF$60,MATCH(1,(GMW!$NE$2:$NE$60=AF$3)*(GMW!$ND$2:$ND$60=AF$4)*(GMW!$NF$2:$NF$60=AF$1),0),$F72-1966)</f>
        <v>244.73</v>
      </c>
      <c r="AG72" s="4" cm="1">
        <f t="array" ref="AG72">INDEX(GMW!$A$2:$NF$60,MATCH(1,(GMW!$NE$2:$NE$60=AG$3)*(GMW!$ND$2:$ND$60=AG$4)*(GMW!$NF$2:$NF$60=AG$1),0),$F72-1966)</f>
        <v>166.768</v>
      </c>
      <c r="AH72" s="4" cm="1">
        <f t="array" ref="AH72">INDEX(GMW!$A$2:$NF$60,MATCH(1,(GMW!$NE$2:$NE$60=AH$3)*(GMW!$ND$2:$ND$60=AH$4)*(GMW!$NF$2:$NF$60=AH$1),0),$F72-1966)</f>
        <v>167448</v>
      </c>
    </row>
    <row r="73" spans="1:34" x14ac:dyDescent="0.25">
      <c r="B73" s="4">
        <f t="shared" si="21"/>
        <v>1989</v>
      </c>
      <c r="C73" s="4">
        <f t="shared" si="21"/>
        <v>1989</v>
      </c>
      <c r="F73" s="4">
        <f t="shared" si="17"/>
        <v>2039</v>
      </c>
      <c r="G73" s="4" cm="1">
        <f t="array" ref="G73">INDEX(GMW!$A$2:$NF$60,MATCH(1,(GMW!$NE$2:$NE$60=G$3)*(GMW!$ND$2:$ND$60=G$4)*(GMW!$NF$2:$NF$60=G$1),0),$F73-1966)</f>
        <v>349572</v>
      </c>
      <c r="H73" s="4" cm="1">
        <f t="array" ref="H73">INDEX(GMW!$A$2:$NF$60,MATCH(1,(GMW!$NE$2:$NE$60=H$3)*(GMW!$ND$2:$ND$60=H$4)*(GMW!$NF$2:$NF$60=H$1),0),$F73-1966)</f>
        <v>2479.8000000000002</v>
      </c>
      <c r="I73" s="4" cm="1">
        <f t="array" ref="I73">INDEX(GMW!$A$2:$NF$60,MATCH(1,(GMW!$NE$2:$NE$60=I$3)*(GMW!$ND$2:$ND$60=I$4)*(GMW!$NF$2:$NF$60=I$1),0),$F73-1966)</f>
        <v>101067.9</v>
      </c>
      <c r="J73" s="4" cm="1">
        <f t="array" ref="J73">INDEX(GMW!$A$2:$NF$60,MATCH(1,(GMW!$NE$2:$NE$60=J$3)*(GMW!$ND$2:$ND$60=J$4)*(GMW!$NF$2:$NF$60=J$1),0),$F73-1966)</f>
        <v>549.78</v>
      </c>
      <c r="K73" s="4" cm="1">
        <f t="array" ref="K73">INDEX(GMW!$A$2:$NF$60,MATCH(1,(GMW!$NE$2:$NE$60=K$3)*(GMW!$ND$2:$ND$60=K$4)*(GMW!$NF$2:$NF$60=K$1),0),$F73-1966)</f>
        <v>382.99799999999999</v>
      </c>
      <c r="L73" s="4" cm="1">
        <f t="array" ref="L73">INDEX(GMW!$A$2:$NF$60,MATCH(1,(GMW!$NE$2:$NE$60=L$3)*(GMW!$ND$2:$ND$60=L$4)*(GMW!$NF$2:$NF$60=L$1),0),$F73-1966)</f>
        <v>371.21199999999999</v>
      </c>
      <c r="M73" s="4" cm="1">
        <f t="array" ref="M73">INDEX(GMW!$A$2:$NF$60,MATCH(1,(GMW!$NE$2:$NE$60=M$3)*(GMW!$ND$2:$ND$60=M$4)*(GMW!$NF$2:$NF$60=M$1),0),$F73-1966)</f>
        <v>290276</v>
      </c>
      <c r="N73" s="4" cm="1">
        <f t="array" ref="N73">INDEX(GMW!$A$2:$NF$60,MATCH(1,(GMW!$NE$2:$NE$60=N$3)*(GMW!$ND$2:$ND$60=N$4)*(GMW!$NF$2:$NF$60=N$1),0),$F73-1966)</f>
        <v>-784</v>
      </c>
      <c r="O73" s="4" cm="1">
        <f t="array" ref="O73">INDEX(GMW!$A$2:$NF$60,MATCH(1,(GMW!$NE$2:$NE$60=O$3)*(GMW!$ND$2:$ND$60=O$4)*(GMW!$NF$2:$NF$60=O$1),0),$F73-1966)</f>
        <v>-64.216759999999994</v>
      </c>
      <c r="P73" s="4" cm="1">
        <f t="array" ref="P73">INDEX(GMW!$A$2:$NF$60,MATCH(1,(GMW!$NE$2:$NE$60=P$3)*(GMW!$ND$2:$ND$60=P$4)*(GMW!$NF$2:$NF$60=P$1),0),$F73-1966)</f>
        <v>1494</v>
      </c>
      <c r="Q73" s="4" cm="1">
        <f t="array" ref="Q73">INDEX(GMW!$A$2:$NF$60,MATCH(1,(GMW!$NE$2:$NE$60=Q$3)*(GMW!$ND$2:$ND$60=Q$4)*(GMW!$NF$2:$NF$60=Q$1),0),$F73-1966)</f>
        <v>-19.054559999999999</v>
      </c>
      <c r="R73" s="4" cm="1">
        <f t="array" ref="R73">INDEX(GMW!$A$2:$NF$60,MATCH(1,(GMW!$NE$2:$NE$60=R$3)*(GMW!$ND$2:$ND$60=R$4)*(GMW!$NF$2:$NF$60=R$1),0),$F73-1966)</f>
        <v>-6.6719999999999997</v>
      </c>
      <c r="S73" s="4" cm="1">
        <f t="array" ref="S73">INDEX(GMW!$A$2:$NF$60,MATCH(1,(GMW!$NE$2:$NE$60=S$3)*(GMW!$ND$2:$ND$60=S$4)*(GMW!$NF$2:$NF$60=S$1),0),$F73-1966)</f>
        <v>-18.772030000000001</v>
      </c>
      <c r="T73" s="4" cm="1">
        <f t="array" ref="T73">INDEX(GMW!$A$2:$NF$60,MATCH(1,(GMW!$NE$2:$NE$60=T$3)*(GMW!$ND$2:$ND$60=T$4)*(GMW!$NF$2:$NF$60=T$1),0),$F73-1966)</f>
        <v>-6873</v>
      </c>
      <c r="U73" s="4" cm="1">
        <f t="array" ref="U73">INDEX(GMW!$A$2:$NF$60,MATCH(1,(GMW!$NE$2:$NE$60=U$3)*(GMW!$ND$2:$ND$60=U$4)*(GMW!$NF$2:$NF$60=U$1),0),$F73-1966)</f>
        <v>190951</v>
      </c>
      <c r="V73" s="4" cm="1">
        <f t="array" ref="V73">INDEX(GMW!$A$2:$NF$60,MATCH(1,(GMW!$NE$2:$NE$60=V$3)*(GMW!$ND$2:$ND$60=V$4)*(GMW!$NF$2:$NF$60=V$1),0),$F73-1966)</f>
        <v>4669.3119999999999</v>
      </c>
      <c r="W73" s="4" cm="1">
        <f t="array" ref="W73">INDEX(GMW!$A$2:$NF$60,MATCH(1,(GMW!$NE$2:$NE$60=W$3)*(GMW!$ND$2:$ND$60=W$4)*(GMW!$NF$2:$NF$60=W$1),0),$F73-1966)</f>
        <v>281292</v>
      </c>
      <c r="X73" s="4" cm="1">
        <f t="array" ref="X73">INDEX(GMW!$A$2:$NF$60,MATCH(1,(GMW!$NE$2:$NE$60=X$3)*(GMW!$ND$2:$ND$60=X$4)*(GMW!$NF$2:$NF$60=X$1),0),$F73-1966)</f>
        <v>467.1635</v>
      </c>
      <c r="Y73" s="4" cm="1">
        <f t="array" ref="Y73">INDEX(GMW!$A$2:$NF$60,MATCH(1,(GMW!$NE$2:$NE$60=Y$3)*(GMW!$ND$2:$ND$60=Y$4)*(GMW!$NF$2:$NF$60=Y$1),0),$F73-1966)</f>
        <v>365.964</v>
      </c>
      <c r="Z73" s="4" cm="1">
        <f t="array" ref="Z73">INDEX(GMW!$A$2:$NF$60,MATCH(1,(GMW!$NE$2:$NE$60=Z$3)*(GMW!$ND$2:$ND$60=Z$4)*(GMW!$NF$2:$NF$60=Z$1),0),$F73-1966)</f>
        <v>603.70600000000002</v>
      </c>
      <c r="AA73" s="4" cm="1">
        <f t="array" ref="AA73">INDEX(GMW!$A$2:$NF$60,MATCH(1,(GMW!$NE$2:$NE$60=AA$3)*(GMW!$ND$2:$ND$60=AA$4)*(GMW!$NF$2:$NF$60=AA$1),0),$F73-1966)</f>
        <v>487827</v>
      </c>
      <c r="AB73" s="4" cm="1">
        <f t="array" ref="AB73">INDEX(GMW!$A$2:$NF$60,MATCH(1,(GMW!$NE$2:$NE$60=AB$3)*(GMW!$ND$2:$ND$60=AB$4)*(GMW!$NF$2:$NF$60=AB$1),0),$F73-1966)</f>
        <v>155370</v>
      </c>
      <c r="AC73" s="4" cm="1">
        <f t="array" ref="AC73">INDEX(GMW!$A$2:$NF$60,MATCH(1,(GMW!$NE$2:$NE$60=AC$3)*(GMW!$ND$2:$ND$60=AC$4)*(GMW!$NF$2:$NF$60=AC$1),0),$F73-1966)</f>
        <v>1423.85</v>
      </c>
      <c r="AD73" s="4" cm="1">
        <f t="array" ref="AD73">INDEX(GMW!$A$2:$NF$60,MATCH(1,(GMW!$NE$2:$NE$60=AD$3)*(GMW!$ND$2:$ND$60=AD$4)*(GMW!$NF$2:$NF$60=AD$1),0),$F73-1966)</f>
        <v>107386.1</v>
      </c>
      <c r="AE73" s="4" cm="1">
        <f t="array" ref="AE73">INDEX(GMW!$A$2:$NF$60,MATCH(1,(GMW!$NE$2:$NE$60=AE$3)*(GMW!$ND$2:$ND$60=AE$4)*(GMW!$NF$2:$NF$60=AE$1),0),$F73-1966)</f>
        <v>342.88060000000002</v>
      </c>
      <c r="AF73" s="4" cm="1">
        <f t="array" ref="AF73">INDEX(GMW!$A$2:$NF$60,MATCH(1,(GMW!$NE$2:$NE$60=AF$3)*(GMW!$ND$2:$ND$60=AF$4)*(GMW!$NF$2:$NF$60=AF$1),0),$F73-1966)</f>
        <v>249.28200000000001</v>
      </c>
      <c r="AG73" s="4" cm="1">
        <f t="array" ref="AG73">INDEX(GMW!$A$2:$NF$60,MATCH(1,(GMW!$NE$2:$NE$60=AG$3)*(GMW!$ND$2:$ND$60=AG$4)*(GMW!$NF$2:$NF$60=AG$1),0),$F73-1966)</f>
        <v>170.93700000000001</v>
      </c>
      <c r="AH73" s="4" cm="1">
        <f t="array" ref="AH73">INDEX(GMW!$A$2:$NF$60,MATCH(1,(GMW!$NE$2:$NE$60=AH$3)*(GMW!$ND$2:$ND$60=AH$4)*(GMW!$NF$2:$NF$60=AH$1),0),$F73-1966)</f>
        <v>169783</v>
      </c>
    </row>
    <row r="74" spans="1:34" x14ac:dyDescent="0.25">
      <c r="B74" s="4">
        <f t="shared" si="21"/>
        <v>1989</v>
      </c>
      <c r="C74" s="4">
        <f t="shared" si="21"/>
        <v>1989</v>
      </c>
      <c r="E74" s="4">
        <f t="shared" ref="E74" si="25">+E70+1</f>
        <v>1989</v>
      </c>
      <c r="F74" s="4">
        <f t="shared" si="17"/>
        <v>2040</v>
      </c>
      <c r="G74" s="4" cm="1">
        <f t="array" ref="G74">INDEX(GMW!$A$2:$NF$60,MATCH(1,(GMW!$NE$2:$NE$60=G$3)*(GMW!$ND$2:$ND$60=G$4)*(GMW!$NF$2:$NF$60=G$1),0),$F74-1966)</f>
        <v>349523</v>
      </c>
      <c r="H74" s="4" cm="1">
        <f t="array" ref="H74">INDEX(GMW!$A$2:$NF$60,MATCH(1,(GMW!$NE$2:$NE$60=H$3)*(GMW!$ND$2:$ND$60=H$4)*(GMW!$NF$2:$NF$60=H$1),0),$F74-1966)</f>
        <v>2484.6999999999998</v>
      </c>
      <c r="I74" s="4" cm="1">
        <f t="array" ref="I74">INDEX(GMW!$A$2:$NF$60,MATCH(1,(GMW!$NE$2:$NE$60=I$3)*(GMW!$ND$2:$ND$60=I$4)*(GMW!$NF$2:$NF$60=I$1),0),$F74-1966)</f>
        <v>103823.8</v>
      </c>
      <c r="J74" s="4" cm="1">
        <f t="array" ref="J74">INDEX(GMW!$A$2:$NF$60,MATCH(1,(GMW!$NE$2:$NE$60=J$3)*(GMW!$ND$2:$ND$60=J$4)*(GMW!$NF$2:$NF$60=J$1),0),$F74-1966)</f>
        <v>556.15</v>
      </c>
      <c r="K74" s="4" cm="1">
        <f t="array" ref="K74">INDEX(GMW!$A$2:$NF$60,MATCH(1,(GMW!$NE$2:$NE$60=K$3)*(GMW!$ND$2:$ND$60=K$4)*(GMW!$NF$2:$NF$60=K$1),0),$F74-1966)</f>
        <v>388.13499999999999</v>
      </c>
      <c r="L74" s="4" cm="1">
        <f t="array" ref="L74">INDEX(GMW!$A$2:$NF$60,MATCH(1,(GMW!$NE$2:$NE$60=L$3)*(GMW!$ND$2:$ND$60=L$4)*(GMW!$NF$2:$NF$60=L$1),0),$F74-1966)</f>
        <v>375.03199999999998</v>
      </c>
      <c r="M74" s="4" cm="1">
        <f t="array" ref="M74">INDEX(GMW!$A$2:$NF$60,MATCH(1,(GMW!$NE$2:$NE$60=M$3)*(GMW!$ND$2:$ND$60=M$4)*(GMW!$NF$2:$NF$60=M$1),0),$F74-1966)</f>
        <v>289698.3</v>
      </c>
      <c r="N74" s="4" cm="1">
        <f t="array" ref="N74">INDEX(GMW!$A$2:$NF$60,MATCH(1,(GMW!$NE$2:$NE$60=N$3)*(GMW!$ND$2:$ND$60=N$4)*(GMW!$NF$2:$NF$60=N$1),0),$F74-1966)</f>
        <v>2538</v>
      </c>
      <c r="O74" s="4" cm="1">
        <f t="array" ref="O74">INDEX(GMW!$A$2:$NF$60,MATCH(1,(GMW!$NE$2:$NE$60=O$3)*(GMW!$ND$2:$ND$60=O$4)*(GMW!$NF$2:$NF$60=O$1),0),$F74-1966)</f>
        <v>-69.887749999999997</v>
      </c>
      <c r="P74" s="4" cm="1">
        <f t="array" ref="P74">INDEX(GMW!$A$2:$NF$60,MATCH(1,(GMW!$NE$2:$NE$60=P$3)*(GMW!$ND$2:$ND$60=P$4)*(GMW!$NF$2:$NF$60=P$1),0),$F74-1966)</f>
        <v>1566.25</v>
      </c>
      <c r="Q74" s="4" cm="1">
        <f t="array" ref="Q74">INDEX(GMW!$A$2:$NF$60,MATCH(1,(GMW!$NE$2:$NE$60=Q$3)*(GMW!$ND$2:$ND$60=Q$4)*(GMW!$NF$2:$NF$60=Q$1),0),$F74-1966)</f>
        <v>-19.054559999999999</v>
      </c>
      <c r="R74" s="4" cm="1">
        <f t="array" ref="R74">INDEX(GMW!$A$2:$NF$60,MATCH(1,(GMW!$NE$2:$NE$60=R$3)*(GMW!$ND$2:$ND$60=R$4)*(GMW!$NF$2:$NF$60=R$1),0),$F74-1966)</f>
        <v>-3.073</v>
      </c>
      <c r="S74" s="4" cm="1">
        <f t="array" ref="S74">INDEX(GMW!$A$2:$NF$60,MATCH(1,(GMW!$NE$2:$NE$60=S$3)*(GMW!$ND$2:$ND$60=S$4)*(GMW!$NF$2:$NF$60=S$1),0),$F74-1966)</f>
        <v>-19.257380000000001</v>
      </c>
      <c r="T74" s="4" cm="1">
        <f t="array" ref="T74">INDEX(GMW!$A$2:$NF$60,MATCH(1,(GMW!$NE$2:$NE$60=T$3)*(GMW!$ND$2:$ND$60=T$4)*(GMW!$NF$2:$NF$60=T$1),0),$F74-1966)</f>
        <v>-6708</v>
      </c>
      <c r="U74" s="4" cm="1">
        <f t="array" ref="U74">INDEX(GMW!$A$2:$NF$60,MATCH(1,(GMW!$NE$2:$NE$60=U$3)*(GMW!$ND$2:$ND$60=U$4)*(GMW!$NF$2:$NF$60=U$1),0),$F74-1966)</f>
        <v>188804.5</v>
      </c>
      <c r="V74" s="4" cm="1">
        <f t="array" ref="V74">INDEX(GMW!$A$2:$NF$60,MATCH(1,(GMW!$NE$2:$NE$60=V$3)*(GMW!$ND$2:$ND$60=V$4)*(GMW!$NF$2:$NF$60=V$1),0),$F74-1966)</f>
        <v>4790.9539999999997</v>
      </c>
      <c r="W74" s="4" cm="1">
        <f t="array" ref="W74">INDEX(GMW!$A$2:$NF$60,MATCH(1,(GMW!$NE$2:$NE$60=W$3)*(GMW!$ND$2:$ND$60=W$4)*(GMW!$NF$2:$NF$60=W$1),0),$F74-1966)</f>
        <v>280343</v>
      </c>
      <c r="X74" s="4" cm="1">
        <f t="array" ref="X74">INDEX(GMW!$A$2:$NF$60,MATCH(1,(GMW!$NE$2:$NE$60=X$3)*(GMW!$ND$2:$ND$60=X$4)*(GMW!$NF$2:$NF$60=X$1),0),$F74-1966)</f>
        <v>486.90699999999998</v>
      </c>
      <c r="Y74" s="4" cm="1">
        <f t="array" ref="Y74">INDEX(GMW!$A$2:$NF$60,MATCH(1,(GMW!$NE$2:$NE$60=Y$3)*(GMW!$ND$2:$ND$60=Y$4)*(GMW!$NF$2:$NF$60=Y$1),0),$F74-1966)</f>
        <v>372.41699999999997</v>
      </c>
      <c r="Z74" s="4" cm="1">
        <f t="array" ref="Z74">INDEX(GMW!$A$2:$NF$60,MATCH(1,(GMW!$NE$2:$NE$60=Z$3)*(GMW!$ND$2:$ND$60=Z$4)*(GMW!$NF$2:$NF$60=Z$1),0),$F74-1966)</f>
        <v>612.70600000000002</v>
      </c>
      <c r="AA74" s="4" cm="1">
        <f t="array" ref="AA74">INDEX(GMW!$A$2:$NF$60,MATCH(1,(GMW!$NE$2:$NE$60=AA$3)*(GMW!$ND$2:$ND$60=AA$4)*(GMW!$NF$2:$NF$60=AA$1),0),$F74-1966)</f>
        <v>498148</v>
      </c>
      <c r="AB74" s="4" cm="1">
        <f t="array" ref="AB74">INDEX(GMW!$A$2:$NF$60,MATCH(1,(GMW!$NE$2:$NE$60=AB$3)*(GMW!$ND$2:$ND$60=AB$4)*(GMW!$NF$2:$NF$60=AB$1),0),$F74-1966)</f>
        <v>159376</v>
      </c>
      <c r="AC74" s="4" cm="1">
        <f t="array" ref="AC74">INDEX(GMW!$A$2:$NF$60,MATCH(1,(GMW!$NE$2:$NE$60=AC$3)*(GMW!$ND$2:$ND$60=AC$4)*(GMW!$NF$2:$NF$60=AC$1),0),$F74-1966)</f>
        <v>1436.8</v>
      </c>
      <c r="AD74" s="4" cm="1">
        <f t="array" ref="AD74">INDEX(GMW!$A$2:$NF$60,MATCH(1,(GMW!$NE$2:$NE$60=AD$3)*(GMW!$ND$2:$ND$60=AD$4)*(GMW!$NF$2:$NF$60=AD$1),0),$F74-1966)</f>
        <v>111002.5</v>
      </c>
      <c r="AE74" s="4" cm="1">
        <f t="array" ref="AE74">INDEX(GMW!$A$2:$NF$60,MATCH(1,(GMW!$NE$2:$NE$60=AE$3)*(GMW!$ND$2:$ND$60=AE$4)*(GMW!$NF$2:$NF$60=AE$1),0),$F74-1966)</f>
        <v>349.39210000000003</v>
      </c>
      <c r="AF74" s="4" cm="1">
        <f t="array" ref="AF74">INDEX(GMW!$A$2:$NF$60,MATCH(1,(GMW!$NE$2:$NE$60=AF$3)*(GMW!$ND$2:$ND$60=AF$4)*(GMW!$NF$2:$NF$60=AF$1),0),$F74-1966)</f>
        <v>254.43700000000001</v>
      </c>
      <c r="AG74" s="4" cm="1">
        <f t="array" ref="AG74">INDEX(GMW!$A$2:$NF$60,MATCH(1,(GMW!$NE$2:$NE$60=AG$3)*(GMW!$ND$2:$ND$60=AG$4)*(GMW!$NF$2:$NF$60=AG$1),0),$F74-1966)</f>
        <v>176.2</v>
      </c>
      <c r="AH74" s="4" cm="1">
        <f t="array" ref="AH74">INDEX(GMW!$A$2:$NF$60,MATCH(1,(GMW!$NE$2:$NE$60=AH$3)*(GMW!$ND$2:$ND$60=AH$4)*(GMW!$NF$2:$NF$60=AH$1),0),$F74-1966)</f>
        <v>170308</v>
      </c>
    </row>
    <row r="75" spans="1:34" x14ac:dyDescent="0.25">
      <c r="A75" s="4">
        <v>1990</v>
      </c>
      <c r="B75" s="4">
        <f t="shared" si="21"/>
        <v>1990</v>
      </c>
      <c r="C75" s="4">
        <f t="shared" si="21"/>
        <v>1989</v>
      </c>
      <c r="D75" s="4">
        <f t="shared" si="21"/>
        <v>1989</v>
      </c>
      <c r="F75" s="4">
        <f t="shared" si="17"/>
        <v>2041</v>
      </c>
      <c r="G75" s="4" cm="1">
        <f t="array" ref="G75">INDEX(GMW!$A$2:$NF$60,MATCH(1,(GMW!$NE$2:$NE$60=G$3)*(GMW!$ND$2:$ND$60=G$4)*(GMW!$NF$2:$NF$60=G$1),0),$F75-1966)</f>
        <v>351299</v>
      </c>
      <c r="H75" s="4" cm="1">
        <f t="array" ref="H75">INDEX(GMW!$A$2:$NF$60,MATCH(1,(GMW!$NE$2:$NE$60=H$3)*(GMW!$ND$2:$ND$60=H$4)*(GMW!$NF$2:$NF$60=H$1),0),$F75-1966)</f>
        <v>2511.85</v>
      </c>
      <c r="I75" s="4" cm="1">
        <f t="array" ref="I75">INDEX(GMW!$A$2:$NF$60,MATCH(1,(GMW!$NE$2:$NE$60=I$3)*(GMW!$ND$2:$ND$60=I$4)*(GMW!$NF$2:$NF$60=I$1),0),$F75-1966)</f>
        <v>103264</v>
      </c>
      <c r="J75" s="4" cm="1">
        <f t="array" ref="J75">INDEX(GMW!$A$2:$NF$60,MATCH(1,(GMW!$NE$2:$NE$60=J$3)*(GMW!$ND$2:$ND$60=J$4)*(GMW!$NF$2:$NF$60=J$1),0),$F75-1966)</f>
        <v>567.64</v>
      </c>
      <c r="K75" s="4" cm="1">
        <f t="array" ref="K75">INDEX(GMW!$A$2:$NF$60,MATCH(1,(GMW!$NE$2:$NE$60=K$3)*(GMW!$ND$2:$ND$60=K$4)*(GMW!$NF$2:$NF$60=K$1),0),$F75-1966)</f>
        <v>388.95600000000002</v>
      </c>
      <c r="L75" s="4" cm="1">
        <f t="array" ref="L75">INDEX(GMW!$A$2:$NF$60,MATCH(1,(GMW!$NE$2:$NE$60=L$3)*(GMW!$ND$2:$ND$60=L$4)*(GMW!$NF$2:$NF$60=L$1),0),$F75-1966)</f>
        <v>376.52600000000001</v>
      </c>
      <c r="M75" s="4" cm="1">
        <f t="array" ref="M75">INDEX(GMW!$A$2:$NF$60,MATCH(1,(GMW!$NE$2:$NE$60=M$3)*(GMW!$ND$2:$ND$60=M$4)*(GMW!$NF$2:$NF$60=M$1),0),$F75-1966)</f>
        <v>292484.3</v>
      </c>
      <c r="N75" s="4" cm="1">
        <f t="array" ref="N75">INDEX(GMW!$A$2:$NF$60,MATCH(1,(GMW!$NE$2:$NE$60=N$3)*(GMW!$ND$2:$ND$60=N$4)*(GMW!$NF$2:$NF$60=N$1),0),$F75-1966)</f>
        <v>157</v>
      </c>
      <c r="O75" s="4" cm="1">
        <f t="array" ref="O75">INDEX(GMW!$A$2:$NF$60,MATCH(1,(GMW!$NE$2:$NE$60=O$3)*(GMW!$ND$2:$ND$60=O$4)*(GMW!$NF$2:$NF$60=O$1),0),$F75-1966)</f>
        <v>-75.406750000000002</v>
      </c>
      <c r="P75" s="4" cm="1">
        <f t="array" ref="P75">INDEX(GMW!$A$2:$NF$60,MATCH(1,(GMW!$NE$2:$NE$60=P$3)*(GMW!$ND$2:$ND$60=P$4)*(GMW!$NF$2:$NF$60=P$1),0),$F75-1966)</f>
        <v>2046</v>
      </c>
      <c r="Q75" s="4" cm="1">
        <f t="array" ref="Q75">INDEX(GMW!$A$2:$NF$60,MATCH(1,(GMW!$NE$2:$NE$60=Q$3)*(GMW!$ND$2:$ND$60=Q$4)*(GMW!$NF$2:$NF$60=Q$1),0),$F75-1966)</f>
        <v>-23.364000000000001</v>
      </c>
      <c r="R75" s="4" cm="1">
        <f t="array" ref="R75">INDEX(GMW!$A$2:$NF$60,MATCH(1,(GMW!$NE$2:$NE$60=R$3)*(GMW!$ND$2:$ND$60=R$4)*(GMW!$NF$2:$NF$60=R$1),0),$F75-1966)</f>
        <v>-7.218</v>
      </c>
      <c r="S75" s="4" cm="1">
        <f t="array" ref="S75">INDEX(GMW!$A$2:$NF$60,MATCH(1,(GMW!$NE$2:$NE$60=S$3)*(GMW!$ND$2:$ND$60=S$4)*(GMW!$NF$2:$NF$60=S$1),0),$F75-1966)</f>
        <v>-19.692419999999998</v>
      </c>
      <c r="T75" s="4" cm="1">
        <f t="array" ref="T75">INDEX(GMW!$A$2:$NF$60,MATCH(1,(GMW!$NE$2:$NE$60=T$3)*(GMW!$ND$2:$ND$60=T$4)*(GMW!$NF$2:$NF$60=T$1),0),$F75-1966)</f>
        <v>-8697</v>
      </c>
      <c r="U75" s="4" cm="1">
        <f t="array" ref="U75">INDEX(GMW!$A$2:$NF$60,MATCH(1,(GMW!$NE$2:$NE$60=U$3)*(GMW!$ND$2:$ND$60=U$4)*(GMW!$NF$2:$NF$60=U$1),0),$F75-1966)</f>
        <v>186658</v>
      </c>
      <c r="V75" s="4" cm="1">
        <f t="array" ref="V75">INDEX(GMW!$A$2:$NF$60,MATCH(1,(GMW!$NE$2:$NE$60=V$3)*(GMW!$ND$2:$ND$60=V$4)*(GMW!$NF$2:$NF$60=V$1),0),$F75-1966)</f>
        <v>4878.6580000000004</v>
      </c>
      <c r="W75" s="4" cm="1">
        <f t="array" ref="W75">INDEX(GMW!$A$2:$NF$60,MATCH(1,(GMW!$NE$2:$NE$60=W$3)*(GMW!$ND$2:$ND$60=W$4)*(GMW!$NF$2:$NF$60=W$1),0),$F75-1966)</f>
        <v>282795</v>
      </c>
      <c r="X75" s="4" cm="1">
        <f t="array" ref="X75">INDEX(GMW!$A$2:$NF$60,MATCH(1,(GMW!$NE$2:$NE$60=X$3)*(GMW!$ND$2:$ND$60=X$4)*(GMW!$NF$2:$NF$60=X$1),0),$F75-1966)</f>
        <v>506.95280000000002</v>
      </c>
      <c r="Y75" s="4" cm="1">
        <f t="array" ref="Y75">INDEX(GMW!$A$2:$NF$60,MATCH(1,(GMW!$NE$2:$NE$60=Y$3)*(GMW!$ND$2:$ND$60=Y$4)*(GMW!$NF$2:$NF$60=Y$1),0),$F75-1966)</f>
        <v>376.54</v>
      </c>
      <c r="Z75" s="4" cm="1">
        <f t="array" ref="Z75">INDEX(GMW!$A$2:$NF$60,MATCH(1,(GMW!$NE$2:$NE$60=Z$3)*(GMW!$ND$2:$ND$60=Z$4)*(GMW!$NF$2:$NF$60=Z$1),0),$F75-1966)</f>
        <v>632.40899999999999</v>
      </c>
      <c r="AA75" s="4" cm="1">
        <f t="array" ref="AA75">INDEX(GMW!$A$2:$NF$60,MATCH(1,(GMW!$NE$2:$NE$60=AA$3)*(GMW!$ND$2:$ND$60=AA$4)*(GMW!$NF$2:$NF$60=AA$1),0),$F75-1966)</f>
        <v>499043</v>
      </c>
      <c r="AB75" s="4" cm="1">
        <f t="array" ref="AB75">INDEX(GMW!$A$2:$NF$60,MATCH(1,(GMW!$NE$2:$NE$60=AB$3)*(GMW!$ND$2:$ND$60=AB$4)*(GMW!$NF$2:$NF$60=AB$1),0),$F75-1966)</f>
        <v>163056</v>
      </c>
      <c r="AC75" s="4" cm="1">
        <f t="array" ref="AC75">INDEX(GMW!$A$2:$NF$60,MATCH(1,(GMW!$NE$2:$NE$60=AC$3)*(GMW!$ND$2:$ND$60=AC$4)*(GMW!$NF$2:$NF$60=AC$1),0),$F75-1966)</f>
        <v>1468.175</v>
      </c>
      <c r="AD75" s="4" cm="1">
        <f t="array" ref="AD75">INDEX(GMW!$A$2:$NF$60,MATCH(1,(GMW!$NE$2:$NE$60=AD$3)*(GMW!$ND$2:$ND$60=AD$4)*(GMW!$NF$2:$NF$60=AD$1),0),$F75-1966)</f>
        <v>110981.6</v>
      </c>
      <c r="AE75" s="4" cm="1">
        <f t="array" ref="AE75">INDEX(GMW!$A$2:$NF$60,MATCH(1,(GMW!$NE$2:$NE$60=AE$3)*(GMW!$ND$2:$ND$60=AE$4)*(GMW!$NF$2:$NF$60=AE$1),0),$F75-1966)</f>
        <v>362.01929999999999</v>
      </c>
      <c r="AF75" s="4" cm="1">
        <f t="array" ref="AF75">INDEX(GMW!$A$2:$NF$60,MATCH(1,(GMW!$NE$2:$NE$60=AF$3)*(GMW!$ND$2:$ND$60=AF$4)*(GMW!$NF$2:$NF$60=AF$1),0),$F75-1966)</f>
        <v>257.33100000000002</v>
      </c>
      <c r="AG75" s="4" cm="1">
        <f t="array" ref="AG75">INDEX(GMW!$A$2:$NF$60,MATCH(1,(GMW!$NE$2:$NE$60=AG$3)*(GMW!$ND$2:$ND$60=AG$4)*(GMW!$NF$2:$NF$60=AG$1),0),$F75-1966)</f>
        <v>181.97200000000001</v>
      </c>
      <c r="AH75" s="4" cm="1">
        <f t="array" ref="AH75">INDEX(GMW!$A$2:$NF$60,MATCH(1,(GMW!$NE$2:$NE$60=AH$3)*(GMW!$ND$2:$ND$60=AH$4)*(GMW!$NF$2:$NF$60=AH$1),0),$F75-1966)</f>
        <v>172982</v>
      </c>
    </row>
    <row r="76" spans="1:34" x14ac:dyDescent="0.25">
      <c r="B76" s="4">
        <f t="shared" ref="B76:D91" si="26">+B72+1</f>
        <v>1990</v>
      </c>
      <c r="C76" s="4">
        <f t="shared" si="26"/>
        <v>1990</v>
      </c>
      <c r="F76" s="4">
        <f t="shared" si="17"/>
        <v>2042</v>
      </c>
      <c r="G76" s="4" cm="1">
        <f t="array" ref="G76">INDEX(GMW!$A$2:$NF$60,MATCH(1,(GMW!$NE$2:$NE$60=G$3)*(GMW!$ND$2:$ND$60=G$4)*(GMW!$NF$2:$NF$60=G$1),0),$F76-1966)</f>
        <v>353663</v>
      </c>
      <c r="H76" s="4" cm="1">
        <f t="array" ref="H76">INDEX(GMW!$A$2:$NF$60,MATCH(1,(GMW!$NE$2:$NE$60=H$3)*(GMW!$ND$2:$ND$60=H$4)*(GMW!$NF$2:$NF$60=H$1),0),$F76-1966)</f>
        <v>2520.9749999999999</v>
      </c>
      <c r="I76" s="4" cm="1">
        <f t="array" ref="I76">INDEX(GMW!$A$2:$NF$60,MATCH(1,(GMW!$NE$2:$NE$60=I$3)*(GMW!$ND$2:$ND$60=I$4)*(GMW!$NF$2:$NF$60=I$1),0),$F76-1966)</f>
        <v>105791</v>
      </c>
      <c r="J76" s="4" cm="1">
        <f t="array" ref="J76">INDEX(GMW!$A$2:$NF$60,MATCH(1,(GMW!$NE$2:$NE$60=J$3)*(GMW!$ND$2:$ND$60=J$4)*(GMW!$NF$2:$NF$60=J$1),0),$F76-1966)</f>
        <v>570.54999999999995</v>
      </c>
      <c r="K76" s="4" cm="1">
        <f t="array" ref="K76">INDEX(GMW!$A$2:$NF$60,MATCH(1,(GMW!$NE$2:$NE$60=K$3)*(GMW!$ND$2:$ND$60=K$4)*(GMW!$NF$2:$NF$60=K$1),0),$F76-1966)</f>
        <v>391.04599999999999</v>
      </c>
      <c r="L76" s="4" cm="1">
        <f t="array" ref="L76">INDEX(GMW!$A$2:$NF$60,MATCH(1,(GMW!$NE$2:$NE$60=L$3)*(GMW!$ND$2:$ND$60=L$4)*(GMW!$NF$2:$NF$60=L$1),0),$F76-1966)</f>
        <v>377.67399999999998</v>
      </c>
      <c r="M76" s="4" cm="1">
        <f t="array" ref="M76">INDEX(GMW!$A$2:$NF$60,MATCH(1,(GMW!$NE$2:$NE$60=M$3)*(GMW!$ND$2:$ND$60=M$4)*(GMW!$NF$2:$NF$60=M$1),0),$F76-1966)</f>
        <v>291310.8</v>
      </c>
      <c r="N76" s="4" cm="1">
        <f t="array" ref="N76">INDEX(GMW!$A$2:$NF$60,MATCH(1,(GMW!$NE$2:$NE$60=N$3)*(GMW!$ND$2:$ND$60=N$4)*(GMW!$NF$2:$NF$60=N$1),0),$F76-1966)</f>
        <v>-3212</v>
      </c>
      <c r="O76" s="4" cm="1">
        <f t="array" ref="O76">INDEX(GMW!$A$2:$NF$60,MATCH(1,(GMW!$NE$2:$NE$60=O$3)*(GMW!$ND$2:$ND$60=O$4)*(GMW!$NF$2:$NF$60=O$1),0),$F76-1966)</f>
        <v>-78.295240000000007</v>
      </c>
      <c r="P76" s="4" cm="1">
        <f t="array" ref="P76">INDEX(GMW!$A$2:$NF$60,MATCH(1,(GMW!$NE$2:$NE$60=P$3)*(GMW!$ND$2:$ND$60=P$4)*(GMW!$NF$2:$NF$60=P$1),0),$F76-1966)</f>
        <v>2498.25</v>
      </c>
      <c r="Q76" s="4" cm="1">
        <f t="array" ref="Q76">INDEX(GMW!$A$2:$NF$60,MATCH(1,(GMW!$NE$2:$NE$60=Q$3)*(GMW!$ND$2:$ND$60=Q$4)*(GMW!$NF$2:$NF$60=Q$1),0),$F76-1966)</f>
        <v>-23.364000000000001</v>
      </c>
      <c r="R76" s="4" cm="1">
        <f t="array" ref="R76">INDEX(GMW!$A$2:$NF$60,MATCH(1,(GMW!$NE$2:$NE$60=R$3)*(GMW!$ND$2:$ND$60=R$4)*(GMW!$NF$2:$NF$60=R$1),0),$F76-1966)</f>
        <v>-5.42</v>
      </c>
      <c r="S76" s="4" cm="1">
        <f t="array" ref="S76">INDEX(GMW!$A$2:$NF$60,MATCH(1,(GMW!$NE$2:$NE$60=S$3)*(GMW!$ND$2:$ND$60=S$4)*(GMW!$NF$2:$NF$60=S$1),0),$F76-1966)</f>
        <v>-20.159669999999998</v>
      </c>
      <c r="T76" s="4" cm="1">
        <f t="array" ref="T76">INDEX(GMW!$A$2:$NF$60,MATCH(1,(GMW!$NE$2:$NE$60=T$3)*(GMW!$ND$2:$ND$60=T$4)*(GMW!$NF$2:$NF$60=T$1),0),$F76-1966)</f>
        <v>-4265</v>
      </c>
      <c r="U76" s="4" cm="1">
        <f t="array" ref="U76">INDEX(GMW!$A$2:$NF$60,MATCH(1,(GMW!$NE$2:$NE$60=U$3)*(GMW!$ND$2:$ND$60=U$4)*(GMW!$NF$2:$NF$60=U$1),0),$F76-1966)</f>
        <v>187073.3</v>
      </c>
      <c r="V76" s="4" cm="1">
        <f t="array" ref="V76">INDEX(GMW!$A$2:$NF$60,MATCH(1,(GMW!$NE$2:$NE$60=V$3)*(GMW!$ND$2:$ND$60=V$4)*(GMW!$NF$2:$NF$60=V$1),0),$F76-1966)</f>
        <v>4952.0810000000001</v>
      </c>
      <c r="W76" s="4" cm="1">
        <f t="array" ref="W76">INDEX(GMW!$A$2:$NF$60,MATCH(1,(GMW!$NE$2:$NE$60=W$3)*(GMW!$ND$2:$ND$60=W$4)*(GMW!$NF$2:$NF$60=W$1),0),$F76-1966)</f>
        <v>285247</v>
      </c>
      <c r="X76" s="4" cm="1">
        <f t="array" ref="X76">INDEX(GMW!$A$2:$NF$60,MATCH(1,(GMW!$NE$2:$NE$60=X$3)*(GMW!$ND$2:$ND$60=X$4)*(GMW!$NF$2:$NF$60=X$1),0),$F76-1966)</f>
        <v>522.81960000000004</v>
      </c>
      <c r="Y76" s="4" cm="1">
        <f t="array" ref="Y76">INDEX(GMW!$A$2:$NF$60,MATCH(1,(GMW!$NE$2:$NE$60=Y$3)*(GMW!$ND$2:$ND$60=Y$4)*(GMW!$NF$2:$NF$60=Y$1),0),$F76-1966)</f>
        <v>381.35399999999998</v>
      </c>
      <c r="Z76" s="4" cm="1">
        <f t="array" ref="Z76">INDEX(GMW!$A$2:$NF$60,MATCH(1,(GMW!$NE$2:$NE$60=Z$3)*(GMW!$ND$2:$ND$60=Z$4)*(GMW!$NF$2:$NF$60=Z$1),0),$F76-1966)</f>
        <v>652.11199999999997</v>
      </c>
      <c r="AA76" s="4" cm="1">
        <f t="array" ref="AA76">INDEX(GMW!$A$2:$NF$60,MATCH(1,(GMW!$NE$2:$NE$60=AA$3)*(GMW!$ND$2:$ND$60=AA$4)*(GMW!$NF$2:$NF$60=AA$1),0),$F76-1966)</f>
        <v>512357</v>
      </c>
      <c r="AB76" s="4" cm="1">
        <f t="array" ref="AB76">INDEX(GMW!$A$2:$NF$60,MATCH(1,(GMW!$NE$2:$NE$60=AB$3)*(GMW!$ND$2:$ND$60=AB$4)*(GMW!$NF$2:$NF$60=AB$1),0),$F76-1966)</f>
        <v>166719</v>
      </c>
      <c r="AC76" s="4" cm="1">
        <f t="array" ref="AC76">INDEX(GMW!$A$2:$NF$60,MATCH(1,(GMW!$NE$2:$NE$60=AC$3)*(GMW!$ND$2:$ND$60=AC$4)*(GMW!$NF$2:$NF$60=AC$1),0),$F76-1966)</f>
        <v>1490</v>
      </c>
      <c r="AD76" s="4" cm="1">
        <f t="array" ref="AD76">INDEX(GMW!$A$2:$NF$60,MATCH(1,(GMW!$NE$2:$NE$60=AD$3)*(GMW!$ND$2:$ND$60=AD$4)*(GMW!$NF$2:$NF$60=AD$1),0),$F76-1966)</f>
        <v>114460.6</v>
      </c>
      <c r="AE76" s="4" cm="1">
        <f t="array" ref="AE76">INDEX(GMW!$A$2:$NF$60,MATCH(1,(GMW!$NE$2:$NE$60=AE$3)*(GMW!$ND$2:$ND$60=AE$4)*(GMW!$NF$2:$NF$60=AE$1),0),$F76-1966)</f>
        <v>367.05689999999998</v>
      </c>
      <c r="AF76" s="4" cm="1">
        <f t="array" ref="AF76">INDEX(GMW!$A$2:$NF$60,MATCH(1,(GMW!$NE$2:$NE$60=AF$3)*(GMW!$ND$2:$ND$60=AF$4)*(GMW!$NF$2:$NF$60=AF$1),0),$F76-1966)</f>
        <v>260.76600000000002</v>
      </c>
      <c r="AG76" s="4" cm="1">
        <f t="array" ref="AG76">INDEX(GMW!$A$2:$NF$60,MATCH(1,(GMW!$NE$2:$NE$60=AG$3)*(GMW!$ND$2:$ND$60=AG$4)*(GMW!$NF$2:$NF$60=AG$1),0),$F76-1966)</f>
        <v>181.85900000000001</v>
      </c>
      <c r="AH76" s="4" cm="1">
        <f t="array" ref="AH76">INDEX(GMW!$A$2:$NF$60,MATCH(1,(GMW!$NE$2:$NE$60=AH$3)*(GMW!$ND$2:$ND$60=AH$4)*(GMW!$NF$2:$NF$60=AH$1),0),$F76-1966)</f>
        <v>173906</v>
      </c>
    </row>
    <row r="77" spans="1:34" x14ac:dyDescent="0.25">
      <c r="B77" s="4">
        <f t="shared" si="26"/>
        <v>1990</v>
      </c>
      <c r="C77" s="4">
        <f t="shared" si="26"/>
        <v>1990</v>
      </c>
      <c r="F77" s="4">
        <f t="shared" si="17"/>
        <v>2043</v>
      </c>
      <c r="G77" s="4" cm="1">
        <f t="array" ref="G77">INDEX(GMW!$A$2:$NF$60,MATCH(1,(GMW!$NE$2:$NE$60=G$3)*(GMW!$ND$2:$ND$60=G$4)*(GMW!$NF$2:$NF$60=G$1),0),$F77-1966)</f>
        <v>349780</v>
      </c>
      <c r="H77" s="4" cm="1">
        <f t="array" ref="H77">INDEX(GMW!$A$2:$NF$60,MATCH(1,(GMW!$NE$2:$NE$60=H$3)*(GMW!$ND$2:$ND$60=H$4)*(GMW!$NF$2:$NF$60=H$1),0),$F77-1966)</f>
        <v>2522.65</v>
      </c>
      <c r="I77" s="4" cm="1">
        <f t="array" ref="I77">INDEX(GMW!$A$2:$NF$60,MATCH(1,(GMW!$NE$2:$NE$60=I$3)*(GMW!$ND$2:$ND$60=I$4)*(GMW!$NF$2:$NF$60=I$1),0),$F77-1966)</f>
        <v>107937.8</v>
      </c>
      <c r="J77" s="4" cm="1">
        <f t="array" ref="J77">INDEX(GMW!$A$2:$NF$60,MATCH(1,(GMW!$NE$2:$NE$60=J$3)*(GMW!$ND$2:$ND$60=J$4)*(GMW!$NF$2:$NF$60=J$1),0),$F77-1966)</f>
        <v>582.54</v>
      </c>
      <c r="K77" s="4" cm="1">
        <f t="array" ref="K77">INDEX(GMW!$A$2:$NF$60,MATCH(1,(GMW!$NE$2:$NE$60=K$3)*(GMW!$ND$2:$ND$60=K$4)*(GMW!$NF$2:$NF$60=K$1),0),$F77-1966)</f>
        <v>393.58699999999999</v>
      </c>
      <c r="L77" s="4" cm="1">
        <f t="array" ref="L77">INDEX(GMW!$A$2:$NF$60,MATCH(1,(GMW!$NE$2:$NE$60=L$3)*(GMW!$ND$2:$ND$60=L$4)*(GMW!$NF$2:$NF$60=L$1),0),$F77-1966)</f>
        <v>378.28100000000001</v>
      </c>
      <c r="M77" s="4" cm="1">
        <f t="array" ref="M77">INDEX(GMW!$A$2:$NF$60,MATCH(1,(GMW!$NE$2:$NE$60=M$3)*(GMW!$ND$2:$ND$60=M$4)*(GMW!$NF$2:$NF$60=M$1),0),$F77-1966)</f>
        <v>289223</v>
      </c>
      <c r="N77" s="4" cm="1">
        <f t="array" ref="N77">INDEX(GMW!$A$2:$NF$60,MATCH(1,(GMW!$NE$2:$NE$60=N$3)*(GMW!$ND$2:$ND$60=N$4)*(GMW!$NF$2:$NF$60=N$1),0),$F77-1966)</f>
        <v>-1084</v>
      </c>
      <c r="O77" s="4" cm="1">
        <f t="array" ref="O77">INDEX(GMW!$A$2:$NF$60,MATCH(1,(GMW!$NE$2:$NE$60=O$3)*(GMW!$ND$2:$ND$60=O$4)*(GMW!$NF$2:$NF$60=O$1),0),$F77-1966)</f>
        <v>-78.010999999999996</v>
      </c>
      <c r="P77" s="4" cm="1">
        <f t="array" ref="P77">INDEX(GMW!$A$2:$NF$60,MATCH(1,(GMW!$NE$2:$NE$60=P$3)*(GMW!$ND$2:$ND$60=P$4)*(GMW!$NF$2:$NF$60=P$1),0),$F77-1966)</f>
        <v>2980.5</v>
      </c>
      <c r="Q77" s="4" cm="1">
        <f t="array" ref="Q77">INDEX(GMW!$A$2:$NF$60,MATCH(1,(GMW!$NE$2:$NE$60=Q$3)*(GMW!$ND$2:$ND$60=Q$4)*(GMW!$NF$2:$NF$60=Q$1),0),$F77-1966)</f>
        <v>-23.364000000000001</v>
      </c>
      <c r="R77" s="4" cm="1">
        <f t="array" ref="R77">INDEX(GMW!$A$2:$NF$60,MATCH(1,(GMW!$NE$2:$NE$60=R$3)*(GMW!$ND$2:$ND$60=R$4)*(GMW!$NF$2:$NF$60=R$1),0),$F77-1966)</f>
        <v>-7.141</v>
      </c>
      <c r="S77" s="4" cm="1">
        <f t="array" ref="S77">INDEX(GMW!$A$2:$NF$60,MATCH(1,(GMW!$NE$2:$NE$60=S$3)*(GMW!$ND$2:$ND$60=S$4)*(GMW!$NF$2:$NF$60=S$1),0),$F77-1966)</f>
        <v>-20.659140000000001</v>
      </c>
      <c r="T77" s="4" cm="1">
        <f t="array" ref="T77">INDEX(GMW!$A$2:$NF$60,MATCH(1,(GMW!$NE$2:$NE$60=T$3)*(GMW!$ND$2:$ND$60=T$4)*(GMW!$NF$2:$NF$60=T$1),0),$F77-1966)</f>
        <v>-8512</v>
      </c>
      <c r="U77" s="4" cm="1">
        <f t="array" ref="U77">INDEX(GMW!$A$2:$NF$60,MATCH(1,(GMW!$NE$2:$NE$60=U$3)*(GMW!$ND$2:$ND$60=U$4)*(GMW!$NF$2:$NF$60=U$1),0),$F77-1966)</f>
        <v>187488.5</v>
      </c>
      <c r="V77" s="4" cm="1">
        <f t="array" ref="V77">INDEX(GMW!$A$2:$NF$60,MATCH(1,(GMW!$NE$2:$NE$60=V$3)*(GMW!$ND$2:$ND$60=V$4)*(GMW!$NF$2:$NF$60=V$1),0),$F77-1966)</f>
        <v>5104.5320000000002</v>
      </c>
      <c r="W77" s="4" cm="1">
        <f t="array" ref="W77">INDEX(GMW!$A$2:$NF$60,MATCH(1,(GMW!$NE$2:$NE$60=W$3)*(GMW!$ND$2:$ND$60=W$4)*(GMW!$NF$2:$NF$60=W$1),0),$F77-1966)</f>
        <v>287699</v>
      </c>
      <c r="X77" s="4" cm="1">
        <f t="array" ref="X77">INDEX(GMW!$A$2:$NF$60,MATCH(1,(GMW!$NE$2:$NE$60=X$3)*(GMW!$ND$2:$ND$60=X$4)*(GMW!$NF$2:$NF$60=X$1),0),$F77-1966)</f>
        <v>538.18619999999999</v>
      </c>
      <c r="Y77" s="4" cm="1">
        <f t="array" ref="Y77">INDEX(GMW!$A$2:$NF$60,MATCH(1,(GMW!$NE$2:$NE$60=Y$3)*(GMW!$ND$2:$ND$60=Y$4)*(GMW!$NF$2:$NF$60=Y$1),0),$F77-1966)</f>
        <v>384.387</v>
      </c>
      <c r="Z77" s="4" cm="1">
        <f t="array" ref="Z77">INDEX(GMW!$A$2:$NF$60,MATCH(1,(GMW!$NE$2:$NE$60=Z$3)*(GMW!$ND$2:$ND$60=Z$4)*(GMW!$NF$2:$NF$60=Z$1),0),$F77-1966)</f>
        <v>671.81500000000005</v>
      </c>
      <c r="AA77" s="4" cm="1">
        <f t="array" ref="AA77">INDEX(GMW!$A$2:$NF$60,MATCH(1,(GMW!$NE$2:$NE$60=AA$3)*(GMW!$ND$2:$ND$60=AA$4)*(GMW!$NF$2:$NF$60=AA$1),0),$F77-1966)</f>
        <v>523169</v>
      </c>
      <c r="AB77" s="4" cm="1">
        <f t="array" ref="AB77">INDEX(GMW!$A$2:$NF$60,MATCH(1,(GMW!$NE$2:$NE$60=AB$3)*(GMW!$ND$2:$ND$60=AB$4)*(GMW!$NF$2:$NF$60=AB$1),0),$F77-1966)</f>
        <v>170068</v>
      </c>
      <c r="AC77" s="4" cm="1">
        <f t="array" ref="AC77">INDEX(GMW!$A$2:$NF$60,MATCH(1,(GMW!$NE$2:$NE$60=AC$3)*(GMW!$ND$2:$ND$60=AC$4)*(GMW!$NF$2:$NF$60=AC$1),0),$F77-1966)</f>
        <v>1503.7750000000001</v>
      </c>
      <c r="AD77" s="4" cm="1">
        <f t="array" ref="AD77">INDEX(GMW!$A$2:$NF$60,MATCH(1,(GMW!$NE$2:$NE$60=AD$3)*(GMW!$ND$2:$ND$60=AD$4)*(GMW!$NF$2:$NF$60=AD$1),0),$F77-1966)</f>
        <v>117126.7</v>
      </c>
      <c r="AE77" s="4" cm="1">
        <f t="array" ref="AE77">INDEX(GMW!$A$2:$NF$60,MATCH(1,(GMW!$NE$2:$NE$60=AE$3)*(GMW!$ND$2:$ND$60=AE$4)*(GMW!$NF$2:$NF$60=AE$1),0),$F77-1966)</f>
        <v>376.02140000000003</v>
      </c>
      <c r="AF77" s="4" cm="1">
        <f t="array" ref="AF77">INDEX(GMW!$A$2:$NF$60,MATCH(1,(GMW!$NE$2:$NE$60=AF$3)*(GMW!$ND$2:$ND$60=AF$4)*(GMW!$NF$2:$NF$60=AF$1),0),$F77-1966)</f>
        <v>262.30900000000003</v>
      </c>
      <c r="AG77" s="4" cm="1">
        <f t="array" ref="AG77">INDEX(GMW!$A$2:$NF$60,MATCH(1,(GMW!$NE$2:$NE$60=AG$3)*(GMW!$ND$2:$ND$60=AG$4)*(GMW!$NF$2:$NF$60=AG$1),0),$F77-1966)</f>
        <v>185.10300000000001</v>
      </c>
      <c r="AH77" s="4" cm="1">
        <f t="array" ref="AH77">INDEX(GMW!$A$2:$NF$60,MATCH(1,(GMW!$NE$2:$NE$60=AH$3)*(GMW!$ND$2:$ND$60=AH$4)*(GMW!$NF$2:$NF$60=AH$1),0),$F77-1966)</f>
        <v>174421</v>
      </c>
    </row>
    <row r="78" spans="1:34" x14ac:dyDescent="0.25">
      <c r="B78" s="4">
        <f t="shared" si="26"/>
        <v>1990</v>
      </c>
      <c r="C78" s="4">
        <f t="shared" si="26"/>
        <v>1990</v>
      </c>
      <c r="E78" s="4">
        <f t="shared" ref="E78" si="27">+E74+1</f>
        <v>1990</v>
      </c>
      <c r="F78" s="4">
        <f t="shared" si="17"/>
        <v>2044</v>
      </c>
      <c r="G78" s="4" cm="1">
        <f t="array" ref="G78">INDEX(GMW!$A$2:$NF$60,MATCH(1,(GMW!$NE$2:$NE$60=G$3)*(GMW!$ND$2:$ND$60=G$4)*(GMW!$NF$2:$NF$60=G$1),0),$F78-1966)</f>
        <v>348006</v>
      </c>
      <c r="H78" s="4" cm="1">
        <f t="array" ref="H78">INDEX(GMW!$A$2:$NF$60,MATCH(1,(GMW!$NE$2:$NE$60=H$3)*(GMW!$ND$2:$ND$60=H$4)*(GMW!$NF$2:$NF$60=H$1),0),$F78-1966)</f>
        <v>2499.6750000000002</v>
      </c>
      <c r="I78" s="4" cm="1">
        <f t="array" ref="I78">INDEX(GMW!$A$2:$NF$60,MATCH(1,(GMW!$NE$2:$NE$60=I$3)*(GMW!$ND$2:$ND$60=I$4)*(GMW!$NF$2:$NF$60=I$1),0),$F78-1966)</f>
        <v>107869</v>
      </c>
      <c r="J78" s="4" cm="1">
        <f t="array" ref="J78">INDEX(GMW!$A$2:$NF$60,MATCH(1,(GMW!$NE$2:$NE$60=J$3)*(GMW!$ND$2:$ND$60=J$4)*(GMW!$NF$2:$NF$60=J$1),0),$F78-1966)</f>
        <v>592.79999999999995</v>
      </c>
      <c r="K78" s="4" cm="1">
        <f t="array" ref="K78">INDEX(GMW!$A$2:$NF$60,MATCH(1,(GMW!$NE$2:$NE$60=K$3)*(GMW!$ND$2:$ND$60=K$4)*(GMW!$NF$2:$NF$60=K$1),0),$F78-1966)</f>
        <v>393.39800000000002</v>
      </c>
      <c r="L78" s="4" cm="1">
        <f t="array" ref="L78">INDEX(GMW!$A$2:$NF$60,MATCH(1,(GMW!$NE$2:$NE$60=L$3)*(GMW!$ND$2:$ND$60=L$4)*(GMW!$NF$2:$NF$60=L$1),0),$F78-1966)</f>
        <v>375.822</v>
      </c>
      <c r="M78" s="4" cm="1">
        <f t="array" ref="M78">INDEX(GMW!$A$2:$NF$60,MATCH(1,(GMW!$NE$2:$NE$60=M$3)*(GMW!$ND$2:$ND$60=M$4)*(GMW!$NF$2:$NF$60=M$1),0),$F78-1966)</f>
        <v>286647.8</v>
      </c>
      <c r="N78" s="4" cm="1">
        <f t="array" ref="N78">INDEX(GMW!$A$2:$NF$60,MATCH(1,(GMW!$NE$2:$NE$60=N$3)*(GMW!$ND$2:$ND$60=N$4)*(GMW!$NF$2:$NF$60=N$1),0),$F78-1966)</f>
        <v>-1129</v>
      </c>
      <c r="O78" s="4" cm="1">
        <f t="array" ref="O78">INDEX(GMW!$A$2:$NF$60,MATCH(1,(GMW!$NE$2:$NE$60=O$3)*(GMW!$ND$2:$ND$60=O$4)*(GMW!$NF$2:$NF$60=O$1),0),$F78-1966)</f>
        <v>-90.531750000000002</v>
      </c>
      <c r="P78" s="4" cm="1">
        <f t="array" ref="P78">INDEX(GMW!$A$2:$NF$60,MATCH(1,(GMW!$NE$2:$NE$60=P$3)*(GMW!$ND$2:$ND$60=P$4)*(GMW!$NF$2:$NF$60=P$1),0),$F78-1966)</f>
        <v>2251</v>
      </c>
      <c r="Q78" s="4" cm="1">
        <f t="array" ref="Q78">INDEX(GMW!$A$2:$NF$60,MATCH(1,(GMW!$NE$2:$NE$60=Q$3)*(GMW!$ND$2:$ND$60=Q$4)*(GMW!$NF$2:$NF$60=Q$1),0),$F78-1966)</f>
        <v>-23.364000000000001</v>
      </c>
      <c r="R78" s="4" cm="1">
        <f t="array" ref="R78">INDEX(GMW!$A$2:$NF$60,MATCH(1,(GMW!$NE$2:$NE$60=R$3)*(GMW!$ND$2:$ND$60=R$4)*(GMW!$NF$2:$NF$60=R$1),0),$F78-1966)</f>
        <v>-5.891</v>
      </c>
      <c r="S78" s="4" cm="1">
        <f t="array" ref="S78">INDEX(GMW!$A$2:$NF$60,MATCH(1,(GMW!$NE$2:$NE$60=S$3)*(GMW!$ND$2:$ND$60=S$4)*(GMW!$NF$2:$NF$60=S$1),0),$F78-1966)</f>
        <v>-21.238990000000001</v>
      </c>
      <c r="T78" s="4" cm="1">
        <f t="array" ref="T78">INDEX(GMW!$A$2:$NF$60,MATCH(1,(GMW!$NE$2:$NE$60=T$3)*(GMW!$ND$2:$ND$60=T$4)*(GMW!$NF$2:$NF$60=T$1),0),$F78-1966)</f>
        <v>-13300</v>
      </c>
      <c r="U78" s="4" cm="1">
        <f t="array" ref="U78">INDEX(GMW!$A$2:$NF$60,MATCH(1,(GMW!$NE$2:$NE$60=U$3)*(GMW!$ND$2:$ND$60=U$4)*(GMW!$NF$2:$NF$60=U$1),0),$F78-1966)</f>
        <v>187903.8</v>
      </c>
      <c r="V78" s="4" cm="1">
        <f t="array" ref="V78">INDEX(GMW!$A$2:$NF$60,MATCH(1,(GMW!$NE$2:$NE$60=V$3)*(GMW!$ND$2:$ND$60=V$4)*(GMW!$NF$2:$NF$60=V$1),0),$F78-1966)</f>
        <v>5216.6589999999997</v>
      </c>
      <c r="W78" s="4" cm="1">
        <f t="array" ref="W78">INDEX(GMW!$A$2:$NF$60,MATCH(1,(GMW!$NE$2:$NE$60=W$3)*(GMW!$ND$2:$ND$60=W$4)*(GMW!$NF$2:$NF$60=W$1),0),$F78-1966)</f>
        <v>290151</v>
      </c>
      <c r="X78" s="4" cm="1">
        <f t="array" ref="X78">INDEX(GMW!$A$2:$NF$60,MATCH(1,(GMW!$NE$2:$NE$60=X$3)*(GMW!$ND$2:$ND$60=X$4)*(GMW!$NF$2:$NF$60=X$1),0),$F78-1966)</f>
        <v>553.05280000000005</v>
      </c>
      <c r="Y78" s="4" cm="1">
        <f t="array" ref="Y78">INDEX(GMW!$A$2:$NF$60,MATCH(1,(GMW!$NE$2:$NE$60=Y$3)*(GMW!$ND$2:$ND$60=Y$4)*(GMW!$NF$2:$NF$60=Y$1),0),$F78-1966)</f>
        <v>421.28899999999999</v>
      </c>
      <c r="Z78" s="4" cm="1">
        <f t="array" ref="Z78">INDEX(GMW!$A$2:$NF$60,MATCH(1,(GMW!$NE$2:$NE$60=Z$3)*(GMW!$ND$2:$ND$60=Z$4)*(GMW!$NF$2:$NF$60=Z$1),0),$F78-1966)</f>
        <v>691.51800000000003</v>
      </c>
      <c r="AA78" s="4" cm="1">
        <f t="array" ref="AA78">INDEX(GMW!$A$2:$NF$60,MATCH(1,(GMW!$NE$2:$NE$60=AA$3)*(GMW!$ND$2:$ND$60=AA$4)*(GMW!$NF$2:$NF$60=AA$1),0),$F78-1966)</f>
        <v>540348</v>
      </c>
      <c r="AB78" s="4" cm="1">
        <f t="array" ref="AB78">INDEX(GMW!$A$2:$NF$60,MATCH(1,(GMW!$NE$2:$NE$60=AB$3)*(GMW!$ND$2:$ND$60=AB$4)*(GMW!$NF$2:$NF$60=AB$1),0),$F78-1966)</f>
        <v>170954</v>
      </c>
      <c r="AC78" s="4" cm="1">
        <f t="array" ref="AC78">INDEX(GMW!$A$2:$NF$60,MATCH(1,(GMW!$NE$2:$NE$60=AC$3)*(GMW!$ND$2:$ND$60=AC$4)*(GMW!$NF$2:$NF$60=AC$1),0),$F78-1966)</f>
        <v>1501.175</v>
      </c>
      <c r="AD78" s="4" cm="1">
        <f t="array" ref="AD78">INDEX(GMW!$A$2:$NF$60,MATCH(1,(GMW!$NE$2:$NE$60=AD$3)*(GMW!$ND$2:$ND$60=AD$4)*(GMW!$NF$2:$NF$60=AD$1),0),$F78-1966)</f>
        <v>118426.5</v>
      </c>
      <c r="AE78" s="4" cm="1">
        <f t="array" ref="AE78">INDEX(GMW!$A$2:$NF$60,MATCH(1,(GMW!$NE$2:$NE$60=AE$3)*(GMW!$ND$2:$ND$60=AE$4)*(GMW!$NF$2:$NF$60=AE$1),0),$F78-1966)</f>
        <v>383.5779</v>
      </c>
      <c r="AF78" s="4" cm="1">
        <f t="array" ref="AF78">INDEX(GMW!$A$2:$NF$60,MATCH(1,(GMW!$NE$2:$NE$60=AF$3)*(GMW!$ND$2:$ND$60=AF$4)*(GMW!$NF$2:$NF$60=AF$1),0),$F78-1966)</f>
        <v>264.09800000000001</v>
      </c>
      <c r="AG78" s="4" cm="1">
        <f t="array" ref="AG78">INDEX(GMW!$A$2:$NF$60,MATCH(1,(GMW!$NE$2:$NE$60=AG$3)*(GMW!$ND$2:$ND$60=AG$4)*(GMW!$NF$2:$NF$60=AG$1),0),$F78-1966)</f>
        <v>186.90600000000001</v>
      </c>
      <c r="AH78" s="4" cm="1">
        <f t="array" ref="AH78">INDEX(GMW!$A$2:$NF$60,MATCH(1,(GMW!$NE$2:$NE$60=AH$3)*(GMW!$ND$2:$ND$60=AH$4)*(GMW!$NF$2:$NF$60=AH$1),0),$F78-1966)</f>
        <v>174192</v>
      </c>
    </row>
    <row r="79" spans="1:34" x14ac:dyDescent="0.25">
      <c r="A79" s="4">
        <v>1991</v>
      </c>
      <c r="B79" s="4">
        <f t="shared" si="26"/>
        <v>1991</v>
      </c>
      <c r="C79" s="4">
        <f t="shared" si="26"/>
        <v>1990</v>
      </c>
      <c r="D79" s="4">
        <f t="shared" si="26"/>
        <v>1990</v>
      </c>
      <c r="F79" s="4">
        <f t="shared" si="17"/>
        <v>2045</v>
      </c>
      <c r="G79" s="4" cm="1">
        <f t="array" ref="G79">INDEX(GMW!$A$2:$NF$60,MATCH(1,(GMW!$NE$2:$NE$60=G$3)*(GMW!$ND$2:$ND$60=G$4)*(GMW!$NF$2:$NF$60=G$1),0),$F79-1966)</f>
        <v>346292</v>
      </c>
      <c r="H79" s="4" cm="1">
        <f t="array" ref="H79">INDEX(GMW!$A$2:$NF$60,MATCH(1,(GMW!$NE$2:$NE$60=H$3)*(GMW!$ND$2:$ND$60=H$4)*(GMW!$NF$2:$NF$60=H$1),0),$F79-1966)</f>
        <v>2487.9749999999999</v>
      </c>
      <c r="I79" s="4" cm="1">
        <f t="array" ref="I79">INDEX(GMW!$A$2:$NF$60,MATCH(1,(GMW!$NE$2:$NE$60=I$3)*(GMW!$ND$2:$ND$60=I$4)*(GMW!$NF$2:$NF$60=I$1),0),$F79-1966)</f>
        <v>109030.2</v>
      </c>
      <c r="J79" s="4" cm="1">
        <f t="array" ref="J79">INDEX(GMW!$A$2:$NF$60,MATCH(1,(GMW!$NE$2:$NE$60=J$3)*(GMW!$ND$2:$ND$60=J$4)*(GMW!$NF$2:$NF$60=J$1),0),$F79-1966)</f>
        <v>610.84</v>
      </c>
      <c r="K79" s="4" cm="1">
        <f t="array" ref="K79">INDEX(GMW!$A$2:$NF$60,MATCH(1,(GMW!$NE$2:$NE$60=K$3)*(GMW!$ND$2:$ND$60=K$4)*(GMW!$NF$2:$NF$60=K$1),0),$F79-1966)</f>
        <v>394.43299999999999</v>
      </c>
      <c r="L79" s="4" cm="1">
        <f t="array" ref="L79">INDEX(GMW!$A$2:$NF$60,MATCH(1,(GMW!$NE$2:$NE$60=L$3)*(GMW!$ND$2:$ND$60=L$4)*(GMW!$NF$2:$NF$60=L$1),0),$F79-1966)</f>
        <v>379.58100000000002</v>
      </c>
      <c r="M79" s="4" cm="1">
        <f t="array" ref="M79">INDEX(GMW!$A$2:$NF$60,MATCH(1,(GMW!$NE$2:$NE$60=M$3)*(GMW!$ND$2:$ND$60=M$4)*(GMW!$NF$2:$NF$60=M$1),0),$F79-1966)</f>
        <v>282524</v>
      </c>
      <c r="N79" s="4" cm="1">
        <f t="array" ref="N79">INDEX(GMW!$A$2:$NF$60,MATCH(1,(GMW!$NE$2:$NE$60=N$3)*(GMW!$ND$2:$ND$60=N$4)*(GMW!$NF$2:$NF$60=N$1),0),$F79-1966)</f>
        <v>-1890</v>
      </c>
      <c r="O79" s="4" cm="1">
        <f t="array" ref="O79">INDEX(GMW!$A$2:$NF$60,MATCH(1,(GMW!$NE$2:$NE$60=O$3)*(GMW!$ND$2:$ND$60=O$4)*(GMW!$NF$2:$NF$60=O$1),0),$F79-1966)</f>
        <v>-78.295240000000007</v>
      </c>
      <c r="P79" s="4" cm="1">
        <f t="array" ref="P79">INDEX(GMW!$A$2:$NF$60,MATCH(1,(GMW!$NE$2:$NE$60=P$3)*(GMW!$ND$2:$ND$60=P$4)*(GMW!$NF$2:$NF$60=P$1),0),$F79-1966)</f>
        <v>2743</v>
      </c>
      <c r="Q79" s="4" cm="1">
        <f t="array" ref="Q79">INDEX(GMW!$A$2:$NF$60,MATCH(1,(GMW!$NE$2:$NE$60=Q$3)*(GMW!$ND$2:$ND$60=Q$4)*(GMW!$NF$2:$NF$60=Q$1),0),$F79-1966)</f>
        <v>-23.364000000000001</v>
      </c>
      <c r="R79" s="4" cm="1">
        <f t="array" ref="R79">INDEX(GMW!$A$2:$NF$60,MATCH(1,(GMW!$NE$2:$NE$60=R$3)*(GMW!$ND$2:$ND$60=R$4)*(GMW!$NF$2:$NF$60=R$1),0),$F79-1966)</f>
        <v>-7.1070000000000002</v>
      </c>
      <c r="S79" s="4" cm="1">
        <f t="array" ref="S79">INDEX(GMW!$A$2:$NF$60,MATCH(1,(GMW!$NE$2:$NE$60=S$3)*(GMW!$ND$2:$ND$60=S$4)*(GMW!$NF$2:$NF$60=S$1),0),$F79-1966)</f>
        <v>-21.899229999999999</v>
      </c>
      <c r="T79" s="4" cm="1">
        <f t="array" ref="T79">INDEX(GMW!$A$2:$NF$60,MATCH(1,(GMW!$NE$2:$NE$60=T$3)*(GMW!$ND$2:$ND$60=T$4)*(GMW!$NF$2:$NF$60=T$1),0),$F79-1966)</f>
        <v>-14096</v>
      </c>
      <c r="U79" s="4" cm="1">
        <f t="array" ref="U79">INDEX(GMW!$A$2:$NF$60,MATCH(1,(GMW!$NE$2:$NE$60=U$3)*(GMW!$ND$2:$ND$60=U$4)*(GMW!$NF$2:$NF$60=U$1),0),$F79-1966)</f>
        <v>188319</v>
      </c>
      <c r="V79" s="4" cm="1">
        <f t="array" ref="V79">INDEX(GMW!$A$2:$NF$60,MATCH(1,(GMW!$NE$2:$NE$60=V$3)*(GMW!$ND$2:$ND$60=V$4)*(GMW!$NF$2:$NF$60=V$1),0),$F79-1966)</f>
        <v>5274.49</v>
      </c>
      <c r="W79" s="4" cm="1">
        <f t="array" ref="W79">INDEX(GMW!$A$2:$NF$60,MATCH(1,(GMW!$NE$2:$NE$60=W$3)*(GMW!$ND$2:$ND$60=W$4)*(GMW!$NF$2:$NF$60=W$1),0),$F79-1966)</f>
        <v>293692</v>
      </c>
      <c r="X79" s="4" cm="1">
        <f t="array" ref="X79">INDEX(GMW!$A$2:$NF$60,MATCH(1,(GMW!$NE$2:$NE$60=X$3)*(GMW!$ND$2:$ND$60=X$4)*(GMW!$NF$2:$NF$60=X$1),0),$F79-1966)</f>
        <v>565.79079999999999</v>
      </c>
      <c r="Y79" s="4" cm="1">
        <f t="array" ref="Y79">INDEX(GMW!$A$2:$NF$60,MATCH(1,(GMW!$NE$2:$NE$60=Y$3)*(GMW!$ND$2:$ND$60=Y$4)*(GMW!$NF$2:$NF$60=Y$1),0),$F79-1966)</f>
        <v>424.57400000000001</v>
      </c>
      <c r="Z79" s="4" cm="1">
        <f t="array" ref="Z79">INDEX(GMW!$A$2:$NF$60,MATCH(1,(GMW!$NE$2:$NE$60=Z$3)*(GMW!$ND$2:$ND$60=Z$4)*(GMW!$NF$2:$NF$60=Z$1),0),$F79-1966)</f>
        <v>712.87480000000005</v>
      </c>
      <c r="AA79" s="4" cm="1">
        <f t="array" ref="AA79">INDEX(GMW!$A$2:$NF$60,MATCH(1,(GMW!$NE$2:$NE$60=AA$3)*(GMW!$ND$2:$ND$60=AA$4)*(GMW!$NF$2:$NF$60=AA$1),0),$F79-1966)</f>
        <v>570689</v>
      </c>
      <c r="AB79" s="4" cm="1">
        <f t="array" ref="AB79">INDEX(GMW!$A$2:$NF$60,MATCH(1,(GMW!$NE$2:$NE$60=AB$3)*(GMW!$ND$2:$ND$60=AB$4)*(GMW!$NF$2:$NF$60=AB$1),0),$F79-1966)</f>
        <v>173192</v>
      </c>
      <c r="AC79" s="4" cm="1">
        <f t="array" ref="AC79">INDEX(GMW!$A$2:$NF$60,MATCH(1,(GMW!$NE$2:$NE$60=AC$3)*(GMW!$ND$2:$ND$60=AC$4)*(GMW!$NF$2:$NF$60=AC$1),0),$F79-1966)</f>
        <v>1508.8</v>
      </c>
      <c r="AD79" s="4" cm="1">
        <f t="array" ref="AD79">INDEX(GMW!$A$2:$NF$60,MATCH(1,(GMW!$NE$2:$NE$60=AD$3)*(GMW!$ND$2:$ND$60=AD$4)*(GMW!$NF$2:$NF$60=AD$1),0),$F79-1966)</f>
        <v>120498.4</v>
      </c>
      <c r="AE79" s="4" cm="1">
        <f t="array" ref="AE79">INDEX(GMW!$A$2:$NF$60,MATCH(1,(GMW!$NE$2:$NE$60=AE$3)*(GMW!$ND$2:$ND$60=AE$4)*(GMW!$NF$2:$NF$60=AE$1),0),$F79-1966)</f>
        <v>389.68439999999998</v>
      </c>
      <c r="AF79" s="4" cm="1">
        <f t="array" ref="AF79">INDEX(GMW!$A$2:$NF$60,MATCH(1,(GMW!$NE$2:$NE$60=AF$3)*(GMW!$ND$2:$ND$60=AF$4)*(GMW!$NF$2:$NF$60=AF$1),0),$F79-1966)</f>
        <v>266.14299999999997</v>
      </c>
      <c r="AG79" s="4" cm="1">
        <f t="array" ref="AG79">INDEX(GMW!$A$2:$NF$60,MATCH(1,(GMW!$NE$2:$NE$60=AG$3)*(GMW!$ND$2:$ND$60=AG$4)*(GMW!$NF$2:$NF$60=AG$1),0),$F79-1966)</f>
        <v>198.78800000000001</v>
      </c>
      <c r="AH79" s="4" cm="1">
        <f t="array" ref="AH79">INDEX(GMW!$A$2:$NF$60,MATCH(1,(GMW!$NE$2:$NE$60=AH$3)*(GMW!$ND$2:$ND$60=AH$4)*(GMW!$NF$2:$NF$60=AH$1),0),$F79-1966)</f>
        <v>173502</v>
      </c>
    </row>
    <row r="80" spans="1:34" x14ac:dyDescent="0.25">
      <c r="B80" s="4">
        <f t="shared" si="26"/>
        <v>1991</v>
      </c>
      <c r="C80" s="4">
        <f t="shared" si="26"/>
        <v>1991</v>
      </c>
      <c r="F80" s="4">
        <f t="shared" si="17"/>
        <v>2046</v>
      </c>
      <c r="G80" s="4" cm="1">
        <f t="array" ref="G80">INDEX(GMW!$A$2:$NF$60,MATCH(1,(GMW!$NE$2:$NE$60=G$3)*(GMW!$ND$2:$ND$60=G$4)*(GMW!$NF$2:$NF$60=G$1),0),$F80-1966)</f>
        <v>345892</v>
      </c>
      <c r="H80" s="4" cm="1">
        <f t="array" ref="H80">INDEX(GMW!$A$2:$NF$60,MATCH(1,(GMW!$NE$2:$NE$60=H$3)*(GMW!$ND$2:$ND$60=H$4)*(GMW!$NF$2:$NF$60=H$1),0),$F80-1966)</f>
        <v>2507.375</v>
      </c>
      <c r="I80" s="4" cm="1">
        <f t="array" ref="I80">INDEX(GMW!$A$2:$NF$60,MATCH(1,(GMW!$NE$2:$NE$60=I$3)*(GMW!$ND$2:$ND$60=I$4)*(GMW!$NF$2:$NF$60=I$1),0),$F80-1966)</f>
        <v>109977.8</v>
      </c>
      <c r="J80" s="4" cm="1">
        <f t="array" ref="J80">INDEX(GMW!$A$2:$NF$60,MATCH(1,(GMW!$NE$2:$NE$60=J$3)*(GMW!$ND$2:$ND$60=J$4)*(GMW!$NF$2:$NF$60=J$1),0),$F80-1966)</f>
        <v>607.91</v>
      </c>
      <c r="K80" s="4" cm="1">
        <f t="array" ref="K80">INDEX(GMW!$A$2:$NF$60,MATCH(1,(GMW!$NE$2:$NE$60=K$3)*(GMW!$ND$2:$ND$60=K$4)*(GMW!$NF$2:$NF$60=K$1),0),$F80-1966)</f>
        <v>395.89</v>
      </c>
      <c r="L80" s="4" cm="1">
        <f t="array" ref="L80">INDEX(GMW!$A$2:$NF$60,MATCH(1,(GMW!$NE$2:$NE$60=L$3)*(GMW!$ND$2:$ND$60=L$4)*(GMW!$NF$2:$NF$60=L$1),0),$F80-1966)</f>
        <v>377.50299999999999</v>
      </c>
      <c r="M80" s="4" cm="1">
        <f t="array" ref="M80">INDEX(GMW!$A$2:$NF$60,MATCH(1,(GMW!$NE$2:$NE$60=M$3)*(GMW!$ND$2:$ND$60=M$4)*(GMW!$NF$2:$NF$60=M$1),0),$F80-1966)</f>
        <v>283880</v>
      </c>
      <c r="N80" s="4" cm="1">
        <f t="array" ref="N80">INDEX(GMW!$A$2:$NF$60,MATCH(1,(GMW!$NE$2:$NE$60=N$3)*(GMW!$ND$2:$ND$60=N$4)*(GMW!$NF$2:$NF$60=N$1),0),$F80-1966)</f>
        <v>-7462</v>
      </c>
      <c r="O80" s="4" cm="1">
        <f t="array" ref="O80">INDEX(GMW!$A$2:$NF$60,MATCH(1,(GMW!$NE$2:$NE$60=O$3)*(GMW!$ND$2:$ND$60=O$4)*(GMW!$NF$2:$NF$60=O$1),0),$F80-1966)</f>
        <v>-94.853750000000005</v>
      </c>
      <c r="P80" s="4" cm="1">
        <f t="array" ref="P80">INDEX(GMW!$A$2:$NF$60,MATCH(1,(GMW!$NE$2:$NE$60=P$3)*(GMW!$ND$2:$ND$60=P$4)*(GMW!$NF$2:$NF$60=P$1),0),$F80-1966)</f>
        <v>2805.5</v>
      </c>
      <c r="Q80" s="4" cm="1">
        <f t="array" ref="Q80">INDEX(GMW!$A$2:$NF$60,MATCH(1,(GMW!$NE$2:$NE$60=Q$3)*(GMW!$ND$2:$ND$60=Q$4)*(GMW!$NF$2:$NF$60=Q$1),0),$F80-1966)</f>
        <v>-9.4480000000000004</v>
      </c>
      <c r="R80" s="4" cm="1">
        <f t="array" ref="R80">INDEX(GMW!$A$2:$NF$60,MATCH(1,(GMW!$NE$2:$NE$60=R$3)*(GMW!$ND$2:$ND$60=R$4)*(GMW!$NF$2:$NF$60=R$1),0),$F80-1966)</f>
        <v>-7.5620000000000003</v>
      </c>
      <c r="S80" s="4" cm="1">
        <f t="array" ref="S80">INDEX(GMW!$A$2:$NF$60,MATCH(1,(GMW!$NE$2:$NE$60=S$3)*(GMW!$ND$2:$ND$60=S$4)*(GMW!$NF$2:$NF$60=S$1),0),$F80-1966)</f>
        <v>-22.268270000000001</v>
      </c>
      <c r="T80" s="4" cm="1">
        <f t="array" ref="T80">INDEX(GMW!$A$2:$NF$60,MATCH(1,(GMW!$NE$2:$NE$60=T$3)*(GMW!$ND$2:$ND$60=T$4)*(GMW!$NF$2:$NF$60=T$1),0),$F80-1966)</f>
        <v>-11434</v>
      </c>
      <c r="U80" s="4" cm="1">
        <f t="array" ref="U80">INDEX(GMW!$A$2:$NF$60,MATCH(1,(GMW!$NE$2:$NE$60=U$3)*(GMW!$ND$2:$ND$60=U$4)*(GMW!$NF$2:$NF$60=U$1),0),$F80-1966)</f>
        <v>192410</v>
      </c>
      <c r="V80" s="4" cm="1">
        <f t="array" ref="V80">INDEX(GMW!$A$2:$NF$60,MATCH(1,(GMW!$NE$2:$NE$60=V$3)*(GMW!$ND$2:$ND$60=V$4)*(GMW!$NF$2:$NF$60=V$1),0),$F80-1966)</f>
        <v>5383.7340000000004</v>
      </c>
      <c r="W80" s="4" cm="1">
        <f t="array" ref="W80">INDEX(GMW!$A$2:$NF$60,MATCH(1,(GMW!$NE$2:$NE$60=W$3)*(GMW!$ND$2:$ND$60=W$4)*(GMW!$NF$2:$NF$60=W$1),0),$F80-1966)</f>
        <v>297233</v>
      </c>
      <c r="X80" s="4" cm="1">
        <f t="array" ref="X80">INDEX(GMW!$A$2:$NF$60,MATCH(1,(GMW!$NE$2:$NE$60=X$3)*(GMW!$ND$2:$ND$60=X$4)*(GMW!$NF$2:$NF$60=X$1),0),$F80-1966)</f>
        <v>578.78229999999996</v>
      </c>
      <c r="Y80" s="4" cm="1">
        <f t="array" ref="Y80">INDEX(GMW!$A$2:$NF$60,MATCH(1,(GMW!$NE$2:$NE$60=Y$3)*(GMW!$ND$2:$ND$60=Y$4)*(GMW!$NF$2:$NF$60=Y$1),0),$F80-1966)</f>
        <v>434.53300000000002</v>
      </c>
      <c r="Z80" s="4" cm="1">
        <f t="array" ref="Z80">INDEX(GMW!$A$2:$NF$60,MATCH(1,(GMW!$NE$2:$NE$60=Z$3)*(GMW!$ND$2:$ND$60=Z$4)*(GMW!$NF$2:$NF$60=Z$1),0),$F80-1966)</f>
        <v>734.23149999999998</v>
      </c>
      <c r="AA80" s="4" cm="1">
        <f t="array" ref="AA80">INDEX(GMW!$A$2:$NF$60,MATCH(1,(GMW!$NE$2:$NE$60=AA$3)*(GMW!$ND$2:$ND$60=AA$4)*(GMW!$NF$2:$NF$60=AA$1),0),$F80-1966)</f>
        <v>575251</v>
      </c>
      <c r="AB80" s="4" cm="1">
        <f t="array" ref="AB80">INDEX(GMW!$A$2:$NF$60,MATCH(1,(GMW!$NE$2:$NE$60=AB$3)*(GMW!$ND$2:$ND$60=AB$4)*(GMW!$NF$2:$NF$60=AB$1),0),$F80-1966)</f>
        <v>175822</v>
      </c>
      <c r="AC80" s="4" cm="1">
        <f t="array" ref="AC80">INDEX(GMW!$A$2:$NF$60,MATCH(1,(GMW!$NE$2:$NE$60=AC$3)*(GMW!$ND$2:$ND$60=AC$4)*(GMW!$NF$2:$NF$60=AC$1),0),$F80-1966)</f>
        <v>1531.7249999999999</v>
      </c>
      <c r="AD80" s="4" cm="1">
        <f t="array" ref="AD80">INDEX(GMW!$A$2:$NF$60,MATCH(1,(GMW!$NE$2:$NE$60=AD$3)*(GMW!$ND$2:$ND$60=AD$4)*(GMW!$NF$2:$NF$60=AD$1),0),$F80-1966)</f>
        <v>122538.1</v>
      </c>
      <c r="AE80" s="4" cm="1">
        <f t="array" ref="AE80">INDEX(GMW!$A$2:$NF$60,MATCH(1,(GMW!$NE$2:$NE$60=AE$3)*(GMW!$ND$2:$ND$60=AE$4)*(GMW!$NF$2:$NF$60=AE$1),0),$F80-1966)</f>
        <v>396.77300000000002</v>
      </c>
      <c r="AF80" s="4" cm="1">
        <f t="array" ref="AF80">INDEX(GMW!$A$2:$NF$60,MATCH(1,(GMW!$NE$2:$NE$60=AF$3)*(GMW!$ND$2:$ND$60=AF$4)*(GMW!$NF$2:$NF$60=AF$1),0),$F80-1966)</f>
        <v>269.87099999999998</v>
      </c>
      <c r="AG80" s="4" cm="1">
        <f t="array" ref="AG80">INDEX(GMW!$A$2:$NF$60,MATCH(1,(GMW!$NE$2:$NE$60=AG$3)*(GMW!$ND$2:$ND$60=AG$4)*(GMW!$NF$2:$NF$60=AG$1),0),$F80-1966)</f>
        <v>196.97499999999999</v>
      </c>
      <c r="AH80" s="4" cm="1">
        <f t="array" ref="AH80">INDEX(GMW!$A$2:$NF$60,MATCH(1,(GMW!$NE$2:$NE$60=AH$3)*(GMW!$ND$2:$ND$60=AH$4)*(GMW!$NF$2:$NF$60=AH$1),0),$F80-1966)</f>
        <v>175393</v>
      </c>
    </row>
    <row r="81" spans="1:34" x14ac:dyDescent="0.25">
      <c r="B81" s="4">
        <f t="shared" si="26"/>
        <v>1991</v>
      </c>
      <c r="C81" s="4">
        <f t="shared" si="26"/>
        <v>1991</v>
      </c>
      <c r="F81" s="4">
        <f t="shared" si="17"/>
        <v>2047</v>
      </c>
      <c r="G81" s="4" cm="1">
        <f t="array" ref="G81">INDEX(GMW!$A$2:$NF$60,MATCH(1,(GMW!$NE$2:$NE$60=G$3)*(GMW!$ND$2:$ND$60=G$4)*(GMW!$NF$2:$NF$60=G$1),0),$F81-1966)</f>
        <v>345216</v>
      </c>
      <c r="H81" s="4" cm="1">
        <f t="array" ref="H81">INDEX(GMW!$A$2:$NF$60,MATCH(1,(GMW!$NE$2:$NE$60=H$3)*(GMW!$ND$2:$ND$60=H$4)*(GMW!$NF$2:$NF$60=H$1),0),$F81-1966)</f>
        <v>2520.0500000000002</v>
      </c>
      <c r="I81" s="4" cm="1">
        <f t="array" ref="I81">INDEX(GMW!$A$2:$NF$60,MATCH(1,(GMW!$NE$2:$NE$60=I$3)*(GMW!$ND$2:$ND$60=I$4)*(GMW!$NF$2:$NF$60=I$1),0),$F81-1966)</f>
        <v>109973</v>
      </c>
      <c r="J81" s="4" cm="1">
        <f t="array" ref="J81">INDEX(GMW!$A$2:$NF$60,MATCH(1,(GMW!$NE$2:$NE$60=J$3)*(GMW!$ND$2:$ND$60=J$4)*(GMW!$NF$2:$NF$60=J$1),0),$F81-1966)</f>
        <v>606.96</v>
      </c>
      <c r="K81" s="4" cm="1">
        <f t="array" ref="K81">INDEX(GMW!$A$2:$NF$60,MATCH(1,(GMW!$NE$2:$NE$60=K$3)*(GMW!$ND$2:$ND$60=K$4)*(GMW!$NF$2:$NF$60=K$1),0),$F81-1966)</f>
        <v>397.495</v>
      </c>
      <c r="L81" s="4" cm="1">
        <f t="array" ref="L81">INDEX(GMW!$A$2:$NF$60,MATCH(1,(GMW!$NE$2:$NE$60=L$3)*(GMW!$ND$2:$ND$60=L$4)*(GMW!$NF$2:$NF$60=L$1),0),$F81-1966)</f>
        <v>377.63900000000001</v>
      </c>
      <c r="M81" s="4" cm="1">
        <f t="array" ref="M81">INDEX(GMW!$A$2:$NF$60,MATCH(1,(GMW!$NE$2:$NE$60=M$3)*(GMW!$ND$2:$ND$60=M$4)*(GMW!$NF$2:$NF$60=M$1),0),$F81-1966)</f>
        <v>284256.5</v>
      </c>
      <c r="N81" s="4" cm="1">
        <f t="array" ref="N81">INDEX(GMW!$A$2:$NF$60,MATCH(1,(GMW!$NE$2:$NE$60=N$3)*(GMW!$ND$2:$ND$60=N$4)*(GMW!$NF$2:$NF$60=N$1),0),$F81-1966)</f>
        <v>-5732</v>
      </c>
      <c r="O81" s="4" cm="1">
        <f t="array" ref="O81">INDEX(GMW!$A$2:$NF$60,MATCH(1,(GMW!$NE$2:$NE$60=O$3)*(GMW!$ND$2:$ND$60=O$4)*(GMW!$NF$2:$NF$60=O$1),0),$F81-1966)</f>
        <v>-103.8295</v>
      </c>
      <c r="P81" s="4" cm="1">
        <f t="array" ref="P81">INDEX(GMW!$A$2:$NF$60,MATCH(1,(GMW!$NE$2:$NE$60=P$3)*(GMW!$ND$2:$ND$60=P$4)*(GMW!$NF$2:$NF$60=P$1),0),$F81-1966)</f>
        <v>2401.5</v>
      </c>
      <c r="Q81" s="4" cm="1">
        <f t="array" ref="Q81">INDEX(GMW!$A$2:$NF$60,MATCH(1,(GMW!$NE$2:$NE$60=Q$3)*(GMW!$ND$2:$ND$60=Q$4)*(GMW!$NF$2:$NF$60=Q$1),0),$F81-1966)</f>
        <v>-7.2039999999999997</v>
      </c>
      <c r="R81" s="4" cm="1">
        <f t="array" ref="R81">INDEX(GMW!$A$2:$NF$60,MATCH(1,(GMW!$NE$2:$NE$60=R$3)*(GMW!$ND$2:$ND$60=R$4)*(GMW!$NF$2:$NF$60=R$1),0),$F81-1966)</f>
        <v>-8.0739999999999998</v>
      </c>
      <c r="S81" s="4" cm="1">
        <f t="array" ref="S81">INDEX(GMW!$A$2:$NF$60,MATCH(1,(GMW!$NE$2:$NE$60=S$3)*(GMW!$ND$2:$ND$60=S$4)*(GMW!$NF$2:$NF$60=S$1),0),$F81-1966)</f>
        <v>-22.3461</v>
      </c>
      <c r="T81" s="4" cm="1">
        <f t="array" ref="T81">INDEX(GMW!$A$2:$NF$60,MATCH(1,(GMW!$NE$2:$NE$60=T$3)*(GMW!$ND$2:$ND$60=T$4)*(GMW!$NF$2:$NF$60=T$1),0),$F81-1966)</f>
        <v>-12926</v>
      </c>
      <c r="U81" s="4" cm="1">
        <f t="array" ref="U81">INDEX(GMW!$A$2:$NF$60,MATCH(1,(GMW!$NE$2:$NE$60=U$3)*(GMW!$ND$2:$ND$60=U$4)*(GMW!$NF$2:$NF$60=U$1),0),$F81-1966)</f>
        <v>196501</v>
      </c>
      <c r="V81" s="4" cm="1">
        <f t="array" ref="V81">INDEX(GMW!$A$2:$NF$60,MATCH(1,(GMW!$NE$2:$NE$60=V$3)*(GMW!$ND$2:$ND$60=V$4)*(GMW!$NF$2:$NF$60=V$1),0),$F81-1966)</f>
        <v>5520.6909999999998</v>
      </c>
      <c r="W81" s="4" cm="1">
        <f t="array" ref="W81">INDEX(GMW!$A$2:$NF$60,MATCH(1,(GMW!$NE$2:$NE$60=W$3)*(GMW!$ND$2:$ND$60=W$4)*(GMW!$NF$2:$NF$60=W$1),0),$F81-1966)</f>
        <v>300774</v>
      </c>
      <c r="X81" s="4" cm="1">
        <f t="array" ref="X81">INDEX(GMW!$A$2:$NF$60,MATCH(1,(GMW!$NE$2:$NE$60=X$3)*(GMW!$ND$2:$ND$60=X$4)*(GMW!$NF$2:$NF$60=X$1),0),$F81-1966)</f>
        <v>597.00729999999999</v>
      </c>
      <c r="Y81" s="4" cm="1">
        <f t="array" ref="Y81">INDEX(GMW!$A$2:$NF$60,MATCH(1,(GMW!$NE$2:$NE$60=Y$3)*(GMW!$ND$2:$ND$60=Y$4)*(GMW!$NF$2:$NF$60=Y$1),0),$F81-1966)</f>
        <v>458.709</v>
      </c>
      <c r="Z81" s="4" cm="1">
        <f t="array" ref="Z81">INDEX(GMW!$A$2:$NF$60,MATCH(1,(GMW!$NE$2:$NE$60=Z$3)*(GMW!$ND$2:$ND$60=Z$4)*(GMW!$NF$2:$NF$60=Z$1),0),$F81-1966)</f>
        <v>755.5883</v>
      </c>
      <c r="AA81" s="4" cm="1">
        <f t="array" ref="AA81">INDEX(GMW!$A$2:$NF$60,MATCH(1,(GMW!$NE$2:$NE$60=AA$3)*(GMW!$ND$2:$ND$60=AA$4)*(GMW!$NF$2:$NF$60=AA$1),0),$F81-1966)</f>
        <v>597345</v>
      </c>
      <c r="AB81" s="4" cm="1">
        <f t="array" ref="AB81">INDEX(GMW!$A$2:$NF$60,MATCH(1,(GMW!$NE$2:$NE$60=AB$3)*(GMW!$ND$2:$ND$60=AB$4)*(GMW!$NF$2:$NF$60=AB$1),0),$F81-1966)</f>
        <v>177280</v>
      </c>
      <c r="AC81" s="4" cm="1">
        <f t="array" ref="AC81">INDEX(GMW!$A$2:$NF$60,MATCH(1,(GMW!$NE$2:$NE$60=AC$3)*(GMW!$ND$2:$ND$60=AC$4)*(GMW!$NF$2:$NF$60=AC$1),0),$F81-1966)</f>
        <v>1551.4749999999999</v>
      </c>
      <c r="AD81" s="4" cm="1">
        <f t="array" ref="AD81">INDEX(GMW!$A$2:$NF$60,MATCH(1,(GMW!$NE$2:$NE$60=AD$3)*(GMW!$ND$2:$ND$60=AD$4)*(GMW!$NF$2:$NF$60=AD$1),0),$F81-1966)</f>
        <v>123106.1</v>
      </c>
      <c r="AE81" s="4" cm="1">
        <f t="array" ref="AE81">INDEX(GMW!$A$2:$NF$60,MATCH(1,(GMW!$NE$2:$NE$60=AE$3)*(GMW!$ND$2:$ND$60=AE$4)*(GMW!$NF$2:$NF$60=AE$1),0),$F81-1966)</f>
        <v>397.78500000000003</v>
      </c>
      <c r="AF81" s="4" cm="1">
        <f t="array" ref="AF81">INDEX(GMW!$A$2:$NF$60,MATCH(1,(GMW!$NE$2:$NE$60=AF$3)*(GMW!$ND$2:$ND$60=AF$4)*(GMW!$NF$2:$NF$60=AF$1),0),$F81-1966)</f>
        <v>272.52199999999999</v>
      </c>
      <c r="AG81" s="4" cm="1">
        <f t="array" ref="AG81">INDEX(GMW!$A$2:$NF$60,MATCH(1,(GMW!$NE$2:$NE$60=AG$3)*(GMW!$ND$2:$ND$60=AG$4)*(GMW!$NF$2:$NF$60=AG$1),0),$F81-1966)</f>
        <v>201.13900000000001</v>
      </c>
      <c r="AH81" s="4" cm="1">
        <f t="array" ref="AH81">INDEX(GMW!$A$2:$NF$60,MATCH(1,(GMW!$NE$2:$NE$60=AH$3)*(GMW!$ND$2:$ND$60=AH$4)*(GMW!$NF$2:$NF$60=AH$1),0),$F81-1966)</f>
        <v>176199</v>
      </c>
    </row>
    <row r="82" spans="1:34" x14ac:dyDescent="0.25">
      <c r="B82" s="4">
        <f t="shared" si="26"/>
        <v>1991</v>
      </c>
      <c r="C82" s="4">
        <f t="shared" si="26"/>
        <v>1991</v>
      </c>
      <c r="E82" s="4">
        <f t="shared" ref="E82" si="28">+E78+1</f>
        <v>1991</v>
      </c>
      <c r="F82" s="4">
        <f t="shared" si="17"/>
        <v>2048</v>
      </c>
      <c r="G82" s="4" cm="1">
        <f t="array" ref="G82">INDEX(GMW!$A$2:$NF$60,MATCH(1,(GMW!$NE$2:$NE$60=G$3)*(GMW!$ND$2:$ND$60=G$4)*(GMW!$NF$2:$NF$60=G$1),0),$F82-1966)</f>
        <v>345643</v>
      </c>
      <c r="H82" s="4" cm="1">
        <f t="array" ref="H82">INDEX(GMW!$A$2:$NF$60,MATCH(1,(GMW!$NE$2:$NE$60=H$3)*(GMW!$ND$2:$ND$60=H$4)*(GMW!$NF$2:$NF$60=H$1),0),$F82-1966)</f>
        <v>2528.8249999999998</v>
      </c>
      <c r="I82" s="4" cm="1">
        <f t="array" ref="I82">INDEX(GMW!$A$2:$NF$60,MATCH(1,(GMW!$NE$2:$NE$60=I$3)*(GMW!$ND$2:$ND$60=I$4)*(GMW!$NF$2:$NF$60=I$1),0),$F82-1966)</f>
        <v>110813.9</v>
      </c>
      <c r="J82" s="4" cm="1">
        <f t="array" ref="J82">INDEX(GMW!$A$2:$NF$60,MATCH(1,(GMW!$NE$2:$NE$60=J$3)*(GMW!$ND$2:$ND$60=J$4)*(GMW!$NF$2:$NF$60=J$1),0),$F82-1966)</f>
        <v>615.66999999999996</v>
      </c>
      <c r="K82" s="4" cm="1">
        <f t="array" ref="K82">INDEX(GMW!$A$2:$NF$60,MATCH(1,(GMW!$NE$2:$NE$60=K$3)*(GMW!$ND$2:$ND$60=K$4)*(GMW!$NF$2:$NF$60=K$1),0),$F82-1966)</f>
        <v>399.41300000000001</v>
      </c>
      <c r="L82" s="4" cm="1">
        <f t="array" ref="L82">INDEX(GMW!$A$2:$NF$60,MATCH(1,(GMW!$NE$2:$NE$60=L$3)*(GMW!$ND$2:$ND$60=L$4)*(GMW!$NF$2:$NF$60=L$1),0),$F82-1966)</f>
        <v>382.07100000000003</v>
      </c>
      <c r="M82" s="4" cm="1">
        <f t="array" ref="M82">INDEX(GMW!$A$2:$NF$60,MATCH(1,(GMW!$NE$2:$NE$60=M$3)*(GMW!$ND$2:$ND$60=M$4)*(GMW!$NF$2:$NF$60=M$1),0),$F82-1966)</f>
        <v>284756</v>
      </c>
      <c r="N82" s="4" cm="1">
        <f t="array" ref="N82">INDEX(GMW!$A$2:$NF$60,MATCH(1,(GMW!$NE$2:$NE$60=N$3)*(GMW!$ND$2:$ND$60=N$4)*(GMW!$NF$2:$NF$60=N$1),0),$F82-1966)</f>
        <v>-4106</v>
      </c>
      <c r="O82" s="4" cm="1">
        <f t="array" ref="O82">INDEX(GMW!$A$2:$NF$60,MATCH(1,(GMW!$NE$2:$NE$60=O$3)*(GMW!$ND$2:$ND$60=O$4)*(GMW!$NF$2:$NF$60=O$1),0),$F82-1966)</f>
        <v>-105.94199999999999</v>
      </c>
      <c r="P82" s="4" cm="1">
        <f t="array" ref="P82">INDEX(GMW!$A$2:$NF$60,MATCH(1,(GMW!$NE$2:$NE$60=P$3)*(GMW!$ND$2:$ND$60=P$4)*(GMW!$NF$2:$NF$60=P$1),0),$F82-1966)</f>
        <v>1521</v>
      </c>
      <c r="Q82" s="4" cm="1">
        <f t="array" ref="Q82">INDEX(GMW!$A$2:$NF$60,MATCH(1,(GMW!$NE$2:$NE$60=Q$3)*(GMW!$ND$2:$ND$60=Q$4)*(GMW!$NF$2:$NF$60=Q$1),0),$F82-1966)</f>
        <v>-11.069000000000001</v>
      </c>
      <c r="R82" s="4" cm="1">
        <f t="array" ref="R82">INDEX(GMW!$A$2:$NF$60,MATCH(1,(GMW!$NE$2:$NE$60=R$3)*(GMW!$ND$2:$ND$60=R$4)*(GMW!$NF$2:$NF$60=R$1),0),$F82-1966)</f>
        <v>-8.5489999999999995</v>
      </c>
      <c r="S82" s="4" cm="1">
        <f t="array" ref="S82">INDEX(GMW!$A$2:$NF$60,MATCH(1,(GMW!$NE$2:$NE$60=S$3)*(GMW!$ND$2:$ND$60=S$4)*(GMW!$NF$2:$NF$60=S$1),0),$F82-1966)</f>
        <v>-22.11187</v>
      </c>
      <c r="T82" s="4" cm="1">
        <f t="array" ref="T82">INDEX(GMW!$A$2:$NF$60,MATCH(1,(GMW!$NE$2:$NE$60=T$3)*(GMW!$ND$2:$ND$60=T$4)*(GMW!$NF$2:$NF$60=T$1),0),$F82-1966)</f>
        <v>-13532</v>
      </c>
      <c r="U82" s="4" cm="1">
        <f t="array" ref="U82">INDEX(GMW!$A$2:$NF$60,MATCH(1,(GMW!$NE$2:$NE$60=U$3)*(GMW!$ND$2:$ND$60=U$4)*(GMW!$NF$2:$NF$60=U$1),0),$F82-1966)</f>
        <v>200592</v>
      </c>
      <c r="V82" s="4" cm="1">
        <f t="array" ref="V82">INDEX(GMW!$A$2:$NF$60,MATCH(1,(GMW!$NE$2:$NE$60=V$3)*(GMW!$ND$2:$ND$60=V$4)*(GMW!$NF$2:$NF$60=V$1),0),$F82-1966)</f>
        <v>5656.1139999999996</v>
      </c>
      <c r="W82" s="4" cm="1">
        <f t="array" ref="W82">INDEX(GMW!$A$2:$NF$60,MATCH(1,(GMW!$NE$2:$NE$60=W$3)*(GMW!$ND$2:$ND$60=W$4)*(GMW!$NF$2:$NF$60=W$1),0),$F82-1966)</f>
        <v>304315</v>
      </c>
      <c r="X82" s="4" cm="1">
        <f t="array" ref="X82">INDEX(GMW!$A$2:$NF$60,MATCH(1,(GMW!$NE$2:$NE$60=X$3)*(GMW!$ND$2:$ND$60=X$4)*(GMW!$NF$2:$NF$60=X$1),0),$F82-1966)</f>
        <v>620.46579999999994</v>
      </c>
      <c r="Y82" s="4" cm="1">
        <f t="array" ref="Y82">INDEX(GMW!$A$2:$NF$60,MATCH(1,(GMW!$NE$2:$NE$60=Y$3)*(GMW!$ND$2:$ND$60=Y$4)*(GMW!$NF$2:$NF$60=Y$1),0),$F82-1966)</f>
        <v>466.59800000000001</v>
      </c>
      <c r="Z82" s="4" cm="1">
        <f t="array" ref="Z82">INDEX(GMW!$A$2:$NF$60,MATCH(1,(GMW!$NE$2:$NE$60=Z$3)*(GMW!$ND$2:$ND$60=Z$4)*(GMW!$NF$2:$NF$60=Z$1),0),$F82-1966)</f>
        <v>776.94500000000005</v>
      </c>
      <c r="AA82" s="4" cm="1">
        <f t="array" ref="AA82">INDEX(GMW!$A$2:$NF$60,MATCH(1,(GMW!$NE$2:$NE$60=AA$3)*(GMW!$ND$2:$ND$60=AA$4)*(GMW!$NF$2:$NF$60=AA$1),0),$F82-1966)</f>
        <v>616390</v>
      </c>
      <c r="AB82" s="4" cm="1">
        <f t="array" ref="AB82">INDEX(GMW!$A$2:$NF$60,MATCH(1,(GMW!$NE$2:$NE$60=AB$3)*(GMW!$ND$2:$ND$60=AB$4)*(GMW!$NF$2:$NF$60=AB$1),0),$F82-1966)</f>
        <v>179590</v>
      </c>
      <c r="AC82" s="4" cm="1">
        <f t="array" ref="AC82">INDEX(GMW!$A$2:$NF$60,MATCH(1,(GMW!$NE$2:$NE$60=AC$3)*(GMW!$ND$2:$ND$60=AC$4)*(GMW!$NF$2:$NF$60=AC$1),0),$F82-1966)</f>
        <v>1566.125</v>
      </c>
      <c r="AD82" s="4" cm="1">
        <f t="array" ref="AD82">INDEX(GMW!$A$2:$NF$60,MATCH(1,(GMW!$NE$2:$NE$60=AD$3)*(GMW!$ND$2:$ND$60=AD$4)*(GMW!$NF$2:$NF$60=AD$1),0),$F82-1966)</f>
        <v>125051.9</v>
      </c>
      <c r="AE82" s="4" cm="1">
        <f t="array" ref="AE82">INDEX(GMW!$A$2:$NF$60,MATCH(1,(GMW!$NE$2:$NE$60=AE$3)*(GMW!$ND$2:$ND$60=AE$4)*(GMW!$NF$2:$NF$60=AE$1),0),$F82-1966)</f>
        <v>412.48</v>
      </c>
      <c r="AF82" s="4" cm="1">
        <f t="array" ref="AF82">INDEX(GMW!$A$2:$NF$60,MATCH(1,(GMW!$NE$2:$NE$60=AF$3)*(GMW!$ND$2:$ND$60=AF$4)*(GMW!$NF$2:$NF$60=AF$1),0),$F82-1966)</f>
        <v>275.24799999999999</v>
      </c>
      <c r="AG82" s="4" cm="1">
        <f t="array" ref="AG82">INDEX(GMW!$A$2:$NF$60,MATCH(1,(GMW!$NE$2:$NE$60=AG$3)*(GMW!$ND$2:$ND$60=AG$4)*(GMW!$NF$2:$NF$60=AG$1),0),$F82-1966)</f>
        <v>206.75299999999999</v>
      </c>
      <c r="AH82" s="4" cm="1">
        <f t="array" ref="AH82">INDEX(GMW!$A$2:$NF$60,MATCH(1,(GMW!$NE$2:$NE$60=AH$3)*(GMW!$ND$2:$ND$60=AH$4)*(GMW!$NF$2:$NF$60=AH$1),0),$F82-1966)</f>
        <v>176679</v>
      </c>
    </row>
    <row r="83" spans="1:34" x14ac:dyDescent="0.25">
      <c r="A83" s="4">
        <v>1992</v>
      </c>
      <c r="B83" s="4">
        <f t="shared" si="26"/>
        <v>1992</v>
      </c>
      <c r="C83" s="4">
        <f t="shared" si="26"/>
        <v>1991</v>
      </c>
      <c r="D83" s="4">
        <f t="shared" si="26"/>
        <v>1991</v>
      </c>
      <c r="F83" s="4">
        <f t="shared" si="17"/>
        <v>2049</v>
      </c>
      <c r="G83" s="4" cm="1">
        <f t="array" ref="G83">INDEX(GMW!$A$2:$NF$60,MATCH(1,(GMW!$NE$2:$NE$60=G$3)*(GMW!$ND$2:$ND$60=G$4)*(GMW!$NF$2:$NF$60=G$1),0),$F83-1966)</f>
        <v>345523</v>
      </c>
      <c r="H83" s="4" cm="1">
        <f t="array" ref="H83">INDEX(GMW!$A$2:$NF$60,MATCH(1,(GMW!$NE$2:$NE$60=H$3)*(GMW!$ND$2:$ND$60=H$4)*(GMW!$NF$2:$NF$60=H$1),0),$F83-1966)</f>
        <v>2559.1</v>
      </c>
      <c r="I83" s="4" cm="1">
        <f t="array" ref="I83">INDEX(GMW!$A$2:$NF$60,MATCH(1,(GMW!$NE$2:$NE$60=I$3)*(GMW!$ND$2:$ND$60=I$4)*(GMW!$NF$2:$NF$60=I$1),0),$F83-1966)</f>
        <v>110645.6</v>
      </c>
      <c r="J83" s="4" cm="1">
        <f t="array" ref="J83">INDEX(GMW!$A$2:$NF$60,MATCH(1,(GMW!$NE$2:$NE$60=J$3)*(GMW!$ND$2:$ND$60=J$4)*(GMW!$NF$2:$NF$60=J$1),0),$F83-1966)</f>
        <v>624.15</v>
      </c>
      <c r="K83" s="4" cm="1">
        <f t="array" ref="K83">INDEX(GMW!$A$2:$NF$60,MATCH(1,(GMW!$NE$2:$NE$60=K$3)*(GMW!$ND$2:$ND$60=K$4)*(GMW!$NF$2:$NF$60=K$1),0),$F83-1966)</f>
        <v>402.27</v>
      </c>
      <c r="L83" s="4" cm="1">
        <f t="array" ref="L83">INDEX(GMW!$A$2:$NF$60,MATCH(1,(GMW!$NE$2:$NE$60=L$3)*(GMW!$ND$2:$ND$60=L$4)*(GMW!$NF$2:$NF$60=L$1),0),$F83-1966)</f>
        <v>383.1</v>
      </c>
      <c r="M83" s="4" cm="1">
        <f t="array" ref="M83">INDEX(GMW!$A$2:$NF$60,MATCH(1,(GMW!$NE$2:$NE$60=M$3)*(GMW!$ND$2:$ND$60=M$4)*(GMW!$NF$2:$NF$60=M$1),0),$F83-1966)</f>
        <v>284957</v>
      </c>
      <c r="N83" s="4" cm="1">
        <f t="array" ref="N83">INDEX(GMW!$A$2:$NF$60,MATCH(1,(GMW!$NE$2:$NE$60=N$3)*(GMW!$ND$2:$ND$60=N$4)*(GMW!$NF$2:$NF$60=N$1),0),$F83-1966)</f>
        <v>-6464</v>
      </c>
      <c r="O83" s="4" cm="1">
        <f t="array" ref="O83">INDEX(GMW!$A$2:$NF$60,MATCH(1,(GMW!$NE$2:$NE$60=O$3)*(GMW!$ND$2:$ND$60=O$4)*(GMW!$NF$2:$NF$60=O$1),0),$F83-1966)</f>
        <v>-114.777</v>
      </c>
      <c r="P83" s="4" cm="1">
        <f t="array" ref="P83">INDEX(GMW!$A$2:$NF$60,MATCH(1,(GMW!$NE$2:$NE$60=P$3)*(GMW!$ND$2:$ND$60=P$4)*(GMW!$NF$2:$NF$60=P$1),0),$F83-1966)</f>
        <v>1634</v>
      </c>
      <c r="Q83" s="4" cm="1">
        <f t="array" ref="Q83">INDEX(GMW!$A$2:$NF$60,MATCH(1,(GMW!$NE$2:$NE$60=Q$3)*(GMW!$ND$2:$ND$60=Q$4)*(GMW!$NF$2:$NF$60=Q$1),0),$F83-1966)</f>
        <v>-9.67</v>
      </c>
      <c r="R83" s="4" cm="1">
        <f t="array" ref="R83">INDEX(GMW!$A$2:$NF$60,MATCH(1,(GMW!$NE$2:$NE$60=R$3)*(GMW!$ND$2:$ND$60=R$4)*(GMW!$NF$2:$NF$60=R$1),0),$F83-1966)</f>
        <v>-9.5960000000000001</v>
      </c>
      <c r="S83" s="4" cm="1">
        <f t="array" ref="S83">INDEX(GMW!$A$2:$NF$60,MATCH(1,(GMW!$NE$2:$NE$60=S$3)*(GMW!$ND$2:$ND$60=S$4)*(GMW!$NF$2:$NF$60=S$1),0),$F83-1966)</f>
        <v>-21.5656</v>
      </c>
      <c r="T83" s="4" cm="1">
        <f t="array" ref="T83">INDEX(GMW!$A$2:$NF$60,MATCH(1,(GMW!$NE$2:$NE$60=T$3)*(GMW!$ND$2:$ND$60=T$4)*(GMW!$NF$2:$NF$60=T$1),0),$F83-1966)</f>
        <v>-12241</v>
      </c>
      <c r="U83" s="4" cm="1">
        <f t="array" ref="U83">INDEX(GMW!$A$2:$NF$60,MATCH(1,(GMW!$NE$2:$NE$60=U$3)*(GMW!$ND$2:$ND$60=U$4)*(GMW!$NF$2:$NF$60=U$1),0),$F83-1966)</f>
        <v>204683</v>
      </c>
      <c r="V83" s="4" cm="1">
        <f t="array" ref="V83">INDEX(GMW!$A$2:$NF$60,MATCH(1,(GMW!$NE$2:$NE$60=V$3)*(GMW!$ND$2:$ND$60=V$4)*(GMW!$NF$2:$NF$60=V$1),0),$F83-1966)</f>
        <v>5799.5789999999997</v>
      </c>
      <c r="W83" s="4" cm="1">
        <f t="array" ref="W83">INDEX(GMW!$A$2:$NF$60,MATCH(1,(GMW!$NE$2:$NE$60=W$3)*(GMW!$ND$2:$ND$60=W$4)*(GMW!$NF$2:$NF$60=W$1),0),$F83-1966)</f>
        <v>311555</v>
      </c>
      <c r="X83" s="4" cm="1">
        <f t="array" ref="X83">INDEX(GMW!$A$2:$NF$60,MATCH(1,(GMW!$NE$2:$NE$60=X$3)*(GMW!$ND$2:$ND$60=X$4)*(GMW!$NF$2:$NF$60=X$1),0),$F83-1966)</f>
        <v>644.2482</v>
      </c>
      <c r="Y83" s="4" cm="1">
        <f t="array" ref="Y83">INDEX(GMW!$A$2:$NF$60,MATCH(1,(GMW!$NE$2:$NE$60=Y$3)*(GMW!$ND$2:$ND$60=Y$4)*(GMW!$NF$2:$NF$60=Y$1),0),$F83-1966)</f>
        <v>477.17599999999999</v>
      </c>
      <c r="Z83" s="4" cm="1">
        <f t="array" ref="Z83">INDEX(GMW!$A$2:$NF$60,MATCH(1,(GMW!$NE$2:$NE$60=Z$3)*(GMW!$ND$2:$ND$60=Z$4)*(GMW!$NF$2:$NF$60=Z$1),0),$F83-1966)</f>
        <v>799.99850000000004</v>
      </c>
      <c r="AA83" s="4" cm="1">
        <f t="array" ref="AA83">INDEX(GMW!$A$2:$NF$60,MATCH(1,(GMW!$NE$2:$NE$60=AA$3)*(GMW!$ND$2:$ND$60=AA$4)*(GMW!$NF$2:$NF$60=AA$1),0),$F83-1966)</f>
        <v>615323</v>
      </c>
      <c r="AB83" s="4" cm="1">
        <f t="array" ref="AB83">INDEX(GMW!$A$2:$NF$60,MATCH(1,(GMW!$NE$2:$NE$60=AB$3)*(GMW!$ND$2:$ND$60=AB$4)*(GMW!$NF$2:$NF$60=AB$1),0),$F83-1966)</f>
        <v>181438</v>
      </c>
      <c r="AC83" s="4" cm="1">
        <f t="array" ref="AC83">INDEX(GMW!$A$2:$NF$60,MATCH(1,(GMW!$NE$2:$NE$60=AC$3)*(GMW!$ND$2:$ND$60=AC$4)*(GMW!$NF$2:$NF$60=AC$1),0),$F83-1966)</f>
        <v>1590.7750000000001</v>
      </c>
      <c r="AD83" s="4" cm="1">
        <f t="array" ref="AD83">INDEX(GMW!$A$2:$NF$60,MATCH(1,(GMW!$NE$2:$NE$60=AD$3)*(GMW!$ND$2:$ND$60=AD$4)*(GMW!$NF$2:$NF$60=AD$1),0),$F83-1966)</f>
        <v>125131.5</v>
      </c>
      <c r="AE83" s="4" cm="1">
        <f t="array" ref="AE83">INDEX(GMW!$A$2:$NF$60,MATCH(1,(GMW!$NE$2:$NE$60=AE$3)*(GMW!$ND$2:$ND$60=AE$4)*(GMW!$NF$2:$NF$60=AE$1),0),$F83-1966)</f>
        <v>422.28699999999998</v>
      </c>
      <c r="AF83" s="4" cm="1">
        <f t="array" ref="AF83">INDEX(GMW!$A$2:$NF$60,MATCH(1,(GMW!$NE$2:$NE$60=AF$3)*(GMW!$ND$2:$ND$60=AF$4)*(GMW!$NF$2:$NF$60=AF$1),0),$F83-1966)</f>
        <v>279.38499999999999</v>
      </c>
      <c r="AG83" s="4" cm="1">
        <f t="array" ref="AG83">INDEX(GMW!$A$2:$NF$60,MATCH(1,(GMW!$NE$2:$NE$60=AG$3)*(GMW!$ND$2:$ND$60=AG$4)*(GMW!$NF$2:$NF$60=AG$1),0),$F83-1966)</f>
        <v>211.16800000000001</v>
      </c>
      <c r="AH83" s="4" cm="1">
        <f t="array" ref="AH83">INDEX(GMW!$A$2:$NF$60,MATCH(1,(GMW!$NE$2:$NE$60=AH$3)*(GMW!$ND$2:$ND$60=AH$4)*(GMW!$NF$2:$NF$60=AH$1),0),$F83-1966)</f>
        <v>177502</v>
      </c>
    </row>
    <row r="84" spans="1:34" x14ac:dyDescent="0.25">
      <c r="B84" s="4">
        <f t="shared" si="26"/>
        <v>1992</v>
      </c>
      <c r="C84" s="4">
        <f t="shared" si="26"/>
        <v>1992</v>
      </c>
      <c r="F84" s="4">
        <f t="shared" si="17"/>
        <v>2050</v>
      </c>
      <c r="G84" s="4" cm="1">
        <f t="array" ref="G84">INDEX(GMW!$A$2:$NF$60,MATCH(1,(GMW!$NE$2:$NE$60=G$3)*(GMW!$ND$2:$ND$60=G$4)*(GMW!$NF$2:$NF$60=G$1),0),$F84-1966)</f>
        <v>344987</v>
      </c>
      <c r="H84" s="4" cm="1">
        <f t="array" ref="H84">INDEX(GMW!$A$2:$NF$60,MATCH(1,(GMW!$NE$2:$NE$60=H$3)*(GMW!$ND$2:$ND$60=H$4)*(GMW!$NF$2:$NF$60=H$1),0),$F84-1966)</f>
        <v>2586.85</v>
      </c>
      <c r="I84" s="4" cm="1">
        <f t="array" ref="I84">INDEX(GMW!$A$2:$NF$60,MATCH(1,(GMW!$NE$2:$NE$60=I$3)*(GMW!$ND$2:$ND$60=I$4)*(GMW!$NF$2:$NF$60=I$1),0),$F84-1966)</f>
        <v>110982.39999999999</v>
      </c>
      <c r="J84" s="4" cm="1">
        <f t="array" ref="J84">INDEX(GMW!$A$2:$NF$60,MATCH(1,(GMW!$NE$2:$NE$60=J$3)*(GMW!$ND$2:$ND$60=J$4)*(GMW!$NF$2:$NF$60=J$1),0),$F84-1966)</f>
        <v>620.27</v>
      </c>
      <c r="K84" s="4" cm="1">
        <f t="array" ref="K84">INDEX(GMW!$A$2:$NF$60,MATCH(1,(GMW!$NE$2:$NE$60=K$3)*(GMW!$ND$2:$ND$60=K$4)*(GMW!$NF$2:$NF$60=K$1),0),$F84-1966)</f>
        <v>402.721</v>
      </c>
      <c r="L84" s="4" cm="1">
        <f t="array" ref="L84">INDEX(GMW!$A$2:$NF$60,MATCH(1,(GMW!$NE$2:$NE$60=L$3)*(GMW!$ND$2:$ND$60=L$4)*(GMW!$NF$2:$NF$60=L$1),0),$F84-1966)</f>
        <v>382.87900000000002</v>
      </c>
      <c r="M84" s="4" cm="1">
        <f t="array" ref="M84">INDEX(GMW!$A$2:$NF$60,MATCH(1,(GMW!$NE$2:$NE$60=M$3)*(GMW!$ND$2:$ND$60=M$4)*(GMW!$NF$2:$NF$60=M$1),0),$F84-1966)</f>
        <v>285281.8</v>
      </c>
      <c r="N84" s="4" cm="1">
        <f t="array" ref="N84">INDEX(GMW!$A$2:$NF$60,MATCH(1,(GMW!$NE$2:$NE$60=N$3)*(GMW!$ND$2:$ND$60=N$4)*(GMW!$NF$2:$NF$60=N$1),0),$F84-1966)</f>
        <v>-13625</v>
      </c>
      <c r="O84" s="4" cm="1">
        <f t="array" ref="O84">INDEX(GMW!$A$2:$NF$60,MATCH(1,(GMW!$NE$2:$NE$60=O$3)*(GMW!$ND$2:$ND$60=O$4)*(GMW!$NF$2:$NF$60=O$1),0),$F84-1966)</f>
        <v>-116.71850000000001</v>
      </c>
      <c r="P84" s="4" cm="1">
        <f t="array" ref="P84">INDEX(GMW!$A$2:$NF$60,MATCH(1,(GMW!$NE$2:$NE$60=P$3)*(GMW!$ND$2:$ND$60=P$4)*(GMW!$NF$2:$NF$60=P$1),0),$F84-1966)</f>
        <v>759</v>
      </c>
      <c r="Q84" s="4" cm="1">
        <f t="array" ref="Q84">INDEX(GMW!$A$2:$NF$60,MATCH(1,(GMW!$NE$2:$NE$60=Q$3)*(GMW!$ND$2:$ND$60=Q$4)*(GMW!$NF$2:$NF$60=Q$1),0),$F84-1966)</f>
        <v>-8.0570000000000004</v>
      </c>
      <c r="R84" s="4" cm="1">
        <f t="array" ref="R84">INDEX(GMW!$A$2:$NF$60,MATCH(1,(GMW!$NE$2:$NE$60=R$3)*(GMW!$ND$2:$ND$60=R$4)*(GMW!$NF$2:$NF$60=R$1),0),$F84-1966)</f>
        <v>-12.712</v>
      </c>
      <c r="S84" s="4" cm="1">
        <f t="array" ref="S84">INDEX(GMW!$A$2:$NF$60,MATCH(1,(GMW!$NE$2:$NE$60=S$3)*(GMW!$ND$2:$ND$60=S$4)*(GMW!$NF$2:$NF$60=S$1),0),$F84-1966)</f>
        <v>-21.203939999999999</v>
      </c>
      <c r="T84" s="4" cm="1">
        <f t="array" ref="T84">INDEX(GMW!$A$2:$NF$60,MATCH(1,(GMW!$NE$2:$NE$60=T$3)*(GMW!$ND$2:$ND$60=T$4)*(GMW!$NF$2:$NF$60=T$1),0),$F84-1966)</f>
        <v>-14835</v>
      </c>
      <c r="U84" s="4" cm="1">
        <f t="array" ref="U84">INDEX(GMW!$A$2:$NF$60,MATCH(1,(GMW!$NE$2:$NE$60=U$3)*(GMW!$ND$2:$ND$60=U$4)*(GMW!$NF$2:$NF$60=U$1),0),$F84-1966)</f>
        <v>215673.8</v>
      </c>
      <c r="V84" s="4" cm="1">
        <f t="array" ref="V84">INDEX(GMW!$A$2:$NF$60,MATCH(1,(GMW!$NE$2:$NE$60=V$3)*(GMW!$ND$2:$ND$60=V$4)*(GMW!$NF$2:$NF$60=V$1),0),$F84-1966)</f>
        <v>5975.5379999999996</v>
      </c>
      <c r="W84" s="4" cm="1">
        <f t="array" ref="W84">INDEX(GMW!$A$2:$NF$60,MATCH(1,(GMW!$NE$2:$NE$60=W$3)*(GMW!$ND$2:$ND$60=W$4)*(GMW!$NF$2:$NF$60=W$1),0),$F84-1966)</f>
        <v>318796</v>
      </c>
      <c r="X84" s="4" cm="1">
        <f t="array" ref="X84">INDEX(GMW!$A$2:$NF$60,MATCH(1,(GMW!$NE$2:$NE$60=X$3)*(GMW!$ND$2:$ND$60=X$4)*(GMW!$NF$2:$NF$60=X$1),0),$F84-1966)</f>
        <v>665.90039999999999</v>
      </c>
      <c r="Y84" s="4" cm="1">
        <f t="array" ref="Y84">INDEX(GMW!$A$2:$NF$60,MATCH(1,(GMW!$NE$2:$NE$60=Y$3)*(GMW!$ND$2:$ND$60=Y$4)*(GMW!$NF$2:$NF$60=Y$1),0),$F84-1966)</f>
        <v>496.63</v>
      </c>
      <c r="Z84" s="4" cm="1">
        <f t="array" ref="Z84">INDEX(GMW!$A$2:$NF$60,MATCH(1,(GMW!$NE$2:$NE$60=Z$3)*(GMW!$ND$2:$ND$60=Z$4)*(GMW!$NF$2:$NF$60=Z$1),0),$F84-1966)</f>
        <v>823.05200000000002</v>
      </c>
      <c r="AA84" s="4" cm="1">
        <f t="array" ref="AA84">INDEX(GMW!$A$2:$NF$60,MATCH(1,(GMW!$NE$2:$NE$60=AA$3)*(GMW!$ND$2:$ND$60=AA$4)*(GMW!$NF$2:$NF$60=AA$1),0),$F84-1966)</f>
        <v>639604</v>
      </c>
      <c r="AB84" s="4" cm="1">
        <f t="array" ref="AB84">INDEX(GMW!$A$2:$NF$60,MATCH(1,(GMW!$NE$2:$NE$60=AB$3)*(GMW!$ND$2:$ND$60=AB$4)*(GMW!$NF$2:$NF$60=AB$1),0),$F84-1966)</f>
        <v>181889</v>
      </c>
      <c r="AC84" s="4" cm="1">
        <f t="array" ref="AC84">INDEX(GMW!$A$2:$NF$60,MATCH(1,(GMW!$NE$2:$NE$60=AC$3)*(GMW!$ND$2:$ND$60=AC$4)*(GMW!$NF$2:$NF$60=AC$1),0),$F84-1966)</f>
        <v>1617.7</v>
      </c>
      <c r="AD84" s="4" cm="1">
        <f t="array" ref="AD84">INDEX(GMW!$A$2:$NF$60,MATCH(1,(GMW!$NE$2:$NE$60=AD$3)*(GMW!$ND$2:$ND$60=AD$4)*(GMW!$NF$2:$NF$60=AD$1),0),$F84-1966)</f>
        <v>126355.8</v>
      </c>
      <c r="AE84" s="4" cm="1">
        <f t="array" ref="AE84">INDEX(GMW!$A$2:$NF$60,MATCH(1,(GMW!$NE$2:$NE$60=AE$3)*(GMW!$ND$2:$ND$60=AE$4)*(GMW!$NF$2:$NF$60=AE$1),0),$F84-1966)</f>
        <v>425.82799999999997</v>
      </c>
      <c r="AF84" s="4" cm="1">
        <f t="array" ref="AF84">INDEX(GMW!$A$2:$NF$60,MATCH(1,(GMW!$NE$2:$NE$60=AF$3)*(GMW!$ND$2:$ND$60=AF$4)*(GMW!$NF$2:$NF$60=AF$1),0),$F84-1966)</f>
        <v>279.89400000000001</v>
      </c>
      <c r="AG84" s="4" cm="1">
        <f t="array" ref="AG84">INDEX(GMW!$A$2:$NF$60,MATCH(1,(GMW!$NE$2:$NE$60=AG$3)*(GMW!$ND$2:$ND$60=AG$4)*(GMW!$NF$2:$NF$60=AG$1),0),$F84-1966)</f>
        <v>209.785</v>
      </c>
      <c r="AH84" s="4" cm="1">
        <f t="array" ref="AH84">INDEX(GMW!$A$2:$NF$60,MATCH(1,(GMW!$NE$2:$NE$60=AH$3)*(GMW!$ND$2:$ND$60=AH$4)*(GMW!$NF$2:$NF$60=AH$1),0),$F84-1966)</f>
        <v>178686</v>
      </c>
    </row>
    <row r="85" spans="1:34" x14ac:dyDescent="0.25">
      <c r="B85" s="4">
        <f t="shared" si="26"/>
        <v>1992</v>
      </c>
      <c r="C85" s="4">
        <f t="shared" si="26"/>
        <v>1992</v>
      </c>
      <c r="F85" s="4">
        <f t="shared" si="17"/>
        <v>2051</v>
      </c>
      <c r="G85" s="4" cm="1">
        <f t="array" ref="G85">INDEX(GMW!$A$2:$NF$60,MATCH(1,(GMW!$NE$2:$NE$60=G$3)*(GMW!$ND$2:$ND$60=G$4)*(GMW!$NF$2:$NF$60=G$1),0),$F85-1966)</f>
        <v>346628</v>
      </c>
      <c r="H85" s="4" cm="1">
        <f t="array" ref="H85">INDEX(GMW!$A$2:$NF$60,MATCH(1,(GMW!$NE$2:$NE$60=H$3)*(GMW!$ND$2:$ND$60=H$4)*(GMW!$NF$2:$NF$60=H$1),0),$F85-1966)</f>
        <v>2612.4250000000002</v>
      </c>
      <c r="I85" s="4" cm="1">
        <f t="array" ref="I85">INDEX(GMW!$A$2:$NF$60,MATCH(1,(GMW!$NE$2:$NE$60=I$3)*(GMW!$ND$2:$ND$60=I$4)*(GMW!$NF$2:$NF$60=I$1),0),$F85-1966)</f>
        <v>111402.7</v>
      </c>
      <c r="J85" s="4" cm="1">
        <f t="array" ref="J85">INDEX(GMW!$A$2:$NF$60,MATCH(1,(GMW!$NE$2:$NE$60=J$3)*(GMW!$ND$2:$ND$60=J$4)*(GMW!$NF$2:$NF$60=J$1),0),$F85-1966)</f>
        <v>618.79999999999995</v>
      </c>
      <c r="K85" s="4" cm="1">
        <f t="array" ref="K85">INDEX(GMW!$A$2:$NF$60,MATCH(1,(GMW!$NE$2:$NE$60=K$3)*(GMW!$ND$2:$ND$60=K$4)*(GMW!$NF$2:$NF$60=K$1),0),$F85-1966)</f>
        <v>402.25799999999998</v>
      </c>
      <c r="L85" s="4" cm="1">
        <f t="array" ref="L85">INDEX(GMW!$A$2:$NF$60,MATCH(1,(GMW!$NE$2:$NE$60=L$3)*(GMW!$ND$2:$ND$60=L$4)*(GMW!$NF$2:$NF$60=L$1),0),$F85-1966)</f>
        <v>382.02800000000002</v>
      </c>
      <c r="M85" s="4" cm="1">
        <f t="array" ref="M85">INDEX(GMW!$A$2:$NF$60,MATCH(1,(GMW!$NE$2:$NE$60=M$3)*(GMW!$ND$2:$ND$60=M$4)*(GMW!$NF$2:$NF$60=M$1),0),$F85-1966)</f>
        <v>286827</v>
      </c>
      <c r="N85" s="4" cm="1">
        <f t="array" ref="N85">INDEX(GMW!$A$2:$NF$60,MATCH(1,(GMW!$NE$2:$NE$60=N$3)*(GMW!$ND$2:$ND$60=N$4)*(GMW!$NF$2:$NF$60=N$1),0),$F85-1966)</f>
        <v>-10937</v>
      </c>
      <c r="O85" s="4" cm="1">
        <f t="array" ref="O85">INDEX(GMW!$A$2:$NF$60,MATCH(1,(GMW!$NE$2:$NE$60=O$3)*(GMW!$ND$2:$ND$60=O$4)*(GMW!$NF$2:$NF$60=O$1),0),$F85-1966)</f>
        <v>-120.3043</v>
      </c>
      <c r="P85" s="4" cm="1">
        <f t="array" ref="P85">INDEX(GMW!$A$2:$NF$60,MATCH(1,(GMW!$NE$2:$NE$60=P$3)*(GMW!$ND$2:$ND$60=P$4)*(GMW!$NF$2:$NF$60=P$1),0),$F85-1966)</f>
        <v>672.75</v>
      </c>
      <c r="Q85" s="4" cm="1">
        <f t="array" ref="Q85">INDEX(GMW!$A$2:$NF$60,MATCH(1,(GMW!$NE$2:$NE$60=Q$3)*(GMW!$ND$2:$ND$60=Q$4)*(GMW!$NF$2:$NF$60=Q$1),0),$F85-1966)</f>
        <v>-11.311999999999999</v>
      </c>
      <c r="R85" s="4" cm="1">
        <f t="array" ref="R85">INDEX(GMW!$A$2:$NF$60,MATCH(1,(GMW!$NE$2:$NE$60=R$3)*(GMW!$ND$2:$ND$60=R$4)*(GMW!$NF$2:$NF$60=R$1),0),$F85-1966)</f>
        <v>-14.173999999999999</v>
      </c>
      <c r="S85" s="4" cm="1">
        <f t="array" ref="S85">INDEX(GMW!$A$2:$NF$60,MATCH(1,(GMW!$NE$2:$NE$60=S$3)*(GMW!$ND$2:$ND$60=S$4)*(GMW!$NF$2:$NF$60=S$1),0),$F85-1966)</f>
        <v>-21.026900000000001</v>
      </c>
      <c r="T85" s="4" cm="1">
        <f t="array" ref="T85">INDEX(GMW!$A$2:$NF$60,MATCH(1,(GMW!$NE$2:$NE$60=T$3)*(GMW!$ND$2:$ND$60=T$4)*(GMW!$NF$2:$NF$60=T$1),0),$F85-1966)</f>
        <v>-16845</v>
      </c>
      <c r="U85" s="4" cm="1">
        <f t="array" ref="U85">INDEX(GMW!$A$2:$NF$60,MATCH(1,(GMW!$NE$2:$NE$60=U$3)*(GMW!$ND$2:$ND$60=U$4)*(GMW!$NF$2:$NF$60=U$1),0),$F85-1966)</f>
        <v>226664.5</v>
      </c>
      <c r="V85" s="4" cm="1">
        <f t="array" ref="V85">INDEX(GMW!$A$2:$NF$60,MATCH(1,(GMW!$NE$2:$NE$60=V$3)*(GMW!$ND$2:$ND$60=V$4)*(GMW!$NF$2:$NF$60=V$1),0),$F85-1966)</f>
        <v>6128.5320000000002</v>
      </c>
      <c r="W85" s="4" cm="1">
        <f t="array" ref="W85">INDEX(GMW!$A$2:$NF$60,MATCH(1,(GMW!$NE$2:$NE$60=W$3)*(GMW!$ND$2:$ND$60=W$4)*(GMW!$NF$2:$NF$60=W$1),0),$F85-1966)</f>
        <v>326036</v>
      </c>
      <c r="X85" s="4" cm="1">
        <f t="array" ref="X85">INDEX(GMW!$A$2:$NF$60,MATCH(1,(GMW!$NE$2:$NE$60=X$3)*(GMW!$ND$2:$ND$60=X$4)*(GMW!$NF$2:$NF$60=X$1),0),$F85-1966)</f>
        <v>686.87900000000002</v>
      </c>
      <c r="Y85" s="4" cm="1">
        <f t="array" ref="Y85">INDEX(GMW!$A$2:$NF$60,MATCH(1,(GMW!$NE$2:$NE$60=Y$3)*(GMW!$ND$2:$ND$60=Y$4)*(GMW!$NF$2:$NF$60=Y$1),0),$F85-1966)</f>
        <v>515.59900000000005</v>
      </c>
      <c r="Z85" s="4" cm="1">
        <f t="array" ref="Z85">INDEX(GMW!$A$2:$NF$60,MATCH(1,(GMW!$NE$2:$NE$60=Z$3)*(GMW!$ND$2:$ND$60=Z$4)*(GMW!$NF$2:$NF$60=Z$1),0),$F85-1966)</f>
        <v>846.10550000000001</v>
      </c>
      <c r="AA85" s="4" cm="1">
        <f t="array" ref="AA85">INDEX(GMW!$A$2:$NF$60,MATCH(1,(GMW!$NE$2:$NE$60=AA$3)*(GMW!$ND$2:$ND$60=AA$4)*(GMW!$NF$2:$NF$60=AA$1),0),$F85-1966)</f>
        <v>659065</v>
      </c>
      <c r="AB85" s="4" cm="1">
        <f t="array" ref="AB85">INDEX(GMW!$A$2:$NF$60,MATCH(1,(GMW!$NE$2:$NE$60=AB$3)*(GMW!$ND$2:$ND$60=AB$4)*(GMW!$NF$2:$NF$60=AB$1),0),$F85-1966)</f>
        <v>182558</v>
      </c>
      <c r="AC85" s="4" cm="1">
        <f t="array" ref="AC85">INDEX(GMW!$A$2:$NF$60,MATCH(1,(GMW!$NE$2:$NE$60=AC$3)*(GMW!$ND$2:$ND$60=AC$4)*(GMW!$NF$2:$NF$60=AC$1),0),$F85-1966)</f>
        <v>1641.65</v>
      </c>
      <c r="AD85" s="4" cm="1">
        <f t="array" ref="AD85">INDEX(GMW!$A$2:$NF$60,MATCH(1,(GMW!$NE$2:$NE$60=AD$3)*(GMW!$ND$2:$ND$60=AD$4)*(GMW!$NF$2:$NF$60=AD$1),0),$F85-1966)</f>
        <v>126632.1</v>
      </c>
      <c r="AE85" s="4" cm="1">
        <f t="array" ref="AE85">INDEX(GMW!$A$2:$NF$60,MATCH(1,(GMW!$NE$2:$NE$60=AE$3)*(GMW!$ND$2:$ND$60=AE$4)*(GMW!$NF$2:$NF$60=AE$1),0),$F85-1966)</f>
        <v>428.59800000000001</v>
      </c>
      <c r="AF85" s="4" cm="1">
        <f t="array" ref="AF85">INDEX(GMW!$A$2:$NF$60,MATCH(1,(GMW!$NE$2:$NE$60=AF$3)*(GMW!$ND$2:$ND$60=AF$4)*(GMW!$NF$2:$NF$60=AF$1),0),$F85-1966)</f>
        <v>280.86700000000002</v>
      </c>
      <c r="AG85" s="4" cm="1">
        <f t="array" ref="AG85">INDEX(GMW!$A$2:$NF$60,MATCH(1,(GMW!$NE$2:$NE$60=AG$3)*(GMW!$ND$2:$ND$60=AG$4)*(GMW!$NF$2:$NF$60=AG$1),0),$F85-1966)</f>
        <v>212.47</v>
      </c>
      <c r="AH85" s="4" cm="1">
        <f t="array" ref="AH85">INDEX(GMW!$A$2:$NF$60,MATCH(1,(GMW!$NE$2:$NE$60=AH$3)*(GMW!$ND$2:$ND$60=AH$4)*(GMW!$NF$2:$NF$60=AH$1),0),$F85-1966)</f>
        <v>180415</v>
      </c>
    </row>
    <row r="86" spans="1:34" x14ac:dyDescent="0.25">
      <c r="B86" s="4">
        <f t="shared" si="26"/>
        <v>1992</v>
      </c>
      <c r="C86" s="4">
        <f t="shared" si="26"/>
        <v>1992</v>
      </c>
      <c r="E86" s="4">
        <f t="shared" ref="E86" si="29">+E82+1</f>
        <v>1992</v>
      </c>
      <c r="F86" s="4">
        <f t="shared" si="17"/>
        <v>2052</v>
      </c>
      <c r="G86" s="4" cm="1">
        <f t="array" ref="G86">INDEX(GMW!$A$2:$NF$60,MATCH(1,(GMW!$NE$2:$NE$60=G$3)*(GMW!$ND$2:$ND$60=G$4)*(GMW!$NF$2:$NF$60=G$1),0),$F86-1966)</f>
        <v>349299</v>
      </c>
      <c r="H86" s="4" cm="1">
        <f t="array" ref="H86">INDEX(GMW!$A$2:$NF$60,MATCH(1,(GMW!$NE$2:$NE$60=H$3)*(GMW!$ND$2:$ND$60=H$4)*(GMW!$NF$2:$NF$60=H$1),0),$F86-1966)</f>
        <v>2639.65</v>
      </c>
      <c r="I86" s="4" cm="1">
        <f t="array" ref="I86">INDEX(GMW!$A$2:$NF$60,MATCH(1,(GMW!$NE$2:$NE$60=I$3)*(GMW!$ND$2:$ND$60=I$4)*(GMW!$NF$2:$NF$60=I$1),0),$F86-1966)</f>
        <v>110721.5</v>
      </c>
      <c r="J86" s="4" cm="1">
        <f t="array" ref="J86">INDEX(GMW!$A$2:$NF$60,MATCH(1,(GMW!$NE$2:$NE$60=J$3)*(GMW!$ND$2:$ND$60=J$4)*(GMW!$NF$2:$NF$60=J$1),0),$F86-1966)</f>
        <v>617.08000000000004</v>
      </c>
      <c r="K86" s="4" cm="1">
        <f t="array" ref="K86">INDEX(GMW!$A$2:$NF$60,MATCH(1,(GMW!$NE$2:$NE$60=K$3)*(GMW!$ND$2:$ND$60=K$4)*(GMW!$NF$2:$NF$60=K$1),0),$F86-1966)</f>
        <v>402.334</v>
      </c>
      <c r="L86" s="4" cm="1">
        <f t="array" ref="L86">INDEX(GMW!$A$2:$NF$60,MATCH(1,(GMW!$NE$2:$NE$60=L$3)*(GMW!$ND$2:$ND$60=L$4)*(GMW!$NF$2:$NF$60=L$1),0),$F86-1966)</f>
        <v>379.39600000000002</v>
      </c>
      <c r="M86" s="4" cm="1">
        <f t="array" ref="M86">INDEX(GMW!$A$2:$NF$60,MATCH(1,(GMW!$NE$2:$NE$60=M$3)*(GMW!$ND$2:$ND$60=M$4)*(GMW!$NF$2:$NF$60=M$1),0),$F86-1966)</f>
        <v>288461.3</v>
      </c>
      <c r="N86" s="4" cm="1">
        <f t="array" ref="N86">INDEX(GMW!$A$2:$NF$60,MATCH(1,(GMW!$NE$2:$NE$60=N$3)*(GMW!$ND$2:$ND$60=N$4)*(GMW!$NF$2:$NF$60=N$1),0),$F86-1966)</f>
        <v>-9142</v>
      </c>
      <c r="O86" s="4" cm="1">
        <f t="array" ref="O86">INDEX(GMW!$A$2:$NF$60,MATCH(1,(GMW!$NE$2:$NE$60=O$3)*(GMW!$ND$2:$ND$60=O$4)*(GMW!$NF$2:$NF$60=O$1),0),$F86-1966)</f>
        <v>-118.1052</v>
      </c>
      <c r="P86" s="4" cm="1">
        <f t="array" ref="P86">INDEX(GMW!$A$2:$NF$60,MATCH(1,(GMW!$NE$2:$NE$60=P$3)*(GMW!$ND$2:$ND$60=P$4)*(GMW!$NF$2:$NF$60=P$1),0),$F86-1966)</f>
        <v>96</v>
      </c>
      <c r="Q86" s="4" cm="1">
        <f t="array" ref="Q86">INDEX(GMW!$A$2:$NF$60,MATCH(1,(GMW!$NE$2:$NE$60=Q$3)*(GMW!$ND$2:$ND$60=Q$4)*(GMW!$NF$2:$NF$60=Q$1),0),$F86-1966)</f>
        <v>-15.959</v>
      </c>
      <c r="R86" s="4" cm="1">
        <f t="array" ref="R86">INDEX(GMW!$A$2:$NF$60,MATCH(1,(GMW!$NE$2:$NE$60=R$3)*(GMW!$ND$2:$ND$60=R$4)*(GMW!$NF$2:$NF$60=R$1),0),$F86-1966)</f>
        <v>-15.406000000000001</v>
      </c>
      <c r="S86" s="4" cm="1">
        <f t="array" ref="S86">INDEX(GMW!$A$2:$NF$60,MATCH(1,(GMW!$NE$2:$NE$60=S$3)*(GMW!$ND$2:$ND$60=S$4)*(GMW!$NF$2:$NF$60=S$1),0),$F86-1966)</f>
        <v>-20.990739999999999</v>
      </c>
      <c r="T86" s="4" cm="1">
        <f t="array" ref="T86">INDEX(GMW!$A$2:$NF$60,MATCH(1,(GMW!$NE$2:$NE$60=T$3)*(GMW!$ND$2:$ND$60=T$4)*(GMW!$NF$2:$NF$60=T$1),0),$F86-1966)</f>
        <v>-16598</v>
      </c>
      <c r="U86" s="4" cm="1">
        <f t="array" ref="U86">INDEX(GMW!$A$2:$NF$60,MATCH(1,(GMW!$NE$2:$NE$60=U$3)*(GMW!$ND$2:$ND$60=U$4)*(GMW!$NF$2:$NF$60=U$1),0),$F86-1966)</f>
        <v>237655.3</v>
      </c>
      <c r="V86" s="4" cm="1">
        <f t="array" ref="V86">INDEX(GMW!$A$2:$NF$60,MATCH(1,(GMW!$NE$2:$NE$60=V$3)*(GMW!$ND$2:$ND$60=V$4)*(GMW!$NF$2:$NF$60=V$1),0),$F86-1966)</f>
        <v>6255.3</v>
      </c>
      <c r="W86" s="4" cm="1">
        <f t="array" ref="W86">INDEX(GMW!$A$2:$NF$60,MATCH(1,(GMW!$NE$2:$NE$60=W$3)*(GMW!$ND$2:$ND$60=W$4)*(GMW!$NF$2:$NF$60=W$1),0),$F86-1966)</f>
        <v>333277</v>
      </c>
      <c r="X86" s="4" cm="1">
        <f t="array" ref="X86">INDEX(GMW!$A$2:$NF$60,MATCH(1,(GMW!$NE$2:$NE$60=X$3)*(GMW!$ND$2:$ND$60=X$4)*(GMW!$NF$2:$NF$60=X$1),0),$F86-1966)</f>
        <v>707.18399999999997</v>
      </c>
      <c r="Y86" s="4" cm="1">
        <f t="array" ref="Y86">INDEX(GMW!$A$2:$NF$60,MATCH(1,(GMW!$NE$2:$NE$60=Y$3)*(GMW!$ND$2:$ND$60=Y$4)*(GMW!$NF$2:$NF$60=Y$1),0),$F86-1966)</f>
        <v>528.38400000000001</v>
      </c>
      <c r="Z86" s="4" cm="1">
        <f t="array" ref="Z86">INDEX(GMW!$A$2:$NF$60,MATCH(1,(GMW!$NE$2:$NE$60=Z$3)*(GMW!$ND$2:$ND$60=Z$4)*(GMW!$NF$2:$NF$60=Z$1),0),$F86-1966)</f>
        <v>869.15899999999999</v>
      </c>
      <c r="AA86" s="4" cm="1">
        <f t="array" ref="AA86">INDEX(GMW!$A$2:$NF$60,MATCH(1,(GMW!$NE$2:$NE$60=AA$3)*(GMW!$ND$2:$ND$60=AA$4)*(GMW!$NF$2:$NF$60=AA$1),0),$F86-1966)</f>
        <v>665461</v>
      </c>
      <c r="AB86" s="4" cm="1">
        <f t="array" ref="AB86">INDEX(GMW!$A$2:$NF$60,MATCH(1,(GMW!$NE$2:$NE$60=AB$3)*(GMW!$ND$2:$ND$60=AB$4)*(GMW!$NF$2:$NF$60=AB$1),0),$F86-1966)</f>
        <v>184989</v>
      </c>
      <c r="AC86" s="4" cm="1">
        <f t="array" ref="AC86">INDEX(GMW!$A$2:$NF$60,MATCH(1,(GMW!$NE$2:$NE$60=AC$3)*(GMW!$ND$2:$ND$60=AC$4)*(GMW!$NF$2:$NF$60=AC$1),0),$F86-1966)</f>
        <v>1670.2</v>
      </c>
      <c r="AD86" s="4" cm="1">
        <f t="array" ref="AD86">INDEX(GMW!$A$2:$NF$60,MATCH(1,(GMW!$NE$2:$NE$60=AD$3)*(GMW!$ND$2:$ND$60=AD$4)*(GMW!$NF$2:$NF$60=AD$1),0),$F86-1966)</f>
        <v>125989.8</v>
      </c>
      <c r="AE86" s="4" cm="1">
        <f t="array" ref="AE86">INDEX(GMW!$A$2:$NF$60,MATCH(1,(GMW!$NE$2:$NE$60=AE$3)*(GMW!$ND$2:$ND$60=AE$4)*(GMW!$NF$2:$NF$60=AE$1),0),$F86-1966)</f>
        <v>431.62299999999999</v>
      </c>
      <c r="AF86" s="4" cm="1">
        <f t="array" ref="AF86">INDEX(GMW!$A$2:$NF$60,MATCH(1,(GMW!$NE$2:$NE$60=AF$3)*(GMW!$ND$2:$ND$60=AF$4)*(GMW!$NF$2:$NF$60=AF$1),0),$F86-1966)</f>
        <v>281.185</v>
      </c>
      <c r="AG86" s="4" cm="1">
        <f t="array" ref="AG86">INDEX(GMW!$A$2:$NF$60,MATCH(1,(GMW!$NE$2:$NE$60=AG$3)*(GMW!$ND$2:$ND$60=AG$4)*(GMW!$NF$2:$NF$60=AG$1),0),$F86-1966)</f>
        <v>211.21</v>
      </c>
      <c r="AH86" s="4" cm="1">
        <f t="array" ref="AH86">INDEX(GMW!$A$2:$NF$60,MATCH(1,(GMW!$NE$2:$NE$60=AH$3)*(GMW!$ND$2:$ND$60=AH$4)*(GMW!$NF$2:$NF$60=AH$1),0),$F86-1966)</f>
        <v>181833</v>
      </c>
    </row>
    <row r="87" spans="1:34" x14ac:dyDescent="0.25">
      <c r="A87" s="4">
        <v>1993</v>
      </c>
      <c r="B87" s="4">
        <f t="shared" si="26"/>
        <v>1993</v>
      </c>
      <c r="C87" s="4">
        <f t="shared" si="26"/>
        <v>1992</v>
      </c>
      <c r="D87" s="4">
        <f t="shared" si="26"/>
        <v>1992</v>
      </c>
      <c r="F87" s="4">
        <f t="shared" si="17"/>
        <v>2053</v>
      </c>
      <c r="G87" s="4" cm="1">
        <f t="array" ref="G87">INDEX(GMW!$A$2:$NF$60,MATCH(1,(GMW!$NE$2:$NE$60=G$3)*(GMW!$ND$2:$ND$60=G$4)*(GMW!$NF$2:$NF$60=G$1),0),$F87-1966)</f>
        <v>351046</v>
      </c>
      <c r="H87" s="4" cm="1">
        <f t="array" ref="H87">INDEX(GMW!$A$2:$NF$60,MATCH(1,(GMW!$NE$2:$NE$60=H$3)*(GMW!$ND$2:$ND$60=H$4)*(GMW!$NF$2:$NF$60=H$1),0),$F87-1966)</f>
        <v>2644.0749999999998</v>
      </c>
      <c r="I87" s="4" cm="1">
        <f t="array" ref="I87">INDEX(GMW!$A$2:$NF$60,MATCH(1,(GMW!$NE$2:$NE$60=I$3)*(GMW!$ND$2:$ND$60=I$4)*(GMW!$NF$2:$NF$60=I$1),0),$F87-1966)</f>
        <v>111282</v>
      </c>
      <c r="J87" s="4" cm="1">
        <f t="array" ref="J87">INDEX(GMW!$A$2:$NF$60,MATCH(1,(GMW!$NE$2:$NE$60=J$3)*(GMW!$ND$2:$ND$60=J$4)*(GMW!$NF$2:$NF$60=J$1),0),$F87-1966)</f>
        <v>612.17999999999995</v>
      </c>
      <c r="K87" s="4" cm="1">
        <f t="array" ref="K87">INDEX(GMW!$A$2:$NF$60,MATCH(1,(GMW!$NE$2:$NE$60=K$3)*(GMW!$ND$2:$ND$60=K$4)*(GMW!$NF$2:$NF$60=K$1),0),$F87-1966)</f>
        <v>400.161</v>
      </c>
      <c r="L87" s="4" cm="1">
        <f t="array" ref="L87">INDEX(GMW!$A$2:$NF$60,MATCH(1,(GMW!$NE$2:$NE$60=L$3)*(GMW!$ND$2:$ND$60=L$4)*(GMW!$NF$2:$NF$60=L$1),0),$F87-1966)</f>
        <v>378.86500000000001</v>
      </c>
      <c r="M87" s="4" cm="1">
        <f t="array" ref="M87">INDEX(GMW!$A$2:$NF$60,MATCH(1,(GMW!$NE$2:$NE$60=M$3)*(GMW!$ND$2:$ND$60=M$4)*(GMW!$NF$2:$NF$60=M$1),0),$F87-1966)</f>
        <v>290292.8</v>
      </c>
      <c r="N87" s="4" cm="1">
        <f t="array" ref="N87">INDEX(GMW!$A$2:$NF$60,MATCH(1,(GMW!$NE$2:$NE$60=N$3)*(GMW!$ND$2:$ND$60=N$4)*(GMW!$NF$2:$NF$60=N$1),0),$F87-1966)</f>
        <v>-12848</v>
      </c>
      <c r="O87" s="4" cm="1">
        <f t="array" ref="O87">INDEX(GMW!$A$2:$NF$60,MATCH(1,(GMW!$NE$2:$NE$60=O$3)*(GMW!$ND$2:$ND$60=O$4)*(GMW!$NF$2:$NF$60=O$1),0),$F87-1966)</f>
        <v>-117.89100000000001</v>
      </c>
      <c r="P87" s="4" cm="1">
        <f t="array" ref="P87">INDEX(GMW!$A$2:$NF$60,MATCH(1,(GMW!$NE$2:$NE$60=P$3)*(GMW!$ND$2:$ND$60=P$4)*(GMW!$NF$2:$NF$60=P$1),0),$F87-1966)</f>
        <v>-1386</v>
      </c>
      <c r="Q87" s="4" cm="1">
        <f t="array" ref="Q87">INDEX(GMW!$A$2:$NF$60,MATCH(1,(GMW!$NE$2:$NE$60=Q$3)*(GMW!$ND$2:$ND$60=Q$4)*(GMW!$NF$2:$NF$60=Q$1),0),$F87-1966)</f>
        <v>-12.901</v>
      </c>
      <c r="R87" s="4" cm="1">
        <f t="array" ref="R87">INDEX(GMW!$A$2:$NF$60,MATCH(1,(GMW!$NE$2:$NE$60=R$3)*(GMW!$ND$2:$ND$60=R$4)*(GMW!$NF$2:$NF$60=R$1),0),$F87-1966)</f>
        <v>-17.215</v>
      </c>
      <c r="S87" s="4" cm="1">
        <f t="array" ref="S87">INDEX(GMW!$A$2:$NF$60,MATCH(1,(GMW!$NE$2:$NE$60=S$3)*(GMW!$ND$2:$ND$60=S$4)*(GMW!$NF$2:$NF$60=S$1),0),$F87-1966)</f>
        <v>-21.095479999999998</v>
      </c>
      <c r="T87" s="4" cm="1">
        <f t="array" ref="T87">INDEX(GMW!$A$2:$NF$60,MATCH(1,(GMW!$NE$2:$NE$60=T$3)*(GMW!$ND$2:$ND$60=T$4)*(GMW!$NF$2:$NF$60=T$1),0),$F87-1966)</f>
        <v>-14492</v>
      </c>
      <c r="U87" s="4" cm="1">
        <f t="array" ref="U87">INDEX(GMW!$A$2:$NF$60,MATCH(1,(GMW!$NE$2:$NE$60=U$3)*(GMW!$ND$2:$ND$60=U$4)*(GMW!$NF$2:$NF$60=U$1),0),$F87-1966)</f>
        <v>248646</v>
      </c>
      <c r="V87" s="4" cm="1">
        <f t="array" ref="V87">INDEX(GMW!$A$2:$NF$60,MATCH(1,(GMW!$NE$2:$NE$60=V$3)*(GMW!$ND$2:$ND$60=V$4)*(GMW!$NF$2:$NF$60=V$1),0),$F87-1966)</f>
        <v>6335.8270000000002</v>
      </c>
      <c r="W87" s="4" cm="1">
        <f t="array" ref="W87">INDEX(GMW!$A$2:$NF$60,MATCH(1,(GMW!$NE$2:$NE$60=W$3)*(GMW!$ND$2:$ND$60=W$4)*(GMW!$NF$2:$NF$60=W$1),0),$F87-1966)</f>
        <v>341552</v>
      </c>
      <c r="X87" s="4" cm="1">
        <f t="array" ref="X87">INDEX(GMW!$A$2:$NF$60,MATCH(1,(GMW!$NE$2:$NE$60=X$3)*(GMW!$ND$2:$ND$60=X$4)*(GMW!$NF$2:$NF$60=X$1),0),$F87-1966)</f>
        <v>727.92790000000002</v>
      </c>
      <c r="Y87" s="4" cm="1">
        <f t="array" ref="Y87">INDEX(GMW!$A$2:$NF$60,MATCH(1,(GMW!$NE$2:$NE$60=Y$3)*(GMW!$ND$2:$ND$60=Y$4)*(GMW!$NF$2:$NF$60=Y$1),0),$F87-1966)</f>
        <v>554.92999999999995</v>
      </c>
      <c r="Z87" s="4" cm="1">
        <f t="array" ref="Z87">INDEX(GMW!$A$2:$NF$60,MATCH(1,(GMW!$NE$2:$NE$60=Z$3)*(GMW!$ND$2:$ND$60=Z$4)*(GMW!$NF$2:$NF$60=Z$1),0),$F87-1966)</f>
        <v>895.28399999999999</v>
      </c>
      <c r="AA87" s="4" cm="1">
        <f t="array" ref="AA87">INDEX(GMW!$A$2:$NF$60,MATCH(1,(GMW!$NE$2:$NE$60=AA$3)*(GMW!$ND$2:$ND$60=AA$4)*(GMW!$NF$2:$NF$60=AA$1),0),$F87-1966)</f>
        <v>714679</v>
      </c>
      <c r="AB87" s="4" cm="1">
        <f t="array" ref="AB87">INDEX(GMW!$A$2:$NF$60,MATCH(1,(GMW!$NE$2:$NE$60=AB$3)*(GMW!$ND$2:$ND$60=AB$4)*(GMW!$NF$2:$NF$60=AB$1),0),$F87-1966)</f>
        <v>189580</v>
      </c>
      <c r="AC87" s="4" cm="1">
        <f t="array" ref="AC87">INDEX(GMW!$A$2:$NF$60,MATCH(1,(GMW!$NE$2:$NE$60=AC$3)*(GMW!$ND$2:$ND$60=AC$4)*(GMW!$NF$2:$NF$60=AC$1),0),$F87-1966)</f>
        <v>1682.375</v>
      </c>
      <c r="AD87" s="4" cm="1">
        <f t="array" ref="AD87">INDEX(GMW!$A$2:$NF$60,MATCH(1,(GMW!$NE$2:$NE$60=AD$3)*(GMW!$ND$2:$ND$60=AD$4)*(GMW!$NF$2:$NF$60=AD$1),0),$F87-1966)</f>
        <v>126997.9</v>
      </c>
      <c r="AE87" s="4" cm="1">
        <f t="array" ref="AE87">INDEX(GMW!$A$2:$NF$60,MATCH(1,(GMW!$NE$2:$NE$60=AE$3)*(GMW!$ND$2:$ND$60=AE$4)*(GMW!$NF$2:$NF$60=AE$1),0),$F87-1966)</f>
        <v>432.411</v>
      </c>
      <c r="AF87" s="4" cm="1">
        <f t="array" ref="AF87">INDEX(GMW!$A$2:$NF$60,MATCH(1,(GMW!$NE$2:$NE$60=AF$3)*(GMW!$ND$2:$ND$60=AF$4)*(GMW!$NF$2:$NF$60=AF$1),0),$F87-1966)</f>
        <v>282.44099999999997</v>
      </c>
      <c r="AG87" s="4" cm="1">
        <f t="array" ref="AG87">INDEX(GMW!$A$2:$NF$60,MATCH(1,(GMW!$NE$2:$NE$60=AG$3)*(GMW!$ND$2:$ND$60=AG$4)*(GMW!$NF$2:$NF$60=AG$1),0),$F87-1966)</f>
        <v>214.685</v>
      </c>
      <c r="AH87" s="4" cm="1">
        <f t="array" ref="AH87">INDEX(GMW!$A$2:$NF$60,MATCH(1,(GMW!$NE$2:$NE$60=AH$3)*(GMW!$ND$2:$ND$60=AH$4)*(GMW!$NF$2:$NF$60=AH$1),0),$F87-1966)</f>
        <v>183488</v>
      </c>
    </row>
    <row r="88" spans="1:34" x14ac:dyDescent="0.25">
      <c r="B88" s="4">
        <f t="shared" si="26"/>
        <v>1993</v>
      </c>
      <c r="C88" s="4">
        <f t="shared" si="26"/>
        <v>1993</v>
      </c>
      <c r="F88" s="4">
        <f t="shared" si="17"/>
        <v>2054</v>
      </c>
      <c r="G88" s="4" cm="1">
        <f t="array" ref="G88">INDEX(GMW!$A$2:$NF$60,MATCH(1,(GMW!$NE$2:$NE$60=G$3)*(GMW!$ND$2:$ND$60=G$4)*(GMW!$NF$2:$NF$60=G$1),0),$F88-1966)</f>
        <v>352612</v>
      </c>
      <c r="H88" s="4" cm="1">
        <f t="array" ref="H88">INDEX(GMW!$A$2:$NF$60,MATCH(1,(GMW!$NE$2:$NE$60=H$3)*(GMW!$ND$2:$ND$60=H$4)*(GMW!$NF$2:$NF$60=H$1),0),$F88-1966)</f>
        <v>2659.45</v>
      </c>
      <c r="I88" s="4" cm="1">
        <f t="array" ref="I88">INDEX(GMW!$A$2:$NF$60,MATCH(1,(GMW!$NE$2:$NE$60=I$3)*(GMW!$ND$2:$ND$60=I$4)*(GMW!$NF$2:$NF$60=I$1),0),$F88-1966)</f>
        <v>110343.9</v>
      </c>
      <c r="J88" s="4" cm="1">
        <f t="array" ref="J88">INDEX(GMW!$A$2:$NF$60,MATCH(1,(GMW!$NE$2:$NE$60=J$3)*(GMW!$ND$2:$ND$60=J$4)*(GMW!$NF$2:$NF$60=J$1),0),$F88-1966)</f>
        <v>612.27</v>
      </c>
      <c r="K88" s="4" cm="1">
        <f t="array" ref="K88">INDEX(GMW!$A$2:$NF$60,MATCH(1,(GMW!$NE$2:$NE$60=K$3)*(GMW!$ND$2:$ND$60=K$4)*(GMW!$NF$2:$NF$60=K$1),0),$F88-1966)</f>
        <v>400.18</v>
      </c>
      <c r="L88" s="4" cm="1">
        <f t="array" ref="L88">INDEX(GMW!$A$2:$NF$60,MATCH(1,(GMW!$NE$2:$NE$60=L$3)*(GMW!$ND$2:$ND$60=L$4)*(GMW!$NF$2:$NF$60=L$1),0),$F88-1966)</f>
        <v>377.952</v>
      </c>
      <c r="M88" s="4" cm="1">
        <f t="array" ref="M88">INDEX(GMW!$A$2:$NF$60,MATCH(1,(GMW!$NE$2:$NE$60=M$3)*(GMW!$ND$2:$ND$60=M$4)*(GMW!$NF$2:$NF$60=M$1),0),$F88-1966)</f>
        <v>292937</v>
      </c>
      <c r="N88" s="4" cm="1">
        <f t="array" ref="N88">INDEX(GMW!$A$2:$NF$60,MATCH(1,(GMW!$NE$2:$NE$60=N$3)*(GMW!$ND$2:$ND$60=N$4)*(GMW!$NF$2:$NF$60=N$1),0),$F88-1966)</f>
        <v>-15714</v>
      </c>
      <c r="O88" s="4" cm="1">
        <f t="array" ref="O88">INDEX(GMW!$A$2:$NF$60,MATCH(1,(GMW!$NE$2:$NE$60=O$3)*(GMW!$ND$2:$ND$60=O$4)*(GMW!$NF$2:$NF$60=O$1),0),$F88-1966)</f>
        <v>-109.426</v>
      </c>
      <c r="P88" s="4" cm="1">
        <f t="array" ref="P88">INDEX(GMW!$A$2:$NF$60,MATCH(1,(GMW!$NE$2:$NE$60=P$3)*(GMW!$ND$2:$ND$60=P$4)*(GMW!$NF$2:$NF$60=P$1),0),$F88-1966)</f>
        <v>-2589.75</v>
      </c>
      <c r="Q88" s="4" cm="1">
        <f t="array" ref="Q88">INDEX(GMW!$A$2:$NF$60,MATCH(1,(GMW!$NE$2:$NE$60=Q$3)*(GMW!$ND$2:$ND$60=Q$4)*(GMW!$NF$2:$NF$60=Q$1),0),$F88-1966)</f>
        <v>-13.734</v>
      </c>
      <c r="R88" s="4" cm="1">
        <f t="array" ref="R88">INDEX(GMW!$A$2:$NF$60,MATCH(1,(GMW!$NE$2:$NE$60=R$3)*(GMW!$ND$2:$ND$60=R$4)*(GMW!$NF$2:$NF$60=R$1),0),$F88-1966)</f>
        <v>-19.175000000000001</v>
      </c>
      <c r="S88" s="4" cm="1">
        <f t="array" ref="S88">INDEX(GMW!$A$2:$NF$60,MATCH(1,(GMW!$NE$2:$NE$60=S$3)*(GMW!$ND$2:$ND$60=S$4)*(GMW!$NF$2:$NF$60=S$1),0),$F88-1966)</f>
        <v>-21.106809999999999</v>
      </c>
      <c r="T88" s="4" cm="1">
        <f t="array" ref="T88">INDEX(GMW!$A$2:$NF$60,MATCH(1,(GMW!$NE$2:$NE$60=T$3)*(GMW!$ND$2:$ND$60=T$4)*(GMW!$NF$2:$NF$60=T$1),0),$F88-1966)</f>
        <v>-18738</v>
      </c>
      <c r="U88" s="4" cm="1">
        <f t="array" ref="U88">INDEX(GMW!$A$2:$NF$60,MATCH(1,(GMW!$NE$2:$NE$60=U$3)*(GMW!$ND$2:$ND$60=U$4)*(GMW!$NF$2:$NF$60=U$1),0),$F88-1966)</f>
        <v>261163.3</v>
      </c>
      <c r="V88" s="4" cm="1">
        <f t="array" ref="V88">INDEX(GMW!$A$2:$NF$60,MATCH(1,(GMW!$NE$2:$NE$60=V$3)*(GMW!$ND$2:$ND$60=V$4)*(GMW!$NF$2:$NF$60=V$1),0),$F88-1966)</f>
        <v>6451.018</v>
      </c>
      <c r="W88" s="4" cm="1">
        <f t="array" ref="W88">INDEX(GMW!$A$2:$NF$60,MATCH(1,(GMW!$NE$2:$NE$60=W$3)*(GMW!$ND$2:$ND$60=W$4)*(GMW!$NF$2:$NF$60=W$1),0),$F88-1966)</f>
        <v>349828</v>
      </c>
      <c r="X88" s="4" cm="1">
        <f t="array" ref="X88">INDEX(GMW!$A$2:$NF$60,MATCH(1,(GMW!$NE$2:$NE$60=X$3)*(GMW!$ND$2:$ND$60=X$4)*(GMW!$NF$2:$NF$60=X$1),0),$F88-1966)</f>
        <v>748.93439999999998</v>
      </c>
      <c r="Y88" s="4" cm="1">
        <f t="array" ref="Y88">INDEX(GMW!$A$2:$NF$60,MATCH(1,(GMW!$NE$2:$NE$60=Y$3)*(GMW!$ND$2:$ND$60=Y$4)*(GMW!$NF$2:$NF$60=Y$1),0),$F88-1966)</f>
        <v>541.70399999999995</v>
      </c>
      <c r="Z88" s="4" cm="1">
        <f t="array" ref="Z88">INDEX(GMW!$A$2:$NF$60,MATCH(1,(GMW!$NE$2:$NE$60=Z$3)*(GMW!$ND$2:$ND$60=Z$4)*(GMW!$NF$2:$NF$60=Z$1),0),$F88-1966)</f>
        <v>921.40899999999999</v>
      </c>
      <c r="AA88" s="4" cm="1">
        <f t="array" ref="AA88">INDEX(GMW!$A$2:$NF$60,MATCH(1,(GMW!$NE$2:$NE$60=AA$3)*(GMW!$ND$2:$ND$60=AA$4)*(GMW!$NF$2:$NF$60=AA$1),0),$F88-1966)</f>
        <v>742015</v>
      </c>
      <c r="AB88" s="4" cm="1">
        <f t="array" ref="AB88">INDEX(GMW!$A$2:$NF$60,MATCH(1,(GMW!$NE$2:$NE$60=AB$3)*(GMW!$ND$2:$ND$60=AB$4)*(GMW!$NF$2:$NF$60=AB$1),0),$F88-1966)</f>
        <v>189802</v>
      </c>
      <c r="AC88" s="4" cm="1">
        <f t="array" ref="AC88">INDEX(GMW!$A$2:$NF$60,MATCH(1,(GMW!$NE$2:$NE$60=AC$3)*(GMW!$ND$2:$ND$60=AC$4)*(GMW!$NF$2:$NF$60=AC$1),0),$F88-1966)</f>
        <v>1702.2249999999999</v>
      </c>
      <c r="AD88" s="4" cm="1">
        <f t="array" ref="AD88">INDEX(GMW!$A$2:$NF$60,MATCH(1,(GMW!$NE$2:$NE$60=AD$3)*(GMW!$ND$2:$ND$60=AD$4)*(GMW!$NF$2:$NF$60=AD$1),0),$F88-1966)</f>
        <v>125694.3</v>
      </c>
      <c r="AE88" s="4" cm="1">
        <f t="array" ref="AE88">INDEX(GMW!$A$2:$NF$60,MATCH(1,(GMW!$NE$2:$NE$60=AE$3)*(GMW!$ND$2:$ND$60=AE$4)*(GMW!$NF$2:$NF$60=AE$1),0),$F88-1966)</f>
        <v>438.363</v>
      </c>
      <c r="AF88" s="4" cm="1">
        <f t="array" ref="AF88">INDEX(GMW!$A$2:$NF$60,MATCH(1,(GMW!$NE$2:$NE$60=AF$3)*(GMW!$ND$2:$ND$60=AF$4)*(GMW!$NF$2:$NF$60=AF$1),0),$F88-1966)</f>
        <v>283.005</v>
      </c>
      <c r="AG88" s="4" cm="1">
        <f t="array" ref="AG88">INDEX(GMW!$A$2:$NF$60,MATCH(1,(GMW!$NE$2:$NE$60=AG$3)*(GMW!$ND$2:$ND$60=AG$4)*(GMW!$NF$2:$NF$60=AG$1),0),$F88-1966)</f>
        <v>216.43199999999999</v>
      </c>
      <c r="AH88" s="4" cm="1">
        <f t="array" ref="AH88">INDEX(GMW!$A$2:$NF$60,MATCH(1,(GMW!$NE$2:$NE$60=AH$3)*(GMW!$ND$2:$ND$60=AH$4)*(GMW!$NF$2:$NF$60=AH$1),0),$F88-1966)</f>
        <v>186340</v>
      </c>
    </row>
    <row r="89" spans="1:34" x14ac:dyDescent="0.25">
      <c r="B89" s="4">
        <f t="shared" si="26"/>
        <v>1993</v>
      </c>
      <c r="C89" s="4">
        <f t="shared" si="26"/>
        <v>1993</v>
      </c>
      <c r="F89" s="4">
        <f t="shared" si="17"/>
        <v>2055</v>
      </c>
      <c r="G89" s="4" cm="1">
        <f t="array" ref="G89">INDEX(GMW!$A$2:$NF$60,MATCH(1,(GMW!$NE$2:$NE$60=G$3)*(GMW!$ND$2:$ND$60=G$4)*(GMW!$NF$2:$NF$60=G$1),0),$F89-1966)</f>
        <v>355841</v>
      </c>
      <c r="H89" s="4" cm="1">
        <f t="array" ref="H89">INDEX(GMW!$A$2:$NF$60,MATCH(1,(GMW!$NE$2:$NE$60=H$3)*(GMW!$ND$2:$ND$60=H$4)*(GMW!$NF$2:$NF$60=H$1),0),$F89-1966)</f>
        <v>2672.15</v>
      </c>
      <c r="I89" s="4" cm="1">
        <f t="array" ref="I89">INDEX(GMW!$A$2:$NF$60,MATCH(1,(GMW!$NE$2:$NE$60=I$3)*(GMW!$ND$2:$ND$60=I$4)*(GMW!$NF$2:$NF$60=I$1),0),$F89-1966)</f>
        <v>109839</v>
      </c>
      <c r="J89" s="4" cm="1">
        <f t="array" ref="J89">INDEX(GMW!$A$2:$NF$60,MATCH(1,(GMW!$NE$2:$NE$60=J$3)*(GMW!$ND$2:$ND$60=J$4)*(GMW!$NF$2:$NF$60=J$1),0),$F89-1966)</f>
        <v>615.89</v>
      </c>
      <c r="K89" s="4" cm="1">
        <f t="array" ref="K89">INDEX(GMW!$A$2:$NF$60,MATCH(1,(GMW!$NE$2:$NE$60=K$3)*(GMW!$ND$2:$ND$60=K$4)*(GMW!$NF$2:$NF$60=K$1),0),$F89-1966)</f>
        <v>400.67</v>
      </c>
      <c r="L89" s="4" cm="1">
        <f t="array" ref="L89">INDEX(GMW!$A$2:$NF$60,MATCH(1,(GMW!$NE$2:$NE$60=L$3)*(GMW!$ND$2:$ND$60=L$4)*(GMW!$NF$2:$NF$60=L$1),0),$F89-1966)</f>
        <v>377.35599999999999</v>
      </c>
      <c r="M89" s="4" cm="1">
        <f t="array" ref="M89">INDEX(GMW!$A$2:$NF$60,MATCH(1,(GMW!$NE$2:$NE$60=M$3)*(GMW!$ND$2:$ND$60=M$4)*(GMW!$NF$2:$NF$60=M$1),0),$F89-1966)</f>
        <v>295738.5</v>
      </c>
      <c r="N89" s="4" cm="1">
        <f t="array" ref="N89">INDEX(GMW!$A$2:$NF$60,MATCH(1,(GMW!$NE$2:$NE$60=N$3)*(GMW!$ND$2:$ND$60=N$4)*(GMW!$NF$2:$NF$60=N$1),0),$F89-1966)</f>
        <v>-12329</v>
      </c>
      <c r="O89" s="4" cm="1">
        <f t="array" ref="O89">INDEX(GMW!$A$2:$NF$60,MATCH(1,(GMW!$NE$2:$NE$60=O$3)*(GMW!$ND$2:$ND$60=O$4)*(GMW!$NF$2:$NF$60=O$1),0),$F89-1966)</f>
        <v>-110.2527</v>
      </c>
      <c r="P89" s="4" cm="1">
        <f t="array" ref="P89">INDEX(GMW!$A$2:$NF$60,MATCH(1,(GMW!$NE$2:$NE$60=P$3)*(GMW!$ND$2:$ND$60=P$4)*(GMW!$NF$2:$NF$60=P$1),0),$F89-1966)</f>
        <v>-3748.75</v>
      </c>
      <c r="Q89" s="4" cm="1">
        <f t="array" ref="Q89">INDEX(GMW!$A$2:$NF$60,MATCH(1,(GMW!$NE$2:$NE$60=Q$3)*(GMW!$ND$2:$ND$60=Q$4)*(GMW!$NF$2:$NF$60=Q$1),0),$F89-1966)</f>
        <v>-15.077</v>
      </c>
      <c r="R89" s="4" cm="1">
        <f t="array" ref="R89">INDEX(GMW!$A$2:$NF$60,MATCH(1,(GMW!$NE$2:$NE$60=R$3)*(GMW!$ND$2:$ND$60=R$4)*(GMW!$NF$2:$NF$60=R$1),0),$F89-1966)</f>
        <v>-18.719000000000001</v>
      </c>
      <c r="S89" s="4" cm="1">
        <f t="array" ref="S89">INDEX(GMW!$A$2:$NF$60,MATCH(1,(GMW!$NE$2:$NE$60=S$3)*(GMW!$ND$2:$ND$60=S$4)*(GMW!$NF$2:$NF$60=S$1),0),$F89-1966)</f>
        <v>-21.024750000000001</v>
      </c>
      <c r="T89" s="4" cm="1">
        <f t="array" ref="T89">INDEX(GMW!$A$2:$NF$60,MATCH(1,(GMW!$NE$2:$NE$60=T$3)*(GMW!$ND$2:$ND$60=T$4)*(GMW!$NF$2:$NF$60=T$1),0),$F89-1966)</f>
        <v>-14810</v>
      </c>
      <c r="U89" s="4" cm="1">
        <f t="array" ref="U89">INDEX(GMW!$A$2:$NF$60,MATCH(1,(GMW!$NE$2:$NE$60=U$3)*(GMW!$ND$2:$ND$60=U$4)*(GMW!$NF$2:$NF$60=U$1),0),$F89-1966)</f>
        <v>273680.5</v>
      </c>
      <c r="V89" s="4" cm="1">
        <f t="array" ref="V89">INDEX(GMW!$A$2:$NF$60,MATCH(1,(GMW!$NE$2:$NE$60=V$3)*(GMW!$ND$2:$ND$60=V$4)*(GMW!$NF$2:$NF$60=V$1),0),$F89-1966)</f>
        <v>6550.8329999999996</v>
      </c>
      <c r="W89" s="4" cm="1">
        <f t="array" ref="W89">INDEX(GMW!$A$2:$NF$60,MATCH(1,(GMW!$NE$2:$NE$60=W$3)*(GMW!$ND$2:$ND$60=W$4)*(GMW!$NF$2:$NF$60=W$1),0),$F89-1966)</f>
        <v>358103</v>
      </c>
      <c r="X89" s="4" cm="1">
        <f t="array" ref="X89">INDEX(GMW!$A$2:$NF$60,MATCH(1,(GMW!$NE$2:$NE$60=X$3)*(GMW!$ND$2:$ND$60=X$4)*(GMW!$NF$2:$NF$60=X$1),0),$F89-1966)</f>
        <v>768.84360000000004</v>
      </c>
      <c r="Y89" s="4" cm="1">
        <f t="array" ref="Y89">INDEX(GMW!$A$2:$NF$60,MATCH(1,(GMW!$NE$2:$NE$60=Y$3)*(GMW!$ND$2:$ND$60=Y$4)*(GMW!$NF$2:$NF$60=Y$1),0),$F89-1966)</f>
        <v>652.07399999999996</v>
      </c>
      <c r="Z89" s="4" cm="1">
        <f t="array" ref="Z89">INDEX(GMW!$A$2:$NF$60,MATCH(1,(GMW!$NE$2:$NE$60=Z$3)*(GMW!$ND$2:$ND$60=Z$4)*(GMW!$NF$2:$NF$60=Z$1),0),$F89-1966)</f>
        <v>947.53399999999999</v>
      </c>
      <c r="AA89" s="4" cm="1">
        <f t="array" ref="AA89">INDEX(GMW!$A$2:$NF$60,MATCH(1,(GMW!$NE$2:$NE$60=AA$3)*(GMW!$ND$2:$ND$60=AA$4)*(GMW!$NF$2:$NF$60=AA$1),0),$F89-1966)</f>
        <v>756040</v>
      </c>
      <c r="AB89" s="4" cm="1">
        <f t="array" ref="AB89">INDEX(GMW!$A$2:$NF$60,MATCH(1,(GMW!$NE$2:$NE$60=AB$3)*(GMW!$ND$2:$ND$60=AB$4)*(GMW!$NF$2:$NF$60=AB$1),0),$F89-1966)</f>
        <v>193552</v>
      </c>
      <c r="AC89" s="4" cm="1">
        <f t="array" ref="AC89">INDEX(GMW!$A$2:$NF$60,MATCH(1,(GMW!$NE$2:$NE$60=AC$3)*(GMW!$ND$2:$ND$60=AC$4)*(GMW!$NF$2:$NF$60=AC$1),0),$F89-1966)</f>
        <v>1720.5250000000001</v>
      </c>
      <c r="AD89" s="4" cm="1">
        <f t="array" ref="AD89">INDEX(GMW!$A$2:$NF$60,MATCH(1,(GMW!$NE$2:$NE$60=AD$3)*(GMW!$ND$2:$ND$60=AD$4)*(GMW!$NF$2:$NF$60=AD$1),0),$F89-1966)</f>
        <v>125468.4</v>
      </c>
      <c r="AE89" s="4" cm="1">
        <f t="array" ref="AE89">INDEX(GMW!$A$2:$NF$60,MATCH(1,(GMW!$NE$2:$NE$60=AE$3)*(GMW!$ND$2:$ND$60=AE$4)*(GMW!$NF$2:$NF$60=AE$1),0),$F89-1966)</f>
        <v>440.96600000000001</v>
      </c>
      <c r="AF89" s="4" cm="1">
        <f t="array" ref="AF89">INDEX(GMW!$A$2:$NF$60,MATCH(1,(GMW!$NE$2:$NE$60=AF$3)*(GMW!$ND$2:$ND$60=AF$4)*(GMW!$NF$2:$NF$60=AF$1),0),$F89-1966)</f>
        <v>283.61599999999999</v>
      </c>
      <c r="AG89" s="4" cm="1">
        <f t="array" ref="AG89">INDEX(GMW!$A$2:$NF$60,MATCH(1,(GMW!$NE$2:$NE$60=AG$3)*(GMW!$ND$2:$ND$60=AG$4)*(GMW!$NF$2:$NF$60=AG$1),0),$F89-1966)</f>
        <v>218.01599999999999</v>
      </c>
      <c r="AH89" s="4" cm="1">
        <f t="array" ref="AH89">INDEX(GMW!$A$2:$NF$60,MATCH(1,(GMW!$NE$2:$NE$60=AH$3)*(GMW!$ND$2:$ND$60=AH$4)*(GMW!$NF$2:$NF$60=AH$1),0),$F89-1966)</f>
        <v>187517</v>
      </c>
    </row>
    <row r="90" spans="1:34" x14ac:dyDescent="0.25">
      <c r="B90" s="4">
        <f t="shared" si="26"/>
        <v>1993</v>
      </c>
      <c r="C90" s="4">
        <f t="shared" si="26"/>
        <v>1993</v>
      </c>
      <c r="E90" s="4">
        <f t="shared" ref="E90" si="30">+E86+1</f>
        <v>1993</v>
      </c>
      <c r="F90" s="4">
        <f t="shared" si="17"/>
        <v>2056</v>
      </c>
      <c r="G90" s="4" cm="1">
        <f t="array" ref="G90">INDEX(GMW!$A$2:$NF$60,MATCH(1,(GMW!$NE$2:$NE$60=G$3)*(GMW!$ND$2:$ND$60=G$4)*(GMW!$NF$2:$NF$60=G$1),0),$F90-1966)</f>
        <v>358264</v>
      </c>
      <c r="H90" s="4" cm="1">
        <f t="array" ref="H90">INDEX(GMW!$A$2:$NF$60,MATCH(1,(GMW!$NE$2:$NE$60=H$3)*(GMW!$ND$2:$ND$60=H$4)*(GMW!$NF$2:$NF$60=H$1),0),$F90-1966)</f>
        <v>2708.5</v>
      </c>
      <c r="I90" s="4" cm="1">
        <f t="array" ref="I90">INDEX(GMW!$A$2:$NF$60,MATCH(1,(GMW!$NE$2:$NE$60=I$3)*(GMW!$ND$2:$ND$60=I$4)*(GMW!$NF$2:$NF$60=I$1),0),$F90-1966)</f>
        <v>110263.7</v>
      </c>
      <c r="J90" s="4" cm="1">
        <f t="array" ref="J90">INDEX(GMW!$A$2:$NF$60,MATCH(1,(GMW!$NE$2:$NE$60=J$3)*(GMW!$ND$2:$ND$60=J$4)*(GMW!$NF$2:$NF$60=J$1),0),$F90-1966)</f>
        <v>615.37</v>
      </c>
      <c r="K90" s="4" cm="1">
        <f t="array" ref="K90">INDEX(GMW!$A$2:$NF$60,MATCH(1,(GMW!$NE$2:$NE$60=K$3)*(GMW!$ND$2:$ND$60=K$4)*(GMW!$NF$2:$NF$60=K$1),0),$F90-1966)</f>
        <v>401.72399999999999</v>
      </c>
      <c r="L90" s="4" cm="1">
        <f t="array" ref="L90">INDEX(GMW!$A$2:$NF$60,MATCH(1,(GMW!$NE$2:$NE$60=L$3)*(GMW!$ND$2:$ND$60=L$4)*(GMW!$NF$2:$NF$60=L$1),0),$F90-1966)</f>
        <v>380.12200000000001</v>
      </c>
      <c r="M90" s="4" cm="1">
        <f t="array" ref="M90">INDEX(GMW!$A$2:$NF$60,MATCH(1,(GMW!$NE$2:$NE$60=M$3)*(GMW!$ND$2:$ND$60=M$4)*(GMW!$NF$2:$NF$60=M$1),0),$F90-1966)</f>
        <v>297003.5</v>
      </c>
      <c r="N90" s="4" cm="1">
        <f t="array" ref="N90">INDEX(GMW!$A$2:$NF$60,MATCH(1,(GMW!$NE$2:$NE$60=N$3)*(GMW!$ND$2:$ND$60=N$4)*(GMW!$NF$2:$NF$60=N$1),0),$F90-1966)</f>
        <v>-10500</v>
      </c>
      <c r="O90" s="4" cm="1">
        <f t="array" ref="O90">INDEX(GMW!$A$2:$NF$60,MATCH(1,(GMW!$NE$2:$NE$60=O$3)*(GMW!$ND$2:$ND$60=O$4)*(GMW!$NF$2:$NF$60=O$1),0),$F90-1966)</f>
        <v>-99.058750000000003</v>
      </c>
      <c r="P90" s="4" cm="1">
        <f t="array" ref="P90">INDEX(GMW!$A$2:$NF$60,MATCH(1,(GMW!$NE$2:$NE$60=P$3)*(GMW!$ND$2:$ND$60=P$4)*(GMW!$NF$2:$NF$60=P$1),0),$F90-1966)</f>
        <v>-4633.25</v>
      </c>
      <c r="Q90" s="4" cm="1">
        <f t="array" ref="Q90">INDEX(GMW!$A$2:$NF$60,MATCH(1,(GMW!$NE$2:$NE$60=Q$3)*(GMW!$ND$2:$ND$60=Q$4)*(GMW!$NF$2:$NF$60=Q$1),0),$F90-1966)</f>
        <v>-12.944000000000001</v>
      </c>
      <c r="R90" s="4" cm="1">
        <f t="array" ref="R90">INDEX(GMW!$A$2:$NF$60,MATCH(1,(GMW!$NE$2:$NE$60=R$3)*(GMW!$ND$2:$ND$60=R$4)*(GMW!$NF$2:$NF$60=R$1),0),$F90-1966)</f>
        <v>-17.442</v>
      </c>
      <c r="S90" s="4" cm="1">
        <f t="array" ref="S90">INDEX(GMW!$A$2:$NF$60,MATCH(1,(GMW!$NE$2:$NE$60=S$3)*(GMW!$ND$2:$ND$60=S$4)*(GMW!$NF$2:$NF$60=S$1),0),$F90-1966)</f>
        <v>-20.916360000000001</v>
      </c>
      <c r="T90" s="4" cm="1">
        <f t="array" ref="T90">INDEX(GMW!$A$2:$NF$60,MATCH(1,(GMW!$NE$2:$NE$60=T$3)*(GMW!$ND$2:$ND$60=T$4)*(GMW!$NF$2:$NF$60=T$1),0),$F90-1966)</f>
        <v>-14093</v>
      </c>
      <c r="U90" s="4" cm="1">
        <f t="array" ref="U90">INDEX(GMW!$A$2:$NF$60,MATCH(1,(GMW!$NE$2:$NE$60=U$3)*(GMW!$ND$2:$ND$60=U$4)*(GMW!$NF$2:$NF$60=U$1),0),$F90-1966)</f>
        <v>286197.8</v>
      </c>
      <c r="V90" s="4" cm="1">
        <f t="array" ref="V90">INDEX(GMW!$A$2:$NF$60,MATCH(1,(GMW!$NE$2:$NE$60=V$3)*(GMW!$ND$2:$ND$60=V$4)*(GMW!$NF$2:$NF$60=V$1),0),$F90-1966)</f>
        <v>6669.6559999999999</v>
      </c>
      <c r="W90" s="4" cm="1">
        <f t="array" ref="W90">INDEX(GMW!$A$2:$NF$60,MATCH(1,(GMW!$NE$2:$NE$60=W$3)*(GMW!$ND$2:$ND$60=W$4)*(GMW!$NF$2:$NF$60=W$1),0),$F90-1966)</f>
        <v>366379</v>
      </c>
      <c r="X90" s="4" cm="1">
        <f t="array" ref="X90">INDEX(GMW!$A$2:$NF$60,MATCH(1,(GMW!$NE$2:$NE$60=X$3)*(GMW!$ND$2:$ND$60=X$4)*(GMW!$NF$2:$NF$60=X$1),0),$F90-1966)</f>
        <v>787.65530000000001</v>
      </c>
      <c r="Y90" s="4" cm="1">
        <f t="array" ref="Y90">INDEX(GMW!$A$2:$NF$60,MATCH(1,(GMW!$NE$2:$NE$60=Y$3)*(GMW!$ND$2:$ND$60=Y$4)*(GMW!$NF$2:$NF$60=Y$1),0),$F90-1966)</f>
        <v>665.99300000000005</v>
      </c>
      <c r="Z90" s="4" cm="1">
        <f t="array" ref="Z90">INDEX(GMW!$A$2:$NF$60,MATCH(1,(GMW!$NE$2:$NE$60=Z$3)*(GMW!$ND$2:$ND$60=Z$4)*(GMW!$NF$2:$NF$60=Z$1),0),$F90-1966)</f>
        <v>973.65899999999999</v>
      </c>
      <c r="AA90" s="4" cm="1">
        <f t="array" ref="AA90">INDEX(GMW!$A$2:$NF$60,MATCH(1,(GMW!$NE$2:$NE$60=AA$3)*(GMW!$ND$2:$ND$60=AA$4)*(GMW!$NF$2:$NF$60=AA$1),0),$F90-1966)</f>
        <v>777123</v>
      </c>
      <c r="AB90" s="4" cm="1">
        <f t="array" ref="AB90">INDEX(GMW!$A$2:$NF$60,MATCH(1,(GMW!$NE$2:$NE$60=AB$3)*(GMW!$ND$2:$ND$60=AB$4)*(GMW!$NF$2:$NF$60=AB$1),0),$F90-1966)</f>
        <v>196921</v>
      </c>
      <c r="AC90" s="4" cm="1">
        <f t="array" ref="AC90">INDEX(GMW!$A$2:$NF$60,MATCH(1,(GMW!$NE$2:$NE$60=AC$3)*(GMW!$ND$2:$ND$60=AC$4)*(GMW!$NF$2:$NF$60=AC$1),0),$F90-1966)</f>
        <v>1753.425</v>
      </c>
      <c r="AD90" s="4" cm="1">
        <f t="array" ref="AD90">INDEX(GMW!$A$2:$NF$60,MATCH(1,(GMW!$NE$2:$NE$60=AD$3)*(GMW!$ND$2:$ND$60=AD$4)*(GMW!$NF$2:$NF$60=AD$1),0),$F90-1966)</f>
        <v>126265</v>
      </c>
      <c r="AE90" s="4" cm="1">
        <f t="array" ref="AE90">INDEX(GMW!$A$2:$NF$60,MATCH(1,(GMW!$NE$2:$NE$60=AE$3)*(GMW!$ND$2:$ND$60=AE$4)*(GMW!$NF$2:$NF$60=AE$1),0),$F90-1966)</f>
        <v>443.78</v>
      </c>
      <c r="AF90" s="4" cm="1">
        <f t="array" ref="AF90">INDEX(GMW!$A$2:$NF$60,MATCH(1,(GMW!$NE$2:$NE$60=AF$3)*(GMW!$ND$2:$ND$60=AF$4)*(GMW!$NF$2:$NF$60=AF$1),0),$F90-1966)</f>
        <v>285.21100000000001</v>
      </c>
      <c r="AG90" s="4" cm="1">
        <f t="array" ref="AG90">INDEX(GMW!$A$2:$NF$60,MATCH(1,(GMW!$NE$2:$NE$60=AG$3)*(GMW!$ND$2:$ND$60=AG$4)*(GMW!$NF$2:$NF$60=AG$1),0),$F90-1966)</f>
        <v>220.792</v>
      </c>
      <c r="AH90" s="4" cm="1">
        <f t="array" ref="AH90">INDEX(GMW!$A$2:$NF$60,MATCH(1,(GMW!$NE$2:$NE$60=AH$3)*(GMW!$ND$2:$ND$60=AH$4)*(GMW!$NF$2:$NF$60=AH$1),0),$F90-1966)</f>
        <v>189692</v>
      </c>
    </row>
    <row r="91" spans="1:34" x14ac:dyDescent="0.25">
      <c r="A91" s="4">
        <v>1994</v>
      </c>
      <c r="B91" s="4">
        <f t="shared" si="26"/>
        <v>1994</v>
      </c>
      <c r="C91" s="4">
        <f t="shared" si="26"/>
        <v>1993</v>
      </c>
      <c r="D91" s="4">
        <f t="shared" si="26"/>
        <v>1993</v>
      </c>
      <c r="F91" s="4">
        <f t="shared" si="17"/>
        <v>2057</v>
      </c>
      <c r="G91" s="4" cm="1">
        <f t="array" ref="G91">INDEX(GMW!$A$2:$NF$60,MATCH(1,(GMW!$NE$2:$NE$60=G$3)*(GMW!$ND$2:$ND$60=G$4)*(GMW!$NF$2:$NF$60=G$1),0),$F91-1966)</f>
        <v>361793</v>
      </c>
      <c r="H91" s="4" cm="1">
        <f t="array" ref="H91">INDEX(GMW!$A$2:$NF$60,MATCH(1,(GMW!$NE$2:$NE$60=H$3)*(GMW!$ND$2:$ND$60=H$4)*(GMW!$NF$2:$NF$60=H$1),0),$F91-1966)</f>
        <v>2734.7750000000001</v>
      </c>
      <c r="I91" s="4" cm="1">
        <f t="array" ref="I91">INDEX(GMW!$A$2:$NF$60,MATCH(1,(GMW!$NE$2:$NE$60=I$3)*(GMW!$ND$2:$ND$60=I$4)*(GMW!$NF$2:$NF$60=I$1),0),$F91-1966)</f>
        <v>111555.8</v>
      </c>
      <c r="J91" s="4" cm="1">
        <f t="array" ref="J91">INDEX(GMW!$A$2:$NF$60,MATCH(1,(GMW!$NE$2:$NE$60=J$3)*(GMW!$ND$2:$ND$60=J$4)*(GMW!$NF$2:$NF$60=J$1),0),$F91-1966)</f>
        <v>624.05999999999995</v>
      </c>
      <c r="K91" s="4" cm="1">
        <f t="array" ref="K91">INDEX(GMW!$A$2:$NF$60,MATCH(1,(GMW!$NE$2:$NE$60=K$3)*(GMW!$ND$2:$ND$60=K$4)*(GMW!$NF$2:$NF$60=K$1),0),$F91-1966)</f>
        <v>404.45100000000002</v>
      </c>
      <c r="L91" s="4" cm="1">
        <f t="array" ref="L91">INDEX(GMW!$A$2:$NF$60,MATCH(1,(GMW!$NE$2:$NE$60=L$3)*(GMW!$ND$2:$ND$60=L$4)*(GMW!$NF$2:$NF$60=L$1),0),$F91-1966)</f>
        <v>383.01799999999997</v>
      </c>
      <c r="M91" s="4" cm="1">
        <f t="array" ref="M91">INDEX(GMW!$A$2:$NF$60,MATCH(1,(GMW!$NE$2:$NE$60=M$3)*(GMW!$ND$2:$ND$60=M$4)*(GMW!$NF$2:$NF$60=M$1),0),$F91-1966)</f>
        <v>301382.8</v>
      </c>
      <c r="N91" s="4" cm="1">
        <f t="array" ref="N91">INDEX(GMW!$A$2:$NF$60,MATCH(1,(GMW!$NE$2:$NE$60=N$3)*(GMW!$ND$2:$ND$60=N$4)*(GMW!$NF$2:$NF$60=N$1),0),$F91-1966)</f>
        <v>-13013</v>
      </c>
      <c r="O91" s="4" cm="1">
        <f t="array" ref="O91">INDEX(GMW!$A$2:$NF$60,MATCH(1,(GMW!$NE$2:$NE$60=O$3)*(GMW!$ND$2:$ND$60=O$4)*(GMW!$NF$2:$NF$60=O$1),0),$F91-1966)</f>
        <v>-92.080250000000007</v>
      </c>
      <c r="P91" s="4" cm="1">
        <f t="array" ref="P91">INDEX(GMW!$A$2:$NF$60,MATCH(1,(GMW!$NE$2:$NE$60=P$3)*(GMW!$ND$2:$ND$60=P$4)*(GMW!$NF$2:$NF$60=P$1),0),$F91-1966)</f>
        <v>-5541.75</v>
      </c>
      <c r="Q91" s="4" cm="1">
        <f t="array" ref="Q91">INDEX(GMW!$A$2:$NF$60,MATCH(1,(GMW!$NE$2:$NE$60=Q$3)*(GMW!$ND$2:$ND$60=Q$4)*(GMW!$NF$2:$NF$60=Q$1),0),$F91-1966)</f>
        <v>-8.3130000000000006</v>
      </c>
      <c r="R91" s="4" cm="1">
        <f t="array" ref="R91">INDEX(GMW!$A$2:$NF$60,MATCH(1,(GMW!$NE$2:$NE$60=R$3)*(GMW!$ND$2:$ND$60=R$4)*(GMW!$NF$2:$NF$60=R$1),0),$F91-1966)</f>
        <v>-16.863</v>
      </c>
      <c r="S91" s="4" cm="1">
        <f t="array" ref="S91">INDEX(GMW!$A$2:$NF$60,MATCH(1,(GMW!$NE$2:$NE$60=S$3)*(GMW!$ND$2:$ND$60=S$4)*(GMW!$NF$2:$NF$60=S$1),0),$F91-1966)</f>
        <v>-20.781649999999999</v>
      </c>
      <c r="T91" s="4" cm="1">
        <f t="array" ref="T91">INDEX(GMW!$A$2:$NF$60,MATCH(1,(GMW!$NE$2:$NE$60=T$3)*(GMW!$ND$2:$ND$60=T$4)*(GMW!$NF$2:$NF$60=T$1),0),$F91-1966)</f>
        <v>-13037</v>
      </c>
      <c r="U91" s="4" cm="1">
        <f t="array" ref="U91">INDEX(GMW!$A$2:$NF$60,MATCH(1,(GMW!$NE$2:$NE$60=U$3)*(GMW!$ND$2:$ND$60=U$4)*(GMW!$NF$2:$NF$60=U$1),0),$F91-1966)</f>
        <v>298715</v>
      </c>
      <c r="V91" s="4" cm="1">
        <f t="array" ref="V91">INDEX(GMW!$A$2:$NF$60,MATCH(1,(GMW!$NE$2:$NE$60=V$3)*(GMW!$ND$2:$ND$60=V$4)*(GMW!$NF$2:$NF$60=V$1),0),$F91-1966)</f>
        <v>6784.6229999999996</v>
      </c>
      <c r="W91" s="4" cm="1">
        <f t="array" ref="W91">INDEX(GMW!$A$2:$NF$60,MATCH(1,(GMW!$NE$2:$NE$60=W$3)*(GMW!$ND$2:$ND$60=W$4)*(GMW!$NF$2:$NF$60=W$1),0),$F91-1966)</f>
        <v>373799</v>
      </c>
      <c r="X91" s="4" cm="1">
        <f t="array" ref="X91">INDEX(GMW!$A$2:$NF$60,MATCH(1,(GMW!$NE$2:$NE$60=X$3)*(GMW!$ND$2:$ND$60=X$4)*(GMW!$NF$2:$NF$60=X$1),0),$F91-1966)</f>
        <v>798.7989</v>
      </c>
      <c r="Y91" s="4" cm="1">
        <f t="array" ref="Y91">INDEX(GMW!$A$2:$NF$60,MATCH(1,(GMW!$NE$2:$NE$60=Y$3)*(GMW!$ND$2:$ND$60=Y$4)*(GMW!$NF$2:$NF$60=Y$1),0),$F91-1966)</f>
        <v>672.68899999999996</v>
      </c>
      <c r="Z91" s="4" cm="1">
        <f t="array" ref="Z91">INDEX(GMW!$A$2:$NF$60,MATCH(1,(GMW!$NE$2:$NE$60=Z$3)*(GMW!$ND$2:$ND$60=Z$4)*(GMW!$NF$2:$NF$60=Z$1),0),$F91-1966)</f>
        <v>998.41499999999996</v>
      </c>
      <c r="AA91" s="4" cm="1">
        <f t="array" ref="AA91">INDEX(GMW!$A$2:$NF$60,MATCH(1,(GMW!$NE$2:$NE$60=AA$3)*(GMW!$ND$2:$ND$60=AA$4)*(GMW!$NF$2:$NF$60=AA$1),0),$F91-1966)</f>
        <v>774465</v>
      </c>
      <c r="AB91" s="4" cm="1">
        <f t="array" ref="AB91">INDEX(GMW!$A$2:$NF$60,MATCH(1,(GMW!$NE$2:$NE$60=AB$3)*(GMW!$ND$2:$ND$60=AB$4)*(GMW!$NF$2:$NF$60=AB$1),0),$F91-1966)</f>
        <v>199796</v>
      </c>
      <c r="AC91" s="4" cm="1">
        <f t="array" ref="AC91">INDEX(GMW!$A$2:$NF$60,MATCH(1,(GMW!$NE$2:$NE$60=AC$3)*(GMW!$ND$2:$ND$60=AC$4)*(GMW!$NF$2:$NF$60=AC$1),0),$F91-1966)</f>
        <v>1778.925</v>
      </c>
      <c r="AD91" s="4" cm="1">
        <f t="array" ref="AD91">INDEX(GMW!$A$2:$NF$60,MATCH(1,(GMW!$NE$2:$NE$60=AD$3)*(GMW!$ND$2:$ND$60=AD$4)*(GMW!$NF$2:$NF$60=AD$1),0),$F91-1966)</f>
        <v>127530.5</v>
      </c>
      <c r="AE91" s="4" cm="1">
        <f t="array" ref="AE91">INDEX(GMW!$A$2:$NF$60,MATCH(1,(GMW!$NE$2:$NE$60=AE$3)*(GMW!$ND$2:$ND$60=AE$4)*(GMW!$NF$2:$NF$60=AE$1),0),$F91-1966)</f>
        <v>452.58300000000003</v>
      </c>
      <c r="AF91" s="4" cm="1">
        <f t="array" ref="AF91">INDEX(GMW!$A$2:$NF$60,MATCH(1,(GMW!$NE$2:$NE$60=AF$3)*(GMW!$ND$2:$ND$60=AF$4)*(GMW!$NF$2:$NF$60=AF$1),0),$F91-1966)</f>
        <v>287.63200000000001</v>
      </c>
      <c r="AG91" s="4" cm="1">
        <f t="array" ref="AG91">INDEX(GMW!$A$2:$NF$60,MATCH(1,(GMW!$NE$2:$NE$60=AG$3)*(GMW!$ND$2:$ND$60=AG$4)*(GMW!$NF$2:$NF$60=AG$1),0),$F91-1966)</f>
        <v>225.24</v>
      </c>
      <c r="AH91" s="4" cm="1">
        <f t="array" ref="AH91">INDEX(GMW!$A$2:$NF$60,MATCH(1,(GMW!$NE$2:$NE$60=AH$3)*(GMW!$ND$2:$ND$60=AH$4)*(GMW!$NF$2:$NF$60=AH$1),0),$F91-1966)</f>
        <v>193164</v>
      </c>
    </row>
    <row r="92" spans="1:34" x14ac:dyDescent="0.25">
      <c r="B92" s="4">
        <f t="shared" ref="B92:D107" si="31">+B88+1</f>
        <v>1994</v>
      </c>
      <c r="C92" s="4">
        <f t="shared" si="31"/>
        <v>1994</v>
      </c>
      <c r="F92" s="4">
        <f t="shared" si="17"/>
        <v>2058</v>
      </c>
      <c r="G92" s="4" cm="1">
        <f t="array" ref="G92">INDEX(GMW!$A$2:$NF$60,MATCH(1,(GMW!$NE$2:$NE$60=G$3)*(GMW!$ND$2:$ND$60=G$4)*(GMW!$NF$2:$NF$60=G$1),0),$F92-1966)</f>
        <v>365109</v>
      </c>
      <c r="H92" s="4" cm="1">
        <f t="array" ref="H92">INDEX(GMW!$A$2:$NF$60,MATCH(1,(GMW!$NE$2:$NE$60=H$3)*(GMW!$ND$2:$ND$60=H$4)*(GMW!$NF$2:$NF$60=H$1),0),$F92-1966)</f>
        <v>2771.85</v>
      </c>
      <c r="I92" s="4" cm="1">
        <f t="array" ref="I92">INDEX(GMW!$A$2:$NF$60,MATCH(1,(GMW!$NE$2:$NE$60=I$3)*(GMW!$ND$2:$ND$60=I$4)*(GMW!$NF$2:$NF$60=I$1),0),$F92-1966)</f>
        <v>110953.60000000001</v>
      </c>
      <c r="J92" s="4" cm="1">
        <f t="array" ref="J92">INDEX(GMW!$A$2:$NF$60,MATCH(1,(GMW!$NE$2:$NE$60=J$3)*(GMW!$ND$2:$ND$60=J$4)*(GMW!$NF$2:$NF$60=J$1),0),$F92-1966)</f>
        <v>627.51</v>
      </c>
      <c r="K92" s="4" cm="1">
        <f t="array" ref="K92">INDEX(GMW!$A$2:$NF$60,MATCH(1,(GMW!$NE$2:$NE$60=K$3)*(GMW!$ND$2:$ND$60=K$4)*(GMW!$NF$2:$NF$60=K$1),0),$F92-1966)</f>
        <v>408.50900000000001</v>
      </c>
      <c r="L92" s="4" cm="1">
        <f t="array" ref="L92">INDEX(GMW!$A$2:$NF$60,MATCH(1,(GMW!$NE$2:$NE$60=L$3)*(GMW!$ND$2:$ND$60=L$4)*(GMW!$NF$2:$NF$60=L$1),0),$F92-1966)</f>
        <v>385.79</v>
      </c>
      <c r="M92" s="4" cm="1">
        <f t="array" ref="M92">INDEX(GMW!$A$2:$NF$60,MATCH(1,(GMW!$NE$2:$NE$60=M$3)*(GMW!$ND$2:$ND$60=M$4)*(GMW!$NF$2:$NF$60=M$1),0),$F92-1966)</f>
        <v>305782.5</v>
      </c>
      <c r="N92" s="4" cm="1">
        <f t="array" ref="N92">INDEX(GMW!$A$2:$NF$60,MATCH(1,(GMW!$NE$2:$NE$60=N$3)*(GMW!$ND$2:$ND$60=N$4)*(GMW!$NF$2:$NF$60=N$1),0),$F92-1966)</f>
        <v>-14620</v>
      </c>
      <c r="O92" s="4" cm="1">
        <f t="array" ref="O92">INDEX(GMW!$A$2:$NF$60,MATCH(1,(GMW!$NE$2:$NE$60=O$3)*(GMW!$ND$2:$ND$60=O$4)*(GMW!$NF$2:$NF$60=O$1),0),$F92-1966)</f>
        <v>-86.451750000000004</v>
      </c>
      <c r="P92" s="4" cm="1">
        <f t="array" ref="P92">INDEX(GMW!$A$2:$NF$60,MATCH(1,(GMW!$NE$2:$NE$60=P$3)*(GMW!$ND$2:$ND$60=P$4)*(GMW!$NF$2:$NF$60=P$1),0),$F92-1966)</f>
        <v>-5477</v>
      </c>
      <c r="Q92" s="4" cm="1">
        <f t="array" ref="Q92">INDEX(GMW!$A$2:$NF$60,MATCH(1,(GMW!$NE$2:$NE$60=Q$3)*(GMW!$ND$2:$ND$60=Q$4)*(GMW!$NF$2:$NF$60=Q$1),0),$F92-1966)</f>
        <v>-9.93</v>
      </c>
      <c r="R92" s="4" cm="1">
        <f t="array" ref="R92">INDEX(GMW!$A$2:$NF$60,MATCH(1,(GMW!$NE$2:$NE$60=R$3)*(GMW!$ND$2:$ND$60=R$4)*(GMW!$NF$2:$NF$60=R$1),0),$F92-1966)</f>
        <v>-15.587</v>
      </c>
      <c r="S92" s="4" cm="1">
        <f t="array" ref="S92">INDEX(GMW!$A$2:$NF$60,MATCH(1,(GMW!$NE$2:$NE$60=S$3)*(GMW!$ND$2:$ND$60=S$4)*(GMW!$NF$2:$NF$60=S$1),0),$F92-1966)</f>
        <v>-20.452459999999999</v>
      </c>
      <c r="T92" s="4" cm="1">
        <f t="array" ref="T92">INDEX(GMW!$A$2:$NF$60,MATCH(1,(GMW!$NE$2:$NE$60=T$3)*(GMW!$ND$2:$ND$60=T$4)*(GMW!$NF$2:$NF$60=T$1),0),$F92-1966)</f>
        <v>-13807</v>
      </c>
      <c r="U92" s="4" cm="1">
        <f t="array" ref="U92">INDEX(GMW!$A$2:$NF$60,MATCH(1,(GMW!$NE$2:$NE$60=U$3)*(GMW!$ND$2:$ND$60=U$4)*(GMW!$NF$2:$NF$60=U$1),0),$F92-1966)</f>
        <v>309019</v>
      </c>
      <c r="V92" s="4" cm="1">
        <f t="array" ref="V92">INDEX(GMW!$A$2:$NF$60,MATCH(1,(GMW!$NE$2:$NE$60=V$3)*(GMW!$ND$2:$ND$60=V$4)*(GMW!$NF$2:$NF$60=V$1),0),$F92-1966)</f>
        <v>6836.4790000000003</v>
      </c>
      <c r="W92" s="4" cm="1">
        <f t="array" ref="W92">INDEX(GMW!$A$2:$NF$60,MATCH(1,(GMW!$NE$2:$NE$60=W$3)*(GMW!$ND$2:$ND$60=W$4)*(GMW!$NF$2:$NF$60=W$1),0),$F92-1966)</f>
        <v>381219</v>
      </c>
      <c r="X92" s="4" cm="1">
        <f t="array" ref="X92">INDEX(GMW!$A$2:$NF$60,MATCH(1,(GMW!$NE$2:$NE$60=X$3)*(GMW!$ND$2:$ND$60=X$4)*(GMW!$NF$2:$NF$60=X$1),0),$F92-1966)</f>
        <v>810.57010000000002</v>
      </c>
      <c r="Y92" s="4" cm="1">
        <f t="array" ref="Y92">INDEX(GMW!$A$2:$NF$60,MATCH(1,(GMW!$NE$2:$NE$60=Y$3)*(GMW!$ND$2:$ND$60=Y$4)*(GMW!$NF$2:$NF$60=Y$1),0),$F92-1966)</f>
        <v>654.73599999999999</v>
      </c>
      <c r="Z92" s="4" cm="1">
        <f t="array" ref="Z92">INDEX(GMW!$A$2:$NF$60,MATCH(1,(GMW!$NE$2:$NE$60=Z$3)*(GMW!$ND$2:$ND$60=Z$4)*(GMW!$NF$2:$NF$60=Z$1),0),$F92-1966)</f>
        <v>1023.171</v>
      </c>
      <c r="AA92" s="4" cm="1">
        <f t="array" ref="AA92">INDEX(GMW!$A$2:$NF$60,MATCH(1,(GMW!$NE$2:$NE$60=AA$3)*(GMW!$ND$2:$ND$60=AA$4)*(GMW!$NF$2:$NF$60=AA$1),0),$F92-1966)</f>
        <v>780811</v>
      </c>
      <c r="AB92" s="4" cm="1">
        <f t="array" ref="AB92">INDEX(GMW!$A$2:$NF$60,MATCH(1,(GMW!$NE$2:$NE$60=AB$3)*(GMW!$ND$2:$ND$60=AB$4)*(GMW!$NF$2:$NF$60=AB$1),0),$F92-1966)</f>
        <v>200691</v>
      </c>
      <c r="AC92" s="4" cm="1">
        <f t="array" ref="AC92">INDEX(GMW!$A$2:$NF$60,MATCH(1,(GMW!$NE$2:$NE$60=AC$3)*(GMW!$ND$2:$ND$60=AC$4)*(GMW!$NF$2:$NF$60=AC$1),0),$F92-1966)</f>
        <v>1811.7249999999999</v>
      </c>
      <c r="AD92" s="4" cm="1">
        <f t="array" ref="AD92">INDEX(GMW!$A$2:$NF$60,MATCH(1,(GMW!$NE$2:$NE$60=AD$3)*(GMW!$ND$2:$ND$60=AD$4)*(GMW!$NF$2:$NF$60=AD$1),0),$F92-1966)</f>
        <v>127255.1</v>
      </c>
      <c r="AE92" s="4" cm="1">
        <f t="array" ref="AE92">INDEX(GMW!$A$2:$NF$60,MATCH(1,(GMW!$NE$2:$NE$60=AE$3)*(GMW!$ND$2:$ND$60=AE$4)*(GMW!$NF$2:$NF$60=AE$1),0),$F92-1966)</f>
        <v>456.35899999999998</v>
      </c>
      <c r="AF92" s="4" cm="1">
        <f t="array" ref="AF92">INDEX(GMW!$A$2:$NF$60,MATCH(1,(GMW!$NE$2:$NE$60=AF$3)*(GMW!$ND$2:$ND$60=AF$4)*(GMW!$NF$2:$NF$60=AF$1),0),$F92-1966)</f>
        <v>291.60199999999998</v>
      </c>
      <c r="AG92" s="4" cm="1">
        <f t="array" ref="AG92">INDEX(GMW!$A$2:$NF$60,MATCH(1,(GMW!$NE$2:$NE$60=AG$3)*(GMW!$ND$2:$ND$60=AG$4)*(GMW!$NF$2:$NF$60=AG$1),0),$F92-1966)</f>
        <v>228.64400000000001</v>
      </c>
      <c r="AH92" s="4" cm="1">
        <f t="array" ref="AH92">INDEX(GMW!$A$2:$NF$60,MATCH(1,(GMW!$NE$2:$NE$60=AH$3)*(GMW!$ND$2:$ND$60=AH$4)*(GMW!$NF$2:$NF$60=AH$1),0),$F92-1966)</f>
        <v>195915</v>
      </c>
    </row>
    <row r="93" spans="1:34" x14ac:dyDescent="0.25">
      <c r="B93" s="4">
        <f t="shared" si="31"/>
        <v>1994</v>
      </c>
      <c r="C93" s="4">
        <f t="shared" si="31"/>
        <v>1994</v>
      </c>
      <c r="F93" s="4">
        <f t="shared" si="17"/>
        <v>2059</v>
      </c>
      <c r="G93" s="4" cm="1">
        <f t="array" ref="G93">INDEX(GMW!$A$2:$NF$60,MATCH(1,(GMW!$NE$2:$NE$60=G$3)*(GMW!$ND$2:$ND$60=G$4)*(GMW!$NF$2:$NF$60=G$1),0),$F93-1966)</f>
        <v>368798</v>
      </c>
      <c r="H93" s="4" cm="1">
        <f t="array" ref="H93">INDEX(GMW!$A$2:$NF$60,MATCH(1,(GMW!$NE$2:$NE$60=H$3)*(GMW!$ND$2:$ND$60=H$4)*(GMW!$NF$2:$NF$60=H$1),0),$F93-1966)</f>
        <v>2788.05</v>
      </c>
      <c r="I93" s="4" cm="1">
        <f t="array" ref="I93">INDEX(GMW!$A$2:$NF$60,MATCH(1,(GMW!$NE$2:$NE$60=I$3)*(GMW!$ND$2:$ND$60=I$4)*(GMW!$NF$2:$NF$60=I$1),0),$F93-1966)</f>
        <v>112226.3</v>
      </c>
      <c r="J93" s="4" cm="1">
        <f t="array" ref="J93">INDEX(GMW!$A$2:$NF$60,MATCH(1,(GMW!$NE$2:$NE$60=J$3)*(GMW!$ND$2:$ND$60=J$4)*(GMW!$NF$2:$NF$60=J$1),0),$F93-1966)</f>
        <v>631.22</v>
      </c>
      <c r="K93" s="4" cm="1">
        <f t="array" ref="K93">INDEX(GMW!$A$2:$NF$60,MATCH(1,(GMW!$NE$2:$NE$60=K$3)*(GMW!$ND$2:$ND$60=K$4)*(GMW!$NF$2:$NF$60=K$1),0),$F93-1966)</f>
        <v>412.19900000000001</v>
      </c>
      <c r="L93" s="4" cm="1">
        <f t="array" ref="L93">INDEX(GMW!$A$2:$NF$60,MATCH(1,(GMW!$NE$2:$NE$60=L$3)*(GMW!$ND$2:$ND$60=L$4)*(GMW!$NF$2:$NF$60=L$1),0),$F93-1966)</f>
        <v>388.197</v>
      </c>
      <c r="M93" s="4" cm="1">
        <f t="array" ref="M93">INDEX(GMW!$A$2:$NF$60,MATCH(1,(GMW!$NE$2:$NE$60=M$3)*(GMW!$ND$2:$ND$60=M$4)*(GMW!$NF$2:$NF$60=M$1),0),$F93-1966)</f>
        <v>309702.8</v>
      </c>
      <c r="N93" s="4" cm="1">
        <f t="array" ref="N93">INDEX(GMW!$A$2:$NF$60,MATCH(1,(GMW!$NE$2:$NE$60=N$3)*(GMW!$ND$2:$ND$60=N$4)*(GMW!$NF$2:$NF$60=N$1),0),$F93-1966)</f>
        <v>-10958</v>
      </c>
      <c r="O93" s="4" cm="1">
        <f t="array" ref="O93">INDEX(GMW!$A$2:$NF$60,MATCH(1,(GMW!$NE$2:$NE$60=O$3)*(GMW!$ND$2:$ND$60=O$4)*(GMW!$NF$2:$NF$60=O$1),0),$F93-1966)</f>
        <v>-90.907250000000005</v>
      </c>
      <c r="P93" s="4" cm="1">
        <f t="array" ref="P93">INDEX(GMW!$A$2:$NF$60,MATCH(1,(GMW!$NE$2:$NE$60=P$3)*(GMW!$ND$2:$ND$60=P$4)*(GMW!$NF$2:$NF$60=P$1),0),$F93-1966)</f>
        <v>-4417.75</v>
      </c>
      <c r="Q93" s="4" cm="1">
        <f t="array" ref="Q93">INDEX(GMW!$A$2:$NF$60,MATCH(1,(GMW!$NE$2:$NE$60=Q$3)*(GMW!$ND$2:$ND$60=Q$4)*(GMW!$NF$2:$NF$60=Q$1),0),$F93-1966)</f>
        <v>-14.722</v>
      </c>
      <c r="R93" s="4" cm="1">
        <f t="array" ref="R93">INDEX(GMW!$A$2:$NF$60,MATCH(1,(GMW!$NE$2:$NE$60=R$3)*(GMW!$ND$2:$ND$60=R$4)*(GMW!$NF$2:$NF$60=R$1),0),$F93-1966)</f>
        <v>-15.707000000000001</v>
      </c>
      <c r="S93" s="4" cm="1">
        <f t="array" ref="S93">INDEX(GMW!$A$2:$NF$60,MATCH(1,(GMW!$NE$2:$NE$60=S$3)*(GMW!$ND$2:$ND$60=S$4)*(GMW!$NF$2:$NF$60=S$1),0),$F93-1966)</f>
        <v>-19.92878</v>
      </c>
      <c r="T93" s="4" cm="1">
        <f t="array" ref="T93">INDEX(GMW!$A$2:$NF$60,MATCH(1,(GMW!$NE$2:$NE$60=T$3)*(GMW!$ND$2:$ND$60=T$4)*(GMW!$NF$2:$NF$60=T$1),0),$F93-1966)</f>
        <v>-11488</v>
      </c>
      <c r="U93" s="4" cm="1">
        <f t="array" ref="U93">INDEX(GMW!$A$2:$NF$60,MATCH(1,(GMW!$NE$2:$NE$60=U$3)*(GMW!$ND$2:$ND$60=U$4)*(GMW!$NF$2:$NF$60=U$1),0),$F93-1966)</f>
        <v>319323</v>
      </c>
      <c r="V93" s="4" cm="1">
        <f t="array" ref="V93">INDEX(GMW!$A$2:$NF$60,MATCH(1,(GMW!$NE$2:$NE$60=V$3)*(GMW!$ND$2:$ND$60=V$4)*(GMW!$NF$2:$NF$60=V$1),0),$F93-1966)</f>
        <v>6900.1030000000001</v>
      </c>
      <c r="W93" s="4" cm="1">
        <f t="array" ref="W93">INDEX(GMW!$A$2:$NF$60,MATCH(1,(GMW!$NE$2:$NE$60=W$3)*(GMW!$ND$2:$ND$60=W$4)*(GMW!$NF$2:$NF$60=W$1),0),$F93-1966)</f>
        <v>388639</v>
      </c>
      <c r="X93" s="4" cm="1">
        <f t="array" ref="X93">INDEX(GMW!$A$2:$NF$60,MATCH(1,(GMW!$NE$2:$NE$60=X$3)*(GMW!$ND$2:$ND$60=X$4)*(GMW!$NF$2:$NF$60=X$1),0),$F93-1966)</f>
        <v>841.21180000000004</v>
      </c>
      <c r="Y93" s="4" cm="1">
        <f t="array" ref="Y93">INDEX(GMW!$A$2:$NF$60,MATCH(1,(GMW!$NE$2:$NE$60=Y$3)*(GMW!$ND$2:$ND$60=Y$4)*(GMW!$NF$2:$NF$60=Y$1),0),$F93-1966)</f>
        <v>643.60299999999995</v>
      </c>
      <c r="Z93" s="4" cm="1">
        <f t="array" ref="Z93">INDEX(GMW!$A$2:$NF$60,MATCH(1,(GMW!$NE$2:$NE$60=Z$3)*(GMW!$ND$2:$ND$60=Z$4)*(GMW!$NF$2:$NF$60=Z$1),0),$F93-1966)</f>
        <v>1047.9269999999999</v>
      </c>
      <c r="AA93" s="4" cm="1">
        <f t="array" ref="AA93">INDEX(GMW!$A$2:$NF$60,MATCH(1,(GMW!$NE$2:$NE$60=AA$3)*(GMW!$ND$2:$ND$60=AA$4)*(GMW!$NF$2:$NF$60=AA$1),0),$F93-1966)</f>
        <v>787522</v>
      </c>
      <c r="AB93" s="4" cm="1">
        <f t="array" ref="AB93">INDEX(GMW!$A$2:$NF$60,MATCH(1,(GMW!$NE$2:$NE$60=AB$3)*(GMW!$ND$2:$ND$60=AB$4)*(GMW!$NF$2:$NF$60=AB$1),0),$F93-1966)</f>
        <v>203292</v>
      </c>
      <c r="AC93" s="4" cm="1">
        <f t="array" ref="AC93">INDEX(GMW!$A$2:$NF$60,MATCH(1,(GMW!$NE$2:$NE$60=AC$3)*(GMW!$ND$2:$ND$60=AC$4)*(GMW!$NF$2:$NF$60=AC$1),0),$F93-1966)</f>
        <v>1832.7750000000001</v>
      </c>
      <c r="AD93" s="4" cm="1">
        <f t="array" ref="AD93">INDEX(GMW!$A$2:$NF$60,MATCH(1,(GMW!$NE$2:$NE$60=AD$3)*(GMW!$ND$2:$ND$60=AD$4)*(GMW!$NF$2:$NF$60=AD$1),0),$F93-1966)</f>
        <v>128243.1</v>
      </c>
      <c r="AE93" s="4" cm="1">
        <f t="array" ref="AE93">INDEX(GMW!$A$2:$NF$60,MATCH(1,(GMW!$NE$2:$NE$60=AE$3)*(GMW!$ND$2:$ND$60=AE$4)*(GMW!$NF$2:$NF$60=AE$1),0),$F93-1966)</f>
        <v>460.37799999999999</v>
      </c>
      <c r="AF93" s="4" cm="1">
        <f t="array" ref="AF93">INDEX(GMW!$A$2:$NF$60,MATCH(1,(GMW!$NE$2:$NE$60=AF$3)*(GMW!$ND$2:$ND$60=AF$4)*(GMW!$NF$2:$NF$60=AF$1),0),$F93-1966)</f>
        <v>294.65199999999999</v>
      </c>
      <c r="AG93" s="4" cm="1">
        <f t="array" ref="AG93">INDEX(GMW!$A$2:$NF$60,MATCH(1,(GMW!$NE$2:$NE$60=AG$3)*(GMW!$ND$2:$ND$60=AG$4)*(GMW!$NF$2:$NF$60=AG$1),0),$F93-1966)</f>
        <v>231.512</v>
      </c>
      <c r="AH93" s="4" cm="1">
        <f t="array" ref="AH93">INDEX(GMW!$A$2:$NF$60,MATCH(1,(GMW!$NE$2:$NE$60=AH$3)*(GMW!$ND$2:$ND$60=AH$4)*(GMW!$NF$2:$NF$60=AH$1),0),$F93-1966)</f>
        <v>200196</v>
      </c>
    </row>
    <row r="94" spans="1:34" x14ac:dyDescent="0.25">
      <c r="B94" s="4">
        <f t="shared" si="31"/>
        <v>1994</v>
      </c>
      <c r="C94" s="4">
        <f t="shared" si="31"/>
        <v>1994</v>
      </c>
      <c r="E94" s="4">
        <f t="shared" ref="E94" si="32">+E90+1</f>
        <v>1994</v>
      </c>
      <c r="F94" s="4">
        <f t="shared" si="17"/>
        <v>2060</v>
      </c>
      <c r="G94" s="4" cm="1">
        <f t="array" ref="G94">INDEX(GMW!$A$2:$NF$60,MATCH(1,(GMW!$NE$2:$NE$60=G$3)*(GMW!$ND$2:$ND$60=G$4)*(GMW!$NF$2:$NF$60=G$1),0),$F94-1966)</f>
        <v>370401</v>
      </c>
      <c r="H94" s="4" cm="1">
        <f t="array" ref="H94">INDEX(GMW!$A$2:$NF$60,MATCH(1,(GMW!$NE$2:$NE$60=H$3)*(GMW!$ND$2:$ND$60=H$4)*(GMW!$NF$2:$NF$60=H$1),0),$F94-1966)</f>
        <v>2819.9749999999999</v>
      </c>
      <c r="I94" s="4" cm="1">
        <f t="array" ref="I94">INDEX(GMW!$A$2:$NF$60,MATCH(1,(GMW!$NE$2:$NE$60=I$3)*(GMW!$ND$2:$ND$60=I$4)*(GMW!$NF$2:$NF$60=I$1),0),$F94-1966)</f>
        <v>111797.5</v>
      </c>
      <c r="J94" s="4" cm="1">
        <f t="array" ref="J94">INDEX(GMW!$A$2:$NF$60,MATCH(1,(GMW!$NE$2:$NE$60=J$3)*(GMW!$ND$2:$ND$60=J$4)*(GMW!$NF$2:$NF$60=J$1),0),$F94-1966)</f>
        <v>638.21</v>
      </c>
      <c r="K94" s="4" cm="1">
        <f t="array" ref="K94">INDEX(GMW!$A$2:$NF$60,MATCH(1,(GMW!$NE$2:$NE$60=K$3)*(GMW!$ND$2:$ND$60=K$4)*(GMW!$NF$2:$NF$60=K$1),0),$F94-1966)</f>
        <v>416.08499999999998</v>
      </c>
      <c r="L94" s="4" cm="1">
        <f t="array" ref="L94">INDEX(GMW!$A$2:$NF$60,MATCH(1,(GMW!$NE$2:$NE$60=L$3)*(GMW!$ND$2:$ND$60=L$4)*(GMW!$NF$2:$NF$60=L$1),0),$F94-1966)</f>
        <v>391.84100000000001</v>
      </c>
      <c r="M94" s="4" cm="1">
        <f t="array" ref="M94">INDEX(GMW!$A$2:$NF$60,MATCH(1,(GMW!$NE$2:$NE$60=M$3)*(GMW!$ND$2:$ND$60=M$4)*(GMW!$NF$2:$NF$60=M$1),0),$F94-1966)</f>
        <v>311952.5</v>
      </c>
      <c r="N94" s="4" cm="1">
        <f t="array" ref="N94">INDEX(GMW!$A$2:$NF$60,MATCH(1,(GMW!$NE$2:$NE$60=N$3)*(GMW!$ND$2:$ND$60=N$4)*(GMW!$NF$2:$NF$60=N$1),0),$F94-1966)</f>
        <v>-7891</v>
      </c>
      <c r="O94" s="4" cm="1">
        <f t="array" ref="O94">INDEX(GMW!$A$2:$NF$60,MATCH(1,(GMW!$NE$2:$NE$60=O$3)*(GMW!$ND$2:$ND$60=O$4)*(GMW!$NF$2:$NF$60=O$1),0),$F94-1966)</f>
        <v>-93.019000000000005</v>
      </c>
      <c r="P94" s="4" cm="1">
        <f t="array" ref="P94">INDEX(GMW!$A$2:$NF$60,MATCH(1,(GMW!$NE$2:$NE$60=P$3)*(GMW!$ND$2:$ND$60=P$4)*(GMW!$NF$2:$NF$60=P$1),0),$F94-1966)</f>
        <v>-3783.75</v>
      </c>
      <c r="Q94" s="4" cm="1">
        <f t="array" ref="Q94">INDEX(GMW!$A$2:$NF$60,MATCH(1,(GMW!$NE$2:$NE$60=Q$3)*(GMW!$ND$2:$ND$60=Q$4)*(GMW!$NF$2:$NF$60=Q$1),0),$F94-1966)</f>
        <v>-13.762</v>
      </c>
      <c r="R94" s="4" cm="1">
        <f t="array" ref="R94">INDEX(GMW!$A$2:$NF$60,MATCH(1,(GMW!$NE$2:$NE$60=R$3)*(GMW!$ND$2:$ND$60=R$4)*(GMW!$NF$2:$NF$60=R$1),0),$F94-1966)</f>
        <v>-15.856999999999999</v>
      </c>
      <c r="S94" s="4" cm="1">
        <f t="array" ref="S94">INDEX(GMW!$A$2:$NF$60,MATCH(1,(GMW!$NE$2:$NE$60=S$3)*(GMW!$ND$2:$ND$60=S$4)*(GMW!$NF$2:$NF$60=S$1),0),$F94-1966)</f>
        <v>-19.106079999999999</v>
      </c>
      <c r="T94" s="4" cm="1">
        <f t="array" ref="T94">INDEX(GMW!$A$2:$NF$60,MATCH(1,(GMW!$NE$2:$NE$60=T$3)*(GMW!$ND$2:$ND$60=T$4)*(GMW!$NF$2:$NF$60=T$1),0),$F94-1966)</f>
        <v>-12002</v>
      </c>
      <c r="U94" s="4" cm="1">
        <f t="array" ref="U94">INDEX(GMW!$A$2:$NF$60,MATCH(1,(GMW!$NE$2:$NE$60=U$3)*(GMW!$ND$2:$ND$60=U$4)*(GMW!$NF$2:$NF$60=U$1),0),$F94-1966)</f>
        <v>329627</v>
      </c>
      <c r="V94" s="4" cm="1">
        <f t="array" ref="V94">INDEX(GMW!$A$2:$NF$60,MATCH(1,(GMW!$NE$2:$NE$60=V$3)*(GMW!$ND$2:$ND$60=V$4)*(GMW!$NF$2:$NF$60=V$1),0),$F94-1966)</f>
        <v>7002.7619999999997</v>
      </c>
      <c r="W94" s="4" cm="1">
        <f t="array" ref="W94">INDEX(GMW!$A$2:$NF$60,MATCH(1,(GMW!$NE$2:$NE$60=W$3)*(GMW!$ND$2:$ND$60=W$4)*(GMW!$NF$2:$NF$60=W$1),0),$F94-1966)</f>
        <v>396059</v>
      </c>
      <c r="X94" s="4" cm="1">
        <f t="array" ref="X94">INDEX(GMW!$A$2:$NF$60,MATCH(1,(GMW!$NE$2:$NE$60=X$3)*(GMW!$ND$2:$ND$60=X$4)*(GMW!$NF$2:$NF$60=X$1),0),$F94-1966)</f>
        <v>890.72389999999996</v>
      </c>
      <c r="Y94" s="4" cm="1">
        <f t="array" ref="Y94">INDEX(GMW!$A$2:$NF$60,MATCH(1,(GMW!$NE$2:$NE$60=Y$3)*(GMW!$ND$2:$ND$60=Y$4)*(GMW!$NF$2:$NF$60=Y$1),0),$F94-1966)</f>
        <v>676.23099999999999</v>
      </c>
      <c r="Z94" s="4" cm="1">
        <f t="array" ref="Z94">INDEX(GMW!$A$2:$NF$60,MATCH(1,(GMW!$NE$2:$NE$60=Z$3)*(GMW!$ND$2:$ND$60=Z$4)*(GMW!$NF$2:$NF$60=Z$1),0),$F94-1966)</f>
        <v>1072.683</v>
      </c>
      <c r="AA94" s="4" cm="1">
        <f t="array" ref="AA94">INDEX(GMW!$A$2:$NF$60,MATCH(1,(GMW!$NE$2:$NE$60=AA$3)*(GMW!$ND$2:$ND$60=AA$4)*(GMW!$NF$2:$NF$60=AA$1),0),$F94-1966)</f>
        <v>808152</v>
      </c>
      <c r="AB94" s="4" cm="1">
        <f t="array" ref="AB94">INDEX(GMW!$A$2:$NF$60,MATCH(1,(GMW!$NE$2:$NE$60=AB$3)*(GMW!$ND$2:$ND$60=AB$4)*(GMW!$NF$2:$NF$60=AB$1),0),$F94-1966)</f>
        <v>207015</v>
      </c>
      <c r="AC94" s="4" cm="1">
        <f t="array" ref="AC94">INDEX(GMW!$A$2:$NF$60,MATCH(1,(GMW!$NE$2:$NE$60=AC$3)*(GMW!$ND$2:$ND$60=AC$4)*(GMW!$NF$2:$NF$60=AC$1),0),$F94-1966)</f>
        <v>1863.825</v>
      </c>
      <c r="AD94" s="4" cm="1">
        <f t="array" ref="AD94">INDEX(GMW!$A$2:$NF$60,MATCH(1,(GMW!$NE$2:$NE$60=AD$3)*(GMW!$ND$2:$ND$60=AD$4)*(GMW!$NF$2:$NF$60=AD$1),0),$F94-1966)</f>
        <v>127900.2</v>
      </c>
      <c r="AE94" s="4" cm="1">
        <f t="array" ref="AE94">INDEX(GMW!$A$2:$NF$60,MATCH(1,(GMW!$NE$2:$NE$60=AE$3)*(GMW!$ND$2:$ND$60=AE$4)*(GMW!$NF$2:$NF$60=AE$1),0),$F94-1966)</f>
        <v>468.00299999999999</v>
      </c>
      <c r="AF94" s="4" cm="1">
        <f t="array" ref="AF94">INDEX(GMW!$A$2:$NF$60,MATCH(1,(GMW!$NE$2:$NE$60=AF$3)*(GMW!$ND$2:$ND$60=AF$4)*(GMW!$NF$2:$NF$60=AF$1),0),$F94-1966)</f>
        <v>298.43</v>
      </c>
      <c r="AG94" s="4" cm="1">
        <f t="array" ref="AG94">INDEX(GMW!$A$2:$NF$60,MATCH(1,(GMW!$NE$2:$NE$60=AG$3)*(GMW!$ND$2:$ND$60=AG$4)*(GMW!$NF$2:$NF$60=AG$1),0),$F94-1966)</f>
        <v>235.88499999999999</v>
      </c>
      <c r="AH94" s="4" cm="1">
        <f t="array" ref="AH94">INDEX(GMW!$A$2:$NF$60,MATCH(1,(GMW!$NE$2:$NE$60=AH$3)*(GMW!$ND$2:$ND$60=AH$4)*(GMW!$NF$2:$NF$60=AH$1),0),$F94-1966)</f>
        <v>202697</v>
      </c>
    </row>
    <row r="95" spans="1:34" x14ac:dyDescent="0.25">
      <c r="A95" s="4">
        <v>1995</v>
      </c>
      <c r="B95" s="4">
        <f t="shared" si="31"/>
        <v>1995</v>
      </c>
      <c r="C95" s="4">
        <f t="shared" si="31"/>
        <v>1994</v>
      </c>
      <c r="D95" s="4">
        <f t="shared" si="31"/>
        <v>1994</v>
      </c>
      <c r="F95" s="4">
        <f t="shared" si="17"/>
        <v>2061</v>
      </c>
      <c r="G95" s="4" cm="1">
        <f t="array" ref="G95">INDEX(GMW!$A$2:$NF$60,MATCH(1,(GMW!$NE$2:$NE$60=G$3)*(GMW!$ND$2:$ND$60=G$4)*(GMW!$NF$2:$NF$60=G$1),0),$F95-1966)</f>
        <v>372307</v>
      </c>
      <c r="H95" s="4" cm="1">
        <f t="array" ref="H95">INDEX(GMW!$A$2:$NF$60,MATCH(1,(GMW!$NE$2:$NE$60=H$3)*(GMW!$ND$2:$ND$60=H$4)*(GMW!$NF$2:$NF$60=H$1),0),$F95-1966)</f>
        <v>2830</v>
      </c>
      <c r="I95" s="4" cm="1">
        <f t="array" ref="I95">INDEX(GMW!$A$2:$NF$60,MATCH(1,(GMW!$NE$2:$NE$60=I$3)*(GMW!$ND$2:$ND$60=I$4)*(GMW!$NF$2:$NF$60=I$1),0),$F95-1966)</f>
        <v>113005</v>
      </c>
      <c r="J95" s="4" cm="1">
        <f t="array" ref="J95">INDEX(GMW!$A$2:$NF$60,MATCH(1,(GMW!$NE$2:$NE$60=J$3)*(GMW!$ND$2:$ND$60=J$4)*(GMW!$NF$2:$NF$60=J$1),0),$F95-1966)</f>
        <v>635.69000000000005</v>
      </c>
      <c r="K95" s="4" cm="1">
        <f t="array" ref="K95">INDEX(GMW!$A$2:$NF$60,MATCH(1,(GMW!$NE$2:$NE$60=K$3)*(GMW!$ND$2:$ND$60=K$4)*(GMW!$NF$2:$NF$60=K$1),0),$F95-1966)</f>
        <v>418.05099999999999</v>
      </c>
      <c r="L95" s="4" cm="1">
        <f t="array" ref="L95">INDEX(GMW!$A$2:$NF$60,MATCH(1,(GMW!$NE$2:$NE$60=L$3)*(GMW!$ND$2:$ND$60=L$4)*(GMW!$NF$2:$NF$60=L$1),0),$F95-1966)</f>
        <v>396.76</v>
      </c>
      <c r="M95" s="4" cm="1">
        <f t="array" ref="M95">INDEX(GMW!$A$2:$NF$60,MATCH(1,(GMW!$NE$2:$NE$60=M$3)*(GMW!$ND$2:$ND$60=M$4)*(GMW!$NF$2:$NF$60=M$1),0),$F95-1966)</f>
        <v>314818.8</v>
      </c>
      <c r="N95" s="4" cm="1">
        <f t="array" ref="N95">INDEX(GMW!$A$2:$NF$60,MATCH(1,(GMW!$NE$2:$NE$60=N$3)*(GMW!$ND$2:$ND$60=N$4)*(GMW!$NF$2:$NF$60=N$1),0),$F95-1966)</f>
        <v>-10335</v>
      </c>
      <c r="O95" s="4" cm="1">
        <f t="array" ref="O95">INDEX(GMW!$A$2:$NF$60,MATCH(1,(GMW!$NE$2:$NE$60=O$3)*(GMW!$ND$2:$ND$60=O$4)*(GMW!$NF$2:$NF$60=O$1),0),$F95-1966)</f>
        <v>-92.740750000000006</v>
      </c>
      <c r="P95" s="4" cm="1">
        <f t="array" ref="P95">INDEX(GMW!$A$2:$NF$60,MATCH(1,(GMW!$NE$2:$NE$60=P$3)*(GMW!$ND$2:$ND$60=P$4)*(GMW!$NF$2:$NF$60=P$1),0),$F95-1966)</f>
        <v>-3591.5</v>
      </c>
      <c r="Q95" s="4" cm="1">
        <f t="array" ref="Q95">INDEX(GMW!$A$2:$NF$60,MATCH(1,(GMW!$NE$2:$NE$60=Q$3)*(GMW!$ND$2:$ND$60=Q$4)*(GMW!$NF$2:$NF$60=Q$1),0),$F95-1966)</f>
        <v>-121.107</v>
      </c>
      <c r="R95" s="4" cm="1">
        <f t="array" ref="R95">INDEX(GMW!$A$2:$NF$60,MATCH(1,(GMW!$NE$2:$NE$60=R$3)*(GMW!$ND$2:$ND$60=R$4)*(GMW!$NF$2:$NF$60=R$1),0),$F95-1966)</f>
        <v>-15.647</v>
      </c>
      <c r="S95" s="4" cm="1">
        <f t="array" ref="S95">INDEX(GMW!$A$2:$NF$60,MATCH(1,(GMW!$NE$2:$NE$60=S$3)*(GMW!$ND$2:$ND$60=S$4)*(GMW!$NF$2:$NF$60=S$1),0),$F95-1966)</f>
        <v>-17.98434</v>
      </c>
      <c r="T95" s="4" cm="1">
        <f t="array" ref="T95">INDEX(GMW!$A$2:$NF$60,MATCH(1,(GMW!$NE$2:$NE$60=T$3)*(GMW!$ND$2:$ND$60=T$4)*(GMW!$NF$2:$NF$60=T$1),0),$F95-1966)</f>
        <v>-11354</v>
      </c>
      <c r="U95" s="4" cm="1">
        <f t="array" ref="U95">INDEX(GMW!$A$2:$NF$60,MATCH(1,(GMW!$NE$2:$NE$60=U$3)*(GMW!$ND$2:$ND$60=U$4)*(GMW!$NF$2:$NF$60=U$1),0),$F95-1966)</f>
        <v>339931</v>
      </c>
      <c r="V95" s="4" cm="1">
        <f t="array" ref="V95">INDEX(GMW!$A$2:$NF$60,MATCH(1,(GMW!$NE$2:$NE$60=V$3)*(GMW!$ND$2:$ND$60=V$4)*(GMW!$NF$2:$NF$60=V$1),0),$F95-1966)</f>
        <v>7071.2280000000001</v>
      </c>
      <c r="W95" s="4" cm="1">
        <f t="array" ref="W95">INDEX(GMW!$A$2:$NF$60,MATCH(1,(GMW!$NE$2:$NE$60=W$3)*(GMW!$ND$2:$ND$60=W$4)*(GMW!$NF$2:$NF$60=W$1),0),$F95-1966)</f>
        <v>407488</v>
      </c>
      <c r="X95" s="4" cm="1">
        <f t="array" ref="X95">INDEX(GMW!$A$2:$NF$60,MATCH(1,(GMW!$NE$2:$NE$60=X$3)*(GMW!$ND$2:$ND$60=X$4)*(GMW!$NF$2:$NF$60=X$1),0),$F95-1966)</f>
        <v>949.23059999999998</v>
      </c>
      <c r="Y95" s="4" cm="1">
        <f t="array" ref="Y95">INDEX(GMW!$A$2:$NF$60,MATCH(1,(GMW!$NE$2:$NE$60=Y$3)*(GMW!$ND$2:$ND$60=Y$4)*(GMW!$NF$2:$NF$60=Y$1),0),$F95-1966)</f>
        <v>710.399</v>
      </c>
      <c r="Z95" s="4" cm="1">
        <f t="array" ref="Z95">INDEX(GMW!$A$2:$NF$60,MATCH(1,(GMW!$NE$2:$NE$60=Z$3)*(GMW!$ND$2:$ND$60=Z$4)*(GMW!$NF$2:$NF$60=Z$1),0),$F95-1966)</f>
        <v>1098.0419999999999</v>
      </c>
      <c r="AA95" s="4" cm="1">
        <f t="array" ref="AA95">INDEX(GMW!$A$2:$NF$60,MATCH(1,(GMW!$NE$2:$NE$60=AA$3)*(GMW!$ND$2:$ND$60=AA$4)*(GMW!$NF$2:$NF$60=AA$1),0),$F95-1966)</f>
        <v>844555</v>
      </c>
      <c r="AB95" s="4" cm="1">
        <f t="array" ref="AB95">INDEX(GMW!$A$2:$NF$60,MATCH(1,(GMW!$NE$2:$NE$60=AB$3)*(GMW!$ND$2:$ND$60=AB$4)*(GMW!$NF$2:$NF$60=AB$1),0),$F95-1966)</f>
        <v>208657</v>
      </c>
      <c r="AC95" s="4" cm="1">
        <f t="array" ref="AC95">INDEX(GMW!$A$2:$NF$60,MATCH(1,(GMW!$NE$2:$NE$60=AC$3)*(GMW!$ND$2:$ND$60=AC$4)*(GMW!$NF$2:$NF$60=AC$1),0),$F95-1966)</f>
        <v>1880.575</v>
      </c>
      <c r="AD95" s="4" cm="1">
        <f t="array" ref="AD95">INDEX(GMW!$A$2:$NF$60,MATCH(1,(GMW!$NE$2:$NE$60=AD$3)*(GMW!$ND$2:$ND$60=AD$4)*(GMW!$NF$2:$NF$60=AD$1),0),$F95-1966)</f>
        <v>128727</v>
      </c>
      <c r="AE95" s="4" cm="1">
        <f t="array" ref="AE95">INDEX(GMW!$A$2:$NF$60,MATCH(1,(GMW!$NE$2:$NE$60=AE$3)*(GMW!$ND$2:$ND$60=AE$4)*(GMW!$NF$2:$NF$60=AE$1),0),$F95-1966)</f>
        <v>468.22300000000001</v>
      </c>
      <c r="AF95" s="4" cm="1">
        <f t="array" ref="AF95">INDEX(GMW!$A$2:$NF$60,MATCH(1,(GMW!$NE$2:$NE$60=AF$3)*(GMW!$ND$2:$ND$60=AF$4)*(GMW!$NF$2:$NF$60=AF$1),0),$F95-1966)</f>
        <v>300.39499999999998</v>
      </c>
      <c r="AG95" s="4" cm="1">
        <f t="array" ref="AG95">INDEX(GMW!$A$2:$NF$60,MATCH(1,(GMW!$NE$2:$NE$60=AG$3)*(GMW!$ND$2:$ND$60=AG$4)*(GMW!$NF$2:$NF$60=AG$1),0),$F95-1966)</f>
        <v>241.03</v>
      </c>
      <c r="AH95" s="4" cm="1">
        <f t="array" ref="AH95">INDEX(GMW!$A$2:$NF$60,MATCH(1,(GMW!$NE$2:$NE$60=AH$3)*(GMW!$ND$2:$ND$60=AH$4)*(GMW!$NF$2:$NF$60=AH$1),0),$F95-1966)</f>
        <v>205993</v>
      </c>
    </row>
    <row r="96" spans="1:34" x14ac:dyDescent="0.25">
      <c r="B96" s="4">
        <f t="shared" si="31"/>
        <v>1995</v>
      </c>
      <c r="C96" s="4">
        <f t="shared" si="31"/>
        <v>1995</v>
      </c>
      <c r="F96" s="4">
        <f t="shared" si="17"/>
        <v>2062</v>
      </c>
      <c r="G96" s="4" cm="1">
        <f t="array" ref="G96">INDEX(GMW!$A$2:$NF$60,MATCH(1,(GMW!$NE$2:$NE$60=G$3)*(GMW!$ND$2:$ND$60=G$4)*(GMW!$NF$2:$NF$60=G$1),0),$F96-1966)</f>
        <v>373090</v>
      </c>
      <c r="H96" s="4" cm="1">
        <f t="array" ref="H96">INDEX(GMW!$A$2:$NF$60,MATCH(1,(GMW!$NE$2:$NE$60=H$3)*(GMW!$ND$2:$ND$60=H$4)*(GMW!$NF$2:$NF$60=H$1),0),$F96-1966)</f>
        <v>2838.4250000000002</v>
      </c>
      <c r="I96" s="4" cm="1">
        <f t="array" ref="I96">INDEX(GMW!$A$2:$NF$60,MATCH(1,(GMW!$NE$2:$NE$60=I$3)*(GMW!$ND$2:$ND$60=I$4)*(GMW!$NF$2:$NF$60=I$1),0),$F96-1966)</f>
        <v>114086.1</v>
      </c>
      <c r="J96" s="4" cm="1">
        <f t="array" ref="J96">INDEX(GMW!$A$2:$NF$60,MATCH(1,(GMW!$NE$2:$NE$60=J$3)*(GMW!$ND$2:$ND$60=J$4)*(GMW!$NF$2:$NF$60=J$1),0),$F96-1966)</f>
        <v>640.78</v>
      </c>
      <c r="K96" s="4" cm="1">
        <f t="array" ref="K96">INDEX(GMW!$A$2:$NF$60,MATCH(1,(GMW!$NE$2:$NE$60=K$3)*(GMW!$ND$2:$ND$60=K$4)*(GMW!$NF$2:$NF$60=K$1),0),$F96-1966)</f>
        <v>420.79199999999997</v>
      </c>
      <c r="L96" s="4" cm="1">
        <f t="array" ref="L96">INDEX(GMW!$A$2:$NF$60,MATCH(1,(GMW!$NE$2:$NE$60=L$3)*(GMW!$ND$2:$ND$60=L$4)*(GMW!$NF$2:$NF$60=L$1),0),$F96-1966)</f>
        <v>397.03800000000001</v>
      </c>
      <c r="M96" s="4" cm="1">
        <f t="array" ref="M96">INDEX(GMW!$A$2:$NF$60,MATCH(1,(GMW!$NE$2:$NE$60=M$3)*(GMW!$ND$2:$ND$60=M$4)*(GMW!$NF$2:$NF$60=M$1),0),$F96-1966)</f>
        <v>314952.5</v>
      </c>
      <c r="N96" s="4" cm="1">
        <f t="array" ref="N96">INDEX(GMW!$A$2:$NF$60,MATCH(1,(GMW!$NE$2:$NE$60=N$3)*(GMW!$ND$2:$ND$60=N$4)*(GMW!$NF$2:$NF$60=N$1),0),$F96-1966)</f>
        <v>-12054</v>
      </c>
      <c r="O96" s="4" cm="1">
        <f t="array" ref="O96">INDEX(GMW!$A$2:$NF$60,MATCH(1,(GMW!$NE$2:$NE$60=O$3)*(GMW!$ND$2:$ND$60=O$4)*(GMW!$NF$2:$NF$60=O$1),0),$F96-1966)</f>
        <v>-95.136759999999995</v>
      </c>
      <c r="P96" s="4" cm="1">
        <f t="array" ref="P96">INDEX(GMW!$A$2:$NF$60,MATCH(1,(GMW!$NE$2:$NE$60=P$3)*(GMW!$ND$2:$ND$60=P$4)*(GMW!$NF$2:$NF$60=P$1),0),$F96-1966)</f>
        <v>-4676</v>
      </c>
      <c r="Q96" s="4" cm="1">
        <f t="array" ref="Q96">INDEX(GMW!$A$2:$NF$60,MATCH(1,(GMW!$NE$2:$NE$60=Q$3)*(GMW!$ND$2:$ND$60=Q$4)*(GMW!$NF$2:$NF$60=Q$1),0),$F96-1966)</f>
        <v>-14.973000000000001</v>
      </c>
      <c r="R96" s="4" cm="1">
        <f t="array" ref="R96">INDEX(GMW!$A$2:$NF$60,MATCH(1,(GMW!$NE$2:$NE$60=R$3)*(GMW!$ND$2:$ND$60=R$4)*(GMW!$NF$2:$NF$60=R$1),0),$F96-1966)</f>
        <v>-16.57</v>
      </c>
      <c r="S96" s="4" cm="1">
        <f t="array" ref="S96">INDEX(GMW!$A$2:$NF$60,MATCH(1,(GMW!$NE$2:$NE$60=S$3)*(GMW!$ND$2:$ND$60=S$4)*(GMW!$NF$2:$NF$60=S$1),0),$F96-1966)</f>
        <v>-17.895209999999999</v>
      </c>
      <c r="T96" s="4" cm="1">
        <f t="array" ref="T96">INDEX(GMW!$A$2:$NF$60,MATCH(1,(GMW!$NE$2:$NE$60=T$3)*(GMW!$ND$2:$ND$60=T$4)*(GMW!$NF$2:$NF$60=T$1),0),$F96-1966)</f>
        <v>-11055</v>
      </c>
      <c r="U96" s="4" cm="1">
        <f t="array" ref="U96">INDEX(GMW!$A$2:$NF$60,MATCH(1,(GMW!$NE$2:$NE$60=U$3)*(GMW!$ND$2:$ND$60=U$4)*(GMW!$NF$2:$NF$60=U$1),0),$F96-1966)</f>
        <v>349287</v>
      </c>
      <c r="V96" s="4" cm="1">
        <f t="array" ref="V96">INDEX(GMW!$A$2:$NF$60,MATCH(1,(GMW!$NE$2:$NE$60=V$3)*(GMW!$ND$2:$ND$60=V$4)*(GMW!$NF$2:$NF$60=V$1),0),$F96-1966)</f>
        <v>7125.5460000000003</v>
      </c>
      <c r="W96" s="4" cm="1">
        <f t="array" ref="W96">INDEX(GMW!$A$2:$NF$60,MATCH(1,(GMW!$NE$2:$NE$60=W$3)*(GMW!$ND$2:$ND$60=W$4)*(GMW!$NF$2:$NF$60=W$1),0),$F96-1966)</f>
        <v>418918</v>
      </c>
      <c r="X96" s="4" cm="1">
        <f t="array" ref="X96">INDEX(GMW!$A$2:$NF$60,MATCH(1,(GMW!$NE$2:$NE$60=X$3)*(GMW!$ND$2:$ND$60=X$4)*(GMW!$NF$2:$NF$60=X$1),0),$F96-1966)</f>
        <v>999.86990000000003</v>
      </c>
      <c r="Y96" s="4" cm="1">
        <f t="array" ref="Y96">INDEX(GMW!$A$2:$NF$60,MATCH(1,(GMW!$NE$2:$NE$60=Y$3)*(GMW!$ND$2:$ND$60=Y$4)*(GMW!$NF$2:$NF$60=Y$1),0),$F96-1966)</f>
        <v>741.72400000000005</v>
      </c>
      <c r="Z96" s="4" cm="1">
        <f t="array" ref="Z96">INDEX(GMW!$A$2:$NF$60,MATCH(1,(GMW!$NE$2:$NE$60=Z$3)*(GMW!$ND$2:$ND$60=Z$4)*(GMW!$NF$2:$NF$60=Z$1),0),$F96-1966)</f>
        <v>1123.402</v>
      </c>
      <c r="AA96" s="4" cm="1">
        <f t="array" ref="AA96">INDEX(GMW!$A$2:$NF$60,MATCH(1,(GMW!$NE$2:$NE$60=AA$3)*(GMW!$ND$2:$ND$60=AA$4)*(GMW!$NF$2:$NF$60=AA$1),0),$F96-1966)</f>
        <v>862121</v>
      </c>
      <c r="AB96" s="4" cm="1">
        <f t="array" ref="AB96">INDEX(GMW!$A$2:$NF$60,MATCH(1,(GMW!$NE$2:$NE$60=AB$3)*(GMW!$ND$2:$ND$60=AB$4)*(GMW!$NF$2:$NF$60=AB$1),0),$F96-1966)</f>
        <v>210748</v>
      </c>
      <c r="AC96" s="4" cm="1">
        <f t="array" ref="AC96">INDEX(GMW!$A$2:$NF$60,MATCH(1,(GMW!$NE$2:$NE$60=AC$3)*(GMW!$ND$2:$ND$60=AC$4)*(GMW!$NF$2:$NF$60=AC$1),0),$F96-1966)</f>
        <v>1895.25</v>
      </c>
      <c r="AD96" s="4" cm="1">
        <f t="array" ref="AD96">INDEX(GMW!$A$2:$NF$60,MATCH(1,(GMW!$NE$2:$NE$60=AD$3)*(GMW!$ND$2:$ND$60=AD$4)*(GMW!$NF$2:$NF$60=AD$1),0),$F96-1966)</f>
        <v>129691.5</v>
      </c>
      <c r="AE96" s="4" cm="1">
        <f t="array" ref="AE96">INDEX(GMW!$A$2:$NF$60,MATCH(1,(GMW!$NE$2:$NE$60=AE$3)*(GMW!$ND$2:$ND$60=AE$4)*(GMW!$NF$2:$NF$60=AE$1),0),$F96-1966)</f>
        <v>475.01600000000002</v>
      </c>
      <c r="AF96" s="4" cm="1">
        <f t="array" ref="AF96">INDEX(GMW!$A$2:$NF$60,MATCH(1,(GMW!$NE$2:$NE$60=AF$3)*(GMW!$ND$2:$ND$60=AF$4)*(GMW!$NF$2:$NF$60=AF$1),0),$F96-1966)</f>
        <v>303.30200000000002</v>
      </c>
      <c r="AG96" s="4" cm="1">
        <f t="array" ref="AG96">INDEX(GMW!$A$2:$NF$60,MATCH(1,(GMW!$NE$2:$NE$60=AG$3)*(GMW!$ND$2:$ND$60=AG$4)*(GMW!$NF$2:$NF$60=AG$1),0),$F96-1966)</f>
        <v>245.23</v>
      </c>
      <c r="AH96" s="4" cm="1">
        <f t="array" ref="AH96">INDEX(GMW!$A$2:$NF$60,MATCH(1,(GMW!$NE$2:$NE$60=AH$3)*(GMW!$ND$2:$ND$60=AH$4)*(GMW!$NF$2:$NF$60=AH$1),0),$F96-1966)</f>
        <v>207214</v>
      </c>
    </row>
    <row r="97" spans="1:34" x14ac:dyDescent="0.25">
      <c r="B97" s="4">
        <f t="shared" si="31"/>
        <v>1995</v>
      </c>
      <c r="C97" s="4">
        <f t="shared" si="31"/>
        <v>1995</v>
      </c>
      <c r="F97" s="4">
        <f t="shared" si="17"/>
        <v>2063</v>
      </c>
      <c r="G97" s="4" cm="1">
        <f t="array" ref="G97">INDEX(GMW!$A$2:$NF$60,MATCH(1,(GMW!$NE$2:$NE$60=G$3)*(GMW!$ND$2:$ND$60=G$4)*(GMW!$NF$2:$NF$60=G$1),0),$F97-1966)</f>
        <v>377249</v>
      </c>
      <c r="H97" s="4" cm="1">
        <f t="array" ref="H97">INDEX(GMW!$A$2:$NF$60,MATCH(1,(GMW!$NE$2:$NE$60=H$3)*(GMW!$ND$2:$ND$60=H$4)*(GMW!$NF$2:$NF$60=H$1),0),$F97-1966)</f>
        <v>2862.5749999999998</v>
      </c>
      <c r="I97" s="4" cm="1">
        <f t="array" ref="I97">INDEX(GMW!$A$2:$NF$60,MATCH(1,(GMW!$NE$2:$NE$60=I$3)*(GMW!$ND$2:$ND$60=I$4)*(GMW!$NF$2:$NF$60=I$1),0),$F97-1966)</f>
        <v>115422</v>
      </c>
      <c r="J97" s="4" cm="1">
        <f t="array" ref="J97">INDEX(GMW!$A$2:$NF$60,MATCH(1,(GMW!$NE$2:$NE$60=J$3)*(GMW!$ND$2:$ND$60=J$4)*(GMW!$NF$2:$NF$60=J$1),0),$F97-1966)</f>
        <v>642.07000000000005</v>
      </c>
      <c r="K97" s="4" cm="1">
        <f t="array" ref="K97">INDEX(GMW!$A$2:$NF$60,MATCH(1,(GMW!$NE$2:$NE$60=K$3)*(GMW!$ND$2:$ND$60=K$4)*(GMW!$NF$2:$NF$60=K$1),0),$F97-1966)</f>
        <v>421.44900000000001</v>
      </c>
      <c r="L97" s="4" cm="1">
        <f t="array" ref="L97">INDEX(GMW!$A$2:$NF$60,MATCH(1,(GMW!$NE$2:$NE$60=L$3)*(GMW!$ND$2:$ND$60=L$4)*(GMW!$NF$2:$NF$60=L$1),0),$F97-1966)</f>
        <v>398.80399999999997</v>
      </c>
      <c r="M97" s="4" cm="1">
        <f t="array" ref="M97">INDEX(GMW!$A$2:$NF$60,MATCH(1,(GMW!$NE$2:$NE$60=M$3)*(GMW!$ND$2:$ND$60=M$4)*(GMW!$NF$2:$NF$60=M$1),0),$F97-1966)</f>
        <v>315368.8</v>
      </c>
      <c r="N97" s="4" cm="1">
        <f t="array" ref="N97">INDEX(GMW!$A$2:$NF$60,MATCH(1,(GMW!$NE$2:$NE$60=N$3)*(GMW!$ND$2:$ND$60=N$4)*(GMW!$NF$2:$NF$60=N$1),0),$F97-1966)</f>
        <v>-10371</v>
      </c>
      <c r="O97" s="4" cm="1">
        <f t="array" ref="O97">INDEX(GMW!$A$2:$NF$60,MATCH(1,(GMW!$NE$2:$NE$60=O$3)*(GMW!$ND$2:$ND$60=O$4)*(GMW!$NF$2:$NF$60=O$1),0),$F97-1966)</f>
        <v>-91.813509999999994</v>
      </c>
      <c r="P97" s="4" cm="1">
        <f t="array" ref="P97">INDEX(GMW!$A$2:$NF$60,MATCH(1,(GMW!$NE$2:$NE$60=P$3)*(GMW!$ND$2:$ND$60=P$4)*(GMW!$NF$2:$NF$60=P$1),0),$F97-1966)</f>
        <v>-6569</v>
      </c>
      <c r="Q97" s="4" cm="1">
        <f t="array" ref="Q97">INDEX(GMW!$A$2:$NF$60,MATCH(1,(GMW!$NE$2:$NE$60=Q$3)*(GMW!$ND$2:$ND$60=Q$4)*(GMW!$NF$2:$NF$60=Q$1),0),$F97-1966)</f>
        <v>-28.768999999999998</v>
      </c>
      <c r="R97" s="4" cm="1">
        <f t="array" ref="R97">INDEX(GMW!$A$2:$NF$60,MATCH(1,(GMW!$NE$2:$NE$60=R$3)*(GMW!$ND$2:$ND$60=R$4)*(GMW!$NF$2:$NF$60=R$1),0),$F97-1966)</f>
        <v>-15.352</v>
      </c>
      <c r="S97" s="4" cm="1">
        <f t="array" ref="S97">INDEX(GMW!$A$2:$NF$60,MATCH(1,(GMW!$NE$2:$NE$60=S$3)*(GMW!$ND$2:$ND$60=S$4)*(GMW!$NF$2:$NF$60=S$1),0),$F97-1966)</f>
        <v>-17.781189999999999</v>
      </c>
      <c r="T97" s="4" cm="1">
        <f t="array" ref="T97">INDEX(GMW!$A$2:$NF$60,MATCH(1,(GMW!$NE$2:$NE$60=T$3)*(GMW!$ND$2:$ND$60=T$4)*(GMW!$NF$2:$NF$60=T$1),0),$F97-1966)</f>
        <v>-9417</v>
      </c>
      <c r="U97" s="4" cm="1">
        <f t="array" ref="U97">INDEX(GMW!$A$2:$NF$60,MATCH(1,(GMW!$NE$2:$NE$60=U$3)*(GMW!$ND$2:$ND$60=U$4)*(GMW!$NF$2:$NF$60=U$1),0),$F97-1966)</f>
        <v>358643</v>
      </c>
      <c r="V97" s="4" cm="1">
        <f t="array" ref="V97">INDEX(GMW!$A$2:$NF$60,MATCH(1,(GMW!$NE$2:$NE$60=V$3)*(GMW!$ND$2:$ND$60=V$4)*(GMW!$NF$2:$NF$60=V$1),0),$F97-1966)</f>
        <v>7132.4080000000004</v>
      </c>
      <c r="W97" s="4" cm="1">
        <f t="array" ref="W97">INDEX(GMW!$A$2:$NF$60,MATCH(1,(GMW!$NE$2:$NE$60=W$3)*(GMW!$ND$2:$ND$60=W$4)*(GMW!$NF$2:$NF$60=W$1),0),$F97-1966)</f>
        <v>430348</v>
      </c>
      <c r="X97" s="4" cm="1">
        <f t="array" ref="X97">INDEX(GMW!$A$2:$NF$60,MATCH(1,(GMW!$NE$2:$NE$60=X$3)*(GMW!$ND$2:$ND$60=X$4)*(GMW!$NF$2:$NF$60=X$1),0),$F97-1966)</f>
        <v>1028.7929999999999</v>
      </c>
      <c r="Y97" s="4" cm="1">
        <f t="array" ref="Y97">INDEX(GMW!$A$2:$NF$60,MATCH(1,(GMW!$NE$2:$NE$60=Y$3)*(GMW!$ND$2:$ND$60=Y$4)*(GMW!$NF$2:$NF$60=Y$1),0),$F97-1966)</f>
        <v>775.81100000000004</v>
      </c>
      <c r="Z97" s="4" cm="1">
        <f t="array" ref="Z97">INDEX(GMW!$A$2:$NF$60,MATCH(1,(GMW!$NE$2:$NE$60=Z$3)*(GMW!$ND$2:$ND$60=Z$4)*(GMW!$NF$2:$NF$60=Z$1),0),$F97-1966)</f>
        <v>1148.761</v>
      </c>
      <c r="AA97" s="4" cm="1">
        <f t="array" ref="AA97">INDEX(GMW!$A$2:$NF$60,MATCH(1,(GMW!$NE$2:$NE$60=AA$3)*(GMW!$ND$2:$ND$60=AA$4)*(GMW!$NF$2:$NF$60=AA$1),0),$F97-1966)</f>
        <v>878737</v>
      </c>
      <c r="AB97" s="4" cm="1">
        <f t="array" ref="AB97">INDEX(GMW!$A$2:$NF$60,MATCH(1,(GMW!$NE$2:$NE$60=AB$3)*(GMW!$ND$2:$ND$60=AB$4)*(GMW!$NF$2:$NF$60=AB$1),0),$F97-1966)</f>
        <v>214616</v>
      </c>
      <c r="AC97" s="4" cm="1">
        <f t="array" ref="AC97">INDEX(GMW!$A$2:$NF$60,MATCH(1,(GMW!$NE$2:$NE$60=AC$3)*(GMW!$ND$2:$ND$60=AC$4)*(GMW!$NF$2:$NF$60=AC$1),0),$F97-1966)</f>
        <v>1920.7750000000001</v>
      </c>
      <c r="AD97" s="4" cm="1">
        <f t="array" ref="AD97">INDEX(GMW!$A$2:$NF$60,MATCH(1,(GMW!$NE$2:$NE$60=AD$3)*(GMW!$ND$2:$ND$60=AD$4)*(GMW!$NF$2:$NF$60=AD$1),0),$F97-1966)</f>
        <v>131345.60000000001</v>
      </c>
      <c r="AE97" s="4" cm="1">
        <f t="array" ref="AE97">INDEX(GMW!$A$2:$NF$60,MATCH(1,(GMW!$NE$2:$NE$60=AE$3)*(GMW!$ND$2:$ND$60=AE$4)*(GMW!$NF$2:$NF$60=AE$1),0),$F97-1966)</f>
        <v>478.202</v>
      </c>
      <c r="AF97" s="4" cm="1">
        <f t="array" ref="AF97">INDEX(GMW!$A$2:$NF$60,MATCH(1,(GMW!$NE$2:$NE$60=AF$3)*(GMW!$ND$2:$ND$60=AF$4)*(GMW!$NF$2:$NF$60=AF$1),0),$F97-1966)</f>
        <v>304.87400000000002</v>
      </c>
      <c r="AG97" s="4" cm="1">
        <f t="array" ref="AG97">INDEX(GMW!$A$2:$NF$60,MATCH(1,(GMW!$NE$2:$NE$60=AG$3)*(GMW!$ND$2:$ND$60=AG$4)*(GMW!$NF$2:$NF$60=AG$1),0),$F97-1966)</f>
        <v>249.82400000000001</v>
      </c>
      <c r="AH97" s="4" cm="1">
        <f t="array" ref="AH97">INDEX(GMW!$A$2:$NF$60,MATCH(1,(GMW!$NE$2:$NE$60=AH$3)*(GMW!$ND$2:$ND$60=AH$4)*(GMW!$NF$2:$NF$60=AH$1),0),$F97-1966)</f>
        <v>208244</v>
      </c>
    </row>
    <row r="98" spans="1:34" x14ac:dyDescent="0.25">
      <c r="B98" s="4">
        <f t="shared" si="31"/>
        <v>1995</v>
      </c>
      <c r="C98" s="4">
        <f t="shared" si="31"/>
        <v>1995</v>
      </c>
      <c r="E98" s="4">
        <f t="shared" ref="E98" si="33">+E94+1</f>
        <v>1995</v>
      </c>
      <c r="F98" s="4">
        <f t="shared" si="17"/>
        <v>2064</v>
      </c>
      <c r="G98" s="4" cm="1">
        <f t="array" ref="G98">INDEX(GMW!$A$2:$NF$60,MATCH(1,(GMW!$NE$2:$NE$60=G$3)*(GMW!$ND$2:$ND$60=G$4)*(GMW!$NF$2:$NF$60=G$1),0),$F98-1966)</f>
        <v>378442</v>
      </c>
      <c r="H98" s="4" cm="1">
        <f t="array" ref="H98">INDEX(GMW!$A$2:$NF$60,MATCH(1,(GMW!$NE$2:$NE$60=H$3)*(GMW!$ND$2:$ND$60=H$4)*(GMW!$NF$2:$NF$60=H$1),0),$F98-1966)</f>
        <v>2882.0250000000001</v>
      </c>
      <c r="I98" s="4" cm="1">
        <f t="array" ref="I98">INDEX(GMW!$A$2:$NF$60,MATCH(1,(GMW!$NE$2:$NE$60=I$3)*(GMW!$ND$2:$ND$60=I$4)*(GMW!$NF$2:$NF$60=I$1),0),$F98-1966)</f>
        <v>115718.8</v>
      </c>
      <c r="J98" s="4" cm="1">
        <f t="array" ref="J98">INDEX(GMW!$A$2:$NF$60,MATCH(1,(GMW!$NE$2:$NE$60=J$3)*(GMW!$ND$2:$ND$60=J$4)*(GMW!$NF$2:$NF$60=J$1),0),$F98-1966)</f>
        <v>642.33000000000004</v>
      </c>
      <c r="K98" s="4" cm="1">
        <f t="array" ref="K98">INDEX(GMW!$A$2:$NF$60,MATCH(1,(GMW!$NE$2:$NE$60=K$3)*(GMW!$ND$2:$ND$60=K$4)*(GMW!$NF$2:$NF$60=K$1),0),$F98-1966)</f>
        <v>421.28300000000002</v>
      </c>
      <c r="L98" s="4" cm="1">
        <f t="array" ref="L98">INDEX(GMW!$A$2:$NF$60,MATCH(1,(GMW!$NE$2:$NE$60=L$3)*(GMW!$ND$2:$ND$60=L$4)*(GMW!$NF$2:$NF$60=L$1),0),$F98-1966)</f>
        <v>402.10700000000003</v>
      </c>
      <c r="M98" s="4" cm="1">
        <f t="array" ref="M98">INDEX(GMW!$A$2:$NF$60,MATCH(1,(GMW!$NE$2:$NE$60=M$3)*(GMW!$ND$2:$ND$60=M$4)*(GMW!$NF$2:$NF$60=M$1),0),$F98-1966)</f>
        <v>316641.5</v>
      </c>
      <c r="N98" s="4" cm="1">
        <f t="array" ref="N98">INDEX(GMW!$A$2:$NF$60,MATCH(1,(GMW!$NE$2:$NE$60=N$3)*(GMW!$ND$2:$ND$60=N$4)*(GMW!$NF$2:$NF$60=N$1),0),$F98-1966)</f>
        <v>-6400</v>
      </c>
      <c r="O98" s="4" cm="1">
        <f t="array" ref="O98">INDEX(GMW!$A$2:$NF$60,MATCH(1,(GMW!$NE$2:$NE$60=O$3)*(GMW!$ND$2:$ND$60=O$4)*(GMW!$NF$2:$NF$60=O$1),0),$F98-1966)</f>
        <v>-82.625</v>
      </c>
      <c r="P98" s="4" cm="1">
        <f t="array" ref="P98">INDEX(GMW!$A$2:$NF$60,MATCH(1,(GMW!$NE$2:$NE$60=P$3)*(GMW!$ND$2:$ND$60=P$4)*(GMW!$NF$2:$NF$60=P$1),0),$F98-1966)</f>
        <v>-7570</v>
      </c>
      <c r="Q98" s="4" cm="1">
        <f t="array" ref="Q98">INDEX(GMW!$A$2:$NF$60,MATCH(1,(GMW!$NE$2:$NE$60=Q$3)*(GMW!$ND$2:$ND$60=Q$4)*(GMW!$NF$2:$NF$60=Q$1),0),$F98-1966)</f>
        <v>-14.441000000000001</v>
      </c>
      <c r="R98" s="4" cm="1">
        <f t="array" ref="R98">INDEX(GMW!$A$2:$NF$60,MATCH(1,(GMW!$NE$2:$NE$60=R$3)*(GMW!$ND$2:$ND$60=R$4)*(GMW!$NF$2:$NF$60=R$1),0),$F98-1966)</f>
        <v>-14.472</v>
      </c>
      <c r="S98" s="4" cm="1">
        <f t="array" ref="S98">INDEX(GMW!$A$2:$NF$60,MATCH(1,(GMW!$NE$2:$NE$60=S$3)*(GMW!$ND$2:$ND$60=S$4)*(GMW!$NF$2:$NF$60=S$1),0),$F98-1966)</f>
        <v>-17.64226</v>
      </c>
      <c r="T98" s="4" cm="1">
        <f t="array" ref="T98">INDEX(GMW!$A$2:$NF$60,MATCH(1,(GMW!$NE$2:$NE$60=T$3)*(GMW!$ND$2:$ND$60=T$4)*(GMW!$NF$2:$NF$60=T$1),0),$F98-1966)</f>
        <v>-9008</v>
      </c>
      <c r="U98" s="4" cm="1">
        <f t="array" ref="U98">INDEX(GMW!$A$2:$NF$60,MATCH(1,(GMW!$NE$2:$NE$60=U$3)*(GMW!$ND$2:$ND$60=U$4)*(GMW!$NF$2:$NF$60=U$1),0),$F98-1966)</f>
        <v>367999</v>
      </c>
      <c r="V98" s="4" cm="1">
        <f t="array" ref="V98">INDEX(GMW!$A$2:$NF$60,MATCH(1,(GMW!$NE$2:$NE$60=V$3)*(GMW!$ND$2:$ND$60=V$4)*(GMW!$NF$2:$NF$60=V$1),0),$F98-1966)</f>
        <v>7191.14</v>
      </c>
      <c r="W98" s="4" cm="1">
        <f t="array" ref="W98">INDEX(GMW!$A$2:$NF$60,MATCH(1,(GMW!$NE$2:$NE$60=W$3)*(GMW!$ND$2:$ND$60=W$4)*(GMW!$NF$2:$NF$60=W$1),0),$F98-1966)</f>
        <v>439647</v>
      </c>
      <c r="X98" s="4" cm="1">
        <f t="array" ref="X98">INDEX(GMW!$A$2:$NF$60,MATCH(1,(GMW!$NE$2:$NE$60=X$3)*(GMW!$ND$2:$ND$60=X$4)*(GMW!$NF$2:$NF$60=X$1),0),$F98-1966)</f>
        <v>1036.001</v>
      </c>
      <c r="Y98" s="4" cm="1">
        <f t="array" ref="Y98">INDEX(GMW!$A$2:$NF$60,MATCH(1,(GMW!$NE$2:$NE$60=Y$3)*(GMW!$ND$2:$ND$60=Y$4)*(GMW!$NF$2:$NF$60=Y$1),0),$F98-1966)</f>
        <v>905.63800000000003</v>
      </c>
      <c r="Z98" s="4" cm="1">
        <f t="array" ref="Z98">INDEX(GMW!$A$2:$NF$60,MATCH(1,(GMW!$NE$2:$NE$60=Z$3)*(GMW!$ND$2:$ND$60=Z$4)*(GMW!$NF$2:$NF$60=Z$1),0),$F98-1966)</f>
        <v>1174.1210000000001</v>
      </c>
      <c r="AA98" s="4" cm="1">
        <f t="array" ref="AA98">INDEX(GMW!$A$2:$NF$60,MATCH(1,(GMW!$NE$2:$NE$60=AA$3)*(GMW!$ND$2:$ND$60=AA$4)*(GMW!$NF$2:$NF$60=AA$1),0),$F98-1966)</f>
        <v>866026</v>
      </c>
      <c r="AB98" s="4" cm="1">
        <f t="array" ref="AB98">INDEX(GMW!$A$2:$NF$60,MATCH(1,(GMW!$NE$2:$NE$60=AB$3)*(GMW!$ND$2:$ND$60=AB$4)*(GMW!$NF$2:$NF$60=AB$1),0),$F98-1966)</f>
        <v>217824</v>
      </c>
      <c r="AC98" s="4" cm="1">
        <f t="array" ref="AC98">INDEX(GMW!$A$2:$NF$60,MATCH(1,(GMW!$NE$2:$NE$60=AC$3)*(GMW!$ND$2:$ND$60=AC$4)*(GMW!$NF$2:$NF$60=AC$1),0),$F98-1966)</f>
        <v>1943.15</v>
      </c>
      <c r="AD98" s="4" cm="1">
        <f t="array" ref="AD98">INDEX(GMW!$A$2:$NF$60,MATCH(1,(GMW!$NE$2:$NE$60=AD$3)*(GMW!$ND$2:$ND$60=AD$4)*(GMW!$NF$2:$NF$60=AD$1),0),$F98-1966)</f>
        <v>131763</v>
      </c>
      <c r="AE98" s="4" cm="1">
        <f t="array" ref="AE98">INDEX(GMW!$A$2:$NF$60,MATCH(1,(GMW!$NE$2:$NE$60=AE$3)*(GMW!$ND$2:$ND$60=AE$4)*(GMW!$NF$2:$NF$60=AE$1),0),$F98-1966)</f>
        <v>479.06799999999998</v>
      </c>
      <c r="AF98" s="4" cm="1">
        <f t="array" ref="AF98">INDEX(GMW!$A$2:$NF$60,MATCH(1,(GMW!$NE$2:$NE$60=AF$3)*(GMW!$ND$2:$ND$60=AF$4)*(GMW!$NF$2:$NF$60=AF$1),0),$F98-1966)</f>
        <v>306.33800000000002</v>
      </c>
      <c r="AG98" s="4" cm="1">
        <f t="array" ref="AG98">INDEX(GMW!$A$2:$NF$60,MATCH(1,(GMW!$NE$2:$NE$60=AG$3)*(GMW!$ND$2:$ND$60=AG$4)*(GMW!$NF$2:$NF$60=AG$1),0),$F98-1966)</f>
        <v>255.47499999999999</v>
      </c>
      <c r="AH98" s="4" cm="1">
        <f t="array" ref="AH98">INDEX(GMW!$A$2:$NF$60,MATCH(1,(GMW!$NE$2:$NE$60=AH$3)*(GMW!$ND$2:$ND$60=AH$4)*(GMW!$NF$2:$NF$60=AH$1),0),$F98-1966)</f>
        <v>210170</v>
      </c>
    </row>
    <row r="99" spans="1:34" x14ac:dyDescent="0.25">
      <c r="A99" s="4">
        <v>1996</v>
      </c>
      <c r="B99" s="4">
        <f t="shared" si="31"/>
        <v>1996</v>
      </c>
      <c r="C99" s="4">
        <f t="shared" si="31"/>
        <v>1995</v>
      </c>
      <c r="D99" s="4">
        <f t="shared" si="31"/>
        <v>1995</v>
      </c>
      <c r="F99" s="4">
        <f t="shared" si="17"/>
        <v>2065</v>
      </c>
      <c r="G99" s="4" cm="1">
        <f t="array" ref="G99">INDEX(GMW!$A$2:$NF$60,MATCH(1,(GMW!$NE$2:$NE$60=G$3)*(GMW!$ND$2:$ND$60=G$4)*(GMW!$NF$2:$NF$60=G$1),0),$F99-1966)</f>
        <v>380976</v>
      </c>
      <c r="H99" s="4" cm="1">
        <f t="array" ref="H99">INDEX(GMW!$A$2:$NF$60,MATCH(1,(GMW!$NE$2:$NE$60=H$3)*(GMW!$ND$2:$ND$60=H$4)*(GMW!$NF$2:$NF$60=H$1),0),$F99-1966)</f>
        <v>2903.6</v>
      </c>
      <c r="I99" s="4" cm="1">
        <f t="array" ref="I99">INDEX(GMW!$A$2:$NF$60,MATCH(1,(GMW!$NE$2:$NE$60=I$3)*(GMW!$ND$2:$ND$60=I$4)*(GMW!$NF$2:$NF$60=I$1),0),$F99-1966)</f>
        <v>116661.9</v>
      </c>
      <c r="J99" s="4" cm="1">
        <f t="array" ref="J99">INDEX(GMW!$A$2:$NF$60,MATCH(1,(GMW!$NE$2:$NE$60=J$3)*(GMW!$ND$2:$ND$60=J$4)*(GMW!$NF$2:$NF$60=J$1),0),$F99-1966)</f>
        <v>637.76</v>
      </c>
      <c r="K99" s="4" cm="1">
        <f t="array" ref="K99">INDEX(GMW!$A$2:$NF$60,MATCH(1,(GMW!$NE$2:$NE$60=K$3)*(GMW!$ND$2:$ND$60=K$4)*(GMW!$NF$2:$NF$60=K$1),0),$F99-1966)</f>
        <v>424.21100000000001</v>
      </c>
      <c r="L99" s="4" cm="1">
        <f t="array" ref="L99">INDEX(GMW!$A$2:$NF$60,MATCH(1,(GMW!$NE$2:$NE$60=L$3)*(GMW!$ND$2:$ND$60=L$4)*(GMW!$NF$2:$NF$60=L$1),0),$F99-1966)</f>
        <v>402.94499999999999</v>
      </c>
      <c r="M99" s="4" cm="1">
        <f t="array" ref="M99">INDEX(GMW!$A$2:$NF$60,MATCH(1,(GMW!$NE$2:$NE$60=M$3)*(GMW!$ND$2:$ND$60=M$4)*(GMW!$NF$2:$NF$60=M$1),0),$F99-1966)</f>
        <v>317101</v>
      </c>
      <c r="N99" s="4" cm="1">
        <f t="array" ref="N99">INDEX(GMW!$A$2:$NF$60,MATCH(1,(GMW!$NE$2:$NE$60=N$3)*(GMW!$ND$2:$ND$60=N$4)*(GMW!$NF$2:$NF$60=N$1),0),$F99-1966)</f>
        <v>-6485</v>
      </c>
      <c r="O99" s="4" cm="1">
        <f t="array" ref="O99">INDEX(GMW!$A$2:$NF$60,MATCH(1,(GMW!$NE$2:$NE$60=O$3)*(GMW!$ND$2:$ND$60=O$4)*(GMW!$NF$2:$NF$60=O$1),0),$F99-1966)</f>
        <v>-83.498750000000001</v>
      </c>
      <c r="P99" s="4" cm="1">
        <f t="array" ref="P99">INDEX(GMW!$A$2:$NF$60,MATCH(1,(GMW!$NE$2:$NE$60=P$3)*(GMW!$ND$2:$ND$60=P$4)*(GMW!$NF$2:$NF$60=P$1),0),$F99-1966)</f>
        <v>-8380</v>
      </c>
      <c r="Q99" s="4" cm="1">
        <f t="array" ref="Q99">INDEX(GMW!$A$2:$NF$60,MATCH(1,(GMW!$NE$2:$NE$60=Q$3)*(GMW!$ND$2:$ND$60=Q$4)*(GMW!$NF$2:$NF$60=Q$1),0),$F99-1966)</f>
        <v>-13.657999999999999</v>
      </c>
      <c r="R99" s="4" cm="1">
        <f t="array" ref="R99">INDEX(GMW!$A$2:$NF$60,MATCH(1,(GMW!$NE$2:$NE$60=R$3)*(GMW!$ND$2:$ND$60=R$4)*(GMW!$NF$2:$NF$60=R$1),0),$F99-1966)</f>
        <v>-12.29</v>
      </c>
      <c r="S99" s="4" cm="1">
        <f t="array" ref="S99">INDEX(GMW!$A$2:$NF$60,MATCH(1,(GMW!$NE$2:$NE$60=S$3)*(GMW!$ND$2:$ND$60=S$4)*(GMW!$NF$2:$NF$60=S$1),0),$F99-1966)</f>
        <v>-18.228349999999999</v>
      </c>
      <c r="T99" s="4" cm="1">
        <f t="array" ref="T99">INDEX(GMW!$A$2:$NF$60,MATCH(1,(GMW!$NE$2:$NE$60=T$3)*(GMW!$ND$2:$ND$60=T$4)*(GMW!$NF$2:$NF$60=T$1),0),$F99-1966)</f>
        <v>-9007.0010000000002</v>
      </c>
      <c r="U99" s="4" cm="1">
        <f t="array" ref="U99">INDEX(GMW!$A$2:$NF$60,MATCH(1,(GMW!$NE$2:$NE$60=U$3)*(GMW!$ND$2:$ND$60=U$4)*(GMW!$NF$2:$NF$60=U$1),0),$F99-1966)</f>
        <v>377355</v>
      </c>
      <c r="V99" s="4" cm="1">
        <f t="array" ref="V99">INDEX(GMW!$A$2:$NF$60,MATCH(1,(GMW!$NE$2:$NE$60=V$3)*(GMW!$ND$2:$ND$60=V$4)*(GMW!$NF$2:$NF$60=V$1),0),$F99-1966)</f>
        <v>7273.8850000000002</v>
      </c>
      <c r="W99" s="4" cm="1">
        <f t="array" ref="W99">INDEX(GMW!$A$2:$NF$60,MATCH(1,(GMW!$NE$2:$NE$60=W$3)*(GMW!$ND$2:$ND$60=W$4)*(GMW!$NF$2:$NF$60=W$1),0),$F99-1966)</f>
        <v>451729</v>
      </c>
      <c r="X99" s="4" cm="1">
        <f t="array" ref="X99">INDEX(GMW!$A$2:$NF$60,MATCH(1,(GMW!$NE$2:$NE$60=X$3)*(GMW!$ND$2:$ND$60=X$4)*(GMW!$NF$2:$NF$60=X$1),0),$F99-1966)</f>
        <v>1044.2170000000001</v>
      </c>
      <c r="Y99" s="4" cm="1">
        <f t="array" ref="Y99">INDEX(GMW!$A$2:$NF$60,MATCH(1,(GMW!$NE$2:$NE$60=Y$3)*(GMW!$ND$2:$ND$60=Y$4)*(GMW!$NF$2:$NF$60=Y$1),0),$F99-1966)</f>
        <v>917.41200000000003</v>
      </c>
      <c r="Z99" s="4" cm="1">
        <f t="array" ref="Z99">INDEX(GMW!$A$2:$NF$60,MATCH(1,(GMW!$NE$2:$NE$60=Z$3)*(GMW!$ND$2:$ND$60=Z$4)*(GMW!$NF$2:$NF$60=Z$1),0),$F99-1966)</f>
        <v>1207.028</v>
      </c>
      <c r="AA99" s="4" cm="1">
        <f t="array" ref="AA99">INDEX(GMW!$A$2:$NF$60,MATCH(1,(GMW!$NE$2:$NE$60=AA$3)*(GMW!$ND$2:$ND$60=AA$4)*(GMW!$NF$2:$NF$60=AA$1),0),$F99-1966)</f>
        <v>921147</v>
      </c>
      <c r="AB99" s="4" cm="1">
        <f t="array" ref="AB99">INDEX(GMW!$A$2:$NF$60,MATCH(1,(GMW!$NE$2:$NE$60=AB$3)*(GMW!$ND$2:$ND$60=AB$4)*(GMW!$NF$2:$NF$60=AB$1),0),$F99-1966)</f>
        <v>221433</v>
      </c>
      <c r="AC99" s="4" cm="1">
        <f t="array" ref="AC99">INDEX(GMW!$A$2:$NF$60,MATCH(1,(GMW!$NE$2:$NE$60=AC$3)*(GMW!$ND$2:$ND$60=AC$4)*(GMW!$NF$2:$NF$60=AC$1),0),$F99-1966)</f>
        <v>1967.125</v>
      </c>
      <c r="AD99" s="4" cm="1">
        <f t="array" ref="AD99">INDEX(GMW!$A$2:$NF$60,MATCH(1,(GMW!$NE$2:$NE$60=AD$3)*(GMW!$ND$2:$ND$60=AD$4)*(GMW!$NF$2:$NF$60=AD$1),0),$F99-1966)</f>
        <v>132246</v>
      </c>
      <c r="AE99" s="4" cm="1">
        <f t="array" ref="AE99">INDEX(GMW!$A$2:$NF$60,MATCH(1,(GMW!$NE$2:$NE$60=AE$3)*(GMW!$ND$2:$ND$60=AE$4)*(GMW!$NF$2:$NF$60=AE$1),0),$F99-1966)</f>
        <v>475.524</v>
      </c>
      <c r="AF99" s="4" cm="1">
        <f t="array" ref="AF99">INDEX(GMW!$A$2:$NF$60,MATCH(1,(GMW!$NE$2:$NE$60=AF$3)*(GMW!$ND$2:$ND$60=AF$4)*(GMW!$NF$2:$NF$60=AF$1),0),$F99-1966)</f>
        <v>309.767</v>
      </c>
      <c r="AG99" s="4" cm="1">
        <f t="array" ref="AG99">INDEX(GMW!$A$2:$NF$60,MATCH(1,(GMW!$NE$2:$NE$60=AG$3)*(GMW!$ND$2:$ND$60=AG$4)*(GMW!$NF$2:$NF$60=AG$1),0),$F99-1966)</f>
        <v>258.87200000000001</v>
      </c>
      <c r="AH99" s="4" cm="1">
        <f t="array" ref="AH99">INDEX(GMW!$A$2:$NF$60,MATCH(1,(GMW!$NE$2:$NE$60=AH$3)*(GMW!$ND$2:$ND$60=AH$4)*(GMW!$NF$2:$NF$60=AH$1),0),$F99-1966)</f>
        <v>211052</v>
      </c>
    </row>
    <row r="100" spans="1:34" x14ac:dyDescent="0.25">
      <c r="B100" s="4">
        <f t="shared" si="31"/>
        <v>1996</v>
      </c>
      <c r="C100" s="4">
        <f t="shared" si="31"/>
        <v>1996</v>
      </c>
      <c r="F100" s="4">
        <f t="shared" si="17"/>
        <v>2066</v>
      </c>
      <c r="G100" s="4" cm="1">
        <f t="array" ref="G100">INDEX(GMW!$A$2:$NF$60,MATCH(1,(GMW!$NE$2:$NE$60=G$3)*(GMW!$ND$2:$ND$60=G$4)*(GMW!$NF$2:$NF$60=G$1),0),$F100-1966)</f>
        <v>382146</v>
      </c>
      <c r="H100" s="4" cm="1">
        <f t="array" ref="H100">INDEX(GMW!$A$2:$NF$60,MATCH(1,(GMW!$NE$2:$NE$60=H$3)*(GMW!$ND$2:$ND$60=H$4)*(GMW!$NF$2:$NF$60=H$1),0),$F100-1966)</f>
        <v>2952.0250000000001</v>
      </c>
      <c r="I100" s="4" cm="1">
        <f t="array" ref="I100">INDEX(GMW!$A$2:$NF$60,MATCH(1,(GMW!$NE$2:$NE$60=I$3)*(GMW!$ND$2:$ND$60=I$4)*(GMW!$NF$2:$NF$60=I$1),0),$F100-1966)</f>
        <v>118139.6</v>
      </c>
      <c r="J100" s="4" cm="1">
        <f t="array" ref="J100">INDEX(GMW!$A$2:$NF$60,MATCH(1,(GMW!$NE$2:$NE$60=J$3)*(GMW!$ND$2:$ND$60=J$4)*(GMW!$NF$2:$NF$60=J$1),0),$F100-1966)</f>
        <v>646.47</v>
      </c>
      <c r="K100" s="4" cm="1">
        <f t="array" ref="K100">INDEX(GMW!$A$2:$NF$60,MATCH(1,(GMW!$NE$2:$NE$60=K$3)*(GMW!$ND$2:$ND$60=K$4)*(GMW!$NF$2:$NF$60=K$1),0),$F100-1966)</f>
        <v>425.029</v>
      </c>
      <c r="L100" s="4" cm="1">
        <f t="array" ref="L100">INDEX(GMW!$A$2:$NF$60,MATCH(1,(GMW!$NE$2:$NE$60=L$3)*(GMW!$ND$2:$ND$60=L$4)*(GMW!$NF$2:$NF$60=L$1),0),$F100-1966)</f>
        <v>403.61799999999999</v>
      </c>
      <c r="M100" s="4" cm="1">
        <f t="array" ref="M100">INDEX(GMW!$A$2:$NF$60,MATCH(1,(GMW!$NE$2:$NE$60=M$3)*(GMW!$ND$2:$ND$60=M$4)*(GMW!$NF$2:$NF$60=M$1),0),$F100-1966)</f>
        <v>319358.5</v>
      </c>
      <c r="N100" s="4" cm="1">
        <f t="array" ref="N100">INDEX(GMW!$A$2:$NF$60,MATCH(1,(GMW!$NE$2:$NE$60=N$3)*(GMW!$ND$2:$ND$60=N$4)*(GMW!$NF$2:$NF$60=N$1),0),$F100-1966)</f>
        <v>-13912</v>
      </c>
      <c r="O100" s="4" cm="1">
        <f t="array" ref="O100">INDEX(GMW!$A$2:$NF$60,MATCH(1,(GMW!$NE$2:$NE$60=O$3)*(GMW!$ND$2:$ND$60=O$4)*(GMW!$NF$2:$NF$60=O$1),0),$F100-1966)</f>
        <v>-73.070760000000007</v>
      </c>
      <c r="P100" s="4" cm="1">
        <f t="array" ref="P100">INDEX(GMW!$A$2:$NF$60,MATCH(1,(GMW!$NE$2:$NE$60=P$3)*(GMW!$ND$2:$ND$60=P$4)*(GMW!$NF$2:$NF$60=P$1),0),$F100-1966)</f>
        <v>-7595.25</v>
      </c>
      <c r="Q100" s="4" cm="1">
        <f t="array" ref="Q100">INDEX(GMW!$A$2:$NF$60,MATCH(1,(GMW!$NE$2:$NE$60=Q$3)*(GMW!$ND$2:$ND$60=Q$4)*(GMW!$NF$2:$NF$60=Q$1),0),$F100-1966)</f>
        <v>-21.393999999999998</v>
      </c>
      <c r="R100" s="4" cm="1">
        <f t="array" ref="R100">INDEX(GMW!$A$2:$NF$60,MATCH(1,(GMW!$NE$2:$NE$60=R$3)*(GMW!$ND$2:$ND$60=R$4)*(GMW!$NF$2:$NF$60=R$1),0),$F100-1966)</f>
        <v>-12.968</v>
      </c>
      <c r="S100" s="4" cm="1">
        <f t="array" ref="S100">INDEX(GMW!$A$2:$NF$60,MATCH(1,(GMW!$NE$2:$NE$60=S$3)*(GMW!$ND$2:$ND$60=S$4)*(GMW!$NF$2:$NF$60=S$1),0),$F100-1966)</f>
        <v>-18.807279999999999</v>
      </c>
      <c r="T100" s="4" cm="1">
        <f t="array" ref="T100">INDEX(GMW!$A$2:$NF$60,MATCH(1,(GMW!$NE$2:$NE$60=T$3)*(GMW!$ND$2:$ND$60=T$4)*(GMW!$NF$2:$NF$60=T$1),0),$F100-1966)</f>
        <v>-6910</v>
      </c>
      <c r="U100" s="4" cm="1">
        <f t="array" ref="U100">INDEX(GMW!$A$2:$NF$60,MATCH(1,(GMW!$NE$2:$NE$60=U$3)*(GMW!$ND$2:$ND$60=U$4)*(GMW!$NF$2:$NF$60=U$1),0),$F100-1966)</f>
        <v>385107.8</v>
      </c>
      <c r="V100" s="4" cm="1">
        <f t="array" ref="V100">INDEX(GMW!$A$2:$NF$60,MATCH(1,(GMW!$NE$2:$NE$60=V$3)*(GMW!$ND$2:$ND$60=V$4)*(GMW!$NF$2:$NF$60=V$1),0),$F100-1966)</f>
        <v>7268.2020000000002</v>
      </c>
      <c r="W100" s="4" cm="1">
        <f t="array" ref="W100">INDEX(GMW!$A$2:$NF$60,MATCH(1,(GMW!$NE$2:$NE$60=W$3)*(GMW!$ND$2:$ND$60=W$4)*(GMW!$NF$2:$NF$60=W$1),0),$F100-1966)</f>
        <v>463810</v>
      </c>
      <c r="X100" s="4" cm="1">
        <f t="array" ref="X100">INDEX(GMW!$A$2:$NF$60,MATCH(1,(GMW!$NE$2:$NE$60=X$3)*(GMW!$ND$2:$ND$60=X$4)*(GMW!$NF$2:$NF$60=X$1),0),$F100-1966)</f>
        <v>1061.2170000000001</v>
      </c>
      <c r="Y100" s="4" cm="1">
        <f t="array" ref="Y100">INDEX(GMW!$A$2:$NF$60,MATCH(1,(GMW!$NE$2:$NE$60=Y$3)*(GMW!$ND$2:$ND$60=Y$4)*(GMW!$NF$2:$NF$60=Y$1),0),$F100-1966)</f>
        <v>929.76900000000001</v>
      </c>
      <c r="Z100" s="4" cm="1">
        <f t="array" ref="Z100">INDEX(GMW!$A$2:$NF$60,MATCH(1,(GMW!$NE$2:$NE$60=Z$3)*(GMW!$ND$2:$ND$60=Z$4)*(GMW!$NF$2:$NF$60=Z$1),0),$F100-1966)</f>
        <v>1239.934</v>
      </c>
      <c r="AA100" s="4" cm="1">
        <f t="array" ref="AA100">INDEX(GMW!$A$2:$NF$60,MATCH(1,(GMW!$NE$2:$NE$60=AA$3)*(GMW!$ND$2:$ND$60=AA$4)*(GMW!$NF$2:$NF$60=AA$1),0),$F100-1966)</f>
        <v>916231</v>
      </c>
      <c r="AB100" s="4" cm="1">
        <f t="array" ref="AB100">INDEX(GMW!$A$2:$NF$60,MATCH(1,(GMW!$NE$2:$NE$60=AB$3)*(GMW!$ND$2:$ND$60=AB$4)*(GMW!$NF$2:$NF$60=AB$1),0),$F100-1966)</f>
        <v>226187</v>
      </c>
      <c r="AC100" s="4" cm="1">
        <f t="array" ref="AC100">INDEX(GMW!$A$2:$NF$60,MATCH(1,(GMW!$NE$2:$NE$60=AC$3)*(GMW!$ND$2:$ND$60=AC$4)*(GMW!$NF$2:$NF$60=AC$1),0),$F100-1966)</f>
        <v>2008.2</v>
      </c>
      <c r="AD100" s="4" cm="1">
        <f t="array" ref="AD100">INDEX(GMW!$A$2:$NF$60,MATCH(1,(GMW!$NE$2:$NE$60=AD$3)*(GMW!$ND$2:$ND$60=AD$4)*(GMW!$NF$2:$NF$60=AD$1),0),$F100-1966)</f>
        <v>134007.9</v>
      </c>
      <c r="AE100" s="4" cm="1">
        <f t="array" ref="AE100">INDEX(GMW!$A$2:$NF$60,MATCH(1,(GMW!$NE$2:$NE$60=AE$3)*(GMW!$ND$2:$ND$60=AE$4)*(GMW!$NF$2:$NF$60=AE$1),0),$F100-1966)</f>
        <v>481.29500000000002</v>
      </c>
      <c r="AF100" s="4" cm="1">
        <f t="array" ref="AF100">INDEX(GMW!$A$2:$NF$60,MATCH(1,(GMW!$NE$2:$NE$60=AF$3)*(GMW!$ND$2:$ND$60=AF$4)*(GMW!$NF$2:$NF$60=AF$1),0),$F100-1966)</f>
        <v>311.12</v>
      </c>
      <c r="AG100" s="4" cm="1">
        <f t="array" ref="AG100">INDEX(GMW!$A$2:$NF$60,MATCH(1,(GMW!$NE$2:$NE$60=AG$3)*(GMW!$ND$2:$ND$60=AG$4)*(GMW!$NF$2:$NF$60=AG$1),0),$F100-1966)</f>
        <v>261.17399999999998</v>
      </c>
      <c r="AH100" s="4" cm="1">
        <f t="array" ref="AH100">INDEX(GMW!$A$2:$NF$60,MATCH(1,(GMW!$NE$2:$NE$60=AH$3)*(GMW!$ND$2:$ND$60=AH$4)*(GMW!$NF$2:$NF$60=AH$1),0),$F100-1966)</f>
        <v>213226</v>
      </c>
    </row>
    <row r="101" spans="1:34" x14ac:dyDescent="0.25">
      <c r="B101" s="4">
        <f t="shared" si="31"/>
        <v>1996</v>
      </c>
      <c r="C101" s="4">
        <f t="shared" si="31"/>
        <v>1996</v>
      </c>
      <c r="F101" s="4">
        <f t="shared" si="17"/>
        <v>2067</v>
      </c>
      <c r="G101" s="4" cm="1">
        <f t="array" ref="G101">INDEX(GMW!$A$2:$NF$60,MATCH(1,(GMW!$NE$2:$NE$60=G$3)*(GMW!$ND$2:$ND$60=G$4)*(GMW!$NF$2:$NF$60=G$1),0),$F101-1966)</f>
        <v>385671</v>
      </c>
      <c r="H101" s="4" cm="1">
        <f t="array" ref="H101">INDEX(GMW!$A$2:$NF$60,MATCH(1,(GMW!$NE$2:$NE$60=H$3)*(GMW!$ND$2:$ND$60=H$4)*(GMW!$NF$2:$NF$60=H$1),0),$F101-1966)</f>
        <v>2978.5250000000001</v>
      </c>
      <c r="I101" s="4" cm="1">
        <f t="array" ref="I101">INDEX(GMW!$A$2:$NF$60,MATCH(1,(GMW!$NE$2:$NE$60=I$3)*(GMW!$ND$2:$ND$60=I$4)*(GMW!$NF$2:$NF$60=I$1),0),$F101-1966)</f>
        <v>118288.7</v>
      </c>
      <c r="J101" s="4" cm="1">
        <f t="array" ref="J101">INDEX(GMW!$A$2:$NF$60,MATCH(1,(GMW!$NE$2:$NE$60=J$3)*(GMW!$ND$2:$ND$60=J$4)*(GMW!$NF$2:$NF$60=J$1),0),$F101-1966)</f>
        <v>648.97</v>
      </c>
      <c r="K101" s="4" cm="1">
        <f t="array" ref="K101">INDEX(GMW!$A$2:$NF$60,MATCH(1,(GMW!$NE$2:$NE$60=K$3)*(GMW!$ND$2:$ND$60=K$4)*(GMW!$NF$2:$NF$60=K$1),0),$F101-1966)</f>
        <v>426.67</v>
      </c>
      <c r="L101" s="4" cm="1">
        <f t="array" ref="L101">INDEX(GMW!$A$2:$NF$60,MATCH(1,(GMW!$NE$2:$NE$60=L$3)*(GMW!$ND$2:$ND$60=L$4)*(GMW!$NF$2:$NF$60=L$1),0),$F101-1966)</f>
        <v>404.416</v>
      </c>
      <c r="M101" s="4" cm="1">
        <f t="array" ref="M101">INDEX(GMW!$A$2:$NF$60,MATCH(1,(GMW!$NE$2:$NE$60=M$3)*(GMW!$ND$2:$ND$60=M$4)*(GMW!$NF$2:$NF$60=M$1),0),$F101-1966)</f>
        <v>322040.8</v>
      </c>
      <c r="N101" s="4" cm="1">
        <f t="array" ref="N101">INDEX(GMW!$A$2:$NF$60,MATCH(1,(GMW!$NE$2:$NE$60=N$3)*(GMW!$ND$2:$ND$60=N$4)*(GMW!$NF$2:$NF$60=N$1),0),$F101-1966)</f>
        <v>-8259.0010000000002</v>
      </c>
      <c r="O101" s="4" cm="1">
        <f t="array" ref="O101">INDEX(GMW!$A$2:$NF$60,MATCH(1,(GMW!$NE$2:$NE$60=O$3)*(GMW!$ND$2:$ND$60=O$4)*(GMW!$NF$2:$NF$60=O$1),0),$F101-1966)</f>
        <v>-68.582999999999998</v>
      </c>
      <c r="P101" s="4" cm="1">
        <f t="array" ref="P101">INDEX(GMW!$A$2:$NF$60,MATCH(1,(GMW!$NE$2:$NE$60=P$3)*(GMW!$ND$2:$ND$60=P$4)*(GMW!$NF$2:$NF$60=P$1),0),$F101-1966)</f>
        <v>-5869.75</v>
      </c>
      <c r="Q101" s="4" cm="1">
        <f t="array" ref="Q101">INDEX(GMW!$A$2:$NF$60,MATCH(1,(GMW!$NE$2:$NE$60=Q$3)*(GMW!$ND$2:$ND$60=Q$4)*(GMW!$NF$2:$NF$60=Q$1),0),$F101-1966)</f>
        <v>-16.748999999999999</v>
      </c>
      <c r="R101" s="4" cm="1">
        <f t="array" ref="R101">INDEX(GMW!$A$2:$NF$60,MATCH(1,(GMW!$NE$2:$NE$60=R$3)*(GMW!$ND$2:$ND$60=R$4)*(GMW!$NF$2:$NF$60=R$1),0),$F101-1966)</f>
        <v>-11.473000000000001</v>
      </c>
      <c r="S101" s="4" cm="1">
        <f t="array" ref="S101">INDEX(GMW!$A$2:$NF$60,MATCH(1,(GMW!$NE$2:$NE$60=S$3)*(GMW!$ND$2:$ND$60=S$4)*(GMW!$NF$2:$NF$60=S$1),0),$F101-1966)</f>
        <v>-17.598960000000002</v>
      </c>
      <c r="T101" s="4" cm="1">
        <f t="array" ref="T101">INDEX(GMW!$A$2:$NF$60,MATCH(1,(GMW!$NE$2:$NE$60=T$3)*(GMW!$ND$2:$ND$60=T$4)*(GMW!$NF$2:$NF$60=T$1),0),$F101-1966)</f>
        <v>-4833</v>
      </c>
      <c r="U101" s="4" cm="1">
        <f t="array" ref="U101">INDEX(GMW!$A$2:$NF$60,MATCH(1,(GMW!$NE$2:$NE$60=U$3)*(GMW!$ND$2:$ND$60=U$4)*(GMW!$NF$2:$NF$60=U$1),0),$F101-1966)</f>
        <v>392860.5</v>
      </c>
      <c r="V101" s="4" cm="1">
        <f t="array" ref="V101">INDEX(GMW!$A$2:$NF$60,MATCH(1,(GMW!$NE$2:$NE$60=V$3)*(GMW!$ND$2:$ND$60=V$4)*(GMW!$NF$2:$NF$60=V$1),0),$F101-1966)</f>
        <v>7337.1260000000002</v>
      </c>
      <c r="W101" s="4" cm="1">
        <f t="array" ref="W101">INDEX(GMW!$A$2:$NF$60,MATCH(1,(GMW!$NE$2:$NE$60=W$3)*(GMW!$ND$2:$ND$60=W$4)*(GMW!$NF$2:$NF$60=W$1),0),$F101-1966)</f>
        <v>475892</v>
      </c>
      <c r="X101" s="4" cm="1">
        <f t="array" ref="X101">INDEX(GMW!$A$2:$NF$60,MATCH(1,(GMW!$NE$2:$NE$60=X$3)*(GMW!$ND$2:$ND$60=X$4)*(GMW!$NF$2:$NF$60=X$1),0),$F101-1966)</f>
        <v>1075.213</v>
      </c>
      <c r="Y101" s="4" cm="1">
        <f t="array" ref="Y101">INDEX(GMW!$A$2:$NF$60,MATCH(1,(GMW!$NE$2:$NE$60=Y$3)*(GMW!$ND$2:$ND$60=Y$4)*(GMW!$NF$2:$NF$60=Y$1),0),$F101-1966)</f>
        <v>949.81899999999996</v>
      </c>
      <c r="Z101" s="4" cm="1">
        <f t="array" ref="Z101">INDEX(GMW!$A$2:$NF$60,MATCH(1,(GMW!$NE$2:$NE$60=Z$3)*(GMW!$ND$2:$ND$60=Z$4)*(GMW!$NF$2:$NF$60=Z$1),0),$F101-1966)</f>
        <v>1272.8409999999999</v>
      </c>
      <c r="AA101" s="4" cm="1">
        <f t="array" ref="AA101">INDEX(GMW!$A$2:$NF$60,MATCH(1,(GMW!$NE$2:$NE$60=AA$3)*(GMW!$ND$2:$ND$60=AA$4)*(GMW!$NF$2:$NF$60=AA$1),0),$F101-1966)</f>
        <v>938090</v>
      </c>
      <c r="AB101" s="4" cm="1">
        <f t="array" ref="AB101">INDEX(GMW!$A$2:$NF$60,MATCH(1,(GMW!$NE$2:$NE$60=AB$3)*(GMW!$ND$2:$ND$60=AB$4)*(GMW!$NF$2:$NF$60=AB$1),0),$F101-1966)</f>
        <v>229912</v>
      </c>
      <c r="AC101" s="4" cm="1">
        <f t="array" ref="AC101">INDEX(GMW!$A$2:$NF$60,MATCH(1,(GMW!$NE$2:$NE$60=AC$3)*(GMW!$ND$2:$ND$60=AC$4)*(GMW!$NF$2:$NF$60=AC$1),0),$F101-1966)</f>
        <v>2032.85</v>
      </c>
      <c r="AD101" s="4" cm="1">
        <f t="array" ref="AD101">INDEX(GMW!$A$2:$NF$60,MATCH(1,(GMW!$NE$2:$NE$60=AD$3)*(GMW!$ND$2:$ND$60=AD$4)*(GMW!$NF$2:$NF$60=AD$1),0),$F101-1966)</f>
        <v>134036.6</v>
      </c>
      <c r="AE101" s="4" cm="1">
        <f t="array" ref="AE101">INDEX(GMW!$A$2:$NF$60,MATCH(1,(GMW!$NE$2:$NE$60=AE$3)*(GMW!$ND$2:$ND$60=AE$4)*(GMW!$NF$2:$NF$60=AE$1),0),$F101-1966)</f>
        <v>483.81099999999998</v>
      </c>
      <c r="AF101" s="4" cm="1">
        <f t="array" ref="AF101">INDEX(GMW!$A$2:$NF$60,MATCH(1,(GMW!$NE$2:$NE$60=AF$3)*(GMW!$ND$2:$ND$60=AF$4)*(GMW!$NF$2:$NF$60=AF$1),0),$F101-1966)</f>
        <v>312.53699999999998</v>
      </c>
      <c r="AG101" s="4" cm="1">
        <f t="array" ref="AG101">INDEX(GMW!$A$2:$NF$60,MATCH(1,(GMW!$NE$2:$NE$60=AG$3)*(GMW!$ND$2:$ND$60=AG$4)*(GMW!$NF$2:$NF$60=AG$1),0),$F101-1966)</f>
        <v>262.928</v>
      </c>
      <c r="AH101" s="4" cm="1">
        <f t="array" ref="AH101">INDEX(GMW!$A$2:$NF$60,MATCH(1,(GMW!$NE$2:$NE$60=AH$3)*(GMW!$ND$2:$ND$60=AH$4)*(GMW!$NF$2:$NF$60=AH$1),0),$F101-1966)</f>
        <v>216136</v>
      </c>
    </row>
    <row r="102" spans="1:34" x14ac:dyDescent="0.25">
      <c r="B102" s="4">
        <f t="shared" si="31"/>
        <v>1996</v>
      </c>
      <c r="C102" s="4">
        <f t="shared" si="31"/>
        <v>1996</v>
      </c>
      <c r="E102" s="4">
        <f t="shared" ref="E102" si="34">+E98+1</f>
        <v>1996</v>
      </c>
      <c r="F102" s="4">
        <f t="shared" si="17"/>
        <v>2068</v>
      </c>
      <c r="G102" s="4" cm="1">
        <f t="array" ref="G102">INDEX(GMW!$A$2:$NF$60,MATCH(1,(GMW!$NE$2:$NE$60=G$3)*(GMW!$ND$2:$ND$60=G$4)*(GMW!$NF$2:$NF$60=G$1),0),$F102-1966)</f>
        <v>391053</v>
      </c>
      <c r="H102" s="4" cm="1">
        <f t="array" ref="H102">INDEX(GMW!$A$2:$NF$60,MATCH(1,(GMW!$NE$2:$NE$60=H$3)*(GMW!$ND$2:$ND$60=H$4)*(GMW!$NF$2:$NF$60=H$1),0),$F102-1966)</f>
        <v>3009.45</v>
      </c>
      <c r="I102" s="4" cm="1">
        <f t="array" ref="I102">INDEX(GMW!$A$2:$NF$60,MATCH(1,(GMW!$NE$2:$NE$60=I$3)*(GMW!$ND$2:$ND$60=I$4)*(GMW!$NF$2:$NF$60=I$1),0),$F102-1966)</f>
        <v>119618.3</v>
      </c>
      <c r="J102" s="4" cm="1">
        <f t="array" ref="J102">INDEX(GMW!$A$2:$NF$60,MATCH(1,(GMW!$NE$2:$NE$60=J$3)*(GMW!$ND$2:$ND$60=J$4)*(GMW!$NF$2:$NF$60=J$1),0),$F102-1966)</f>
        <v>654.92999999999995</v>
      </c>
      <c r="K102" s="4" cm="1">
        <f t="array" ref="K102">INDEX(GMW!$A$2:$NF$60,MATCH(1,(GMW!$NE$2:$NE$60=K$3)*(GMW!$ND$2:$ND$60=K$4)*(GMW!$NF$2:$NF$60=K$1),0),$F102-1966)</f>
        <v>428.31099999999998</v>
      </c>
      <c r="L102" s="4" cm="1">
        <f t="array" ref="L102">INDEX(GMW!$A$2:$NF$60,MATCH(1,(GMW!$NE$2:$NE$60=L$3)*(GMW!$ND$2:$ND$60=L$4)*(GMW!$NF$2:$NF$60=L$1),0),$F102-1966)</f>
        <v>403.024</v>
      </c>
      <c r="M102" s="4" cm="1">
        <f t="array" ref="M102">INDEX(GMW!$A$2:$NF$60,MATCH(1,(GMW!$NE$2:$NE$60=M$3)*(GMW!$ND$2:$ND$60=M$4)*(GMW!$NF$2:$NF$60=M$1),0),$F102-1966)</f>
        <v>324592.3</v>
      </c>
      <c r="N102" s="4" cm="1">
        <f t="array" ref="N102">INDEX(GMW!$A$2:$NF$60,MATCH(1,(GMW!$NE$2:$NE$60=N$3)*(GMW!$ND$2:$ND$60=N$4)*(GMW!$NF$2:$NF$60=N$1),0),$F102-1966)</f>
        <v>-1184</v>
      </c>
      <c r="O102" s="4" cm="1">
        <f t="array" ref="O102">INDEX(GMW!$A$2:$NF$60,MATCH(1,(GMW!$NE$2:$NE$60=O$3)*(GMW!$ND$2:$ND$60=O$4)*(GMW!$NF$2:$NF$60=O$1),0),$F102-1966)</f>
        <v>-62.189749999999997</v>
      </c>
      <c r="P102" s="4" cm="1">
        <f t="array" ref="P102">INDEX(GMW!$A$2:$NF$60,MATCH(1,(GMW!$NE$2:$NE$60=P$3)*(GMW!$ND$2:$ND$60=P$4)*(GMW!$NF$2:$NF$60=P$1),0),$F102-1966)</f>
        <v>-4232.5</v>
      </c>
      <c r="Q102" s="4" cm="1">
        <f t="array" ref="Q102">INDEX(GMW!$A$2:$NF$60,MATCH(1,(GMW!$NE$2:$NE$60=Q$3)*(GMW!$ND$2:$ND$60=Q$4)*(GMW!$NF$2:$NF$60=Q$1),0),$F102-1966)</f>
        <v>-18.367999999999999</v>
      </c>
      <c r="R102" s="4" cm="1">
        <f t="array" ref="R102">INDEX(GMW!$A$2:$NF$60,MATCH(1,(GMW!$NE$2:$NE$60=R$3)*(GMW!$ND$2:$ND$60=R$4)*(GMW!$NF$2:$NF$60=R$1),0),$F102-1966)</f>
        <v>-11.881</v>
      </c>
      <c r="S102" s="4" cm="1">
        <f t="array" ref="S102">INDEX(GMW!$A$2:$NF$60,MATCH(1,(GMW!$NE$2:$NE$60=S$3)*(GMW!$ND$2:$ND$60=S$4)*(GMW!$NF$2:$NF$60=S$1),0),$F102-1966)</f>
        <v>-14.60341</v>
      </c>
      <c r="T102" s="4" cm="1">
        <f t="array" ref="T102">INDEX(GMW!$A$2:$NF$60,MATCH(1,(GMW!$NE$2:$NE$60=T$3)*(GMW!$ND$2:$ND$60=T$4)*(GMW!$NF$2:$NF$60=T$1),0),$F102-1966)</f>
        <v>-3529</v>
      </c>
      <c r="U102" s="4" cm="1">
        <f t="array" ref="U102">INDEX(GMW!$A$2:$NF$60,MATCH(1,(GMW!$NE$2:$NE$60=U$3)*(GMW!$ND$2:$ND$60=U$4)*(GMW!$NF$2:$NF$60=U$1),0),$F102-1966)</f>
        <v>400613.3</v>
      </c>
      <c r="V102" s="4" cm="1">
        <f t="array" ref="V102">INDEX(GMW!$A$2:$NF$60,MATCH(1,(GMW!$NE$2:$NE$60=V$3)*(GMW!$ND$2:$ND$60=V$4)*(GMW!$NF$2:$NF$60=V$1),0),$F102-1966)</f>
        <v>7388.1059999999998</v>
      </c>
      <c r="W102" s="4" cm="1">
        <f t="array" ref="W102">INDEX(GMW!$A$2:$NF$60,MATCH(1,(GMW!$NE$2:$NE$60=W$3)*(GMW!$ND$2:$ND$60=W$4)*(GMW!$NF$2:$NF$60=W$1),0),$F102-1966)</f>
        <v>487974</v>
      </c>
      <c r="X102" s="4" cm="1">
        <f t="array" ref="X102">INDEX(GMW!$A$2:$NF$60,MATCH(1,(GMW!$NE$2:$NE$60=X$3)*(GMW!$ND$2:$ND$60=X$4)*(GMW!$NF$2:$NF$60=X$1),0),$F102-1966)</f>
        <v>1086.2059999999999</v>
      </c>
      <c r="Y102" s="4" cm="1">
        <f t="array" ref="Y102">INDEX(GMW!$A$2:$NF$60,MATCH(1,(GMW!$NE$2:$NE$60=Y$3)*(GMW!$ND$2:$ND$60=Y$4)*(GMW!$NF$2:$NF$60=Y$1),0),$F102-1966)</f>
        <v>982.20699999999999</v>
      </c>
      <c r="Z102" s="4" cm="1">
        <f t="array" ref="Z102">INDEX(GMW!$A$2:$NF$60,MATCH(1,(GMW!$NE$2:$NE$60=Z$3)*(GMW!$ND$2:$ND$60=Z$4)*(GMW!$NF$2:$NF$60=Z$1),0),$F102-1966)</f>
        <v>1305.748</v>
      </c>
      <c r="AA102" s="4" cm="1">
        <f t="array" ref="AA102">INDEX(GMW!$A$2:$NF$60,MATCH(1,(GMW!$NE$2:$NE$60=AA$3)*(GMW!$ND$2:$ND$60=AA$4)*(GMW!$NF$2:$NF$60=AA$1),0),$F102-1966)</f>
        <v>951233</v>
      </c>
      <c r="AB102" s="4" cm="1">
        <f t="array" ref="AB102">INDEX(GMW!$A$2:$NF$60,MATCH(1,(GMW!$NE$2:$NE$60=AB$3)*(GMW!$ND$2:$ND$60=AB$4)*(GMW!$NF$2:$NF$60=AB$1),0),$F102-1966)</f>
        <v>232461</v>
      </c>
      <c r="AC102" s="4" cm="1">
        <f t="array" ref="AC102">INDEX(GMW!$A$2:$NF$60,MATCH(1,(GMW!$NE$2:$NE$60=AC$3)*(GMW!$ND$2:$ND$60=AC$4)*(GMW!$NF$2:$NF$60=AC$1),0),$F102-1966)</f>
        <v>2064.9499999999998</v>
      </c>
      <c r="AD102" s="4" cm="1">
        <f t="array" ref="AD102">INDEX(GMW!$A$2:$NF$60,MATCH(1,(GMW!$NE$2:$NE$60=AD$3)*(GMW!$ND$2:$ND$60=AD$4)*(GMW!$NF$2:$NF$60=AD$1),0),$F102-1966)</f>
        <v>135290.20000000001</v>
      </c>
      <c r="AE102" s="4" cm="1">
        <f t="array" ref="AE102">INDEX(GMW!$A$2:$NF$60,MATCH(1,(GMW!$NE$2:$NE$60=AE$3)*(GMW!$ND$2:$ND$60=AE$4)*(GMW!$NF$2:$NF$60=AE$1),0),$F102-1966)</f>
        <v>489.11700000000002</v>
      </c>
      <c r="AF102" s="4" cm="1">
        <f t="array" ref="AF102">INDEX(GMW!$A$2:$NF$60,MATCH(1,(GMW!$NE$2:$NE$60=AF$3)*(GMW!$ND$2:$ND$60=AF$4)*(GMW!$NF$2:$NF$60=AF$1),0),$F102-1966)</f>
        <v>314.00900000000001</v>
      </c>
      <c r="AG102" s="4" cm="1">
        <f t="array" ref="AG102">INDEX(GMW!$A$2:$NF$60,MATCH(1,(GMW!$NE$2:$NE$60=AG$3)*(GMW!$ND$2:$ND$60=AG$4)*(GMW!$NF$2:$NF$60=AG$1),0),$F102-1966)</f>
        <v>264.02800000000002</v>
      </c>
      <c r="AH102" s="4" cm="1">
        <f t="array" ref="AH102">INDEX(GMW!$A$2:$NF$60,MATCH(1,(GMW!$NE$2:$NE$60=AH$3)*(GMW!$ND$2:$ND$60=AH$4)*(GMW!$NF$2:$NF$60=AH$1),0),$F102-1966)</f>
        <v>219420</v>
      </c>
    </row>
    <row r="103" spans="1:34" x14ac:dyDescent="0.25">
      <c r="A103" s="4">
        <v>1997</v>
      </c>
      <c r="B103" s="4">
        <f t="shared" si="31"/>
        <v>1997</v>
      </c>
      <c r="C103" s="4">
        <f t="shared" si="31"/>
        <v>1996</v>
      </c>
      <c r="D103" s="4">
        <f t="shared" si="31"/>
        <v>1996</v>
      </c>
      <c r="F103" s="4">
        <f t="shared" si="17"/>
        <v>2069</v>
      </c>
      <c r="G103" s="4" cm="1">
        <f t="array" ref="G103">INDEX(GMW!$A$2:$NF$60,MATCH(1,(GMW!$NE$2:$NE$60=G$3)*(GMW!$ND$2:$ND$60=G$4)*(GMW!$NF$2:$NF$60=G$1),0),$F103-1966)</f>
        <v>397303</v>
      </c>
      <c r="H103" s="4" cm="1">
        <f t="array" ref="H103">INDEX(GMW!$A$2:$NF$60,MATCH(1,(GMW!$NE$2:$NE$60=H$3)*(GMW!$ND$2:$ND$60=H$4)*(GMW!$NF$2:$NF$60=H$1),0),$F103-1966)</f>
        <v>3028.875</v>
      </c>
      <c r="I103" s="4" cm="1">
        <f t="array" ref="I103">INDEX(GMW!$A$2:$NF$60,MATCH(1,(GMW!$NE$2:$NE$60=I$3)*(GMW!$ND$2:$ND$60=I$4)*(GMW!$NF$2:$NF$60=I$1),0),$F103-1966)</f>
        <v>119889.1</v>
      </c>
      <c r="J103" s="4" cm="1">
        <f t="array" ref="J103">INDEX(GMW!$A$2:$NF$60,MATCH(1,(GMW!$NE$2:$NE$60=J$3)*(GMW!$ND$2:$ND$60=J$4)*(GMW!$NF$2:$NF$60=J$1),0),$F103-1966)</f>
        <v>651.58000000000004</v>
      </c>
      <c r="K103" s="4" cm="1">
        <f t="array" ref="K103">INDEX(GMW!$A$2:$NF$60,MATCH(1,(GMW!$NE$2:$NE$60=K$3)*(GMW!$ND$2:$ND$60=K$4)*(GMW!$NF$2:$NF$60=K$1),0),$F103-1966)</f>
        <v>430.14</v>
      </c>
      <c r="L103" s="4" cm="1">
        <f t="array" ref="L103">INDEX(GMW!$A$2:$NF$60,MATCH(1,(GMW!$NE$2:$NE$60=L$3)*(GMW!$ND$2:$ND$60=L$4)*(GMW!$NF$2:$NF$60=L$1),0),$F103-1966)</f>
        <v>404.18700000000001</v>
      </c>
      <c r="M103" s="4" cm="1">
        <f t="array" ref="M103">INDEX(GMW!$A$2:$NF$60,MATCH(1,(GMW!$NE$2:$NE$60=M$3)*(GMW!$ND$2:$ND$60=M$4)*(GMW!$NF$2:$NF$60=M$1),0),$F103-1966)</f>
        <v>328941.5</v>
      </c>
      <c r="N103" s="4" cm="1">
        <f t="array" ref="N103">INDEX(GMW!$A$2:$NF$60,MATCH(1,(GMW!$NE$2:$NE$60=N$3)*(GMW!$ND$2:$ND$60=N$4)*(GMW!$NF$2:$NF$60=N$1),0),$F103-1966)</f>
        <v>-4621</v>
      </c>
      <c r="O103" s="4" cm="1">
        <f t="array" ref="O103">INDEX(GMW!$A$2:$NF$60,MATCH(1,(GMW!$NE$2:$NE$60=O$3)*(GMW!$ND$2:$ND$60=O$4)*(GMW!$NF$2:$NF$60=O$1),0),$F103-1966)</f>
        <v>-54.208759999999998</v>
      </c>
      <c r="P103" s="4" cm="1">
        <f t="array" ref="P103">INDEX(GMW!$A$2:$NF$60,MATCH(1,(GMW!$NE$2:$NE$60=P$3)*(GMW!$ND$2:$ND$60=P$4)*(GMW!$NF$2:$NF$60=P$1),0),$F103-1966)</f>
        <v>-2572</v>
      </c>
      <c r="Q103" s="4" cm="1">
        <f t="array" ref="Q103">INDEX(GMW!$A$2:$NF$60,MATCH(1,(GMW!$NE$2:$NE$60=Q$3)*(GMW!$ND$2:$ND$60=Q$4)*(GMW!$NF$2:$NF$60=Q$1),0),$F103-1966)</f>
        <v>-15.871</v>
      </c>
      <c r="R103" s="4" cm="1">
        <f t="array" ref="R103">INDEX(GMW!$A$2:$NF$60,MATCH(1,(GMW!$NE$2:$NE$60=R$3)*(GMW!$ND$2:$ND$60=R$4)*(GMW!$NF$2:$NF$60=R$1),0),$F103-1966)</f>
        <v>-12.241</v>
      </c>
      <c r="S103" s="4" cm="1">
        <f t="array" ref="S103">INDEX(GMW!$A$2:$NF$60,MATCH(1,(GMW!$NE$2:$NE$60=S$3)*(GMW!$ND$2:$ND$60=S$4)*(GMW!$NF$2:$NF$60=S$1),0),$F103-1966)</f>
        <v>-10.791729999999999</v>
      </c>
      <c r="T103" s="4" cm="1">
        <f t="array" ref="T103">INDEX(GMW!$A$2:$NF$60,MATCH(1,(GMW!$NE$2:$NE$60=T$3)*(GMW!$ND$2:$ND$60=T$4)*(GMW!$NF$2:$NF$60=T$1),0),$F103-1966)</f>
        <v>-2258</v>
      </c>
      <c r="U103" s="4" cm="1">
        <f t="array" ref="U103">INDEX(GMW!$A$2:$NF$60,MATCH(1,(GMW!$NE$2:$NE$60=U$3)*(GMW!$ND$2:$ND$60=U$4)*(GMW!$NF$2:$NF$60=U$1),0),$F103-1966)</f>
        <v>408366</v>
      </c>
      <c r="V103" s="4" cm="1">
        <f t="array" ref="V103">INDEX(GMW!$A$2:$NF$60,MATCH(1,(GMW!$NE$2:$NE$60=V$3)*(GMW!$ND$2:$ND$60=V$4)*(GMW!$NF$2:$NF$60=V$1),0),$F103-1966)</f>
        <v>7486.1719999999996</v>
      </c>
      <c r="W103" s="4" cm="1">
        <f t="array" ref="W103">INDEX(GMW!$A$2:$NF$60,MATCH(1,(GMW!$NE$2:$NE$60=W$3)*(GMW!$ND$2:$ND$60=W$4)*(GMW!$NF$2:$NF$60=W$1),0),$F103-1966)</f>
        <v>501569</v>
      </c>
      <c r="X103" s="4" cm="1">
        <f t="array" ref="X103">INDEX(GMW!$A$2:$NF$60,MATCH(1,(GMW!$NE$2:$NE$60=X$3)*(GMW!$ND$2:$ND$60=X$4)*(GMW!$NF$2:$NF$60=X$1),0),$F103-1966)</f>
        <v>1098.5340000000001</v>
      </c>
      <c r="Y103" s="4" cm="1">
        <f t="array" ref="Y103">INDEX(GMW!$A$2:$NF$60,MATCH(1,(GMW!$NE$2:$NE$60=Y$3)*(GMW!$ND$2:$ND$60=Y$4)*(GMW!$NF$2:$NF$60=Y$1),0),$F103-1966)</f>
        <v>984.59</v>
      </c>
      <c r="Z103" s="4" cm="1">
        <f t="array" ref="Z103">INDEX(GMW!$A$2:$NF$60,MATCH(1,(GMW!$NE$2:$NE$60=Z$3)*(GMW!$ND$2:$ND$60=Z$4)*(GMW!$NF$2:$NF$60=Z$1),0),$F103-1966)</f>
        <v>1325.327</v>
      </c>
      <c r="AA103" s="4" cm="1">
        <f t="array" ref="AA103">INDEX(GMW!$A$2:$NF$60,MATCH(1,(GMW!$NE$2:$NE$60=AA$3)*(GMW!$ND$2:$ND$60=AA$4)*(GMW!$NF$2:$NF$60=AA$1),0),$F103-1966)</f>
        <v>957859</v>
      </c>
      <c r="AB103" s="4" cm="1">
        <f t="array" ref="AB103">INDEX(GMW!$A$2:$NF$60,MATCH(1,(GMW!$NE$2:$NE$60=AB$3)*(GMW!$ND$2:$ND$60=AB$4)*(GMW!$NF$2:$NF$60=AB$1),0),$F103-1966)</f>
        <v>232749</v>
      </c>
      <c r="AC103" s="4" cm="1">
        <f t="array" ref="AC103">INDEX(GMW!$A$2:$NF$60,MATCH(1,(GMW!$NE$2:$NE$60=AC$3)*(GMW!$ND$2:$ND$60=AC$4)*(GMW!$NF$2:$NF$60=AC$1),0),$F103-1966)</f>
        <v>2090.6750000000002</v>
      </c>
      <c r="AD103" s="4" cm="1">
        <f t="array" ref="AD103">INDEX(GMW!$A$2:$NF$60,MATCH(1,(GMW!$NE$2:$NE$60=AD$3)*(GMW!$ND$2:$ND$60=AD$4)*(GMW!$NF$2:$NF$60=AD$1),0),$F103-1966)</f>
        <v>135531</v>
      </c>
      <c r="AE103" s="4" cm="1">
        <f t="array" ref="AE103">INDEX(GMW!$A$2:$NF$60,MATCH(1,(GMW!$NE$2:$NE$60=AE$3)*(GMW!$ND$2:$ND$60=AE$4)*(GMW!$NF$2:$NF$60=AE$1),0),$F103-1966)</f>
        <v>485.613</v>
      </c>
      <c r="AF103" s="4" cm="1">
        <f t="array" ref="AF103">INDEX(GMW!$A$2:$NF$60,MATCH(1,(GMW!$NE$2:$NE$60=AF$3)*(GMW!$ND$2:$ND$60=AF$4)*(GMW!$NF$2:$NF$60=AF$1),0),$F103-1966)</f>
        <v>316.24200000000002</v>
      </c>
      <c r="AG103" s="4" cm="1">
        <f t="array" ref="AG103">INDEX(GMW!$A$2:$NF$60,MATCH(1,(GMW!$NE$2:$NE$60=AG$3)*(GMW!$ND$2:$ND$60=AG$4)*(GMW!$NF$2:$NF$60=AG$1),0),$F103-1966)</f>
        <v>267.57799999999997</v>
      </c>
      <c r="AH103" s="4" cm="1">
        <f t="array" ref="AH103">INDEX(GMW!$A$2:$NF$60,MATCH(1,(GMW!$NE$2:$NE$60=AH$3)*(GMW!$ND$2:$ND$60=AH$4)*(GMW!$NF$2:$NF$60=AH$1),0),$F103-1966)</f>
        <v>222937</v>
      </c>
    </row>
    <row r="104" spans="1:34" x14ac:dyDescent="0.25">
      <c r="B104" s="4">
        <f t="shared" si="31"/>
        <v>1997</v>
      </c>
      <c r="C104" s="4">
        <f t="shared" si="31"/>
        <v>1997</v>
      </c>
      <c r="F104" s="4">
        <f t="shared" si="17"/>
        <v>2070</v>
      </c>
      <c r="G104" s="4" cm="1">
        <f t="array" ref="G104">INDEX(GMW!$A$2:$NF$60,MATCH(1,(GMW!$NE$2:$NE$60=G$3)*(GMW!$ND$2:$ND$60=G$4)*(GMW!$NF$2:$NF$60=G$1),0),$F104-1966)</f>
        <v>401790</v>
      </c>
      <c r="H104" s="4" cm="1">
        <f t="array" ref="H104">INDEX(GMW!$A$2:$NF$60,MATCH(1,(GMW!$NE$2:$NE$60=H$3)*(GMW!$ND$2:$ND$60=H$4)*(GMW!$NF$2:$NF$60=H$1),0),$F104-1966)</f>
        <v>3079.3</v>
      </c>
      <c r="I104" s="4" cm="1">
        <f t="array" ref="I104">INDEX(GMW!$A$2:$NF$60,MATCH(1,(GMW!$NE$2:$NE$60=I$3)*(GMW!$ND$2:$ND$60=I$4)*(GMW!$NF$2:$NF$60=I$1),0),$F104-1966)</f>
        <v>119023.4</v>
      </c>
      <c r="J104" s="4" cm="1">
        <f t="array" ref="J104">INDEX(GMW!$A$2:$NF$60,MATCH(1,(GMW!$NE$2:$NE$60=J$3)*(GMW!$ND$2:$ND$60=J$4)*(GMW!$NF$2:$NF$60=J$1),0),$F104-1966)</f>
        <v>658.83</v>
      </c>
      <c r="K104" s="4" cm="1">
        <f t="array" ref="K104">INDEX(GMW!$A$2:$NF$60,MATCH(1,(GMW!$NE$2:$NE$60=K$3)*(GMW!$ND$2:$ND$60=K$4)*(GMW!$NF$2:$NF$60=K$1),0),$F104-1966)</f>
        <v>434.654</v>
      </c>
      <c r="L104" s="4" cm="1">
        <f t="array" ref="L104">INDEX(GMW!$A$2:$NF$60,MATCH(1,(GMW!$NE$2:$NE$60=L$3)*(GMW!$ND$2:$ND$60=L$4)*(GMW!$NF$2:$NF$60=L$1),0),$F104-1966)</f>
        <v>410.584</v>
      </c>
      <c r="M104" s="4" cm="1">
        <f t="array" ref="M104">INDEX(GMW!$A$2:$NF$60,MATCH(1,(GMW!$NE$2:$NE$60=M$3)*(GMW!$ND$2:$ND$60=M$4)*(GMW!$NF$2:$NF$60=M$1),0),$F104-1966)</f>
        <v>332643.3</v>
      </c>
      <c r="N104" s="4" cm="1">
        <f t="array" ref="N104">INDEX(GMW!$A$2:$NF$60,MATCH(1,(GMW!$NE$2:$NE$60=N$3)*(GMW!$ND$2:$ND$60=N$4)*(GMW!$NF$2:$NF$60=N$1),0),$F104-1966)</f>
        <v>-10818</v>
      </c>
      <c r="O104" s="4" cm="1">
        <f t="array" ref="O104">INDEX(GMW!$A$2:$NF$60,MATCH(1,(GMW!$NE$2:$NE$60=O$3)*(GMW!$ND$2:$ND$60=O$4)*(GMW!$NF$2:$NF$60=O$1),0),$F104-1966)</f>
        <v>-49.821750000000002</v>
      </c>
      <c r="P104" s="4" cm="1">
        <f t="array" ref="P104">INDEX(GMW!$A$2:$NF$60,MATCH(1,(GMW!$NE$2:$NE$60=P$3)*(GMW!$ND$2:$ND$60=P$4)*(GMW!$NF$2:$NF$60=P$1),0),$F104-1966)</f>
        <v>-3408.5</v>
      </c>
      <c r="Q104" s="4" cm="1">
        <f t="array" ref="Q104">INDEX(GMW!$A$2:$NF$60,MATCH(1,(GMW!$NE$2:$NE$60=Q$3)*(GMW!$ND$2:$ND$60=Q$4)*(GMW!$NF$2:$NF$60=Q$1),0),$F104-1966)</f>
        <v>-18.875</v>
      </c>
      <c r="R104" s="4" cm="1">
        <f t="array" ref="R104">INDEX(GMW!$A$2:$NF$60,MATCH(1,(GMW!$NE$2:$NE$60=R$3)*(GMW!$ND$2:$ND$60=R$4)*(GMW!$NF$2:$NF$60=R$1),0),$F104-1966)</f>
        <v>-11.047000000000001</v>
      </c>
      <c r="S104" s="4" cm="1">
        <f t="array" ref="S104">INDEX(GMW!$A$2:$NF$60,MATCH(1,(GMW!$NE$2:$NE$60=S$3)*(GMW!$ND$2:$ND$60=S$4)*(GMW!$NF$2:$NF$60=S$1),0),$F104-1966)</f>
        <v>-7.724329</v>
      </c>
      <c r="T104" s="4" cm="1">
        <f t="array" ref="T104">INDEX(GMW!$A$2:$NF$60,MATCH(1,(GMW!$NE$2:$NE$60=T$3)*(GMW!$ND$2:$ND$60=T$4)*(GMW!$NF$2:$NF$60=T$1),0),$F104-1966)</f>
        <v>613</v>
      </c>
      <c r="U104" s="4" cm="1">
        <f t="array" ref="U104">INDEX(GMW!$A$2:$NF$60,MATCH(1,(GMW!$NE$2:$NE$60=U$3)*(GMW!$ND$2:$ND$60=U$4)*(GMW!$NF$2:$NF$60=U$1),0),$F104-1966)</f>
        <v>419303</v>
      </c>
      <c r="V104" s="4" cm="1">
        <f t="array" ref="V104">INDEX(GMW!$A$2:$NF$60,MATCH(1,(GMW!$NE$2:$NE$60=V$3)*(GMW!$ND$2:$ND$60=V$4)*(GMW!$NF$2:$NF$60=V$1),0),$F104-1966)</f>
        <v>7353.6719999999996</v>
      </c>
      <c r="W104" s="4" cm="1">
        <f t="array" ref="W104">INDEX(GMW!$A$2:$NF$60,MATCH(1,(GMW!$NE$2:$NE$60=W$3)*(GMW!$ND$2:$ND$60=W$4)*(GMW!$NF$2:$NF$60=W$1),0),$F104-1966)</f>
        <v>515165</v>
      </c>
      <c r="X104" s="4" cm="1">
        <f t="array" ref="X104">INDEX(GMW!$A$2:$NF$60,MATCH(1,(GMW!$NE$2:$NE$60=X$3)*(GMW!$ND$2:$ND$60=X$4)*(GMW!$NF$2:$NF$60=X$1),0),$F104-1966)</f>
        <v>1112.049</v>
      </c>
      <c r="Y104" s="4" cm="1">
        <f t="array" ref="Y104">INDEX(GMW!$A$2:$NF$60,MATCH(1,(GMW!$NE$2:$NE$60=Y$3)*(GMW!$ND$2:$ND$60=Y$4)*(GMW!$NF$2:$NF$60=Y$1),0),$F104-1966)</f>
        <v>1026.5429999999999</v>
      </c>
      <c r="Z104" s="4" cm="1">
        <f t="array" ref="Z104">INDEX(GMW!$A$2:$NF$60,MATCH(1,(GMW!$NE$2:$NE$60=Z$3)*(GMW!$ND$2:$ND$60=Z$4)*(GMW!$NF$2:$NF$60=Z$1),0),$F104-1966)</f>
        <v>1344.905</v>
      </c>
      <c r="AA104" s="4" cm="1">
        <f t="array" ref="AA104">INDEX(GMW!$A$2:$NF$60,MATCH(1,(GMW!$NE$2:$NE$60=AA$3)*(GMW!$ND$2:$ND$60=AA$4)*(GMW!$NF$2:$NF$60=AA$1),0),$F104-1966)</f>
        <v>943807</v>
      </c>
      <c r="AB104" s="4" cm="1">
        <f t="array" ref="AB104">INDEX(GMW!$A$2:$NF$60,MATCH(1,(GMW!$NE$2:$NE$60=AB$3)*(GMW!$ND$2:$ND$60=AB$4)*(GMW!$NF$2:$NF$60=AB$1),0),$F104-1966)</f>
        <v>235998</v>
      </c>
      <c r="AC104" s="4" cm="1">
        <f t="array" ref="AC104">INDEX(GMW!$A$2:$NF$60,MATCH(1,(GMW!$NE$2:$NE$60=AC$3)*(GMW!$ND$2:$ND$60=AC$4)*(GMW!$NF$2:$NF$60=AC$1),0),$F104-1966)</f>
        <v>2129.6999999999998</v>
      </c>
      <c r="AD104" s="4" cm="1">
        <f t="array" ref="AD104">INDEX(GMW!$A$2:$NF$60,MATCH(1,(GMW!$NE$2:$NE$60=AD$3)*(GMW!$ND$2:$ND$60=AD$4)*(GMW!$NF$2:$NF$60=AD$1),0),$F104-1966)</f>
        <v>136016.70000000001</v>
      </c>
      <c r="AE104" s="4" cm="1">
        <f t="array" ref="AE104">INDEX(GMW!$A$2:$NF$60,MATCH(1,(GMW!$NE$2:$NE$60=AE$3)*(GMW!$ND$2:$ND$60=AE$4)*(GMW!$NF$2:$NF$60=AE$1),0),$F104-1966)</f>
        <v>490.37799999999999</v>
      </c>
      <c r="AF104" s="4" cm="1">
        <f t="array" ref="AF104">INDEX(GMW!$A$2:$NF$60,MATCH(1,(GMW!$NE$2:$NE$60=AF$3)*(GMW!$ND$2:$ND$60=AF$4)*(GMW!$NF$2:$NF$60=AF$1),0),$F104-1966)</f>
        <v>320.62200000000001</v>
      </c>
      <c r="AG104" s="4" cm="1">
        <f t="array" ref="AG104">INDEX(GMW!$A$2:$NF$60,MATCH(1,(GMW!$NE$2:$NE$60=AG$3)*(GMW!$ND$2:$ND$60=AG$4)*(GMW!$NF$2:$NF$60=AG$1),0),$F104-1966)</f>
        <v>272.10300000000001</v>
      </c>
      <c r="AH104" s="4" cm="1">
        <f t="array" ref="AH104">INDEX(GMW!$A$2:$NF$60,MATCH(1,(GMW!$NE$2:$NE$60=AH$3)*(GMW!$ND$2:$ND$60=AH$4)*(GMW!$NF$2:$NF$60=AH$1),0),$F104-1966)</f>
        <v>224853</v>
      </c>
    </row>
    <row r="105" spans="1:34" x14ac:dyDescent="0.25">
      <c r="B105" s="4">
        <f t="shared" si="31"/>
        <v>1997</v>
      </c>
      <c r="C105" s="4">
        <f t="shared" si="31"/>
        <v>1997</v>
      </c>
      <c r="F105" s="4">
        <f t="shared" si="17"/>
        <v>2071</v>
      </c>
      <c r="G105" s="4" cm="1">
        <f t="array" ref="G105">INDEX(GMW!$A$2:$NF$60,MATCH(1,(GMW!$NE$2:$NE$60=G$3)*(GMW!$ND$2:$ND$60=G$4)*(GMW!$NF$2:$NF$60=G$1),0),$F105-1966)</f>
        <v>405233</v>
      </c>
      <c r="H105" s="4" cm="1">
        <f t="array" ref="H105">INDEX(GMW!$A$2:$NF$60,MATCH(1,(GMW!$NE$2:$NE$60=H$3)*(GMW!$ND$2:$ND$60=H$4)*(GMW!$NF$2:$NF$60=H$1),0),$F105-1966)</f>
        <v>3117.75</v>
      </c>
      <c r="I105" s="4" cm="1">
        <f t="array" ref="I105">INDEX(GMW!$A$2:$NF$60,MATCH(1,(GMW!$NE$2:$NE$60=I$3)*(GMW!$ND$2:$ND$60=I$4)*(GMW!$NF$2:$NF$60=I$1),0),$F105-1966)</f>
        <v>119250.4</v>
      </c>
      <c r="J105" s="4" cm="1">
        <f t="array" ref="J105">INDEX(GMW!$A$2:$NF$60,MATCH(1,(GMW!$NE$2:$NE$60=J$3)*(GMW!$ND$2:$ND$60=J$4)*(GMW!$NF$2:$NF$60=J$1),0),$F105-1966)</f>
        <v>661.42</v>
      </c>
      <c r="K105" s="4" cm="1">
        <f t="array" ref="K105">INDEX(GMW!$A$2:$NF$60,MATCH(1,(GMW!$NE$2:$NE$60=K$3)*(GMW!$ND$2:$ND$60=K$4)*(GMW!$NF$2:$NF$60=K$1),0),$F105-1966)</f>
        <v>438.976</v>
      </c>
      <c r="L105" s="4" cm="1">
        <f t="array" ref="L105">INDEX(GMW!$A$2:$NF$60,MATCH(1,(GMW!$NE$2:$NE$60=L$3)*(GMW!$ND$2:$ND$60=L$4)*(GMW!$NF$2:$NF$60=L$1),0),$F105-1966)</f>
        <v>412.505</v>
      </c>
      <c r="M105" s="4" cm="1">
        <f t="array" ref="M105">INDEX(GMW!$A$2:$NF$60,MATCH(1,(GMW!$NE$2:$NE$60=M$3)*(GMW!$ND$2:$ND$60=M$4)*(GMW!$NF$2:$NF$60=M$1),0),$F105-1966)</f>
        <v>336586.8</v>
      </c>
      <c r="N105" s="4" cm="1">
        <f t="array" ref="N105">INDEX(GMW!$A$2:$NF$60,MATCH(1,(GMW!$NE$2:$NE$60=N$3)*(GMW!$ND$2:$ND$60=N$4)*(GMW!$NF$2:$NF$60=N$1),0),$F105-1966)</f>
        <v>-6002</v>
      </c>
      <c r="O105" s="4" cm="1">
        <f t="array" ref="O105">INDEX(GMW!$A$2:$NF$60,MATCH(1,(GMW!$NE$2:$NE$60=O$3)*(GMW!$ND$2:$ND$60=O$4)*(GMW!$NF$2:$NF$60=O$1),0),$F105-1966)</f>
        <v>-39.750500000000002</v>
      </c>
      <c r="P105" s="4" cm="1">
        <f t="array" ref="P105">INDEX(GMW!$A$2:$NF$60,MATCH(1,(GMW!$NE$2:$NE$60=P$3)*(GMW!$ND$2:$ND$60=P$4)*(GMW!$NF$2:$NF$60=P$1),0),$F105-1966)</f>
        <v>-5309.5</v>
      </c>
      <c r="Q105" s="4" cm="1">
        <f t="array" ref="Q105">INDEX(GMW!$A$2:$NF$60,MATCH(1,(GMW!$NE$2:$NE$60=Q$3)*(GMW!$ND$2:$ND$60=Q$4)*(GMW!$NF$2:$NF$60=Q$1),0),$F105-1966)</f>
        <v>-14.3</v>
      </c>
      <c r="R105" s="4" cm="1">
        <f t="array" ref="R105">INDEX(GMW!$A$2:$NF$60,MATCH(1,(GMW!$NE$2:$NE$60=R$3)*(GMW!$ND$2:$ND$60=R$4)*(GMW!$NF$2:$NF$60=R$1),0),$F105-1966)</f>
        <v>-13.23</v>
      </c>
      <c r="S105" s="4" cm="1">
        <f t="array" ref="S105">INDEX(GMW!$A$2:$NF$60,MATCH(1,(GMW!$NE$2:$NE$60=S$3)*(GMW!$ND$2:$ND$60=S$4)*(GMW!$NF$2:$NF$60=S$1),0),$F105-1966)</f>
        <v>-6.6255480000000002</v>
      </c>
      <c r="T105" s="4" cm="1">
        <f t="array" ref="T105">INDEX(GMW!$A$2:$NF$60,MATCH(1,(GMW!$NE$2:$NE$60=T$3)*(GMW!$ND$2:$ND$60=T$4)*(GMW!$NF$2:$NF$60=T$1),0),$F105-1966)</f>
        <v>681</v>
      </c>
      <c r="U105" s="4" cm="1">
        <f t="array" ref="U105">INDEX(GMW!$A$2:$NF$60,MATCH(1,(GMW!$NE$2:$NE$60=U$3)*(GMW!$ND$2:$ND$60=U$4)*(GMW!$NF$2:$NF$60=U$1),0),$F105-1966)</f>
        <v>422726</v>
      </c>
      <c r="V105" s="4" cm="1">
        <f t="array" ref="V105">INDEX(GMW!$A$2:$NF$60,MATCH(1,(GMW!$NE$2:$NE$60=V$3)*(GMW!$ND$2:$ND$60=V$4)*(GMW!$NF$2:$NF$60=V$1),0),$F105-1966)</f>
        <v>7330.4319999999998</v>
      </c>
      <c r="W105" s="4" cm="1">
        <f t="array" ref="W105">INDEX(GMW!$A$2:$NF$60,MATCH(1,(GMW!$NE$2:$NE$60=W$3)*(GMW!$ND$2:$ND$60=W$4)*(GMW!$NF$2:$NF$60=W$1),0),$F105-1966)</f>
        <v>528760</v>
      </c>
      <c r="X105" s="4" cm="1">
        <f t="array" ref="X105">INDEX(GMW!$A$2:$NF$60,MATCH(1,(GMW!$NE$2:$NE$60=X$3)*(GMW!$ND$2:$ND$60=X$4)*(GMW!$NF$2:$NF$60=X$1),0),$F105-1966)</f>
        <v>1122.2</v>
      </c>
      <c r="Y105" s="4" cm="1">
        <f t="array" ref="Y105">INDEX(GMW!$A$2:$NF$60,MATCH(1,(GMW!$NE$2:$NE$60=Y$3)*(GMW!$ND$2:$ND$60=Y$4)*(GMW!$NF$2:$NF$60=Y$1),0),$F105-1966)</f>
        <v>1043.9760000000001</v>
      </c>
      <c r="Z105" s="4" cm="1">
        <f t="array" ref="Z105">INDEX(GMW!$A$2:$NF$60,MATCH(1,(GMW!$NE$2:$NE$60=Z$3)*(GMW!$ND$2:$ND$60=Z$4)*(GMW!$NF$2:$NF$60=Z$1),0),$F105-1966)</f>
        <v>1364.4839999999999</v>
      </c>
      <c r="AA105" s="4" cm="1">
        <f t="array" ref="AA105">INDEX(GMW!$A$2:$NF$60,MATCH(1,(GMW!$NE$2:$NE$60=AA$3)*(GMW!$ND$2:$ND$60=AA$4)*(GMW!$NF$2:$NF$60=AA$1),0),$F105-1966)</f>
        <v>934632</v>
      </c>
      <c r="AB105" s="4" cm="1">
        <f t="array" ref="AB105">INDEX(GMW!$A$2:$NF$60,MATCH(1,(GMW!$NE$2:$NE$60=AB$3)*(GMW!$ND$2:$ND$60=AB$4)*(GMW!$NF$2:$NF$60=AB$1),0),$F105-1966)</f>
        <v>243388</v>
      </c>
      <c r="AC105" s="4" cm="1">
        <f t="array" ref="AC105">INDEX(GMW!$A$2:$NF$60,MATCH(1,(GMW!$NE$2:$NE$60=AC$3)*(GMW!$ND$2:$ND$60=AC$4)*(GMW!$NF$2:$NF$60=AC$1),0),$F105-1966)</f>
        <v>2165.6999999999998</v>
      </c>
      <c r="AD105" s="4" cm="1">
        <f t="array" ref="AD105">INDEX(GMW!$A$2:$NF$60,MATCH(1,(GMW!$NE$2:$NE$60=AD$3)*(GMW!$ND$2:$ND$60=AD$4)*(GMW!$NF$2:$NF$60=AD$1),0),$F105-1966)</f>
        <v>136010.70000000001</v>
      </c>
      <c r="AE105" s="4" cm="1">
        <f t="array" ref="AE105">INDEX(GMW!$A$2:$NF$60,MATCH(1,(GMW!$NE$2:$NE$60=AE$3)*(GMW!$ND$2:$ND$60=AE$4)*(GMW!$NF$2:$NF$60=AE$1),0),$F105-1966)</f>
        <v>494.67899999999997</v>
      </c>
      <c r="AF105" s="4" cm="1">
        <f t="array" ref="AF105">INDEX(GMW!$A$2:$NF$60,MATCH(1,(GMW!$NE$2:$NE$60=AF$3)*(GMW!$ND$2:$ND$60=AF$4)*(GMW!$NF$2:$NF$60=AF$1),0),$F105-1966)</f>
        <v>324.435</v>
      </c>
      <c r="AG105" s="4" cm="1">
        <f t="array" ref="AG105">INDEX(GMW!$A$2:$NF$60,MATCH(1,(GMW!$NE$2:$NE$60=AG$3)*(GMW!$ND$2:$ND$60=AG$4)*(GMW!$NF$2:$NF$60=AG$1),0),$F105-1966)</f>
        <v>275.53399999999999</v>
      </c>
      <c r="AH105" s="4" cm="1">
        <f t="array" ref="AH105">INDEX(GMW!$A$2:$NF$60,MATCH(1,(GMW!$NE$2:$NE$60=AH$3)*(GMW!$ND$2:$ND$60=AH$4)*(GMW!$NF$2:$NF$60=AH$1),0),$F105-1966)</f>
        <v>228141</v>
      </c>
    </row>
    <row r="106" spans="1:34" x14ac:dyDescent="0.25">
      <c r="B106" s="4">
        <f t="shared" si="31"/>
        <v>1997</v>
      </c>
      <c r="C106" s="4">
        <f t="shared" si="31"/>
        <v>1997</v>
      </c>
      <c r="E106" s="4">
        <f t="shared" ref="E106" si="35">+E102+1</f>
        <v>1997</v>
      </c>
      <c r="F106" s="4">
        <f t="shared" si="17"/>
        <v>2072</v>
      </c>
      <c r="G106" s="4" cm="1">
        <f t="array" ref="G106">INDEX(GMW!$A$2:$NF$60,MATCH(1,(GMW!$NE$2:$NE$60=G$3)*(GMW!$ND$2:$ND$60=G$4)*(GMW!$NF$2:$NF$60=G$1),0),$F106-1966)</f>
        <v>411352</v>
      </c>
      <c r="H106" s="4" cm="1">
        <f t="array" ref="H106">INDEX(GMW!$A$2:$NF$60,MATCH(1,(GMW!$NE$2:$NE$60=H$3)*(GMW!$ND$2:$ND$60=H$4)*(GMW!$NF$2:$NF$60=H$1),0),$F106-1966)</f>
        <v>3144.375</v>
      </c>
      <c r="I106" s="4" cm="1">
        <f t="array" ref="I106">INDEX(GMW!$A$2:$NF$60,MATCH(1,(GMW!$NE$2:$NE$60=I$3)*(GMW!$ND$2:$ND$60=I$4)*(GMW!$NF$2:$NF$60=I$1),0),$F106-1966)</f>
        <v>119301.8</v>
      </c>
      <c r="J106" s="4" cm="1">
        <f t="array" ref="J106">INDEX(GMW!$A$2:$NF$60,MATCH(1,(GMW!$NE$2:$NE$60=J$3)*(GMW!$ND$2:$ND$60=J$4)*(GMW!$NF$2:$NF$60=J$1),0),$F106-1966)</f>
        <v>666.33</v>
      </c>
      <c r="K106" s="4" cm="1">
        <f t="array" ref="K106">INDEX(GMW!$A$2:$NF$60,MATCH(1,(GMW!$NE$2:$NE$60=K$3)*(GMW!$ND$2:$ND$60=K$4)*(GMW!$NF$2:$NF$60=K$1),0),$F106-1966)</f>
        <v>443.31400000000002</v>
      </c>
      <c r="L106" s="4" cm="1">
        <f t="array" ref="L106">INDEX(GMW!$A$2:$NF$60,MATCH(1,(GMW!$NE$2:$NE$60=L$3)*(GMW!$ND$2:$ND$60=L$4)*(GMW!$NF$2:$NF$60=L$1),0),$F106-1966)</f>
        <v>418.613</v>
      </c>
      <c r="M106" s="4" cm="1">
        <f t="array" ref="M106">INDEX(GMW!$A$2:$NF$60,MATCH(1,(GMW!$NE$2:$NE$60=M$3)*(GMW!$ND$2:$ND$60=M$4)*(GMW!$NF$2:$NF$60=M$1),0),$F106-1966)</f>
        <v>339839.5</v>
      </c>
      <c r="N106" s="4" cm="1">
        <f t="array" ref="N106">INDEX(GMW!$A$2:$NF$60,MATCH(1,(GMW!$NE$2:$NE$60=N$3)*(GMW!$ND$2:$ND$60=N$4)*(GMW!$NF$2:$NF$60=N$1),0),$F106-1966)</f>
        <v>2298</v>
      </c>
      <c r="O106" s="4" cm="1">
        <f t="array" ref="O106">INDEX(GMW!$A$2:$NF$60,MATCH(1,(GMW!$NE$2:$NE$60=O$3)*(GMW!$ND$2:$ND$60=O$4)*(GMW!$NF$2:$NF$60=O$1),0),$F106-1966)</f>
        <v>-40.748249999999999</v>
      </c>
      <c r="P106" s="4" cm="1">
        <f t="array" ref="P106">INDEX(GMW!$A$2:$NF$60,MATCH(1,(GMW!$NE$2:$NE$60=P$3)*(GMW!$ND$2:$ND$60=P$4)*(GMW!$NF$2:$NF$60=P$1),0),$F106-1966)</f>
        <v>-7877.2489999999998</v>
      </c>
      <c r="Q106" s="4" cm="1">
        <f t="array" ref="Q106">INDEX(GMW!$A$2:$NF$60,MATCH(1,(GMW!$NE$2:$NE$60=Q$3)*(GMW!$ND$2:$ND$60=Q$4)*(GMW!$NF$2:$NF$60=Q$1),0),$F106-1966)</f>
        <v>-10.505000000000001</v>
      </c>
      <c r="R106" s="4" cm="1">
        <f t="array" ref="R106">INDEX(GMW!$A$2:$NF$60,MATCH(1,(GMW!$NE$2:$NE$60=R$3)*(GMW!$ND$2:$ND$60=R$4)*(GMW!$NF$2:$NF$60=R$1),0),$F106-1966)</f>
        <v>-11.301</v>
      </c>
      <c r="S106" s="4" cm="1">
        <f t="array" ref="S106">INDEX(GMW!$A$2:$NF$60,MATCH(1,(GMW!$NE$2:$NE$60=S$3)*(GMW!$ND$2:$ND$60=S$4)*(GMW!$NF$2:$NF$60=S$1),0),$F106-1966)</f>
        <v>-7.4953890000000003</v>
      </c>
      <c r="T106" s="4" cm="1">
        <f t="array" ref="T106">INDEX(GMW!$A$2:$NF$60,MATCH(1,(GMW!$NE$2:$NE$60=T$3)*(GMW!$ND$2:$ND$60=T$4)*(GMW!$NF$2:$NF$60=T$1),0),$F106-1966)</f>
        <v>2722</v>
      </c>
      <c r="U106" s="4" cm="1">
        <f t="array" ref="U106">INDEX(GMW!$A$2:$NF$60,MATCH(1,(GMW!$NE$2:$NE$60=U$3)*(GMW!$ND$2:$ND$60=U$4)*(GMW!$NF$2:$NF$60=U$1),0),$F106-1966)</f>
        <v>420757</v>
      </c>
      <c r="V106" s="4" cm="1">
        <f t="array" ref="V106">INDEX(GMW!$A$2:$NF$60,MATCH(1,(GMW!$NE$2:$NE$60=V$3)*(GMW!$ND$2:$ND$60=V$4)*(GMW!$NF$2:$NF$60=V$1),0),$F106-1966)</f>
        <v>7416.5810000000001</v>
      </c>
      <c r="W106" s="4" cm="1">
        <f t="array" ref="W106">INDEX(GMW!$A$2:$NF$60,MATCH(1,(GMW!$NE$2:$NE$60=W$3)*(GMW!$ND$2:$ND$60=W$4)*(GMW!$NF$2:$NF$60=W$1),0),$F106-1966)</f>
        <v>542355</v>
      </c>
      <c r="X106" s="4" cm="1">
        <f t="array" ref="X106">INDEX(GMW!$A$2:$NF$60,MATCH(1,(GMW!$NE$2:$NE$60=X$3)*(GMW!$ND$2:$ND$60=X$4)*(GMW!$NF$2:$NF$60=X$1),0),$F106-1966)</f>
        <v>1128.9860000000001</v>
      </c>
      <c r="Y106" s="4" cm="1">
        <f t="array" ref="Y106">INDEX(GMW!$A$2:$NF$60,MATCH(1,(GMW!$NE$2:$NE$60=Y$3)*(GMW!$ND$2:$ND$60=Y$4)*(GMW!$NF$2:$NF$60=Y$1),0),$F106-1966)</f>
        <v>1047.212</v>
      </c>
      <c r="Z106" s="4" cm="1">
        <f t="array" ref="Z106">INDEX(GMW!$A$2:$NF$60,MATCH(1,(GMW!$NE$2:$NE$60=Z$3)*(GMW!$ND$2:$ND$60=Z$4)*(GMW!$NF$2:$NF$60=Z$1),0),$F106-1966)</f>
        <v>1384.0619999999999</v>
      </c>
      <c r="AA106" s="4" cm="1">
        <f t="array" ref="AA106">INDEX(GMW!$A$2:$NF$60,MATCH(1,(GMW!$NE$2:$NE$60=AA$3)*(GMW!$ND$2:$ND$60=AA$4)*(GMW!$NF$2:$NF$60=AA$1),0),$F106-1966)</f>
        <v>950251</v>
      </c>
      <c r="AB106" s="4" cm="1">
        <f t="array" ref="AB106">INDEX(GMW!$A$2:$NF$60,MATCH(1,(GMW!$NE$2:$NE$60=AB$3)*(GMW!$ND$2:$ND$60=AB$4)*(GMW!$NF$2:$NF$60=AB$1),0),$F106-1966)</f>
        <v>241270</v>
      </c>
      <c r="AC106" s="4" cm="1">
        <f t="array" ref="AC106">INDEX(GMW!$A$2:$NF$60,MATCH(1,(GMW!$NE$2:$NE$60=AC$3)*(GMW!$ND$2:$ND$60=AC$4)*(GMW!$NF$2:$NF$60=AC$1),0),$F106-1966)</f>
        <v>2191.4749999999999</v>
      </c>
      <c r="AD106" s="4" cm="1">
        <f t="array" ref="AD106">INDEX(GMW!$A$2:$NF$60,MATCH(1,(GMW!$NE$2:$NE$60=AD$3)*(GMW!$ND$2:$ND$60=AD$4)*(GMW!$NF$2:$NF$60=AD$1),0),$F106-1966)</f>
        <v>136246.6</v>
      </c>
      <c r="AE106" s="4" cm="1">
        <f t="array" ref="AE106">INDEX(GMW!$A$2:$NF$60,MATCH(1,(GMW!$NE$2:$NE$60=AE$3)*(GMW!$ND$2:$ND$60=AE$4)*(GMW!$NF$2:$NF$60=AE$1),0),$F106-1966)</f>
        <v>499.19400000000002</v>
      </c>
      <c r="AF106" s="4" cm="1">
        <f t="array" ref="AF106">INDEX(GMW!$A$2:$NF$60,MATCH(1,(GMW!$NE$2:$NE$60=AF$3)*(GMW!$ND$2:$ND$60=AF$4)*(GMW!$NF$2:$NF$60=AF$1),0),$F106-1966)</f>
        <v>328.81200000000001</v>
      </c>
      <c r="AG106" s="4" cm="1">
        <f t="array" ref="AG106">INDEX(GMW!$A$2:$NF$60,MATCH(1,(GMW!$NE$2:$NE$60=AG$3)*(GMW!$ND$2:$ND$60=AG$4)*(GMW!$NF$2:$NF$60=AG$1),0),$F106-1966)</f>
        <v>279.63799999999998</v>
      </c>
      <c r="AH106" s="4" cm="1">
        <f t="array" ref="AH106">INDEX(GMW!$A$2:$NF$60,MATCH(1,(GMW!$NE$2:$NE$60=AH$3)*(GMW!$ND$2:$ND$60=AH$4)*(GMW!$NF$2:$NF$60=AH$1),0),$F106-1966)</f>
        <v>230995</v>
      </c>
    </row>
    <row r="107" spans="1:34" x14ac:dyDescent="0.25">
      <c r="A107" s="4">
        <v>1998</v>
      </c>
      <c r="B107" s="4">
        <f t="shared" si="31"/>
        <v>1998</v>
      </c>
      <c r="C107" s="4">
        <f t="shared" si="31"/>
        <v>1997</v>
      </c>
      <c r="D107" s="4">
        <f t="shared" si="31"/>
        <v>1997</v>
      </c>
      <c r="F107" s="4">
        <f t="shared" si="17"/>
        <v>2073</v>
      </c>
      <c r="G107" s="4" cm="1">
        <f t="array" ref="G107">INDEX(GMW!$A$2:$NF$60,MATCH(1,(GMW!$NE$2:$NE$60=G$3)*(GMW!$ND$2:$ND$60=G$4)*(GMW!$NF$2:$NF$60=G$1),0),$F107-1966)</f>
        <v>414377</v>
      </c>
      <c r="H107" s="4" cm="1">
        <f t="array" ref="H107">INDEX(GMW!$A$2:$NF$60,MATCH(1,(GMW!$NE$2:$NE$60=H$3)*(GMW!$ND$2:$ND$60=H$4)*(GMW!$NF$2:$NF$60=H$1),0),$F107-1966)</f>
        <v>3175.9250000000002</v>
      </c>
      <c r="I107" s="4" cm="1">
        <f t="array" ref="I107">INDEX(GMW!$A$2:$NF$60,MATCH(1,(GMW!$NE$2:$NE$60=I$3)*(GMW!$ND$2:$ND$60=I$4)*(GMW!$NF$2:$NF$60=I$1),0),$F107-1966)</f>
        <v>117820.5</v>
      </c>
      <c r="J107" s="4" cm="1">
        <f t="array" ref="J107">INDEX(GMW!$A$2:$NF$60,MATCH(1,(GMW!$NE$2:$NE$60=J$3)*(GMW!$ND$2:$ND$60=J$4)*(GMW!$NF$2:$NF$60=J$1),0),$F107-1966)</f>
        <v>672.7</v>
      </c>
      <c r="K107" s="4" cm="1">
        <f t="array" ref="K107">INDEX(GMW!$A$2:$NF$60,MATCH(1,(GMW!$NE$2:$NE$60=K$3)*(GMW!$ND$2:$ND$60=K$4)*(GMW!$NF$2:$NF$60=K$1),0),$F107-1966)</f>
        <v>447.56400000000002</v>
      </c>
      <c r="L107" s="4" cm="1">
        <f t="array" ref="L107">INDEX(GMW!$A$2:$NF$60,MATCH(1,(GMW!$NE$2:$NE$60=L$3)*(GMW!$ND$2:$ND$60=L$4)*(GMW!$NF$2:$NF$60=L$1),0),$F107-1966)</f>
        <v>416.49799999999999</v>
      </c>
      <c r="M107" s="4" cm="1">
        <f t="array" ref="M107">INDEX(GMW!$A$2:$NF$60,MATCH(1,(GMW!$NE$2:$NE$60=M$3)*(GMW!$ND$2:$ND$60=M$4)*(GMW!$NF$2:$NF$60=M$1),0),$F107-1966)</f>
        <v>344638</v>
      </c>
      <c r="N107" s="4" cm="1">
        <f t="array" ref="N107">INDEX(GMW!$A$2:$NF$60,MATCH(1,(GMW!$NE$2:$NE$60=N$3)*(GMW!$ND$2:$ND$60=N$4)*(GMW!$NF$2:$NF$60=N$1),0),$F107-1966)</f>
        <v>4223</v>
      </c>
      <c r="O107" s="4" cm="1">
        <f t="array" ref="O107">INDEX(GMW!$A$2:$NF$60,MATCH(1,(GMW!$NE$2:$NE$60=O$3)*(GMW!$ND$2:$ND$60=O$4)*(GMW!$NF$2:$NF$60=O$1),0),$F107-1966)</f>
        <v>-25.920999999999999</v>
      </c>
      <c r="P107" s="4" cm="1">
        <f t="array" ref="P107">INDEX(GMW!$A$2:$NF$60,MATCH(1,(GMW!$NE$2:$NE$60=P$3)*(GMW!$ND$2:$ND$60=P$4)*(GMW!$NF$2:$NF$60=P$1),0),$F107-1966)</f>
        <v>-11739.25</v>
      </c>
      <c r="Q107" s="4" cm="1">
        <f t="array" ref="Q107">INDEX(GMW!$A$2:$NF$60,MATCH(1,(GMW!$NE$2:$NE$60=Q$3)*(GMW!$ND$2:$ND$60=Q$4)*(GMW!$NF$2:$NF$60=Q$1),0),$F107-1966)</f>
        <v>-17.294</v>
      </c>
      <c r="R107" s="4" cm="1">
        <f t="array" ref="R107">INDEX(GMW!$A$2:$NF$60,MATCH(1,(GMW!$NE$2:$NE$60=R$3)*(GMW!$ND$2:$ND$60=R$4)*(GMW!$NF$2:$NF$60=R$1),0),$F107-1966)</f>
        <v>-9.3870000000000005</v>
      </c>
      <c r="S107" s="4" cm="1">
        <f t="array" ref="S107">INDEX(GMW!$A$2:$NF$60,MATCH(1,(GMW!$NE$2:$NE$60=S$3)*(GMW!$ND$2:$ND$60=S$4)*(GMW!$NF$2:$NF$60=S$1),0),$F107-1966)</f>
        <v>-8.6912489999999991</v>
      </c>
      <c r="T107" s="4" cm="1">
        <f t="array" ref="T107">INDEX(GMW!$A$2:$NF$60,MATCH(1,(GMW!$NE$2:$NE$60=T$3)*(GMW!$ND$2:$ND$60=T$4)*(GMW!$NF$2:$NF$60=T$1),0),$F107-1966)</f>
        <v>-423</v>
      </c>
      <c r="U107" s="4" cm="1">
        <f t="array" ref="U107">INDEX(GMW!$A$2:$NF$60,MATCH(1,(GMW!$NE$2:$NE$60=U$3)*(GMW!$ND$2:$ND$60=U$4)*(GMW!$NF$2:$NF$60=U$1),0),$F107-1966)</f>
        <v>412278</v>
      </c>
      <c r="V107" s="4" cm="1">
        <f t="array" ref="V107">INDEX(GMW!$A$2:$NF$60,MATCH(1,(GMW!$NE$2:$NE$60=V$3)*(GMW!$ND$2:$ND$60=V$4)*(GMW!$NF$2:$NF$60=V$1),0),$F107-1966)</f>
        <v>7389.2730000000001</v>
      </c>
      <c r="W107" s="4" cm="1">
        <f t="array" ref="W107">INDEX(GMW!$A$2:$NF$60,MATCH(1,(GMW!$NE$2:$NE$60=W$3)*(GMW!$ND$2:$ND$60=W$4)*(GMW!$NF$2:$NF$60=W$1),0),$F107-1966)</f>
        <v>554316</v>
      </c>
      <c r="X107" s="4" cm="1">
        <f t="array" ref="X107">INDEX(GMW!$A$2:$NF$60,MATCH(1,(GMW!$NE$2:$NE$60=X$3)*(GMW!$ND$2:$ND$60=X$4)*(GMW!$NF$2:$NF$60=X$1),0),$F107-1966)</f>
        <v>1135.6410000000001</v>
      </c>
      <c r="Y107" s="4" cm="1">
        <f t="array" ref="Y107">INDEX(GMW!$A$2:$NF$60,MATCH(1,(GMW!$NE$2:$NE$60=Y$3)*(GMW!$ND$2:$ND$60=Y$4)*(GMW!$NF$2:$NF$60=Y$1),0),$F107-1966)</f>
        <v>1043.663</v>
      </c>
      <c r="Z107" s="4" cm="1">
        <f t="array" ref="Z107">INDEX(GMW!$A$2:$NF$60,MATCH(1,(GMW!$NE$2:$NE$60=Z$3)*(GMW!$ND$2:$ND$60=Z$4)*(GMW!$NF$2:$NF$60=Z$1),0),$F107-1966)</f>
        <v>1402.4929999999999</v>
      </c>
      <c r="AA107" s="4" cm="1">
        <f t="array" ref="AA107">INDEX(GMW!$A$2:$NF$60,MATCH(1,(GMW!$NE$2:$NE$60=AA$3)*(GMW!$ND$2:$ND$60=AA$4)*(GMW!$NF$2:$NF$60=AA$1),0),$F107-1966)</f>
        <v>966912</v>
      </c>
      <c r="AB107" s="4" cm="1">
        <f t="array" ref="AB107">INDEX(GMW!$A$2:$NF$60,MATCH(1,(GMW!$NE$2:$NE$60=AB$3)*(GMW!$ND$2:$ND$60=AB$4)*(GMW!$NF$2:$NF$60=AB$1),0),$F107-1966)</f>
        <v>245958</v>
      </c>
      <c r="AC107" s="4" cm="1">
        <f t="array" ref="AC107">INDEX(GMW!$A$2:$NF$60,MATCH(1,(GMW!$NE$2:$NE$60=AC$3)*(GMW!$ND$2:$ND$60=AC$4)*(GMW!$NF$2:$NF$60=AC$1),0),$F107-1966)</f>
        <v>2216.625</v>
      </c>
      <c r="AD107" s="4" cm="1">
        <f t="array" ref="AD107">INDEX(GMW!$A$2:$NF$60,MATCH(1,(GMW!$NE$2:$NE$60=AD$3)*(GMW!$ND$2:$ND$60=AD$4)*(GMW!$NF$2:$NF$60=AD$1),0),$F107-1966)</f>
        <v>134490.20000000001</v>
      </c>
      <c r="AE107" s="4" cm="1">
        <f t="array" ref="AE107">INDEX(GMW!$A$2:$NF$60,MATCH(1,(GMW!$NE$2:$NE$60=AE$3)*(GMW!$ND$2:$ND$60=AE$4)*(GMW!$NF$2:$NF$60=AE$1),0),$F107-1966)</f>
        <v>503.13</v>
      </c>
      <c r="AF107" s="4" cm="1">
        <f t="array" ref="AF107">INDEX(GMW!$A$2:$NF$60,MATCH(1,(GMW!$NE$2:$NE$60=AF$3)*(GMW!$ND$2:$ND$60=AF$4)*(GMW!$NF$2:$NF$60=AF$1),0),$F107-1966)</f>
        <v>333.03699999999998</v>
      </c>
      <c r="AG107" s="4" cm="1">
        <f t="array" ref="AG107">INDEX(GMW!$A$2:$NF$60,MATCH(1,(GMW!$NE$2:$NE$60=AG$3)*(GMW!$ND$2:$ND$60=AG$4)*(GMW!$NF$2:$NF$60=AG$1),0),$F107-1966)</f>
        <v>281.327</v>
      </c>
      <c r="AH107" s="4" cm="1">
        <f t="array" ref="AH107">INDEX(GMW!$A$2:$NF$60,MATCH(1,(GMW!$NE$2:$NE$60=AH$3)*(GMW!$ND$2:$ND$60=AH$4)*(GMW!$NF$2:$NF$60=AH$1),0),$F107-1966)</f>
        <v>233653</v>
      </c>
    </row>
    <row r="108" spans="1:34" x14ac:dyDescent="0.25">
      <c r="B108" s="4">
        <f t="shared" ref="B108:D123" si="36">+B104+1</f>
        <v>1998</v>
      </c>
      <c r="C108" s="4">
        <f t="shared" si="36"/>
        <v>1998</v>
      </c>
      <c r="F108" s="4">
        <f t="shared" si="17"/>
        <v>2074</v>
      </c>
      <c r="G108" s="4" cm="1">
        <f t="array" ref="G108">INDEX(GMW!$A$2:$NF$60,MATCH(1,(GMW!$NE$2:$NE$60=G$3)*(GMW!$ND$2:$ND$60=G$4)*(GMW!$NF$2:$NF$60=G$1),0),$F108-1966)</f>
        <v>416909</v>
      </c>
      <c r="H108" s="4" cm="1">
        <f t="array" ref="H108">INDEX(GMW!$A$2:$NF$60,MATCH(1,(GMW!$NE$2:$NE$60=H$3)*(GMW!$ND$2:$ND$60=H$4)*(GMW!$NF$2:$NF$60=H$1),0),$F108-1966)</f>
        <v>3205.3249999999998</v>
      </c>
      <c r="I108" s="4" cm="1">
        <f t="array" ref="I108">INDEX(GMW!$A$2:$NF$60,MATCH(1,(GMW!$NE$2:$NE$60=I$3)*(GMW!$ND$2:$ND$60=I$4)*(GMW!$NF$2:$NF$60=I$1),0),$F108-1966)</f>
        <v>117331.6</v>
      </c>
      <c r="J108" s="4" cm="1">
        <f t="array" ref="J108">INDEX(GMW!$A$2:$NF$60,MATCH(1,(GMW!$NE$2:$NE$60=J$3)*(GMW!$ND$2:$ND$60=J$4)*(GMW!$NF$2:$NF$60=J$1),0),$F108-1966)</f>
        <v>669.59</v>
      </c>
      <c r="K108" s="4" cm="1">
        <f t="array" ref="K108">INDEX(GMW!$A$2:$NF$60,MATCH(1,(GMW!$NE$2:$NE$60=K$3)*(GMW!$ND$2:$ND$60=K$4)*(GMW!$NF$2:$NF$60=K$1),0),$F108-1966)</f>
        <v>450.76900000000001</v>
      </c>
      <c r="L108" s="4" cm="1">
        <f t="array" ref="L108">INDEX(GMW!$A$2:$NF$60,MATCH(1,(GMW!$NE$2:$NE$60=L$3)*(GMW!$ND$2:$ND$60=L$4)*(GMW!$NF$2:$NF$60=L$1),0),$F108-1966)</f>
        <v>419</v>
      </c>
      <c r="M108" s="4" cm="1">
        <f t="array" ref="M108">INDEX(GMW!$A$2:$NF$60,MATCH(1,(GMW!$NE$2:$NE$60=M$3)*(GMW!$ND$2:$ND$60=M$4)*(GMW!$NF$2:$NF$60=M$1),0),$F108-1966)</f>
        <v>344820.5</v>
      </c>
      <c r="N108" s="4" cm="1">
        <f t="array" ref="N108">INDEX(GMW!$A$2:$NF$60,MATCH(1,(GMW!$NE$2:$NE$60=N$3)*(GMW!$ND$2:$ND$60=N$4)*(GMW!$NF$2:$NF$60=N$1),0),$F108-1966)</f>
        <v>-9178.0010000000002</v>
      </c>
      <c r="O108" s="4" cm="1">
        <f t="array" ref="O108">INDEX(GMW!$A$2:$NF$60,MATCH(1,(GMW!$NE$2:$NE$60=O$3)*(GMW!$ND$2:$ND$60=O$4)*(GMW!$NF$2:$NF$60=O$1),0),$F108-1966)</f>
        <v>-25.850750000000001</v>
      </c>
      <c r="P108" s="4" cm="1">
        <f t="array" ref="P108">INDEX(GMW!$A$2:$NF$60,MATCH(1,(GMW!$NE$2:$NE$60=P$3)*(GMW!$ND$2:$ND$60=P$4)*(GMW!$NF$2:$NF$60=P$1),0),$F108-1966)</f>
        <v>-13453</v>
      </c>
      <c r="Q108" s="4" cm="1">
        <f t="array" ref="Q108">INDEX(GMW!$A$2:$NF$60,MATCH(1,(GMW!$NE$2:$NE$60=Q$3)*(GMW!$ND$2:$ND$60=Q$4)*(GMW!$NF$2:$NF$60=Q$1),0),$F108-1966)</f>
        <v>-11.154999999999999</v>
      </c>
      <c r="R108" s="4" cm="1">
        <f t="array" ref="R108">INDEX(GMW!$A$2:$NF$60,MATCH(1,(GMW!$NE$2:$NE$60=R$3)*(GMW!$ND$2:$ND$60=R$4)*(GMW!$NF$2:$NF$60=R$1),0),$F108-1966)</f>
        <v>-8.9849999999999994</v>
      </c>
      <c r="S108" s="4" cm="1">
        <f t="array" ref="S108">INDEX(GMW!$A$2:$NF$60,MATCH(1,(GMW!$NE$2:$NE$60=S$3)*(GMW!$ND$2:$ND$60=S$4)*(GMW!$NF$2:$NF$60=S$1),0),$F108-1966)</f>
        <v>-9.0809370000000005</v>
      </c>
      <c r="T108" s="4" cm="1">
        <f t="array" ref="T108">INDEX(GMW!$A$2:$NF$60,MATCH(1,(GMW!$NE$2:$NE$60=T$3)*(GMW!$ND$2:$ND$60=T$4)*(GMW!$NF$2:$NF$60=T$1),0),$F108-1966)</f>
        <v>2180</v>
      </c>
      <c r="U108" s="4" cm="1">
        <f t="array" ref="U108">INDEX(GMW!$A$2:$NF$60,MATCH(1,(GMW!$NE$2:$NE$60=U$3)*(GMW!$ND$2:$ND$60=U$4)*(GMW!$NF$2:$NF$60=U$1),0),$F108-1966)</f>
        <v>420034</v>
      </c>
      <c r="V108" s="4" cm="1">
        <f t="array" ref="V108">INDEX(GMW!$A$2:$NF$60,MATCH(1,(GMW!$NE$2:$NE$60=V$3)*(GMW!$ND$2:$ND$60=V$4)*(GMW!$NF$2:$NF$60=V$1),0),$F108-1966)</f>
        <v>7352.55</v>
      </c>
      <c r="W108" s="4" cm="1">
        <f t="array" ref="W108">INDEX(GMW!$A$2:$NF$60,MATCH(1,(GMW!$NE$2:$NE$60=W$3)*(GMW!$ND$2:$ND$60=W$4)*(GMW!$NF$2:$NF$60=W$1),0),$F108-1966)</f>
        <v>566277</v>
      </c>
      <c r="X108" s="4" cm="1">
        <f t="array" ref="X108">INDEX(GMW!$A$2:$NF$60,MATCH(1,(GMW!$NE$2:$NE$60=X$3)*(GMW!$ND$2:$ND$60=X$4)*(GMW!$NF$2:$NF$60=X$1),0),$F108-1966)</f>
        <v>1143.664</v>
      </c>
      <c r="Y108" s="4" cm="1">
        <f t="array" ref="Y108">INDEX(GMW!$A$2:$NF$60,MATCH(1,(GMW!$NE$2:$NE$60=Y$3)*(GMW!$ND$2:$ND$60=Y$4)*(GMW!$NF$2:$NF$60=Y$1),0),$F108-1966)</f>
        <v>1051.5219999999999</v>
      </c>
      <c r="Z108" s="4" cm="1">
        <f t="array" ref="Z108">INDEX(GMW!$A$2:$NF$60,MATCH(1,(GMW!$NE$2:$NE$60=Z$3)*(GMW!$ND$2:$ND$60=Z$4)*(GMW!$NF$2:$NF$60=Z$1),0),$F108-1966)</f>
        <v>1420.925</v>
      </c>
      <c r="AA108" s="4" cm="1">
        <f t="array" ref="AA108">INDEX(GMW!$A$2:$NF$60,MATCH(1,(GMW!$NE$2:$NE$60=AA$3)*(GMW!$ND$2:$ND$60=AA$4)*(GMW!$NF$2:$NF$60=AA$1),0),$F108-1966)</f>
        <v>960990</v>
      </c>
      <c r="AB108" s="4" cm="1">
        <f t="array" ref="AB108">INDEX(GMW!$A$2:$NF$60,MATCH(1,(GMW!$NE$2:$NE$60=AB$3)*(GMW!$ND$2:$ND$60=AB$4)*(GMW!$NF$2:$NF$60=AB$1),0),$F108-1966)</f>
        <v>248081</v>
      </c>
      <c r="AC108" s="4" cm="1">
        <f t="array" ref="AC108">INDEX(GMW!$A$2:$NF$60,MATCH(1,(GMW!$NE$2:$NE$60=AC$3)*(GMW!$ND$2:$ND$60=AC$4)*(GMW!$NF$2:$NF$60=AC$1),0),$F108-1966)</f>
        <v>2242.4250000000002</v>
      </c>
      <c r="AD108" s="4" cm="1">
        <f t="array" ref="AD108">INDEX(GMW!$A$2:$NF$60,MATCH(1,(GMW!$NE$2:$NE$60=AD$3)*(GMW!$ND$2:$ND$60=AD$4)*(GMW!$NF$2:$NF$60=AD$1),0),$F108-1966)</f>
        <v>133701.9</v>
      </c>
      <c r="AE108" s="4" cm="1">
        <f t="array" ref="AE108">INDEX(GMW!$A$2:$NF$60,MATCH(1,(GMW!$NE$2:$NE$60=AE$3)*(GMW!$ND$2:$ND$60=AE$4)*(GMW!$NF$2:$NF$60=AE$1),0),$F108-1966)</f>
        <v>503.37900000000002</v>
      </c>
      <c r="AF108" s="4" cm="1">
        <f t="array" ref="AF108">INDEX(GMW!$A$2:$NF$60,MATCH(1,(GMW!$NE$2:$NE$60=AF$3)*(GMW!$ND$2:$ND$60=AF$4)*(GMW!$NF$2:$NF$60=AF$1),0),$F108-1966)</f>
        <v>336.04899999999998</v>
      </c>
      <c r="AG108" s="4" cm="1">
        <f t="array" ref="AG108">INDEX(GMW!$A$2:$NF$60,MATCH(1,(GMW!$NE$2:$NE$60=AG$3)*(GMW!$ND$2:$ND$60=AG$4)*(GMW!$NF$2:$NF$60=AG$1),0),$F108-1966)</f>
        <v>285.02100000000002</v>
      </c>
      <c r="AH108" s="4" cm="1">
        <f t="array" ref="AH108">INDEX(GMW!$A$2:$NF$60,MATCH(1,(GMW!$NE$2:$NE$60=AH$3)*(GMW!$ND$2:$ND$60=AH$4)*(GMW!$NF$2:$NF$60=AH$1),0),$F108-1966)</f>
        <v>233803</v>
      </c>
    </row>
    <row r="109" spans="1:34" x14ac:dyDescent="0.25">
      <c r="B109" s="4">
        <f t="shared" si="36"/>
        <v>1998</v>
      </c>
      <c r="C109" s="4">
        <f t="shared" si="36"/>
        <v>1998</v>
      </c>
      <c r="F109" s="4">
        <f t="shared" si="17"/>
        <v>2075</v>
      </c>
      <c r="G109" s="4" cm="1">
        <f t="array" ref="G109">INDEX(GMW!$A$2:$NF$60,MATCH(1,(GMW!$NE$2:$NE$60=G$3)*(GMW!$ND$2:$ND$60=G$4)*(GMW!$NF$2:$NF$60=G$1),0),$F109-1966)</f>
        <v>418294</v>
      </c>
      <c r="H109" s="4" cm="1">
        <f t="array" ref="H109">INDEX(GMW!$A$2:$NF$60,MATCH(1,(GMW!$NE$2:$NE$60=H$3)*(GMW!$ND$2:$ND$60=H$4)*(GMW!$NF$2:$NF$60=H$1),0),$F109-1966)</f>
        <v>3245.7</v>
      </c>
      <c r="I109" s="4" cm="1">
        <f t="array" ref="I109">INDEX(GMW!$A$2:$NF$60,MATCH(1,(GMW!$NE$2:$NE$60=I$3)*(GMW!$ND$2:$ND$60=I$4)*(GMW!$NF$2:$NF$60=I$1),0),$F109-1966)</f>
        <v>117535.2</v>
      </c>
      <c r="J109" s="4" cm="1">
        <f t="array" ref="J109">INDEX(GMW!$A$2:$NF$60,MATCH(1,(GMW!$NE$2:$NE$60=J$3)*(GMW!$ND$2:$ND$60=J$4)*(GMW!$NF$2:$NF$60=J$1),0),$F109-1966)</f>
        <v>672.87</v>
      </c>
      <c r="K109" s="4" cm="1">
        <f t="array" ref="K109">INDEX(GMW!$A$2:$NF$60,MATCH(1,(GMW!$NE$2:$NE$60=K$3)*(GMW!$ND$2:$ND$60=K$4)*(GMW!$NF$2:$NF$60=K$1),0),$F109-1966)</f>
        <v>453.1</v>
      </c>
      <c r="L109" s="4" cm="1">
        <f t="array" ref="L109">INDEX(GMW!$A$2:$NF$60,MATCH(1,(GMW!$NE$2:$NE$60=L$3)*(GMW!$ND$2:$ND$60=L$4)*(GMW!$NF$2:$NF$60=L$1),0),$F109-1966)</f>
        <v>419.32100000000003</v>
      </c>
      <c r="M109" s="4" cm="1">
        <f t="array" ref="M109">INDEX(GMW!$A$2:$NF$60,MATCH(1,(GMW!$NE$2:$NE$60=M$3)*(GMW!$ND$2:$ND$60=M$4)*(GMW!$NF$2:$NF$60=M$1),0),$F109-1966)</f>
        <v>347962.5</v>
      </c>
      <c r="N109" s="4" cm="1">
        <f t="array" ref="N109">INDEX(GMW!$A$2:$NF$60,MATCH(1,(GMW!$NE$2:$NE$60=N$3)*(GMW!$ND$2:$ND$60=N$4)*(GMW!$NF$2:$NF$60=N$1),0),$F109-1966)</f>
        <v>-1093</v>
      </c>
      <c r="O109" s="4" cm="1">
        <f t="array" ref="O109">INDEX(GMW!$A$2:$NF$60,MATCH(1,(GMW!$NE$2:$NE$60=O$3)*(GMW!$ND$2:$ND$60=O$4)*(GMW!$NF$2:$NF$60=O$1),0),$F109-1966)</f>
        <v>-19.119250000000001</v>
      </c>
      <c r="P109" s="4" cm="1">
        <f t="array" ref="P109">INDEX(GMW!$A$2:$NF$60,MATCH(1,(GMW!$NE$2:$NE$60=P$3)*(GMW!$ND$2:$ND$60=P$4)*(GMW!$NF$2:$NF$60=P$1),0),$F109-1966)</f>
        <v>-14239.25</v>
      </c>
      <c r="Q109" s="4" cm="1">
        <f t="array" ref="Q109">INDEX(GMW!$A$2:$NF$60,MATCH(1,(GMW!$NE$2:$NE$60=Q$3)*(GMW!$ND$2:$ND$60=Q$4)*(GMW!$NF$2:$NF$60=Q$1),0),$F109-1966)</f>
        <v>-15.349</v>
      </c>
      <c r="R109" s="4" cm="1">
        <f t="array" ref="R109">INDEX(GMW!$A$2:$NF$60,MATCH(1,(GMW!$NE$2:$NE$60=R$3)*(GMW!$ND$2:$ND$60=R$4)*(GMW!$NF$2:$NF$60=R$1),0),$F109-1966)</f>
        <v>-7.5060000000000002</v>
      </c>
      <c r="S109" s="4" cm="1">
        <f t="array" ref="S109">INDEX(GMW!$A$2:$NF$60,MATCH(1,(GMW!$NE$2:$NE$60=S$3)*(GMW!$ND$2:$ND$60=S$4)*(GMW!$NF$2:$NF$60=S$1),0),$F109-1966)</f>
        <v>-8.7140950000000004</v>
      </c>
      <c r="T109" s="4" cm="1">
        <f t="array" ref="T109">INDEX(GMW!$A$2:$NF$60,MATCH(1,(GMW!$NE$2:$NE$60=T$3)*(GMW!$ND$2:$ND$60=T$4)*(GMW!$NF$2:$NF$60=T$1),0),$F109-1966)</f>
        <v>-300</v>
      </c>
      <c r="U109" s="4" cm="1">
        <f t="array" ref="U109">INDEX(GMW!$A$2:$NF$60,MATCH(1,(GMW!$NE$2:$NE$60=U$3)*(GMW!$ND$2:$ND$60=U$4)*(GMW!$NF$2:$NF$60=U$1),0),$F109-1966)</f>
        <v>420576</v>
      </c>
      <c r="V109" s="4" cm="1">
        <f t="array" ref="V109">INDEX(GMW!$A$2:$NF$60,MATCH(1,(GMW!$NE$2:$NE$60=V$3)*(GMW!$ND$2:$ND$60=V$4)*(GMW!$NF$2:$NF$60=V$1),0),$F109-1966)</f>
        <v>7523.7269999999999</v>
      </c>
      <c r="W109" s="4" cm="1">
        <f t="array" ref="W109">INDEX(GMW!$A$2:$NF$60,MATCH(1,(GMW!$NE$2:$NE$60=W$3)*(GMW!$ND$2:$ND$60=W$4)*(GMW!$NF$2:$NF$60=W$1),0),$F109-1966)</f>
        <v>578237</v>
      </c>
      <c r="X109" s="4" cm="1">
        <f t="array" ref="X109">INDEX(GMW!$A$2:$NF$60,MATCH(1,(GMW!$NE$2:$NE$60=X$3)*(GMW!$ND$2:$ND$60=X$4)*(GMW!$NF$2:$NF$60=X$1),0),$F109-1966)</f>
        <v>1151.93</v>
      </c>
      <c r="Y109" s="4" cm="1">
        <f t="array" ref="Y109">INDEX(GMW!$A$2:$NF$60,MATCH(1,(GMW!$NE$2:$NE$60=Y$3)*(GMW!$ND$2:$ND$60=Y$4)*(GMW!$NF$2:$NF$60=Y$1),0),$F109-1966)</f>
        <v>1087.953</v>
      </c>
      <c r="Z109" s="4" cm="1">
        <f t="array" ref="Z109">INDEX(GMW!$A$2:$NF$60,MATCH(1,(GMW!$NE$2:$NE$60=Z$3)*(GMW!$ND$2:$ND$60=Z$4)*(GMW!$NF$2:$NF$60=Z$1),0),$F109-1966)</f>
        <v>1439.356</v>
      </c>
      <c r="AA109" s="4" cm="1">
        <f t="array" ref="AA109">INDEX(GMW!$A$2:$NF$60,MATCH(1,(GMW!$NE$2:$NE$60=AA$3)*(GMW!$ND$2:$ND$60=AA$4)*(GMW!$NF$2:$NF$60=AA$1),0),$F109-1966)</f>
        <v>942470</v>
      </c>
      <c r="AB109" s="4" cm="1">
        <f t="array" ref="AB109">INDEX(GMW!$A$2:$NF$60,MATCH(1,(GMW!$NE$2:$NE$60=AB$3)*(GMW!$ND$2:$ND$60=AB$4)*(GMW!$NF$2:$NF$60=AB$1),0),$F109-1966)</f>
        <v>250560</v>
      </c>
      <c r="AC109" s="4" cm="1">
        <f t="array" ref="AC109">INDEX(GMW!$A$2:$NF$60,MATCH(1,(GMW!$NE$2:$NE$60=AC$3)*(GMW!$ND$2:$ND$60=AC$4)*(GMW!$NF$2:$NF$60=AC$1),0),$F109-1966)</f>
        <v>2280.2750000000001</v>
      </c>
      <c r="AD109" s="4" cm="1">
        <f t="array" ref="AD109">INDEX(GMW!$A$2:$NF$60,MATCH(1,(GMW!$NE$2:$NE$60=AD$3)*(GMW!$ND$2:$ND$60=AD$4)*(GMW!$NF$2:$NF$60=AD$1),0),$F109-1966)</f>
        <v>133477.79999999999</v>
      </c>
      <c r="AE109" s="4" cm="1">
        <f t="array" ref="AE109">INDEX(GMW!$A$2:$NF$60,MATCH(1,(GMW!$NE$2:$NE$60=AE$3)*(GMW!$ND$2:$ND$60=AE$4)*(GMW!$NF$2:$NF$60=AE$1),0),$F109-1966)</f>
        <v>506.27499999999998</v>
      </c>
      <c r="AF109" s="4" cm="1">
        <f t="array" ref="AF109">INDEX(GMW!$A$2:$NF$60,MATCH(1,(GMW!$NE$2:$NE$60=AF$3)*(GMW!$ND$2:$ND$60=AF$4)*(GMW!$NF$2:$NF$60=AF$1),0),$F109-1966)</f>
        <v>337.702</v>
      </c>
      <c r="AG109" s="4" cm="1">
        <f t="array" ref="AG109">INDEX(GMW!$A$2:$NF$60,MATCH(1,(GMW!$NE$2:$NE$60=AG$3)*(GMW!$ND$2:$ND$60=AG$4)*(GMW!$NF$2:$NF$60=AG$1),0),$F109-1966)</f>
        <v>285.202</v>
      </c>
      <c r="AH109" s="4" cm="1">
        <f t="array" ref="AH109">INDEX(GMW!$A$2:$NF$60,MATCH(1,(GMW!$NE$2:$NE$60=AH$3)*(GMW!$ND$2:$ND$60=AH$4)*(GMW!$NF$2:$NF$60=AH$1),0),$F109-1966)</f>
        <v>234718</v>
      </c>
    </row>
    <row r="110" spans="1:34" x14ac:dyDescent="0.25">
      <c r="B110" s="4">
        <f t="shared" si="36"/>
        <v>1998</v>
      </c>
      <c r="C110" s="4">
        <f t="shared" si="36"/>
        <v>1998</v>
      </c>
      <c r="E110" s="4">
        <f t="shared" ref="E110" si="37">+E106+1</f>
        <v>1998</v>
      </c>
      <c r="F110" s="4">
        <f t="shared" si="17"/>
        <v>2076</v>
      </c>
      <c r="G110" s="4" cm="1">
        <f t="array" ref="G110">INDEX(GMW!$A$2:$NF$60,MATCH(1,(GMW!$NE$2:$NE$60=G$3)*(GMW!$ND$2:$ND$60=G$4)*(GMW!$NF$2:$NF$60=G$1),0),$F110-1966)</f>
        <v>421074</v>
      </c>
      <c r="H110" s="4" cm="1">
        <f t="array" ref="H110">INDEX(GMW!$A$2:$NF$60,MATCH(1,(GMW!$NE$2:$NE$60=H$3)*(GMW!$ND$2:$ND$60=H$4)*(GMW!$NF$2:$NF$60=H$1),0),$F110-1966)</f>
        <v>3297.9250000000002</v>
      </c>
      <c r="I110" s="4" cm="1">
        <f t="array" ref="I110">INDEX(GMW!$A$2:$NF$60,MATCH(1,(GMW!$NE$2:$NE$60=I$3)*(GMW!$ND$2:$ND$60=I$4)*(GMW!$NF$2:$NF$60=I$1),0),$F110-1966)</f>
        <v>118481.3</v>
      </c>
      <c r="J110" s="4" cm="1">
        <f t="array" ref="J110">INDEX(GMW!$A$2:$NF$60,MATCH(1,(GMW!$NE$2:$NE$60=J$3)*(GMW!$ND$2:$ND$60=J$4)*(GMW!$NF$2:$NF$60=J$1),0),$F110-1966)</f>
        <v>672.7</v>
      </c>
      <c r="K110" s="4" cm="1">
        <f t="array" ref="K110">INDEX(GMW!$A$2:$NF$60,MATCH(1,(GMW!$NE$2:$NE$60=K$3)*(GMW!$ND$2:$ND$60=K$4)*(GMW!$NF$2:$NF$60=K$1),0),$F110-1966)</f>
        <v>456.20600000000002</v>
      </c>
      <c r="L110" s="4" cm="1">
        <f t="array" ref="L110">INDEX(GMW!$A$2:$NF$60,MATCH(1,(GMW!$NE$2:$NE$60=L$3)*(GMW!$ND$2:$ND$60=L$4)*(GMW!$NF$2:$NF$60=L$1),0),$F110-1966)</f>
        <v>418.00799999999998</v>
      </c>
      <c r="M110" s="4" cm="1">
        <f t="array" ref="M110">INDEX(GMW!$A$2:$NF$60,MATCH(1,(GMW!$NE$2:$NE$60=M$3)*(GMW!$ND$2:$ND$60=M$4)*(GMW!$NF$2:$NF$60=M$1),0),$F110-1966)</f>
        <v>352677.3</v>
      </c>
      <c r="N110" s="4" cm="1">
        <f t="array" ref="N110">INDEX(GMW!$A$2:$NF$60,MATCH(1,(GMW!$NE$2:$NE$60=N$3)*(GMW!$ND$2:$ND$60=N$4)*(GMW!$NF$2:$NF$60=N$1),0),$F110-1966)</f>
        <v>2416</v>
      </c>
      <c r="O110" s="4" cm="1">
        <f t="array" ref="O110">INDEX(GMW!$A$2:$NF$60,MATCH(1,(GMW!$NE$2:$NE$60=O$3)*(GMW!$ND$2:$ND$60=O$4)*(GMW!$NF$2:$NF$60=O$1),0),$F110-1966)</f>
        <v>-15.787000000000001</v>
      </c>
      <c r="P110" s="4" cm="1">
        <f t="array" ref="P110">INDEX(GMW!$A$2:$NF$60,MATCH(1,(GMW!$NE$2:$NE$60=P$3)*(GMW!$ND$2:$ND$60=P$4)*(GMW!$NF$2:$NF$60=P$1),0),$F110-1966)</f>
        <v>-14469.5</v>
      </c>
      <c r="Q110" s="4" cm="1">
        <f t="array" ref="Q110">INDEX(GMW!$A$2:$NF$60,MATCH(1,(GMW!$NE$2:$NE$60=Q$3)*(GMW!$ND$2:$ND$60=Q$4)*(GMW!$NF$2:$NF$60=Q$1),0),$F110-1966)</f>
        <v>-9.7850000000000001</v>
      </c>
      <c r="R110" s="4" cm="1">
        <f t="array" ref="R110">INDEX(GMW!$A$2:$NF$60,MATCH(1,(GMW!$NE$2:$NE$60=R$3)*(GMW!$ND$2:$ND$60=R$4)*(GMW!$NF$2:$NF$60=R$1),0),$F110-1966)</f>
        <v>-6.2530000000000001</v>
      </c>
      <c r="S110" s="4" cm="1">
        <f t="array" ref="S110">INDEX(GMW!$A$2:$NF$60,MATCH(1,(GMW!$NE$2:$NE$60=S$3)*(GMW!$ND$2:$ND$60=S$4)*(GMW!$NF$2:$NF$60=S$1),0),$F110-1966)</f>
        <v>-7.5907179999999999</v>
      </c>
      <c r="T110" s="4" cm="1">
        <f t="array" ref="T110">INDEX(GMW!$A$2:$NF$60,MATCH(1,(GMW!$NE$2:$NE$60=T$3)*(GMW!$ND$2:$ND$60=T$4)*(GMW!$NF$2:$NF$60=T$1),0),$F110-1966)</f>
        <v>1312</v>
      </c>
      <c r="U110" s="4" cm="1">
        <f t="array" ref="U110">INDEX(GMW!$A$2:$NF$60,MATCH(1,(GMW!$NE$2:$NE$60=U$3)*(GMW!$ND$2:$ND$60=U$4)*(GMW!$NF$2:$NF$60=U$1),0),$F110-1966)</f>
        <v>419066</v>
      </c>
      <c r="V110" s="4" cm="1">
        <f t="array" ref="V110">INDEX(GMW!$A$2:$NF$60,MATCH(1,(GMW!$NE$2:$NE$60=V$3)*(GMW!$ND$2:$ND$60=V$4)*(GMW!$NF$2:$NF$60=V$1),0),$F110-1966)</f>
        <v>7422.5780000000004</v>
      </c>
      <c r="W110" s="4" cm="1">
        <f t="array" ref="W110">INDEX(GMW!$A$2:$NF$60,MATCH(1,(GMW!$NE$2:$NE$60=W$3)*(GMW!$ND$2:$ND$60=W$4)*(GMW!$NF$2:$NF$60=W$1),0),$F110-1966)</f>
        <v>590198</v>
      </c>
      <c r="X110" s="4" cm="1">
        <f t="array" ref="X110">INDEX(GMW!$A$2:$NF$60,MATCH(1,(GMW!$NE$2:$NE$60=X$3)*(GMW!$ND$2:$ND$60=X$4)*(GMW!$NF$2:$NF$60=X$1),0),$F110-1966)</f>
        <v>1160.441</v>
      </c>
      <c r="Y110" s="4" cm="1">
        <f t="array" ref="Y110">INDEX(GMW!$A$2:$NF$60,MATCH(1,(GMW!$NE$2:$NE$60=Y$3)*(GMW!$ND$2:$ND$60=Y$4)*(GMW!$NF$2:$NF$60=Y$1),0),$F110-1966)</f>
        <v>1100.1320000000001</v>
      </c>
      <c r="Z110" s="4" cm="1">
        <f t="array" ref="Z110">INDEX(GMW!$A$2:$NF$60,MATCH(1,(GMW!$NE$2:$NE$60=Z$3)*(GMW!$ND$2:$ND$60=Z$4)*(GMW!$NF$2:$NF$60=Z$1),0),$F110-1966)</f>
        <v>1457.787</v>
      </c>
      <c r="AA110" s="4" cm="1">
        <f t="array" ref="AA110">INDEX(GMW!$A$2:$NF$60,MATCH(1,(GMW!$NE$2:$NE$60=AA$3)*(GMW!$ND$2:$ND$60=AA$4)*(GMW!$NF$2:$NF$60=AA$1),0),$F110-1966)</f>
        <v>961277</v>
      </c>
      <c r="AB110" s="4" cm="1">
        <f t="array" ref="AB110">INDEX(GMW!$A$2:$NF$60,MATCH(1,(GMW!$NE$2:$NE$60=AB$3)*(GMW!$ND$2:$ND$60=AB$4)*(GMW!$NF$2:$NF$60=AB$1),0),$F110-1966)</f>
        <v>253902</v>
      </c>
      <c r="AC110" s="4" cm="1">
        <f t="array" ref="AC110">INDEX(GMW!$A$2:$NF$60,MATCH(1,(GMW!$NE$2:$NE$60=AC$3)*(GMW!$ND$2:$ND$60=AC$4)*(GMW!$NF$2:$NF$60=AC$1),0),$F110-1966)</f>
        <v>2323.5</v>
      </c>
      <c r="AD110" s="4" cm="1">
        <f t="array" ref="AD110">INDEX(GMW!$A$2:$NF$60,MATCH(1,(GMW!$NE$2:$NE$60=AD$3)*(GMW!$ND$2:$ND$60=AD$4)*(GMW!$NF$2:$NF$60=AD$1),0),$F110-1966)</f>
        <v>134822</v>
      </c>
      <c r="AE110" s="4" cm="1">
        <f t="array" ref="AE110">INDEX(GMW!$A$2:$NF$60,MATCH(1,(GMW!$NE$2:$NE$60=AE$3)*(GMW!$ND$2:$ND$60=AE$4)*(GMW!$NF$2:$NF$60=AE$1),0),$F110-1966)</f>
        <v>507.89800000000002</v>
      </c>
      <c r="AF110" s="4" cm="1">
        <f t="array" ref="AF110">INDEX(GMW!$A$2:$NF$60,MATCH(1,(GMW!$NE$2:$NE$60=AF$3)*(GMW!$ND$2:$ND$60=AF$4)*(GMW!$NF$2:$NF$60=AF$1),0),$F110-1966)</f>
        <v>340.16300000000001</v>
      </c>
      <c r="AG110" s="4" cm="1">
        <f t="array" ref="AG110">INDEX(GMW!$A$2:$NF$60,MATCH(1,(GMW!$NE$2:$NE$60=AG$3)*(GMW!$ND$2:$ND$60=AG$4)*(GMW!$NF$2:$NF$60=AG$1),0),$F110-1966)</f>
        <v>287.58800000000002</v>
      </c>
      <c r="AH110" s="4" cm="1">
        <f t="array" ref="AH110">INDEX(GMW!$A$2:$NF$60,MATCH(1,(GMW!$NE$2:$NE$60=AH$3)*(GMW!$ND$2:$ND$60=AH$4)*(GMW!$NF$2:$NF$60=AH$1),0),$F110-1966)</f>
        <v>238374</v>
      </c>
    </row>
    <row r="111" spans="1:34" x14ac:dyDescent="0.25">
      <c r="A111" s="4">
        <v>1999</v>
      </c>
      <c r="B111" s="4">
        <f t="shared" si="36"/>
        <v>1999</v>
      </c>
      <c r="C111" s="4">
        <f t="shared" si="36"/>
        <v>1998</v>
      </c>
      <c r="D111" s="4">
        <f t="shared" si="36"/>
        <v>1998</v>
      </c>
      <c r="F111" s="4">
        <f t="shared" si="17"/>
        <v>2077</v>
      </c>
      <c r="G111" s="4" cm="1">
        <f t="array" ref="G111">INDEX(GMW!$A$2:$NF$60,MATCH(1,(GMW!$NE$2:$NE$60=G$3)*(GMW!$ND$2:$ND$60=G$4)*(GMW!$NF$2:$NF$60=G$1),0),$F111-1966)</f>
        <v>423875</v>
      </c>
      <c r="H111" s="4" cm="1">
        <f t="array" ref="H111">INDEX(GMW!$A$2:$NF$60,MATCH(1,(GMW!$NE$2:$NE$60=H$3)*(GMW!$ND$2:$ND$60=H$4)*(GMW!$NF$2:$NF$60=H$1),0),$F111-1966)</f>
        <v>3328.9</v>
      </c>
      <c r="I111" s="4" cm="1">
        <f t="array" ref="I111">INDEX(GMW!$A$2:$NF$60,MATCH(1,(GMW!$NE$2:$NE$60=I$3)*(GMW!$ND$2:$ND$60=I$4)*(GMW!$NF$2:$NF$60=I$1),0),$F111-1966)</f>
        <v>116835.3</v>
      </c>
      <c r="J111" s="4" cm="1">
        <f t="array" ref="J111">INDEX(GMW!$A$2:$NF$60,MATCH(1,(GMW!$NE$2:$NE$60=J$3)*(GMW!$ND$2:$ND$60=J$4)*(GMW!$NF$2:$NF$60=J$1),0),$F111-1966)</f>
        <v>680.5</v>
      </c>
      <c r="K111" s="4" cm="1">
        <f t="array" ref="K111">INDEX(GMW!$A$2:$NF$60,MATCH(1,(GMW!$NE$2:$NE$60=K$3)*(GMW!$ND$2:$ND$60=K$4)*(GMW!$NF$2:$NF$60=K$1),0),$F111-1966)</f>
        <v>459.34500000000003</v>
      </c>
      <c r="L111" s="4" cm="1">
        <f t="array" ref="L111">INDEX(GMW!$A$2:$NF$60,MATCH(1,(GMW!$NE$2:$NE$60=L$3)*(GMW!$ND$2:$ND$60=L$4)*(GMW!$NF$2:$NF$60=L$1),0),$F111-1966)</f>
        <v>420.02300000000002</v>
      </c>
      <c r="M111" s="4" cm="1">
        <f t="array" ref="M111">INDEX(GMW!$A$2:$NF$60,MATCH(1,(GMW!$NE$2:$NE$60=M$3)*(GMW!$ND$2:$ND$60=M$4)*(GMW!$NF$2:$NF$60=M$1),0),$F111-1966)</f>
        <v>359045</v>
      </c>
      <c r="N111" s="4" cm="1">
        <f t="array" ref="N111">INDEX(GMW!$A$2:$NF$60,MATCH(1,(GMW!$NE$2:$NE$60=N$3)*(GMW!$ND$2:$ND$60=N$4)*(GMW!$NF$2:$NF$60=N$1),0),$F111-1966)</f>
        <v>7897</v>
      </c>
      <c r="O111" s="4" cm="1">
        <f t="array" ref="O111">INDEX(GMW!$A$2:$NF$60,MATCH(1,(GMW!$NE$2:$NE$60=O$3)*(GMW!$ND$2:$ND$60=O$4)*(GMW!$NF$2:$NF$60=O$1),0),$F111-1966)</f>
        <v>-12.8385</v>
      </c>
      <c r="P111" s="4" cm="1">
        <f t="array" ref="P111">INDEX(GMW!$A$2:$NF$60,MATCH(1,(GMW!$NE$2:$NE$60=P$3)*(GMW!$ND$2:$ND$60=P$4)*(GMW!$NF$2:$NF$60=P$1),0),$F111-1966)</f>
        <v>-11191.25</v>
      </c>
      <c r="Q111" s="4" cm="1">
        <f t="array" ref="Q111">INDEX(GMW!$A$2:$NF$60,MATCH(1,(GMW!$NE$2:$NE$60=Q$3)*(GMW!$ND$2:$ND$60=Q$4)*(GMW!$NF$2:$NF$60=Q$1),0),$F111-1966)</f>
        <v>-13.673999999999999</v>
      </c>
      <c r="R111" s="4" cm="1">
        <f t="array" ref="R111">INDEX(GMW!$A$2:$NF$60,MATCH(1,(GMW!$NE$2:$NE$60=R$3)*(GMW!$ND$2:$ND$60=R$4)*(GMW!$NF$2:$NF$60=R$1),0),$F111-1966)</f>
        <v>-6.6230000000000002</v>
      </c>
      <c r="S111" s="4" cm="1">
        <f t="array" ref="S111">INDEX(GMW!$A$2:$NF$60,MATCH(1,(GMW!$NE$2:$NE$60=S$3)*(GMW!$ND$2:$ND$60=S$4)*(GMW!$NF$2:$NF$60=S$1),0),$F111-1966)</f>
        <v>-5.9895259999999997</v>
      </c>
      <c r="T111" s="4" cm="1">
        <f t="array" ref="T111">INDEX(GMW!$A$2:$NF$60,MATCH(1,(GMW!$NE$2:$NE$60=T$3)*(GMW!$ND$2:$ND$60=T$4)*(GMW!$NF$2:$NF$60=T$1),0),$F111-1966)</f>
        <v>1683</v>
      </c>
      <c r="U111" s="4" cm="1">
        <f t="array" ref="U111">INDEX(GMW!$A$2:$NF$60,MATCH(1,(GMW!$NE$2:$NE$60=U$3)*(GMW!$ND$2:$ND$60=U$4)*(GMW!$NF$2:$NF$60=U$1),0),$F111-1966)</f>
        <v>415121</v>
      </c>
      <c r="V111" s="4" cm="1">
        <f t="array" ref="V111">INDEX(GMW!$A$2:$NF$60,MATCH(1,(GMW!$NE$2:$NE$60=V$3)*(GMW!$ND$2:$ND$60=V$4)*(GMW!$NF$2:$NF$60=V$1),0),$F111-1966)</f>
        <v>7458.6719999999996</v>
      </c>
      <c r="W111" s="4" cm="1">
        <f t="array" ref="W111">INDEX(GMW!$A$2:$NF$60,MATCH(1,(GMW!$NE$2:$NE$60=W$3)*(GMW!$ND$2:$ND$60=W$4)*(GMW!$NF$2:$NF$60=W$1),0),$F111-1966)</f>
        <v>603250</v>
      </c>
      <c r="X111" s="4" cm="1">
        <f t="array" ref="X111">INDEX(GMW!$A$2:$NF$60,MATCH(1,(GMW!$NE$2:$NE$60=X$3)*(GMW!$ND$2:$ND$60=X$4)*(GMW!$NF$2:$NF$60=X$1),0),$F111-1966)</f>
        <v>1170.8430000000001</v>
      </c>
      <c r="Y111" s="4" cm="1">
        <f t="array" ref="Y111">INDEX(GMW!$A$2:$NF$60,MATCH(1,(GMW!$NE$2:$NE$60=Y$3)*(GMW!$ND$2:$ND$60=Y$4)*(GMW!$NF$2:$NF$60=Y$1),0),$F111-1966)</f>
        <v>1089.5419999999999</v>
      </c>
      <c r="Z111" s="4" cm="1">
        <f t="array" ref="Z111">INDEX(GMW!$A$2:$NF$60,MATCH(1,(GMW!$NE$2:$NE$60=Z$3)*(GMW!$ND$2:$ND$60=Z$4)*(GMW!$NF$2:$NF$60=Z$1),0),$F111-1966)</f>
        <v>1453.047</v>
      </c>
      <c r="AA111" s="4" cm="1">
        <f t="array" ref="AA111">INDEX(GMW!$A$2:$NF$60,MATCH(1,(GMW!$NE$2:$NE$60=AA$3)*(GMW!$ND$2:$ND$60=AA$4)*(GMW!$NF$2:$NF$60=AA$1),0),$F111-1966)</f>
        <v>967685</v>
      </c>
      <c r="AB111" s="4" cm="1">
        <f t="array" ref="AB111">INDEX(GMW!$A$2:$NF$60,MATCH(1,(GMW!$NE$2:$NE$60=AB$3)*(GMW!$ND$2:$ND$60=AB$4)*(GMW!$NF$2:$NF$60=AB$1),0),$F111-1966)</f>
        <v>255903</v>
      </c>
      <c r="AC111" s="4" cm="1">
        <f t="array" ref="AC111">INDEX(GMW!$A$2:$NF$60,MATCH(1,(GMW!$NE$2:$NE$60=AC$3)*(GMW!$ND$2:$ND$60=AC$4)*(GMW!$NF$2:$NF$60=AC$1),0),$F111-1966)</f>
        <v>2352.9250000000002</v>
      </c>
      <c r="AD111" s="4" cm="1">
        <f t="array" ref="AD111">INDEX(GMW!$A$2:$NF$60,MATCH(1,(GMW!$NE$2:$NE$60=AD$3)*(GMW!$ND$2:$ND$60=AD$4)*(GMW!$NF$2:$NF$60=AD$1),0),$F111-1966)</f>
        <v>132267.20000000001</v>
      </c>
      <c r="AE111" s="4" cm="1">
        <f t="array" ref="AE111">INDEX(GMW!$A$2:$NF$60,MATCH(1,(GMW!$NE$2:$NE$60=AE$3)*(GMW!$ND$2:$ND$60=AE$4)*(GMW!$NF$2:$NF$60=AE$1),0),$F111-1966)</f>
        <v>514.31700000000001</v>
      </c>
      <c r="AF111" s="4" cm="1">
        <f t="array" ref="AF111">INDEX(GMW!$A$2:$NF$60,MATCH(1,(GMW!$NE$2:$NE$60=AF$3)*(GMW!$ND$2:$ND$60=AF$4)*(GMW!$NF$2:$NF$60=AF$1),0),$F111-1966)</f>
        <v>342.82600000000002</v>
      </c>
      <c r="AG111" s="4" cm="1">
        <f t="array" ref="AG111">INDEX(GMW!$A$2:$NF$60,MATCH(1,(GMW!$NE$2:$NE$60=AG$3)*(GMW!$ND$2:$ND$60=AG$4)*(GMW!$NF$2:$NF$60=AG$1),0),$F111-1966)</f>
        <v>289.5</v>
      </c>
      <c r="AH111" s="4" cm="1">
        <f t="array" ref="AH111">INDEX(GMW!$A$2:$NF$60,MATCH(1,(GMW!$NE$2:$NE$60=AH$3)*(GMW!$ND$2:$ND$60=AH$4)*(GMW!$NF$2:$NF$60=AH$1),0),$F111-1966)</f>
        <v>243810</v>
      </c>
    </row>
    <row r="112" spans="1:34" x14ac:dyDescent="0.25">
      <c r="B112" s="4">
        <f t="shared" si="36"/>
        <v>1999</v>
      </c>
      <c r="C112" s="4">
        <f t="shared" si="36"/>
        <v>1999</v>
      </c>
      <c r="F112" s="4">
        <f t="shared" si="17"/>
        <v>2078</v>
      </c>
      <c r="G112" s="4" cm="1">
        <f t="array" ref="G112">INDEX(GMW!$A$2:$NF$60,MATCH(1,(GMW!$NE$2:$NE$60=G$3)*(GMW!$ND$2:$ND$60=G$4)*(GMW!$NF$2:$NF$60=G$1),0),$F112-1966)</f>
        <v>425920</v>
      </c>
      <c r="H112" s="4" cm="1">
        <f t="array" ref="H112">INDEX(GMW!$A$2:$NF$60,MATCH(1,(GMW!$NE$2:$NE$60=H$3)*(GMW!$ND$2:$ND$60=H$4)*(GMW!$NF$2:$NF$60=H$1),0),$F112-1966)</f>
        <v>3356.6750000000002</v>
      </c>
      <c r="I112" s="4" cm="1">
        <f t="array" ref="I112">INDEX(GMW!$A$2:$NF$60,MATCH(1,(GMW!$NE$2:$NE$60=I$3)*(GMW!$ND$2:$ND$60=I$4)*(GMW!$NF$2:$NF$60=I$1),0),$F112-1966)</f>
        <v>117298.9</v>
      </c>
      <c r="J112" s="4" cm="1">
        <f t="array" ref="J112">INDEX(GMW!$A$2:$NF$60,MATCH(1,(GMW!$NE$2:$NE$60=J$3)*(GMW!$ND$2:$ND$60=J$4)*(GMW!$NF$2:$NF$60=J$1),0),$F112-1966)</f>
        <v>679.64</v>
      </c>
      <c r="K112" s="4" cm="1">
        <f t="array" ref="K112">INDEX(GMW!$A$2:$NF$60,MATCH(1,(GMW!$NE$2:$NE$60=K$3)*(GMW!$ND$2:$ND$60=K$4)*(GMW!$NF$2:$NF$60=K$1),0),$F112-1966)</f>
        <v>462.32400000000001</v>
      </c>
      <c r="L112" s="4" cm="1">
        <f t="array" ref="L112">INDEX(GMW!$A$2:$NF$60,MATCH(1,(GMW!$NE$2:$NE$60=L$3)*(GMW!$ND$2:$ND$60=L$4)*(GMW!$NF$2:$NF$60=L$1),0),$F112-1966)</f>
        <v>421.65699999999998</v>
      </c>
      <c r="M112" s="4" cm="1">
        <f t="array" ref="M112">INDEX(GMW!$A$2:$NF$60,MATCH(1,(GMW!$NE$2:$NE$60=M$3)*(GMW!$ND$2:$ND$60=M$4)*(GMW!$NF$2:$NF$60=M$1),0),$F112-1966)</f>
        <v>362006.3</v>
      </c>
      <c r="N112" s="4" cm="1">
        <f t="array" ref="N112">INDEX(GMW!$A$2:$NF$60,MATCH(1,(GMW!$NE$2:$NE$60=N$3)*(GMW!$ND$2:$ND$60=N$4)*(GMW!$NF$2:$NF$60=N$1),0),$F112-1966)</f>
        <v>-6236</v>
      </c>
      <c r="O112" s="4" cm="1">
        <f t="array" ref="O112">INDEX(GMW!$A$2:$NF$60,MATCH(1,(GMW!$NE$2:$NE$60=O$3)*(GMW!$ND$2:$ND$60=O$4)*(GMW!$NF$2:$NF$60=O$1),0),$F112-1966)</f>
        <v>-10.17075</v>
      </c>
      <c r="P112" s="4" cm="1">
        <f t="array" ref="P112">INDEX(GMW!$A$2:$NF$60,MATCH(1,(GMW!$NE$2:$NE$60=P$3)*(GMW!$ND$2:$ND$60=P$4)*(GMW!$NF$2:$NF$60=P$1),0),$F112-1966)</f>
        <v>-9272.75</v>
      </c>
      <c r="Q112" s="4" cm="1">
        <f t="array" ref="Q112">INDEX(GMW!$A$2:$NF$60,MATCH(1,(GMW!$NE$2:$NE$60=Q$3)*(GMW!$ND$2:$ND$60=Q$4)*(GMW!$NF$2:$NF$60=Q$1),0),$F112-1966)</f>
        <v>-8.8629999999999995</v>
      </c>
      <c r="R112" s="4" cm="1">
        <f t="array" ref="R112">INDEX(GMW!$A$2:$NF$60,MATCH(1,(GMW!$NE$2:$NE$60=R$3)*(GMW!$ND$2:$ND$60=R$4)*(GMW!$NF$2:$NF$60=R$1),0),$F112-1966)</f>
        <v>-5.7549999999999999</v>
      </c>
      <c r="S112" s="4" cm="1">
        <f t="array" ref="S112">INDEX(GMW!$A$2:$NF$60,MATCH(1,(GMW!$NE$2:$NE$60=S$3)*(GMW!$ND$2:$ND$60=S$4)*(GMW!$NF$2:$NF$60=S$1),0),$F112-1966)</f>
        <v>-4.7065359999999998</v>
      </c>
      <c r="T112" s="4" cm="1">
        <f t="array" ref="T112">INDEX(GMW!$A$2:$NF$60,MATCH(1,(GMW!$NE$2:$NE$60=T$3)*(GMW!$ND$2:$ND$60=T$4)*(GMW!$NF$2:$NF$60=T$1),0),$F112-1966)</f>
        <v>4123</v>
      </c>
      <c r="U112" s="4" cm="1">
        <f t="array" ref="U112">INDEX(GMW!$A$2:$NF$60,MATCH(1,(GMW!$NE$2:$NE$60=U$3)*(GMW!$ND$2:$ND$60=U$4)*(GMW!$NF$2:$NF$60=U$1),0),$F112-1966)</f>
        <v>419038</v>
      </c>
      <c r="V112" s="4" cm="1">
        <f t="array" ref="V112">INDEX(GMW!$A$2:$NF$60,MATCH(1,(GMW!$NE$2:$NE$60=V$3)*(GMW!$ND$2:$ND$60=V$4)*(GMW!$NF$2:$NF$60=V$1),0),$F112-1966)</f>
        <v>7321.64</v>
      </c>
      <c r="W112" s="4" cm="1">
        <f t="array" ref="W112">INDEX(GMW!$A$2:$NF$60,MATCH(1,(GMW!$NE$2:$NE$60=W$3)*(GMW!$ND$2:$ND$60=W$4)*(GMW!$NF$2:$NF$60=W$1),0),$F112-1966)</f>
        <v>616302</v>
      </c>
      <c r="X112" s="4" cm="1">
        <f t="array" ref="X112">INDEX(GMW!$A$2:$NF$60,MATCH(1,(GMW!$NE$2:$NE$60=X$3)*(GMW!$ND$2:$ND$60=X$4)*(GMW!$NF$2:$NF$60=X$1),0),$F112-1966)</f>
        <v>1181.1010000000001</v>
      </c>
      <c r="Y112" s="4" cm="1">
        <f t="array" ref="Y112">INDEX(GMW!$A$2:$NF$60,MATCH(1,(GMW!$NE$2:$NE$60=Y$3)*(GMW!$ND$2:$ND$60=Y$4)*(GMW!$NF$2:$NF$60=Y$1),0),$F112-1966)</f>
        <v>1082.5060000000001</v>
      </c>
      <c r="Z112" s="4" cm="1">
        <f t="array" ref="Z112">INDEX(GMW!$A$2:$NF$60,MATCH(1,(GMW!$NE$2:$NE$60=Z$3)*(GMW!$ND$2:$ND$60=Z$4)*(GMW!$NF$2:$NF$60=Z$1),0),$F112-1966)</f>
        <v>1448.307</v>
      </c>
      <c r="AA112" s="4" cm="1">
        <f t="array" ref="AA112">INDEX(GMW!$A$2:$NF$60,MATCH(1,(GMW!$NE$2:$NE$60=AA$3)*(GMW!$ND$2:$ND$60=AA$4)*(GMW!$NF$2:$NF$60=AA$1),0),$F112-1966)</f>
        <v>953265</v>
      </c>
      <c r="AB112" s="4" cm="1">
        <f t="array" ref="AB112">INDEX(GMW!$A$2:$NF$60,MATCH(1,(GMW!$NE$2:$NE$60=AB$3)*(GMW!$ND$2:$ND$60=AB$4)*(GMW!$NF$2:$NF$60=AB$1),0),$F112-1966)</f>
        <v>258404</v>
      </c>
      <c r="AC112" s="4" cm="1">
        <f t="array" ref="AC112">INDEX(GMW!$A$2:$NF$60,MATCH(1,(GMW!$NE$2:$NE$60=AC$3)*(GMW!$ND$2:$ND$60=AC$4)*(GMW!$NF$2:$NF$60=AC$1),0),$F112-1966)</f>
        <v>2381.5500000000002</v>
      </c>
      <c r="AD112" s="4" cm="1">
        <f t="array" ref="AD112">INDEX(GMW!$A$2:$NF$60,MATCH(1,(GMW!$NE$2:$NE$60=AD$3)*(GMW!$ND$2:$ND$60=AD$4)*(GMW!$NF$2:$NF$60=AD$1),0),$F112-1966)</f>
        <v>132253.4</v>
      </c>
      <c r="AE112" s="4" cm="1">
        <f t="array" ref="AE112">INDEX(GMW!$A$2:$NF$60,MATCH(1,(GMW!$NE$2:$NE$60=AE$3)*(GMW!$ND$2:$ND$60=AE$4)*(GMW!$NF$2:$NF$60=AE$1),0),$F112-1966)</f>
        <v>515.31600000000003</v>
      </c>
      <c r="AF112" s="4" cm="1">
        <f t="array" ref="AF112">INDEX(GMW!$A$2:$NF$60,MATCH(1,(GMW!$NE$2:$NE$60=AF$3)*(GMW!$ND$2:$ND$60=AF$4)*(GMW!$NF$2:$NF$60=AF$1),0),$F112-1966)</f>
        <v>345.43599999999998</v>
      </c>
      <c r="AG112" s="4" cm="1">
        <f t="array" ref="AG112">INDEX(GMW!$A$2:$NF$60,MATCH(1,(GMW!$NE$2:$NE$60=AG$3)*(GMW!$ND$2:$ND$60=AG$4)*(GMW!$NF$2:$NF$60=AG$1),0),$F112-1966)</f>
        <v>290.87</v>
      </c>
      <c r="AH112" s="4" cm="1">
        <f t="array" ref="AH112">INDEX(GMW!$A$2:$NF$60,MATCH(1,(GMW!$NE$2:$NE$60=AH$3)*(GMW!$ND$2:$ND$60=AH$4)*(GMW!$NF$2:$NF$60=AH$1),0),$F112-1966)</f>
        <v>248543</v>
      </c>
    </row>
    <row r="113" spans="1:34" x14ac:dyDescent="0.25">
      <c r="B113" s="4">
        <f t="shared" si="36"/>
        <v>1999</v>
      </c>
      <c r="C113" s="4">
        <f t="shared" si="36"/>
        <v>1999</v>
      </c>
      <c r="F113" s="4">
        <f t="shared" ref="F113:F176" si="38">+F112+1</f>
        <v>2079</v>
      </c>
      <c r="G113" s="4" cm="1">
        <f t="array" ref="G113">INDEX(GMW!$A$2:$NF$60,MATCH(1,(GMW!$NE$2:$NE$60=G$3)*(GMW!$ND$2:$ND$60=G$4)*(GMW!$NF$2:$NF$60=G$1),0),$F113-1966)</f>
        <v>432860</v>
      </c>
      <c r="H113" s="4" cm="1">
        <f t="array" ref="H113">INDEX(GMW!$A$2:$NF$60,MATCH(1,(GMW!$NE$2:$NE$60=H$3)*(GMW!$ND$2:$ND$60=H$4)*(GMW!$NF$2:$NF$60=H$1),0),$F113-1966)</f>
        <v>3401.2</v>
      </c>
      <c r="I113" s="4" cm="1">
        <f t="array" ref="I113">INDEX(GMW!$A$2:$NF$60,MATCH(1,(GMW!$NE$2:$NE$60=I$3)*(GMW!$ND$2:$ND$60=I$4)*(GMW!$NF$2:$NF$60=I$1),0),$F113-1966)</f>
        <v>117919.2</v>
      </c>
      <c r="J113" s="4" cm="1">
        <f t="array" ref="J113">INDEX(GMW!$A$2:$NF$60,MATCH(1,(GMW!$NE$2:$NE$60=J$3)*(GMW!$ND$2:$ND$60=J$4)*(GMW!$NF$2:$NF$60=J$1),0),$F113-1966)</f>
        <v>688.96</v>
      </c>
      <c r="K113" s="4" cm="1">
        <f t="array" ref="K113">INDEX(GMW!$A$2:$NF$60,MATCH(1,(GMW!$NE$2:$NE$60=K$3)*(GMW!$ND$2:$ND$60=K$4)*(GMW!$NF$2:$NF$60=K$1),0),$F113-1966)</f>
        <v>469.13400000000001</v>
      </c>
      <c r="L113" s="4" cm="1">
        <f t="array" ref="L113">INDEX(GMW!$A$2:$NF$60,MATCH(1,(GMW!$NE$2:$NE$60=L$3)*(GMW!$ND$2:$ND$60=L$4)*(GMW!$NF$2:$NF$60=L$1),0),$F113-1966)</f>
        <v>426.04300000000001</v>
      </c>
      <c r="M113" s="4" cm="1">
        <f t="array" ref="M113">INDEX(GMW!$A$2:$NF$60,MATCH(1,(GMW!$NE$2:$NE$60=M$3)*(GMW!$ND$2:$ND$60=M$4)*(GMW!$NF$2:$NF$60=M$1),0),$F113-1966)</f>
        <v>367680.5</v>
      </c>
      <c r="N113" s="4" cm="1">
        <f t="array" ref="N113">INDEX(GMW!$A$2:$NF$60,MATCH(1,(GMW!$NE$2:$NE$60=N$3)*(GMW!$ND$2:$ND$60=N$4)*(GMW!$NF$2:$NF$60=N$1),0),$F113-1966)</f>
        <v>1810</v>
      </c>
      <c r="O113" s="4" cm="1">
        <f t="array" ref="O113">INDEX(GMW!$A$2:$NF$60,MATCH(1,(GMW!$NE$2:$NE$60=O$3)*(GMW!$ND$2:$ND$60=O$4)*(GMW!$NF$2:$NF$60=O$1),0),$F113-1966)</f>
        <v>-9.4542490000000008</v>
      </c>
      <c r="P113" s="4" cm="1">
        <f t="array" ref="P113">INDEX(GMW!$A$2:$NF$60,MATCH(1,(GMW!$NE$2:$NE$60=P$3)*(GMW!$ND$2:$ND$60=P$4)*(GMW!$NF$2:$NF$60=P$1),0),$F113-1966)</f>
        <v>-7710</v>
      </c>
      <c r="Q113" s="4" cm="1">
        <f t="array" ref="Q113">INDEX(GMW!$A$2:$NF$60,MATCH(1,(GMW!$NE$2:$NE$60=Q$3)*(GMW!$ND$2:$ND$60=Q$4)*(GMW!$NF$2:$NF$60=Q$1),0),$F113-1966)</f>
        <v>-10.038</v>
      </c>
      <c r="R113" s="4" cm="1">
        <f t="array" ref="R113">INDEX(GMW!$A$2:$NF$60,MATCH(1,(GMW!$NE$2:$NE$60=R$3)*(GMW!$ND$2:$ND$60=R$4)*(GMW!$NF$2:$NF$60=R$1),0),$F113-1966)</f>
        <v>-3.9409999999999998</v>
      </c>
      <c r="S113" s="4" cm="1">
        <f t="array" ref="S113">INDEX(GMW!$A$2:$NF$60,MATCH(1,(GMW!$NE$2:$NE$60=S$3)*(GMW!$ND$2:$ND$60=S$4)*(GMW!$NF$2:$NF$60=S$1),0),$F113-1966)</f>
        <v>-4.583005</v>
      </c>
      <c r="T113" s="4" cm="1">
        <f t="array" ref="T113">INDEX(GMW!$A$2:$NF$60,MATCH(1,(GMW!$NE$2:$NE$60=T$3)*(GMW!$ND$2:$ND$60=T$4)*(GMW!$NF$2:$NF$60=T$1),0),$F113-1966)</f>
        <v>5232</v>
      </c>
      <c r="U113" s="4" cm="1">
        <f t="array" ref="U113">INDEX(GMW!$A$2:$NF$60,MATCH(1,(GMW!$NE$2:$NE$60=U$3)*(GMW!$ND$2:$ND$60=U$4)*(GMW!$NF$2:$NF$60=U$1),0),$F113-1966)</f>
        <v>414481</v>
      </c>
      <c r="V113" s="4" cm="1">
        <f t="array" ref="V113">INDEX(GMW!$A$2:$NF$60,MATCH(1,(GMW!$NE$2:$NE$60=V$3)*(GMW!$ND$2:$ND$60=V$4)*(GMW!$NF$2:$NF$60=V$1),0),$F113-1966)</f>
        <v>7455.3720000000003</v>
      </c>
      <c r="W113" s="4" cm="1">
        <f t="array" ref="W113">INDEX(GMW!$A$2:$NF$60,MATCH(1,(GMW!$NE$2:$NE$60=W$3)*(GMW!$ND$2:$ND$60=W$4)*(GMW!$NF$2:$NF$60=W$1),0),$F113-1966)</f>
        <v>629354</v>
      </c>
      <c r="X113" s="4" cm="1">
        <f t="array" ref="X113">INDEX(GMW!$A$2:$NF$60,MATCH(1,(GMW!$NE$2:$NE$60=X$3)*(GMW!$ND$2:$ND$60=X$4)*(GMW!$NF$2:$NF$60=X$1),0),$F113-1966)</f>
        <v>1186.704</v>
      </c>
      <c r="Y113" s="4" cm="1">
        <f t="array" ref="Y113">INDEX(GMW!$A$2:$NF$60,MATCH(1,(GMW!$NE$2:$NE$60=Y$3)*(GMW!$ND$2:$ND$60=Y$4)*(GMW!$NF$2:$NF$60=Y$1),0),$F113-1966)</f>
        <v>1082.9870000000001</v>
      </c>
      <c r="Z113" s="4" cm="1">
        <f t="array" ref="Z113">INDEX(GMW!$A$2:$NF$60,MATCH(1,(GMW!$NE$2:$NE$60=Z$3)*(GMW!$ND$2:$ND$60=Z$4)*(GMW!$NF$2:$NF$60=Z$1),0),$F113-1966)</f>
        <v>1443.567</v>
      </c>
      <c r="AA113" s="4" cm="1">
        <f t="array" ref="AA113">INDEX(GMW!$A$2:$NF$60,MATCH(1,(GMW!$NE$2:$NE$60=AA$3)*(GMW!$ND$2:$ND$60=AA$4)*(GMW!$NF$2:$NF$60=AA$1),0),$F113-1966)</f>
        <v>933628</v>
      </c>
      <c r="AB113" s="4" cm="1">
        <f t="array" ref="AB113">INDEX(GMW!$A$2:$NF$60,MATCH(1,(GMW!$NE$2:$NE$60=AB$3)*(GMW!$ND$2:$ND$60=AB$4)*(GMW!$NF$2:$NF$60=AB$1),0),$F113-1966)</f>
        <v>261604</v>
      </c>
      <c r="AC113" s="4" cm="1">
        <f t="array" ref="AC113">INDEX(GMW!$A$2:$NF$60,MATCH(1,(GMW!$NE$2:$NE$60=AC$3)*(GMW!$ND$2:$ND$60=AC$4)*(GMW!$NF$2:$NF$60=AC$1),0),$F113-1966)</f>
        <v>2421.65</v>
      </c>
      <c r="AD113" s="4" cm="1">
        <f t="array" ref="AD113">INDEX(GMW!$A$2:$NF$60,MATCH(1,(GMW!$NE$2:$NE$60=AD$3)*(GMW!$ND$2:$ND$60=AD$4)*(GMW!$NF$2:$NF$60=AD$1),0),$F113-1966)</f>
        <v>132149.29999999999</v>
      </c>
      <c r="AE113" s="4" cm="1">
        <f t="array" ref="AE113">INDEX(GMW!$A$2:$NF$60,MATCH(1,(GMW!$NE$2:$NE$60=AE$3)*(GMW!$ND$2:$ND$60=AE$4)*(GMW!$NF$2:$NF$60=AE$1),0),$F113-1966)</f>
        <v>520.59199999999998</v>
      </c>
      <c r="AF113" s="4" cm="1">
        <f t="array" ref="AF113">INDEX(GMW!$A$2:$NF$60,MATCH(1,(GMW!$NE$2:$NE$60=AF$3)*(GMW!$ND$2:$ND$60=AF$4)*(GMW!$NF$2:$NF$60=AF$1),0),$F113-1966)</f>
        <v>350.36099999999999</v>
      </c>
      <c r="AG113" s="4" cm="1">
        <f t="array" ref="AG113">INDEX(GMW!$A$2:$NF$60,MATCH(1,(GMW!$NE$2:$NE$60=AG$3)*(GMW!$ND$2:$ND$60=AG$4)*(GMW!$NF$2:$NF$60=AG$1),0),$F113-1966)</f>
        <v>294.44600000000003</v>
      </c>
      <c r="AH113" s="4" cm="1">
        <f t="array" ref="AH113">INDEX(GMW!$A$2:$NF$60,MATCH(1,(GMW!$NE$2:$NE$60=AH$3)*(GMW!$ND$2:$ND$60=AH$4)*(GMW!$NF$2:$NF$60=AH$1),0),$F113-1966)</f>
        <v>255327</v>
      </c>
    </row>
    <row r="114" spans="1:34" x14ac:dyDescent="0.25">
      <c r="B114" s="4">
        <f t="shared" si="36"/>
        <v>1999</v>
      </c>
      <c r="C114" s="4">
        <f t="shared" si="36"/>
        <v>1999</v>
      </c>
      <c r="E114" s="4">
        <f t="shared" ref="E114" si="39">+E110+1</f>
        <v>1999</v>
      </c>
      <c r="F114" s="4">
        <f t="shared" si="38"/>
        <v>2080</v>
      </c>
      <c r="G114" s="4" cm="1">
        <f t="array" ref="G114">INDEX(GMW!$A$2:$NF$60,MATCH(1,(GMW!$NE$2:$NE$60=G$3)*(GMW!$ND$2:$ND$60=G$4)*(GMW!$NF$2:$NF$60=G$1),0),$F114-1966)</f>
        <v>439093</v>
      </c>
      <c r="H114" s="4" cm="1">
        <f t="array" ref="H114">INDEX(GMW!$A$2:$NF$60,MATCH(1,(GMW!$NE$2:$NE$60=H$3)*(GMW!$ND$2:$ND$60=H$4)*(GMW!$NF$2:$NF$60=H$1),0),$F114-1966)</f>
        <v>3457</v>
      </c>
      <c r="I114" s="4" cm="1">
        <f t="array" ref="I114">INDEX(GMW!$A$2:$NF$60,MATCH(1,(GMW!$NE$2:$NE$60=I$3)*(GMW!$ND$2:$ND$60=I$4)*(GMW!$NF$2:$NF$60=I$1),0),$F114-1966)</f>
        <v>117957</v>
      </c>
      <c r="J114" s="4" cm="1">
        <f t="array" ref="J114">INDEX(GMW!$A$2:$NF$60,MATCH(1,(GMW!$NE$2:$NE$60=J$3)*(GMW!$ND$2:$ND$60=J$4)*(GMW!$NF$2:$NF$60=J$1),0),$F114-1966)</f>
        <v>692.24</v>
      </c>
      <c r="K114" s="4" cm="1">
        <f t="array" ref="K114">INDEX(GMW!$A$2:$NF$60,MATCH(1,(GMW!$NE$2:$NE$60=K$3)*(GMW!$ND$2:$ND$60=K$4)*(GMW!$NF$2:$NF$60=K$1),0),$F114-1966)</f>
        <v>475.77800000000002</v>
      </c>
      <c r="L114" s="4" cm="1">
        <f t="array" ref="L114">INDEX(GMW!$A$2:$NF$60,MATCH(1,(GMW!$NE$2:$NE$60=L$3)*(GMW!$ND$2:$ND$60=L$4)*(GMW!$NF$2:$NF$60=L$1),0),$F114-1966)</f>
        <v>432.351</v>
      </c>
      <c r="M114" s="4" cm="1">
        <f t="array" ref="M114">INDEX(GMW!$A$2:$NF$60,MATCH(1,(GMW!$NE$2:$NE$60=M$3)*(GMW!$ND$2:$ND$60=M$4)*(GMW!$NF$2:$NF$60=M$1),0),$F114-1966)</f>
        <v>372831.5</v>
      </c>
      <c r="N114" s="4" cm="1">
        <f t="array" ref="N114">INDEX(GMW!$A$2:$NF$60,MATCH(1,(GMW!$NE$2:$NE$60=N$3)*(GMW!$ND$2:$ND$60=N$4)*(GMW!$NF$2:$NF$60=N$1),0),$F114-1966)</f>
        <v>4136</v>
      </c>
      <c r="O114" s="4" cm="1">
        <f t="array" ref="O114">INDEX(GMW!$A$2:$NF$60,MATCH(1,(GMW!$NE$2:$NE$60=O$3)*(GMW!$ND$2:$ND$60=O$4)*(GMW!$NF$2:$NF$60=O$1),0),$F114-1966)</f>
        <v>-12.23875</v>
      </c>
      <c r="P114" s="4" cm="1">
        <f t="array" ref="P114">INDEX(GMW!$A$2:$NF$60,MATCH(1,(GMW!$NE$2:$NE$60=P$3)*(GMW!$ND$2:$ND$60=P$4)*(GMW!$NF$2:$NF$60=P$1),0),$F114-1966)</f>
        <v>-7463.5</v>
      </c>
      <c r="Q114" s="4" cm="1">
        <f t="array" ref="Q114">INDEX(GMW!$A$2:$NF$60,MATCH(1,(GMW!$NE$2:$NE$60=Q$3)*(GMW!$ND$2:$ND$60=Q$4)*(GMW!$NF$2:$NF$60=Q$1),0),$F114-1966)</f>
        <v>-6.1959999999999997</v>
      </c>
      <c r="R114" s="4" cm="1">
        <f t="array" ref="R114">INDEX(GMW!$A$2:$NF$60,MATCH(1,(GMW!$NE$2:$NE$60=R$3)*(GMW!$ND$2:$ND$60=R$4)*(GMW!$NF$2:$NF$60=R$1),0),$F114-1966)</f>
        <v>-5.0010000000000003</v>
      </c>
      <c r="S114" s="4" cm="1">
        <f t="array" ref="S114">INDEX(GMW!$A$2:$NF$60,MATCH(1,(GMW!$NE$2:$NE$60=S$3)*(GMW!$ND$2:$ND$60=S$4)*(GMW!$NF$2:$NF$60=S$1),0),$F114-1966)</f>
        <v>-5.6189330000000002</v>
      </c>
      <c r="T114" s="4" cm="1">
        <f t="array" ref="T114">INDEX(GMW!$A$2:$NF$60,MATCH(1,(GMW!$NE$2:$NE$60=T$3)*(GMW!$ND$2:$ND$60=T$4)*(GMW!$NF$2:$NF$60=T$1),0),$F114-1966)</f>
        <v>6344</v>
      </c>
      <c r="U114" s="4" cm="1">
        <f t="array" ref="U114">INDEX(GMW!$A$2:$NF$60,MATCH(1,(GMW!$NE$2:$NE$60=U$3)*(GMW!$ND$2:$ND$60=U$4)*(GMW!$NF$2:$NF$60=U$1),0),$F114-1966)</f>
        <v>421574</v>
      </c>
      <c r="V114" s="4" cm="1">
        <f t="array" ref="V114">INDEX(GMW!$A$2:$NF$60,MATCH(1,(GMW!$NE$2:$NE$60=V$3)*(GMW!$ND$2:$ND$60=V$4)*(GMW!$NF$2:$NF$60=V$1),0),$F114-1966)</f>
        <v>7365.0609999999997</v>
      </c>
      <c r="W114" s="4" cm="1">
        <f t="array" ref="W114">INDEX(GMW!$A$2:$NF$60,MATCH(1,(GMW!$NE$2:$NE$60=W$3)*(GMW!$ND$2:$ND$60=W$4)*(GMW!$NF$2:$NF$60=W$1),0),$F114-1966)</f>
        <v>642406</v>
      </c>
      <c r="X114" s="4" cm="1">
        <f t="array" ref="X114">INDEX(GMW!$A$2:$NF$60,MATCH(1,(GMW!$NE$2:$NE$60=X$3)*(GMW!$ND$2:$ND$60=X$4)*(GMW!$NF$2:$NF$60=X$1),0),$F114-1966)</f>
        <v>1187.6510000000001</v>
      </c>
      <c r="Y114" s="4" cm="1">
        <f t="array" ref="Y114">INDEX(GMW!$A$2:$NF$60,MATCH(1,(GMW!$NE$2:$NE$60=Y$3)*(GMW!$ND$2:$ND$60=Y$4)*(GMW!$NF$2:$NF$60=Y$1),0),$F114-1966)</f>
        <v>1094.1479999999999</v>
      </c>
      <c r="Z114" s="4" cm="1">
        <f t="array" ref="Z114">INDEX(GMW!$A$2:$NF$60,MATCH(1,(GMW!$NE$2:$NE$60=Z$3)*(GMW!$ND$2:$ND$60=Z$4)*(GMW!$NF$2:$NF$60=Z$1),0),$F114-1966)</f>
        <v>1438.827</v>
      </c>
      <c r="AA114" s="4" cm="1">
        <f t="array" ref="AA114">INDEX(GMW!$A$2:$NF$60,MATCH(1,(GMW!$NE$2:$NE$60=AA$3)*(GMW!$ND$2:$ND$60=AA$4)*(GMW!$NF$2:$NF$60=AA$1),0),$F114-1966)</f>
        <v>937355</v>
      </c>
      <c r="AB114" s="4" cm="1">
        <f t="array" ref="AB114">INDEX(GMW!$A$2:$NF$60,MATCH(1,(GMW!$NE$2:$NE$60=AB$3)*(GMW!$ND$2:$ND$60=AB$4)*(GMW!$NF$2:$NF$60=AB$1),0),$F114-1966)</f>
        <v>267337</v>
      </c>
      <c r="AC114" s="4" cm="1">
        <f t="array" ref="AC114">INDEX(GMW!$A$2:$NF$60,MATCH(1,(GMW!$NE$2:$NE$60=AC$3)*(GMW!$ND$2:$ND$60=AC$4)*(GMW!$NF$2:$NF$60=AC$1),0),$F114-1966)</f>
        <v>2475.0500000000002</v>
      </c>
      <c r="AD114" s="4" cm="1">
        <f t="array" ref="AD114">INDEX(GMW!$A$2:$NF$60,MATCH(1,(GMW!$NE$2:$NE$60=AD$3)*(GMW!$ND$2:$ND$60=AD$4)*(GMW!$NF$2:$NF$60=AD$1),0),$F114-1966)</f>
        <v>131961.60000000001</v>
      </c>
      <c r="AE114" s="4" cm="1">
        <f t="array" ref="AE114">INDEX(GMW!$A$2:$NF$60,MATCH(1,(GMW!$NE$2:$NE$60=AE$3)*(GMW!$ND$2:$ND$60=AE$4)*(GMW!$NF$2:$NF$60=AE$1),0),$F114-1966)</f>
        <v>522.61400000000003</v>
      </c>
      <c r="AF114" s="4" cm="1">
        <f t="array" ref="AF114">INDEX(GMW!$A$2:$NF$60,MATCH(1,(GMW!$NE$2:$NE$60=AF$3)*(GMW!$ND$2:$ND$60=AF$4)*(GMW!$NF$2:$NF$60=AF$1),0),$F114-1966)</f>
        <v>355.43099999999998</v>
      </c>
      <c r="AG114" s="4" cm="1">
        <f t="array" ref="AG114">INDEX(GMW!$A$2:$NF$60,MATCH(1,(GMW!$NE$2:$NE$60=AG$3)*(GMW!$ND$2:$ND$60=AG$4)*(GMW!$NF$2:$NF$60=AG$1),0),$F114-1966)</f>
        <v>299.97899999999998</v>
      </c>
      <c r="AH114" s="4" cm="1">
        <f t="array" ref="AH114">INDEX(GMW!$A$2:$NF$60,MATCH(1,(GMW!$NE$2:$NE$60=AH$3)*(GMW!$ND$2:$ND$60=AH$4)*(GMW!$NF$2:$NF$60=AH$1),0),$F114-1966)</f>
        <v>260247</v>
      </c>
    </row>
    <row r="115" spans="1:34" x14ac:dyDescent="0.25">
      <c r="A115" s="4">
        <v>2000</v>
      </c>
      <c r="B115" s="4">
        <f t="shared" si="36"/>
        <v>2000</v>
      </c>
      <c r="C115" s="4">
        <f t="shared" si="36"/>
        <v>1999</v>
      </c>
      <c r="D115" s="4">
        <f t="shared" si="36"/>
        <v>1999</v>
      </c>
      <c r="F115" s="4">
        <f t="shared" si="38"/>
        <v>2081</v>
      </c>
      <c r="G115" s="4" cm="1">
        <f t="array" ref="G115">INDEX(GMW!$A$2:$NF$60,MATCH(1,(GMW!$NE$2:$NE$60=G$3)*(GMW!$ND$2:$ND$60=G$4)*(GMW!$NF$2:$NF$60=G$1),0),$F115-1966)</f>
        <v>444540</v>
      </c>
      <c r="H115" s="4" cm="1">
        <f t="array" ref="H115">INDEX(GMW!$A$2:$NF$60,MATCH(1,(GMW!$NE$2:$NE$60=H$3)*(GMW!$ND$2:$ND$60=H$4)*(GMW!$NF$2:$NF$60=H$1),0),$F115-1966)</f>
        <v>3469.5250000000001</v>
      </c>
      <c r="I115" s="4" cm="1">
        <f t="array" ref="I115">INDEX(GMW!$A$2:$NF$60,MATCH(1,(GMW!$NE$2:$NE$60=I$3)*(GMW!$ND$2:$ND$60=I$4)*(GMW!$NF$2:$NF$60=I$1),0),$F115-1966)</f>
        <v>119997.6</v>
      </c>
      <c r="J115" s="4" cm="1">
        <f t="array" ref="J115">INDEX(GMW!$A$2:$NF$60,MATCH(1,(GMW!$NE$2:$NE$60=J$3)*(GMW!$ND$2:$ND$60=J$4)*(GMW!$NF$2:$NF$60=J$1),0),$F115-1966)</f>
        <v>702.91</v>
      </c>
      <c r="K115" s="4" cm="1">
        <f t="array" ref="K115">INDEX(GMW!$A$2:$NF$60,MATCH(1,(GMW!$NE$2:$NE$60=K$3)*(GMW!$ND$2:$ND$60=K$4)*(GMW!$NF$2:$NF$60=K$1),0),$F115-1966)</f>
        <v>480.38099999999997</v>
      </c>
      <c r="L115" s="4" cm="1">
        <f t="array" ref="L115">INDEX(GMW!$A$2:$NF$60,MATCH(1,(GMW!$NE$2:$NE$60=L$3)*(GMW!$ND$2:$ND$60=L$4)*(GMW!$NF$2:$NF$60=L$1),0),$F115-1966)</f>
        <v>437.661</v>
      </c>
      <c r="M115" s="4" cm="1">
        <f t="array" ref="M115">INDEX(GMW!$A$2:$NF$60,MATCH(1,(GMW!$NE$2:$NE$60=M$3)*(GMW!$ND$2:$ND$60=M$4)*(GMW!$NF$2:$NF$60=M$1),0),$F115-1966)</f>
        <v>378669</v>
      </c>
      <c r="N115" s="4" cm="1">
        <f t="array" ref="N115">INDEX(GMW!$A$2:$NF$60,MATCH(1,(GMW!$NE$2:$NE$60=N$3)*(GMW!$ND$2:$ND$60=N$4)*(GMW!$NF$2:$NF$60=N$1),0),$F115-1966)</f>
        <v>11619</v>
      </c>
      <c r="O115" s="4" cm="1">
        <f t="array" ref="O115">INDEX(GMW!$A$2:$NF$60,MATCH(1,(GMW!$NE$2:$NE$60=O$3)*(GMW!$ND$2:$ND$60=O$4)*(GMW!$NF$2:$NF$60=O$1),0),$F115-1966)</f>
        <v>17.151499999999999</v>
      </c>
      <c r="P115" s="4" cm="1">
        <f t="array" ref="P115">INDEX(GMW!$A$2:$NF$60,MATCH(1,(GMW!$NE$2:$NE$60=P$3)*(GMW!$ND$2:$ND$60=P$4)*(GMW!$NF$2:$NF$60=P$1),0),$F115-1966)</f>
        <v>-8717.75</v>
      </c>
      <c r="Q115" s="4" cm="1">
        <f t="array" ref="Q115">INDEX(GMW!$A$2:$NF$60,MATCH(1,(GMW!$NE$2:$NE$60=Q$3)*(GMW!$ND$2:$ND$60=Q$4)*(GMW!$NF$2:$NF$60=Q$1),0),$F115-1966)</f>
        <v>-11.727</v>
      </c>
      <c r="R115" s="4" cm="1">
        <f t="array" ref="R115">INDEX(GMW!$A$2:$NF$60,MATCH(1,(GMW!$NE$2:$NE$60=R$3)*(GMW!$ND$2:$ND$60=R$4)*(GMW!$NF$2:$NF$60=R$1),0),$F115-1966)</f>
        <v>-4.62</v>
      </c>
      <c r="S115" s="4" cm="1">
        <f t="array" ref="S115">INDEX(GMW!$A$2:$NF$60,MATCH(1,(GMW!$NE$2:$NE$60=S$3)*(GMW!$ND$2:$ND$60=S$4)*(GMW!$NF$2:$NF$60=S$1),0),$F115-1966)</f>
        <v>-6.6182879999999997</v>
      </c>
      <c r="T115" s="4" cm="1">
        <f t="array" ref="T115">INDEX(GMW!$A$2:$NF$60,MATCH(1,(GMW!$NE$2:$NE$60=T$3)*(GMW!$ND$2:$ND$60=T$4)*(GMW!$NF$2:$NF$60=T$1),0),$F115-1966)</f>
        <v>6637</v>
      </c>
      <c r="U115" s="4" cm="1">
        <f t="array" ref="U115">INDEX(GMW!$A$2:$NF$60,MATCH(1,(GMW!$NE$2:$NE$60=U$3)*(GMW!$ND$2:$ND$60=U$4)*(GMW!$NF$2:$NF$60=U$1),0),$F115-1966)</f>
        <v>408327</v>
      </c>
      <c r="V115" s="4" cm="1">
        <f t="array" ref="V115">INDEX(GMW!$A$2:$NF$60,MATCH(1,(GMW!$NE$2:$NE$60=V$3)*(GMW!$ND$2:$ND$60=V$4)*(GMW!$NF$2:$NF$60=V$1),0),$F115-1966)</f>
        <v>7349.3940000000002</v>
      </c>
      <c r="W115" s="4" cm="1">
        <f t="array" ref="W115">INDEX(GMW!$A$2:$NF$60,MATCH(1,(GMW!$NE$2:$NE$60=W$3)*(GMW!$ND$2:$ND$60=W$4)*(GMW!$NF$2:$NF$60=W$1),0),$F115-1966)</f>
        <v>656753</v>
      </c>
      <c r="X115" s="4" cm="1">
        <f t="array" ref="X115">INDEX(GMW!$A$2:$NF$60,MATCH(1,(GMW!$NE$2:$NE$60=X$3)*(GMW!$ND$2:$ND$60=X$4)*(GMW!$NF$2:$NF$60=X$1),0),$F115-1966)</f>
        <v>1188.45</v>
      </c>
      <c r="Y115" s="4" cm="1">
        <f t="array" ref="Y115">INDEX(GMW!$A$2:$NF$60,MATCH(1,(GMW!$NE$2:$NE$60=Y$3)*(GMW!$ND$2:$ND$60=Y$4)*(GMW!$NF$2:$NF$60=Y$1),0),$F115-1966)</f>
        <v>1096.3530000000001</v>
      </c>
      <c r="Z115" s="4" cm="1">
        <f t="array" ref="Z115">INDEX(GMW!$A$2:$NF$60,MATCH(1,(GMW!$NE$2:$NE$60=Z$3)*(GMW!$ND$2:$ND$60=Z$4)*(GMW!$NF$2:$NF$60=Z$1),0),$F115-1966)</f>
        <v>1446.778</v>
      </c>
      <c r="AA115" s="4" cm="1">
        <f t="array" ref="AA115">INDEX(GMW!$A$2:$NF$60,MATCH(1,(GMW!$NE$2:$NE$60=AA$3)*(GMW!$ND$2:$ND$60=AA$4)*(GMW!$NF$2:$NF$60=AA$1),0),$F115-1966)</f>
        <v>945951</v>
      </c>
      <c r="AB115" s="4" cm="1">
        <f t="array" ref="AB115">INDEX(GMW!$A$2:$NF$60,MATCH(1,(GMW!$NE$2:$NE$60=AB$3)*(GMW!$ND$2:$ND$60=AB$4)*(GMW!$NF$2:$NF$60=AB$1),0),$F115-1966)</f>
        <v>272305</v>
      </c>
      <c r="AC115" s="4" cm="1">
        <f t="array" ref="AC115">INDEX(GMW!$A$2:$NF$60,MATCH(1,(GMW!$NE$2:$NE$60=AC$3)*(GMW!$ND$2:$ND$60=AC$4)*(GMW!$NF$2:$NF$60=AC$1),0),$F115-1966)</f>
        <v>2500.5500000000002</v>
      </c>
      <c r="AD115" s="4" cm="1">
        <f t="array" ref="AD115">INDEX(GMW!$A$2:$NF$60,MATCH(1,(GMW!$NE$2:$NE$60=AD$3)*(GMW!$ND$2:$ND$60=AD$4)*(GMW!$NF$2:$NF$60=AD$1),0),$F115-1966)</f>
        <v>133789</v>
      </c>
      <c r="AE115" s="4" cm="1">
        <f t="array" ref="AE115">INDEX(GMW!$A$2:$NF$60,MATCH(1,(GMW!$NE$2:$NE$60=AE$3)*(GMW!$ND$2:$ND$60=AE$4)*(GMW!$NF$2:$NF$60=AE$1),0),$F115-1966)</f>
        <v>529.375</v>
      </c>
      <c r="AF115" s="4" cm="1">
        <f t="array" ref="AF115">INDEX(GMW!$A$2:$NF$60,MATCH(1,(GMW!$NE$2:$NE$60=AF$3)*(GMW!$ND$2:$ND$60=AF$4)*(GMW!$NF$2:$NF$60=AF$1),0),$F115-1966)</f>
        <v>361.61599999999999</v>
      </c>
      <c r="AG115" s="4" cm="1">
        <f t="array" ref="AG115">INDEX(GMW!$A$2:$NF$60,MATCH(1,(GMW!$NE$2:$NE$60=AG$3)*(GMW!$ND$2:$ND$60=AG$4)*(GMW!$NF$2:$NF$60=AG$1),0),$F115-1966)</f>
        <v>305.80900000000003</v>
      </c>
      <c r="AH115" s="4" cm="1">
        <f t="array" ref="AH115">INDEX(GMW!$A$2:$NF$60,MATCH(1,(GMW!$NE$2:$NE$60=AH$3)*(GMW!$ND$2:$ND$60=AH$4)*(GMW!$NF$2:$NF$60=AH$1),0),$F115-1966)</f>
        <v>267547</v>
      </c>
    </row>
    <row r="116" spans="1:34" x14ac:dyDescent="0.25">
      <c r="B116" s="4">
        <f t="shared" si="36"/>
        <v>2000</v>
      </c>
      <c r="C116" s="4">
        <f t="shared" si="36"/>
        <v>2000</v>
      </c>
      <c r="F116" s="4">
        <f t="shared" si="38"/>
        <v>2082</v>
      </c>
      <c r="G116" s="4" cm="1">
        <f t="array" ref="G116">INDEX(GMW!$A$2:$NF$60,MATCH(1,(GMW!$NE$2:$NE$60=G$3)*(GMW!$ND$2:$ND$60=G$4)*(GMW!$NF$2:$NF$60=G$1),0),$F116-1966)</f>
        <v>447825</v>
      </c>
      <c r="H116" s="4" cm="1">
        <f t="array" ref="H116">INDEX(GMW!$A$2:$NF$60,MATCH(1,(GMW!$NE$2:$NE$60=H$3)*(GMW!$ND$2:$ND$60=H$4)*(GMW!$NF$2:$NF$60=H$1),0),$F116-1966)</f>
        <v>3532.7249999999999</v>
      </c>
      <c r="I116" s="4" cm="1">
        <f t="array" ref="I116">INDEX(GMW!$A$2:$NF$60,MATCH(1,(GMW!$NE$2:$NE$60=I$3)*(GMW!$ND$2:$ND$60=I$4)*(GMW!$NF$2:$NF$60=I$1),0),$F116-1966)</f>
        <v>120531</v>
      </c>
      <c r="J116" s="4" cm="1">
        <f t="array" ref="J116">INDEX(GMW!$A$2:$NF$60,MATCH(1,(GMW!$NE$2:$NE$60=J$3)*(GMW!$ND$2:$ND$60=J$4)*(GMW!$NF$2:$NF$60=J$1),0),$F116-1966)</f>
        <v>708.52</v>
      </c>
      <c r="K116" s="4" cm="1">
        <f t="array" ref="K116">INDEX(GMW!$A$2:$NF$60,MATCH(1,(GMW!$NE$2:$NE$60=K$3)*(GMW!$ND$2:$ND$60=K$4)*(GMW!$NF$2:$NF$60=K$1),0),$F116-1966)</f>
        <v>485.75099999999998</v>
      </c>
      <c r="L116" s="4" cm="1">
        <f t="array" ref="L116">INDEX(GMW!$A$2:$NF$60,MATCH(1,(GMW!$NE$2:$NE$60=L$3)*(GMW!$ND$2:$ND$60=L$4)*(GMW!$NF$2:$NF$60=L$1),0),$F116-1966)</f>
        <v>440.54500000000002</v>
      </c>
      <c r="M116" s="4" cm="1">
        <f t="array" ref="M116">INDEX(GMW!$A$2:$NF$60,MATCH(1,(GMW!$NE$2:$NE$60=M$3)*(GMW!$ND$2:$ND$60=M$4)*(GMW!$NF$2:$NF$60=M$1),0),$F116-1966)</f>
        <v>383125.8</v>
      </c>
      <c r="N116" s="4" cm="1">
        <f t="array" ref="N116">INDEX(GMW!$A$2:$NF$60,MATCH(1,(GMW!$NE$2:$NE$60=N$3)*(GMW!$ND$2:$ND$60=N$4)*(GMW!$NF$2:$NF$60=N$1),0),$F116-1966)</f>
        <v>3775</v>
      </c>
      <c r="O116" s="4" cm="1">
        <f t="array" ref="O116">INDEX(GMW!$A$2:$NF$60,MATCH(1,(GMW!$NE$2:$NE$60=O$3)*(GMW!$ND$2:$ND$60=O$4)*(GMW!$NF$2:$NF$60=O$1),0),$F116-1966)</f>
        <v>12.178750000000001</v>
      </c>
      <c r="P116" s="4" cm="1">
        <f t="array" ref="P116">INDEX(GMW!$A$2:$NF$60,MATCH(1,(GMW!$NE$2:$NE$60=P$3)*(GMW!$ND$2:$ND$60=P$4)*(GMW!$NF$2:$NF$60=P$1),0),$F116-1966)</f>
        <v>-9699.25</v>
      </c>
      <c r="Q116" s="4" cm="1">
        <f t="array" ref="Q116">INDEX(GMW!$A$2:$NF$60,MATCH(1,(GMW!$NE$2:$NE$60=Q$3)*(GMW!$ND$2:$ND$60=Q$4)*(GMW!$NF$2:$NF$60=Q$1),0),$F116-1966)</f>
        <v>-4.4649999999999999</v>
      </c>
      <c r="R116" s="4" cm="1">
        <f t="array" ref="R116">INDEX(GMW!$A$2:$NF$60,MATCH(1,(GMW!$NE$2:$NE$60=R$3)*(GMW!$ND$2:$ND$60=R$4)*(GMW!$NF$2:$NF$60=R$1),0),$F116-1966)</f>
        <v>-3.863</v>
      </c>
      <c r="S116" s="4" cm="1">
        <f t="array" ref="S116">INDEX(GMW!$A$2:$NF$60,MATCH(1,(GMW!$NE$2:$NE$60=S$3)*(GMW!$ND$2:$ND$60=S$4)*(GMW!$NF$2:$NF$60=S$1),0),$F116-1966)</f>
        <v>-7.1482749999999999</v>
      </c>
      <c r="T116" s="4" cm="1">
        <f t="array" ref="T116">INDEX(GMW!$A$2:$NF$60,MATCH(1,(GMW!$NE$2:$NE$60=T$3)*(GMW!$ND$2:$ND$60=T$4)*(GMW!$NF$2:$NF$60=T$1),0),$F116-1966)</f>
        <v>9427</v>
      </c>
      <c r="U116" s="4" cm="1">
        <f t="array" ref="U116">INDEX(GMW!$A$2:$NF$60,MATCH(1,(GMW!$NE$2:$NE$60=U$3)*(GMW!$ND$2:$ND$60=U$4)*(GMW!$NF$2:$NF$60=U$1),0),$F116-1966)</f>
        <v>415499</v>
      </c>
      <c r="V116" s="4" cm="1">
        <f t="array" ref="V116">INDEX(GMW!$A$2:$NF$60,MATCH(1,(GMW!$NE$2:$NE$60=V$3)*(GMW!$ND$2:$ND$60=V$4)*(GMW!$NF$2:$NF$60=V$1),0),$F116-1966)</f>
        <v>7269.5240000000003</v>
      </c>
      <c r="W116" s="4" cm="1">
        <f t="array" ref="W116">INDEX(GMW!$A$2:$NF$60,MATCH(1,(GMW!$NE$2:$NE$60=W$3)*(GMW!$ND$2:$ND$60=W$4)*(GMW!$NF$2:$NF$60=W$1),0),$F116-1966)</f>
        <v>671100</v>
      </c>
      <c r="X116" s="4" cm="1">
        <f t="array" ref="X116">INDEX(GMW!$A$2:$NF$60,MATCH(1,(GMW!$NE$2:$NE$60=X$3)*(GMW!$ND$2:$ND$60=X$4)*(GMW!$NF$2:$NF$60=X$1),0),$F116-1966)</f>
        <v>1191.1400000000001</v>
      </c>
      <c r="Y116" s="4" cm="1">
        <f t="array" ref="Y116">INDEX(GMW!$A$2:$NF$60,MATCH(1,(GMW!$NE$2:$NE$60=Y$3)*(GMW!$ND$2:$ND$60=Y$4)*(GMW!$NF$2:$NF$60=Y$1),0),$F116-1966)</f>
        <v>1109.981</v>
      </c>
      <c r="Z116" s="4" cm="1">
        <f t="array" ref="Z116">INDEX(GMW!$A$2:$NF$60,MATCH(1,(GMW!$NE$2:$NE$60=Z$3)*(GMW!$ND$2:$ND$60=Z$4)*(GMW!$NF$2:$NF$60=Z$1),0),$F116-1966)</f>
        <v>1454.73</v>
      </c>
      <c r="AA116" s="4" cm="1">
        <f t="array" ref="AA116">INDEX(GMW!$A$2:$NF$60,MATCH(1,(GMW!$NE$2:$NE$60=AA$3)*(GMW!$ND$2:$ND$60=AA$4)*(GMW!$NF$2:$NF$60=AA$1),0),$F116-1966)</f>
        <v>941612</v>
      </c>
      <c r="AB116" s="4" cm="1">
        <f t="array" ref="AB116">INDEX(GMW!$A$2:$NF$60,MATCH(1,(GMW!$NE$2:$NE$60=AB$3)*(GMW!$ND$2:$ND$60=AB$4)*(GMW!$NF$2:$NF$60=AB$1),0),$F116-1966)</f>
        <v>273916</v>
      </c>
      <c r="AC116" s="4" cm="1">
        <f t="array" ref="AC116">INDEX(GMW!$A$2:$NF$60,MATCH(1,(GMW!$NE$2:$NE$60=AC$3)*(GMW!$ND$2:$ND$60=AC$4)*(GMW!$NF$2:$NF$60=AC$1),0),$F116-1966)</f>
        <v>2561.9250000000002</v>
      </c>
      <c r="AD116" s="4" cm="1">
        <f t="array" ref="AD116">INDEX(GMW!$A$2:$NF$60,MATCH(1,(GMW!$NE$2:$NE$60=AD$3)*(GMW!$ND$2:$ND$60=AD$4)*(GMW!$NF$2:$NF$60=AD$1),0),$F116-1966)</f>
        <v>133836.5</v>
      </c>
      <c r="AE116" s="4" cm="1">
        <f t="array" ref="AE116">INDEX(GMW!$A$2:$NF$60,MATCH(1,(GMW!$NE$2:$NE$60=AE$3)*(GMW!$ND$2:$ND$60=AE$4)*(GMW!$NF$2:$NF$60=AE$1),0),$F116-1966)</f>
        <v>533.16999999999996</v>
      </c>
      <c r="AF116" s="4" cm="1">
        <f t="array" ref="AF116">INDEX(GMW!$A$2:$NF$60,MATCH(1,(GMW!$NE$2:$NE$60=AF$3)*(GMW!$ND$2:$ND$60=AF$4)*(GMW!$NF$2:$NF$60=AF$1),0),$F116-1966)</f>
        <v>366.61399999999998</v>
      </c>
      <c r="AG116" s="4" cm="1">
        <f t="array" ref="AG116">INDEX(GMW!$A$2:$NF$60,MATCH(1,(GMW!$NE$2:$NE$60=AG$3)*(GMW!$ND$2:$ND$60=AG$4)*(GMW!$NF$2:$NF$60=AG$1),0),$F116-1966)</f>
        <v>308.57799999999997</v>
      </c>
      <c r="AH116" s="4" cm="1">
        <f t="array" ref="AH116">INDEX(GMW!$A$2:$NF$60,MATCH(1,(GMW!$NE$2:$NE$60=AH$3)*(GMW!$ND$2:$ND$60=AH$4)*(GMW!$NF$2:$NF$60=AH$1),0),$F116-1966)</f>
        <v>274862</v>
      </c>
    </row>
    <row r="117" spans="1:34" x14ac:dyDescent="0.25">
      <c r="B117" s="4">
        <f t="shared" si="36"/>
        <v>2000</v>
      </c>
      <c r="C117" s="4">
        <f t="shared" si="36"/>
        <v>2000</v>
      </c>
      <c r="F117" s="4">
        <f t="shared" si="38"/>
        <v>2083</v>
      </c>
      <c r="G117" s="4" cm="1">
        <f t="array" ref="G117">INDEX(GMW!$A$2:$NF$60,MATCH(1,(GMW!$NE$2:$NE$60=G$3)*(GMW!$ND$2:$ND$60=G$4)*(GMW!$NF$2:$NF$60=G$1),0),$F117-1966)</f>
        <v>450688</v>
      </c>
      <c r="H117" s="4" cm="1">
        <f t="array" ref="H117">INDEX(GMW!$A$2:$NF$60,MATCH(1,(GMW!$NE$2:$NE$60=H$3)*(GMW!$ND$2:$ND$60=H$4)*(GMW!$NF$2:$NF$60=H$1),0),$F117-1966)</f>
        <v>3536.3249999999998</v>
      </c>
      <c r="I117" s="4" cm="1">
        <f t="array" ref="I117">INDEX(GMW!$A$2:$NF$60,MATCH(1,(GMW!$NE$2:$NE$60=I$3)*(GMW!$ND$2:$ND$60=I$4)*(GMW!$NF$2:$NF$60=I$1),0),$F117-1966)</f>
        <v>120565.3</v>
      </c>
      <c r="J117" s="4" cm="1">
        <f t="array" ref="J117">INDEX(GMW!$A$2:$NF$60,MATCH(1,(GMW!$NE$2:$NE$60=J$3)*(GMW!$ND$2:$ND$60=J$4)*(GMW!$NF$2:$NF$60=J$1),0),$F117-1966)</f>
        <v>709.04</v>
      </c>
      <c r="K117" s="4" cm="1">
        <f t="array" ref="K117">INDEX(GMW!$A$2:$NF$60,MATCH(1,(GMW!$NE$2:$NE$60=K$3)*(GMW!$ND$2:$ND$60=K$4)*(GMW!$NF$2:$NF$60=K$1),0),$F117-1966)</f>
        <v>489.48700000000002</v>
      </c>
      <c r="L117" s="4" cm="1">
        <f t="array" ref="L117">INDEX(GMW!$A$2:$NF$60,MATCH(1,(GMW!$NE$2:$NE$60=L$3)*(GMW!$ND$2:$ND$60=L$4)*(GMW!$NF$2:$NF$60=L$1),0),$F117-1966)</f>
        <v>444.529</v>
      </c>
      <c r="M117" s="4" cm="1">
        <f t="array" ref="M117">INDEX(GMW!$A$2:$NF$60,MATCH(1,(GMW!$NE$2:$NE$60=M$3)*(GMW!$ND$2:$ND$60=M$4)*(GMW!$NF$2:$NF$60=M$1),0),$F117-1966)</f>
        <v>387053</v>
      </c>
      <c r="N117" s="4" cm="1">
        <f t="array" ref="N117">INDEX(GMW!$A$2:$NF$60,MATCH(1,(GMW!$NE$2:$NE$60=N$3)*(GMW!$ND$2:$ND$60=N$4)*(GMW!$NF$2:$NF$60=N$1),0),$F117-1966)</f>
        <v>4577</v>
      </c>
      <c r="O117" s="4" cm="1">
        <f t="array" ref="O117">INDEX(GMW!$A$2:$NF$60,MATCH(1,(GMW!$NE$2:$NE$60=O$3)*(GMW!$ND$2:$ND$60=O$4)*(GMW!$NF$2:$NF$60=O$1),0),$F117-1966)</f>
        <v>9.9915000000000003</v>
      </c>
      <c r="P117" s="4" cm="1">
        <f t="array" ref="P117">INDEX(GMW!$A$2:$NF$60,MATCH(1,(GMW!$NE$2:$NE$60=P$3)*(GMW!$ND$2:$ND$60=P$4)*(GMW!$NF$2:$NF$60=P$1),0),$F117-1966)</f>
        <v>-10400.75</v>
      </c>
      <c r="Q117" s="4" cm="1">
        <f t="array" ref="Q117">INDEX(GMW!$A$2:$NF$60,MATCH(1,(GMW!$NE$2:$NE$60=Q$3)*(GMW!$ND$2:$ND$60=Q$4)*(GMW!$NF$2:$NF$60=Q$1),0),$F117-1966)</f>
        <v>-7.7080000000000002</v>
      </c>
      <c r="R117" s="4" cm="1">
        <f t="array" ref="R117">INDEX(GMW!$A$2:$NF$60,MATCH(1,(GMW!$NE$2:$NE$60=R$3)*(GMW!$ND$2:$ND$60=R$4)*(GMW!$NF$2:$NF$60=R$1),0),$F117-1966)</f>
        <v>-3.6309999999999998</v>
      </c>
      <c r="S117" s="4" cm="1">
        <f t="array" ref="S117">INDEX(GMW!$A$2:$NF$60,MATCH(1,(GMW!$NE$2:$NE$60=S$3)*(GMW!$ND$2:$ND$60=S$4)*(GMW!$NF$2:$NF$60=S$1),0),$F117-1966)</f>
        <v>-7.7959940000000003</v>
      </c>
      <c r="T117" s="4" cm="1">
        <f t="array" ref="T117">INDEX(GMW!$A$2:$NF$60,MATCH(1,(GMW!$NE$2:$NE$60=T$3)*(GMW!$ND$2:$ND$60=T$4)*(GMW!$NF$2:$NF$60=T$1),0),$F117-1966)</f>
        <v>9494</v>
      </c>
      <c r="U117" s="4" cm="1">
        <f t="array" ref="U117">INDEX(GMW!$A$2:$NF$60,MATCH(1,(GMW!$NE$2:$NE$60=U$3)*(GMW!$ND$2:$ND$60=U$4)*(GMW!$NF$2:$NF$60=U$1),0),$F117-1966)</f>
        <v>407470</v>
      </c>
      <c r="V117" s="4" cm="1">
        <f t="array" ref="V117">INDEX(GMW!$A$2:$NF$60,MATCH(1,(GMW!$NE$2:$NE$60=V$3)*(GMW!$ND$2:$ND$60=V$4)*(GMW!$NF$2:$NF$60=V$1),0),$F117-1966)</f>
        <v>7250.9620000000004</v>
      </c>
      <c r="W117" s="4" cm="1">
        <f t="array" ref="W117">INDEX(GMW!$A$2:$NF$60,MATCH(1,(GMW!$NE$2:$NE$60=W$3)*(GMW!$ND$2:$ND$60=W$4)*(GMW!$NF$2:$NF$60=W$1),0),$F117-1966)</f>
        <v>685447</v>
      </c>
      <c r="X117" s="4" cm="1">
        <f t="array" ref="X117">INDEX(GMW!$A$2:$NF$60,MATCH(1,(GMW!$NE$2:$NE$60=X$3)*(GMW!$ND$2:$ND$60=X$4)*(GMW!$NF$2:$NF$60=X$1),0),$F117-1966)</f>
        <v>1194.086</v>
      </c>
      <c r="Y117" s="4" cm="1">
        <f t="array" ref="Y117">INDEX(GMW!$A$2:$NF$60,MATCH(1,(GMW!$NE$2:$NE$60=Y$3)*(GMW!$ND$2:$ND$60=Y$4)*(GMW!$NF$2:$NF$60=Y$1),0),$F117-1966)</f>
        <v>1116.55</v>
      </c>
      <c r="Z117" s="4" cm="1">
        <f t="array" ref="Z117">INDEX(GMW!$A$2:$NF$60,MATCH(1,(GMW!$NE$2:$NE$60=Z$3)*(GMW!$ND$2:$ND$60=Z$4)*(GMW!$NF$2:$NF$60=Z$1),0),$F117-1966)</f>
        <v>1462.682</v>
      </c>
      <c r="AA117" s="4" cm="1">
        <f t="array" ref="AA117">INDEX(GMW!$A$2:$NF$60,MATCH(1,(GMW!$NE$2:$NE$60=AA$3)*(GMW!$ND$2:$ND$60=AA$4)*(GMW!$NF$2:$NF$60=AA$1),0),$F117-1966)</f>
        <v>932074</v>
      </c>
      <c r="AB117" s="4" cm="1">
        <f t="array" ref="AB117">INDEX(GMW!$A$2:$NF$60,MATCH(1,(GMW!$NE$2:$NE$60=AB$3)*(GMW!$ND$2:$ND$60=AB$4)*(GMW!$NF$2:$NF$60=AB$1),0),$F117-1966)</f>
        <v>276174</v>
      </c>
      <c r="AC117" s="4" cm="1">
        <f t="array" ref="AC117">INDEX(GMW!$A$2:$NF$60,MATCH(1,(GMW!$NE$2:$NE$60=AC$3)*(GMW!$ND$2:$ND$60=AC$4)*(GMW!$NF$2:$NF$60=AC$1),0),$F117-1966)</f>
        <v>2579.5500000000002</v>
      </c>
      <c r="AD117" s="4" cm="1">
        <f t="array" ref="AD117">INDEX(GMW!$A$2:$NF$60,MATCH(1,(GMW!$NE$2:$NE$60=AD$3)*(GMW!$ND$2:$ND$60=AD$4)*(GMW!$NF$2:$NF$60=AD$1),0),$F117-1966)</f>
        <v>133612.9</v>
      </c>
      <c r="AE117" s="4" cm="1">
        <f t="array" ref="AE117">INDEX(GMW!$A$2:$NF$60,MATCH(1,(GMW!$NE$2:$NE$60=AE$3)*(GMW!$ND$2:$ND$60=AE$4)*(GMW!$NF$2:$NF$60=AE$1),0),$F117-1966)</f>
        <v>534.08900000000006</v>
      </c>
      <c r="AF117" s="4" cm="1">
        <f t="array" ref="AF117">INDEX(GMW!$A$2:$NF$60,MATCH(1,(GMW!$NE$2:$NE$60=AF$3)*(GMW!$ND$2:$ND$60=AF$4)*(GMW!$NF$2:$NF$60=AF$1),0),$F117-1966)</f>
        <v>371.65699999999998</v>
      </c>
      <c r="AG117" s="4" cm="1">
        <f t="array" ref="AG117">INDEX(GMW!$A$2:$NF$60,MATCH(1,(GMW!$NE$2:$NE$60=AG$3)*(GMW!$ND$2:$ND$60=AG$4)*(GMW!$NF$2:$NF$60=AG$1),0),$F117-1966)</f>
        <v>313.20499999999998</v>
      </c>
      <c r="AH117" s="4" cm="1">
        <f t="array" ref="AH117">INDEX(GMW!$A$2:$NF$60,MATCH(1,(GMW!$NE$2:$NE$60=AH$3)*(GMW!$ND$2:$ND$60=AH$4)*(GMW!$NF$2:$NF$60=AH$1),0),$F117-1966)</f>
        <v>280442</v>
      </c>
    </row>
    <row r="118" spans="1:34" x14ac:dyDescent="0.25">
      <c r="B118" s="4">
        <f t="shared" si="36"/>
        <v>2000</v>
      </c>
      <c r="C118" s="4">
        <f t="shared" si="36"/>
        <v>2000</v>
      </c>
      <c r="E118" s="4">
        <f t="shared" ref="E118" si="40">+E114+1</f>
        <v>2000</v>
      </c>
      <c r="F118" s="4">
        <f t="shared" si="38"/>
        <v>2084</v>
      </c>
      <c r="G118" s="4" cm="1">
        <f t="array" ref="G118">INDEX(GMW!$A$2:$NF$60,MATCH(1,(GMW!$NE$2:$NE$60=G$3)*(GMW!$ND$2:$ND$60=G$4)*(GMW!$NF$2:$NF$60=G$1),0),$F118-1966)</f>
        <v>453447</v>
      </c>
      <c r="H118" s="4" cm="1">
        <f t="array" ref="H118">INDEX(GMW!$A$2:$NF$60,MATCH(1,(GMW!$NE$2:$NE$60=H$3)*(GMW!$ND$2:$ND$60=H$4)*(GMW!$NF$2:$NF$60=H$1),0),$F118-1966)</f>
        <v>3557.45</v>
      </c>
      <c r="I118" s="4" cm="1">
        <f t="array" ref="I118">INDEX(GMW!$A$2:$NF$60,MATCH(1,(GMW!$NE$2:$NE$60=I$3)*(GMW!$ND$2:$ND$60=I$4)*(GMW!$NF$2:$NF$60=I$1),0),$F118-1966)</f>
        <v>121729.4</v>
      </c>
      <c r="J118" s="4" cm="1">
        <f t="array" ref="J118">INDEX(GMW!$A$2:$NF$60,MATCH(1,(GMW!$NE$2:$NE$60=J$3)*(GMW!$ND$2:$ND$60=J$4)*(GMW!$NF$2:$NF$60=J$1),0),$F118-1966)</f>
        <v>706.02</v>
      </c>
      <c r="K118" s="4" cm="1">
        <f t="array" ref="K118">INDEX(GMW!$A$2:$NF$60,MATCH(1,(GMW!$NE$2:$NE$60=K$3)*(GMW!$ND$2:$ND$60=K$4)*(GMW!$NF$2:$NF$60=K$1),0),$F118-1966)</f>
        <v>492.46300000000002</v>
      </c>
      <c r="L118" s="4" cm="1">
        <f t="array" ref="L118">INDEX(GMW!$A$2:$NF$60,MATCH(1,(GMW!$NE$2:$NE$60=L$3)*(GMW!$ND$2:$ND$60=L$4)*(GMW!$NF$2:$NF$60=L$1),0),$F118-1966)</f>
        <v>448.83600000000001</v>
      </c>
      <c r="M118" s="4" cm="1">
        <f t="array" ref="M118">INDEX(GMW!$A$2:$NF$60,MATCH(1,(GMW!$NE$2:$NE$60=M$3)*(GMW!$ND$2:$ND$60=M$4)*(GMW!$NF$2:$NF$60=M$1),0),$F118-1966)</f>
        <v>387818.5</v>
      </c>
      <c r="N118" s="4" cm="1">
        <f t="array" ref="N118">INDEX(GMW!$A$2:$NF$60,MATCH(1,(GMW!$NE$2:$NE$60=N$3)*(GMW!$ND$2:$ND$60=N$4)*(GMW!$NF$2:$NF$60=N$1),0),$F118-1966)</f>
        <v>-3613</v>
      </c>
      <c r="O118" s="4" cm="1">
        <f t="array" ref="O118">INDEX(GMW!$A$2:$NF$60,MATCH(1,(GMW!$NE$2:$NE$60=O$3)*(GMW!$ND$2:$ND$60=O$4)*(GMW!$NF$2:$NF$60=O$1),0),$F118-1966)</f>
        <v>0.629</v>
      </c>
      <c r="P118" s="4" cm="1">
        <f t="array" ref="P118">INDEX(GMW!$A$2:$NF$60,MATCH(1,(GMW!$NE$2:$NE$60=P$3)*(GMW!$ND$2:$ND$60=P$4)*(GMW!$NF$2:$NF$60=P$1),0),$F118-1966)</f>
        <v>-10170.5</v>
      </c>
      <c r="Q118" s="4" cm="1">
        <f t="array" ref="Q118">INDEX(GMW!$A$2:$NF$60,MATCH(1,(GMW!$NE$2:$NE$60=Q$3)*(GMW!$ND$2:$ND$60=Q$4)*(GMW!$NF$2:$NF$60=Q$1),0),$F118-1966)</f>
        <v>-12.609</v>
      </c>
      <c r="R118" s="4" cm="1">
        <f t="array" ref="R118">INDEX(GMW!$A$2:$NF$60,MATCH(1,(GMW!$NE$2:$NE$60=R$3)*(GMW!$ND$2:$ND$60=R$4)*(GMW!$NF$2:$NF$60=R$1),0),$F118-1966)</f>
        <v>-7.2510000000000003</v>
      </c>
      <c r="S118" s="4" cm="1">
        <f t="array" ref="S118">INDEX(GMW!$A$2:$NF$60,MATCH(1,(GMW!$NE$2:$NE$60=S$3)*(GMW!$ND$2:$ND$60=S$4)*(GMW!$NF$2:$NF$60=S$1),0),$F118-1966)</f>
        <v>-8.5614430000000006</v>
      </c>
      <c r="T118" s="4" cm="1">
        <f t="array" ref="T118">INDEX(GMW!$A$2:$NF$60,MATCH(1,(GMW!$NE$2:$NE$60=T$3)*(GMW!$ND$2:$ND$60=T$4)*(GMW!$NF$2:$NF$60=T$1),0),$F118-1966)</f>
        <v>7809</v>
      </c>
      <c r="U118" s="4" cm="1">
        <f t="array" ref="U118">INDEX(GMW!$A$2:$NF$60,MATCH(1,(GMW!$NE$2:$NE$60=U$3)*(GMW!$ND$2:$ND$60=U$4)*(GMW!$NF$2:$NF$60=U$1),0),$F118-1966)</f>
        <v>414826</v>
      </c>
      <c r="V118" s="4" cm="1">
        <f t="array" ref="V118">INDEX(GMW!$A$2:$NF$60,MATCH(1,(GMW!$NE$2:$NE$60=V$3)*(GMW!$ND$2:$ND$60=V$4)*(GMW!$NF$2:$NF$60=V$1),0),$F118-1966)</f>
        <v>7427.0879999999997</v>
      </c>
      <c r="W118" s="4" cm="1">
        <f t="array" ref="W118">INDEX(GMW!$A$2:$NF$60,MATCH(1,(GMW!$NE$2:$NE$60=W$3)*(GMW!$ND$2:$ND$60=W$4)*(GMW!$NF$2:$NF$60=W$1),0),$F118-1966)</f>
        <v>699794</v>
      </c>
      <c r="X118" s="4" cm="1">
        <f t="array" ref="X118">INDEX(GMW!$A$2:$NF$60,MATCH(1,(GMW!$NE$2:$NE$60=X$3)*(GMW!$ND$2:$ND$60=X$4)*(GMW!$NF$2:$NF$60=X$1),0),$F118-1966)</f>
        <v>1197.2860000000001</v>
      </c>
      <c r="Y118" s="4" cm="1">
        <f t="array" ref="Y118">INDEX(GMW!$A$2:$NF$60,MATCH(1,(GMW!$NE$2:$NE$60=Y$3)*(GMW!$ND$2:$ND$60=Y$4)*(GMW!$NF$2:$NF$60=Y$1),0),$F118-1966)</f>
        <v>1128.596</v>
      </c>
      <c r="Z118" s="4" cm="1">
        <f t="array" ref="Z118">INDEX(GMW!$A$2:$NF$60,MATCH(1,(GMW!$NE$2:$NE$60=Z$3)*(GMW!$ND$2:$ND$60=Z$4)*(GMW!$NF$2:$NF$60=Z$1),0),$F118-1966)</f>
        <v>1470.633</v>
      </c>
      <c r="AA118" s="4" cm="1">
        <f t="array" ref="AA118">INDEX(GMW!$A$2:$NF$60,MATCH(1,(GMW!$NE$2:$NE$60=AA$3)*(GMW!$ND$2:$ND$60=AA$4)*(GMW!$NF$2:$NF$60=AA$1),0),$F118-1966)</f>
        <v>941783</v>
      </c>
      <c r="AB118" s="4" cm="1">
        <f t="array" ref="AB118">INDEX(GMW!$A$2:$NF$60,MATCH(1,(GMW!$NE$2:$NE$60=AB$3)*(GMW!$ND$2:$ND$60=AB$4)*(GMW!$NF$2:$NF$60=AB$1),0),$F118-1966)</f>
        <v>278357</v>
      </c>
      <c r="AC118" s="4" cm="1">
        <f t="array" ref="AC118">INDEX(GMW!$A$2:$NF$60,MATCH(1,(GMW!$NE$2:$NE$60=AC$3)*(GMW!$ND$2:$ND$60=AC$4)*(GMW!$NF$2:$NF$60=AC$1),0),$F118-1966)</f>
        <v>2608.9250000000002</v>
      </c>
      <c r="AD118" s="4" cm="1">
        <f t="array" ref="AD118">INDEX(GMW!$A$2:$NF$60,MATCH(1,(GMW!$NE$2:$NE$60=AD$3)*(GMW!$ND$2:$ND$60=AD$4)*(GMW!$NF$2:$NF$60=AD$1),0),$F118-1966)</f>
        <v>134454.79999999999</v>
      </c>
      <c r="AE118" s="4" cm="1">
        <f t="array" ref="AE118">INDEX(GMW!$A$2:$NF$60,MATCH(1,(GMW!$NE$2:$NE$60=AE$3)*(GMW!$ND$2:$ND$60=AE$4)*(GMW!$NF$2:$NF$60=AE$1),0),$F118-1966)</f>
        <v>533.25</v>
      </c>
      <c r="AF118" s="4" cm="1">
        <f t="array" ref="AF118">INDEX(GMW!$A$2:$NF$60,MATCH(1,(GMW!$NE$2:$NE$60=AF$3)*(GMW!$ND$2:$ND$60=AF$4)*(GMW!$NF$2:$NF$60=AF$1),0),$F118-1966)</f>
        <v>375.58300000000003</v>
      </c>
      <c r="AG118" s="4" cm="1">
        <f t="array" ref="AG118">INDEX(GMW!$A$2:$NF$60,MATCH(1,(GMW!$NE$2:$NE$60=AG$3)*(GMW!$ND$2:$ND$60=AG$4)*(GMW!$NF$2:$NF$60=AG$1),0),$F118-1966)</f>
        <v>318.10500000000002</v>
      </c>
      <c r="AH118" s="4" cm="1">
        <f t="array" ref="AH118">INDEX(GMW!$A$2:$NF$60,MATCH(1,(GMW!$NE$2:$NE$60=AH$3)*(GMW!$ND$2:$ND$60=AH$4)*(GMW!$NF$2:$NF$60=AH$1),0),$F118-1966)</f>
        <v>283220</v>
      </c>
    </row>
    <row r="119" spans="1:34" x14ac:dyDescent="0.25">
      <c r="A119" s="4">
        <v>2001</v>
      </c>
      <c r="B119" s="4">
        <f t="shared" si="36"/>
        <v>2001</v>
      </c>
      <c r="C119" s="4">
        <f t="shared" si="36"/>
        <v>2000</v>
      </c>
      <c r="D119" s="4">
        <f t="shared" si="36"/>
        <v>2000</v>
      </c>
      <c r="F119" s="4">
        <f t="shared" si="38"/>
        <v>2085</v>
      </c>
      <c r="G119" s="4" cm="1">
        <f t="array" ref="G119">INDEX(GMW!$A$2:$NF$60,MATCH(1,(GMW!$NE$2:$NE$60=G$3)*(GMW!$ND$2:$ND$60=G$4)*(GMW!$NF$2:$NF$60=G$1),0),$F119-1966)</f>
        <v>457680</v>
      </c>
      <c r="H119" s="4" cm="1">
        <f t="array" ref="H119">INDEX(GMW!$A$2:$NF$60,MATCH(1,(GMW!$NE$2:$NE$60=H$3)*(GMW!$ND$2:$ND$60=H$4)*(GMW!$NF$2:$NF$60=H$1),0),$F119-1966)</f>
        <v>3545.7750000000001</v>
      </c>
      <c r="I119" s="4" cm="1">
        <f t="array" ref="I119">INDEX(GMW!$A$2:$NF$60,MATCH(1,(GMW!$NE$2:$NE$60=I$3)*(GMW!$ND$2:$ND$60=I$4)*(GMW!$NF$2:$NF$60=I$1),0),$F119-1966)</f>
        <v>122635.2</v>
      </c>
      <c r="J119" s="4" cm="1">
        <f t="array" ref="J119">INDEX(GMW!$A$2:$NF$60,MATCH(1,(GMW!$NE$2:$NE$60=J$3)*(GMW!$ND$2:$ND$60=J$4)*(GMW!$NF$2:$NF$60=J$1),0),$F119-1966)</f>
        <v>721.01</v>
      </c>
      <c r="K119" s="4" cm="1">
        <f t="array" ref="K119">INDEX(GMW!$A$2:$NF$60,MATCH(1,(GMW!$NE$2:$NE$60=K$3)*(GMW!$ND$2:$ND$60=K$4)*(GMW!$NF$2:$NF$60=K$1),0),$F119-1966)</f>
        <v>495.03699999999998</v>
      </c>
      <c r="L119" s="4" cm="1">
        <f t="array" ref="L119">INDEX(GMW!$A$2:$NF$60,MATCH(1,(GMW!$NE$2:$NE$60=L$3)*(GMW!$ND$2:$ND$60=L$4)*(GMW!$NF$2:$NF$60=L$1),0),$F119-1966)</f>
        <v>452.36799999999999</v>
      </c>
      <c r="M119" s="4" cm="1">
        <f t="array" ref="M119">INDEX(GMW!$A$2:$NF$60,MATCH(1,(GMW!$NE$2:$NE$60=M$3)*(GMW!$ND$2:$ND$60=M$4)*(GMW!$NF$2:$NF$60=M$1),0),$F119-1966)</f>
        <v>390001.5</v>
      </c>
      <c r="N119" s="4" cm="1">
        <f t="array" ref="N119">INDEX(GMW!$A$2:$NF$60,MATCH(1,(GMW!$NE$2:$NE$60=N$3)*(GMW!$ND$2:$ND$60=N$4)*(GMW!$NF$2:$NF$60=N$1),0),$F119-1966)</f>
        <v>11478</v>
      </c>
      <c r="O119" s="4" cm="1">
        <f t="array" ref="O119">INDEX(GMW!$A$2:$NF$60,MATCH(1,(GMW!$NE$2:$NE$60=O$3)*(GMW!$ND$2:$ND$60=O$4)*(GMW!$NF$2:$NF$60=O$1),0),$F119-1966)</f>
        <v>-9.1652500000000003</v>
      </c>
      <c r="P119" s="4" cm="1">
        <f t="array" ref="P119">INDEX(GMW!$A$2:$NF$60,MATCH(1,(GMW!$NE$2:$NE$60=P$3)*(GMW!$ND$2:$ND$60=P$4)*(GMW!$NF$2:$NF$60=P$1),0),$F119-1966)</f>
        <v>-9730.25</v>
      </c>
      <c r="Q119" s="4" cm="1">
        <f t="array" ref="Q119">INDEX(GMW!$A$2:$NF$60,MATCH(1,(GMW!$NE$2:$NE$60=Q$3)*(GMW!$ND$2:$ND$60=Q$4)*(GMW!$NF$2:$NF$60=Q$1),0),$F119-1966)</f>
        <v>-14.215999999999999</v>
      </c>
      <c r="R119" s="4" cm="1">
        <f t="array" ref="R119">INDEX(GMW!$A$2:$NF$60,MATCH(1,(GMW!$NE$2:$NE$60=R$3)*(GMW!$ND$2:$ND$60=R$4)*(GMW!$NF$2:$NF$60=R$1),0),$F119-1966)</f>
        <v>-5.8959999999999999</v>
      </c>
      <c r="S119" s="4" cm="1">
        <f t="array" ref="S119">INDEX(GMW!$A$2:$NF$60,MATCH(1,(GMW!$NE$2:$NE$60=S$3)*(GMW!$ND$2:$ND$60=S$4)*(GMW!$NF$2:$NF$60=S$1),0),$F119-1966)</f>
        <v>-9.62392</v>
      </c>
      <c r="T119" s="4" cm="1">
        <f t="array" ref="T119">INDEX(GMW!$A$2:$NF$60,MATCH(1,(GMW!$NE$2:$NE$60=T$3)*(GMW!$ND$2:$ND$60=T$4)*(GMW!$NF$2:$NF$60=T$1),0),$F119-1966)</f>
        <v>4761</v>
      </c>
      <c r="U119" s="4" cm="1">
        <f t="array" ref="U119">INDEX(GMW!$A$2:$NF$60,MATCH(1,(GMW!$NE$2:$NE$60=U$3)*(GMW!$ND$2:$ND$60=U$4)*(GMW!$NF$2:$NF$60=U$1),0),$F119-1966)</f>
        <v>398365</v>
      </c>
      <c r="V119" s="4" cm="1">
        <f t="array" ref="V119">INDEX(GMW!$A$2:$NF$60,MATCH(1,(GMW!$NE$2:$NE$60=V$3)*(GMW!$ND$2:$ND$60=V$4)*(GMW!$NF$2:$NF$60=V$1),0),$F119-1966)</f>
        <v>7710.7560000000003</v>
      </c>
      <c r="W119" s="4" cm="1">
        <f t="array" ref="W119">INDEX(GMW!$A$2:$NF$60,MATCH(1,(GMW!$NE$2:$NE$60=W$3)*(GMW!$ND$2:$ND$60=W$4)*(GMW!$NF$2:$NF$60=W$1),0),$F119-1966)</f>
        <v>705541</v>
      </c>
      <c r="X119" s="4" cm="1">
        <f t="array" ref="X119">INDEX(GMW!$A$2:$NF$60,MATCH(1,(GMW!$NE$2:$NE$60=X$3)*(GMW!$ND$2:$ND$60=X$4)*(GMW!$NF$2:$NF$60=X$1),0),$F119-1966)</f>
        <v>1197.08</v>
      </c>
      <c r="Y119" s="4" cm="1">
        <f t="array" ref="Y119">INDEX(GMW!$A$2:$NF$60,MATCH(1,(GMW!$NE$2:$NE$60=Y$3)*(GMW!$ND$2:$ND$60=Y$4)*(GMW!$NF$2:$NF$60=Y$1),0),$F119-1966)</f>
        <v>1145.0450000000001</v>
      </c>
      <c r="Z119" s="4" cm="1">
        <f t="array" ref="Z119">INDEX(GMW!$A$2:$NF$60,MATCH(1,(GMW!$NE$2:$NE$60=Z$3)*(GMW!$ND$2:$ND$60=Z$4)*(GMW!$NF$2:$NF$60=Z$1),0),$F119-1966)</f>
        <v>1485.596</v>
      </c>
      <c r="AA119" s="4" cm="1">
        <f t="array" ref="AA119">INDEX(GMW!$A$2:$NF$60,MATCH(1,(GMW!$NE$2:$NE$60=AA$3)*(GMW!$ND$2:$ND$60=AA$4)*(GMW!$NF$2:$NF$60=AA$1),0),$F119-1966)</f>
        <v>971026</v>
      </c>
      <c r="AB119" s="4" cm="1">
        <f t="array" ref="AB119">INDEX(GMW!$A$2:$NF$60,MATCH(1,(GMW!$NE$2:$NE$60=AB$3)*(GMW!$ND$2:$ND$60=AB$4)*(GMW!$NF$2:$NF$60=AB$1),0),$F119-1966)</f>
        <v>282889</v>
      </c>
      <c r="AC119" s="4" cm="1">
        <f t="array" ref="AC119">INDEX(GMW!$A$2:$NF$60,MATCH(1,(GMW!$NE$2:$NE$60=AC$3)*(GMW!$ND$2:$ND$60=AC$4)*(GMW!$NF$2:$NF$60=AC$1),0),$F119-1966)</f>
        <v>2617.5500000000002</v>
      </c>
      <c r="AD119" s="4" cm="1">
        <f t="array" ref="AD119">INDEX(GMW!$A$2:$NF$60,MATCH(1,(GMW!$NE$2:$NE$60=AD$3)*(GMW!$ND$2:$ND$60=AD$4)*(GMW!$NF$2:$NF$60=AD$1),0),$F119-1966)</f>
        <v>135645.9</v>
      </c>
      <c r="AE119" s="4" cm="1">
        <f t="array" ref="AE119">INDEX(GMW!$A$2:$NF$60,MATCH(1,(GMW!$NE$2:$NE$60=AE$3)*(GMW!$ND$2:$ND$60=AE$4)*(GMW!$NF$2:$NF$60=AE$1),0),$F119-1966)</f>
        <v>547.49199999999996</v>
      </c>
      <c r="AF119" s="4" cm="1">
        <f t="array" ref="AF119">INDEX(GMW!$A$2:$NF$60,MATCH(1,(GMW!$NE$2:$NE$60=AF$3)*(GMW!$ND$2:$ND$60=AF$4)*(GMW!$NF$2:$NF$60=AF$1),0),$F119-1966)</f>
        <v>379.01100000000002</v>
      </c>
      <c r="AG119" s="4" cm="1">
        <f t="array" ref="AG119">INDEX(GMW!$A$2:$NF$60,MATCH(1,(GMW!$NE$2:$NE$60=AG$3)*(GMW!$ND$2:$ND$60=AG$4)*(GMW!$NF$2:$NF$60=AG$1),0),$F119-1966)</f>
        <v>323.43799999999999</v>
      </c>
      <c r="AH119" s="4" cm="1">
        <f t="array" ref="AH119">INDEX(GMW!$A$2:$NF$60,MATCH(1,(GMW!$NE$2:$NE$60=AH$3)*(GMW!$ND$2:$ND$60=AH$4)*(GMW!$NF$2:$NF$60=AH$1),0),$F119-1966)</f>
        <v>287481</v>
      </c>
    </row>
    <row r="120" spans="1:34" x14ac:dyDescent="0.25">
      <c r="B120" s="4">
        <f t="shared" si="36"/>
        <v>2001</v>
      </c>
      <c r="C120" s="4">
        <f t="shared" si="36"/>
        <v>2001</v>
      </c>
      <c r="F120" s="4">
        <f t="shared" si="38"/>
        <v>2086</v>
      </c>
      <c r="G120" s="4" cm="1">
        <f t="array" ref="G120">INDEX(GMW!$A$2:$NF$60,MATCH(1,(GMW!$NE$2:$NE$60=G$3)*(GMW!$ND$2:$ND$60=G$4)*(GMW!$NF$2:$NF$60=G$1),0),$F120-1966)</f>
        <v>459620</v>
      </c>
      <c r="H120" s="4" cm="1">
        <f t="array" ref="H120">INDEX(GMW!$A$2:$NF$60,MATCH(1,(GMW!$NE$2:$NE$60=H$3)*(GMW!$ND$2:$ND$60=H$4)*(GMW!$NF$2:$NF$60=H$1),0),$F120-1966)</f>
        <v>3567.9250000000002</v>
      </c>
      <c r="I120" s="4" cm="1">
        <f t="array" ref="I120">INDEX(GMW!$A$2:$NF$60,MATCH(1,(GMW!$NE$2:$NE$60=I$3)*(GMW!$ND$2:$ND$60=I$4)*(GMW!$NF$2:$NF$60=I$1),0),$F120-1966)</f>
        <v>121711.9</v>
      </c>
      <c r="J120" s="4" cm="1">
        <f t="array" ref="J120">INDEX(GMW!$A$2:$NF$60,MATCH(1,(GMW!$NE$2:$NE$60=J$3)*(GMW!$ND$2:$ND$60=J$4)*(GMW!$NF$2:$NF$60=J$1),0),$F120-1966)</f>
        <v>719.2</v>
      </c>
      <c r="K120" s="4" cm="1">
        <f t="array" ref="K120">INDEX(GMW!$A$2:$NF$60,MATCH(1,(GMW!$NE$2:$NE$60=K$3)*(GMW!$ND$2:$ND$60=K$4)*(GMW!$NF$2:$NF$60=K$1),0),$F120-1966)</f>
        <v>495.15699999999998</v>
      </c>
      <c r="L120" s="4" cm="1">
        <f t="array" ref="L120">INDEX(GMW!$A$2:$NF$60,MATCH(1,(GMW!$NE$2:$NE$60=L$3)*(GMW!$ND$2:$ND$60=L$4)*(GMW!$NF$2:$NF$60=L$1),0),$F120-1966)</f>
        <v>452.065</v>
      </c>
      <c r="M120" s="4" cm="1">
        <f t="array" ref="M120">INDEX(GMW!$A$2:$NF$60,MATCH(1,(GMW!$NE$2:$NE$60=M$3)*(GMW!$ND$2:$ND$60=M$4)*(GMW!$NF$2:$NF$60=M$1),0),$F120-1966)</f>
        <v>391228</v>
      </c>
      <c r="N120" s="4" cm="1">
        <f t="array" ref="N120">INDEX(GMW!$A$2:$NF$60,MATCH(1,(GMW!$NE$2:$NE$60=N$3)*(GMW!$ND$2:$ND$60=N$4)*(GMW!$NF$2:$NF$60=N$1),0),$F120-1966)</f>
        <v>-577</v>
      </c>
      <c r="O120" s="4" cm="1">
        <f t="array" ref="O120">INDEX(GMW!$A$2:$NF$60,MATCH(1,(GMW!$NE$2:$NE$60=O$3)*(GMW!$ND$2:$ND$60=O$4)*(GMW!$NF$2:$NF$60=O$1),0),$F120-1966)</f>
        <v>-27.3</v>
      </c>
      <c r="P120" s="4" cm="1">
        <f t="array" ref="P120">INDEX(GMW!$A$2:$NF$60,MATCH(1,(GMW!$NE$2:$NE$60=P$3)*(GMW!$ND$2:$ND$60=P$4)*(GMW!$NF$2:$NF$60=P$1),0),$F120-1966)</f>
        <v>-8320.25</v>
      </c>
      <c r="Q120" s="4" cm="1">
        <f t="array" ref="Q120">INDEX(GMW!$A$2:$NF$60,MATCH(1,(GMW!$NE$2:$NE$60=Q$3)*(GMW!$ND$2:$ND$60=Q$4)*(GMW!$NF$2:$NF$60=Q$1),0),$F120-1966)</f>
        <v>-12.07</v>
      </c>
      <c r="R120" s="4" cm="1">
        <f t="array" ref="R120">INDEX(GMW!$A$2:$NF$60,MATCH(1,(GMW!$NE$2:$NE$60=R$3)*(GMW!$ND$2:$ND$60=R$4)*(GMW!$NF$2:$NF$60=R$1),0),$F120-1966)</f>
        <v>-6.0999999999999999E-2</v>
      </c>
      <c r="S120" s="4" cm="1">
        <f t="array" ref="S120">INDEX(GMW!$A$2:$NF$60,MATCH(1,(GMW!$NE$2:$NE$60=S$3)*(GMW!$ND$2:$ND$60=S$4)*(GMW!$NF$2:$NF$60=S$1),0),$F120-1966)</f>
        <v>-10.63158</v>
      </c>
      <c r="T120" s="4" cm="1">
        <f t="array" ref="T120">INDEX(GMW!$A$2:$NF$60,MATCH(1,(GMW!$NE$2:$NE$60=T$3)*(GMW!$ND$2:$ND$60=T$4)*(GMW!$NF$2:$NF$60=T$1),0),$F120-1966)</f>
        <v>7556</v>
      </c>
      <c r="U120" s="4" cm="1">
        <f t="array" ref="U120">INDEX(GMW!$A$2:$NF$60,MATCH(1,(GMW!$NE$2:$NE$60=U$3)*(GMW!$ND$2:$ND$60=U$4)*(GMW!$NF$2:$NF$60=U$1),0),$F120-1966)</f>
        <v>402239</v>
      </c>
      <c r="V120" s="4" cm="1">
        <f t="array" ref="V120">INDEX(GMW!$A$2:$NF$60,MATCH(1,(GMW!$NE$2:$NE$60=V$3)*(GMW!$ND$2:$ND$60=V$4)*(GMW!$NF$2:$NF$60=V$1),0),$F120-1966)</f>
        <v>7560.4139999999998</v>
      </c>
      <c r="W120" s="4" cm="1">
        <f t="array" ref="W120">INDEX(GMW!$A$2:$NF$60,MATCH(1,(GMW!$NE$2:$NE$60=W$3)*(GMW!$ND$2:$ND$60=W$4)*(GMW!$NF$2:$NF$60=W$1),0),$F120-1966)</f>
        <v>711287</v>
      </c>
      <c r="X120" s="4" cm="1">
        <f t="array" ref="X120">INDEX(GMW!$A$2:$NF$60,MATCH(1,(GMW!$NE$2:$NE$60=X$3)*(GMW!$ND$2:$ND$60=X$4)*(GMW!$NF$2:$NF$60=X$1),0),$F120-1966)</f>
        <v>1196.8530000000001</v>
      </c>
      <c r="Y120" s="4" cm="1">
        <f t="array" ref="Y120">INDEX(GMW!$A$2:$NF$60,MATCH(1,(GMW!$NE$2:$NE$60=Y$3)*(GMW!$ND$2:$ND$60=Y$4)*(GMW!$NF$2:$NF$60=Y$1),0),$F120-1966)</f>
        <v>1161.7260000000001</v>
      </c>
      <c r="Z120" s="4" cm="1">
        <f t="array" ref="Z120">INDEX(GMW!$A$2:$NF$60,MATCH(1,(GMW!$NE$2:$NE$60=Z$3)*(GMW!$ND$2:$ND$60=Z$4)*(GMW!$NF$2:$NF$60=Z$1),0),$F120-1966)</f>
        <v>1500.559</v>
      </c>
      <c r="AA120" s="4" cm="1">
        <f t="array" ref="AA120">INDEX(GMW!$A$2:$NF$60,MATCH(1,(GMW!$NE$2:$NE$60=AA$3)*(GMW!$ND$2:$ND$60=AA$4)*(GMW!$NF$2:$NF$60=AA$1),0),$F120-1966)</f>
        <v>941959</v>
      </c>
      <c r="AB120" s="4" cm="1">
        <f t="array" ref="AB120">INDEX(GMW!$A$2:$NF$60,MATCH(1,(GMW!$NE$2:$NE$60=AB$3)*(GMW!$ND$2:$ND$60=AB$4)*(GMW!$NF$2:$NF$60=AB$1),0),$F120-1966)</f>
        <v>286728</v>
      </c>
      <c r="AC120" s="4" cm="1">
        <f t="array" ref="AC120">INDEX(GMW!$A$2:$NF$60,MATCH(1,(GMW!$NE$2:$NE$60=AC$3)*(GMW!$ND$2:$ND$60=AC$4)*(GMW!$NF$2:$NF$60=AC$1),0),$F120-1966)</f>
        <v>2649.75</v>
      </c>
      <c r="AD120" s="4" cm="1">
        <f t="array" ref="AD120">INDEX(GMW!$A$2:$NF$60,MATCH(1,(GMW!$NE$2:$NE$60=AD$3)*(GMW!$ND$2:$ND$60=AD$4)*(GMW!$NF$2:$NF$60=AD$1),0),$F120-1966)</f>
        <v>133557.5</v>
      </c>
      <c r="AE120" s="4" cm="1">
        <f t="array" ref="AE120">INDEX(GMW!$A$2:$NF$60,MATCH(1,(GMW!$NE$2:$NE$60=AE$3)*(GMW!$ND$2:$ND$60=AE$4)*(GMW!$NF$2:$NF$60=AE$1),0),$F120-1966)</f>
        <v>547.60400000000004</v>
      </c>
      <c r="AF120" s="4" cm="1">
        <f t="array" ref="AF120">INDEX(GMW!$A$2:$NF$60,MATCH(1,(GMW!$NE$2:$NE$60=AF$3)*(GMW!$ND$2:$ND$60=AF$4)*(GMW!$NF$2:$NF$60=AF$1),0),$F120-1966)</f>
        <v>381.41199999999998</v>
      </c>
      <c r="AG120" s="4" cm="1">
        <f t="array" ref="AG120">INDEX(GMW!$A$2:$NF$60,MATCH(1,(GMW!$NE$2:$NE$60=AG$3)*(GMW!$ND$2:$ND$60=AG$4)*(GMW!$NF$2:$NF$60=AG$1),0),$F120-1966)</f>
        <v>326.096</v>
      </c>
      <c r="AH120" s="4" cm="1">
        <f t="array" ref="AH120">INDEX(GMW!$A$2:$NF$60,MATCH(1,(GMW!$NE$2:$NE$60=AH$3)*(GMW!$ND$2:$ND$60=AH$4)*(GMW!$NF$2:$NF$60=AH$1),0),$F120-1966)</f>
        <v>288215</v>
      </c>
    </row>
    <row r="121" spans="1:34" x14ac:dyDescent="0.25">
      <c r="B121" s="4">
        <f t="shared" si="36"/>
        <v>2001</v>
      </c>
      <c r="C121" s="4">
        <f t="shared" si="36"/>
        <v>2001</v>
      </c>
      <c r="F121" s="4">
        <f t="shared" si="38"/>
        <v>2087</v>
      </c>
      <c r="G121" s="4" cm="1">
        <f t="array" ref="G121">INDEX(GMW!$A$2:$NF$60,MATCH(1,(GMW!$NE$2:$NE$60=G$3)*(GMW!$ND$2:$ND$60=G$4)*(GMW!$NF$2:$NF$60=G$1),0),$F121-1966)</f>
        <v>462016</v>
      </c>
      <c r="H121" s="4" cm="1">
        <f t="array" ref="H121">INDEX(GMW!$A$2:$NF$60,MATCH(1,(GMW!$NE$2:$NE$60=H$3)*(GMW!$ND$2:$ND$60=H$4)*(GMW!$NF$2:$NF$60=H$1),0),$F121-1966)</f>
        <v>3553.625</v>
      </c>
      <c r="I121" s="4" cm="1">
        <f t="array" ref="I121">INDEX(GMW!$A$2:$NF$60,MATCH(1,(GMW!$NE$2:$NE$60=I$3)*(GMW!$ND$2:$ND$60=I$4)*(GMW!$NF$2:$NF$60=I$1),0),$F121-1966)</f>
        <v>120400</v>
      </c>
      <c r="J121" s="4" cm="1">
        <f t="array" ref="J121">INDEX(GMW!$A$2:$NF$60,MATCH(1,(GMW!$NE$2:$NE$60=J$3)*(GMW!$ND$2:$ND$60=J$4)*(GMW!$NF$2:$NF$60=J$1),0),$F121-1966)</f>
        <v>719.2</v>
      </c>
      <c r="K121" s="4" cm="1">
        <f t="array" ref="K121">INDEX(GMW!$A$2:$NF$60,MATCH(1,(GMW!$NE$2:$NE$60=K$3)*(GMW!$ND$2:$ND$60=K$4)*(GMW!$NF$2:$NF$60=K$1),0),$F121-1966)</f>
        <v>497.976</v>
      </c>
      <c r="L121" s="4" cm="1">
        <f t="array" ref="L121">INDEX(GMW!$A$2:$NF$60,MATCH(1,(GMW!$NE$2:$NE$60=L$3)*(GMW!$ND$2:$ND$60=L$4)*(GMW!$NF$2:$NF$60=L$1),0),$F121-1966)</f>
        <v>450.32400000000001</v>
      </c>
      <c r="M121" s="4" cm="1">
        <f t="array" ref="M121">INDEX(GMW!$A$2:$NF$60,MATCH(1,(GMW!$NE$2:$NE$60=M$3)*(GMW!$ND$2:$ND$60=M$4)*(GMW!$NF$2:$NF$60=M$1),0),$F121-1966)</f>
        <v>390953</v>
      </c>
      <c r="N121" s="4" cm="1">
        <f t="array" ref="N121">INDEX(GMW!$A$2:$NF$60,MATCH(1,(GMW!$NE$2:$NE$60=N$3)*(GMW!$ND$2:$ND$60=N$4)*(GMW!$NF$2:$NF$60=N$1),0),$F121-1966)</f>
        <v>1588</v>
      </c>
      <c r="O121" s="4" cm="1">
        <f t="array" ref="O121">INDEX(GMW!$A$2:$NF$60,MATCH(1,(GMW!$NE$2:$NE$60=O$3)*(GMW!$ND$2:$ND$60=O$4)*(GMW!$NF$2:$NF$60=O$1),0),$F121-1966)</f>
        <v>-83.220249999999993</v>
      </c>
      <c r="P121" s="4" cm="1">
        <f t="array" ref="P121">INDEX(GMW!$A$2:$NF$60,MATCH(1,(GMW!$NE$2:$NE$60=P$3)*(GMW!$ND$2:$ND$60=P$4)*(GMW!$NF$2:$NF$60=P$1),0),$F121-1966)</f>
        <v>-7589.2489999999998</v>
      </c>
      <c r="Q121" s="4" cm="1">
        <f t="array" ref="Q121">INDEX(GMW!$A$2:$NF$60,MATCH(1,(GMW!$NE$2:$NE$60=Q$3)*(GMW!$ND$2:$ND$60=Q$4)*(GMW!$NF$2:$NF$60=Q$1),0),$F121-1966)</f>
        <v>-16.661999999999999</v>
      </c>
      <c r="R121" s="4" cm="1">
        <f t="array" ref="R121">INDEX(GMW!$A$2:$NF$60,MATCH(1,(GMW!$NE$2:$NE$60=R$3)*(GMW!$ND$2:$ND$60=R$4)*(GMW!$NF$2:$NF$60=R$1),0),$F121-1966)</f>
        <v>-7.3789999999999996</v>
      </c>
      <c r="S121" s="4" cm="1">
        <f t="array" ref="S121">INDEX(GMW!$A$2:$NF$60,MATCH(1,(GMW!$NE$2:$NE$60=S$3)*(GMW!$ND$2:$ND$60=S$4)*(GMW!$NF$2:$NF$60=S$1),0),$F121-1966)</f>
        <v>-10.910080000000001</v>
      </c>
      <c r="T121" s="4" cm="1">
        <f t="array" ref="T121">INDEX(GMW!$A$2:$NF$60,MATCH(1,(GMW!$NE$2:$NE$60=T$3)*(GMW!$ND$2:$ND$60=T$4)*(GMW!$NF$2:$NF$60=T$1),0),$F121-1966)</f>
        <v>840</v>
      </c>
      <c r="U121" s="4" cm="1">
        <f t="array" ref="U121">INDEX(GMW!$A$2:$NF$60,MATCH(1,(GMW!$NE$2:$NE$60=U$3)*(GMW!$ND$2:$ND$60=U$4)*(GMW!$NF$2:$NF$60=U$1),0),$F121-1966)</f>
        <v>396623</v>
      </c>
      <c r="V121" s="4" cm="1">
        <f t="array" ref="V121">INDEX(GMW!$A$2:$NF$60,MATCH(1,(GMW!$NE$2:$NE$60=V$3)*(GMW!$ND$2:$ND$60=V$4)*(GMW!$NF$2:$NF$60=V$1),0),$F121-1966)</f>
        <v>7916.4260000000004</v>
      </c>
      <c r="W121" s="4" cm="1">
        <f t="array" ref="W121">INDEX(GMW!$A$2:$NF$60,MATCH(1,(GMW!$NE$2:$NE$60=W$3)*(GMW!$ND$2:$ND$60=W$4)*(GMW!$NF$2:$NF$60=W$1),0),$F121-1966)</f>
        <v>717033</v>
      </c>
      <c r="X121" s="4" cm="1">
        <f t="array" ref="X121">INDEX(GMW!$A$2:$NF$60,MATCH(1,(GMW!$NE$2:$NE$60=X$3)*(GMW!$ND$2:$ND$60=X$4)*(GMW!$NF$2:$NF$60=X$1),0),$F121-1966)</f>
        <v>1205.0229999999999</v>
      </c>
      <c r="Y121" s="4" cm="1">
        <f t="array" ref="Y121">INDEX(GMW!$A$2:$NF$60,MATCH(1,(GMW!$NE$2:$NE$60=Y$3)*(GMW!$ND$2:$ND$60=Y$4)*(GMW!$NF$2:$NF$60=Y$1),0),$F121-1966)</f>
        <v>1187.6369999999999</v>
      </c>
      <c r="Z121" s="4" cm="1">
        <f t="array" ref="Z121">INDEX(GMW!$A$2:$NF$60,MATCH(1,(GMW!$NE$2:$NE$60=Z$3)*(GMW!$ND$2:$ND$60=Z$4)*(GMW!$NF$2:$NF$60=Z$1),0),$F121-1966)</f>
        <v>1515.5229999999999</v>
      </c>
      <c r="AA121" s="4" cm="1">
        <f t="array" ref="AA121">INDEX(GMW!$A$2:$NF$60,MATCH(1,(GMW!$NE$2:$NE$60=AA$3)*(GMW!$ND$2:$ND$60=AA$4)*(GMW!$NF$2:$NF$60=AA$1),0),$F121-1966)</f>
        <v>973132</v>
      </c>
      <c r="AB121" s="4" cm="1">
        <f t="array" ref="AB121">INDEX(GMW!$A$2:$NF$60,MATCH(1,(GMW!$NE$2:$NE$60=AB$3)*(GMW!$ND$2:$ND$60=AB$4)*(GMW!$NF$2:$NF$60=AB$1),0),$F121-1966)</f>
        <v>288166</v>
      </c>
      <c r="AC121" s="4" cm="1">
        <f t="array" ref="AC121">INDEX(GMW!$A$2:$NF$60,MATCH(1,(GMW!$NE$2:$NE$60=AC$3)*(GMW!$ND$2:$ND$60=AC$4)*(GMW!$NF$2:$NF$60=AC$1),0),$F121-1966)</f>
        <v>2649.5</v>
      </c>
      <c r="AD121" s="4" cm="1">
        <f t="array" ref="AD121">INDEX(GMW!$A$2:$NF$60,MATCH(1,(GMW!$NE$2:$NE$60=AD$3)*(GMW!$ND$2:$ND$60=AD$4)*(GMW!$NF$2:$NF$60=AD$1),0),$F121-1966)</f>
        <v>131761.79999999999</v>
      </c>
      <c r="AE121" s="4" cm="1">
        <f t="array" ref="AE121">INDEX(GMW!$A$2:$NF$60,MATCH(1,(GMW!$NE$2:$NE$60=AE$3)*(GMW!$ND$2:$ND$60=AE$4)*(GMW!$NF$2:$NF$60=AE$1),0),$F121-1966)</f>
        <v>549.87099999999998</v>
      </c>
      <c r="AF121" s="4" cm="1">
        <f t="array" ref="AF121">INDEX(GMW!$A$2:$NF$60,MATCH(1,(GMW!$NE$2:$NE$60=AF$3)*(GMW!$ND$2:$ND$60=AF$4)*(GMW!$NF$2:$NF$60=AF$1),0),$F121-1966)</f>
        <v>385.065</v>
      </c>
      <c r="AG121" s="4" cm="1">
        <f t="array" ref="AG121">INDEX(GMW!$A$2:$NF$60,MATCH(1,(GMW!$NE$2:$NE$60=AG$3)*(GMW!$ND$2:$ND$60=AG$4)*(GMW!$NF$2:$NF$60=AG$1),0),$F121-1966)</f>
        <v>327.94099999999997</v>
      </c>
      <c r="AH121" s="4" cm="1">
        <f t="array" ref="AH121">INDEX(GMW!$A$2:$NF$60,MATCH(1,(GMW!$NE$2:$NE$60=AH$3)*(GMW!$ND$2:$ND$60=AH$4)*(GMW!$NF$2:$NF$60=AH$1),0),$F121-1966)</f>
        <v>284701</v>
      </c>
    </row>
    <row r="122" spans="1:34" x14ac:dyDescent="0.25">
      <c r="B122" s="4">
        <f t="shared" si="36"/>
        <v>2001</v>
      </c>
      <c r="C122" s="4">
        <f t="shared" si="36"/>
        <v>2001</v>
      </c>
      <c r="E122" s="4">
        <f t="shared" ref="E122" si="41">+E118+1</f>
        <v>2001</v>
      </c>
      <c r="F122" s="4">
        <f t="shared" si="38"/>
        <v>2088</v>
      </c>
      <c r="G122" s="4" cm="1">
        <f t="array" ref="G122">INDEX(GMW!$A$2:$NF$60,MATCH(1,(GMW!$NE$2:$NE$60=G$3)*(GMW!$ND$2:$ND$60=G$4)*(GMW!$NF$2:$NF$60=G$1),0),$F122-1966)</f>
        <v>463404</v>
      </c>
      <c r="H122" s="4" cm="1">
        <f t="array" ref="H122">INDEX(GMW!$A$2:$NF$60,MATCH(1,(GMW!$NE$2:$NE$60=H$3)*(GMW!$ND$2:$ND$60=H$4)*(GMW!$NF$2:$NF$60=H$1),0),$F122-1966)</f>
        <v>3563.4</v>
      </c>
      <c r="I122" s="4" cm="1">
        <f t="array" ref="I122">INDEX(GMW!$A$2:$NF$60,MATCH(1,(GMW!$NE$2:$NE$60=I$3)*(GMW!$ND$2:$ND$60=I$4)*(GMW!$NF$2:$NF$60=I$1),0),$F122-1966)</f>
        <v>119972.3</v>
      </c>
      <c r="J122" s="4" cm="1">
        <f t="array" ref="J122">INDEX(GMW!$A$2:$NF$60,MATCH(1,(GMW!$NE$2:$NE$60=J$3)*(GMW!$ND$2:$ND$60=J$4)*(GMW!$NF$2:$NF$60=J$1),0),$F122-1966)</f>
        <v>716.95</v>
      </c>
      <c r="K122" s="4" cm="1">
        <f t="array" ref="K122">INDEX(GMW!$A$2:$NF$60,MATCH(1,(GMW!$NE$2:$NE$60=K$3)*(GMW!$ND$2:$ND$60=K$4)*(GMW!$NF$2:$NF$60=K$1),0),$F122-1966)</f>
        <v>495.81200000000001</v>
      </c>
      <c r="L122" s="4" cm="1">
        <f t="array" ref="L122">INDEX(GMW!$A$2:$NF$60,MATCH(1,(GMW!$NE$2:$NE$60=L$3)*(GMW!$ND$2:$ND$60=L$4)*(GMW!$NF$2:$NF$60=L$1),0),$F122-1966)</f>
        <v>449.673</v>
      </c>
      <c r="M122" s="4" cm="1">
        <f t="array" ref="M122">INDEX(GMW!$A$2:$NF$60,MATCH(1,(GMW!$NE$2:$NE$60=M$3)*(GMW!$ND$2:$ND$60=M$4)*(GMW!$NF$2:$NF$60=M$1),0),$F122-1966)</f>
        <v>393297.8</v>
      </c>
      <c r="N122" s="4" cm="1">
        <f t="array" ref="N122">INDEX(GMW!$A$2:$NF$60,MATCH(1,(GMW!$NE$2:$NE$60=N$3)*(GMW!$ND$2:$ND$60=N$4)*(GMW!$NF$2:$NF$60=N$1),0),$F122-1966)</f>
        <v>-9504</v>
      </c>
      <c r="O122" s="4" cm="1">
        <f t="array" ref="O122">INDEX(GMW!$A$2:$NF$60,MATCH(1,(GMW!$NE$2:$NE$60=O$3)*(GMW!$ND$2:$ND$60=O$4)*(GMW!$NF$2:$NF$60=O$1),0),$F122-1966)</f>
        <v>-74.771749999999997</v>
      </c>
      <c r="P122" s="4" cm="1">
        <f t="array" ref="P122">INDEX(GMW!$A$2:$NF$60,MATCH(1,(GMW!$NE$2:$NE$60=P$3)*(GMW!$ND$2:$ND$60=P$4)*(GMW!$NF$2:$NF$60=P$1),0),$F122-1966)</f>
        <v>-7325.25</v>
      </c>
      <c r="Q122" s="4" cm="1">
        <f t="array" ref="Q122">INDEX(GMW!$A$2:$NF$60,MATCH(1,(GMW!$NE$2:$NE$60=Q$3)*(GMW!$ND$2:$ND$60=Q$4)*(GMW!$NF$2:$NF$60=Q$1),0),$F122-1966)</f>
        <v>-25.655000000000001</v>
      </c>
      <c r="R122" s="4" cm="1">
        <f t="array" ref="R122">INDEX(GMW!$A$2:$NF$60,MATCH(1,(GMW!$NE$2:$NE$60=R$3)*(GMW!$ND$2:$ND$60=R$4)*(GMW!$NF$2:$NF$60=R$1),0),$F122-1966)</f>
        <v>-8.3149999999999995</v>
      </c>
      <c r="S122" s="4" cm="1">
        <f t="array" ref="S122">INDEX(GMW!$A$2:$NF$60,MATCH(1,(GMW!$NE$2:$NE$60=S$3)*(GMW!$ND$2:$ND$60=S$4)*(GMW!$NF$2:$NF$60=S$1),0),$F122-1966)</f>
        <v>-10.45942</v>
      </c>
      <c r="T122" s="4" cm="1">
        <f t="array" ref="T122">INDEX(GMW!$A$2:$NF$60,MATCH(1,(GMW!$NE$2:$NE$60=T$3)*(GMW!$ND$2:$ND$60=T$4)*(GMW!$NF$2:$NF$60=T$1),0),$F122-1966)</f>
        <v>-2022</v>
      </c>
      <c r="U122" s="4" cm="1">
        <f t="array" ref="U122">INDEX(GMW!$A$2:$NF$60,MATCH(1,(GMW!$NE$2:$NE$60=U$3)*(GMW!$ND$2:$ND$60=U$4)*(GMW!$NF$2:$NF$60=U$1),0),$F122-1966)</f>
        <v>400663</v>
      </c>
      <c r="V122" s="4" cm="1">
        <f t="array" ref="V122">INDEX(GMW!$A$2:$NF$60,MATCH(1,(GMW!$NE$2:$NE$60=V$3)*(GMW!$ND$2:$ND$60=V$4)*(GMW!$NF$2:$NF$60=V$1),0),$F122-1966)</f>
        <v>7946.78</v>
      </c>
      <c r="W122" s="4" cm="1">
        <f t="array" ref="W122">INDEX(GMW!$A$2:$NF$60,MATCH(1,(GMW!$NE$2:$NE$60=W$3)*(GMW!$ND$2:$ND$60=W$4)*(GMW!$NF$2:$NF$60=W$1),0),$F122-1966)</f>
        <v>722779</v>
      </c>
      <c r="X122" s="4" cm="1">
        <f t="array" ref="X122">INDEX(GMW!$A$2:$NF$60,MATCH(1,(GMW!$NE$2:$NE$60=X$3)*(GMW!$ND$2:$ND$60=X$4)*(GMW!$NF$2:$NF$60=X$1),0),$F122-1966)</f>
        <v>1221.5889999999999</v>
      </c>
      <c r="Y122" s="4" cm="1">
        <f t="array" ref="Y122">INDEX(GMW!$A$2:$NF$60,MATCH(1,(GMW!$NE$2:$NE$60=Y$3)*(GMW!$ND$2:$ND$60=Y$4)*(GMW!$NF$2:$NF$60=Y$1),0),$F122-1966)</f>
        <v>1174.0730000000001</v>
      </c>
      <c r="Z122" s="4" cm="1">
        <f t="array" ref="Z122">INDEX(GMW!$A$2:$NF$60,MATCH(1,(GMW!$NE$2:$NE$60=Z$3)*(GMW!$ND$2:$ND$60=Z$4)*(GMW!$NF$2:$NF$60=Z$1),0),$F122-1966)</f>
        <v>1530.4860000000001</v>
      </c>
      <c r="AA122" s="4" cm="1">
        <f t="array" ref="AA122">INDEX(GMW!$A$2:$NF$60,MATCH(1,(GMW!$NE$2:$NE$60=AA$3)*(GMW!$ND$2:$ND$60=AA$4)*(GMW!$NF$2:$NF$60=AA$1),0),$F122-1966)</f>
        <v>982166</v>
      </c>
      <c r="AB122" s="4" cm="1">
        <f t="array" ref="AB122">INDEX(GMW!$A$2:$NF$60,MATCH(1,(GMW!$NE$2:$NE$60=AB$3)*(GMW!$ND$2:$ND$60=AB$4)*(GMW!$NF$2:$NF$60=AB$1),0),$F122-1966)</f>
        <v>288352</v>
      </c>
      <c r="AC122" s="4" cm="1">
        <f t="array" ref="AC122">INDEX(GMW!$A$2:$NF$60,MATCH(1,(GMW!$NE$2:$NE$60=AC$3)*(GMW!$ND$2:$ND$60=AC$4)*(GMW!$NF$2:$NF$60=AC$1),0),$F122-1966)</f>
        <v>2665.125</v>
      </c>
      <c r="AD122" s="4" cm="1">
        <f t="array" ref="AD122">INDEX(GMW!$A$2:$NF$60,MATCH(1,(GMW!$NE$2:$NE$60=AD$3)*(GMW!$ND$2:$ND$60=AD$4)*(GMW!$NF$2:$NF$60=AD$1),0),$F122-1966)</f>
        <v>130974.9</v>
      </c>
      <c r="AE122" s="4" cm="1">
        <f t="array" ref="AE122">INDEX(GMW!$A$2:$NF$60,MATCH(1,(GMW!$NE$2:$NE$60=AE$3)*(GMW!$ND$2:$ND$60=AE$4)*(GMW!$NF$2:$NF$60=AE$1),0),$F122-1966)</f>
        <v>553.495</v>
      </c>
      <c r="AF122" s="4" cm="1">
        <f t="array" ref="AF122">INDEX(GMW!$A$2:$NF$60,MATCH(1,(GMW!$NE$2:$NE$60=AF$3)*(GMW!$ND$2:$ND$60=AF$4)*(GMW!$NF$2:$NF$60=AF$1),0),$F122-1966)</f>
        <v>385.75400000000002</v>
      </c>
      <c r="AG122" s="4" cm="1">
        <f t="array" ref="AG122">INDEX(GMW!$A$2:$NF$60,MATCH(1,(GMW!$NE$2:$NE$60=AG$3)*(GMW!$ND$2:$ND$60=AG$4)*(GMW!$NF$2:$NF$60=AG$1),0),$F122-1966)</f>
        <v>330.20600000000002</v>
      </c>
      <c r="AH122" s="4" cm="1">
        <f t="array" ref="AH122">INDEX(GMW!$A$2:$NF$60,MATCH(1,(GMW!$NE$2:$NE$60=AH$3)*(GMW!$ND$2:$ND$60=AH$4)*(GMW!$NF$2:$NF$60=AH$1),0),$F122-1966)</f>
        <v>284146</v>
      </c>
    </row>
    <row r="123" spans="1:34" x14ac:dyDescent="0.25">
      <c r="A123" s="4">
        <v>2002</v>
      </c>
      <c r="B123" s="4">
        <f t="shared" si="36"/>
        <v>2002</v>
      </c>
      <c r="C123" s="4">
        <f t="shared" si="36"/>
        <v>2001</v>
      </c>
      <c r="D123" s="4">
        <f t="shared" si="36"/>
        <v>2001</v>
      </c>
      <c r="F123" s="4">
        <f t="shared" si="38"/>
        <v>2089</v>
      </c>
      <c r="G123" s="4" cm="1">
        <f t="array" ref="G123">INDEX(GMW!$A$2:$NF$60,MATCH(1,(GMW!$NE$2:$NE$60=G$3)*(GMW!$ND$2:$ND$60=G$4)*(GMW!$NF$2:$NF$60=G$1),0),$F123-1966)</f>
        <v>464698</v>
      </c>
      <c r="H123" s="4" cm="1">
        <f t="array" ref="H123">INDEX(GMW!$A$2:$NF$60,MATCH(1,(GMW!$NE$2:$NE$60=H$3)*(GMW!$ND$2:$ND$60=H$4)*(GMW!$NF$2:$NF$60=H$1),0),$F123-1966)</f>
        <v>3593.2</v>
      </c>
      <c r="I123" s="4" cm="1">
        <f t="array" ref="I123">INDEX(GMW!$A$2:$NF$60,MATCH(1,(GMW!$NE$2:$NE$60=I$3)*(GMW!$ND$2:$ND$60=I$4)*(GMW!$NF$2:$NF$60=I$1),0),$F123-1966)</f>
        <v>120184.6</v>
      </c>
      <c r="J123" s="4" cm="1">
        <f t="array" ref="J123">INDEX(GMW!$A$2:$NF$60,MATCH(1,(GMW!$NE$2:$NE$60=J$3)*(GMW!$ND$2:$ND$60=J$4)*(GMW!$NF$2:$NF$60=J$1),0),$F123-1966)</f>
        <v>713.61</v>
      </c>
      <c r="K123" s="4" cm="1">
        <f t="array" ref="K123">INDEX(GMW!$A$2:$NF$60,MATCH(1,(GMW!$NE$2:$NE$60=K$3)*(GMW!$ND$2:$ND$60=K$4)*(GMW!$NF$2:$NF$60=K$1),0),$F123-1966)</f>
        <v>498.673</v>
      </c>
      <c r="L123" s="4" cm="1">
        <f t="array" ref="L123">INDEX(GMW!$A$2:$NF$60,MATCH(1,(GMW!$NE$2:$NE$60=L$3)*(GMW!$ND$2:$ND$60=L$4)*(GMW!$NF$2:$NF$60=L$1),0),$F123-1966)</f>
        <v>450.23500000000001</v>
      </c>
      <c r="M123" s="4" cm="1">
        <f t="array" ref="M123">INDEX(GMW!$A$2:$NF$60,MATCH(1,(GMW!$NE$2:$NE$60=M$3)*(GMW!$ND$2:$ND$60=M$4)*(GMW!$NF$2:$NF$60=M$1),0),$F123-1966)</f>
        <v>399048.5</v>
      </c>
      <c r="N123" s="4" cm="1">
        <f t="array" ref="N123">INDEX(GMW!$A$2:$NF$60,MATCH(1,(GMW!$NE$2:$NE$60=N$3)*(GMW!$ND$2:$ND$60=N$4)*(GMW!$NF$2:$NF$60=N$1),0),$F123-1966)</f>
        <v>2702</v>
      </c>
      <c r="O123" s="4" cm="1">
        <f t="array" ref="O123">INDEX(GMW!$A$2:$NF$60,MATCH(1,(GMW!$NE$2:$NE$60=O$3)*(GMW!$ND$2:$ND$60=O$4)*(GMW!$NF$2:$NF$60=O$1),0),$F123-1966)</f>
        <v>-128.45650000000001</v>
      </c>
      <c r="P123" s="4" cm="1">
        <f t="array" ref="P123">INDEX(GMW!$A$2:$NF$60,MATCH(1,(GMW!$NE$2:$NE$60=P$3)*(GMW!$ND$2:$ND$60=P$4)*(GMW!$NF$2:$NF$60=P$1),0),$F123-1966)</f>
        <v>-8713.75</v>
      </c>
      <c r="Q123" s="4" cm="1">
        <f t="array" ref="Q123">INDEX(GMW!$A$2:$NF$60,MATCH(1,(GMW!$NE$2:$NE$60=Q$3)*(GMW!$ND$2:$ND$60=Q$4)*(GMW!$NF$2:$NF$60=Q$1),0),$F123-1966)</f>
        <v>-24.561</v>
      </c>
      <c r="R123" s="4" cm="1">
        <f t="array" ref="R123">INDEX(GMW!$A$2:$NF$60,MATCH(1,(GMW!$NE$2:$NE$60=R$3)*(GMW!$ND$2:$ND$60=R$4)*(GMW!$NF$2:$NF$60=R$1),0),$F123-1966)</f>
        <v>-10.215999999999999</v>
      </c>
      <c r="S123" s="4" cm="1">
        <f t="array" ref="S123">INDEX(GMW!$A$2:$NF$60,MATCH(1,(GMW!$NE$2:$NE$60=S$3)*(GMW!$ND$2:$ND$60=S$4)*(GMW!$NF$2:$NF$60=S$1),0),$F123-1966)</f>
        <v>-9.8190170000000006</v>
      </c>
      <c r="T123" s="4" cm="1">
        <f t="array" ref="T123">INDEX(GMW!$A$2:$NF$60,MATCH(1,(GMW!$NE$2:$NE$60=T$3)*(GMW!$ND$2:$ND$60=T$4)*(GMW!$NF$2:$NF$60=T$1),0),$F123-1966)</f>
        <v>-528</v>
      </c>
      <c r="U123" s="4" cm="1">
        <f t="array" ref="U123">INDEX(GMW!$A$2:$NF$60,MATCH(1,(GMW!$NE$2:$NE$60=U$3)*(GMW!$ND$2:$ND$60=U$4)*(GMW!$NF$2:$NF$60=U$1),0),$F123-1966)</f>
        <v>397654</v>
      </c>
      <c r="V123" s="4" cm="1">
        <f t="array" ref="V123">INDEX(GMW!$A$2:$NF$60,MATCH(1,(GMW!$NE$2:$NE$60=V$3)*(GMW!$ND$2:$ND$60=V$4)*(GMW!$NF$2:$NF$60=V$1),0),$F123-1966)</f>
        <v>8050.3819999999996</v>
      </c>
      <c r="W123" s="4" cm="1">
        <f t="array" ref="W123">INDEX(GMW!$A$2:$NF$60,MATCH(1,(GMW!$NE$2:$NE$60=W$3)*(GMW!$ND$2:$ND$60=W$4)*(GMW!$NF$2:$NF$60=W$1),0),$F123-1966)</f>
        <v>729839</v>
      </c>
      <c r="X123" s="4" cm="1">
        <f t="array" ref="X123">INDEX(GMW!$A$2:$NF$60,MATCH(1,(GMW!$NE$2:$NE$60=X$3)*(GMW!$ND$2:$ND$60=X$4)*(GMW!$NF$2:$NF$60=X$1),0),$F123-1966)</f>
        <v>1236.029</v>
      </c>
      <c r="Y123" s="4" cm="1">
        <f t="array" ref="Y123">INDEX(GMW!$A$2:$NF$60,MATCH(1,(GMW!$NE$2:$NE$60=Y$3)*(GMW!$ND$2:$ND$60=Y$4)*(GMW!$NF$2:$NF$60=Y$1),0),$F123-1966)</f>
        <v>1191.203</v>
      </c>
      <c r="Z123" s="4" cm="1">
        <f t="array" ref="Z123">INDEX(GMW!$A$2:$NF$60,MATCH(1,(GMW!$NE$2:$NE$60=Z$3)*(GMW!$ND$2:$ND$60=Z$4)*(GMW!$NF$2:$NF$60=Z$1),0),$F123-1966)</f>
        <v>1540.4159999999999</v>
      </c>
      <c r="AA123" s="4" cm="1">
        <f t="array" ref="AA123">INDEX(GMW!$A$2:$NF$60,MATCH(1,(GMW!$NE$2:$NE$60=AA$3)*(GMW!$ND$2:$ND$60=AA$4)*(GMW!$NF$2:$NF$60=AA$1),0),$F123-1966)</f>
        <v>978149</v>
      </c>
      <c r="AB123" s="4" cm="1">
        <f t="array" ref="AB123">INDEX(GMW!$A$2:$NF$60,MATCH(1,(GMW!$NE$2:$NE$60=AB$3)*(GMW!$ND$2:$ND$60=AB$4)*(GMW!$NF$2:$NF$60=AB$1),0),$F123-1966)</f>
        <v>292486</v>
      </c>
      <c r="AC123" s="4" cm="1">
        <f t="array" ref="AC123">INDEX(GMW!$A$2:$NF$60,MATCH(1,(GMW!$NE$2:$NE$60=AC$3)*(GMW!$ND$2:$ND$60=AC$4)*(GMW!$NF$2:$NF$60=AC$1),0),$F123-1966)</f>
        <v>2695.875</v>
      </c>
      <c r="AD123" s="4" cm="1">
        <f t="array" ref="AD123">INDEX(GMW!$A$2:$NF$60,MATCH(1,(GMW!$NE$2:$NE$60=AD$3)*(GMW!$ND$2:$ND$60=AD$4)*(GMW!$NF$2:$NF$60=AD$1),0),$F123-1966)</f>
        <v>131372.6</v>
      </c>
      <c r="AE123" s="4" cm="1">
        <f t="array" ref="AE123">INDEX(GMW!$A$2:$NF$60,MATCH(1,(GMW!$NE$2:$NE$60=AE$3)*(GMW!$ND$2:$ND$60=AE$4)*(GMW!$NF$2:$NF$60=AE$1),0),$F123-1966)</f>
        <v>551.66800000000001</v>
      </c>
      <c r="AF123" s="4" cm="1">
        <f t="array" ref="AF123">INDEX(GMW!$A$2:$NF$60,MATCH(1,(GMW!$NE$2:$NE$60=AF$3)*(GMW!$ND$2:$ND$60=AF$4)*(GMW!$NF$2:$NF$60=AF$1),0),$F123-1966)</f>
        <v>390.17700000000002</v>
      </c>
      <c r="AG123" s="4" cm="1">
        <f t="array" ref="AG123">INDEX(GMW!$A$2:$NF$60,MATCH(1,(GMW!$NE$2:$NE$60=AG$3)*(GMW!$ND$2:$ND$60=AG$4)*(GMW!$NF$2:$NF$60=AG$1),0),$F123-1966)</f>
        <v>334.06200000000001</v>
      </c>
      <c r="AH123" s="4" cm="1">
        <f t="array" ref="AH123">INDEX(GMW!$A$2:$NF$60,MATCH(1,(GMW!$NE$2:$NE$60=AH$3)*(GMW!$ND$2:$ND$60=AH$4)*(GMW!$NF$2:$NF$60=AH$1),0),$F123-1966)</f>
        <v>289660</v>
      </c>
    </row>
    <row r="124" spans="1:34" x14ac:dyDescent="0.25">
      <c r="B124" s="4">
        <f t="shared" ref="B124:D139" si="42">+B120+1</f>
        <v>2002</v>
      </c>
      <c r="C124" s="4">
        <f t="shared" si="42"/>
        <v>2002</v>
      </c>
      <c r="F124" s="4">
        <f t="shared" si="38"/>
        <v>2090</v>
      </c>
      <c r="G124" s="4" cm="1">
        <f t="array" ref="G124">INDEX(GMW!$A$2:$NF$60,MATCH(1,(GMW!$NE$2:$NE$60=G$3)*(GMW!$ND$2:$ND$60=G$4)*(GMW!$NF$2:$NF$60=G$1),0),$F124-1966)</f>
        <v>466935</v>
      </c>
      <c r="H124" s="4" cm="1">
        <f t="array" ref="H124">INDEX(GMW!$A$2:$NF$60,MATCH(1,(GMW!$NE$2:$NE$60=H$3)*(GMW!$ND$2:$ND$60=H$4)*(GMW!$NF$2:$NF$60=H$1),0),$F124-1966)</f>
        <v>3615.2</v>
      </c>
      <c r="I124" s="4" cm="1">
        <f t="array" ref="I124">INDEX(GMW!$A$2:$NF$60,MATCH(1,(GMW!$NE$2:$NE$60=I$3)*(GMW!$ND$2:$ND$60=I$4)*(GMW!$NF$2:$NF$60=I$1),0),$F124-1966)</f>
        <v>121142.8</v>
      </c>
      <c r="J124" s="4" cm="1">
        <f t="array" ref="J124">INDEX(GMW!$A$2:$NF$60,MATCH(1,(GMW!$NE$2:$NE$60=J$3)*(GMW!$ND$2:$ND$60=J$4)*(GMW!$NF$2:$NF$60=J$1),0),$F124-1966)</f>
        <v>716.37</v>
      </c>
      <c r="K124" s="4" cm="1">
        <f t="array" ref="K124">INDEX(GMW!$A$2:$NF$60,MATCH(1,(GMW!$NE$2:$NE$60=K$3)*(GMW!$ND$2:$ND$60=K$4)*(GMW!$NF$2:$NF$60=K$1),0),$F124-1966)</f>
        <v>501.00400000000002</v>
      </c>
      <c r="L124" s="4" cm="1">
        <f t="array" ref="L124">INDEX(GMW!$A$2:$NF$60,MATCH(1,(GMW!$NE$2:$NE$60=L$3)*(GMW!$ND$2:$ND$60=L$4)*(GMW!$NF$2:$NF$60=L$1),0),$F124-1966)</f>
        <v>451.48</v>
      </c>
      <c r="M124" s="4" cm="1">
        <f t="array" ref="M124">INDEX(GMW!$A$2:$NF$60,MATCH(1,(GMW!$NE$2:$NE$60=M$3)*(GMW!$ND$2:$ND$60=M$4)*(GMW!$NF$2:$NF$60=M$1),0),$F124-1966)</f>
        <v>401406.3</v>
      </c>
      <c r="N124" s="4" cm="1">
        <f t="array" ref="N124">INDEX(GMW!$A$2:$NF$60,MATCH(1,(GMW!$NE$2:$NE$60=N$3)*(GMW!$ND$2:$ND$60=N$4)*(GMW!$NF$2:$NF$60=N$1),0),$F124-1966)</f>
        <v>-9260.9989999999998</v>
      </c>
      <c r="O124" s="4" cm="1">
        <f t="array" ref="O124">INDEX(GMW!$A$2:$NF$60,MATCH(1,(GMW!$NE$2:$NE$60=O$3)*(GMW!$ND$2:$ND$60=O$4)*(GMW!$NF$2:$NF$60=O$1),0),$F124-1966)</f>
        <v>-138.95769999999999</v>
      </c>
      <c r="P124" s="4" cm="1">
        <f t="array" ref="P124">INDEX(GMW!$A$2:$NF$60,MATCH(1,(GMW!$NE$2:$NE$60=P$3)*(GMW!$ND$2:$ND$60=P$4)*(GMW!$NF$2:$NF$60=P$1),0),$F124-1966)</f>
        <v>-8953.25</v>
      </c>
      <c r="Q124" s="4" cm="1">
        <f t="array" ref="Q124">INDEX(GMW!$A$2:$NF$60,MATCH(1,(GMW!$NE$2:$NE$60=Q$3)*(GMW!$ND$2:$ND$60=Q$4)*(GMW!$NF$2:$NF$60=Q$1),0),$F124-1966)</f>
        <v>-23.164999999999999</v>
      </c>
      <c r="R124" s="4" cm="1">
        <f t="array" ref="R124">INDEX(GMW!$A$2:$NF$60,MATCH(1,(GMW!$NE$2:$NE$60=R$3)*(GMW!$ND$2:$ND$60=R$4)*(GMW!$NF$2:$NF$60=R$1),0),$F124-1966)</f>
        <v>-8.1259999999999994</v>
      </c>
      <c r="S124" s="4" cm="1">
        <f t="array" ref="S124">INDEX(GMW!$A$2:$NF$60,MATCH(1,(GMW!$NE$2:$NE$60=S$3)*(GMW!$ND$2:$ND$60=S$4)*(GMW!$NF$2:$NF$60=S$1),0),$F124-1966)</f>
        <v>-9.4788560000000004</v>
      </c>
      <c r="T124" s="4" cm="1">
        <f t="array" ref="T124">INDEX(GMW!$A$2:$NF$60,MATCH(1,(GMW!$NE$2:$NE$60=T$3)*(GMW!$ND$2:$ND$60=T$4)*(GMW!$NF$2:$NF$60=T$1),0),$F124-1966)</f>
        <v>1626</v>
      </c>
      <c r="U124" s="4" cm="1">
        <f t="array" ref="U124">INDEX(GMW!$A$2:$NF$60,MATCH(1,(GMW!$NE$2:$NE$60=U$3)*(GMW!$ND$2:$ND$60=U$4)*(GMW!$NF$2:$NF$60=U$1),0),$F124-1966)</f>
        <v>407825</v>
      </c>
      <c r="V124" s="4" cm="1">
        <f t="array" ref="V124">INDEX(GMW!$A$2:$NF$60,MATCH(1,(GMW!$NE$2:$NE$60=V$3)*(GMW!$ND$2:$ND$60=V$4)*(GMW!$NF$2:$NF$60=V$1),0),$F124-1966)</f>
        <v>8341.5529999999999</v>
      </c>
      <c r="W124" s="4" cm="1">
        <f t="array" ref="W124">INDEX(GMW!$A$2:$NF$60,MATCH(1,(GMW!$NE$2:$NE$60=W$3)*(GMW!$ND$2:$ND$60=W$4)*(GMW!$NF$2:$NF$60=W$1),0),$F124-1966)</f>
        <v>736898</v>
      </c>
      <c r="X124" s="4" cm="1">
        <f t="array" ref="X124">INDEX(GMW!$A$2:$NF$60,MATCH(1,(GMW!$NE$2:$NE$60=X$3)*(GMW!$ND$2:$ND$60=X$4)*(GMW!$NF$2:$NF$60=X$1),0),$F124-1966)</f>
        <v>1247.114</v>
      </c>
      <c r="Y124" s="4" cm="1">
        <f t="array" ref="Y124">INDEX(GMW!$A$2:$NF$60,MATCH(1,(GMW!$NE$2:$NE$60=Y$3)*(GMW!$ND$2:$ND$60=Y$4)*(GMW!$NF$2:$NF$60=Y$1),0),$F124-1966)</f>
        <v>1220.8720000000001</v>
      </c>
      <c r="Z124" s="4" cm="1">
        <f t="array" ref="Z124">INDEX(GMW!$A$2:$NF$60,MATCH(1,(GMW!$NE$2:$NE$60=Z$3)*(GMW!$ND$2:$ND$60=Z$4)*(GMW!$NF$2:$NF$60=Z$1),0),$F124-1966)</f>
        <v>1550.345</v>
      </c>
      <c r="AA124" s="4" cm="1">
        <f t="array" ref="AA124">INDEX(GMW!$A$2:$NF$60,MATCH(1,(GMW!$NE$2:$NE$60=AA$3)*(GMW!$ND$2:$ND$60=AA$4)*(GMW!$NF$2:$NF$60=AA$1),0),$F124-1966)</f>
        <v>980107</v>
      </c>
      <c r="AB124" s="4" cm="1">
        <f t="array" ref="AB124">INDEX(GMW!$A$2:$NF$60,MATCH(1,(GMW!$NE$2:$NE$60=AB$3)*(GMW!$ND$2:$ND$60=AB$4)*(GMW!$NF$2:$NF$60=AB$1),0),$F124-1966)</f>
        <v>295516</v>
      </c>
      <c r="AC124" s="4" cm="1">
        <f t="array" ref="AC124">INDEX(GMW!$A$2:$NF$60,MATCH(1,(GMW!$NE$2:$NE$60=AC$3)*(GMW!$ND$2:$ND$60=AC$4)*(GMW!$NF$2:$NF$60=AC$1),0),$F124-1966)</f>
        <v>2721.875</v>
      </c>
      <c r="AD124" s="4" cm="1">
        <f t="array" ref="AD124">INDEX(GMW!$A$2:$NF$60,MATCH(1,(GMW!$NE$2:$NE$60=AD$3)*(GMW!$ND$2:$ND$60=AD$4)*(GMW!$NF$2:$NF$60=AD$1),0),$F124-1966)</f>
        <v>131053.4</v>
      </c>
      <c r="AE124" s="4" cm="1">
        <f t="array" ref="AE124">INDEX(GMW!$A$2:$NF$60,MATCH(1,(GMW!$NE$2:$NE$60=AE$3)*(GMW!$ND$2:$ND$60=AE$4)*(GMW!$NF$2:$NF$60=AE$1),0),$F124-1966)</f>
        <v>553.58699999999999</v>
      </c>
      <c r="AF124" s="4" cm="1">
        <f t="array" ref="AF124">INDEX(GMW!$A$2:$NF$60,MATCH(1,(GMW!$NE$2:$NE$60=AF$3)*(GMW!$ND$2:$ND$60=AF$4)*(GMW!$NF$2:$NF$60=AF$1),0),$F124-1966)</f>
        <v>393.488</v>
      </c>
      <c r="AG124" s="4" cm="1">
        <f t="array" ref="AG124">INDEX(GMW!$A$2:$NF$60,MATCH(1,(GMW!$NE$2:$NE$60=AG$3)*(GMW!$ND$2:$ND$60=AG$4)*(GMW!$NF$2:$NF$60=AG$1),0),$F124-1966)</f>
        <v>336.68</v>
      </c>
      <c r="AH124" s="4" cm="1">
        <f t="array" ref="AH124">INDEX(GMW!$A$2:$NF$60,MATCH(1,(GMW!$NE$2:$NE$60=AH$3)*(GMW!$ND$2:$ND$60=AH$4)*(GMW!$NF$2:$NF$60=AH$1),0),$F124-1966)</f>
        <v>296473</v>
      </c>
    </row>
    <row r="125" spans="1:34" x14ac:dyDescent="0.25">
      <c r="B125" s="4">
        <f t="shared" si="42"/>
        <v>2002</v>
      </c>
      <c r="C125" s="4">
        <f t="shared" si="42"/>
        <v>2002</v>
      </c>
      <c r="F125" s="4">
        <f t="shared" si="38"/>
        <v>2091</v>
      </c>
      <c r="G125" s="4" cm="1">
        <f t="array" ref="G125">INDEX(GMW!$A$2:$NF$60,MATCH(1,(GMW!$NE$2:$NE$60=G$3)*(GMW!$ND$2:$ND$60=G$4)*(GMW!$NF$2:$NF$60=G$1),0),$F125-1966)</f>
        <v>470277</v>
      </c>
      <c r="H125" s="4" cm="1">
        <f t="array" ref="H125">INDEX(GMW!$A$2:$NF$60,MATCH(1,(GMW!$NE$2:$NE$60=H$3)*(GMW!$ND$2:$ND$60=H$4)*(GMW!$NF$2:$NF$60=H$1),0),$F125-1966)</f>
        <v>3629.9</v>
      </c>
      <c r="I125" s="4" cm="1">
        <f t="array" ref="I125">INDEX(GMW!$A$2:$NF$60,MATCH(1,(GMW!$NE$2:$NE$60=I$3)*(GMW!$ND$2:$ND$60=I$4)*(GMW!$NF$2:$NF$60=I$1),0),$F125-1966)</f>
        <v>121545.5</v>
      </c>
      <c r="J125" s="4" cm="1">
        <f t="array" ref="J125">INDEX(GMW!$A$2:$NF$60,MATCH(1,(GMW!$NE$2:$NE$60=J$3)*(GMW!$ND$2:$ND$60=J$4)*(GMW!$NF$2:$NF$60=J$1),0),$F125-1966)</f>
        <v>721.29</v>
      </c>
      <c r="K125" s="4" cm="1">
        <f t="array" ref="K125">INDEX(GMW!$A$2:$NF$60,MATCH(1,(GMW!$NE$2:$NE$60=K$3)*(GMW!$ND$2:$ND$60=K$4)*(GMW!$NF$2:$NF$60=K$1),0),$F125-1966)</f>
        <v>503.07100000000003</v>
      </c>
      <c r="L125" s="4" cm="1">
        <f t="array" ref="L125">INDEX(GMW!$A$2:$NF$60,MATCH(1,(GMW!$NE$2:$NE$60=L$3)*(GMW!$ND$2:$ND$60=L$4)*(GMW!$NF$2:$NF$60=L$1),0),$F125-1966)</f>
        <v>452.267</v>
      </c>
      <c r="M125" s="4" cm="1">
        <f t="array" ref="M125">INDEX(GMW!$A$2:$NF$60,MATCH(1,(GMW!$NE$2:$NE$60=M$3)*(GMW!$ND$2:$ND$60=M$4)*(GMW!$NF$2:$NF$60=M$1),0),$F125-1966)</f>
        <v>404877.3</v>
      </c>
      <c r="N125" s="4" cm="1">
        <f t="array" ref="N125">INDEX(GMW!$A$2:$NF$60,MATCH(1,(GMW!$NE$2:$NE$60=N$3)*(GMW!$ND$2:$ND$60=N$4)*(GMW!$NF$2:$NF$60=N$1),0),$F125-1966)</f>
        <v>-5938</v>
      </c>
      <c r="O125" s="4" cm="1">
        <f t="array" ref="O125">INDEX(GMW!$A$2:$NF$60,MATCH(1,(GMW!$NE$2:$NE$60=O$3)*(GMW!$ND$2:$ND$60=O$4)*(GMW!$NF$2:$NF$60=O$1),0),$F125-1966)</f>
        <v>-144.0675</v>
      </c>
      <c r="P125" s="4" cm="1">
        <f t="array" ref="P125">INDEX(GMW!$A$2:$NF$60,MATCH(1,(GMW!$NE$2:$NE$60=P$3)*(GMW!$ND$2:$ND$60=P$4)*(GMW!$NF$2:$NF$60=P$1),0),$F125-1966)</f>
        <v>-10117.75</v>
      </c>
      <c r="Q125" s="4" cm="1">
        <f t="array" ref="Q125">INDEX(GMW!$A$2:$NF$60,MATCH(1,(GMW!$NE$2:$NE$60=Q$3)*(GMW!$ND$2:$ND$60=Q$4)*(GMW!$NF$2:$NF$60=Q$1),0),$F125-1966)</f>
        <v>-19.712</v>
      </c>
      <c r="R125" s="4" cm="1">
        <f t="array" ref="R125">INDEX(GMW!$A$2:$NF$60,MATCH(1,(GMW!$NE$2:$NE$60=R$3)*(GMW!$ND$2:$ND$60=R$4)*(GMW!$NF$2:$NF$60=R$1),0),$F125-1966)</f>
        <v>-13.42</v>
      </c>
      <c r="S125" s="4" cm="1">
        <f t="array" ref="S125">INDEX(GMW!$A$2:$NF$60,MATCH(1,(GMW!$NE$2:$NE$60=S$3)*(GMW!$ND$2:$ND$60=S$4)*(GMW!$NF$2:$NF$60=S$1),0),$F125-1966)</f>
        <v>-9.5889199999999999</v>
      </c>
      <c r="T125" s="4" cm="1">
        <f t="array" ref="T125">INDEX(GMW!$A$2:$NF$60,MATCH(1,(GMW!$NE$2:$NE$60=T$3)*(GMW!$ND$2:$ND$60=T$4)*(GMW!$NF$2:$NF$60=T$1),0),$F125-1966)</f>
        <v>768</v>
      </c>
      <c r="U125" s="4" cm="1">
        <f t="array" ref="U125">INDEX(GMW!$A$2:$NF$60,MATCH(1,(GMW!$NE$2:$NE$60=U$3)*(GMW!$ND$2:$ND$60=U$4)*(GMW!$NF$2:$NF$60=U$1),0),$F125-1966)</f>
        <v>410543</v>
      </c>
      <c r="V125" s="4" cm="1">
        <f t="array" ref="V125">INDEX(GMW!$A$2:$NF$60,MATCH(1,(GMW!$NE$2:$NE$60=V$3)*(GMW!$ND$2:$ND$60=V$4)*(GMW!$NF$2:$NF$60=V$1),0),$F125-1966)</f>
        <v>8621.9290000000001</v>
      </c>
      <c r="W125" s="4" cm="1">
        <f t="array" ref="W125">INDEX(GMW!$A$2:$NF$60,MATCH(1,(GMW!$NE$2:$NE$60=W$3)*(GMW!$ND$2:$ND$60=W$4)*(GMW!$NF$2:$NF$60=W$1),0),$F125-1966)</f>
        <v>743957</v>
      </c>
      <c r="X125" s="4" cm="1">
        <f t="array" ref="X125">INDEX(GMW!$A$2:$NF$60,MATCH(1,(GMW!$NE$2:$NE$60=X$3)*(GMW!$ND$2:$ND$60=X$4)*(GMW!$NF$2:$NF$60=X$1),0),$F125-1966)</f>
        <v>1263.6400000000001</v>
      </c>
      <c r="Y125" s="4" cm="1">
        <f t="array" ref="Y125">INDEX(GMW!$A$2:$NF$60,MATCH(1,(GMW!$NE$2:$NE$60=Y$3)*(GMW!$ND$2:$ND$60=Y$4)*(GMW!$NF$2:$NF$60=Y$1),0),$F125-1966)</f>
        <v>1247.9670000000001</v>
      </c>
      <c r="Z125" s="4" cm="1">
        <f t="array" ref="Z125">INDEX(GMW!$A$2:$NF$60,MATCH(1,(GMW!$NE$2:$NE$60=Z$3)*(GMW!$ND$2:$ND$60=Z$4)*(GMW!$NF$2:$NF$60=Z$1),0),$F125-1966)</f>
        <v>1560.2750000000001</v>
      </c>
      <c r="AA125" s="4" cm="1">
        <f t="array" ref="AA125">INDEX(GMW!$A$2:$NF$60,MATCH(1,(GMW!$NE$2:$NE$60=AA$3)*(GMW!$ND$2:$ND$60=AA$4)*(GMW!$NF$2:$NF$60=AA$1),0),$F125-1966)</f>
        <v>1002664</v>
      </c>
      <c r="AB125" s="4" cm="1">
        <f t="array" ref="AB125">INDEX(GMW!$A$2:$NF$60,MATCH(1,(GMW!$NE$2:$NE$60=AB$3)*(GMW!$ND$2:$ND$60=AB$4)*(GMW!$NF$2:$NF$60=AB$1),0),$F125-1966)</f>
        <v>299230</v>
      </c>
      <c r="AC125" s="4" cm="1">
        <f t="array" ref="AC125">INDEX(GMW!$A$2:$NF$60,MATCH(1,(GMW!$NE$2:$NE$60=AC$3)*(GMW!$ND$2:$ND$60=AC$4)*(GMW!$NF$2:$NF$60=AC$1),0),$F125-1966)</f>
        <v>2746</v>
      </c>
      <c r="AD125" s="4" cm="1">
        <f t="array" ref="AD125">INDEX(GMW!$A$2:$NF$60,MATCH(1,(GMW!$NE$2:$NE$60=AD$3)*(GMW!$ND$2:$ND$60=AD$4)*(GMW!$NF$2:$NF$60=AD$1),0),$F125-1966)</f>
        <v>131052.2</v>
      </c>
      <c r="AE125" s="4" cm="1">
        <f t="array" ref="AE125">INDEX(GMW!$A$2:$NF$60,MATCH(1,(GMW!$NE$2:$NE$60=AE$3)*(GMW!$ND$2:$ND$60=AE$4)*(GMW!$NF$2:$NF$60=AE$1),0),$F125-1966)</f>
        <v>560.47400000000005</v>
      </c>
      <c r="AF125" s="4" cm="1">
        <f t="array" ref="AF125">INDEX(GMW!$A$2:$NF$60,MATCH(1,(GMW!$NE$2:$NE$60=AF$3)*(GMW!$ND$2:$ND$60=AF$4)*(GMW!$NF$2:$NF$60=AF$1),0),$F125-1966)</f>
        <v>397.28699999999998</v>
      </c>
      <c r="AG125" s="4" cm="1">
        <f t="array" ref="AG125">INDEX(GMW!$A$2:$NF$60,MATCH(1,(GMW!$NE$2:$NE$60=AG$3)*(GMW!$ND$2:$ND$60=AG$4)*(GMW!$NF$2:$NF$60=AG$1),0),$F125-1966)</f>
        <v>340.41500000000002</v>
      </c>
      <c r="AH125" s="4" cm="1">
        <f t="array" ref="AH125">INDEX(GMW!$A$2:$NF$60,MATCH(1,(GMW!$NE$2:$NE$60=AH$3)*(GMW!$ND$2:$ND$60=AH$4)*(GMW!$NF$2:$NF$60=AH$1),0),$F125-1966)</f>
        <v>301036</v>
      </c>
    </row>
    <row r="126" spans="1:34" x14ac:dyDescent="0.25">
      <c r="B126" s="4">
        <f t="shared" si="42"/>
        <v>2002</v>
      </c>
      <c r="C126" s="4">
        <f t="shared" si="42"/>
        <v>2002</v>
      </c>
      <c r="E126" s="4">
        <f t="shared" ref="E126" si="43">+E122+1</f>
        <v>2002</v>
      </c>
      <c r="F126" s="4">
        <f t="shared" si="38"/>
        <v>2092</v>
      </c>
      <c r="G126" s="4" cm="1">
        <f t="array" ref="G126">INDEX(GMW!$A$2:$NF$60,MATCH(1,(GMW!$NE$2:$NE$60=G$3)*(GMW!$ND$2:$ND$60=G$4)*(GMW!$NF$2:$NF$60=G$1),0),$F126-1966)</f>
        <v>473899</v>
      </c>
      <c r="H126" s="4" cm="1">
        <f t="array" ref="H126">INDEX(GMW!$A$2:$NF$60,MATCH(1,(GMW!$NE$2:$NE$60=H$3)*(GMW!$ND$2:$ND$60=H$4)*(GMW!$NF$2:$NF$60=H$1),0),$F126-1966)</f>
        <v>3634.4</v>
      </c>
      <c r="I126" s="4" cm="1">
        <f t="array" ref="I126">INDEX(GMW!$A$2:$NF$60,MATCH(1,(GMW!$NE$2:$NE$60=I$3)*(GMW!$ND$2:$ND$60=I$4)*(GMW!$NF$2:$NF$60=I$1),0),$F126-1966)</f>
        <v>121874.9</v>
      </c>
      <c r="J126" s="4" cm="1">
        <f t="array" ref="J126">INDEX(GMW!$A$2:$NF$60,MATCH(1,(GMW!$NE$2:$NE$60=J$3)*(GMW!$ND$2:$ND$60=J$4)*(GMW!$NF$2:$NF$60=J$1),0),$F126-1966)</f>
        <v>719.3</v>
      </c>
      <c r="K126" s="4" cm="1">
        <f t="array" ref="K126">INDEX(GMW!$A$2:$NF$60,MATCH(1,(GMW!$NE$2:$NE$60=K$3)*(GMW!$ND$2:$ND$60=K$4)*(GMW!$NF$2:$NF$60=K$1),0),$F126-1966)</f>
        <v>503.50700000000001</v>
      </c>
      <c r="L126" s="4" cm="1">
        <f t="array" ref="L126">INDEX(GMW!$A$2:$NF$60,MATCH(1,(GMW!$NE$2:$NE$60=L$3)*(GMW!$ND$2:$ND$60=L$4)*(GMW!$NF$2:$NF$60=L$1),0),$F126-1966)</f>
        <v>454.88200000000001</v>
      </c>
      <c r="M126" s="4" cm="1">
        <f t="array" ref="M126">INDEX(GMW!$A$2:$NF$60,MATCH(1,(GMW!$NE$2:$NE$60=M$3)*(GMW!$ND$2:$ND$60=M$4)*(GMW!$NF$2:$NF$60=M$1),0),$F126-1966)</f>
        <v>407101</v>
      </c>
      <c r="N126" s="4" cm="1">
        <f t="array" ref="N126">INDEX(GMW!$A$2:$NF$60,MATCH(1,(GMW!$NE$2:$NE$60=N$3)*(GMW!$ND$2:$ND$60=N$4)*(GMW!$NF$2:$NF$60=N$1),0),$F126-1966)</f>
        <v>-13950</v>
      </c>
      <c r="O126" s="4" cm="1">
        <f t="array" ref="O126">INDEX(GMW!$A$2:$NF$60,MATCH(1,(GMW!$NE$2:$NE$60=O$3)*(GMW!$ND$2:$ND$60=O$4)*(GMW!$NF$2:$NF$60=O$1),0),$F126-1966)</f>
        <v>-159.29900000000001</v>
      </c>
      <c r="P126" s="4" cm="1">
        <f t="array" ref="P126">INDEX(GMW!$A$2:$NF$60,MATCH(1,(GMW!$NE$2:$NE$60=P$3)*(GMW!$ND$2:$ND$60=P$4)*(GMW!$NF$2:$NF$60=P$1),0),$F126-1966)</f>
        <v>-10691</v>
      </c>
      <c r="Q126" s="4" cm="1">
        <f t="array" ref="Q126">INDEX(GMW!$A$2:$NF$60,MATCH(1,(GMW!$NE$2:$NE$60=Q$3)*(GMW!$ND$2:$ND$60=Q$4)*(GMW!$NF$2:$NF$60=Q$1),0),$F126-1966)</f>
        <v>-23.411000000000001</v>
      </c>
      <c r="R126" s="4" cm="1">
        <f t="array" ref="R126">INDEX(GMW!$A$2:$NF$60,MATCH(1,(GMW!$NE$2:$NE$60=R$3)*(GMW!$ND$2:$ND$60=R$4)*(GMW!$NF$2:$NF$60=R$1),0),$F126-1966)</f>
        <v>-18.276</v>
      </c>
      <c r="S126" s="4" cm="1">
        <f t="array" ref="S126">INDEX(GMW!$A$2:$NF$60,MATCH(1,(GMW!$NE$2:$NE$60=S$3)*(GMW!$ND$2:$ND$60=S$4)*(GMW!$NF$2:$NF$60=S$1),0),$F126-1966)</f>
        <v>-10.14921</v>
      </c>
      <c r="T126" s="4" cm="1">
        <f t="array" ref="T126">INDEX(GMW!$A$2:$NF$60,MATCH(1,(GMW!$NE$2:$NE$60=T$3)*(GMW!$ND$2:$ND$60=T$4)*(GMW!$NF$2:$NF$60=T$1),0),$F126-1966)</f>
        <v>2336</v>
      </c>
      <c r="U126" s="4" cm="1">
        <f t="array" ref="U126">INDEX(GMW!$A$2:$NF$60,MATCH(1,(GMW!$NE$2:$NE$60=U$3)*(GMW!$ND$2:$ND$60=U$4)*(GMW!$NF$2:$NF$60=U$1),0),$F126-1966)</f>
        <v>422180</v>
      </c>
      <c r="V126" s="4" cm="1">
        <f t="array" ref="V126">INDEX(GMW!$A$2:$NF$60,MATCH(1,(GMW!$NE$2:$NE$60=V$3)*(GMW!$ND$2:$ND$60=V$4)*(GMW!$NF$2:$NF$60=V$1),0),$F126-1966)</f>
        <v>8827.26</v>
      </c>
      <c r="W126" s="4" cm="1">
        <f t="array" ref="W126">INDEX(GMW!$A$2:$NF$60,MATCH(1,(GMW!$NE$2:$NE$60=W$3)*(GMW!$ND$2:$ND$60=W$4)*(GMW!$NF$2:$NF$60=W$1),0),$F126-1966)</f>
        <v>751017</v>
      </c>
      <c r="X126" s="4" cm="1">
        <f t="array" ref="X126">INDEX(GMW!$A$2:$NF$60,MATCH(1,(GMW!$NE$2:$NE$60=X$3)*(GMW!$ND$2:$ND$60=X$4)*(GMW!$NF$2:$NF$60=X$1),0),$F126-1966)</f>
        <v>1285.606</v>
      </c>
      <c r="Y126" s="4" cm="1">
        <f t="array" ref="Y126">INDEX(GMW!$A$2:$NF$60,MATCH(1,(GMW!$NE$2:$NE$60=Y$3)*(GMW!$ND$2:$ND$60=Y$4)*(GMW!$NF$2:$NF$60=Y$1),0),$F126-1966)</f>
        <v>1276.144</v>
      </c>
      <c r="Z126" s="4" cm="1">
        <f t="array" ref="Z126">INDEX(GMW!$A$2:$NF$60,MATCH(1,(GMW!$NE$2:$NE$60=Z$3)*(GMW!$ND$2:$ND$60=Z$4)*(GMW!$NF$2:$NF$60=Z$1),0),$F126-1966)</f>
        <v>1570.204</v>
      </c>
      <c r="AA126" s="4" cm="1">
        <f t="array" ref="AA126">INDEX(GMW!$A$2:$NF$60,MATCH(1,(GMW!$NE$2:$NE$60=AA$3)*(GMW!$ND$2:$ND$60=AA$4)*(GMW!$NF$2:$NF$60=AA$1),0),$F126-1966)</f>
        <v>1003151</v>
      </c>
      <c r="AB126" s="4" cm="1">
        <f t="array" ref="AB126">INDEX(GMW!$A$2:$NF$60,MATCH(1,(GMW!$NE$2:$NE$60=AB$3)*(GMW!$ND$2:$ND$60=AB$4)*(GMW!$NF$2:$NF$60=AB$1),0),$F126-1966)</f>
        <v>304207</v>
      </c>
      <c r="AC126" s="4" cm="1">
        <f t="array" ref="AC126">INDEX(GMW!$A$2:$NF$60,MATCH(1,(GMW!$NE$2:$NE$60=AC$3)*(GMW!$ND$2:$ND$60=AC$4)*(GMW!$NF$2:$NF$60=AC$1),0),$F126-1966)</f>
        <v>2765.35</v>
      </c>
      <c r="AD126" s="4" cm="1">
        <f t="array" ref="AD126">INDEX(GMW!$A$2:$NF$60,MATCH(1,(GMW!$NE$2:$NE$60=AD$3)*(GMW!$ND$2:$ND$60=AD$4)*(GMW!$NF$2:$NF$60=AD$1),0),$F126-1966)</f>
        <v>131103.6</v>
      </c>
      <c r="AE126" s="4" cm="1">
        <f t="array" ref="AE126">INDEX(GMW!$A$2:$NF$60,MATCH(1,(GMW!$NE$2:$NE$60=AE$3)*(GMW!$ND$2:$ND$60=AE$4)*(GMW!$NF$2:$NF$60=AE$1),0),$F126-1966)</f>
        <v>561.31600000000003</v>
      </c>
      <c r="AF126" s="4" cm="1">
        <f t="array" ref="AF126">INDEX(GMW!$A$2:$NF$60,MATCH(1,(GMW!$NE$2:$NE$60=AF$3)*(GMW!$ND$2:$ND$60=AF$4)*(GMW!$NF$2:$NF$60=AF$1),0),$F126-1966)</f>
        <v>399.44299999999998</v>
      </c>
      <c r="AG126" s="4" cm="1">
        <f t="array" ref="AG126">INDEX(GMW!$A$2:$NF$60,MATCH(1,(GMW!$NE$2:$NE$60=AG$3)*(GMW!$ND$2:$ND$60=AG$4)*(GMW!$NF$2:$NF$60=AG$1),0),$F126-1966)</f>
        <v>343.07400000000001</v>
      </c>
      <c r="AH126" s="4" cm="1">
        <f t="array" ref="AH126">INDEX(GMW!$A$2:$NF$60,MATCH(1,(GMW!$NE$2:$NE$60=AH$3)*(GMW!$ND$2:$ND$60=AH$4)*(GMW!$NF$2:$NF$60=AH$1),0),$F126-1966)</f>
        <v>306525</v>
      </c>
    </row>
    <row r="127" spans="1:34" x14ac:dyDescent="0.25">
      <c r="A127" s="4">
        <v>2003</v>
      </c>
      <c r="B127" s="4">
        <f t="shared" si="42"/>
        <v>2003</v>
      </c>
      <c r="C127" s="4">
        <f t="shared" si="42"/>
        <v>2002</v>
      </c>
      <c r="D127" s="4">
        <f t="shared" si="42"/>
        <v>2002</v>
      </c>
      <c r="F127" s="4">
        <f t="shared" si="38"/>
        <v>2093</v>
      </c>
      <c r="G127" s="4" cm="1">
        <f t="array" ref="G127">INDEX(GMW!$A$2:$NF$60,MATCH(1,(GMW!$NE$2:$NE$60=G$3)*(GMW!$ND$2:$ND$60=G$4)*(GMW!$NF$2:$NF$60=G$1),0),$F127-1966)</f>
        <v>477357</v>
      </c>
      <c r="H127" s="4" cm="1">
        <f t="array" ref="H127">INDEX(GMW!$A$2:$NF$60,MATCH(1,(GMW!$NE$2:$NE$60=H$3)*(GMW!$ND$2:$ND$60=H$4)*(GMW!$NF$2:$NF$60=H$1),0),$F127-1966)</f>
        <v>3653.5250000000001</v>
      </c>
      <c r="I127" s="4" cm="1">
        <f t="array" ref="I127">INDEX(GMW!$A$2:$NF$60,MATCH(1,(GMW!$NE$2:$NE$60=I$3)*(GMW!$ND$2:$ND$60=I$4)*(GMW!$NF$2:$NF$60=I$1),0),$F127-1966)</f>
        <v>121950.3</v>
      </c>
      <c r="J127" s="4" cm="1">
        <f t="array" ref="J127">INDEX(GMW!$A$2:$NF$60,MATCH(1,(GMW!$NE$2:$NE$60=J$3)*(GMW!$ND$2:$ND$60=J$4)*(GMW!$NF$2:$NF$60=J$1),0),$F127-1966)</f>
        <v>709.53</v>
      </c>
      <c r="K127" s="4" cm="1">
        <f t="array" ref="K127">INDEX(GMW!$A$2:$NF$60,MATCH(1,(GMW!$NE$2:$NE$60=K$3)*(GMW!$ND$2:$ND$60=K$4)*(GMW!$NF$2:$NF$60=K$1),0),$F127-1966)</f>
        <v>505.07100000000003</v>
      </c>
      <c r="L127" s="4" cm="1">
        <f t="array" ref="L127">INDEX(GMW!$A$2:$NF$60,MATCH(1,(GMW!$NE$2:$NE$60=L$3)*(GMW!$ND$2:$ND$60=L$4)*(GMW!$NF$2:$NF$60=L$1),0),$F127-1966)</f>
        <v>452.98</v>
      </c>
      <c r="M127" s="4" cm="1">
        <f t="array" ref="M127">INDEX(GMW!$A$2:$NF$60,MATCH(1,(GMW!$NE$2:$NE$60=M$3)*(GMW!$ND$2:$ND$60=M$4)*(GMW!$NF$2:$NF$60=M$1),0),$F127-1966)</f>
        <v>409366</v>
      </c>
      <c r="N127" s="4" cm="1">
        <f t="array" ref="N127">INDEX(GMW!$A$2:$NF$60,MATCH(1,(GMW!$NE$2:$NE$60=N$3)*(GMW!$ND$2:$ND$60=N$4)*(GMW!$NF$2:$NF$60=N$1),0),$F127-1966)</f>
        <v>-6133</v>
      </c>
      <c r="O127" s="4" cm="1">
        <f t="array" ref="O127">INDEX(GMW!$A$2:$NF$60,MATCH(1,(GMW!$NE$2:$NE$60=O$3)*(GMW!$ND$2:$ND$60=O$4)*(GMW!$NF$2:$NF$60=O$1),0),$F127-1966)</f>
        <v>-171.36519999999999</v>
      </c>
      <c r="P127" s="4" cm="1">
        <f t="array" ref="P127">INDEX(GMW!$A$2:$NF$60,MATCH(1,(GMW!$NE$2:$NE$60=P$3)*(GMW!$ND$2:$ND$60=P$4)*(GMW!$NF$2:$NF$60=P$1),0),$F127-1966)</f>
        <v>-10648</v>
      </c>
      <c r="Q127" s="4" cm="1">
        <f t="array" ref="Q127">INDEX(GMW!$A$2:$NF$60,MATCH(1,(GMW!$NE$2:$NE$60=Q$3)*(GMW!$ND$2:$ND$60=Q$4)*(GMW!$NF$2:$NF$60=Q$1),0),$F127-1966)</f>
        <v>-22.821999999999999</v>
      </c>
      <c r="R127" s="4" cm="1">
        <f t="array" ref="R127">INDEX(GMW!$A$2:$NF$60,MATCH(1,(GMW!$NE$2:$NE$60=R$3)*(GMW!$ND$2:$ND$60=R$4)*(GMW!$NF$2:$NF$60=R$1),0),$F127-1966)</f>
        <v>-16.231000000000002</v>
      </c>
      <c r="S127" s="4" cm="1">
        <f t="array" ref="S127">INDEX(GMW!$A$2:$NF$60,MATCH(1,(GMW!$NE$2:$NE$60=S$3)*(GMW!$ND$2:$ND$60=S$4)*(GMW!$NF$2:$NF$60=S$1),0),$F127-1966)</f>
        <v>-10.731059999999999</v>
      </c>
      <c r="T127" s="4" cm="1">
        <f t="array" ref="T127">INDEX(GMW!$A$2:$NF$60,MATCH(1,(GMW!$NE$2:$NE$60=T$3)*(GMW!$ND$2:$ND$60=T$4)*(GMW!$NF$2:$NF$60=T$1),0),$F127-1966)</f>
        <v>3023</v>
      </c>
      <c r="U127" s="4" cm="1">
        <f t="array" ref="U127">INDEX(GMW!$A$2:$NF$60,MATCH(1,(GMW!$NE$2:$NE$60=U$3)*(GMW!$ND$2:$ND$60=U$4)*(GMW!$NF$2:$NF$60=U$1),0),$F127-1966)</f>
        <v>422005</v>
      </c>
      <c r="V127" s="4" cm="1">
        <f t="array" ref="V127">INDEX(GMW!$A$2:$NF$60,MATCH(1,(GMW!$NE$2:$NE$60=V$3)*(GMW!$ND$2:$ND$60=V$4)*(GMW!$NF$2:$NF$60=V$1),0),$F127-1966)</f>
        <v>9002.6440000000002</v>
      </c>
      <c r="W127" s="4" cm="1">
        <f t="array" ref="W127">INDEX(GMW!$A$2:$NF$60,MATCH(1,(GMW!$NE$2:$NE$60=W$3)*(GMW!$ND$2:$ND$60=W$4)*(GMW!$NF$2:$NF$60=W$1),0),$F127-1966)</f>
        <v>760904</v>
      </c>
      <c r="X127" s="4" cm="1">
        <f t="array" ref="X127">INDEX(GMW!$A$2:$NF$60,MATCH(1,(GMW!$NE$2:$NE$60=X$3)*(GMW!$ND$2:$ND$60=X$4)*(GMW!$NF$2:$NF$60=X$1),0),$F127-1966)</f>
        <v>1308.3219999999999</v>
      </c>
      <c r="Y127" s="4" cm="1">
        <f t="array" ref="Y127">INDEX(GMW!$A$2:$NF$60,MATCH(1,(GMW!$NE$2:$NE$60=Y$3)*(GMW!$ND$2:$ND$60=Y$4)*(GMW!$NF$2:$NF$60=Y$1),0),$F127-1966)</f>
        <v>1339.3430000000001</v>
      </c>
      <c r="Z127" s="4" cm="1">
        <f t="array" ref="Z127">INDEX(GMW!$A$2:$NF$60,MATCH(1,(GMW!$NE$2:$NE$60=Z$3)*(GMW!$ND$2:$ND$60=Z$4)*(GMW!$NF$2:$NF$60=Z$1),0),$F127-1966)</f>
        <v>1575.19</v>
      </c>
      <c r="AA127" s="4" cm="1">
        <f t="array" ref="AA127">INDEX(GMW!$A$2:$NF$60,MATCH(1,(GMW!$NE$2:$NE$60=AA$3)*(GMW!$ND$2:$ND$60=AA$4)*(GMW!$NF$2:$NF$60=AA$1),0),$F127-1966)</f>
        <v>1005312</v>
      </c>
      <c r="AB127" s="4" cm="1">
        <f t="array" ref="AB127">INDEX(GMW!$A$2:$NF$60,MATCH(1,(GMW!$NE$2:$NE$60=AB$3)*(GMW!$ND$2:$ND$60=AB$4)*(GMW!$NF$2:$NF$60=AB$1),0),$F127-1966)</f>
        <v>307485</v>
      </c>
      <c r="AC127" s="4" cm="1">
        <f t="array" ref="AC127">INDEX(GMW!$A$2:$NF$60,MATCH(1,(GMW!$NE$2:$NE$60=AC$3)*(GMW!$ND$2:$ND$60=AC$4)*(GMW!$NF$2:$NF$60=AC$1),0),$F127-1966)</f>
        <v>2793.5250000000001</v>
      </c>
      <c r="AD127" s="4" cm="1">
        <f t="array" ref="AD127">INDEX(GMW!$A$2:$NF$60,MATCH(1,(GMW!$NE$2:$NE$60=AD$3)*(GMW!$ND$2:$ND$60=AD$4)*(GMW!$NF$2:$NF$60=AD$1),0),$F127-1966)</f>
        <v>130344.7</v>
      </c>
      <c r="AE127" s="4" cm="1">
        <f t="array" ref="AE127">INDEX(GMW!$A$2:$NF$60,MATCH(1,(GMW!$NE$2:$NE$60=AE$3)*(GMW!$ND$2:$ND$60=AE$4)*(GMW!$NF$2:$NF$60=AE$1),0),$F127-1966)</f>
        <v>556.12800000000004</v>
      </c>
      <c r="AF127" s="4" cm="1">
        <f t="array" ref="AF127">INDEX(GMW!$A$2:$NF$60,MATCH(1,(GMW!$NE$2:$NE$60=AF$3)*(GMW!$ND$2:$ND$60=AF$4)*(GMW!$NF$2:$NF$60=AF$1),0),$F127-1966)</f>
        <v>401.59699999999998</v>
      </c>
      <c r="AG127" s="4" cm="1">
        <f t="array" ref="AG127">INDEX(GMW!$A$2:$NF$60,MATCH(1,(GMW!$NE$2:$NE$60=AG$3)*(GMW!$ND$2:$ND$60=AG$4)*(GMW!$NF$2:$NF$60=AG$1),0),$F127-1966)</f>
        <v>345.62799999999999</v>
      </c>
      <c r="AH127" s="4" cm="1">
        <f t="array" ref="AH127">INDEX(GMW!$A$2:$NF$60,MATCH(1,(GMW!$NE$2:$NE$60=AH$3)*(GMW!$ND$2:$ND$60=AH$4)*(GMW!$NF$2:$NF$60=AH$1),0),$F127-1966)</f>
        <v>312522</v>
      </c>
    </row>
    <row r="128" spans="1:34" x14ac:dyDescent="0.25">
      <c r="B128" s="4">
        <f t="shared" si="42"/>
        <v>2003</v>
      </c>
      <c r="C128" s="4">
        <f t="shared" si="42"/>
        <v>2003</v>
      </c>
      <c r="F128" s="4">
        <f t="shared" si="38"/>
        <v>2094</v>
      </c>
      <c r="G128" s="4" cm="1">
        <f t="array" ref="G128">INDEX(GMW!$A$2:$NF$60,MATCH(1,(GMW!$NE$2:$NE$60=G$3)*(GMW!$ND$2:$ND$60=G$4)*(GMW!$NF$2:$NF$60=G$1),0),$F128-1966)</f>
        <v>481552</v>
      </c>
      <c r="H128" s="4" cm="1">
        <f t="array" ref="H128">INDEX(GMW!$A$2:$NF$60,MATCH(1,(GMW!$NE$2:$NE$60=H$3)*(GMW!$ND$2:$ND$60=H$4)*(GMW!$NF$2:$NF$60=H$1),0),$F128-1966)</f>
        <v>3685.9</v>
      </c>
      <c r="I128" s="4" cm="1">
        <f t="array" ref="I128">INDEX(GMW!$A$2:$NF$60,MATCH(1,(GMW!$NE$2:$NE$60=I$3)*(GMW!$ND$2:$ND$60=I$4)*(GMW!$NF$2:$NF$60=I$1),0),$F128-1966)</f>
        <v>122774</v>
      </c>
      <c r="J128" s="4" cm="1">
        <f t="array" ref="J128">INDEX(GMW!$A$2:$NF$60,MATCH(1,(GMW!$NE$2:$NE$60=J$3)*(GMW!$ND$2:$ND$60=J$4)*(GMW!$NF$2:$NF$60=J$1),0),$F128-1966)</f>
        <v>710.57</v>
      </c>
      <c r="K128" s="4" cm="1">
        <f t="array" ref="K128">INDEX(GMW!$A$2:$NF$60,MATCH(1,(GMW!$NE$2:$NE$60=K$3)*(GMW!$ND$2:$ND$60=K$4)*(GMW!$NF$2:$NF$60=K$1),0),$F128-1966)</f>
        <v>502.81700000000001</v>
      </c>
      <c r="L128" s="4" cm="1">
        <f t="array" ref="L128">INDEX(GMW!$A$2:$NF$60,MATCH(1,(GMW!$NE$2:$NE$60=L$3)*(GMW!$ND$2:$ND$60=L$4)*(GMW!$NF$2:$NF$60=L$1),0),$F128-1966)</f>
        <v>452.18200000000002</v>
      </c>
      <c r="M128" s="4" cm="1">
        <f t="array" ref="M128">INDEX(GMW!$A$2:$NF$60,MATCH(1,(GMW!$NE$2:$NE$60=M$3)*(GMW!$ND$2:$ND$60=M$4)*(GMW!$NF$2:$NF$60=M$1),0),$F128-1966)</f>
        <v>408772.3</v>
      </c>
      <c r="N128" s="4" cm="1">
        <f t="array" ref="N128">INDEX(GMW!$A$2:$NF$60,MATCH(1,(GMW!$NE$2:$NE$60=N$3)*(GMW!$ND$2:$ND$60=N$4)*(GMW!$NF$2:$NF$60=N$1),0),$F128-1966)</f>
        <v>-13802</v>
      </c>
      <c r="O128" s="4" cm="1">
        <f t="array" ref="O128">INDEX(GMW!$A$2:$NF$60,MATCH(1,(GMW!$NE$2:$NE$60=O$3)*(GMW!$ND$2:$ND$60=O$4)*(GMW!$NF$2:$NF$60=O$1),0),$F128-1966)</f>
        <v>-183.84399999999999</v>
      </c>
      <c r="P128" s="4" cm="1">
        <f t="array" ref="P128">INDEX(GMW!$A$2:$NF$60,MATCH(1,(GMW!$NE$2:$NE$60=P$3)*(GMW!$ND$2:$ND$60=P$4)*(GMW!$NF$2:$NF$60=P$1),0),$F128-1966)</f>
        <v>-10630.75</v>
      </c>
      <c r="Q128" s="4" cm="1">
        <f t="array" ref="Q128">INDEX(GMW!$A$2:$NF$60,MATCH(1,(GMW!$NE$2:$NE$60=Q$3)*(GMW!$ND$2:$ND$60=Q$4)*(GMW!$NF$2:$NF$60=Q$1),0),$F128-1966)</f>
        <v>-23.687000000000001</v>
      </c>
      <c r="R128" s="4" cm="1">
        <f t="array" ref="R128">INDEX(GMW!$A$2:$NF$60,MATCH(1,(GMW!$NE$2:$NE$60=R$3)*(GMW!$ND$2:$ND$60=R$4)*(GMW!$NF$2:$NF$60=R$1),0),$F128-1966)</f>
        <v>-16.094000000000001</v>
      </c>
      <c r="S128" s="4" cm="1">
        <f t="array" ref="S128">INDEX(GMW!$A$2:$NF$60,MATCH(1,(GMW!$NE$2:$NE$60=S$3)*(GMW!$ND$2:$ND$60=S$4)*(GMW!$NF$2:$NF$60=S$1),0),$F128-1966)</f>
        <v>-11.129810000000001</v>
      </c>
      <c r="T128" s="4" cm="1">
        <f t="array" ref="T128">INDEX(GMW!$A$2:$NF$60,MATCH(1,(GMW!$NE$2:$NE$60=T$3)*(GMW!$ND$2:$ND$60=T$4)*(GMW!$NF$2:$NF$60=T$1),0),$F128-1966)</f>
        <v>-1544</v>
      </c>
      <c r="U128" s="4" cm="1">
        <f t="array" ref="U128">INDEX(GMW!$A$2:$NF$60,MATCH(1,(GMW!$NE$2:$NE$60=U$3)*(GMW!$ND$2:$ND$60=U$4)*(GMW!$NF$2:$NF$60=U$1),0),$F128-1966)</f>
        <v>433154</v>
      </c>
      <c r="V128" s="4" cm="1">
        <f t="array" ref="V128">INDEX(GMW!$A$2:$NF$60,MATCH(1,(GMW!$NE$2:$NE$60=V$3)*(GMW!$ND$2:$ND$60=V$4)*(GMW!$NF$2:$NF$60=V$1),0),$F128-1966)</f>
        <v>9169.6139999999996</v>
      </c>
      <c r="W128" s="4" cm="1">
        <f t="array" ref="W128">INDEX(GMW!$A$2:$NF$60,MATCH(1,(GMW!$NE$2:$NE$60=W$3)*(GMW!$ND$2:$ND$60=W$4)*(GMW!$NF$2:$NF$60=W$1),0),$F128-1966)</f>
        <v>770791</v>
      </c>
      <c r="X128" s="4" cm="1">
        <f t="array" ref="X128">INDEX(GMW!$A$2:$NF$60,MATCH(1,(GMW!$NE$2:$NE$60=X$3)*(GMW!$ND$2:$ND$60=X$4)*(GMW!$NF$2:$NF$60=X$1),0),$F128-1966)</f>
        <v>1328.8140000000001</v>
      </c>
      <c r="Y128" s="4" cm="1">
        <f t="array" ref="Y128">INDEX(GMW!$A$2:$NF$60,MATCH(1,(GMW!$NE$2:$NE$60=Y$3)*(GMW!$ND$2:$ND$60=Y$4)*(GMW!$NF$2:$NF$60=Y$1),0),$F128-1966)</f>
        <v>1401.7070000000001</v>
      </c>
      <c r="Z128" s="4" cm="1">
        <f t="array" ref="Z128">INDEX(GMW!$A$2:$NF$60,MATCH(1,(GMW!$NE$2:$NE$60=Z$3)*(GMW!$ND$2:$ND$60=Z$4)*(GMW!$NF$2:$NF$60=Z$1),0),$F128-1966)</f>
        <v>1580.1759999999999</v>
      </c>
      <c r="AA128" s="4" cm="1">
        <f t="array" ref="AA128">INDEX(GMW!$A$2:$NF$60,MATCH(1,(GMW!$NE$2:$NE$60=AA$3)*(GMW!$ND$2:$ND$60=AA$4)*(GMW!$NF$2:$NF$60=AA$1),0),$F128-1966)</f>
        <v>1014022</v>
      </c>
      <c r="AB128" s="4" cm="1">
        <f t="array" ref="AB128">INDEX(GMW!$A$2:$NF$60,MATCH(1,(GMW!$NE$2:$NE$60=AB$3)*(GMW!$ND$2:$ND$60=AB$4)*(GMW!$NF$2:$NF$60=AB$1),0),$F128-1966)</f>
        <v>312948</v>
      </c>
      <c r="AC128" s="4" cm="1">
        <f t="array" ref="AC128">INDEX(GMW!$A$2:$NF$60,MATCH(1,(GMW!$NE$2:$NE$60=AC$3)*(GMW!$ND$2:$ND$60=AC$4)*(GMW!$NF$2:$NF$60=AC$1),0),$F128-1966)</f>
        <v>2828.2</v>
      </c>
      <c r="AD128" s="4" cm="1">
        <f t="array" ref="AD128">INDEX(GMW!$A$2:$NF$60,MATCH(1,(GMW!$NE$2:$NE$60=AD$3)*(GMW!$ND$2:$ND$60=AD$4)*(GMW!$NF$2:$NF$60=AD$1),0),$F128-1966)</f>
        <v>131128.29999999999</v>
      </c>
      <c r="AE128" s="4" cm="1">
        <f t="array" ref="AE128">INDEX(GMW!$A$2:$NF$60,MATCH(1,(GMW!$NE$2:$NE$60=AE$3)*(GMW!$ND$2:$ND$60=AE$4)*(GMW!$NF$2:$NF$60=AE$1),0),$F128-1966)</f>
        <v>557.30499999999995</v>
      </c>
      <c r="AF128" s="4" cm="1">
        <f t="array" ref="AF128">INDEX(GMW!$A$2:$NF$60,MATCH(1,(GMW!$NE$2:$NE$60=AF$3)*(GMW!$ND$2:$ND$60=AF$4)*(GMW!$NF$2:$NF$60=AF$1),0),$F128-1966)</f>
        <v>402.15600000000001</v>
      </c>
      <c r="AG128" s="4" cm="1">
        <f t="array" ref="AG128">INDEX(GMW!$A$2:$NF$60,MATCH(1,(GMW!$NE$2:$NE$60=AG$3)*(GMW!$ND$2:$ND$60=AG$4)*(GMW!$NF$2:$NF$60=AG$1),0),$F128-1966)</f>
        <v>348.15499999999997</v>
      </c>
      <c r="AH128" s="4" cm="1">
        <f t="array" ref="AH128">INDEX(GMW!$A$2:$NF$60,MATCH(1,(GMW!$NE$2:$NE$60=AH$3)*(GMW!$ND$2:$ND$60=AH$4)*(GMW!$NF$2:$NF$60=AH$1),0),$F128-1966)</f>
        <v>309430</v>
      </c>
    </row>
    <row r="129" spans="1:34" x14ac:dyDescent="0.25">
      <c r="B129" s="4">
        <f t="shared" si="42"/>
        <v>2003</v>
      </c>
      <c r="C129" s="4">
        <f t="shared" si="42"/>
        <v>2003</v>
      </c>
      <c r="F129" s="4">
        <f t="shared" si="38"/>
        <v>2095</v>
      </c>
      <c r="G129" s="4" cm="1">
        <f t="array" ref="G129">INDEX(GMW!$A$2:$NF$60,MATCH(1,(GMW!$NE$2:$NE$60=G$3)*(GMW!$ND$2:$ND$60=G$4)*(GMW!$NF$2:$NF$60=G$1),0),$F129-1966)</f>
        <v>485973</v>
      </c>
      <c r="H129" s="4" cm="1">
        <f t="array" ref="H129">INDEX(GMW!$A$2:$NF$60,MATCH(1,(GMW!$NE$2:$NE$60=H$3)*(GMW!$ND$2:$ND$60=H$4)*(GMW!$NF$2:$NF$60=H$1),0),$F129-1966)</f>
        <v>3747.2</v>
      </c>
      <c r="I129" s="4" cm="1">
        <f t="array" ref="I129">INDEX(GMW!$A$2:$NF$60,MATCH(1,(GMW!$NE$2:$NE$60=I$3)*(GMW!$ND$2:$ND$60=I$4)*(GMW!$NF$2:$NF$60=I$1),0),$F129-1966)</f>
        <v>123157.5</v>
      </c>
      <c r="J129" s="4" cm="1">
        <f t="array" ref="J129">INDEX(GMW!$A$2:$NF$60,MATCH(1,(GMW!$NE$2:$NE$60=J$3)*(GMW!$ND$2:$ND$60=J$4)*(GMW!$NF$2:$NF$60=J$1),0),$F129-1966)</f>
        <v>717.04</v>
      </c>
      <c r="K129" s="4" cm="1">
        <f t="array" ref="K129">INDEX(GMW!$A$2:$NF$60,MATCH(1,(GMW!$NE$2:$NE$60=K$3)*(GMW!$ND$2:$ND$60=K$4)*(GMW!$NF$2:$NF$60=K$1),0),$F129-1966)</f>
        <v>508.23599999999999</v>
      </c>
      <c r="L129" s="4" cm="1">
        <f t="array" ref="L129">INDEX(GMW!$A$2:$NF$60,MATCH(1,(GMW!$NE$2:$NE$60=L$3)*(GMW!$ND$2:$ND$60=L$4)*(GMW!$NF$2:$NF$60=L$1),0),$F129-1966)</f>
        <v>451.07499999999999</v>
      </c>
      <c r="M129" s="4" cm="1">
        <f t="array" ref="M129">INDEX(GMW!$A$2:$NF$60,MATCH(1,(GMW!$NE$2:$NE$60=M$3)*(GMW!$ND$2:$ND$60=M$4)*(GMW!$NF$2:$NF$60=M$1),0),$F129-1966)</f>
        <v>410300.5</v>
      </c>
      <c r="N129" s="4" cm="1">
        <f t="array" ref="N129">INDEX(GMW!$A$2:$NF$60,MATCH(1,(GMW!$NE$2:$NE$60=N$3)*(GMW!$ND$2:$ND$60=N$4)*(GMW!$NF$2:$NF$60=N$1),0),$F129-1966)</f>
        <v>-11795</v>
      </c>
      <c r="O129" s="4" cm="1">
        <f t="array" ref="O129">INDEX(GMW!$A$2:$NF$60,MATCH(1,(GMW!$NE$2:$NE$60=O$3)*(GMW!$ND$2:$ND$60=O$4)*(GMW!$NF$2:$NF$60=O$1),0),$F129-1966)</f>
        <v>-198.2697</v>
      </c>
      <c r="P129" s="4" cm="1">
        <f t="array" ref="P129">INDEX(GMW!$A$2:$NF$60,MATCH(1,(GMW!$NE$2:$NE$60=P$3)*(GMW!$ND$2:$ND$60=P$4)*(GMW!$NF$2:$NF$60=P$1),0),$F129-1966)</f>
        <v>-9497.7510000000002</v>
      </c>
      <c r="Q129" s="4" cm="1">
        <f t="array" ref="Q129">INDEX(GMW!$A$2:$NF$60,MATCH(1,(GMW!$NE$2:$NE$60=Q$3)*(GMW!$ND$2:$ND$60=Q$4)*(GMW!$NF$2:$NF$60=Q$1),0),$F129-1966)</f>
        <v>-24.576000000000001</v>
      </c>
      <c r="R129" s="4" cm="1">
        <f t="array" ref="R129">INDEX(GMW!$A$2:$NF$60,MATCH(1,(GMW!$NE$2:$NE$60=R$3)*(GMW!$ND$2:$ND$60=R$4)*(GMW!$NF$2:$NF$60=R$1),0),$F129-1966)</f>
        <v>-17.065999999999999</v>
      </c>
      <c r="S129" s="4" cm="1">
        <f t="array" ref="S129">INDEX(GMW!$A$2:$NF$60,MATCH(1,(GMW!$NE$2:$NE$60=S$3)*(GMW!$ND$2:$ND$60=S$4)*(GMW!$NF$2:$NF$60=S$1),0),$F129-1966)</f>
        <v>-11.48612</v>
      </c>
      <c r="T129" s="4" cm="1">
        <f t="array" ref="T129">INDEX(GMW!$A$2:$NF$60,MATCH(1,(GMW!$NE$2:$NE$60=T$3)*(GMW!$ND$2:$ND$60=T$4)*(GMW!$NF$2:$NF$60=T$1),0),$F129-1966)</f>
        <v>2179</v>
      </c>
      <c r="U129" s="4" cm="1">
        <f t="array" ref="U129">INDEX(GMW!$A$2:$NF$60,MATCH(1,(GMW!$NE$2:$NE$60=U$3)*(GMW!$ND$2:$ND$60=U$4)*(GMW!$NF$2:$NF$60=U$1),0),$F129-1966)</f>
        <v>445427</v>
      </c>
      <c r="V129" s="4" cm="1">
        <f t="array" ref="V129">INDEX(GMW!$A$2:$NF$60,MATCH(1,(GMW!$NE$2:$NE$60=V$3)*(GMW!$ND$2:$ND$60=V$4)*(GMW!$NF$2:$NF$60=V$1),0),$F129-1966)</f>
        <v>9318.6080000000002</v>
      </c>
      <c r="W129" s="4" cm="1">
        <f t="array" ref="W129">INDEX(GMW!$A$2:$NF$60,MATCH(1,(GMW!$NE$2:$NE$60=W$3)*(GMW!$ND$2:$ND$60=W$4)*(GMW!$NF$2:$NF$60=W$1),0),$F129-1966)</f>
        <v>780677</v>
      </c>
      <c r="X129" s="4" cm="1">
        <f t="array" ref="X129">INDEX(GMW!$A$2:$NF$60,MATCH(1,(GMW!$NE$2:$NE$60=X$3)*(GMW!$ND$2:$ND$60=X$4)*(GMW!$NF$2:$NF$60=X$1),0),$F129-1966)</f>
        <v>1347.588</v>
      </c>
      <c r="Y129" s="4" cm="1">
        <f t="array" ref="Y129">INDEX(GMW!$A$2:$NF$60,MATCH(1,(GMW!$NE$2:$NE$60=Y$3)*(GMW!$ND$2:$ND$60=Y$4)*(GMW!$NF$2:$NF$60=Y$1),0),$F129-1966)</f>
        <v>1403.684</v>
      </c>
      <c r="Z129" s="4" cm="1">
        <f t="array" ref="Z129">INDEX(GMW!$A$2:$NF$60,MATCH(1,(GMW!$NE$2:$NE$60=Z$3)*(GMW!$ND$2:$ND$60=Z$4)*(GMW!$NF$2:$NF$60=Z$1),0),$F129-1966)</f>
        <v>1585.162</v>
      </c>
      <c r="AA129" s="4" cm="1">
        <f t="array" ref="AA129">INDEX(GMW!$A$2:$NF$60,MATCH(1,(GMW!$NE$2:$NE$60=AA$3)*(GMW!$ND$2:$ND$60=AA$4)*(GMW!$NF$2:$NF$60=AA$1),0),$F129-1966)</f>
        <v>1001242</v>
      </c>
      <c r="AB129" s="4" cm="1">
        <f t="array" ref="AB129">INDEX(GMW!$A$2:$NF$60,MATCH(1,(GMW!$NE$2:$NE$60=AB$3)*(GMW!$ND$2:$ND$60=AB$4)*(GMW!$NF$2:$NF$60=AB$1),0),$F129-1966)</f>
        <v>317463</v>
      </c>
      <c r="AC129" s="4" cm="1">
        <f t="array" ref="AC129">INDEX(GMW!$A$2:$NF$60,MATCH(1,(GMW!$NE$2:$NE$60=AC$3)*(GMW!$ND$2:$ND$60=AC$4)*(GMW!$NF$2:$NF$60=AC$1),0),$F129-1966)</f>
        <v>2891.6750000000002</v>
      </c>
      <c r="AD129" s="4" cm="1">
        <f t="array" ref="AD129">INDEX(GMW!$A$2:$NF$60,MATCH(1,(GMW!$NE$2:$NE$60=AD$3)*(GMW!$ND$2:$ND$60=AD$4)*(GMW!$NF$2:$NF$60=AD$1),0),$F129-1966)</f>
        <v>131095.79999999999</v>
      </c>
      <c r="AE129" s="4" cm="1">
        <f t="array" ref="AE129">INDEX(GMW!$A$2:$NF$60,MATCH(1,(GMW!$NE$2:$NE$60=AE$3)*(GMW!$ND$2:$ND$60=AE$4)*(GMW!$NF$2:$NF$60=AE$1),0),$F129-1966)</f>
        <v>564.82299999999998</v>
      </c>
      <c r="AF129" s="4" cm="1">
        <f t="array" ref="AF129">INDEX(GMW!$A$2:$NF$60,MATCH(1,(GMW!$NE$2:$NE$60=AF$3)*(GMW!$ND$2:$ND$60=AF$4)*(GMW!$NF$2:$NF$60=AF$1),0),$F129-1966)</f>
        <v>408.947</v>
      </c>
      <c r="AG129" s="4" cm="1">
        <f t="array" ref="AG129">INDEX(GMW!$A$2:$NF$60,MATCH(1,(GMW!$NE$2:$NE$60=AG$3)*(GMW!$ND$2:$ND$60=AG$4)*(GMW!$NF$2:$NF$60=AG$1),0),$F129-1966)</f>
        <v>352.048</v>
      </c>
      <c r="AH129" s="4" cm="1">
        <f t="array" ref="AH129">INDEX(GMW!$A$2:$NF$60,MATCH(1,(GMW!$NE$2:$NE$60=AH$3)*(GMW!$ND$2:$ND$60=AH$4)*(GMW!$NF$2:$NF$60=AH$1),0),$F129-1966)</f>
        <v>314574</v>
      </c>
    </row>
    <row r="130" spans="1:34" x14ac:dyDescent="0.25">
      <c r="B130" s="4">
        <f t="shared" si="42"/>
        <v>2003</v>
      </c>
      <c r="C130" s="4">
        <f t="shared" si="42"/>
        <v>2003</v>
      </c>
      <c r="E130" s="4">
        <f t="shared" ref="E130" si="44">+E126+1</f>
        <v>2003</v>
      </c>
      <c r="F130" s="4">
        <f t="shared" si="38"/>
        <v>2096</v>
      </c>
      <c r="G130" s="4" cm="1">
        <f t="array" ref="G130">INDEX(GMW!$A$2:$NF$60,MATCH(1,(GMW!$NE$2:$NE$60=G$3)*(GMW!$ND$2:$ND$60=G$4)*(GMW!$NF$2:$NF$60=G$1),0),$F130-1966)</f>
        <v>490059</v>
      </c>
      <c r="H130" s="4" cm="1">
        <f t="array" ref="H130">INDEX(GMW!$A$2:$NF$60,MATCH(1,(GMW!$NE$2:$NE$60=H$3)*(GMW!$ND$2:$ND$60=H$4)*(GMW!$NF$2:$NF$60=H$1),0),$F130-1966)</f>
        <v>3790.7</v>
      </c>
      <c r="I130" s="4" cm="1">
        <f t="array" ref="I130">INDEX(GMW!$A$2:$NF$60,MATCH(1,(GMW!$NE$2:$NE$60=I$3)*(GMW!$ND$2:$ND$60=I$4)*(GMW!$NF$2:$NF$60=I$1),0),$F130-1966)</f>
        <v>124497</v>
      </c>
      <c r="J130" s="4" cm="1">
        <f t="array" ref="J130">INDEX(GMW!$A$2:$NF$60,MATCH(1,(GMW!$NE$2:$NE$60=J$3)*(GMW!$ND$2:$ND$60=J$4)*(GMW!$NF$2:$NF$60=J$1),0),$F130-1966)</f>
        <v>717.9</v>
      </c>
      <c r="K130" s="4" cm="1">
        <f t="array" ref="K130">INDEX(GMW!$A$2:$NF$60,MATCH(1,(GMW!$NE$2:$NE$60=K$3)*(GMW!$ND$2:$ND$60=K$4)*(GMW!$NF$2:$NF$60=K$1),0),$F130-1966)</f>
        <v>510.00799999999998</v>
      </c>
      <c r="L130" s="4" cm="1">
        <f t="array" ref="L130">INDEX(GMW!$A$2:$NF$60,MATCH(1,(GMW!$NE$2:$NE$60=L$3)*(GMW!$ND$2:$ND$60=L$4)*(GMW!$NF$2:$NF$60=L$1),0),$F130-1966)</f>
        <v>455.31400000000002</v>
      </c>
      <c r="M130" s="4" cm="1">
        <f t="array" ref="M130">INDEX(GMW!$A$2:$NF$60,MATCH(1,(GMW!$NE$2:$NE$60=M$3)*(GMW!$ND$2:$ND$60=M$4)*(GMW!$NF$2:$NF$60=M$1),0),$F130-1966)</f>
        <v>413121</v>
      </c>
      <c r="N130" s="4" cm="1">
        <f t="array" ref="N130">INDEX(GMW!$A$2:$NF$60,MATCH(1,(GMW!$NE$2:$NE$60=N$3)*(GMW!$ND$2:$ND$60=N$4)*(GMW!$NF$2:$NF$60=N$1),0),$F130-1966)</f>
        <v>-15068</v>
      </c>
      <c r="O130" s="4" cm="1">
        <f t="array" ref="O130">INDEX(GMW!$A$2:$NF$60,MATCH(1,(GMW!$NE$2:$NE$60=O$3)*(GMW!$ND$2:$ND$60=O$4)*(GMW!$NF$2:$NF$60=O$1),0),$F130-1966)</f>
        <v>-176.48179999999999</v>
      </c>
      <c r="P130" s="4" cm="1">
        <f t="array" ref="P130">INDEX(GMW!$A$2:$NF$60,MATCH(1,(GMW!$NE$2:$NE$60=P$3)*(GMW!$ND$2:$ND$60=P$4)*(GMW!$NF$2:$NF$60=P$1),0),$F130-1966)</f>
        <v>-8172</v>
      </c>
      <c r="Q130" s="4" cm="1">
        <f t="array" ref="Q130">INDEX(GMW!$A$2:$NF$60,MATCH(1,(GMW!$NE$2:$NE$60=Q$3)*(GMW!$ND$2:$ND$60=Q$4)*(GMW!$NF$2:$NF$60=Q$1),0),$F130-1966)</f>
        <v>-14.728</v>
      </c>
      <c r="R130" s="4" cm="1">
        <f t="array" ref="R130">INDEX(GMW!$A$2:$NF$60,MATCH(1,(GMW!$NE$2:$NE$60=R$3)*(GMW!$ND$2:$ND$60=R$4)*(GMW!$NF$2:$NF$60=R$1),0),$F130-1966)</f>
        <v>-16.728000000000002</v>
      </c>
      <c r="S130" s="4" cm="1">
        <f t="array" ref="S130">INDEX(GMW!$A$2:$NF$60,MATCH(1,(GMW!$NE$2:$NE$60=S$3)*(GMW!$ND$2:$ND$60=S$4)*(GMW!$NF$2:$NF$60=S$1),0),$F130-1966)</f>
        <v>-11.8</v>
      </c>
      <c r="T130" s="4" cm="1">
        <f t="array" ref="T130">INDEX(GMW!$A$2:$NF$60,MATCH(1,(GMW!$NE$2:$NE$60=T$3)*(GMW!$ND$2:$ND$60=T$4)*(GMW!$NF$2:$NF$60=T$1),0),$F130-1966)</f>
        <v>2604</v>
      </c>
      <c r="U130" s="4" cm="1">
        <f t="array" ref="U130">INDEX(GMW!$A$2:$NF$60,MATCH(1,(GMW!$NE$2:$NE$60=U$3)*(GMW!$ND$2:$ND$60=U$4)*(GMW!$NF$2:$NF$60=U$1),0),$F130-1966)</f>
        <v>462610</v>
      </c>
      <c r="V130" s="4" cm="1">
        <f t="array" ref="V130">INDEX(GMW!$A$2:$NF$60,MATCH(1,(GMW!$NE$2:$NE$60=V$3)*(GMW!$ND$2:$ND$60=V$4)*(GMW!$NF$2:$NF$60=V$1),0),$F130-1966)</f>
        <v>9416.8340000000007</v>
      </c>
      <c r="W130" s="4" cm="1">
        <f t="array" ref="W130">INDEX(GMW!$A$2:$NF$60,MATCH(1,(GMW!$NE$2:$NE$60=W$3)*(GMW!$ND$2:$ND$60=W$4)*(GMW!$NF$2:$NF$60=W$1),0),$F130-1966)</f>
        <v>790564</v>
      </c>
      <c r="X130" s="4" cm="1">
        <f t="array" ref="X130">INDEX(GMW!$A$2:$NF$60,MATCH(1,(GMW!$NE$2:$NE$60=X$3)*(GMW!$ND$2:$ND$60=X$4)*(GMW!$NF$2:$NF$60=X$1),0),$F130-1966)</f>
        <v>1364.643</v>
      </c>
      <c r="Y130" s="4" cm="1">
        <f t="array" ref="Y130">INDEX(GMW!$A$2:$NF$60,MATCH(1,(GMW!$NE$2:$NE$60=Y$3)*(GMW!$ND$2:$ND$60=Y$4)*(GMW!$NF$2:$NF$60=Y$1),0),$F130-1966)</f>
        <v>1380.8119999999999</v>
      </c>
      <c r="Z130" s="4" cm="1">
        <f t="array" ref="Z130">INDEX(GMW!$A$2:$NF$60,MATCH(1,(GMW!$NE$2:$NE$60=Z$3)*(GMW!$ND$2:$ND$60=Z$4)*(GMW!$NF$2:$NF$60=Z$1),0),$F130-1966)</f>
        <v>1590.1479999999999</v>
      </c>
      <c r="AA130" s="4" cm="1">
        <f t="array" ref="AA130">INDEX(GMW!$A$2:$NF$60,MATCH(1,(GMW!$NE$2:$NE$60=AA$3)*(GMW!$ND$2:$ND$60=AA$4)*(GMW!$NF$2:$NF$60=AA$1),0),$F130-1966)</f>
        <v>1010686</v>
      </c>
      <c r="AB130" s="4" cm="1">
        <f t="array" ref="AB130">INDEX(GMW!$A$2:$NF$60,MATCH(1,(GMW!$NE$2:$NE$60=AB$3)*(GMW!$ND$2:$ND$60=AB$4)*(GMW!$NF$2:$NF$60=AB$1),0),$F130-1966)</f>
        <v>320438</v>
      </c>
      <c r="AC130" s="4" cm="1">
        <f t="array" ref="AC130">INDEX(GMW!$A$2:$NF$60,MATCH(1,(GMW!$NE$2:$NE$60=AC$3)*(GMW!$ND$2:$ND$60=AC$4)*(GMW!$NF$2:$NF$60=AC$1),0),$F130-1966)</f>
        <v>2943.05</v>
      </c>
      <c r="AD130" s="4" cm="1">
        <f t="array" ref="AD130">INDEX(GMW!$A$2:$NF$60,MATCH(1,(GMW!$NE$2:$NE$60=AD$3)*(GMW!$ND$2:$ND$60=AD$4)*(GMW!$NF$2:$NF$60=AD$1),0),$F130-1966)</f>
        <v>131600</v>
      </c>
      <c r="AE130" s="4" cm="1">
        <f t="array" ref="AE130">INDEX(GMW!$A$2:$NF$60,MATCH(1,(GMW!$NE$2:$NE$60=AE$3)*(GMW!$ND$2:$ND$60=AE$4)*(GMW!$NF$2:$NF$60=AE$1),0),$F130-1966)</f>
        <v>565.99599999999998</v>
      </c>
      <c r="AF130" s="4" cm="1">
        <f t="array" ref="AF130">INDEX(GMW!$A$2:$NF$60,MATCH(1,(GMW!$NE$2:$NE$60=AF$3)*(GMW!$ND$2:$ND$60=AF$4)*(GMW!$NF$2:$NF$60=AF$1),0),$F130-1966)</f>
        <v>412.07799999999997</v>
      </c>
      <c r="AG130" s="4" cm="1">
        <f t="array" ref="AG130">INDEX(GMW!$A$2:$NF$60,MATCH(1,(GMW!$NE$2:$NE$60=AG$3)*(GMW!$ND$2:$ND$60=AG$4)*(GMW!$NF$2:$NF$60=AG$1),0),$F130-1966)</f>
        <v>353.37</v>
      </c>
      <c r="AH130" s="4" cm="1">
        <f t="array" ref="AH130">INDEX(GMW!$A$2:$NF$60,MATCH(1,(GMW!$NE$2:$NE$60=AH$3)*(GMW!$ND$2:$ND$60=AH$4)*(GMW!$NF$2:$NF$60=AH$1),0),$F130-1966)</f>
        <v>318221</v>
      </c>
    </row>
    <row r="131" spans="1:34" x14ac:dyDescent="0.25">
      <c r="A131" s="4">
        <v>2004</v>
      </c>
      <c r="B131" s="4">
        <f t="shared" si="42"/>
        <v>2004</v>
      </c>
      <c r="C131" s="4">
        <f t="shared" si="42"/>
        <v>2003</v>
      </c>
      <c r="D131" s="4">
        <f t="shared" si="42"/>
        <v>2003</v>
      </c>
      <c r="F131" s="4">
        <f t="shared" si="38"/>
        <v>2097</v>
      </c>
      <c r="G131" s="4" cm="1">
        <f t="array" ref="G131">INDEX(GMW!$A$2:$NF$60,MATCH(1,(GMW!$NE$2:$NE$60=G$3)*(GMW!$ND$2:$ND$60=G$4)*(GMW!$NF$2:$NF$60=G$1),0),$F131-1966)</f>
        <v>492014</v>
      </c>
      <c r="H131" s="4" cm="1">
        <f t="array" ref="H131">INDEX(GMW!$A$2:$NF$60,MATCH(1,(GMW!$NE$2:$NE$60=H$3)*(GMW!$ND$2:$ND$60=H$4)*(GMW!$NF$2:$NF$60=H$1),0),$F131-1966)</f>
        <v>3812.1750000000002</v>
      </c>
      <c r="I131" s="4" cm="1">
        <f t="array" ref="I131">INDEX(GMW!$A$2:$NF$60,MATCH(1,(GMW!$NE$2:$NE$60=I$3)*(GMW!$ND$2:$ND$60=I$4)*(GMW!$NF$2:$NF$60=I$1),0),$F131-1966)</f>
        <v>125445.5</v>
      </c>
      <c r="J131" s="4" cm="1">
        <f t="array" ref="J131">INDEX(GMW!$A$2:$NF$60,MATCH(1,(GMW!$NE$2:$NE$60=J$3)*(GMW!$ND$2:$ND$60=J$4)*(GMW!$NF$2:$NF$60=J$1),0),$F131-1966)</f>
        <v>716.8</v>
      </c>
      <c r="K131" s="4" cm="1">
        <f t="array" ref="K131">INDEX(GMW!$A$2:$NF$60,MATCH(1,(GMW!$NE$2:$NE$60=K$3)*(GMW!$ND$2:$ND$60=K$4)*(GMW!$NF$2:$NF$60=K$1),0),$F131-1966)</f>
        <v>515.56200000000001</v>
      </c>
      <c r="L131" s="4" cm="1">
        <f t="array" ref="L131">INDEX(GMW!$A$2:$NF$60,MATCH(1,(GMW!$NE$2:$NE$60=L$3)*(GMW!$ND$2:$ND$60=L$4)*(GMW!$NF$2:$NF$60=L$1),0),$F131-1966)</f>
        <v>457.21499999999997</v>
      </c>
      <c r="M131" s="4" cm="1">
        <f t="array" ref="M131">INDEX(GMW!$A$2:$NF$60,MATCH(1,(GMW!$NE$2:$NE$60=M$3)*(GMW!$ND$2:$ND$60=M$4)*(GMW!$NF$2:$NF$60=M$1),0),$F131-1966)</f>
        <v>416125</v>
      </c>
      <c r="N131" s="4" cm="1">
        <f t="array" ref="N131">INDEX(GMW!$A$2:$NF$60,MATCH(1,(GMW!$NE$2:$NE$60=N$3)*(GMW!$ND$2:$ND$60=N$4)*(GMW!$NF$2:$NF$60=N$1),0),$F131-1966)</f>
        <v>-3278</v>
      </c>
      <c r="O131" s="4" cm="1">
        <f t="array" ref="O131">INDEX(GMW!$A$2:$NF$60,MATCH(1,(GMW!$NE$2:$NE$60=O$3)*(GMW!$ND$2:$ND$60=O$4)*(GMW!$NF$2:$NF$60=O$1),0),$F131-1966)</f>
        <v>-184.8245</v>
      </c>
      <c r="P131" s="4" cm="1">
        <f t="array" ref="P131">INDEX(GMW!$A$2:$NF$60,MATCH(1,(GMW!$NE$2:$NE$60=P$3)*(GMW!$ND$2:$ND$60=P$4)*(GMW!$NF$2:$NF$60=P$1),0),$F131-1966)</f>
        <v>-7219.25</v>
      </c>
      <c r="Q131" s="4" cm="1">
        <f t="array" ref="Q131">INDEX(GMW!$A$2:$NF$60,MATCH(1,(GMW!$NE$2:$NE$60=Q$3)*(GMW!$ND$2:$ND$60=Q$4)*(GMW!$NF$2:$NF$60=Q$1),0),$F131-1966)</f>
        <v>-24.465</v>
      </c>
      <c r="R131" s="4" cm="1">
        <f t="array" ref="R131">INDEX(GMW!$A$2:$NF$60,MATCH(1,(GMW!$NE$2:$NE$60=R$3)*(GMW!$ND$2:$ND$60=R$4)*(GMW!$NF$2:$NF$60=R$1),0),$F131-1966)</f>
        <v>-15.542999999999999</v>
      </c>
      <c r="S131" s="4" cm="1">
        <f t="array" ref="S131">INDEX(GMW!$A$2:$NF$60,MATCH(1,(GMW!$NE$2:$NE$60=S$3)*(GMW!$ND$2:$ND$60=S$4)*(GMW!$NF$2:$NF$60=S$1),0),$F131-1966)</f>
        <v>-11.993539999999999</v>
      </c>
      <c r="T131" s="4" cm="1">
        <f t="array" ref="T131">INDEX(GMW!$A$2:$NF$60,MATCH(1,(GMW!$NE$2:$NE$60=T$3)*(GMW!$ND$2:$ND$60=T$4)*(GMW!$NF$2:$NF$60=T$1),0),$F131-1966)</f>
        <v>3503</v>
      </c>
      <c r="U131" s="4" cm="1">
        <f t="array" ref="U131">INDEX(GMW!$A$2:$NF$60,MATCH(1,(GMW!$NE$2:$NE$60=U$3)*(GMW!$ND$2:$ND$60=U$4)*(GMW!$NF$2:$NF$60=U$1),0),$F131-1966)</f>
        <v>467675</v>
      </c>
      <c r="V131" s="4" cm="1">
        <f t="array" ref="V131">INDEX(GMW!$A$2:$NF$60,MATCH(1,(GMW!$NE$2:$NE$60=V$3)*(GMW!$ND$2:$ND$60=V$4)*(GMW!$NF$2:$NF$60=V$1),0),$F131-1966)</f>
        <v>10406.32</v>
      </c>
      <c r="W131" s="4" cm="1">
        <f t="array" ref="W131">INDEX(GMW!$A$2:$NF$60,MATCH(1,(GMW!$NE$2:$NE$60=W$3)*(GMW!$ND$2:$ND$60=W$4)*(GMW!$NF$2:$NF$60=W$1),0),$F131-1966)</f>
        <v>797451</v>
      </c>
      <c r="X131" s="4" cm="1">
        <f t="array" ref="X131">INDEX(GMW!$A$2:$NF$60,MATCH(1,(GMW!$NE$2:$NE$60=X$3)*(GMW!$ND$2:$ND$60=X$4)*(GMW!$NF$2:$NF$60=X$1),0),$F131-1966)</f>
        <v>1382.6690000000001</v>
      </c>
      <c r="Y131" s="4" cm="1">
        <f t="array" ref="Y131">INDEX(GMW!$A$2:$NF$60,MATCH(1,(GMW!$NE$2:$NE$60=Y$3)*(GMW!$ND$2:$ND$60=Y$4)*(GMW!$NF$2:$NF$60=Y$1),0),$F131-1966)</f>
        <v>1419.5450000000001</v>
      </c>
      <c r="Z131" s="4" cm="1">
        <f t="array" ref="Z131">INDEX(GMW!$A$2:$NF$60,MATCH(1,(GMW!$NE$2:$NE$60=Z$3)*(GMW!$ND$2:$ND$60=Z$4)*(GMW!$NF$2:$NF$60=Z$1),0),$F131-1966)</f>
        <v>1613.9359999999999</v>
      </c>
      <c r="AA131" s="4" cm="1">
        <f t="array" ref="AA131">INDEX(GMW!$A$2:$NF$60,MATCH(1,(GMW!$NE$2:$NE$60=AA$3)*(GMW!$ND$2:$ND$60=AA$4)*(GMW!$NF$2:$NF$60=AA$1),0),$F131-1966)</f>
        <v>1040820</v>
      </c>
      <c r="AB131" s="4" cm="1">
        <f t="array" ref="AB131">INDEX(GMW!$A$2:$NF$60,MATCH(1,(GMW!$NE$2:$NE$60=AB$3)*(GMW!$ND$2:$ND$60=AB$4)*(GMW!$NF$2:$NF$60=AB$1),0),$F131-1966)</f>
        <v>322778</v>
      </c>
      <c r="AC131" s="4" cm="1">
        <f t="array" ref="AC131">INDEX(GMW!$A$2:$NF$60,MATCH(1,(GMW!$NE$2:$NE$60=AC$3)*(GMW!$ND$2:$ND$60=AC$4)*(GMW!$NF$2:$NF$60=AC$1),0),$F131-1966)</f>
        <v>2980.85</v>
      </c>
      <c r="AD131" s="4" cm="1">
        <f t="array" ref="AD131">INDEX(GMW!$A$2:$NF$60,MATCH(1,(GMW!$NE$2:$NE$60=AD$3)*(GMW!$ND$2:$ND$60=AD$4)*(GMW!$NF$2:$NF$60=AD$1),0),$F131-1966)</f>
        <v>132341.79999999999</v>
      </c>
      <c r="AE131" s="4" cm="1">
        <f t="array" ref="AE131">INDEX(GMW!$A$2:$NF$60,MATCH(1,(GMW!$NE$2:$NE$60=AE$3)*(GMW!$ND$2:$ND$60=AE$4)*(GMW!$NF$2:$NF$60=AE$1),0),$F131-1966)</f>
        <v>567.21100000000001</v>
      </c>
      <c r="AF131" s="4" cm="1">
        <f t="array" ref="AF131">INDEX(GMW!$A$2:$NF$60,MATCH(1,(GMW!$NE$2:$NE$60=AF$3)*(GMW!$ND$2:$ND$60=AF$4)*(GMW!$NF$2:$NF$60=AF$1),0),$F131-1966)</f>
        <v>418.05399999999997</v>
      </c>
      <c r="AG131" s="4" cm="1">
        <f t="array" ref="AG131">INDEX(GMW!$A$2:$NF$60,MATCH(1,(GMW!$NE$2:$NE$60=AG$3)*(GMW!$ND$2:$ND$60=AG$4)*(GMW!$NF$2:$NF$60=AG$1),0),$F131-1966)</f>
        <v>357.07900000000001</v>
      </c>
      <c r="AH131" s="4" cm="1">
        <f t="array" ref="AH131">INDEX(GMW!$A$2:$NF$60,MATCH(1,(GMW!$NE$2:$NE$60=AH$3)*(GMW!$ND$2:$ND$60=AH$4)*(GMW!$NF$2:$NF$60=AH$1),0),$F131-1966)</f>
        <v>324054</v>
      </c>
    </row>
    <row r="132" spans="1:34" x14ac:dyDescent="0.25">
      <c r="B132" s="4">
        <f t="shared" si="42"/>
        <v>2004</v>
      </c>
      <c r="C132" s="4">
        <f t="shared" si="42"/>
        <v>2004</v>
      </c>
      <c r="F132" s="4">
        <f t="shared" si="38"/>
        <v>2098</v>
      </c>
      <c r="G132" s="4" cm="1">
        <f t="array" ref="G132">INDEX(GMW!$A$2:$NF$60,MATCH(1,(GMW!$NE$2:$NE$60=G$3)*(GMW!$ND$2:$ND$60=G$4)*(GMW!$NF$2:$NF$60=G$1),0),$F132-1966)</f>
        <v>494824</v>
      </c>
      <c r="H132" s="4" cm="1">
        <f t="array" ref="H132">INDEX(GMW!$A$2:$NF$60,MATCH(1,(GMW!$NE$2:$NE$60=H$3)*(GMW!$ND$2:$ND$60=H$4)*(GMW!$NF$2:$NF$60=H$1),0),$F132-1966)</f>
        <v>3841.7249999999999</v>
      </c>
      <c r="I132" s="4" cm="1">
        <f t="array" ref="I132">INDEX(GMW!$A$2:$NF$60,MATCH(1,(GMW!$NE$2:$NE$60=I$3)*(GMW!$ND$2:$ND$60=I$4)*(GMW!$NF$2:$NF$60=I$1),0),$F132-1966)</f>
        <v>125411.1</v>
      </c>
      <c r="J132" s="4" cm="1">
        <f t="array" ref="J132">INDEX(GMW!$A$2:$NF$60,MATCH(1,(GMW!$NE$2:$NE$60=J$3)*(GMW!$ND$2:$ND$60=J$4)*(GMW!$NF$2:$NF$60=J$1),0),$F132-1966)</f>
        <v>721.03</v>
      </c>
      <c r="K132" s="4" cm="1">
        <f t="array" ref="K132">INDEX(GMW!$A$2:$NF$60,MATCH(1,(GMW!$NE$2:$NE$60=K$3)*(GMW!$ND$2:$ND$60=K$4)*(GMW!$NF$2:$NF$60=K$1),0),$F132-1966)</f>
        <v>517.822</v>
      </c>
      <c r="L132" s="4" cm="1">
        <f t="array" ref="L132">INDEX(GMW!$A$2:$NF$60,MATCH(1,(GMW!$NE$2:$NE$60=L$3)*(GMW!$ND$2:$ND$60=L$4)*(GMW!$NF$2:$NF$60=L$1),0),$F132-1966)</f>
        <v>458.387</v>
      </c>
      <c r="M132" s="4" cm="1">
        <f t="array" ref="M132">INDEX(GMW!$A$2:$NF$60,MATCH(1,(GMW!$NE$2:$NE$60=M$3)*(GMW!$ND$2:$ND$60=M$4)*(GMW!$NF$2:$NF$60=M$1),0),$F132-1966)</f>
        <v>421055.5</v>
      </c>
      <c r="N132" s="4" cm="1">
        <f t="array" ref="N132">INDEX(GMW!$A$2:$NF$60,MATCH(1,(GMW!$NE$2:$NE$60=N$3)*(GMW!$ND$2:$ND$60=N$4)*(GMW!$NF$2:$NF$60=N$1),0),$F132-1966)</f>
        <v>-16087</v>
      </c>
      <c r="O132" s="4" cm="1">
        <f t="array" ref="O132">INDEX(GMW!$A$2:$NF$60,MATCH(1,(GMW!$NE$2:$NE$60=O$3)*(GMW!$ND$2:$ND$60=O$4)*(GMW!$NF$2:$NF$60=O$1),0),$F132-1966)</f>
        <v>-178.38900000000001</v>
      </c>
      <c r="P132" s="4" cm="1">
        <f t="array" ref="P132">INDEX(GMW!$A$2:$NF$60,MATCH(1,(GMW!$NE$2:$NE$60=P$3)*(GMW!$ND$2:$ND$60=P$4)*(GMW!$NF$2:$NF$60=P$1),0),$F132-1966)</f>
        <v>-6961.5</v>
      </c>
      <c r="Q132" s="4" cm="1">
        <f t="array" ref="Q132">INDEX(GMW!$A$2:$NF$60,MATCH(1,(GMW!$NE$2:$NE$60=Q$3)*(GMW!$ND$2:$ND$60=Q$4)*(GMW!$NF$2:$NF$60=Q$1),0),$F132-1966)</f>
        <v>-23.678000000000001</v>
      </c>
      <c r="R132" s="4" cm="1">
        <f t="array" ref="R132">INDEX(GMW!$A$2:$NF$60,MATCH(1,(GMW!$NE$2:$NE$60=R$3)*(GMW!$ND$2:$ND$60=R$4)*(GMW!$NF$2:$NF$60=R$1),0),$F132-1966)</f>
        <v>-14.855</v>
      </c>
      <c r="S132" s="4" cm="1">
        <f t="array" ref="S132">INDEX(GMW!$A$2:$NF$60,MATCH(1,(GMW!$NE$2:$NE$60=S$3)*(GMW!$ND$2:$ND$60=S$4)*(GMW!$NF$2:$NF$60=S$1),0),$F132-1966)</f>
        <v>-12.20715</v>
      </c>
      <c r="T132" s="4" cm="1">
        <f t="array" ref="T132">INDEX(GMW!$A$2:$NF$60,MATCH(1,(GMW!$NE$2:$NE$60=T$3)*(GMW!$ND$2:$ND$60=T$4)*(GMW!$NF$2:$NF$60=T$1),0),$F132-1966)</f>
        <v>4102</v>
      </c>
      <c r="U132" s="4" cm="1">
        <f t="array" ref="U132">INDEX(GMW!$A$2:$NF$60,MATCH(1,(GMW!$NE$2:$NE$60=U$3)*(GMW!$ND$2:$ND$60=U$4)*(GMW!$NF$2:$NF$60=U$1),0),$F132-1966)</f>
        <v>493249</v>
      </c>
      <c r="V132" s="4" cm="1">
        <f t="array" ref="V132">INDEX(GMW!$A$2:$NF$60,MATCH(1,(GMW!$NE$2:$NE$60=V$3)*(GMW!$ND$2:$ND$60=V$4)*(GMW!$NF$2:$NF$60=V$1),0),$F132-1966)</f>
        <v>10558.37</v>
      </c>
      <c r="W132" s="4" cm="1">
        <f t="array" ref="W132">INDEX(GMW!$A$2:$NF$60,MATCH(1,(GMW!$NE$2:$NE$60=W$3)*(GMW!$ND$2:$ND$60=W$4)*(GMW!$NF$2:$NF$60=W$1),0),$F132-1966)</f>
        <v>804337</v>
      </c>
      <c r="X132" s="4" cm="1">
        <f t="array" ref="X132">INDEX(GMW!$A$2:$NF$60,MATCH(1,(GMW!$NE$2:$NE$60=X$3)*(GMW!$ND$2:$ND$60=X$4)*(GMW!$NF$2:$NF$60=X$1),0),$F132-1966)</f>
        <v>1401.3679999999999</v>
      </c>
      <c r="Y132" s="4" cm="1">
        <f t="array" ref="Y132">INDEX(GMW!$A$2:$NF$60,MATCH(1,(GMW!$NE$2:$NE$60=Y$3)*(GMW!$ND$2:$ND$60=Y$4)*(GMW!$NF$2:$NF$60=Y$1),0),$F132-1966)</f>
        <v>1431.192</v>
      </c>
      <c r="Z132" s="4" cm="1">
        <f t="array" ref="Z132">INDEX(GMW!$A$2:$NF$60,MATCH(1,(GMW!$NE$2:$NE$60=Z$3)*(GMW!$ND$2:$ND$60=Z$4)*(GMW!$NF$2:$NF$60=Z$1),0),$F132-1966)</f>
        <v>1637.7239999999999</v>
      </c>
      <c r="AA132" s="4" cm="1">
        <f t="array" ref="AA132">INDEX(GMW!$A$2:$NF$60,MATCH(1,(GMW!$NE$2:$NE$60=AA$3)*(GMW!$ND$2:$ND$60=AA$4)*(GMW!$NF$2:$NF$60=AA$1),0),$F132-1966)</f>
        <v>1029292</v>
      </c>
      <c r="AB132" s="4" cm="1">
        <f t="array" ref="AB132">INDEX(GMW!$A$2:$NF$60,MATCH(1,(GMW!$NE$2:$NE$60=AB$3)*(GMW!$ND$2:$ND$60=AB$4)*(GMW!$NF$2:$NF$60=AB$1),0),$F132-1966)</f>
        <v>329732</v>
      </c>
      <c r="AC132" s="4" cm="1">
        <f t="array" ref="AC132">INDEX(GMW!$A$2:$NF$60,MATCH(1,(GMW!$NE$2:$NE$60=AC$3)*(GMW!$ND$2:$ND$60=AC$4)*(GMW!$NF$2:$NF$60=AC$1),0),$F132-1966)</f>
        <v>3028.2</v>
      </c>
      <c r="AD132" s="4" cm="1">
        <f t="array" ref="AD132">INDEX(GMW!$A$2:$NF$60,MATCH(1,(GMW!$NE$2:$NE$60=AD$3)*(GMW!$ND$2:$ND$60=AD$4)*(GMW!$NF$2:$NF$60=AD$1),0),$F132-1966)</f>
        <v>131913</v>
      </c>
      <c r="AE132" s="4" cm="1">
        <f t="array" ref="AE132">INDEX(GMW!$A$2:$NF$60,MATCH(1,(GMW!$NE$2:$NE$60=AE$3)*(GMW!$ND$2:$ND$60=AE$4)*(GMW!$NF$2:$NF$60=AE$1),0),$F132-1966)</f>
        <v>573.60799999999995</v>
      </c>
      <c r="AF132" s="4" cm="1">
        <f t="array" ref="AF132">INDEX(GMW!$A$2:$NF$60,MATCH(1,(GMW!$NE$2:$NE$60=AF$3)*(GMW!$ND$2:$ND$60=AF$4)*(GMW!$NF$2:$NF$60=AF$1),0),$F132-1966)</f>
        <v>420.803</v>
      </c>
      <c r="AG132" s="4" cm="1">
        <f t="array" ref="AG132">INDEX(GMW!$A$2:$NF$60,MATCH(1,(GMW!$NE$2:$NE$60=AG$3)*(GMW!$ND$2:$ND$60=AG$4)*(GMW!$NF$2:$NF$60=AG$1),0),$F132-1966)</f>
        <v>362.81</v>
      </c>
      <c r="AH132" s="4" cm="1">
        <f t="array" ref="AH132">INDEX(GMW!$A$2:$NF$60,MATCH(1,(GMW!$NE$2:$NE$60=AH$3)*(GMW!$ND$2:$ND$60=AH$4)*(GMW!$NF$2:$NF$60=AH$1),0),$F132-1966)</f>
        <v>332037</v>
      </c>
    </row>
    <row r="133" spans="1:34" x14ac:dyDescent="0.25">
      <c r="B133" s="4">
        <f t="shared" si="42"/>
        <v>2004</v>
      </c>
      <c r="C133" s="4">
        <f t="shared" si="42"/>
        <v>2004</v>
      </c>
      <c r="F133" s="4">
        <f t="shared" si="38"/>
        <v>2099</v>
      </c>
      <c r="G133" s="4" cm="1">
        <f t="array" ref="G133">INDEX(GMW!$A$2:$NF$60,MATCH(1,(GMW!$NE$2:$NE$60=G$3)*(GMW!$ND$2:$ND$60=G$4)*(GMW!$NF$2:$NF$60=G$1),0),$F133-1966)</f>
        <v>496642</v>
      </c>
      <c r="H133" s="4" cm="1">
        <f t="array" ref="H133">INDEX(GMW!$A$2:$NF$60,MATCH(1,(GMW!$NE$2:$NE$60=H$3)*(GMW!$ND$2:$ND$60=H$4)*(GMW!$NF$2:$NF$60=H$1),0),$F133-1966)</f>
        <v>3878.15</v>
      </c>
      <c r="I133" s="4" cm="1">
        <f t="array" ref="I133">INDEX(GMW!$A$2:$NF$60,MATCH(1,(GMW!$NE$2:$NE$60=I$3)*(GMW!$ND$2:$ND$60=I$4)*(GMW!$NF$2:$NF$60=I$1),0),$F133-1966)</f>
        <v>126195.2</v>
      </c>
      <c r="J133" s="4" cm="1">
        <f t="array" ref="J133">INDEX(GMW!$A$2:$NF$60,MATCH(1,(GMW!$NE$2:$NE$60=J$3)*(GMW!$ND$2:$ND$60=J$4)*(GMW!$NF$2:$NF$60=J$1),0),$F133-1966)</f>
        <v>718.7</v>
      </c>
      <c r="K133" s="4" cm="1">
        <f t="array" ref="K133">INDEX(GMW!$A$2:$NF$60,MATCH(1,(GMW!$NE$2:$NE$60=K$3)*(GMW!$ND$2:$ND$60=K$4)*(GMW!$NF$2:$NF$60=K$1),0),$F133-1966)</f>
        <v>519.63199999999995</v>
      </c>
      <c r="L133" s="4" cm="1">
        <f t="array" ref="L133">INDEX(GMW!$A$2:$NF$60,MATCH(1,(GMW!$NE$2:$NE$60=L$3)*(GMW!$ND$2:$ND$60=L$4)*(GMW!$NF$2:$NF$60=L$1),0),$F133-1966)</f>
        <v>458.71199999999999</v>
      </c>
      <c r="M133" s="4" cm="1">
        <f t="array" ref="M133">INDEX(GMW!$A$2:$NF$60,MATCH(1,(GMW!$NE$2:$NE$60=M$3)*(GMW!$ND$2:$ND$60=M$4)*(GMW!$NF$2:$NF$60=M$1),0),$F133-1966)</f>
        <v>426033.8</v>
      </c>
      <c r="N133" s="4" cm="1">
        <f t="array" ref="N133">INDEX(GMW!$A$2:$NF$60,MATCH(1,(GMW!$NE$2:$NE$60=N$3)*(GMW!$ND$2:$ND$60=N$4)*(GMW!$NF$2:$NF$60=N$1),0),$F133-1966)</f>
        <v>-13073</v>
      </c>
      <c r="O133" s="4" cm="1">
        <f t="array" ref="O133">INDEX(GMW!$A$2:$NF$60,MATCH(1,(GMW!$NE$2:$NE$60=O$3)*(GMW!$ND$2:$ND$60=O$4)*(GMW!$NF$2:$NF$60=O$1),0),$F133-1966)</f>
        <v>-172.61420000000001</v>
      </c>
      <c r="P133" s="4" cm="1">
        <f t="array" ref="P133">INDEX(GMW!$A$2:$NF$60,MATCH(1,(GMW!$NE$2:$NE$60=P$3)*(GMW!$ND$2:$ND$60=P$4)*(GMW!$NF$2:$NF$60=P$1),0),$F133-1966)</f>
        <v>-6927.25</v>
      </c>
      <c r="Q133" s="4" cm="1">
        <f t="array" ref="Q133">INDEX(GMW!$A$2:$NF$60,MATCH(1,(GMW!$NE$2:$NE$60=Q$3)*(GMW!$ND$2:$ND$60=Q$4)*(GMW!$NF$2:$NF$60=Q$1),0),$F133-1966)</f>
        <v>-20.582999999999998</v>
      </c>
      <c r="R133" s="4" cm="1">
        <f t="array" ref="R133">INDEX(GMW!$A$2:$NF$60,MATCH(1,(GMW!$NE$2:$NE$60=R$3)*(GMW!$ND$2:$ND$60=R$4)*(GMW!$NF$2:$NF$60=R$1),0),$F133-1966)</f>
        <v>-15.603</v>
      </c>
      <c r="S133" s="4" cm="1">
        <f t="array" ref="S133">INDEX(GMW!$A$2:$NF$60,MATCH(1,(GMW!$NE$2:$NE$60=S$3)*(GMW!$ND$2:$ND$60=S$4)*(GMW!$NF$2:$NF$60=S$1),0),$F133-1966)</f>
        <v>-12.71631</v>
      </c>
      <c r="T133" s="4" cm="1">
        <f t="array" ref="T133">INDEX(GMW!$A$2:$NF$60,MATCH(1,(GMW!$NE$2:$NE$60=T$3)*(GMW!$ND$2:$ND$60=T$4)*(GMW!$NF$2:$NF$60=T$1),0),$F133-1966)</f>
        <v>6657</v>
      </c>
      <c r="U133" s="4" cm="1">
        <f t="array" ref="U133">INDEX(GMW!$A$2:$NF$60,MATCH(1,(GMW!$NE$2:$NE$60=U$3)*(GMW!$ND$2:$ND$60=U$4)*(GMW!$NF$2:$NF$60=U$1),0),$F133-1966)</f>
        <v>500957</v>
      </c>
      <c r="V133" s="4" cm="1">
        <f t="array" ref="V133">INDEX(GMW!$A$2:$NF$60,MATCH(1,(GMW!$NE$2:$NE$60=V$3)*(GMW!$ND$2:$ND$60=V$4)*(GMW!$NF$2:$NF$60=V$1),0),$F133-1966)</f>
        <v>10888.27</v>
      </c>
      <c r="W133" s="4" cm="1">
        <f t="array" ref="W133">INDEX(GMW!$A$2:$NF$60,MATCH(1,(GMW!$NE$2:$NE$60=W$3)*(GMW!$ND$2:$ND$60=W$4)*(GMW!$NF$2:$NF$60=W$1),0),$F133-1966)</f>
        <v>811223</v>
      </c>
      <c r="X133" s="4" cm="1">
        <f t="array" ref="X133">INDEX(GMW!$A$2:$NF$60,MATCH(1,(GMW!$NE$2:$NE$60=X$3)*(GMW!$ND$2:$ND$60=X$4)*(GMW!$NF$2:$NF$60=X$1),0),$F133-1966)</f>
        <v>1417.636</v>
      </c>
      <c r="Y133" s="4" cm="1">
        <f t="array" ref="Y133">INDEX(GMW!$A$2:$NF$60,MATCH(1,(GMW!$NE$2:$NE$60=Y$3)*(GMW!$ND$2:$ND$60=Y$4)*(GMW!$NF$2:$NF$60=Y$1),0),$F133-1966)</f>
        <v>1446.42</v>
      </c>
      <c r="Z133" s="4" cm="1">
        <f t="array" ref="Z133">INDEX(GMW!$A$2:$NF$60,MATCH(1,(GMW!$NE$2:$NE$60=Z$3)*(GMW!$ND$2:$ND$60=Z$4)*(GMW!$NF$2:$NF$60=Z$1),0),$F133-1966)</f>
        <v>1661.5129999999999</v>
      </c>
      <c r="AA133" s="4" cm="1">
        <f t="array" ref="AA133">INDEX(GMW!$A$2:$NF$60,MATCH(1,(GMW!$NE$2:$NE$60=AA$3)*(GMW!$ND$2:$ND$60=AA$4)*(GMW!$NF$2:$NF$60=AA$1),0),$F133-1966)</f>
        <v>1020914</v>
      </c>
      <c r="AB133" s="4" cm="1">
        <f t="array" ref="AB133">INDEX(GMW!$A$2:$NF$60,MATCH(1,(GMW!$NE$2:$NE$60=AB$3)*(GMW!$ND$2:$ND$60=AB$4)*(GMW!$NF$2:$NF$60=AB$1),0),$F133-1966)</f>
        <v>331592</v>
      </c>
      <c r="AC133" s="4" cm="1">
        <f t="array" ref="AC133">INDEX(GMW!$A$2:$NF$60,MATCH(1,(GMW!$NE$2:$NE$60=AC$3)*(GMW!$ND$2:$ND$60=AC$4)*(GMW!$NF$2:$NF$60=AC$1),0),$F133-1966)</f>
        <v>3076.3249999999998</v>
      </c>
      <c r="AD133" s="4" cm="1">
        <f t="array" ref="AD133">INDEX(GMW!$A$2:$NF$60,MATCH(1,(GMW!$NE$2:$NE$60=AD$3)*(GMW!$ND$2:$ND$60=AD$4)*(GMW!$NF$2:$NF$60=AD$1),0),$F133-1966)</f>
        <v>132619.4</v>
      </c>
      <c r="AE133" s="4" cm="1">
        <f t="array" ref="AE133">INDEX(GMW!$A$2:$NF$60,MATCH(1,(GMW!$NE$2:$NE$60=AE$3)*(GMW!$ND$2:$ND$60=AE$4)*(GMW!$NF$2:$NF$60=AE$1),0),$F133-1966)</f>
        <v>572.46299999999997</v>
      </c>
      <c r="AF133" s="4" cm="1">
        <f t="array" ref="AF133">INDEX(GMW!$A$2:$NF$60,MATCH(1,(GMW!$NE$2:$NE$60=AF$3)*(GMW!$ND$2:$ND$60=AF$4)*(GMW!$NF$2:$NF$60=AF$1),0),$F133-1966)</f>
        <v>423.92</v>
      </c>
      <c r="AG133" s="4" cm="1">
        <f t="array" ref="AG133">INDEX(GMW!$A$2:$NF$60,MATCH(1,(GMW!$NE$2:$NE$60=AG$3)*(GMW!$ND$2:$ND$60=AG$4)*(GMW!$NF$2:$NF$60=AG$1),0),$F133-1966)</f>
        <v>365.16699999999997</v>
      </c>
      <c r="AH133" s="4" cm="1">
        <f t="array" ref="AH133">INDEX(GMW!$A$2:$NF$60,MATCH(1,(GMW!$NE$2:$NE$60=AH$3)*(GMW!$ND$2:$ND$60=AH$4)*(GMW!$NF$2:$NF$60=AH$1),0),$F133-1966)</f>
        <v>337870</v>
      </c>
    </row>
    <row r="134" spans="1:34" x14ac:dyDescent="0.25">
      <c r="B134" s="4">
        <f t="shared" si="42"/>
        <v>2004</v>
      </c>
      <c r="C134" s="4">
        <f t="shared" si="42"/>
        <v>2004</v>
      </c>
      <c r="E134" s="4">
        <f t="shared" ref="E134" si="45">+E130+1</f>
        <v>2004</v>
      </c>
      <c r="F134" s="4">
        <f t="shared" si="38"/>
        <v>2100</v>
      </c>
      <c r="G134" s="4" cm="1">
        <f t="array" ref="G134">INDEX(GMW!$A$2:$NF$60,MATCH(1,(GMW!$NE$2:$NE$60=G$3)*(GMW!$ND$2:$ND$60=G$4)*(GMW!$NF$2:$NF$60=G$1),0),$F134-1966)</f>
        <v>499020</v>
      </c>
      <c r="H134" s="4" cm="1">
        <f t="array" ref="H134">INDEX(GMW!$A$2:$NF$60,MATCH(1,(GMW!$NE$2:$NE$60=H$3)*(GMW!$ND$2:$ND$60=H$4)*(GMW!$NF$2:$NF$60=H$1),0),$F134-1966)</f>
        <v>3917.7249999999999</v>
      </c>
      <c r="I134" s="4" cm="1">
        <f t="array" ref="I134">INDEX(GMW!$A$2:$NF$60,MATCH(1,(GMW!$NE$2:$NE$60=I$3)*(GMW!$ND$2:$ND$60=I$4)*(GMW!$NF$2:$NF$60=I$1),0),$F134-1966)</f>
        <v>125960.1</v>
      </c>
      <c r="J134" s="4" cm="1">
        <f t="array" ref="J134">INDEX(GMW!$A$2:$NF$60,MATCH(1,(GMW!$NE$2:$NE$60=J$3)*(GMW!$ND$2:$ND$60=J$4)*(GMW!$NF$2:$NF$60=J$1),0),$F134-1966)</f>
        <v>718.44</v>
      </c>
      <c r="K134" s="4" cm="1">
        <f t="array" ref="K134">INDEX(GMW!$A$2:$NF$60,MATCH(1,(GMW!$NE$2:$NE$60=K$3)*(GMW!$ND$2:$ND$60=K$4)*(GMW!$NF$2:$NF$60=K$1),0),$F134-1966)</f>
        <v>524.25599999999997</v>
      </c>
      <c r="L134" s="4" cm="1">
        <f t="array" ref="L134">INDEX(GMW!$A$2:$NF$60,MATCH(1,(GMW!$NE$2:$NE$60=L$3)*(GMW!$ND$2:$ND$60=L$4)*(GMW!$NF$2:$NF$60=L$1),0),$F134-1966)</f>
        <v>459.89100000000002</v>
      </c>
      <c r="M134" s="4" cm="1">
        <f t="array" ref="M134">INDEX(GMW!$A$2:$NF$60,MATCH(1,(GMW!$NE$2:$NE$60=M$3)*(GMW!$ND$2:$ND$60=M$4)*(GMW!$NF$2:$NF$60=M$1),0),$F134-1966)</f>
        <v>429108.5</v>
      </c>
      <c r="N134" s="4" cm="1">
        <f t="array" ref="N134">INDEX(GMW!$A$2:$NF$60,MATCH(1,(GMW!$NE$2:$NE$60=N$3)*(GMW!$ND$2:$ND$60=N$4)*(GMW!$NF$2:$NF$60=N$1),0),$F134-1966)</f>
        <v>-16609</v>
      </c>
      <c r="O134" s="4" cm="1">
        <f t="array" ref="O134">INDEX(GMW!$A$2:$NF$60,MATCH(1,(GMW!$NE$2:$NE$60=O$3)*(GMW!$ND$2:$ND$60=O$4)*(GMW!$NF$2:$NF$60=O$1),0),$F134-1966)</f>
        <v>-166.65430000000001</v>
      </c>
      <c r="P134" s="4" cm="1">
        <f t="array" ref="P134">INDEX(GMW!$A$2:$NF$60,MATCH(1,(GMW!$NE$2:$NE$60=P$3)*(GMW!$ND$2:$ND$60=P$4)*(GMW!$NF$2:$NF$60=P$1),0),$F134-1966)</f>
        <v>-7025.25</v>
      </c>
      <c r="Q134" s="4" cm="1">
        <f t="array" ref="Q134">INDEX(GMW!$A$2:$NF$60,MATCH(1,(GMW!$NE$2:$NE$60=Q$3)*(GMW!$ND$2:$ND$60=Q$4)*(GMW!$NF$2:$NF$60=Q$1),0),$F134-1966)</f>
        <v>-9.7200000000000006</v>
      </c>
      <c r="R134" s="4" cm="1">
        <f t="array" ref="R134">INDEX(GMW!$A$2:$NF$60,MATCH(1,(GMW!$NE$2:$NE$60=R$3)*(GMW!$ND$2:$ND$60=R$4)*(GMW!$NF$2:$NF$60=R$1),0),$F134-1966)</f>
        <v>-14.217000000000001</v>
      </c>
      <c r="S134" s="4" cm="1">
        <f t="array" ref="S134">INDEX(GMW!$A$2:$NF$60,MATCH(1,(GMW!$NE$2:$NE$60=S$3)*(GMW!$ND$2:$ND$60=S$4)*(GMW!$NF$2:$NF$60=S$1),0),$F134-1966)</f>
        <v>-13.52101</v>
      </c>
      <c r="T134" s="4" cm="1">
        <f t="array" ref="T134">INDEX(GMW!$A$2:$NF$60,MATCH(1,(GMW!$NE$2:$NE$60=T$3)*(GMW!$ND$2:$ND$60=T$4)*(GMW!$NF$2:$NF$60=T$1),0),$F134-1966)</f>
        <v>5654</v>
      </c>
      <c r="U134" s="4" cm="1">
        <f t="array" ref="U134">INDEX(GMW!$A$2:$NF$60,MATCH(1,(GMW!$NE$2:$NE$60=U$3)*(GMW!$ND$2:$ND$60=U$4)*(GMW!$NF$2:$NF$60=U$1),0),$F134-1966)</f>
        <v>526430</v>
      </c>
      <c r="V134" s="4" cm="1">
        <f t="array" ref="V134">INDEX(GMW!$A$2:$NF$60,MATCH(1,(GMW!$NE$2:$NE$60=V$3)*(GMW!$ND$2:$ND$60=V$4)*(GMW!$NF$2:$NF$60=V$1),0),$F134-1966)</f>
        <v>10890.62</v>
      </c>
      <c r="W134" s="4" cm="1">
        <f t="array" ref="W134">INDEX(GMW!$A$2:$NF$60,MATCH(1,(GMW!$NE$2:$NE$60=W$3)*(GMW!$ND$2:$ND$60=W$4)*(GMW!$NF$2:$NF$60=W$1),0),$F134-1966)</f>
        <v>818109</v>
      </c>
      <c r="X134" s="4" cm="1">
        <f t="array" ref="X134">INDEX(GMW!$A$2:$NF$60,MATCH(1,(GMW!$NE$2:$NE$60=X$3)*(GMW!$ND$2:$ND$60=X$4)*(GMW!$NF$2:$NF$60=X$1),0),$F134-1966)</f>
        <v>1431.4739999999999</v>
      </c>
      <c r="Y134" s="4" cm="1">
        <f t="array" ref="Y134">INDEX(GMW!$A$2:$NF$60,MATCH(1,(GMW!$NE$2:$NE$60=Y$3)*(GMW!$ND$2:$ND$60=Y$4)*(GMW!$NF$2:$NF$60=Y$1),0),$F134-1966)</f>
        <v>1462.9</v>
      </c>
      <c r="Z134" s="4" cm="1">
        <f t="array" ref="Z134">INDEX(GMW!$A$2:$NF$60,MATCH(1,(GMW!$NE$2:$NE$60=Z$3)*(GMW!$ND$2:$ND$60=Z$4)*(GMW!$NF$2:$NF$60=Z$1),0),$F134-1966)</f>
        <v>1685.3009999999999</v>
      </c>
      <c r="AA134" s="4" cm="1">
        <f t="array" ref="AA134">INDEX(GMW!$A$2:$NF$60,MATCH(1,(GMW!$NE$2:$NE$60=AA$3)*(GMW!$ND$2:$ND$60=AA$4)*(GMW!$NF$2:$NF$60=AA$1),0),$F134-1966)</f>
        <v>1067711</v>
      </c>
      <c r="AB134" s="4" cm="1">
        <f t="array" ref="AB134">INDEX(GMW!$A$2:$NF$60,MATCH(1,(GMW!$NE$2:$NE$60=AB$3)*(GMW!$ND$2:$ND$60=AB$4)*(GMW!$NF$2:$NF$60=AB$1),0),$F134-1966)</f>
        <v>338535</v>
      </c>
      <c r="AC134" s="4" cm="1">
        <f t="array" ref="AC134">INDEX(GMW!$A$2:$NF$60,MATCH(1,(GMW!$NE$2:$NE$60=AC$3)*(GMW!$ND$2:$ND$60=AC$4)*(GMW!$NF$2:$NF$60=AC$1),0),$F134-1966)</f>
        <v>3131.8</v>
      </c>
      <c r="AD134" s="4" cm="1">
        <f t="array" ref="AD134">INDEX(GMW!$A$2:$NF$60,MATCH(1,(GMW!$NE$2:$NE$60=AD$3)*(GMW!$ND$2:$ND$60=AD$4)*(GMW!$NF$2:$NF$60=AD$1),0),$F134-1966)</f>
        <v>132479.79999999999</v>
      </c>
      <c r="AE134" s="4" cm="1">
        <f t="array" ref="AE134">INDEX(GMW!$A$2:$NF$60,MATCH(1,(GMW!$NE$2:$NE$60=AE$3)*(GMW!$ND$2:$ND$60=AE$4)*(GMW!$NF$2:$NF$60=AE$1),0),$F134-1966)</f>
        <v>572.67899999999997</v>
      </c>
      <c r="AF134" s="4" cm="1">
        <f t="array" ref="AF134">INDEX(GMW!$A$2:$NF$60,MATCH(1,(GMW!$NE$2:$NE$60=AF$3)*(GMW!$ND$2:$ND$60=AF$4)*(GMW!$NF$2:$NF$60=AF$1),0),$F134-1966)</f>
        <v>430.221</v>
      </c>
      <c r="AG134" s="4" cm="1">
        <f t="array" ref="AG134">INDEX(GMW!$A$2:$NF$60,MATCH(1,(GMW!$NE$2:$NE$60=AG$3)*(GMW!$ND$2:$ND$60=AG$4)*(GMW!$NF$2:$NF$60=AG$1),0),$F134-1966)</f>
        <v>368.96</v>
      </c>
      <c r="AH134" s="4" cm="1">
        <f t="array" ref="AH134">INDEX(GMW!$A$2:$NF$60,MATCH(1,(GMW!$NE$2:$NE$60=AH$3)*(GMW!$ND$2:$ND$60=AH$4)*(GMW!$NF$2:$NF$60=AH$1),0),$F134-1966)</f>
        <v>341770</v>
      </c>
    </row>
    <row r="135" spans="1:34" x14ac:dyDescent="0.25">
      <c r="A135" s="4">
        <v>2005</v>
      </c>
      <c r="B135" s="4">
        <f t="shared" si="42"/>
        <v>2005</v>
      </c>
      <c r="C135" s="4">
        <f t="shared" si="42"/>
        <v>2004</v>
      </c>
      <c r="D135" s="4">
        <f t="shared" si="42"/>
        <v>2004</v>
      </c>
      <c r="F135" s="4">
        <f t="shared" si="38"/>
        <v>2101</v>
      </c>
      <c r="G135" s="4" cm="1">
        <f t="array" ref="G135">INDEX(GMW!$A$2:$NF$60,MATCH(1,(GMW!$NE$2:$NE$60=G$3)*(GMW!$ND$2:$ND$60=G$4)*(GMW!$NF$2:$NF$60=G$1),0),$F135-1966)</f>
        <v>502702</v>
      </c>
      <c r="H135" s="4" cm="1">
        <f t="array" ref="H135">INDEX(GMW!$A$2:$NF$60,MATCH(1,(GMW!$NE$2:$NE$60=H$3)*(GMW!$ND$2:$ND$60=H$4)*(GMW!$NF$2:$NF$60=H$1),0),$F135-1966)</f>
        <v>3961.1750000000002</v>
      </c>
      <c r="I135" s="4" cm="1">
        <f t="array" ref="I135">INDEX(GMW!$A$2:$NF$60,MATCH(1,(GMW!$NE$2:$NE$60=I$3)*(GMW!$ND$2:$ND$60=I$4)*(GMW!$NF$2:$NF$60=I$1),0),$F135-1966)</f>
        <v>126598.6</v>
      </c>
      <c r="J135" s="4" cm="1">
        <f t="array" ref="J135">INDEX(GMW!$A$2:$NF$60,MATCH(1,(GMW!$NE$2:$NE$60=J$3)*(GMW!$ND$2:$ND$60=J$4)*(GMW!$NF$2:$NF$60=J$1),0),$F135-1966)</f>
        <v>719.58</v>
      </c>
      <c r="K135" s="4" cm="1">
        <f t="array" ref="K135">INDEX(GMW!$A$2:$NF$60,MATCH(1,(GMW!$NE$2:$NE$60=K$3)*(GMW!$ND$2:$ND$60=K$4)*(GMW!$NF$2:$NF$60=K$1),0),$F135-1966)</f>
        <v>525.85199999999998</v>
      </c>
      <c r="L135" s="4" cm="1">
        <f t="array" ref="L135">INDEX(GMW!$A$2:$NF$60,MATCH(1,(GMW!$NE$2:$NE$60=L$3)*(GMW!$ND$2:$ND$60=L$4)*(GMW!$NF$2:$NF$60=L$1),0),$F135-1966)</f>
        <v>459.05700000000002</v>
      </c>
      <c r="M135" s="4" cm="1">
        <f t="array" ref="M135">INDEX(GMW!$A$2:$NF$60,MATCH(1,(GMW!$NE$2:$NE$60=M$3)*(GMW!$ND$2:$ND$60=M$4)*(GMW!$NF$2:$NF$60=M$1),0),$F135-1966)</f>
        <v>430611.3</v>
      </c>
      <c r="N135" s="4" cm="1">
        <f t="array" ref="N135">INDEX(GMW!$A$2:$NF$60,MATCH(1,(GMW!$NE$2:$NE$60=N$3)*(GMW!$ND$2:$ND$60=N$4)*(GMW!$NF$2:$NF$60=N$1),0),$F135-1966)</f>
        <v>-6396</v>
      </c>
      <c r="O135" s="4" cm="1">
        <f t="array" ref="O135">INDEX(GMW!$A$2:$NF$60,MATCH(1,(GMW!$NE$2:$NE$60=O$3)*(GMW!$ND$2:$ND$60=O$4)*(GMW!$NF$2:$NF$60=O$1),0),$F135-1966)</f>
        <v>-145.29400000000001</v>
      </c>
      <c r="P135" s="4" cm="1">
        <f t="array" ref="P135">INDEX(GMW!$A$2:$NF$60,MATCH(1,(GMW!$NE$2:$NE$60=P$3)*(GMW!$ND$2:$ND$60=P$4)*(GMW!$NF$2:$NF$60=P$1),0),$F135-1966)</f>
        <v>-6837.75</v>
      </c>
      <c r="Q135" s="4" cm="1">
        <f t="array" ref="Q135">INDEX(GMW!$A$2:$NF$60,MATCH(1,(GMW!$NE$2:$NE$60=Q$3)*(GMW!$ND$2:$ND$60=Q$4)*(GMW!$NF$2:$NF$60=Q$1),0),$F135-1966)</f>
        <v>-20.63</v>
      </c>
      <c r="R135" s="4" cm="1">
        <f t="array" ref="R135">INDEX(GMW!$A$2:$NF$60,MATCH(1,(GMW!$NE$2:$NE$60=R$3)*(GMW!$ND$2:$ND$60=R$4)*(GMW!$NF$2:$NF$60=R$1),0),$F135-1966)</f>
        <v>-12.693</v>
      </c>
      <c r="S135" s="4" cm="1">
        <f t="array" ref="S135">INDEX(GMW!$A$2:$NF$60,MATCH(1,(GMW!$NE$2:$NE$60=S$3)*(GMW!$ND$2:$ND$60=S$4)*(GMW!$NF$2:$NF$60=S$1),0),$F135-1966)</f>
        <v>-14.668799999999999</v>
      </c>
      <c r="T135" s="4" cm="1">
        <f t="array" ref="T135">INDEX(GMW!$A$2:$NF$60,MATCH(1,(GMW!$NE$2:$NE$60=T$3)*(GMW!$ND$2:$ND$60=T$4)*(GMW!$NF$2:$NF$60=T$1),0),$F135-1966)</f>
        <v>8470</v>
      </c>
      <c r="U135" s="4" cm="1">
        <f t="array" ref="U135">INDEX(GMW!$A$2:$NF$60,MATCH(1,(GMW!$NE$2:$NE$60=U$3)*(GMW!$ND$2:$ND$60=U$4)*(GMW!$NF$2:$NF$60=U$1),0),$F135-1966)</f>
        <v>525618</v>
      </c>
      <c r="V135" s="4" cm="1">
        <f t="array" ref="V135">INDEX(GMW!$A$2:$NF$60,MATCH(1,(GMW!$NE$2:$NE$60=V$3)*(GMW!$ND$2:$ND$60=V$4)*(GMW!$NF$2:$NF$60=V$1),0),$F135-1966)</f>
        <v>11203.43</v>
      </c>
      <c r="W135" s="4" cm="1">
        <f t="array" ref="W135">INDEX(GMW!$A$2:$NF$60,MATCH(1,(GMW!$NE$2:$NE$60=W$3)*(GMW!$ND$2:$ND$60=W$4)*(GMW!$NF$2:$NF$60=W$1),0),$F135-1966)</f>
        <v>819457</v>
      </c>
      <c r="X135" s="4" cm="1">
        <f t="array" ref="X135">INDEX(GMW!$A$2:$NF$60,MATCH(1,(GMW!$NE$2:$NE$60=X$3)*(GMW!$ND$2:$ND$60=X$4)*(GMW!$NF$2:$NF$60=X$1),0),$F135-1966)</f>
        <v>1445.6669999999999</v>
      </c>
      <c r="Y135" s="4" cm="1">
        <f t="array" ref="Y135">INDEX(GMW!$A$2:$NF$60,MATCH(1,(GMW!$NE$2:$NE$60=Y$3)*(GMW!$ND$2:$ND$60=Y$4)*(GMW!$NF$2:$NF$60=Y$1),0),$F135-1966)</f>
        <v>1497.0440000000001</v>
      </c>
      <c r="Z135" s="4" cm="1">
        <f t="array" ref="Z135">INDEX(GMW!$A$2:$NF$60,MATCH(1,(GMW!$NE$2:$NE$60=Z$3)*(GMW!$ND$2:$ND$60=Z$4)*(GMW!$NF$2:$NF$60=Z$1),0),$F135-1966)</f>
        <v>1707.7860000000001</v>
      </c>
      <c r="AA135" s="4" cm="1">
        <f t="array" ref="AA135">INDEX(GMW!$A$2:$NF$60,MATCH(1,(GMW!$NE$2:$NE$60=AA$3)*(GMW!$ND$2:$ND$60=AA$4)*(GMW!$NF$2:$NF$60=AA$1),0),$F135-1966)</f>
        <v>1094064</v>
      </c>
      <c r="AB135" s="4" cm="1">
        <f t="array" ref="AB135">INDEX(GMW!$A$2:$NF$60,MATCH(1,(GMW!$NE$2:$NE$60=AB$3)*(GMW!$ND$2:$ND$60=AB$4)*(GMW!$NF$2:$NF$60=AB$1),0),$F135-1966)</f>
        <v>341254</v>
      </c>
      <c r="AC135" s="4" cm="1">
        <f t="array" ref="AC135">INDEX(GMW!$A$2:$NF$60,MATCH(1,(GMW!$NE$2:$NE$60=AC$3)*(GMW!$ND$2:$ND$60=AC$4)*(GMW!$NF$2:$NF$60=AC$1),0),$F135-1966)</f>
        <v>3191.8249999999998</v>
      </c>
      <c r="AD135" s="4" cm="1">
        <f t="array" ref="AD135">INDEX(GMW!$A$2:$NF$60,MATCH(1,(GMW!$NE$2:$NE$60=AD$3)*(GMW!$ND$2:$ND$60=AD$4)*(GMW!$NF$2:$NF$60=AD$1),0),$F135-1966)</f>
        <v>132478.70000000001</v>
      </c>
      <c r="AE135" s="4" cm="1">
        <f t="array" ref="AE135">INDEX(GMW!$A$2:$NF$60,MATCH(1,(GMW!$NE$2:$NE$60=AE$3)*(GMW!$ND$2:$ND$60=AE$4)*(GMW!$NF$2:$NF$60=AE$1),0),$F135-1966)</f>
        <v>574.31500000000005</v>
      </c>
      <c r="AF135" s="4" cm="1">
        <f t="array" ref="AF135">INDEX(GMW!$A$2:$NF$60,MATCH(1,(GMW!$NE$2:$NE$60=AF$3)*(GMW!$ND$2:$ND$60=AF$4)*(GMW!$NF$2:$NF$60=AF$1),0),$F135-1966)</f>
        <v>433.423</v>
      </c>
      <c r="AG135" s="4" cm="1">
        <f t="array" ref="AG135">INDEX(GMW!$A$2:$NF$60,MATCH(1,(GMW!$NE$2:$NE$60=AG$3)*(GMW!$ND$2:$ND$60=AG$4)*(GMW!$NF$2:$NF$60=AG$1),0),$F135-1966)</f>
        <v>369.4</v>
      </c>
      <c r="AH135" s="4" cm="1">
        <f t="array" ref="AH135">INDEX(GMW!$A$2:$NF$60,MATCH(1,(GMW!$NE$2:$NE$60=AH$3)*(GMW!$ND$2:$ND$60=AH$4)*(GMW!$NF$2:$NF$60=AH$1),0),$F135-1966)</f>
        <v>345081</v>
      </c>
    </row>
    <row r="136" spans="1:34" x14ac:dyDescent="0.25">
      <c r="B136" s="4">
        <f t="shared" si="42"/>
        <v>2005</v>
      </c>
      <c r="C136" s="4">
        <f t="shared" si="42"/>
        <v>2005</v>
      </c>
      <c r="F136" s="4">
        <f t="shared" si="38"/>
        <v>2102</v>
      </c>
      <c r="G136" s="4" cm="1">
        <f t="array" ref="G136">INDEX(GMW!$A$2:$NF$60,MATCH(1,(GMW!$NE$2:$NE$60=G$3)*(GMW!$ND$2:$ND$60=G$4)*(GMW!$NF$2:$NF$60=G$1),0),$F136-1966)</f>
        <v>506906</v>
      </c>
      <c r="H136" s="4" cm="1">
        <f t="array" ref="H136">INDEX(GMW!$A$2:$NF$60,MATCH(1,(GMW!$NE$2:$NE$60=H$3)*(GMW!$ND$2:$ND$60=H$4)*(GMW!$NF$2:$NF$60=H$1),0),$F136-1966)</f>
        <v>3980.7</v>
      </c>
      <c r="I136" s="4" cm="1">
        <f t="array" ref="I136">INDEX(GMW!$A$2:$NF$60,MATCH(1,(GMW!$NE$2:$NE$60=I$3)*(GMW!$ND$2:$ND$60=I$4)*(GMW!$NF$2:$NF$60=I$1),0),$F136-1966)</f>
        <v>127572.6</v>
      </c>
      <c r="J136" s="4" cm="1">
        <f t="array" ref="J136">INDEX(GMW!$A$2:$NF$60,MATCH(1,(GMW!$NE$2:$NE$60=J$3)*(GMW!$ND$2:$ND$60=J$4)*(GMW!$NF$2:$NF$60=J$1),0),$F136-1966)</f>
        <v>723.9</v>
      </c>
      <c r="K136" s="4" cm="1">
        <f t="array" ref="K136">INDEX(GMW!$A$2:$NF$60,MATCH(1,(GMW!$NE$2:$NE$60=K$3)*(GMW!$ND$2:$ND$60=K$4)*(GMW!$NF$2:$NF$60=K$1),0),$F136-1966)</f>
        <v>527.01800000000003</v>
      </c>
      <c r="L136" s="4" cm="1">
        <f t="array" ref="L136">INDEX(GMW!$A$2:$NF$60,MATCH(1,(GMW!$NE$2:$NE$60=L$3)*(GMW!$ND$2:$ND$60=L$4)*(GMW!$NF$2:$NF$60=L$1),0),$F136-1966)</f>
        <v>463.01600000000002</v>
      </c>
      <c r="M136" s="4" cm="1">
        <f t="array" ref="M136">INDEX(GMW!$A$2:$NF$60,MATCH(1,(GMW!$NE$2:$NE$60=M$3)*(GMW!$ND$2:$ND$60=M$4)*(GMW!$NF$2:$NF$60=M$1),0),$F136-1966)</f>
        <v>433723.5</v>
      </c>
      <c r="N136" s="4" cm="1">
        <f t="array" ref="N136">INDEX(GMW!$A$2:$NF$60,MATCH(1,(GMW!$NE$2:$NE$60=N$3)*(GMW!$ND$2:$ND$60=N$4)*(GMW!$NF$2:$NF$60=N$1),0),$F136-1966)</f>
        <v>-13448</v>
      </c>
      <c r="O136" s="4" cm="1">
        <f t="array" ref="O136">INDEX(GMW!$A$2:$NF$60,MATCH(1,(GMW!$NE$2:$NE$60=O$3)*(GMW!$ND$2:$ND$60=O$4)*(GMW!$NF$2:$NF$60=O$1),0),$F136-1966)</f>
        <v>-144.00129999999999</v>
      </c>
      <c r="P136" s="4" cm="1">
        <f t="array" ref="P136">INDEX(GMW!$A$2:$NF$60,MATCH(1,(GMW!$NE$2:$NE$60=P$3)*(GMW!$ND$2:$ND$60=P$4)*(GMW!$NF$2:$NF$60=P$1),0),$F136-1966)</f>
        <v>-6149</v>
      </c>
      <c r="Q136" s="4" cm="1">
        <f t="array" ref="Q136">INDEX(GMW!$A$2:$NF$60,MATCH(1,(GMW!$NE$2:$NE$60=Q$3)*(GMW!$ND$2:$ND$60=Q$4)*(GMW!$NF$2:$NF$60=Q$1),0),$F136-1966)</f>
        <v>-24.391999999999999</v>
      </c>
      <c r="R136" s="4" cm="1">
        <f t="array" ref="R136">INDEX(GMW!$A$2:$NF$60,MATCH(1,(GMW!$NE$2:$NE$60=R$3)*(GMW!$ND$2:$ND$60=R$4)*(GMW!$NF$2:$NF$60=R$1),0),$F136-1966)</f>
        <v>-17.311</v>
      </c>
      <c r="S136" s="4" cm="1">
        <f t="array" ref="S136">INDEX(GMW!$A$2:$NF$60,MATCH(1,(GMW!$NE$2:$NE$60=S$3)*(GMW!$ND$2:$ND$60=S$4)*(GMW!$NF$2:$NF$60=S$1),0),$F136-1966)</f>
        <v>-15.68857</v>
      </c>
      <c r="T136" s="4" cm="1">
        <f t="array" ref="T136">INDEX(GMW!$A$2:$NF$60,MATCH(1,(GMW!$NE$2:$NE$60=T$3)*(GMW!$ND$2:$ND$60=T$4)*(GMW!$NF$2:$NF$60=T$1),0),$F136-1966)</f>
        <v>8312</v>
      </c>
      <c r="U136" s="4" cm="1">
        <f t="array" ref="U136">INDEX(GMW!$A$2:$NF$60,MATCH(1,(GMW!$NE$2:$NE$60=U$3)*(GMW!$ND$2:$ND$60=U$4)*(GMW!$NF$2:$NF$60=U$1),0),$F136-1966)</f>
        <v>545145</v>
      </c>
      <c r="V136" s="4" cm="1">
        <f t="array" ref="V136">INDEX(GMW!$A$2:$NF$60,MATCH(1,(GMW!$NE$2:$NE$60=V$3)*(GMW!$ND$2:$ND$60=V$4)*(GMW!$NF$2:$NF$60=V$1),0),$F136-1966)</f>
        <v>11271.25</v>
      </c>
      <c r="W136" s="4" cm="1">
        <f t="array" ref="W136">INDEX(GMW!$A$2:$NF$60,MATCH(1,(GMW!$NE$2:$NE$60=W$3)*(GMW!$ND$2:$ND$60=W$4)*(GMW!$NF$2:$NF$60=W$1),0),$F136-1966)</f>
        <v>820804</v>
      </c>
      <c r="X136" s="4" cm="1">
        <f t="array" ref="X136">INDEX(GMW!$A$2:$NF$60,MATCH(1,(GMW!$NE$2:$NE$60=X$3)*(GMW!$ND$2:$ND$60=X$4)*(GMW!$NF$2:$NF$60=X$1),0),$F136-1966)</f>
        <v>1460.8389999999999</v>
      </c>
      <c r="Y136" s="4" cm="1">
        <f t="array" ref="Y136">INDEX(GMW!$A$2:$NF$60,MATCH(1,(GMW!$NE$2:$NE$60=Y$3)*(GMW!$ND$2:$ND$60=Y$4)*(GMW!$NF$2:$NF$60=Y$1),0),$F136-1966)</f>
        <v>1529.6790000000001</v>
      </c>
      <c r="Z136" s="4" cm="1">
        <f t="array" ref="Z136">INDEX(GMW!$A$2:$NF$60,MATCH(1,(GMW!$NE$2:$NE$60=Z$3)*(GMW!$ND$2:$ND$60=Z$4)*(GMW!$NF$2:$NF$60=Z$1),0),$F136-1966)</f>
        <v>1730.27</v>
      </c>
      <c r="AA136" s="4" cm="1">
        <f t="array" ref="AA136">INDEX(GMW!$A$2:$NF$60,MATCH(1,(GMW!$NE$2:$NE$60=AA$3)*(GMW!$ND$2:$ND$60=AA$4)*(GMW!$NF$2:$NF$60=AA$1),0),$F136-1966)</f>
        <v>1110420</v>
      </c>
      <c r="AB136" s="4" cm="1">
        <f t="array" ref="AB136">INDEX(GMW!$A$2:$NF$60,MATCH(1,(GMW!$NE$2:$NE$60=AB$3)*(GMW!$ND$2:$ND$60=AB$4)*(GMW!$NF$2:$NF$60=AB$1),0),$F136-1966)</f>
        <v>348491</v>
      </c>
      <c r="AC136" s="4" cm="1">
        <f t="array" ref="AC136">INDEX(GMW!$A$2:$NF$60,MATCH(1,(GMW!$NE$2:$NE$60=AC$3)*(GMW!$ND$2:$ND$60=AC$4)*(GMW!$NF$2:$NF$60=AC$1),0),$F136-1966)</f>
        <v>3230.6750000000002</v>
      </c>
      <c r="AD136" s="4" cm="1">
        <f t="array" ref="AD136">INDEX(GMW!$A$2:$NF$60,MATCH(1,(GMW!$NE$2:$NE$60=AD$3)*(GMW!$ND$2:$ND$60=AD$4)*(GMW!$NF$2:$NF$60=AD$1),0),$F136-1966)</f>
        <v>132835.79999999999</v>
      </c>
      <c r="AE136" s="4" cm="1">
        <f t="array" ref="AE136">INDEX(GMW!$A$2:$NF$60,MATCH(1,(GMW!$NE$2:$NE$60=AE$3)*(GMW!$ND$2:$ND$60=AE$4)*(GMW!$NF$2:$NF$60=AE$1),0),$F136-1966)</f>
        <v>578.00300000000004</v>
      </c>
      <c r="AF136" s="4" cm="1">
        <f t="array" ref="AF136">INDEX(GMW!$A$2:$NF$60,MATCH(1,(GMW!$NE$2:$NE$60=AF$3)*(GMW!$ND$2:$ND$60=AF$4)*(GMW!$NF$2:$NF$60=AF$1),0),$F136-1966)</f>
        <v>437.29599999999999</v>
      </c>
      <c r="AG136" s="4" cm="1">
        <f t="array" ref="AG136">INDEX(GMW!$A$2:$NF$60,MATCH(1,(GMW!$NE$2:$NE$60=AG$3)*(GMW!$ND$2:$ND$60=AG$4)*(GMW!$NF$2:$NF$60=AG$1),0),$F136-1966)</f>
        <v>372.54899999999998</v>
      </c>
      <c r="AH136" s="4" cm="1">
        <f t="array" ref="AH136">INDEX(GMW!$A$2:$NF$60,MATCH(1,(GMW!$NE$2:$NE$60=AH$3)*(GMW!$ND$2:$ND$60=AH$4)*(GMW!$NF$2:$NF$60=AH$1),0),$F136-1966)</f>
        <v>349902</v>
      </c>
    </row>
    <row r="137" spans="1:34" x14ac:dyDescent="0.25">
      <c r="B137" s="4">
        <f t="shared" si="42"/>
        <v>2005</v>
      </c>
      <c r="C137" s="4">
        <f t="shared" si="42"/>
        <v>2005</v>
      </c>
      <c r="F137" s="4">
        <f t="shared" si="38"/>
        <v>2103</v>
      </c>
      <c r="G137" s="4" cm="1">
        <f t="array" ref="G137">INDEX(GMW!$A$2:$NF$60,MATCH(1,(GMW!$NE$2:$NE$60=G$3)*(GMW!$ND$2:$ND$60=G$4)*(GMW!$NF$2:$NF$60=G$1),0),$F137-1966)</f>
        <v>511132</v>
      </c>
      <c r="H137" s="4" cm="1">
        <f t="array" ref="H137">INDEX(GMW!$A$2:$NF$60,MATCH(1,(GMW!$NE$2:$NE$60=H$3)*(GMW!$ND$2:$ND$60=H$4)*(GMW!$NF$2:$NF$60=H$1),0),$F137-1966)</f>
        <v>4011.9</v>
      </c>
      <c r="I137" s="4" cm="1">
        <f t="array" ref="I137">INDEX(GMW!$A$2:$NF$60,MATCH(1,(GMW!$NE$2:$NE$60=I$3)*(GMW!$ND$2:$ND$60=I$4)*(GMW!$NF$2:$NF$60=I$1),0),$F137-1966)</f>
        <v>128875.7</v>
      </c>
      <c r="J137" s="4" cm="1">
        <f t="array" ref="J137">INDEX(GMW!$A$2:$NF$60,MATCH(1,(GMW!$NE$2:$NE$60=J$3)*(GMW!$ND$2:$ND$60=J$4)*(GMW!$NF$2:$NF$60=J$1),0),$F137-1966)</f>
        <v>729.59</v>
      </c>
      <c r="K137" s="4" cm="1">
        <f t="array" ref="K137">INDEX(GMW!$A$2:$NF$60,MATCH(1,(GMW!$NE$2:$NE$60=K$3)*(GMW!$ND$2:$ND$60=K$4)*(GMW!$NF$2:$NF$60=K$1),0),$F137-1966)</f>
        <v>530.97799999999995</v>
      </c>
      <c r="L137" s="4" cm="1">
        <f t="array" ref="L137">INDEX(GMW!$A$2:$NF$60,MATCH(1,(GMW!$NE$2:$NE$60=L$3)*(GMW!$ND$2:$ND$60=L$4)*(GMW!$NF$2:$NF$60=L$1),0),$F137-1966)</f>
        <v>465.476</v>
      </c>
      <c r="M137" s="4" cm="1">
        <f t="array" ref="M137">INDEX(GMW!$A$2:$NF$60,MATCH(1,(GMW!$NE$2:$NE$60=M$3)*(GMW!$ND$2:$ND$60=M$4)*(GMW!$NF$2:$NF$60=M$1),0),$F137-1966)</f>
        <v>438979.8</v>
      </c>
      <c r="N137" s="4" cm="1">
        <f t="array" ref="N137">INDEX(GMW!$A$2:$NF$60,MATCH(1,(GMW!$NE$2:$NE$60=N$3)*(GMW!$ND$2:$ND$60=N$4)*(GMW!$NF$2:$NF$60=N$1),0),$F137-1966)</f>
        <v>-10835</v>
      </c>
      <c r="O137" s="4" cm="1">
        <f t="array" ref="O137">INDEX(GMW!$A$2:$NF$60,MATCH(1,(GMW!$NE$2:$NE$60=O$3)*(GMW!$ND$2:$ND$60=O$4)*(GMW!$NF$2:$NF$60=O$1),0),$F137-1966)</f>
        <v>-157.6183</v>
      </c>
      <c r="P137" s="4" cm="1">
        <f t="array" ref="P137">INDEX(GMW!$A$2:$NF$60,MATCH(1,(GMW!$NE$2:$NE$60=P$3)*(GMW!$ND$2:$ND$60=P$4)*(GMW!$NF$2:$NF$60=P$1),0),$F137-1966)</f>
        <v>-5653.5</v>
      </c>
      <c r="Q137" s="4" cm="1">
        <f t="array" ref="Q137">INDEX(GMW!$A$2:$NF$60,MATCH(1,(GMW!$NE$2:$NE$60=Q$3)*(GMW!$ND$2:$ND$60=Q$4)*(GMW!$NF$2:$NF$60=Q$1),0),$F137-1966)</f>
        <v>-17.934999999999999</v>
      </c>
      <c r="R137" s="4" cm="1">
        <f t="array" ref="R137">INDEX(GMW!$A$2:$NF$60,MATCH(1,(GMW!$NE$2:$NE$60=R$3)*(GMW!$ND$2:$ND$60=R$4)*(GMW!$NF$2:$NF$60=R$1),0),$F137-1966)</f>
        <v>-15.888999999999999</v>
      </c>
      <c r="S137" s="4" cm="1">
        <f t="array" ref="S137">INDEX(GMW!$A$2:$NF$60,MATCH(1,(GMW!$NE$2:$NE$60=S$3)*(GMW!$ND$2:$ND$60=S$4)*(GMW!$NF$2:$NF$60=S$1),0),$F137-1966)</f>
        <v>-15.86988</v>
      </c>
      <c r="T137" s="4" cm="1">
        <f t="array" ref="T137">INDEX(GMW!$A$2:$NF$60,MATCH(1,(GMW!$NE$2:$NE$60=T$3)*(GMW!$ND$2:$ND$60=T$4)*(GMW!$NF$2:$NF$60=T$1),0),$F137-1966)</f>
        <v>7861</v>
      </c>
      <c r="U137" s="4" cm="1">
        <f t="array" ref="U137">INDEX(GMW!$A$2:$NF$60,MATCH(1,(GMW!$NE$2:$NE$60=U$3)*(GMW!$ND$2:$ND$60=U$4)*(GMW!$NF$2:$NF$60=U$1),0),$F137-1966)</f>
        <v>556673</v>
      </c>
      <c r="V137" s="4" cm="1">
        <f t="array" ref="V137">INDEX(GMW!$A$2:$NF$60,MATCH(1,(GMW!$NE$2:$NE$60=V$3)*(GMW!$ND$2:$ND$60=V$4)*(GMW!$NF$2:$NF$60=V$1),0),$F137-1966)</f>
        <v>11417.79</v>
      </c>
      <c r="W137" s="4" cm="1">
        <f t="array" ref="W137">INDEX(GMW!$A$2:$NF$60,MATCH(1,(GMW!$NE$2:$NE$60=W$3)*(GMW!$ND$2:$ND$60=W$4)*(GMW!$NF$2:$NF$60=W$1),0),$F137-1966)</f>
        <v>822152</v>
      </c>
      <c r="X137" s="4" cm="1">
        <f t="array" ref="X137">INDEX(GMW!$A$2:$NF$60,MATCH(1,(GMW!$NE$2:$NE$60=X$3)*(GMW!$ND$2:$ND$60=X$4)*(GMW!$NF$2:$NF$60=X$1),0),$F137-1966)</f>
        <v>1475.0740000000001</v>
      </c>
      <c r="Y137" s="4" cm="1">
        <f t="array" ref="Y137">INDEX(GMW!$A$2:$NF$60,MATCH(1,(GMW!$NE$2:$NE$60=Y$3)*(GMW!$ND$2:$ND$60=Y$4)*(GMW!$NF$2:$NF$60=Y$1),0),$F137-1966)</f>
        <v>1557.5150000000001</v>
      </c>
      <c r="Z137" s="4" cm="1">
        <f t="array" ref="Z137">INDEX(GMW!$A$2:$NF$60,MATCH(1,(GMW!$NE$2:$NE$60=Z$3)*(GMW!$ND$2:$ND$60=Z$4)*(GMW!$NF$2:$NF$60=Z$1),0),$F137-1966)</f>
        <v>1752.7550000000001</v>
      </c>
      <c r="AA137" s="4" cm="1">
        <f t="array" ref="AA137">INDEX(GMW!$A$2:$NF$60,MATCH(1,(GMW!$NE$2:$NE$60=AA$3)*(GMW!$ND$2:$ND$60=AA$4)*(GMW!$NF$2:$NF$60=AA$1),0),$F137-1966)</f>
        <v>1110240</v>
      </c>
      <c r="AB137" s="4" cm="1">
        <f t="array" ref="AB137">INDEX(GMW!$A$2:$NF$60,MATCH(1,(GMW!$NE$2:$NE$60=AB$3)*(GMW!$ND$2:$ND$60=AB$4)*(GMW!$NF$2:$NF$60=AB$1),0),$F137-1966)</f>
        <v>352001</v>
      </c>
      <c r="AC137" s="4" cm="1">
        <f t="array" ref="AC137">INDEX(GMW!$A$2:$NF$60,MATCH(1,(GMW!$NE$2:$NE$60=AC$3)*(GMW!$ND$2:$ND$60=AC$4)*(GMW!$NF$2:$NF$60=AC$1),0),$F137-1966)</f>
        <v>3285.65</v>
      </c>
      <c r="AD137" s="4" cm="1">
        <f t="array" ref="AD137">INDEX(GMW!$A$2:$NF$60,MATCH(1,(GMW!$NE$2:$NE$60=AD$3)*(GMW!$ND$2:$ND$60=AD$4)*(GMW!$NF$2:$NF$60=AD$1),0),$F137-1966)</f>
        <v>133643</v>
      </c>
      <c r="AE137" s="4" cm="1">
        <f t="array" ref="AE137">INDEX(GMW!$A$2:$NF$60,MATCH(1,(GMW!$NE$2:$NE$60=AE$3)*(GMW!$ND$2:$ND$60=AE$4)*(GMW!$NF$2:$NF$60=AE$1),0),$F137-1966)</f>
        <v>583.07600000000002</v>
      </c>
      <c r="AF137" s="4" cm="1">
        <f t="array" ref="AF137">INDEX(GMW!$A$2:$NF$60,MATCH(1,(GMW!$NE$2:$NE$60=AF$3)*(GMW!$ND$2:$ND$60=AF$4)*(GMW!$NF$2:$NF$60=AF$1),0),$F137-1966)</f>
        <v>442.47500000000002</v>
      </c>
      <c r="AG137" s="4" cm="1">
        <f t="array" ref="AG137">INDEX(GMW!$A$2:$NF$60,MATCH(1,(GMW!$NE$2:$NE$60=AG$3)*(GMW!$ND$2:$ND$60=AG$4)*(GMW!$NF$2:$NF$60=AG$1),0),$F137-1966)</f>
        <v>376.61099999999999</v>
      </c>
      <c r="AH137" s="4" cm="1">
        <f t="array" ref="AH137">INDEX(GMW!$A$2:$NF$60,MATCH(1,(GMW!$NE$2:$NE$60=AH$3)*(GMW!$ND$2:$ND$60=AH$4)*(GMW!$NF$2:$NF$60=AH$1),0),$F137-1966)</f>
        <v>359248</v>
      </c>
    </row>
    <row r="138" spans="1:34" x14ac:dyDescent="0.25">
      <c r="B138" s="4">
        <f t="shared" si="42"/>
        <v>2005</v>
      </c>
      <c r="C138" s="4">
        <f t="shared" si="42"/>
        <v>2005</v>
      </c>
      <c r="E138" s="4">
        <f t="shared" ref="E138" si="46">+E134+1</f>
        <v>2005</v>
      </c>
      <c r="F138" s="4">
        <f t="shared" si="38"/>
        <v>2104</v>
      </c>
      <c r="G138" s="4" cm="1">
        <f t="array" ref="G138">INDEX(GMW!$A$2:$NF$60,MATCH(1,(GMW!$NE$2:$NE$60=G$3)*(GMW!$ND$2:$ND$60=G$4)*(GMW!$NF$2:$NF$60=G$1),0),$F138-1966)</f>
        <v>515935</v>
      </c>
      <c r="H138" s="4" cm="1">
        <f t="array" ref="H138">INDEX(GMW!$A$2:$NF$60,MATCH(1,(GMW!$NE$2:$NE$60=H$3)*(GMW!$ND$2:$ND$60=H$4)*(GMW!$NF$2:$NF$60=H$1),0),$F138-1966)</f>
        <v>4034.1750000000002</v>
      </c>
      <c r="I138" s="4" cm="1">
        <f t="array" ref="I138">INDEX(GMW!$A$2:$NF$60,MATCH(1,(GMW!$NE$2:$NE$60=I$3)*(GMW!$ND$2:$ND$60=I$4)*(GMW!$NF$2:$NF$60=I$1),0),$F138-1966)</f>
        <v>129108.6</v>
      </c>
      <c r="J138" s="4" cm="1">
        <f t="array" ref="J138">INDEX(GMW!$A$2:$NF$60,MATCH(1,(GMW!$NE$2:$NE$60=J$3)*(GMW!$ND$2:$ND$60=J$4)*(GMW!$NF$2:$NF$60=J$1),0),$F138-1966)</f>
        <v>732.35</v>
      </c>
      <c r="K138" s="4" cm="1">
        <f t="array" ref="K138">INDEX(GMW!$A$2:$NF$60,MATCH(1,(GMW!$NE$2:$NE$60=K$3)*(GMW!$ND$2:$ND$60=K$4)*(GMW!$NF$2:$NF$60=K$1),0),$F138-1966)</f>
        <v>534.65</v>
      </c>
      <c r="L138" s="4" cm="1">
        <f t="array" ref="L138">INDEX(GMW!$A$2:$NF$60,MATCH(1,(GMW!$NE$2:$NE$60=L$3)*(GMW!$ND$2:$ND$60=L$4)*(GMW!$NF$2:$NF$60=L$1),0),$F138-1966)</f>
        <v>467.64699999999999</v>
      </c>
      <c r="M138" s="4" cm="1">
        <f t="array" ref="M138">INDEX(GMW!$A$2:$NF$60,MATCH(1,(GMW!$NE$2:$NE$60=M$3)*(GMW!$ND$2:$ND$60=M$4)*(GMW!$NF$2:$NF$60=M$1),0),$F138-1966)</f>
        <v>443339.5</v>
      </c>
      <c r="N138" s="4" cm="1">
        <f t="array" ref="N138">INDEX(GMW!$A$2:$NF$60,MATCH(1,(GMW!$NE$2:$NE$60=N$3)*(GMW!$ND$2:$ND$60=N$4)*(GMW!$NF$2:$NF$60=N$1),0),$F138-1966)</f>
        <v>-18317</v>
      </c>
      <c r="O138" s="4" cm="1">
        <f t="array" ref="O138">INDEX(GMW!$A$2:$NF$60,MATCH(1,(GMW!$NE$2:$NE$60=O$3)*(GMW!$ND$2:$ND$60=O$4)*(GMW!$NF$2:$NF$60=O$1),0),$F138-1966)</f>
        <v>-137.4478</v>
      </c>
      <c r="P138" s="4" cm="1">
        <f t="array" ref="P138">INDEX(GMW!$A$2:$NF$60,MATCH(1,(GMW!$NE$2:$NE$60=P$3)*(GMW!$ND$2:$ND$60=P$4)*(GMW!$NF$2:$NF$60=P$1),0),$F138-1966)</f>
        <v>-4995</v>
      </c>
      <c r="Q138" s="4" cm="1">
        <f t="array" ref="Q138">INDEX(GMW!$A$2:$NF$60,MATCH(1,(GMW!$NE$2:$NE$60=Q$3)*(GMW!$ND$2:$ND$60=Q$4)*(GMW!$NF$2:$NF$60=Q$1),0),$F138-1966)</f>
        <v>-15.438000000000001</v>
      </c>
      <c r="R138" s="4" cm="1">
        <f t="array" ref="R138">INDEX(GMW!$A$2:$NF$60,MATCH(1,(GMW!$NE$2:$NE$60=R$3)*(GMW!$ND$2:$ND$60=R$4)*(GMW!$NF$2:$NF$60=R$1),0),$F138-1966)</f>
        <v>-15.872999999999999</v>
      </c>
      <c r="S138" s="4" cm="1">
        <f t="array" ref="S138">INDEX(GMW!$A$2:$NF$60,MATCH(1,(GMW!$NE$2:$NE$60=S$3)*(GMW!$ND$2:$ND$60=S$4)*(GMW!$NF$2:$NF$60=S$1),0),$F138-1966)</f>
        <v>-15.21274</v>
      </c>
      <c r="T138" s="4" cm="1">
        <f t="array" ref="T138">INDEX(GMW!$A$2:$NF$60,MATCH(1,(GMW!$NE$2:$NE$60=T$3)*(GMW!$ND$2:$ND$60=T$4)*(GMW!$NF$2:$NF$60=T$1),0),$F138-1966)</f>
        <v>10372</v>
      </c>
      <c r="U138" s="4" cm="1">
        <f t="array" ref="U138">INDEX(GMW!$A$2:$NF$60,MATCH(1,(GMW!$NE$2:$NE$60=U$3)*(GMW!$ND$2:$ND$60=U$4)*(GMW!$NF$2:$NF$60=U$1),0),$F138-1966)</f>
        <v>573493</v>
      </c>
      <c r="V138" s="4" cm="1">
        <f t="array" ref="V138">INDEX(GMW!$A$2:$NF$60,MATCH(1,(GMW!$NE$2:$NE$60=V$3)*(GMW!$ND$2:$ND$60=V$4)*(GMW!$NF$2:$NF$60=V$1),0),$F138-1966)</f>
        <v>11586.42</v>
      </c>
      <c r="W138" s="4" cm="1">
        <f t="array" ref="W138">INDEX(GMW!$A$2:$NF$60,MATCH(1,(GMW!$NE$2:$NE$60=W$3)*(GMW!$ND$2:$ND$60=W$4)*(GMW!$NF$2:$NF$60=W$1),0),$F138-1966)</f>
        <v>823499</v>
      </c>
      <c r="X138" s="4" cm="1">
        <f t="array" ref="X138">INDEX(GMW!$A$2:$NF$60,MATCH(1,(GMW!$NE$2:$NE$60=X$3)*(GMW!$ND$2:$ND$60=X$4)*(GMW!$NF$2:$NF$60=X$1),0),$F138-1966)</f>
        <v>1488.3720000000001</v>
      </c>
      <c r="Y138" s="4" cm="1">
        <f t="array" ref="Y138">INDEX(GMW!$A$2:$NF$60,MATCH(1,(GMW!$NE$2:$NE$60=Y$3)*(GMW!$ND$2:$ND$60=Y$4)*(GMW!$NF$2:$NF$60=Y$1),0),$F138-1966)</f>
        <v>1548.2429999999999</v>
      </c>
      <c r="Z138" s="4" cm="1">
        <f t="array" ref="Z138">INDEX(GMW!$A$2:$NF$60,MATCH(1,(GMW!$NE$2:$NE$60=Z$3)*(GMW!$ND$2:$ND$60=Z$4)*(GMW!$NF$2:$NF$60=Z$1),0),$F138-1966)</f>
        <v>1775.239</v>
      </c>
      <c r="AA138" s="4" cm="1">
        <f t="array" ref="AA138">INDEX(GMW!$A$2:$NF$60,MATCH(1,(GMW!$NE$2:$NE$60=AA$3)*(GMW!$ND$2:$ND$60=AA$4)*(GMW!$NF$2:$NF$60=AA$1),0),$F138-1966)</f>
        <v>1106114</v>
      </c>
      <c r="AB138" s="4" cm="1">
        <f t="array" ref="AB138">INDEX(GMW!$A$2:$NF$60,MATCH(1,(GMW!$NE$2:$NE$60=AB$3)*(GMW!$ND$2:$ND$60=AB$4)*(GMW!$NF$2:$NF$60=AB$1),0),$F138-1966)</f>
        <v>357003</v>
      </c>
      <c r="AC138" s="4" cm="1">
        <f t="array" ref="AC138">INDEX(GMW!$A$2:$NF$60,MATCH(1,(GMW!$NE$2:$NE$60=AC$3)*(GMW!$ND$2:$ND$60=AC$4)*(GMW!$NF$2:$NF$60=AC$1),0),$F138-1966)</f>
        <v>3331.05</v>
      </c>
      <c r="AD138" s="4" cm="1">
        <f t="array" ref="AD138">INDEX(GMW!$A$2:$NF$60,MATCH(1,(GMW!$NE$2:$NE$60=AD$3)*(GMW!$ND$2:$ND$60=AD$4)*(GMW!$NF$2:$NF$60=AD$1),0),$F138-1966)</f>
        <v>133685</v>
      </c>
      <c r="AE138" s="4" cm="1">
        <f t="array" ref="AE138">INDEX(GMW!$A$2:$NF$60,MATCH(1,(GMW!$NE$2:$NE$60=AE$3)*(GMW!$ND$2:$ND$60=AE$4)*(GMW!$NF$2:$NF$60=AE$1),0),$F138-1966)</f>
        <v>587.09299999999996</v>
      </c>
      <c r="AF138" s="4" cm="1">
        <f t="array" ref="AF138">INDEX(GMW!$A$2:$NF$60,MATCH(1,(GMW!$NE$2:$NE$60=AF$3)*(GMW!$ND$2:$ND$60=AF$4)*(GMW!$NF$2:$NF$60=AF$1),0),$F138-1966)</f>
        <v>447.33699999999999</v>
      </c>
      <c r="AG138" s="4" cm="1">
        <f t="array" ref="AG138">INDEX(GMW!$A$2:$NF$60,MATCH(1,(GMW!$NE$2:$NE$60=AG$3)*(GMW!$ND$2:$ND$60=AG$4)*(GMW!$NF$2:$NF$60=AG$1),0),$F138-1966)</f>
        <v>382.7</v>
      </c>
      <c r="AH138" s="4" cm="1">
        <f t="array" ref="AH138">INDEX(GMW!$A$2:$NF$60,MATCH(1,(GMW!$NE$2:$NE$60=AH$3)*(GMW!$ND$2:$ND$60=AH$4)*(GMW!$NF$2:$NF$60=AH$1),0),$F138-1966)</f>
        <v>367359</v>
      </c>
    </row>
    <row r="139" spans="1:34" x14ac:dyDescent="0.25">
      <c r="A139" s="4">
        <v>2006</v>
      </c>
      <c r="B139" s="4">
        <f t="shared" si="42"/>
        <v>2006</v>
      </c>
      <c r="C139" s="4">
        <f t="shared" si="42"/>
        <v>2005</v>
      </c>
      <c r="D139" s="4">
        <f t="shared" si="42"/>
        <v>2005</v>
      </c>
      <c r="F139" s="4">
        <f t="shared" si="38"/>
        <v>2105</v>
      </c>
      <c r="G139" s="4" cm="1">
        <f t="array" ref="G139">INDEX(GMW!$A$2:$NF$60,MATCH(1,(GMW!$NE$2:$NE$60=G$3)*(GMW!$ND$2:$ND$60=G$4)*(GMW!$NF$2:$NF$60=G$1),0),$F139-1966)</f>
        <v>518495</v>
      </c>
      <c r="H139" s="4" cm="1">
        <f t="array" ref="H139">INDEX(GMW!$A$2:$NF$60,MATCH(1,(GMW!$NE$2:$NE$60=H$3)*(GMW!$ND$2:$ND$60=H$4)*(GMW!$NF$2:$NF$60=H$1),0),$F139-1966)</f>
        <v>4088.45</v>
      </c>
      <c r="I139" s="4" cm="1">
        <f t="array" ref="I139">INDEX(GMW!$A$2:$NF$60,MATCH(1,(GMW!$NE$2:$NE$60=I$3)*(GMW!$ND$2:$ND$60=I$4)*(GMW!$NF$2:$NF$60=I$1),0),$F139-1966)</f>
        <v>129311.9</v>
      </c>
      <c r="J139" s="4" cm="1">
        <f t="array" ref="J139">INDEX(GMW!$A$2:$NF$60,MATCH(1,(GMW!$NE$2:$NE$60=J$3)*(GMW!$ND$2:$ND$60=J$4)*(GMW!$NF$2:$NF$60=J$1),0),$F139-1966)</f>
        <v>740.52</v>
      </c>
      <c r="K139" s="4" cm="1">
        <f t="array" ref="K139">INDEX(GMW!$A$2:$NF$60,MATCH(1,(GMW!$NE$2:$NE$60=K$3)*(GMW!$ND$2:$ND$60=K$4)*(GMW!$NF$2:$NF$60=K$1),0),$F139-1966)</f>
        <v>539.351</v>
      </c>
      <c r="L139" s="4" cm="1">
        <f t="array" ref="L139">INDEX(GMW!$A$2:$NF$60,MATCH(1,(GMW!$NE$2:$NE$60=L$3)*(GMW!$ND$2:$ND$60=L$4)*(GMW!$NF$2:$NF$60=L$1),0),$F139-1966)</f>
        <v>468.87</v>
      </c>
      <c r="M139" s="4" cm="1">
        <f t="array" ref="M139">INDEX(GMW!$A$2:$NF$60,MATCH(1,(GMW!$NE$2:$NE$60=M$3)*(GMW!$ND$2:$ND$60=M$4)*(GMW!$NF$2:$NF$60=M$1),0),$F139-1966)</f>
        <v>446939</v>
      </c>
      <c r="N139" s="4" cm="1">
        <f t="array" ref="N139">INDEX(GMW!$A$2:$NF$60,MATCH(1,(GMW!$NE$2:$NE$60=N$3)*(GMW!$ND$2:$ND$60=N$4)*(GMW!$NF$2:$NF$60=N$1),0),$F139-1966)</f>
        <v>-3348</v>
      </c>
      <c r="O139" s="4" cm="1">
        <f t="array" ref="O139">INDEX(GMW!$A$2:$NF$60,MATCH(1,(GMW!$NE$2:$NE$60=O$3)*(GMW!$ND$2:$ND$60=O$4)*(GMW!$NF$2:$NF$60=O$1),0),$F139-1966)</f>
        <v>-119.2255</v>
      </c>
      <c r="P139" s="4" cm="1">
        <f t="array" ref="P139">INDEX(GMW!$A$2:$NF$60,MATCH(1,(GMW!$NE$2:$NE$60=P$3)*(GMW!$ND$2:$ND$60=P$4)*(GMW!$NF$2:$NF$60=P$1),0),$F139-1966)</f>
        <v>-4444.75</v>
      </c>
      <c r="Q139" s="4" cm="1">
        <f t="array" ref="Q139">INDEX(GMW!$A$2:$NF$60,MATCH(1,(GMW!$NE$2:$NE$60=Q$3)*(GMW!$ND$2:$ND$60=Q$4)*(GMW!$NF$2:$NF$60=Q$1),0),$F139-1966)</f>
        <v>-14.547000000000001</v>
      </c>
      <c r="R139" s="4" cm="1">
        <f t="array" ref="R139">INDEX(GMW!$A$2:$NF$60,MATCH(1,(GMW!$NE$2:$NE$60=R$3)*(GMW!$ND$2:$ND$60=R$4)*(GMW!$NF$2:$NF$60=R$1),0),$F139-1966)</f>
        <v>-13.458</v>
      </c>
      <c r="S139" s="4" cm="1">
        <f t="array" ref="S139">INDEX(GMW!$A$2:$NF$60,MATCH(1,(GMW!$NE$2:$NE$60=S$3)*(GMW!$ND$2:$ND$60=S$4)*(GMW!$NF$2:$NF$60=S$1),0),$F139-1966)</f>
        <v>-15.16778</v>
      </c>
      <c r="T139" s="4" cm="1">
        <f t="array" ref="T139">INDEX(GMW!$A$2:$NF$60,MATCH(1,(GMW!$NE$2:$NE$60=T$3)*(GMW!$ND$2:$ND$60=T$4)*(GMW!$NF$2:$NF$60=T$1),0),$F139-1966)</f>
        <v>8512</v>
      </c>
      <c r="U139" s="4" cm="1">
        <f t="array" ref="U139">INDEX(GMW!$A$2:$NF$60,MATCH(1,(GMW!$NE$2:$NE$60=U$3)*(GMW!$ND$2:$ND$60=U$4)*(GMW!$NF$2:$NF$60=U$1),0),$F139-1966)</f>
        <v>574744</v>
      </c>
      <c r="V139" s="4" cm="1">
        <f t="array" ref="V139">INDEX(GMW!$A$2:$NF$60,MATCH(1,(GMW!$NE$2:$NE$60=V$3)*(GMW!$ND$2:$ND$60=V$4)*(GMW!$NF$2:$NF$60=V$1),0),$F139-1966)</f>
        <v>11661.08</v>
      </c>
      <c r="W139" s="4" cm="1">
        <f t="array" ref="W139">INDEX(GMW!$A$2:$NF$60,MATCH(1,(GMW!$NE$2:$NE$60=W$3)*(GMW!$ND$2:$ND$60=W$4)*(GMW!$NF$2:$NF$60=W$1),0),$F139-1966)</f>
        <v>822238</v>
      </c>
      <c r="X139" s="4" cm="1">
        <f t="array" ref="X139">INDEX(GMW!$A$2:$NF$60,MATCH(1,(GMW!$NE$2:$NE$60=X$3)*(GMW!$ND$2:$ND$60=X$4)*(GMW!$NF$2:$NF$60=X$1),0),$F139-1966)</f>
        <v>1505.674</v>
      </c>
      <c r="Y139" s="4" cm="1">
        <f t="array" ref="Y139">INDEX(GMW!$A$2:$NF$60,MATCH(1,(GMW!$NE$2:$NE$60=Y$3)*(GMW!$ND$2:$ND$60=Y$4)*(GMW!$NF$2:$NF$60=Y$1),0),$F139-1966)</f>
        <v>1547.6759999999999</v>
      </c>
      <c r="Z139" s="4" cm="1">
        <f t="array" ref="Z139">INDEX(GMW!$A$2:$NF$60,MATCH(1,(GMW!$NE$2:$NE$60=Z$3)*(GMW!$ND$2:$ND$60=Z$4)*(GMW!$NF$2:$NF$60=Z$1),0),$F139-1966)</f>
        <v>1781.329</v>
      </c>
      <c r="AA139" s="4" cm="1">
        <f t="array" ref="AA139">INDEX(GMW!$A$2:$NF$60,MATCH(1,(GMW!$NE$2:$NE$60=AA$3)*(GMW!$ND$2:$ND$60=AA$4)*(GMW!$NF$2:$NF$60=AA$1),0),$F139-1966)</f>
        <v>1117939</v>
      </c>
      <c r="AB139" s="4" cm="1">
        <f t="array" ref="AB139">INDEX(GMW!$A$2:$NF$60,MATCH(1,(GMW!$NE$2:$NE$60=AB$3)*(GMW!$ND$2:$ND$60=AB$4)*(GMW!$NF$2:$NF$60=AB$1),0),$F139-1966)</f>
        <v>361213</v>
      </c>
      <c r="AC139" s="4" cm="1">
        <f t="array" ref="AC139">INDEX(GMW!$A$2:$NF$60,MATCH(1,(GMW!$NE$2:$NE$60=AC$3)*(GMW!$ND$2:$ND$60=AC$4)*(GMW!$NF$2:$NF$60=AC$1),0),$F139-1966)</f>
        <v>3399.8</v>
      </c>
      <c r="AD139" s="4" cm="1">
        <f t="array" ref="AD139">INDEX(GMW!$A$2:$NF$60,MATCH(1,(GMW!$NE$2:$NE$60=AD$3)*(GMW!$ND$2:$ND$60=AD$4)*(GMW!$NF$2:$NF$60=AD$1),0),$F139-1966)</f>
        <v>133642.20000000001</v>
      </c>
      <c r="AE139" s="4" cm="1">
        <f t="array" ref="AE139">INDEX(GMW!$A$2:$NF$60,MATCH(1,(GMW!$NE$2:$NE$60=AE$3)*(GMW!$ND$2:$ND$60=AE$4)*(GMW!$NF$2:$NF$60=AE$1),0),$F139-1966)</f>
        <v>592.1</v>
      </c>
      <c r="AF139" s="4" cm="1">
        <f t="array" ref="AF139">INDEX(GMW!$A$2:$NF$60,MATCH(1,(GMW!$NE$2:$NE$60=AF$3)*(GMW!$ND$2:$ND$60=AF$4)*(GMW!$NF$2:$NF$60=AF$1),0),$F139-1966)</f>
        <v>452.92500000000001</v>
      </c>
      <c r="AG139" s="4" cm="1">
        <f t="array" ref="AG139">INDEX(GMW!$A$2:$NF$60,MATCH(1,(GMW!$NE$2:$NE$60=AG$3)*(GMW!$ND$2:$ND$60=AG$4)*(GMW!$NF$2:$NF$60=AG$1),0),$F139-1966)</f>
        <v>383.50599999999997</v>
      </c>
      <c r="AH139" s="4" cm="1">
        <f t="array" ref="AH139">INDEX(GMW!$A$2:$NF$60,MATCH(1,(GMW!$NE$2:$NE$60=AH$3)*(GMW!$ND$2:$ND$60=AH$4)*(GMW!$NF$2:$NF$60=AH$1),0),$F139-1966)</f>
        <v>369000</v>
      </c>
    </row>
    <row r="140" spans="1:34" x14ac:dyDescent="0.25">
      <c r="B140" s="4">
        <f t="shared" ref="B140:D155" si="47">+B136+1</f>
        <v>2006</v>
      </c>
      <c r="C140" s="4">
        <f t="shared" si="47"/>
        <v>2006</v>
      </c>
      <c r="F140" s="4">
        <f t="shared" si="38"/>
        <v>2106</v>
      </c>
      <c r="G140" s="4" cm="1">
        <f t="array" ref="G140">INDEX(GMW!$A$2:$NF$60,MATCH(1,(GMW!$NE$2:$NE$60=G$3)*(GMW!$ND$2:$ND$60=G$4)*(GMW!$NF$2:$NF$60=G$1),0),$F140-1966)</f>
        <v>520318</v>
      </c>
      <c r="H140" s="4" cm="1">
        <f t="array" ref="H140">INDEX(GMW!$A$2:$NF$60,MATCH(1,(GMW!$NE$2:$NE$60=H$3)*(GMW!$ND$2:$ND$60=H$4)*(GMW!$NF$2:$NF$60=H$1),0),$F140-1966)</f>
        <v>4099.05</v>
      </c>
      <c r="I140" s="4" cm="1">
        <f t="array" ref="I140">INDEX(GMW!$A$2:$NF$60,MATCH(1,(GMW!$NE$2:$NE$60=I$3)*(GMW!$ND$2:$ND$60=I$4)*(GMW!$NF$2:$NF$60=I$1),0),$F140-1966)</f>
        <v>129494.1</v>
      </c>
      <c r="J140" s="4" cm="1">
        <f t="array" ref="J140">INDEX(GMW!$A$2:$NF$60,MATCH(1,(GMW!$NE$2:$NE$60=J$3)*(GMW!$ND$2:$ND$60=J$4)*(GMW!$NF$2:$NF$60=J$1),0),$F140-1966)</f>
        <v>753.21</v>
      </c>
      <c r="K140" s="4" cm="1">
        <f t="array" ref="K140">INDEX(GMW!$A$2:$NF$60,MATCH(1,(GMW!$NE$2:$NE$60=K$3)*(GMW!$ND$2:$ND$60=K$4)*(GMW!$NF$2:$NF$60=K$1),0),$F140-1966)</f>
        <v>545.83100000000002</v>
      </c>
      <c r="L140" s="4" cm="1">
        <f t="array" ref="L140">INDEX(GMW!$A$2:$NF$60,MATCH(1,(GMW!$NE$2:$NE$60=L$3)*(GMW!$ND$2:$ND$60=L$4)*(GMW!$NF$2:$NF$60=L$1),0),$F140-1966)</f>
        <v>470.60399999999998</v>
      </c>
      <c r="M140" s="4" cm="1">
        <f t="array" ref="M140">INDEX(GMW!$A$2:$NF$60,MATCH(1,(GMW!$NE$2:$NE$60=M$3)*(GMW!$ND$2:$ND$60=M$4)*(GMW!$NF$2:$NF$60=M$1),0),$F140-1966)</f>
        <v>447162.5</v>
      </c>
      <c r="N140" s="4" cm="1">
        <f t="array" ref="N140">INDEX(GMW!$A$2:$NF$60,MATCH(1,(GMW!$NE$2:$NE$60=N$3)*(GMW!$ND$2:$ND$60=N$4)*(GMW!$NF$2:$NF$60=N$1),0),$F140-1966)</f>
        <v>-13332</v>
      </c>
      <c r="O140" s="4" cm="1">
        <f t="array" ref="O140">INDEX(GMW!$A$2:$NF$60,MATCH(1,(GMW!$NE$2:$NE$60=O$3)*(GMW!$ND$2:$ND$60=O$4)*(GMW!$NF$2:$NF$60=O$1),0),$F140-1966)</f>
        <v>-118.02500000000001</v>
      </c>
      <c r="P140" s="4" cm="1">
        <f t="array" ref="P140">INDEX(GMW!$A$2:$NF$60,MATCH(1,(GMW!$NE$2:$NE$60=P$3)*(GMW!$ND$2:$ND$60=P$4)*(GMW!$NF$2:$NF$60=P$1),0),$F140-1966)</f>
        <v>-4057.5</v>
      </c>
      <c r="Q140" s="4" cm="1">
        <f t="array" ref="Q140">INDEX(GMW!$A$2:$NF$60,MATCH(1,(GMW!$NE$2:$NE$60=Q$3)*(GMW!$ND$2:$ND$60=Q$4)*(GMW!$NF$2:$NF$60=Q$1),0),$F140-1966)</f>
        <v>-12.694000000000001</v>
      </c>
      <c r="R140" s="4" cm="1">
        <f t="array" ref="R140">INDEX(GMW!$A$2:$NF$60,MATCH(1,(GMW!$NE$2:$NE$60=R$3)*(GMW!$ND$2:$ND$60=R$4)*(GMW!$NF$2:$NF$60=R$1),0),$F140-1966)</f>
        <v>-12.974</v>
      </c>
      <c r="S140" s="4" cm="1">
        <f t="array" ref="S140">INDEX(GMW!$A$2:$NF$60,MATCH(1,(GMW!$NE$2:$NE$60=S$3)*(GMW!$ND$2:$ND$60=S$4)*(GMW!$NF$2:$NF$60=S$1),0),$F140-1966)</f>
        <v>-15.44829</v>
      </c>
      <c r="T140" s="4" cm="1">
        <f t="array" ref="T140">INDEX(GMW!$A$2:$NF$60,MATCH(1,(GMW!$NE$2:$NE$60=T$3)*(GMW!$ND$2:$ND$60=T$4)*(GMW!$NF$2:$NF$60=T$1),0),$F140-1966)</f>
        <v>11777</v>
      </c>
      <c r="U140" s="4" cm="1">
        <f t="array" ref="U140">INDEX(GMW!$A$2:$NF$60,MATCH(1,(GMW!$NE$2:$NE$60=U$3)*(GMW!$ND$2:$ND$60=U$4)*(GMW!$NF$2:$NF$60=U$1),0),$F140-1966)</f>
        <v>597446</v>
      </c>
      <c r="V140" s="4" cm="1">
        <f t="array" ref="V140">INDEX(GMW!$A$2:$NF$60,MATCH(1,(GMW!$NE$2:$NE$60=V$3)*(GMW!$ND$2:$ND$60=V$4)*(GMW!$NF$2:$NF$60=V$1),0),$F140-1966)</f>
        <v>11750.37</v>
      </c>
      <c r="W140" s="4" cm="1">
        <f t="array" ref="W140">INDEX(GMW!$A$2:$NF$60,MATCH(1,(GMW!$NE$2:$NE$60=W$3)*(GMW!$ND$2:$ND$60=W$4)*(GMW!$NF$2:$NF$60=W$1),0),$F140-1966)</f>
        <v>820976</v>
      </c>
      <c r="X140" s="4" cm="1">
        <f t="array" ref="X140">INDEX(GMW!$A$2:$NF$60,MATCH(1,(GMW!$NE$2:$NE$60=X$3)*(GMW!$ND$2:$ND$60=X$4)*(GMW!$NF$2:$NF$60=X$1),0),$F140-1966)</f>
        <v>1523.261</v>
      </c>
      <c r="Y140" s="4" cm="1">
        <f t="array" ref="Y140">INDEX(GMW!$A$2:$NF$60,MATCH(1,(GMW!$NE$2:$NE$60=Y$3)*(GMW!$ND$2:$ND$60=Y$4)*(GMW!$NF$2:$NF$60=Y$1),0),$F140-1966)</f>
        <v>1525.4290000000001</v>
      </c>
      <c r="Z140" s="4" cm="1">
        <f t="array" ref="Z140">INDEX(GMW!$A$2:$NF$60,MATCH(1,(GMW!$NE$2:$NE$60=Z$3)*(GMW!$ND$2:$ND$60=Z$4)*(GMW!$NF$2:$NF$60=Z$1),0),$F140-1966)</f>
        <v>1787.4179999999999</v>
      </c>
      <c r="AA140" s="4" cm="1">
        <f t="array" ref="AA140">INDEX(GMW!$A$2:$NF$60,MATCH(1,(GMW!$NE$2:$NE$60=AA$3)*(GMW!$ND$2:$ND$60=AA$4)*(GMW!$NF$2:$NF$60=AA$1),0),$F140-1966)</f>
        <v>1102423</v>
      </c>
      <c r="AB140" s="4" cm="1">
        <f t="array" ref="AB140">INDEX(GMW!$A$2:$NF$60,MATCH(1,(GMW!$NE$2:$NE$60=AB$3)*(GMW!$ND$2:$ND$60=AB$4)*(GMW!$NF$2:$NF$60=AB$1),0),$F140-1966)</f>
        <v>367042</v>
      </c>
      <c r="AC140" s="4" cm="1">
        <f t="array" ref="AC140">INDEX(GMW!$A$2:$NF$60,MATCH(1,(GMW!$NE$2:$NE$60=AC$3)*(GMW!$ND$2:$ND$60=AC$4)*(GMW!$NF$2:$NF$60=AC$1),0),$F140-1966)</f>
        <v>3438.35</v>
      </c>
      <c r="AD140" s="4" cm="1">
        <f t="array" ref="AD140">INDEX(GMW!$A$2:$NF$60,MATCH(1,(GMW!$NE$2:$NE$60=AD$3)*(GMW!$ND$2:$ND$60=AD$4)*(GMW!$NF$2:$NF$60=AD$1),0),$F140-1966)</f>
        <v>133497.29999999999</v>
      </c>
      <c r="AE140" s="4" cm="1">
        <f t="array" ref="AE140">INDEX(GMW!$A$2:$NF$60,MATCH(1,(GMW!$NE$2:$NE$60=AE$3)*(GMW!$ND$2:$ND$60=AE$4)*(GMW!$NF$2:$NF$60=AE$1),0),$F140-1966)</f>
        <v>603.87099999999998</v>
      </c>
      <c r="AF140" s="4" cm="1">
        <f t="array" ref="AF140">INDEX(GMW!$A$2:$NF$60,MATCH(1,(GMW!$NE$2:$NE$60=AF$3)*(GMW!$ND$2:$ND$60=AF$4)*(GMW!$NF$2:$NF$60=AF$1),0),$F140-1966)</f>
        <v>460.34300000000002</v>
      </c>
      <c r="AG140" s="4" cm="1">
        <f t="array" ref="AG140">INDEX(GMW!$A$2:$NF$60,MATCH(1,(GMW!$NE$2:$NE$60=AG$3)*(GMW!$ND$2:$ND$60=AG$4)*(GMW!$NF$2:$NF$60=AG$1),0),$F140-1966)</f>
        <v>389.38400000000001</v>
      </c>
      <c r="AH140" s="4" cm="1">
        <f t="array" ref="AH140">INDEX(GMW!$A$2:$NF$60,MATCH(1,(GMW!$NE$2:$NE$60=AH$3)*(GMW!$ND$2:$ND$60=AH$4)*(GMW!$NF$2:$NF$60=AH$1),0),$F140-1966)</f>
        <v>372679</v>
      </c>
    </row>
    <row r="141" spans="1:34" x14ac:dyDescent="0.25">
      <c r="B141" s="4">
        <f t="shared" si="47"/>
        <v>2006</v>
      </c>
      <c r="C141" s="4">
        <f t="shared" si="47"/>
        <v>2006</v>
      </c>
      <c r="F141" s="4">
        <f t="shared" si="38"/>
        <v>2107</v>
      </c>
      <c r="G141" s="4" cm="1">
        <f t="array" ref="G141">INDEX(GMW!$A$2:$NF$60,MATCH(1,(GMW!$NE$2:$NE$60=G$3)*(GMW!$ND$2:$ND$60=G$4)*(GMW!$NF$2:$NF$60=G$1),0),$F141-1966)</f>
        <v>521780</v>
      </c>
      <c r="H141" s="4" cm="1">
        <f t="array" ref="H141">INDEX(GMW!$A$2:$NF$60,MATCH(1,(GMW!$NE$2:$NE$60=H$3)*(GMW!$ND$2:$ND$60=H$4)*(GMW!$NF$2:$NF$60=H$1),0),$F141-1966)</f>
        <v>4105.1750000000002</v>
      </c>
      <c r="I141" s="4" cm="1">
        <f t="array" ref="I141">INDEX(GMW!$A$2:$NF$60,MATCH(1,(GMW!$NE$2:$NE$60=I$3)*(GMW!$ND$2:$ND$60=I$4)*(GMW!$NF$2:$NF$60=I$1),0),$F141-1966)</f>
        <v>129248</v>
      </c>
      <c r="J141" s="4" cm="1">
        <f t="array" ref="J141">INDEX(GMW!$A$2:$NF$60,MATCH(1,(GMW!$NE$2:$NE$60=J$3)*(GMW!$ND$2:$ND$60=J$4)*(GMW!$NF$2:$NF$60=J$1),0),$F141-1966)</f>
        <v>758.9</v>
      </c>
      <c r="K141" s="4" cm="1">
        <f t="array" ref="K141">INDEX(GMW!$A$2:$NF$60,MATCH(1,(GMW!$NE$2:$NE$60=K$3)*(GMW!$ND$2:$ND$60=K$4)*(GMW!$NF$2:$NF$60=K$1),0),$F141-1966)</f>
        <v>546.20399999999995</v>
      </c>
      <c r="L141" s="4" cm="1">
        <f t="array" ref="L141">INDEX(GMW!$A$2:$NF$60,MATCH(1,(GMW!$NE$2:$NE$60=L$3)*(GMW!$ND$2:$ND$60=L$4)*(GMW!$NF$2:$NF$60=L$1),0),$F141-1966)</f>
        <v>472.08600000000001</v>
      </c>
      <c r="M141" s="4" cm="1">
        <f t="array" ref="M141">INDEX(GMW!$A$2:$NF$60,MATCH(1,(GMW!$NE$2:$NE$60=M$3)*(GMW!$ND$2:$ND$60=M$4)*(GMW!$NF$2:$NF$60=M$1),0),$F141-1966)</f>
        <v>448421.3</v>
      </c>
      <c r="N141" s="4" cm="1">
        <f t="array" ref="N141">INDEX(GMW!$A$2:$NF$60,MATCH(1,(GMW!$NE$2:$NE$60=N$3)*(GMW!$ND$2:$ND$60=N$4)*(GMW!$NF$2:$NF$60=N$1),0),$F141-1966)</f>
        <v>-11687</v>
      </c>
      <c r="O141" s="4" cm="1">
        <f t="array" ref="O141">INDEX(GMW!$A$2:$NF$60,MATCH(1,(GMW!$NE$2:$NE$60=O$3)*(GMW!$ND$2:$ND$60=O$4)*(GMW!$NF$2:$NF$60=O$1),0),$F141-1966)</f>
        <v>-117.7483</v>
      </c>
      <c r="P141" s="4" cm="1">
        <f t="array" ref="P141">INDEX(GMW!$A$2:$NF$60,MATCH(1,(GMW!$NE$2:$NE$60=P$3)*(GMW!$ND$2:$ND$60=P$4)*(GMW!$NF$2:$NF$60=P$1),0),$F141-1966)</f>
        <v>-3787</v>
      </c>
      <c r="Q141" s="4" cm="1">
        <f t="array" ref="Q141">INDEX(GMW!$A$2:$NF$60,MATCH(1,(GMW!$NE$2:$NE$60=Q$3)*(GMW!$ND$2:$ND$60=Q$4)*(GMW!$NF$2:$NF$60=Q$1),0),$F141-1966)</f>
        <v>-8.2669999999999995</v>
      </c>
      <c r="R141" s="4" cm="1">
        <f t="array" ref="R141">INDEX(GMW!$A$2:$NF$60,MATCH(1,(GMW!$NE$2:$NE$60=R$3)*(GMW!$ND$2:$ND$60=R$4)*(GMW!$NF$2:$NF$60=R$1),0),$F141-1966)</f>
        <v>-13.263</v>
      </c>
      <c r="S141" s="4" cm="1">
        <f t="array" ref="S141">INDEX(GMW!$A$2:$NF$60,MATCH(1,(GMW!$NE$2:$NE$60=S$3)*(GMW!$ND$2:$ND$60=S$4)*(GMW!$NF$2:$NF$60=S$1),0),$F141-1966)</f>
        <v>-14.20025</v>
      </c>
      <c r="T141" s="4" cm="1">
        <f t="array" ref="T141">INDEX(GMW!$A$2:$NF$60,MATCH(1,(GMW!$NE$2:$NE$60=T$3)*(GMW!$ND$2:$ND$60=T$4)*(GMW!$NF$2:$NF$60=T$1),0),$F141-1966)</f>
        <v>10002</v>
      </c>
      <c r="U141" s="4" cm="1">
        <f t="array" ref="U141">INDEX(GMW!$A$2:$NF$60,MATCH(1,(GMW!$NE$2:$NE$60=U$3)*(GMW!$ND$2:$ND$60=U$4)*(GMW!$NF$2:$NF$60=U$1),0),$F141-1966)</f>
        <v>606328</v>
      </c>
      <c r="V141" s="4" cm="1">
        <f t="array" ref="V141">INDEX(GMW!$A$2:$NF$60,MATCH(1,(GMW!$NE$2:$NE$60=V$3)*(GMW!$ND$2:$ND$60=V$4)*(GMW!$NF$2:$NF$60=V$1),0),$F141-1966)</f>
        <v>11830.04</v>
      </c>
      <c r="W141" s="4" cm="1">
        <f t="array" ref="W141">INDEX(GMW!$A$2:$NF$60,MATCH(1,(GMW!$NE$2:$NE$60=W$3)*(GMW!$ND$2:$ND$60=W$4)*(GMW!$NF$2:$NF$60=W$1),0),$F141-1966)</f>
        <v>819715</v>
      </c>
      <c r="X141" s="4" cm="1">
        <f t="array" ref="X141">INDEX(GMW!$A$2:$NF$60,MATCH(1,(GMW!$NE$2:$NE$60=X$3)*(GMW!$ND$2:$ND$60=X$4)*(GMW!$NF$2:$NF$60=X$1),0),$F141-1966)</f>
        <v>1530.9590000000001</v>
      </c>
      <c r="Y141" s="4" cm="1">
        <f t="array" ref="Y141">INDEX(GMW!$A$2:$NF$60,MATCH(1,(GMW!$NE$2:$NE$60=Y$3)*(GMW!$ND$2:$ND$60=Y$4)*(GMW!$NF$2:$NF$60=Y$1),0),$F141-1966)</f>
        <v>1550.2919999999999</v>
      </c>
      <c r="Z141" s="4" cm="1">
        <f t="array" ref="Z141">INDEX(GMW!$A$2:$NF$60,MATCH(1,(GMW!$NE$2:$NE$60=Z$3)*(GMW!$ND$2:$ND$60=Z$4)*(GMW!$NF$2:$NF$60=Z$1),0),$F141-1966)</f>
        <v>1793.508</v>
      </c>
      <c r="AA141" s="4" cm="1">
        <f t="array" ref="AA141">INDEX(GMW!$A$2:$NF$60,MATCH(1,(GMW!$NE$2:$NE$60=AA$3)*(GMW!$ND$2:$ND$60=AA$4)*(GMW!$NF$2:$NF$60=AA$1),0),$F141-1966)</f>
        <v>1107262</v>
      </c>
      <c r="AB141" s="4" cm="1">
        <f t="array" ref="AB141">INDEX(GMW!$A$2:$NF$60,MATCH(1,(GMW!$NE$2:$NE$60=AB$3)*(GMW!$ND$2:$ND$60=AB$4)*(GMW!$NF$2:$NF$60=AB$1),0),$F141-1966)</f>
        <v>370883</v>
      </c>
      <c r="AC141" s="4" cm="1">
        <f t="array" ref="AC141">INDEX(GMW!$A$2:$NF$60,MATCH(1,(GMW!$NE$2:$NE$60=AC$3)*(GMW!$ND$2:$ND$60=AC$4)*(GMW!$NF$2:$NF$60=AC$1),0),$F141-1966)</f>
        <v>3467.55</v>
      </c>
      <c r="AD141" s="4" cm="1">
        <f t="array" ref="AD141">INDEX(GMW!$A$2:$NF$60,MATCH(1,(GMW!$NE$2:$NE$60=AD$3)*(GMW!$ND$2:$ND$60=AD$4)*(GMW!$NF$2:$NF$60=AD$1),0),$F141-1966)</f>
        <v>133057.1</v>
      </c>
      <c r="AE141" s="4" cm="1">
        <f t="array" ref="AE141">INDEX(GMW!$A$2:$NF$60,MATCH(1,(GMW!$NE$2:$NE$60=AE$3)*(GMW!$ND$2:$ND$60=AE$4)*(GMW!$NF$2:$NF$60=AE$1),0),$F141-1966)</f>
        <v>609.66700000000003</v>
      </c>
      <c r="AF141" s="4" cm="1">
        <f t="array" ref="AF141">INDEX(GMW!$A$2:$NF$60,MATCH(1,(GMW!$NE$2:$NE$60=AF$3)*(GMW!$ND$2:$ND$60=AF$4)*(GMW!$NF$2:$NF$60=AF$1),0),$F141-1966)</f>
        <v>464.86099999999999</v>
      </c>
      <c r="AG141" s="4" cm="1">
        <f t="array" ref="AG141">INDEX(GMW!$A$2:$NF$60,MATCH(1,(GMW!$NE$2:$NE$60=AG$3)*(GMW!$ND$2:$ND$60=AG$4)*(GMW!$NF$2:$NF$60=AG$1),0),$F141-1966)</f>
        <v>392.28199999999998</v>
      </c>
      <c r="AH141" s="4" cm="1">
        <f t="array" ref="AH141">INDEX(GMW!$A$2:$NF$60,MATCH(1,(GMW!$NE$2:$NE$60=AH$3)*(GMW!$ND$2:$ND$60=AH$4)*(GMW!$NF$2:$NF$60=AH$1),0),$F141-1966)</f>
        <v>376234</v>
      </c>
    </row>
    <row r="142" spans="1:34" x14ac:dyDescent="0.25">
      <c r="B142" s="4">
        <f t="shared" si="47"/>
        <v>2006</v>
      </c>
      <c r="C142" s="4">
        <f t="shared" si="47"/>
        <v>2006</v>
      </c>
      <c r="E142" s="4">
        <f t="shared" ref="E142" si="48">+E138+1</f>
        <v>2006</v>
      </c>
      <c r="F142" s="4">
        <f t="shared" si="38"/>
        <v>2108</v>
      </c>
      <c r="G142" s="4" cm="1">
        <f t="array" ref="G142">INDEX(GMW!$A$2:$NF$60,MATCH(1,(GMW!$NE$2:$NE$60=G$3)*(GMW!$ND$2:$ND$60=G$4)*(GMW!$NF$2:$NF$60=G$1),0),$F142-1966)</f>
        <v>524569</v>
      </c>
      <c r="H142" s="4" cm="1">
        <f t="array" ref="H142">INDEX(GMW!$A$2:$NF$60,MATCH(1,(GMW!$NE$2:$NE$60=H$3)*(GMW!$ND$2:$ND$60=H$4)*(GMW!$NF$2:$NF$60=H$1),0),$F142-1966)</f>
        <v>4140.4750000000004</v>
      </c>
      <c r="I142" s="4" cm="1">
        <f t="array" ref="I142">INDEX(GMW!$A$2:$NF$60,MATCH(1,(GMW!$NE$2:$NE$60=I$3)*(GMW!$ND$2:$ND$60=I$4)*(GMW!$NF$2:$NF$60=I$1),0),$F142-1966)</f>
        <v>130994.4</v>
      </c>
      <c r="J142" s="4" cm="1">
        <f t="array" ref="J142">INDEX(GMW!$A$2:$NF$60,MATCH(1,(GMW!$NE$2:$NE$60=J$3)*(GMW!$ND$2:$ND$60=J$4)*(GMW!$NF$2:$NF$60=J$1),0),$F142-1966)</f>
        <v>770.03</v>
      </c>
      <c r="K142" s="4" cm="1">
        <f t="array" ref="K142">INDEX(GMW!$A$2:$NF$60,MATCH(1,(GMW!$NE$2:$NE$60=K$3)*(GMW!$ND$2:$ND$60=K$4)*(GMW!$NF$2:$NF$60=K$1),0),$F142-1966)</f>
        <v>549.18799999999999</v>
      </c>
      <c r="L142" s="4" cm="1">
        <f t="array" ref="L142">INDEX(GMW!$A$2:$NF$60,MATCH(1,(GMW!$NE$2:$NE$60=L$3)*(GMW!$ND$2:$ND$60=L$4)*(GMW!$NF$2:$NF$60=L$1),0),$F142-1966)</f>
        <v>478.75599999999997</v>
      </c>
      <c r="M142" s="4" cm="1">
        <f t="array" ref="M142">INDEX(GMW!$A$2:$NF$60,MATCH(1,(GMW!$NE$2:$NE$60=M$3)*(GMW!$ND$2:$ND$60=M$4)*(GMW!$NF$2:$NF$60=M$1),0),$F142-1966)</f>
        <v>450207</v>
      </c>
      <c r="N142" s="4" cm="1">
        <f t="array" ref="N142">INDEX(GMW!$A$2:$NF$60,MATCH(1,(GMW!$NE$2:$NE$60=N$3)*(GMW!$ND$2:$ND$60=N$4)*(GMW!$NF$2:$NF$60=N$1),0),$F142-1966)</f>
        <v>-15903</v>
      </c>
      <c r="O142" s="4" cm="1">
        <f t="array" ref="O142">INDEX(GMW!$A$2:$NF$60,MATCH(1,(GMW!$NE$2:$NE$60=O$3)*(GMW!$ND$2:$ND$60=O$4)*(GMW!$NF$2:$NF$60=O$1),0),$F142-1966)</f>
        <v>-121.09699999999999</v>
      </c>
      <c r="P142" s="4" cm="1">
        <f t="array" ref="P142">INDEX(GMW!$A$2:$NF$60,MATCH(1,(GMW!$NE$2:$NE$60=P$3)*(GMW!$ND$2:$ND$60=P$4)*(GMW!$NF$2:$NF$60=P$1),0),$F142-1966)</f>
        <v>-3919.75</v>
      </c>
      <c r="Q142" s="4" cm="1">
        <f t="array" ref="Q142">INDEX(GMW!$A$2:$NF$60,MATCH(1,(GMW!$NE$2:$NE$60=Q$3)*(GMW!$ND$2:$ND$60=Q$4)*(GMW!$NF$2:$NF$60=Q$1),0),$F142-1966)</f>
        <v>-7.0750000000000002</v>
      </c>
      <c r="R142" s="4" cm="1">
        <f t="array" ref="R142">INDEX(GMW!$A$2:$NF$60,MATCH(1,(GMW!$NE$2:$NE$60=R$3)*(GMW!$ND$2:$ND$60=R$4)*(GMW!$NF$2:$NF$60=R$1),0),$F142-1966)</f>
        <v>-9.3989999999999991</v>
      </c>
      <c r="S142" s="4" cm="1">
        <f t="array" ref="S142">INDEX(GMW!$A$2:$NF$60,MATCH(1,(GMW!$NE$2:$NE$60=S$3)*(GMW!$ND$2:$ND$60=S$4)*(GMW!$NF$2:$NF$60=S$1),0),$F142-1966)</f>
        <v>-11.423679999999999</v>
      </c>
      <c r="T142" s="4" cm="1">
        <f t="array" ref="T142">INDEX(GMW!$A$2:$NF$60,MATCH(1,(GMW!$NE$2:$NE$60=T$3)*(GMW!$ND$2:$ND$60=T$4)*(GMW!$NF$2:$NF$60=T$1),0),$F142-1966)</f>
        <v>11325</v>
      </c>
      <c r="U142" s="4" cm="1">
        <f t="array" ref="U142">INDEX(GMW!$A$2:$NF$60,MATCH(1,(GMW!$NE$2:$NE$60=U$3)*(GMW!$ND$2:$ND$60=U$4)*(GMW!$NF$2:$NF$60=U$1),0),$F142-1966)</f>
        <v>619114</v>
      </c>
      <c r="V142" s="4" cm="1">
        <f t="array" ref="V142">INDEX(GMW!$A$2:$NF$60,MATCH(1,(GMW!$NE$2:$NE$60=V$3)*(GMW!$ND$2:$ND$60=V$4)*(GMW!$NF$2:$NF$60=V$1),0),$F142-1966)</f>
        <v>11913.59</v>
      </c>
      <c r="W142" s="4" cm="1">
        <f t="array" ref="W142">INDEX(GMW!$A$2:$NF$60,MATCH(1,(GMW!$NE$2:$NE$60=W$3)*(GMW!$ND$2:$ND$60=W$4)*(GMW!$NF$2:$NF$60=W$1),0),$F142-1966)</f>
        <v>818453</v>
      </c>
      <c r="X142" s="4" cm="1">
        <f t="array" ref="X142">INDEX(GMW!$A$2:$NF$60,MATCH(1,(GMW!$NE$2:$NE$60=X$3)*(GMW!$ND$2:$ND$60=X$4)*(GMW!$NF$2:$NF$60=X$1),0),$F142-1966)</f>
        <v>1528.7670000000001</v>
      </c>
      <c r="Y142" s="4" cm="1">
        <f t="array" ref="Y142">INDEX(GMW!$A$2:$NF$60,MATCH(1,(GMW!$NE$2:$NE$60=Y$3)*(GMW!$ND$2:$ND$60=Y$4)*(GMW!$NF$2:$NF$60=Y$1),0),$F142-1966)</f>
        <v>1539.9949999999999</v>
      </c>
      <c r="Z142" s="4" cm="1">
        <f t="array" ref="Z142">INDEX(GMW!$A$2:$NF$60,MATCH(1,(GMW!$NE$2:$NE$60=Z$3)*(GMW!$ND$2:$ND$60=Z$4)*(GMW!$NF$2:$NF$60=Z$1),0),$F142-1966)</f>
        <v>1799.598</v>
      </c>
      <c r="AA142" s="4" cm="1">
        <f t="array" ref="AA142">INDEX(GMW!$A$2:$NF$60,MATCH(1,(GMW!$NE$2:$NE$60=AA$3)*(GMW!$ND$2:$ND$60=AA$4)*(GMW!$NF$2:$NF$60=AA$1),0),$F142-1966)</f>
        <v>1126511</v>
      </c>
      <c r="AB142" s="4" cm="1">
        <f t="array" ref="AB142">INDEX(GMW!$A$2:$NF$60,MATCH(1,(GMW!$NE$2:$NE$60=AB$3)*(GMW!$ND$2:$ND$60=AB$4)*(GMW!$NF$2:$NF$60=AB$1),0),$F142-1966)</f>
        <v>372900</v>
      </c>
      <c r="AC142" s="4" cm="1">
        <f t="array" ref="AC142">INDEX(GMW!$A$2:$NF$60,MATCH(1,(GMW!$NE$2:$NE$60=AC$3)*(GMW!$ND$2:$ND$60=AC$4)*(GMW!$NF$2:$NF$60=AC$1),0),$F142-1966)</f>
        <v>3509.9</v>
      </c>
      <c r="AD142" s="4" cm="1">
        <f t="array" ref="AD142">INDEX(GMW!$A$2:$NF$60,MATCH(1,(GMW!$NE$2:$NE$60=AD$3)*(GMW!$ND$2:$ND$60=AD$4)*(GMW!$NF$2:$NF$60=AD$1),0),$F142-1966)</f>
        <v>134978.6</v>
      </c>
      <c r="AE142" s="4" cm="1">
        <f t="array" ref="AE142">INDEX(GMW!$A$2:$NF$60,MATCH(1,(GMW!$NE$2:$NE$60=AE$3)*(GMW!$ND$2:$ND$60=AE$4)*(GMW!$NF$2:$NF$60=AE$1),0),$F142-1966)</f>
        <v>621.33000000000004</v>
      </c>
      <c r="AF142" s="4" cm="1">
        <f t="array" ref="AF142">INDEX(GMW!$A$2:$NF$60,MATCH(1,(GMW!$NE$2:$NE$60=AF$3)*(GMW!$ND$2:$ND$60=AF$4)*(GMW!$NF$2:$NF$60=AF$1),0),$F142-1966)</f>
        <v>469.97899999999998</v>
      </c>
      <c r="AG142" s="4" cm="1">
        <f t="array" ref="AG142">INDEX(GMW!$A$2:$NF$60,MATCH(1,(GMW!$NE$2:$NE$60=AG$3)*(GMW!$ND$2:$ND$60=AG$4)*(GMW!$NF$2:$NF$60=AG$1),0),$F142-1966)</f>
        <v>398.31299999999999</v>
      </c>
      <c r="AH142" s="4" cm="1">
        <f t="array" ref="AH142">INDEX(GMW!$A$2:$NF$60,MATCH(1,(GMW!$NE$2:$NE$60=AH$3)*(GMW!$ND$2:$ND$60=AH$4)*(GMW!$NF$2:$NF$60=AH$1),0),$F142-1966)</f>
        <v>378691</v>
      </c>
    </row>
    <row r="143" spans="1:34" x14ac:dyDescent="0.25">
      <c r="A143" s="4">
        <v>2007</v>
      </c>
      <c r="B143" s="4">
        <f t="shared" si="47"/>
        <v>2007</v>
      </c>
      <c r="C143" s="4">
        <f t="shared" si="47"/>
        <v>2006</v>
      </c>
      <c r="D143" s="4">
        <f t="shared" si="47"/>
        <v>2006</v>
      </c>
      <c r="F143" s="4">
        <f t="shared" si="38"/>
        <v>2109</v>
      </c>
      <c r="G143" s="4" cm="1">
        <f t="array" ref="G143">INDEX(GMW!$A$2:$NF$60,MATCH(1,(GMW!$NE$2:$NE$60=G$3)*(GMW!$ND$2:$ND$60=G$4)*(GMW!$NF$2:$NF$60=G$1),0),$F143-1966)</f>
        <v>529398</v>
      </c>
      <c r="H143" s="4" cm="1">
        <f t="array" ref="H143">INDEX(GMW!$A$2:$NF$60,MATCH(1,(GMW!$NE$2:$NE$60=H$3)*(GMW!$ND$2:$ND$60=H$4)*(GMW!$NF$2:$NF$60=H$1),0),$F143-1966)</f>
        <v>4152.9250000000002</v>
      </c>
      <c r="I143" s="4" cm="1">
        <f t="array" ref="I143">INDEX(GMW!$A$2:$NF$60,MATCH(1,(GMW!$NE$2:$NE$60=I$3)*(GMW!$ND$2:$ND$60=I$4)*(GMW!$NF$2:$NF$60=I$1),0),$F143-1966)</f>
        <v>131865.70000000001</v>
      </c>
      <c r="J143" s="4" cm="1">
        <f t="array" ref="J143">INDEX(GMW!$A$2:$NF$60,MATCH(1,(GMW!$NE$2:$NE$60=J$3)*(GMW!$ND$2:$ND$60=J$4)*(GMW!$NF$2:$NF$60=J$1),0),$F143-1966)</f>
        <v>771.04</v>
      </c>
      <c r="K143" s="4" cm="1">
        <f t="array" ref="K143">INDEX(GMW!$A$2:$NF$60,MATCH(1,(GMW!$NE$2:$NE$60=K$3)*(GMW!$ND$2:$ND$60=K$4)*(GMW!$NF$2:$NF$60=K$1),0),$F143-1966)</f>
        <v>554.92600000000004</v>
      </c>
      <c r="L143" s="4" cm="1">
        <f t="array" ref="L143">INDEX(GMW!$A$2:$NF$60,MATCH(1,(GMW!$NE$2:$NE$60=L$3)*(GMW!$ND$2:$ND$60=L$4)*(GMW!$NF$2:$NF$60=L$1),0),$F143-1966)</f>
        <v>477.75700000000001</v>
      </c>
      <c r="M143" s="4" cm="1">
        <f t="array" ref="M143">INDEX(GMW!$A$2:$NF$60,MATCH(1,(GMW!$NE$2:$NE$60=M$3)*(GMW!$ND$2:$ND$60=M$4)*(GMW!$NF$2:$NF$60=M$1),0),$F143-1966)</f>
        <v>453080.3</v>
      </c>
      <c r="N143" s="4" cm="1">
        <f t="array" ref="N143">INDEX(GMW!$A$2:$NF$60,MATCH(1,(GMW!$NE$2:$NE$60=N$3)*(GMW!$ND$2:$ND$60=N$4)*(GMW!$NF$2:$NF$60=N$1),0),$F143-1966)</f>
        <v>-680</v>
      </c>
      <c r="O143" s="4" cm="1">
        <f t="array" ref="O143">INDEX(GMW!$A$2:$NF$60,MATCH(1,(GMW!$NE$2:$NE$60=O$3)*(GMW!$ND$2:$ND$60=O$4)*(GMW!$NF$2:$NF$60=O$1),0),$F143-1966)</f>
        <v>-128.61070000000001</v>
      </c>
      <c r="P143" s="4" cm="1">
        <f t="array" ref="P143">INDEX(GMW!$A$2:$NF$60,MATCH(1,(GMW!$NE$2:$NE$60=P$3)*(GMW!$ND$2:$ND$60=P$4)*(GMW!$NF$2:$NF$60=P$1),0),$F143-1966)</f>
        <v>-4004.75</v>
      </c>
      <c r="Q143" s="4" cm="1">
        <f t="array" ref="Q143">INDEX(GMW!$A$2:$NF$60,MATCH(1,(GMW!$NE$2:$NE$60=Q$3)*(GMW!$ND$2:$ND$60=Q$4)*(GMW!$NF$2:$NF$60=Q$1),0),$F143-1966)</f>
        <v>-0.14899999999999999</v>
      </c>
      <c r="R143" s="4" cm="1">
        <f t="array" ref="R143">INDEX(GMW!$A$2:$NF$60,MATCH(1,(GMW!$NE$2:$NE$60=R$3)*(GMW!$ND$2:$ND$60=R$4)*(GMW!$NF$2:$NF$60=R$1),0),$F143-1966)</f>
        <v>-14.563000000000001</v>
      </c>
      <c r="S143" s="4" cm="1">
        <f t="array" ref="S143">INDEX(GMW!$A$2:$NF$60,MATCH(1,(GMW!$NE$2:$NE$60=S$3)*(GMW!$ND$2:$ND$60=S$4)*(GMW!$NF$2:$NF$60=S$1),0),$F143-1966)</f>
        <v>-7.4624969999999999</v>
      </c>
      <c r="T143" s="4" cm="1">
        <f t="array" ref="T143">INDEX(GMW!$A$2:$NF$60,MATCH(1,(GMW!$NE$2:$NE$60=T$3)*(GMW!$ND$2:$ND$60=T$4)*(GMW!$NF$2:$NF$60=T$1),0),$F143-1966)</f>
        <v>9010</v>
      </c>
      <c r="U143" s="4" cm="1">
        <f t="array" ref="U143">INDEX(GMW!$A$2:$NF$60,MATCH(1,(GMW!$NE$2:$NE$60=U$3)*(GMW!$ND$2:$ND$60=U$4)*(GMW!$NF$2:$NF$60=U$1),0),$F143-1966)</f>
        <v>618021</v>
      </c>
      <c r="V143" s="4" cm="1">
        <f t="array" ref="V143">INDEX(GMW!$A$2:$NF$60,MATCH(1,(GMW!$NE$2:$NE$60=V$3)*(GMW!$ND$2:$ND$60=V$4)*(GMW!$NF$2:$NF$60=V$1),0),$F143-1966)</f>
        <v>12184.71</v>
      </c>
      <c r="W143" s="4" cm="1">
        <f t="array" ref="W143">INDEX(GMW!$A$2:$NF$60,MATCH(1,(GMW!$NE$2:$NE$60=W$3)*(GMW!$ND$2:$ND$60=W$4)*(GMW!$NF$2:$NF$60=W$1),0),$F143-1966)</f>
        <v>820110</v>
      </c>
      <c r="X143" s="4" cm="1">
        <f t="array" ref="X143">INDEX(GMW!$A$2:$NF$60,MATCH(1,(GMW!$NE$2:$NE$60=X$3)*(GMW!$ND$2:$ND$60=X$4)*(GMW!$NF$2:$NF$60=X$1),0),$F143-1966)</f>
        <v>1524.9490000000001</v>
      </c>
      <c r="Y143" s="4" cm="1">
        <f t="array" ref="Y143">INDEX(GMW!$A$2:$NF$60,MATCH(1,(GMW!$NE$2:$NE$60=Y$3)*(GMW!$ND$2:$ND$60=Y$4)*(GMW!$NF$2:$NF$60=Y$1),0),$F143-1966)</f>
        <v>1572.6590000000001</v>
      </c>
      <c r="Z143" s="4" cm="1">
        <f t="array" ref="Z143">INDEX(GMW!$A$2:$NF$60,MATCH(1,(GMW!$NE$2:$NE$60=Z$3)*(GMW!$ND$2:$ND$60=Z$4)*(GMW!$NF$2:$NF$60=Z$1),0),$F143-1966)</f>
        <v>1798.807</v>
      </c>
      <c r="AA143" s="4" cm="1">
        <f t="array" ref="AA143">INDEX(GMW!$A$2:$NF$60,MATCH(1,(GMW!$NE$2:$NE$60=AA$3)*(GMW!$ND$2:$ND$60=AA$4)*(GMW!$NF$2:$NF$60=AA$1),0),$F143-1966)</f>
        <v>1139051</v>
      </c>
      <c r="AB143" s="4" cm="1">
        <f t="array" ref="AB143">INDEX(GMW!$A$2:$NF$60,MATCH(1,(GMW!$NE$2:$NE$60=AB$3)*(GMW!$ND$2:$ND$60=AB$4)*(GMW!$NF$2:$NF$60=AB$1),0),$F143-1966)</f>
        <v>376958</v>
      </c>
      <c r="AC143" s="4" cm="1">
        <f t="array" ref="AC143">INDEX(GMW!$A$2:$NF$60,MATCH(1,(GMW!$NE$2:$NE$60=AC$3)*(GMW!$ND$2:$ND$60=AC$4)*(GMW!$NF$2:$NF$60=AC$1),0),$F143-1966)</f>
        <v>3553.9250000000002</v>
      </c>
      <c r="AD143" s="4" cm="1">
        <f t="array" ref="AD143">INDEX(GMW!$A$2:$NF$60,MATCH(1,(GMW!$NE$2:$NE$60=AD$3)*(GMW!$ND$2:$ND$60=AD$4)*(GMW!$NF$2:$NF$60=AD$1),0),$F143-1966)</f>
        <v>135497.1</v>
      </c>
      <c r="AE143" s="4" cm="1">
        <f t="array" ref="AE143">INDEX(GMW!$A$2:$NF$60,MATCH(1,(GMW!$NE$2:$NE$60=AE$3)*(GMW!$ND$2:$ND$60=AE$4)*(GMW!$NF$2:$NF$60=AE$1),0),$F143-1966)</f>
        <v>628.18299999999999</v>
      </c>
      <c r="AF143" s="4" cm="1">
        <f t="array" ref="AF143">INDEX(GMW!$A$2:$NF$60,MATCH(1,(GMW!$NE$2:$NE$60=AF$3)*(GMW!$ND$2:$ND$60=AF$4)*(GMW!$NF$2:$NF$60=AF$1),0),$F143-1966)</f>
        <v>477.22500000000002</v>
      </c>
      <c r="AG143" s="4" cm="1">
        <f t="array" ref="AG143">INDEX(GMW!$A$2:$NF$60,MATCH(1,(GMW!$NE$2:$NE$60=AG$3)*(GMW!$ND$2:$ND$60=AG$4)*(GMW!$NF$2:$NF$60=AG$1),0),$F143-1966)</f>
        <v>400.03</v>
      </c>
      <c r="AH143" s="4" cm="1">
        <f t="array" ref="AH143">INDEX(GMW!$A$2:$NF$60,MATCH(1,(GMW!$NE$2:$NE$60=AH$3)*(GMW!$ND$2:$ND$60=AH$4)*(GMW!$NF$2:$NF$60=AH$1),0),$F143-1966)</f>
        <v>386819</v>
      </c>
    </row>
    <row r="144" spans="1:34" x14ac:dyDescent="0.25">
      <c r="B144" s="4">
        <f t="shared" si="47"/>
        <v>2007</v>
      </c>
      <c r="C144" s="4">
        <f t="shared" si="47"/>
        <v>2007</v>
      </c>
      <c r="F144" s="4">
        <f t="shared" si="38"/>
        <v>2110</v>
      </c>
      <c r="G144" s="4" cm="1">
        <f t="array" ref="G144">INDEX(GMW!$A$2:$NF$60,MATCH(1,(GMW!$NE$2:$NE$60=G$3)*(GMW!$ND$2:$ND$60=G$4)*(GMW!$NF$2:$NF$60=G$1),0),$F144-1966)</f>
        <v>533187</v>
      </c>
      <c r="H144" s="4" cm="1">
        <f t="array" ref="H144">INDEX(GMW!$A$2:$NF$60,MATCH(1,(GMW!$NE$2:$NE$60=H$3)*(GMW!$ND$2:$ND$60=H$4)*(GMW!$NF$2:$NF$60=H$1),0),$F144-1966)</f>
        <v>4178.3249999999998</v>
      </c>
      <c r="I144" s="4" cm="1">
        <f t="array" ref="I144">INDEX(GMW!$A$2:$NF$60,MATCH(1,(GMW!$NE$2:$NE$60=I$3)*(GMW!$ND$2:$ND$60=I$4)*(GMW!$NF$2:$NF$60=I$1),0),$F144-1966)</f>
        <v>131898.29999999999</v>
      </c>
      <c r="J144" s="4" cm="1">
        <f t="array" ref="J144">INDEX(GMW!$A$2:$NF$60,MATCH(1,(GMW!$NE$2:$NE$60=J$3)*(GMW!$ND$2:$ND$60=J$4)*(GMW!$NF$2:$NF$60=J$1),0),$F144-1966)</f>
        <v>776.13</v>
      </c>
      <c r="K144" s="4" cm="1">
        <f t="array" ref="K144">INDEX(GMW!$A$2:$NF$60,MATCH(1,(GMW!$NE$2:$NE$60=K$3)*(GMW!$ND$2:$ND$60=K$4)*(GMW!$NF$2:$NF$60=K$1),0),$F144-1966)</f>
        <v>558.57399999999996</v>
      </c>
      <c r="L144" s="4" cm="1">
        <f t="array" ref="L144">INDEX(GMW!$A$2:$NF$60,MATCH(1,(GMW!$NE$2:$NE$60=L$3)*(GMW!$ND$2:$ND$60=L$4)*(GMW!$NF$2:$NF$60=L$1),0),$F144-1966)</f>
        <v>479.13900000000001</v>
      </c>
      <c r="M144" s="4" cm="1">
        <f t="array" ref="M144">INDEX(GMW!$A$2:$NF$60,MATCH(1,(GMW!$NE$2:$NE$60=M$3)*(GMW!$ND$2:$ND$60=M$4)*(GMW!$NF$2:$NF$60=M$1),0),$F144-1966)</f>
        <v>457455.8</v>
      </c>
      <c r="N144" s="4" cm="1">
        <f t="array" ref="N144">INDEX(GMW!$A$2:$NF$60,MATCH(1,(GMW!$NE$2:$NE$60=N$3)*(GMW!$ND$2:$ND$60=N$4)*(GMW!$NF$2:$NF$60=N$1),0),$F144-1966)</f>
        <v>-12355</v>
      </c>
      <c r="O144" s="4" cm="1">
        <f t="array" ref="O144">INDEX(GMW!$A$2:$NF$60,MATCH(1,(GMW!$NE$2:$NE$60=O$3)*(GMW!$ND$2:$ND$60=O$4)*(GMW!$NF$2:$NF$60=O$1),0),$F144-1966)</f>
        <v>-131.61269999999999</v>
      </c>
      <c r="P144" s="4" cm="1">
        <f t="array" ref="P144">INDEX(GMW!$A$2:$NF$60,MATCH(1,(GMW!$NE$2:$NE$60=P$3)*(GMW!$ND$2:$ND$60=P$4)*(GMW!$NF$2:$NF$60=P$1),0),$F144-1966)</f>
        <v>-4065.75</v>
      </c>
      <c r="Q144" s="4" cm="1">
        <f t="array" ref="Q144">INDEX(GMW!$A$2:$NF$60,MATCH(1,(GMW!$NE$2:$NE$60=Q$3)*(GMW!$ND$2:$ND$60=Q$4)*(GMW!$NF$2:$NF$60=Q$1),0),$F144-1966)</f>
        <v>2.452</v>
      </c>
      <c r="R144" s="4" cm="1">
        <f t="array" ref="R144">INDEX(GMW!$A$2:$NF$60,MATCH(1,(GMW!$NE$2:$NE$60=R$3)*(GMW!$ND$2:$ND$60=R$4)*(GMW!$NF$2:$NF$60=R$1),0),$F144-1966)</f>
        <v>-13.12</v>
      </c>
      <c r="S144" s="4" cm="1">
        <f t="array" ref="S144">INDEX(GMW!$A$2:$NF$60,MATCH(1,(GMW!$NE$2:$NE$60=S$3)*(GMW!$ND$2:$ND$60=S$4)*(GMW!$NF$2:$NF$60=S$1),0),$F144-1966)</f>
        <v>-4.1494410000000004</v>
      </c>
      <c r="T144" s="4" cm="1">
        <f t="array" ref="T144">INDEX(GMW!$A$2:$NF$60,MATCH(1,(GMW!$NE$2:$NE$60=T$3)*(GMW!$ND$2:$ND$60=T$4)*(GMW!$NF$2:$NF$60=T$1),0),$F144-1966)</f>
        <v>13509</v>
      </c>
      <c r="U144" s="4" cm="1">
        <f t="array" ref="U144">INDEX(GMW!$A$2:$NF$60,MATCH(1,(GMW!$NE$2:$NE$60=U$3)*(GMW!$ND$2:$ND$60=U$4)*(GMW!$NF$2:$NF$60=U$1),0),$F144-1966)</f>
        <v>639495</v>
      </c>
      <c r="V144" s="4" cm="1">
        <f t="array" ref="V144">INDEX(GMW!$A$2:$NF$60,MATCH(1,(GMW!$NE$2:$NE$60=V$3)*(GMW!$ND$2:$ND$60=V$4)*(GMW!$NF$2:$NF$60=V$1),0),$F144-1966)</f>
        <v>12019.91</v>
      </c>
      <c r="W144" s="4" cm="1">
        <f t="array" ref="W144">INDEX(GMW!$A$2:$NF$60,MATCH(1,(GMW!$NE$2:$NE$60=W$3)*(GMW!$ND$2:$ND$60=W$4)*(GMW!$NF$2:$NF$60=W$1),0),$F144-1966)</f>
        <v>821768</v>
      </c>
      <c r="X144" s="4" cm="1">
        <f t="array" ref="X144">INDEX(GMW!$A$2:$NF$60,MATCH(1,(GMW!$NE$2:$NE$60=X$3)*(GMW!$ND$2:$ND$60=X$4)*(GMW!$NF$2:$NF$60=X$1),0),$F144-1966)</f>
        <v>1525.18</v>
      </c>
      <c r="Y144" s="4" cm="1">
        <f t="array" ref="Y144">INDEX(GMW!$A$2:$NF$60,MATCH(1,(GMW!$NE$2:$NE$60=Y$3)*(GMW!$ND$2:$ND$60=Y$4)*(GMW!$NF$2:$NF$60=Y$1),0),$F144-1966)</f>
        <v>1576.6420000000001</v>
      </c>
      <c r="Z144" s="4" cm="1">
        <f t="array" ref="Z144">INDEX(GMW!$A$2:$NF$60,MATCH(1,(GMW!$NE$2:$NE$60=Z$3)*(GMW!$ND$2:$ND$60=Z$4)*(GMW!$NF$2:$NF$60=Z$1),0),$F144-1966)</f>
        <v>1798.0160000000001</v>
      </c>
      <c r="AA144" s="4" cm="1">
        <f t="array" ref="AA144">INDEX(GMW!$A$2:$NF$60,MATCH(1,(GMW!$NE$2:$NE$60=AA$3)*(GMW!$ND$2:$ND$60=AA$4)*(GMW!$NF$2:$NF$60=AA$1),0),$F144-1966)</f>
        <v>1106199</v>
      </c>
      <c r="AB144" s="4" cm="1">
        <f t="array" ref="AB144">INDEX(GMW!$A$2:$NF$60,MATCH(1,(GMW!$NE$2:$NE$60=AB$3)*(GMW!$ND$2:$ND$60=AB$4)*(GMW!$NF$2:$NF$60=AB$1),0),$F144-1966)</f>
        <v>386144</v>
      </c>
      <c r="AC144" s="4" cm="1">
        <f t="array" ref="AC144">INDEX(GMW!$A$2:$NF$60,MATCH(1,(GMW!$NE$2:$NE$60=AC$3)*(GMW!$ND$2:$ND$60=AC$4)*(GMW!$NF$2:$NF$60=AC$1),0),$F144-1966)</f>
        <v>3600.5250000000001</v>
      </c>
      <c r="AD144" s="4" cm="1">
        <f t="array" ref="AD144">INDEX(GMW!$A$2:$NF$60,MATCH(1,(GMW!$NE$2:$NE$60=AD$3)*(GMW!$ND$2:$ND$60=AD$4)*(GMW!$NF$2:$NF$60=AD$1),0),$F144-1966)</f>
        <v>135508.4</v>
      </c>
      <c r="AE144" s="4" cm="1">
        <f t="array" ref="AE144">INDEX(GMW!$A$2:$NF$60,MATCH(1,(GMW!$NE$2:$NE$60=AE$3)*(GMW!$ND$2:$ND$60=AE$4)*(GMW!$NF$2:$NF$60=AE$1),0),$F144-1966)</f>
        <v>633.40800000000002</v>
      </c>
      <c r="AF144" s="4" cm="1">
        <f t="array" ref="AF144">INDEX(GMW!$A$2:$NF$60,MATCH(1,(GMW!$NE$2:$NE$60=AF$3)*(GMW!$ND$2:$ND$60=AF$4)*(GMW!$NF$2:$NF$60=AF$1),0),$F144-1966)</f>
        <v>483.04399999999998</v>
      </c>
      <c r="AG144" s="4" cm="1">
        <f t="array" ref="AG144">INDEX(GMW!$A$2:$NF$60,MATCH(1,(GMW!$NE$2:$NE$60=AG$3)*(GMW!$ND$2:$ND$60=AG$4)*(GMW!$NF$2:$NF$60=AG$1),0),$F144-1966)</f>
        <v>403.62200000000001</v>
      </c>
      <c r="AH144" s="4" cm="1">
        <f t="array" ref="AH144">INDEX(GMW!$A$2:$NF$60,MATCH(1,(GMW!$NE$2:$NE$60=AH$3)*(GMW!$ND$2:$ND$60=AH$4)*(GMW!$NF$2:$NF$60=AH$1),0),$F144-1966)</f>
        <v>394153</v>
      </c>
    </row>
    <row r="145" spans="1:34" x14ac:dyDescent="0.25">
      <c r="B145" s="4">
        <f t="shared" si="47"/>
        <v>2007</v>
      </c>
      <c r="C145" s="4">
        <f t="shared" si="47"/>
        <v>2007</v>
      </c>
      <c r="F145" s="4">
        <f t="shared" si="38"/>
        <v>2111</v>
      </c>
      <c r="G145" s="4" cm="1">
        <f t="array" ref="G145">INDEX(GMW!$A$2:$NF$60,MATCH(1,(GMW!$NE$2:$NE$60=G$3)*(GMW!$ND$2:$ND$60=G$4)*(GMW!$NF$2:$NF$60=G$1),0),$F145-1966)</f>
        <v>537052</v>
      </c>
      <c r="H145" s="4" cm="1">
        <f t="array" ref="H145">INDEX(GMW!$A$2:$NF$60,MATCH(1,(GMW!$NE$2:$NE$60=H$3)*(GMW!$ND$2:$ND$60=H$4)*(GMW!$NF$2:$NF$60=H$1),0),$F145-1966)</f>
        <v>4202.3999999999996</v>
      </c>
      <c r="I145" s="4" cm="1">
        <f t="array" ref="I145">INDEX(GMW!$A$2:$NF$60,MATCH(1,(GMW!$NE$2:$NE$60=I$3)*(GMW!$ND$2:$ND$60=I$4)*(GMW!$NF$2:$NF$60=I$1),0),$F145-1966)</f>
        <v>131197.29999999999</v>
      </c>
      <c r="J145" s="4" cm="1">
        <f t="array" ref="J145">INDEX(GMW!$A$2:$NF$60,MATCH(1,(GMW!$NE$2:$NE$60=J$3)*(GMW!$ND$2:$ND$60=J$4)*(GMW!$NF$2:$NF$60=J$1),0),$F145-1966)</f>
        <v>780.1</v>
      </c>
      <c r="K145" s="4" cm="1">
        <f t="array" ref="K145">INDEX(GMW!$A$2:$NF$60,MATCH(1,(GMW!$NE$2:$NE$60=K$3)*(GMW!$ND$2:$ND$60=K$4)*(GMW!$NF$2:$NF$60=K$1),0),$F145-1966)</f>
        <v>560.33299999999997</v>
      </c>
      <c r="L145" s="4" cm="1">
        <f t="array" ref="L145">INDEX(GMW!$A$2:$NF$60,MATCH(1,(GMW!$NE$2:$NE$60=L$3)*(GMW!$ND$2:$ND$60=L$4)*(GMW!$NF$2:$NF$60=L$1),0),$F145-1966)</f>
        <v>479.29899999999998</v>
      </c>
      <c r="M145" s="4" cm="1">
        <f t="array" ref="M145">INDEX(GMW!$A$2:$NF$60,MATCH(1,(GMW!$NE$2:$NE$60=M$3)*(GMW!$ND$2:$ND$60=M$4)*(GMW!$NF$2:$NF$60=M$1),0),$F145-1966)</f>
        <v>459169.8</v>
      </c>
      <c r="N145" s="4" cm="1">
        <f t="array" ref="N145">INDEX(GMW!$A$2:$NF$60,MATCH(1,(GMW!$NE$2:$NE$60=N$3)*(GMW!$ND$2:$ND$60=N$4)*(GMW!$NF$2:$NF$60=N$1),0),$F145-1966)</f>
        <v>-11388</v>
      </c>
      <c r="O145" s="4" cm="1">
        <f t="array" ref="O145">INDEX(GMW!$A$2:$NF$60,MATCH(1,(GMW!$NE$2:$NE$60=O$3)*(GMW!$ND$2:$ND$60=O$4)*(GMW!$NF$2:$NF$60=O$1),0),$F145-1966)</f>
        <v>-152.54400000000001</v>
      </c>
      <c r="P145" s="4" cm="1">
        <f t="array" ref="P145">INDEX(GMW!$A$2:$NF$60,MATCH(1,(GMW!$NE$2:$NE$60=P$3)*(GMW!$ND$2:$ND$60=P$4)*(GMW!$NF$2:$NF$60=P$1),0),$F145-1966)</f>
        <v>-3624</v>
      </c>
      <c r="Q145" s="4" cm="1">
        <f t="array" ref="Q145">INDEX(GMW!$A$2:$NF$60,MATCH(1,(GMW!$NE$2:$NE$60=Q$3)*(GMW!$ND$2:$ND$60=Q$4)*(GMW!$NF$2:$NF$60=Q$1),0),$F145-1966)</f>
        <v>1.3759999999999999</v>
      </c>
      <c r="R145" s="4" cm="1">
        <f t="array" ref="R145">INDEX(GMW!$A$2:$NF$60,MATCH(1,(GMW!$NE$2:$NE$60=R$3)*(GMW!$ND$2:$ND$60=R$4)*(GMW!$NF$2:$NF$60=R$1),0),$F145-1966)</f>
        <v>-13.962</v>
      </c>
      <c r="S145" s="4" cm="1">
        <f t="array" ref="S145">INDEX(GMW!$A$2:$NF$60,MATCH(1,(GMW!$NE$2:$NE$60=S$3)*(GMW!$ND$2:$ND$60=S$4)*(GMW!$NF$2:$NF$60=S$1),0),$F145-1966)</f>
        <v>-3.7192219999999998</v>
      </c>
      <c r="T145" s="4" cm="1">
        <f t="array" ref="T145">INDEX(GMW!$A$2:$NF$60,MATCH(1,(GMW!$NE$2:$NE$60=T$3)*(GMW!$ND$2:$ND$60=T$4)*(GMW!$NF$2:$NF$60=T$1),0),$F145-1966)</f>
        <v>12387</v>
      </c>
      <c r="U145" s="4" cm="1">
        <f t="array" ref="U145">INDEX(GMW!$A$2:$NF$60,MATCH(1,(GMW!$NE$2:$NE$60=U$3)*(GMW!$ND$2:$ND$60=U$4)*(GMW!$NF$2:$NF$60=U$1),0),$F145-1966)</f>
        <v>648126</v>
      </c>
      <c r="V145" s="4" cm="1">
        <f t="array" ref="V145">INDEX(GMW!$A$2:$NF$60,MATCH(1,(GMW!$NE$2:$NE$60=V$3)*(GMW!$ND$2:$ND$60=V$4)*(GMW!$NF$2:$NF$60=V$1),0),$F145-1966)</f>
        <v>12243.85</v>
      </c>
      <c r="W145" s="4" cm="1">
        <f t="array" ref="W145">INDEX(GMW!$A$2:$NF$60,MATCH(1,(GMW!$NE$2:$NE$60=W$3)*(GMW!$ND$2:$ND$60=W$4)*(GMW!$NF$2:$NF$60=W$1),0),$F145-1966)</f>
        <v>823425</v>
      </c>
      <c r="X145" s="4" cm="1">
        <f t="array" ref="X145">INDEX(GMW!$A$2:$NF$60,MATCH(1,(GMW!$NE$2:$NE$60=X$3)*(GMW!$ND$2:$ND$60=X$4)*(GMW!$NF$2:$NF$60=X$1),0),$F145-1966)</f>
        <v>1529.183</v>
      </c>
      <c r="Y145" s="4" cm="1">
        <f t="array" ref="Y145">INDEX(GMW!$A$2:$NF$60,MATCH(1,(GMW!$NE$2:$NE$60=Y$3)*(GMW!$ND$2:$ND$60=Y$4)*(GMW!$NF$2:$NF$60=Y$1),0),$F145-1966)</f>
        <v>1590.0250000000001</v>
      </c>
      <c r="Z145" s="4" cm="1">
        <f t="array" ref="Z145">INDEX(GMW!$A$2:$NF$60,MATCH(1,(GMW!$NE$2:$NE$60=Z$3)*(GMW!$ND$2:$ND$60=Z$4)*(GMW!$NF$2:$NF$60=Z$1),0),$F145-1966)</f>
        <v>1797.2260000000001</v>
      </c>
      <c r="AA145" s="4" cm="1">
        <f t="array" ref="AA145">INDEX(GMW!$A$2:$NF$60,MATCH(1,(GMW!$NE$2:$NE$60=AA$3)*(GMW!$ND$2:$ND$60=AA$4)*(GMW!$NF$2:$NF$60=AA$1),0),$F145-1966)</f>
        <v>1098810</v>
      </c>
      <c r="AB145" s="4" cm="1">
        <f t="array" ref="AB145">INDEX(GMW!$A$2:$NF$60,MATCH(1,(GMW!$NE$2:$NE$60=AB$3)*(GMW!$ND$2:$ND$60=AB$4)*(GMW!$NF$2:$NF$60=AB$1),0),$F145-1966)</f>
        <v>389291</v>
      </c>
      <c r="AC145" s="4" cm="1">
        <f t="array" ref="AC145">INDEX(GMW!$A$2:$NF$60,MATCH(1,(GMW!$NE$2:$NE$60=AC$3)*(GMW!$ND$2:$ND$60=AC$4)*(GMW!$NF$2:$NF$60=AC$1),0),$F145-1966)</f>
        <v>3641.0250000000001</v>
      </c>
      <c r="AD145" s="4" cm="1">
        <f t="array" ref="AD145">INDEX(GMW!$A$2:$NF$60,MATCH(1,(GMW!$NE$2:$NE$60=AD$3)*(GMW!$ND$2:$ND$60=AD$4)*(GMW!$NF$2:$NF$60=AD$1),0),$F145-1966)</f>
        <v>134119.29999999999</v>
      </c>
      <c r="AE145" s="4" cm="1">
        <f t="array" ref="AE145">INDEX(GMW!$A$2:$NF$60,MATCH(1,(GMW!$NE$2:$NE$60=AE$3)*(GMW!$ND$2:$ND$60=AE$4)*(GMW!$NF$2:$NF$60=AE$1),0),$F145-1966)</f>
        <v>638.88599999999997</v>
      </c>
      <c r="AF145" s="4" cm="1">
        <f t="array" ref="AF145">INDEX(GMW!$A$2:$NF$60,MATCH(1,(GMW!$NE$2:$NE$60=AF$3)*(GMW!$ND$2:$ND$60=AF$4)*(GMW!$NF$2:$NF$60=AF$1),0),$F145-1966)</f>
        <v>487.74799999999999</v>
      </c>
      <c r="AG145" s="4" cm="1">
        <f t="array" ref="AG145">INDEX(GMW!$A$2:$NF$60,MATCH(1,(GMW!$NE$2:$NE$60=AG$3)*(GMW!$ND$2:$ND$60=AG$4)*(GMW!$NF$2:$NF$60=AG$1),0),$F145-1966)</f>
        <v>407.685</v>
      </c>
      <c r="AH145" s="4" cm="1">
        <f t="array" ref="AH145">INDEX(GMW!$A$2:$NF$60,MATCH(1,(GMW!$NE$2:$NE$60=AH$3)*(GMW!$ND$2:$ND$60=AH$4)*(GMW!$NF$2:$NF$60=AH$1),0),$F145-1966)</f>
        <v>395562</v>
      </c>
    </row>
    <row r="146" spans="1:34" x14ac:dyDescent="0.25">
      <c r="B146" s="4">
        <f t="shared" si="47"/>
        <v>2007</v>
      </c>
      <c r="C146" s="4">
        <f t="shared" si="47"/>
        <v>2007</v>
      </c>
      <c r="E146" s="4">
        <f t="shared" ref="E146" si="49">+E142+1</f>
        <v>2007</v>
      </c>
      <c r="F146" s="4">
        <f t="shared" si="38"/>
        <v>2112</v>
      </c>
      <c r="G146" s="4" cm="1">
        <f t="array" ref="G146">INDEX(GMW!$A$2:$NF$60,MATCH(1,(GMW!$NE$2:$NE$60=G$3)*(GMW!$ND$2:$ND$60=G$4)*(GMW!$NF$2:$NF$60=G$1),0),$F146-1966)</f>
        <v>540258</v>
      </c>
      <c r="H146" s="4" cm="1">
        <f t="array" ref="H146">INDEX(GMW!$A$2:$NF$60,MATCH(1,(GMW!$NE$2:$NE$60=H$3)*(GMW!$ND$2:$ND$60=H$4)*(GMW!$NF$2:$NF$60=H$1),0),$F146-1966)</f>
        <v>4228.8</v>
      </c>
      <c r="I146" s="4" cm="1">
        <f t="array" ref="I146">INDEX(GMW!$A$2:$NF$60,MATCH(1,(GMW!$NE$2:$NE$60=I$3)*(GMW!$ND$2:$ND$60=I$4)*(GMW!$NF$2:$NF$60=I$1),0),$F146-1966)</f>
        <v>131753.5</v>
      </c>
      <c r="J146" s="4" cm="1">
        <f t="array" ref="J146">INDEX(GMW!$A$2:$NF$60,MATCH(1,(GMW!$NE$2:$NE$60=J$3)*(GMW!$ND$2:$ND$60=J$4)*(GMW!$NF$2:$NF$60=J$1),0),$F146-1966)</f>
        <v>785.88</v>
      </c>
      <c r="K146" s="4" cm="1">
        <f t="array" ref="K146">INDEX(GMW!$A$2:$NF$60,MATCH(1,(GMW!$NE$2:$NE$60=K$3)*(GMW!$ND$2:$ND$60=K$4)*(GMW!$NF$2:$NF$60=K$1),0),$F146-1966)</f>
        <v>560.92499999999995</v>
      </c>
      <c r="L146" s="4" cm="1">
        <f t="array" ref="L146">INDEX(GMW!$A$2:$NF$60,MATCH(1,(GMW!$NE$2:$NE$60=L$3)*(GMW!$ND$2:$ND$60=L$4)*(GMW!$NF$2:$NF$60=L$1),0),$F146-1966)</f>
        <v>478.28899999999999</v>
      </c>
      <c r="M146" s="4" cm="1">
        <f t="array" ref="M146">INDEX(GMW!$A$2:$NF$60,MATCH(1,(GMW!$NE$2:$NE$60=M$3)*(GMW!$ND$2:$ND$60=M$4)*(GMW!$NF$2:$NF$60=M$1),0),$F146-1966)</f>
        <v>459773.3</v>
      </c>
      <c r="N146" s="4" cm="1">
        <f t="array" ref="N146">INDEX(GMW!$A$2:$NF$60,MATCH(1,(GMW!$NE$2:$NE$60=N$3)*(GMW!$ND$2:$ND$60=N$4)*(GMW!$NF$2:$NF$60=N$1),0),$F146-1966)</f>
        <v>-18021</v>
      </c>
      <c r="O146" s="4" cm="1">
        <f t="array" ref="O146">INDEX(GMW!$A$2:$NF$60,MATCH(1,(GMW!$NE$2:$NE$60=O$3)*(GMW!$ND$2:$ND$60=O$4)*(GMW!$NF$2:$NF$60=O$1),0),$F146-1966)</f>
        <v>-168.1918</v>
      </c>
      <c r="P146" s="4" cm="1">
        <f t="array" ref="P146">INDEX(GMW!$A$2:$NF$60,MATCH(1,(GMW!$NE$2:$NE$60=P$3)*(GMW!$ND$2:$ND$60=P$4)*(GMW!$NF$2:$NF$60=P$1),0),$F146-1966)</f>
        <v>-3950.25</v>
      </c>
      <c r="Q146" s="4" cm="1">
        <f t="array" ref="Q146">INDEX(GMW!$A$2:$NF$60,MATCH(1,(GMW!$NE$2:$NE$60=Q$3)*(GMW!$ND$2:$ND$60=Q$4)*(GMW!$NF$2:$NF$60=Q$1),0),$F146-1966)</f>
        <v>0.25900000000000001</v>
      </c>
      <c r="R146" s="4" cm="1">
        <f t="array" ref="R146">INDEX(GMW!$A$2:$NF$60,MATCH(1,(GMW!$NE$2:$NE$60=R$3)*(GMW!$ND$2:$ND$60=R$4)*(GMW!$NF$2:$NF$60=R$1),0),$F146-1966)</f>
        <v>-16.251999999999999</v>
      </c>
      <c r="S146" s="4" cm="1">
        <f t="array" ref="S146">INDEX(GMW!$A$2:$NF$60,MATCH(1,(GMW!$NE$2:$NE$60=S$3)*(GMW!$ND$2:$ND$60=S$4)*(GMW!$NF$2:$NF$60=S$1),0),$F146-1966)</f>
        <v>-6.1718409999999997</v>
      </c>
      <c r="T146" s="4" cm="1">
        <f t="array" ref="T146">INDEX(GMW!$A$2:$NF$60,MATCH(1,(GMW!$NE$2:$NE$60=T$3)*(GMW!$ND$2:$ND$60=T$4)*(GMW!$NF$2:$NF$60=T$1),0),$F146-1966)</f>
        <v>10991</v>
      </c>
      <c r="U146" s="4" cm="1">
        <f t="array" ref="U146">INDEX(GMW!$A$2:$NF$60,MATCH(1,(GMW!$NE$2:$NE$60=U$3)*(GMW!$ND$2:$ND$60=U$4)*(GMW!$NF$2:$NF$60=U$1),0),$F146-1966)</f>
        <v>666880</v>
      </c>
      <c r="V146" s="4" cm="1">
        <f t="array" ref="V146">INDEX(GMW!$A$2:$NF$60,MATCH(1,(GMW!$NE$2:$NE$60=V$3)*(GMW!$ND$2:$ND$60=V$4)*(GMW!$NF$2:$NF$60=V$1),0),$F146-1966)</f>
        <v>12530.64</v>
      </c>
      <c r="W146" s="4" cm="1">
        <f t="array" ref="W146">INDEX(GMW!$A$2:$NF$60,MATCH(1,(GMW!$NE$2:$NE$60=W$3)*(GMW!$ND$2:$ND$60=W$4)*(GMW!$NF$2:$NF$60=W$1),0),$F146-1966)</f>
        <v>825082</v>
      </c>
      <c r="X146" s="4" cm="1">
        <f t="array" ref="X146">INDEX(GMW!$A$2:$NF$60,MATCH(1,(GMW!$NE$2:$NE$60=X$3)*(GMW!$ND$2:$ND$60=X$4)*(GMW!$NF$2:$NF$60=X$1),0),$F146-1966)</f>
        <v>1536.96</v>
      </c>
      <c r="Y146" s="4" cm="1">
        <f t="array" ref="Y146">INDEX(GMW!$A$2:$NF$60,MATCH(1,(GMW!$NE$2:$NE$60=Y$3)*(GMW!$ND$2:$ND$60=Y$4)*(GMW!$NF$2:$NF$60=Y$1),0),$F146-1966)</f>
        <v>1601.674</v>
      </c>
      <c r="Z146" s="4" cm="1">
        <f t="array" ref="Z146">INDEX(GMW!$A$2:$NF$60,MATCH(1,(GMW!$NE$2:$NE$60=Z$3)*(GMW!$ND$2:$ND$60=Z$4)*(GMW!$NF$2:$NF$60=Z$1),0),$F146-1966)</f>
        <v>1796.4349999999999</v>
      </c>
      <c r="AA146" s="4" cm="1">
        <f t="array" ref="AA146">INDEX(GMW!$A$2:$NF$60,MATCH(1,(GMW!$NE$2:$NE$60=AA$3)*(GMW!$ND$2:$ND$60=AA$4)*(GMW!$NF$2:$NF$60=AA$1),0),$F146-1966)</f>
        <v>1125273</v>
      </c>
      <c r="AB146" s="4" cm="1">
        <f t="array" ref="AB146">INDEX(GMW!$A$2:$NF$60,MATCH(1,(GMW!$NE$2:$NE$60=AB$3)*(GMW!$ND$2:$ND$60=AB$4)*(GMW!$NF$2:$NF$60=AB$1),0),$F146-1966)</f>
        <v>392244</v>
      </c>
      <c r="AC146" s="4" cm="1">
        <f t="array" ref="AC146">INDEX(GMW!$A$2:$NF$60,MATCH(1,(GMW!$NE$2:$NE$60=AC$3)*(GMW!$ND$2:$ND$60=AC$4)*(GMW!$NF$2:$NF$60=AC$1),0),$F146-1966)</f>
        <v>3678.7750000000001</v>
      </c>
      <c r="AD146" s="4" cm="1">
        <f t="array" ref="AD146">INDEX(GMW!$A$2:$NF$60,MATCH(1,(GMW!$NE$2:$NE$60=AD$3)*(GMW!$ND$2:$ND$60=AD$4)*(GMW!$NF$2:$NF$60=AD$1),0),$F146-1966)</f>
        <v>134202.1</v>
      </c>
      <c r="AE146" s="4" cm="1">
        <f t="array" ref="AE146">INDEX(GMW!$A$2:$NF$60,MATCH(1,(GMW!$NE$2:$NE$60=AE$3)*(GMW!$ND$2:$ND$60=AE$4)*(GMW!$NF$2:$NF$60=AE$1),0),$F146-1966)</f>
        <v>645.07799999999997</v>
      </c>
      <c r="AF146" s="4" cm="1">
        <f t="array" ref="AF146">INDEX(GMW!$A$2:$NF$60,MATCH(1,(GMW!$NE$2:$NE$60=AF$3)*(GMW!$ND$2:$ND$60=AF$4)*(GMW!$NF$2:$NF$60=AF$1),0),$F146-1966)</f>
        <v>491.31200000000001</v>
      </c>
      <c r="AG146" s="4" cm="1">
        <f t="array" ref="AG146">INDEX(GMW!$A$2:$NF$60,MATCH(1,(GMW!$NE$2:$NE$60=AG$3)*(GMW!$ND$2:$ND$60=AG$4)*(GMW!$NF$2:$NF$60=AG$1),0),$F146-1966)</f>
        <v>411.202</v>
      </c>
      <c r="AH146" s="4" cm="1">
        <f t="array" ref="AH146">INDEX(GMW!$A$2:$NF$60,MATCH(1,(GMW!$NE$2:$NE$60=AH$3)*(GMW!$ND$2:$ND$60=AH$4)*(GMW!$NF$2:$NF$60=AH$1),0),$F146-1966)</f>
        <v>401127</v>
      </c>
    </row>
    <row r="147" spans="1:34" x14ac:dyDescent="0.25">
      <c r="A147" s="4">
        <v>2008</v>
      </c>
      <c r="B147" s="4">
        <f t="shared" si="47"/>
        <v>2008</v>
      </c>
      <c r="C147" s="4">
        <f t="shared" si="47"/>
        <v>2007</v>
      </c>
      <c r="D147" s="4">
        <f t="shared" si="47"/>
        <v>2007</v>
      </c>
      <c r="F147" s="4">
        <f t="shared" si="38"/>
        <v>2113</v>
      </c>
      <c r="G147" s="4" cm="1">
        <f t="array" ref="G147">INDEX(GMW!$A$2:$NF$60,MATCH(1,(GMW!$NE$2:$NE$60=G$3)*(GMW!$ND$2:$ND$60=G$4)*(GMW!$NF$2:$NF$60=G$1),0),$F147-1966)</f>
        <v>542804</v>
      </c>
      <c r="H147" s="4" cm="1">
        <f t="array" ref="H147">INDEX(GMW!$A$2:$NF$60,MATCH(1,(GMW!$NE$2:$NE$60=H$3)*(GMW!$ND$2:$ND$60=H$4)*(GMW!$NF$2:$NF$60=H$1),0),$F147-1966)</f>
        <v>4210.75</v>
      </c>
      <c r="I147" s="4" cm="1">
        <f t="array" ref="I147">INDEX(GMW!$A$2:$NF$60,MATCH(1,(GMW!$NE$2:$NE$60=I$3)*(GMW!$ND$2:$ND$60=I$4)*(GMW!$NF$2:$NF$60=I$1),0),$F147-1966)</f>
        <v>132283.20000000001</v>
      </c>
      <c r="J147" s="4" cm="1">
        <f t="array" ref="J147">INDEX(GMW!$A$2:$NF$60,MATCH(1,(GMW!$NE$2:$NE$60=J$3)*(GMW!$ND$2:$ND$60=J$4)*(GMW!$NF$2:$NF$60=J$1),0),$F147-1966)</f>
        <v>790.5</v>
      </c>
      <c r="K147" s="4" cm="1">
        <f t="array" ref="K147">INDEX(GMW!$A$2:$NF$60,MATCH(1,(GMW!$NE$2:$NE$60=K$3)*(GMW!$ND$2:$ND$60=K$4)*(GMW!$NF$2:$NF$60=K$1),0),$F147-1966)</f>
        <v>565.77599999999995</v>
      </c>
      <c r="L147" s="4" cm="1">
        <f t="array" ref="L147">INDEX(GMW!$A$2:$NF$60,MATCH(1,(GMW!$NE$2:$NE$60=L$3)*(GMW!$ND$2:$ND$60=L$4)*(GMW!$NF$2:$NF$60=L$1),0),$F147-1966)</f>
        <v>483.19400000000002</v>
      </c>
      <c r="M147" s="4" cm="1">
        <f t="array" ref="M147">INDEX(GMW!$A$2:$NF$60,MATCH(1,(GMW!$NE$2:$NE$60=M$3)*(GMW!$ND$2:$ND$60=M$4)*(GMW!$NF$2:$NF$60=M$1),0),$F147-1966)</f>
        <v>460118.3</v>
      </c>
      <c r="N147" s="4" cm="1">
        <f t="array" ref="N147">INDEX(GMW!$A$2:$NF$60,MATCH(1,(GMW!$NE$2:$NE$60=N$3)*(GMW!$ND$2:$ND$60=N$4)*(GMW!$NF$2:$NF$60=N$1),0),$F147-1966)</f>
        <v>-3927</v>
      </c>
      <c r="O147" s="4" cm="1">
        <f t="array" ref="O147">INDEX(GMW!$A$2:$NF$60,MATCH(1,(GMW!$NE$2:$NE$60=O$3)*(GMW!$ND$2:$ND$60=O$4)*(GMW!$NF$2:$NF$60=O$1),0),$F147-1966)</f>
        <v>-190.63749999999999</v>
      </c>
      <c r="P147" s="4" cm="1">
        <f t="array" ref="P147">INDEX(GMW!$A$2:$NF$60,MATCH(1,(GMW!$NE$2:$NE$60=P$3)*(GMW!$ND$2:$ND$60=P$4)*(GMW!$NF$2:$NF$60=P$1),0),$F147-1966)</f>
        <v>-3895.5</v>
      </c>
      <c r="Q147" s="4" cm="1">
        <f t="array" ref="Q147">INDEX(GMW!$A$2:$NF$60,MATCH(1,(GMW!$NE$2:$NE$60=Q$3)*(GMW!$ND$2:$ND$60=Q$4)*(GMW!$NF$2:$NF$60=Q$1),0),$F147-1966)</f>
        <v>0.154</v>
      </c>
      <c r="R147" s="4" cm="1">
        <f t="array" ref="R147">INDEX(GMW!$A$2:$NF$60,MATCH(1,(GMW!$NE$2:$NE$60=R$3)*(GMW!$ND$2:$ND$60=R$4)*(GMW!$NF$2:$NF$60=R$1),0),$F147-1966)</f>
        <v>-15.134</v>
      </c>
      <c r="S147" s="4" cm="1">
        <f t="array" ref="S147">INDEX(GMW!$A$2:$NF$60,MATCH(1,(GMW!$NE$2:$NE$60=S$3)*(GMW!$ND$2:$ND$60=S$4)*(GMW!$NF$2:$NF$60=S$1),0),$F147-1966)</f>
        <v>-8.3024939999999994</v>
      </c>
      <c r="T147" s="4" cm="1">
        <f t="array" ref="T147">INDEX(GMW!$A$2:$NF$60,MATCH(1,(GMW!$NE$2:$NE$60=T$3)*(GMW!$ND$2:$ND$60=T$4)*(GMW!$NF$2:$NF$60=T$1),0),$F147-1966)</f>
        <v>7012</v>
      </c>
      <c r="U147" s="4" cm="1">
        <f t="array" ref="U147">INDEX(GMW!$A$2:$NF$60,MATCH(1,(GMW!$NE$2:$NE$60=U$3)*(GMW!$ND$2:$ND$60=U$4)*(GMW!$NF$2:$NF$60=U$1),0),$F147-1966)</f>
        <v>661926</v>
      </c>
      <c r="V147" s="4" cm="1">
        <f t="array" ref="V147">INDEX(GMW!$A$2:$NF$60,MATCH(1,(GMW!$NE$2:$NE$60=V$3)*(GMW!$ND$2:$ND$60=V$4)*(GMW!$NF$2:$NF$60=V$1),0),$F147-1966)</f>
        <v>13013.6</v>
      </c>
      <c r="W147" s="4" cm="1">
        <f t="array" ref="W147">INDEX(GMW!$A$2:$NF$60,MATCH(1,(GMW!$NE$2:$NE$60=W$3)*(GMW!$ND$2:$ND$60=W$4)*(GMW!$NF$2:$NF$60=W$1),0),$F147-1966)</f>
        <v>828113</v>
      </c>
      <c r="X147" s="4" cm="1">
        <f t="array" ref="X147">INDEX(GMW!$A$2:$NF$60,MATCH(1,(GMW!$NE$2:$NE$60=X$3)*(GMW!$ND$2:$ND$60=X$4)*(GMW!$NF$2:$NF$60=X$1),0),$F147-1966)</f>
        <v>1537.2449999999999</v>
      </c>
      <c r="Y147" s="4" cm="1">
        <f t="array" ref="Y147">INDEX(GMW!$A$2:$NF$60,MATCH(1,(GMW!$NE$2:$NE$60=Y$3)*(GMW!$ND$2:$ND$60=Y$4)*(GMW!$NF$2:$NF$60=Y$1),0),$F147-1966)</f>
        <v>1664.184</v>
      </c>
      <c r="Z147" s="4" cm="1">
        <f t="array" ref="Z147">INDEX(GMW!$A$2:$NF$60,MATCH(1,(GMW!$NE$2:$NE$60=Z$3)*(GMW!$ND$2:$ND$60=Z$4)*(GMW!$NF$2:$NF$60=Z$1),0),$F147-1966)</f>
        <v>1814.3489999999999</v>
      </c>
      <c r="AA147" s="4" cm="1">
        <f t="array" ref="AA147">INDEX(GMW!$A$2:$NF$60,MATCH(1,(GMW!$NE$2:$NE$60=AA$3)*(GMW!$ND$2:$ND$60=AA$4)*(GMW!$NF$2:$NF$60=AA$1),0),$F147-1966)</f>
        <v>1143723</v>
      </c>
      <c r="AB147" s="4" cm="1">
        <f t="array" ref="AB147">INDEX(GMW!$A$2:$NF$60,MATCH(1,(GMW!$NE$2:$NE$60=AB$3)*(GMW!$ND$2:$ND$60=AB$4)*(GMW!$NF$2:$NF$60=AB$1),0),$F147-1966)</f>
        <v>397800</v>
      </c>
      <c r="AC147" s="4" cm="1">
        <f t="array" ref="AC147">INDEX(GMW!$A$2:$NF$60,MATCH(1,(GMW!$NE$2:$NE$60=AC$3)*(GMW!$ND$2:$ND$60=AC$4)*(GMW!$NF$2:$NF$60=AC$1),0),$F147-1966)</f>
        <v>3676.625</v>
      </c>
      <c r="AD147" s="4" cm="1">
        <f t="array" ref="AD147">INDEX(GMW!$A$2:$NF$60,MATCH(1,(GMW!$NE$2:$NE$60=AD$3)*(GMW!$ND$2:$ND$60=AD$4)*(GMW!$NF$2:$NF$60=AD$1),0),$F147-1966)</f>
        <v>134409.9</v>
      </c>
      <c r="AE147" s="4" cm="1">
        <f t="array" ref="AE147">INDEX(GMW!$A$2:$NF$60,MATCH(1,(GMW!$NE$2:$NE$60=AE$3)*(GMW!$ND$2:$ND$60=AE$4)*(GMW!$NF$2:$NF$60=AE$1),0),$F147-1966)</f>
        <v>650.49199999999996</v>
      </c>
      <c r="AF147" s="4" cm="1">
        <f t="array" ref="AF147">INDEX(GMW!$A$2:$NF$60,MATCH(1,(GMW!$NE$2:$NE$60=AF$3)*(GMW!$ND$2:$ND$60=AF$4)*(GMW!$NF$2:$NF$60=AF$1),0),$F147-1966)</f>
        <v>499.298</v>
      </c>
      <c r="AG147" s="4" cm="1">
        <f t="array" ref="AG147">INDEX(GMW!$A$2:$NF$60,MATCH(1,(GMW!$NE$2:$NE$60=AG$3)*(GMW!$ND$2:$ND$60=AG$4)*(GMW!$NF$2:$NF$60=AG$1),0),$F147-1966)</f>
        <v>414.45699999999999</v>
      </c>
      <c r="AH147" s="4" cm="1">
        <f t="array" ref="AH147">INDEX(GMW!$A$2:$NF$60,MATCH(1,(GMW!$NE$2:$NE$60=AH$3)*(GMW!$ND$2:$ND$60=AH$4)*(GMW!$NF$2:$NF$60=AH$1),0),$F147-1966)</f>
        <v>409324</v>
      </c>
    </row>
    <row r="148" spans="1:34" x14ac:dyDescent="0.25">
      <c r="B148" s="4">
        <f t="shared" si="47"/>
        <v>2008</v>
      </c>
      <c r="C148" s="4">
        <f t="shared" si="47"/>
        <v>2008</v>
      </c>
      <c r="F148" s="4">
        <f t="shared" si="38"/>
        <v>2114</v>
      </c>
      <c r="G148" s="4" cm="1">
        <f t="array" ref="G148">INDEX(GMW!$A$2:$NF$60,MATCH(1,(GMW!$NE$2:$NE$60=G$3)*(GMW!$ND$2:$ND$60=G$4)*(GMW!$NF$2:$NF$60=G$1),0),$F148-1966)</f>
        <v>539918</v>
      </c>
      <c r="H148" s="4" cm="1">
        <f t="array" ref="H148">INDEX(GMW!$A$2:$NF$60,MATCH(1,(GMW!$NE$2:$NE$60=H$3)*(GMW!$ND$2:$ND$60=H$4)*(GMW!$NF$2:$NF$60=H$1),0),$F148-1966)</f>
        <v>4235.8249999999998</v>
      </c>
      <c r="I148" s="4" cm="1">
        <f t="array" ref="I148">INDEX(GMW!$A$2:$NF$60,MATCH(1,(GMW!$NE$2:$NE$60=I$3)*(GMW!$ND$2:$ND$60=I$4)*(GMW!$NF$2:$NF$60=I$1),0),$F148-1966)</f>
        <v>131458.20000000001</v>
      </c>
      <c r="J148" s="4" cm="1">
        <f t="array" ref="J148">INDEX(GMW!$A$2:$NF$60,MATCH(1,(GMW!$NE$2:$NE$60=J$3)*(GMW!$ND$2:$ND$60=J$4)*(GMW!$NF$2:$NF$60=J$1),0),$F148-1966)</f>
        <v>787.65</v>
      </c>
      <c r="K148" s="4" cm="1">
        <f t="array" ref="K148">INDEX(GMW!$A$2:$NF$60,MATCH(1,(GMW!$NE$2:$NE$60=K$3)*(GMW!$ND$2:$ND$60=K$4)*(GMW!$NF$2:$NF$60=K$1),0),$F148-1966)</f>
        <v>561.56200000000001</v>
      </c>
      <c r="L148" s="4" cm="1">
        <f t="array" ref="L148">INDEX(GMW!$A$2:$NF$60,MATCH(1,(GMW!$NE$2:$NE$60=L$3)*(GMW!$ND$2:$ND$60=L$4)*(GMW!$NF$2:$NF$60=L$1),0),$F148-1966)</f>
        <v>478.67700000000002</v>
      </c>
      <c r="M148" s="4" cm="1">
        <f t="array" ref="M148">INDEX(GMW!$A$2:$NF$60,MATCH(1,(GMW!$NE$2:$NE$60=M$3)*(GMW!$ND$2:$ND$60=M$4)*(GMW!$NF$2:$NF$60=M$1),0),$F148-1966)</f>
        <v>461794.8</v>
      </c>
      <c r="N148" s="4" cm="1">
        <f t="array" ref="N148">INDEX(GMW!$A$2:$NF$60,MATCH(1,(GMW!$NE$2:$NE$60=N$3)*(GMW!$ND$2:$ND$60=N$4)*(GMW!$NF$2:$NF$60=N$1),0),$F148-1966)</f>
        <v>-20841</v>
      </c>
      <c r="O148" s="4" cm="1">
        <f t="array" ref="O148">INDEX(GMW!$A$2:$NF$60,MATCH(1,(GMW!$NE$2:$NE$60=O$3)*(GMW!$ND$2:$ND$60=O$4)*(GMW!$NF$2:$NF$60=O$1),0),$F148-1966)</f>
        <v>-283.62299999999999</v>
      </c>
      <c r="P148" s="4" cm="1">
        <f t="array" ref="P148">INDEX(GMW!$A$2:$NF$60,MATCH(1,(GMW!$NE$2:$NE$60=P$3)*(GMW!$ND$2:$ND$60=P$4)*(GMW!$NF$2:$NF$60=P$1),0),$F148-1966)</f>
        <v>-4400.5</v>
      </c>
      <c r="Q148" s="4" cm="1">
        <f t="array" ref="Q148">INDEX(GMW!$A$2:$NF$60,MATCH(1,(GMW!$NE$2:$NE$60=Q$3)*(GMW!$ND$2:$ND$60=Q$4)*(GMW!$NF$2:$NF$60=Q$1),0),$F148-1966)</f>
        <v>-0.45400000000000001</v>
      </c>
      <c r="R148" s="4" cm="1">
        <f t="array" ref="R148">INDEX(GMW!$A$2:$NF$60,MATCH(1,(GMW!$NE$2:$NE$60=R$3)*(GMW!$ND$2:$ND$60=R$4)*(GMW!$NF$2:$NF$60=R$1),0),$F148-1966)</f>
        <v>-15.308999999999999</v>
      </c>
      <c r="S148" s="4" cm="1">
        <f t="array" ref="S148">INDEX(GMW!$A$2:$NF$60,MATCH(1,(GMW!$NE$2:$NE$60=S$3)*(GMW!$ND$2:$ND$60=S$4)*(GMW!$NF$2:$NF$60=S$1),0),$F148-1966)</f>
        <v>-9.27163</v>
      </c>
      <c r="T148" s="4" cm="1">
        <f t="array" ref="T148">INDEX(GMW!$A$2:$NF$60,MATCH(1,(GMW!$NE$2:$NE$60=T$3)*(GMW!$ND$2:$ND$60=T$4)*(GMW!$NF$2:$NF$60=T$1),0),$F148-1966)</f>
        <v>6389</v>
      </c>
      <c r="U148" s="4" cm="1">
        <f t="array" ref="U148">INDEX(GMW!$A$2:$NF$60,MATCH(1,(GMW!$NE$2:$NE$60=U$3)*(GMW!$ND$2:$ND$60=U$4)*(GMW!$NF$2:$NF$60=U$1),0),$F148-1966)</f>
        <v>689797</v>
      </c>
      <c r="V148" s="4" cm="1">
        <f t="array" ref="V148">INDEX(GMW!$A$2:$NF$60,MATCH(1,(GMW!$NE$2:$NE$60=V$3)*(GMW!$ND$2:$ND$60=V$4)*(GMW!$NF$2:$NF$60=V$1),0),$F148-1966)</f>
        <v>13108.95</v>
      </c>
      <c r="W148" s="4" cm="1">
        <f t="array" ref="W148">INDEX(GMW!$A$2:$NF$60,MATCH(1,(GMW!$NE$2:$NE$60=W$3)*(GMW!$ND$2:$ND$60=W$4)*(GMW!$NF$2:$NF$60=W$1),0),$F148-1966)</f>
        <v>831144</v>
      </c>
      <c r="X148" s="4" cm="1">
        <f t="array" ref="X148">INDEX(GMW!$A$2:$NF$60,MATCH(1,(GMW!$NE$2:$NE$60=X$3)*(GMW!$ND$2:$ND$60=X$4)*(GMW!$NF$2:$NF$60=X$1),0),$F148-1966)</f>
        <v>1536.1780000000001</v>
      </c>
      <c r="Y148" s="4" cm="1">
        <f t="array" ref="Y148">INDEX(GMW!$A$2:$NF$60,MATCH(1,(GMW!$NE$2:$NE$60=Y$3)*(GMW!$ND$2:$ND$60=Y$4)*(GMW!$NF$2:$NF$60=Y$1),0),$F148-1966)</f>
        <v>1635.5250000000001</v>
      </c>
      <c r="Z148" s="4" cm="1">
        <f t="array" ref="Z148">INDEX(GMW!$A$2:$NF$60,MATCH(1,(GMW!$NE$2:$NE$60=Z$3)*(GMW!$ND$2:$ND$60=Z$4)*(GMW!$NF$2:$NF$60=Z$1),0),$F148-1966)</f>
        <v>1832.2619999999999</v>
      </c>
      <c r="AA148" s="4" cm="1">
        <f t="array" ref="AA148">INDEX(GMW!$A$2:$NF$60,MATCH(1,(GMW!$NE$2:$NE$60=AA$3)*(GMW!$ND$2:$ND$60=AA$4)*(GMW!$NF$2:$NF$60=AA$1),0),$F148-1966)</f>
        <v>1135362</v>
      </c>
      <c r="AB148" s="4" cm="1">
        <f t="array" ref="AB148">INDEX(GMW!$A$2:$NF$60,MATCH(1,(GMW!$NE$2:$NE$60=AB$3)*(GMW!$ND$2:$ND$60=AB$4)*(GMW!$NF$2:$NF$60=AB$1),0),$F148-1966)</f>
        <v>400685</v>
      </c>
      <c r="AC148" s="4" cm="1">
        <f t="array" ref="AC148">INDEX(GMW!$A$2:$NF$60,MATCH(1,(GMW!$NE$2:$NE$60=AC$3)*(GMW!$ND$2:$ND$60=AC$4)*(GMW!$NF$2:$NF$60=AC$1),0),$F148-1966)</f>
        <v>3716.4250000000002</v>
      </c>
      <c r="AD148" s="4" cm="1">
        <f t="array" ref="AD148">INDEX(GMW!$A$2:$NF$60,MATCH(1,(GMW!$NE$2:$NE$60=AD$3)*(GMW!$ND$2:$ND$60=AD$4)*(GMW!$NF$2:$NF$60=AD$1),0),$F148-1966)</f>
        <v>133398.79999999999</v>
      </c>
      <c r="AE148" s="4" cm="1">
        <f t="array" ref="AE148">INDEX(GMW!$A$2:$NF$60,MATCH(1,(GMW!$NE$2:$NE$60=AE$3)*(GMW!$ND$2:$ND$60=AE$4)*(GMW!$NF$2:$NF$60=AE$1),0),$F148-1966)</f>
        <v>648.82299999999998</v>
      </c>
      <c r="AF148" s="4" cm="1">
        <f t="array" ref="AF148">INDEX(GMW!$A$2:$NF$60,MATCH(1,(GMW!$NE$2:$NE$60=AF$3)*(GMW!$ND$2:$ND$60=AF$4)*(GMW!$NF$2:$NF$60=AF$1),0),$F148-1966)</f>
        <v>499</v>
      </c>
      <c r="AG148" s="4" cm="1">
        <f t="array" ref="AG148">INDEX(GMW!$A$2:$NF$60,MATCH(1,(GMW!$NE$2:$NE$60=AG$3)*(GMW!$ND$2:$ND$60=AG$4)*(GMW!$NF$2:$NF$60=AG$1),0),$F148-1966)</f>
        <v>416.29599999999999</v>
      </c>
      <c r="AH148" s="4" cm="1">
        <f t="array" ref="AH148">INDEX(GMW!$A$2:$NF$60,MATCH(1,(GMW!$NE$2:$NE$60=AH$3)*(GMW!$ND$2:$ND$60=AH$4)*(GMW!$NF$2:$NF$60=AH$1),0),$F148-1966)</f>
        <v>419362</v>
      </c>
    </row>
    <row r="149" spans="1:34" x14ac:dyDescent="0.25">
      <c r="B149" s="4">
        <f t="shared" si="47"/>
        <v>2008</v>
      </c>
      <c r="C149" s="4">
        <f t="shared" si="47"/>
        <v>2008</v>
      </c>
      <c r="F149" s="4">
        <f t="shared" si="38"/>
        <v>2115</v>
      </c>
      <c r="G149" s="4" cm="1">
        <f t="array" ref="G149">INDEX(GMW!$A$2:$NF$60,MATCH(1,(GMW!$NE$2:$NE$60=G$3)*(GMW!$ND$2:$ND$60=G$4)*(GMW!$NF$2:$NF$60=G$1),0),$F149-1966)</f>
        <v>531619</v>
      </c>
      <c r="H149" s="4" cm="1">
        <f t="array" ref="H149">INDEX(GMW!$A$2:$NF$60,MATCH(1,(GMW!$NE$2:$NE$60=H$3)*(GMW!$ND$2:$ND$60=H$4)*(GMW!$NF$2:$NF$60=H$1),0),$F149-1966)</f>
        <v>4213.5749999999998</v>
      </c>
      <c r="I149" s="4" cm="1">
        <f t="array" ref="I149">INDEX(GMW!$A$2:$NF$60,MATCH(1,(GMW!$NE$2:$NE$60=I$3)*(GMW!$ND$2:$ND$60=I$4)*(GMW!$NF$2:$NF$60=I$1),0),$F149-1966)</f>
        <v>129842.8</v>
      </c>
      <c r="J149" s="4" cm="1">
        <f t="array" ref="J149">INDEX(GMW!$A$2:$NF$60,MATCH(1,(GMW!$NE$2:$NE$60=J$3)*(GMW!$ND$2:$ND$60=J$4)*(GMW!$NF$2:$NF$60=J$1),0),$F149-1966)</f>
        <v>783.34</v>
      </c>
      <c r="K149" s="4" cm="1">
        <f t="array" ref="K149">INDEX(GMW!$A$2:$NF$60,MATCH(1,(GMW!$NE$2:$NE$60=K$3)*(GMW!$ND$2:$ND$60=K$4)*(GMW!$NF$2:$NF$60=K$1),0),$F149-1966)</f>
        <v>560.19500000000005</v>
      </c>
      <c r="L149" s="4" cm="1">
        <f t="array" ref="L149">INDEX(GMW!$A$2:$NF$60,MATCH(1,(GMW!$NE$2:$NE$60=L$3)*(GMW!$ND$2:$ND$60=L$4)*(GMW!$NF$2:$NF$60=L$1),0),$F149-1966)</f>
        <v>471.55599999999998</v>
      </c>
      <c r="M149" s="4" cm="1">
        <f t="array" ref="M149">INDEX(GMW!$A$2:$NF$60,MATCH(1,(GMW!$NE$2:$NE$60=M$3)*(GMW!$ND$2:$ND$60=M$4)*(GMW!$NF$2:$NF$60=M$1),0),$F149-1966)</f>
        <v>465589.5</v>
      </c>
      <c r="N149" s="4" cm="1">
        <f t="array" ref="N149">INDEX(GMW!$A$2:$NF$60,MATCH(1,(GMW!$NE$2:$NE$60=N$3)*(GMW!$ND$2:$ND$60=N$4)*(GMW!$NF$2:$NF$60=N$1),0),$F149-1966)</f>
        <v>-25313</v>
      </c>
      <c r="O149" s="4" cm="1">
        <f t="array" ref="O149">INDEX(GMW!$A$2:$NF$60,MATCH(1,(GMW!$NE$2:$NE$60=O$3)*(GMW!$ND$2:$ND$60=O$4)*(GMW!$NF$2:$NF$60=O$1),0),$F149-1966)</f>
        <v>-268.96019999999999</v>
      </c>
      <c r="P149" s="4" cm="1">
        <f t="array" ref="P149">INDEX(GMW!$A$2:$NF$60,MATCH(1,(GMW!$NE$2:$NE$60=P$3)*(GMW!$ND$2:$ND$60=P$4)*(GMW!$NF$2:$NF$60=P$1),0),$F149-1966)</f>
        <v>-5710.5</v>
      </c>
      <c r="Q149" s="4" cm="1">
        <f t="array" ref="Q149">INDEX(GMW!$A$2:$NF$60,MATCH(1,(GMW!$NE$2:$NE$60=Q$3)*(GMW!$ND$2:$ND$60=Q$4)*(GMW!$NF$2:$NF$60=Q$1),0),$F149-1966)</f>
        <v>0.54</v>
      </c>
      <c r="R149" s="4" cm="1">
        <f t="array" ref="R149">INDEX(GMW!$A$2:$NF$60,MATCH(1,(GMW!$NE$2:$NE$60=R$3)*(GMW!$ND$2:$ND$60=R$4)*(GMW!$NF$2:$NF$60=R$1),0),$F149-1966)</f>
        <v>-15.260999999999999</v>
      </c>
      <c r="S149" s="4" cm="1">
        <f t="array" ref="S149">INDEX(GMW!$A$2:$NF$60,MATCH(1,(GMW!$NE$2:$NE$60=S$3)*(GMW!$ND$2:$ND$60=S$4)*(GMW!$NF$2:$NF$60=S$1),0),$F149-1966)</f>
        <v>-11.102819999999999</v>
      </c>
      <c r="T149" s="4" cm="1">
        <f t="array" ref="T149">INDEX(GMW!$A$2:$NF$60,MATCH(1,(GMW!$NE$2:$NE$60=T$3)*(GMW!$ND$2:$ND$60=T$4)*(GMW!$NF$2:$NF$60=T$1),0),$F149-1966)</f>
        <v>7060</v>
      </c>
      <c r="U149" s="4" cm="1">
        <f t="array" ref="U149">INDEX(GMW!$A$2:$NF$60,MATCH(1,(GMW!$NE$2:$NE$60=U$3)*(GMW!$ND$2:$ND$60=U$4)*(GMW!$NF$2:$NF$60=U$1),0),$F149-1966)</f>
        <v>736882</v>
      </c>
      <c r="V149" s="4" cm="1">
        <f t="array" ref="V149">INDEX(GMW!$A$2:$NF$60,MATCH(1,(GMW!$NE$2:$NE$60=V$3)*(GMW!$ND$2:$ND$60=V$4)*(GMW!$NF$2:$NF$60=V$1),0),$F149-1966)</f>
        <v>14029.95</v>
      </c>
      <c r="W149" s="4" cm="1">
        <f t="array" ref="W149">INDEX(GMW!$A$2:$NF$60,MATCH(1,(GMW!$NE$2:$NE$60=W$3)*(GMW!$ND$2:$ND$60=W$4)*(GMW!$NF$2:$NF$60=W$1),0),$F149-1966)</f>
        <v>834175</v>
      </c>
      <c r="X149" s="4" cm="1">
        <f t="array" ref="X149">INDEX(GMW!$A$2:$NF$60,MATCH(1,(GMW!$NE$2:$NE$60=X$3)*(GMW!$ND$2:$ND$60=X$4)*(GMW!$NF$2:$NF$60=X$1),0),$F149-1966)</f>
        <v>1553.6610000000001</v>
      </c>
      <c r="Y149" s="4" cm="1">
        <f t="array" ref="Y149">INDEX(GMW!$A$2:$NF$60,MATCH(1,(GMW!$NE$2:$NE$60=Y$3)*(GMW!$ND$2:$ND$60=Y$4)*(GMW!$NF$2:$NF$60=Y$1),0),$F149-1966)</f>
        <v>1678.2919999999999</v>
      </c>
      <c r="Z149" s="4" cm="1">
        <f t="array" ref="Z149">INDEX(GMW!$A$2:$NF$60,MATCH(1,(GMW!$NE$2:$NE$60=Z$3)*(GMW!$ND$2:$ND$60=Z$4)*(GMW!$NF$2:$NF$60=Z$1),0),$F149-1966)</f>
        <v>1850.1759999999999</v>
      </c>
      <c r="AA149" s="4" cm="1">
        <f t="array" ref="AA149">INDEX(GMW!$A$2:$NF$60,MATCH(1,(GMW!$NE$2:$NE$60=AA$3)*(GMW!$ND$2:$ND$60=AA$4)*(GMW!$NF$2:$NF$60=AA$1),0),$F149-1966)</f>
        <v>1140558</v>
      </c>
      <c r="AB149" s="4" cm="1">
        <f t="array" ref="AB149">INDEX(GMW!$A$2:$NF$60,MATCH(1,(GMW!$NE$2:$NE$60=AB$3)*(GMW!$ND$2:$ND$60=AB$4)*(GMW!$NF$2:$NF$60=AB$1),0),$F149-1966)</f>
        <v>399994</v>
      </c>
      <c r="AC149" s="4" cm="1">
        <f t="array" ref="AC149">INDEX(GMW!$A$2:$NF$60,MATCH(1,(GMW!$NE$2:$NE$60=AC$3)*(GMW!$ND$2:$ND$60=AC$4)*(GMW!$NF$2:$NF$60=AC$1),0),$F149-1966)</f>
        <v>3724.75</v>
      </c>
      <c r="AD149" s="4" cm="1">
        <f t="array" ref="AD149">INDEX(GMW!$A$2:$NF$60,MATCH(1,(GMW!$NE$2:$NE$60=AD$3)*(GMW!$ND$2:$ND$60=AD$4)*(GMW!$NF$2:$NF$60=AD$1),0),$F149-1966)</f>
        <v>130807.4</v>
      </c>
      <c r="AE149" s="4" cm="1">
        <f t="array" ref="AE149">INDEX(GMW!$A$2:$NF$60,MATCH(1,(GMW!$NE$2:$NE$60=AE$3)*(GMW!$ND$2:$ND$60=AE$4)*(GMW!$NF$2:$NF$60=AE$1),0),$F149-1966)</f>
        <v>647.13699999999994</v>
      </c>
      <c r="AF149" s="4" cm="1">
        <f t="array" ref="AF149">INDEX(GMW!$A$2:$NF$60,MATCH(1,(GMW!$NE$2:$NE$60=AF$3)*(GMW!$ND$2:$ND$60=AF$4)*(GMW!$NF$2:$NF$60=AF$1),0),$F149-1966)</f>
        <v>498.12900000000002</v>
      </c>
      <c r="AG149" s="4" cm="1">
        <f t="array" ref="AG149">INDEX(GMW!$A$2:$NF$60,MATCH(1,(GMW!$NE$2:$NE$60=AG$3)*(GMW!$ND$2:$ND$60=AG$4)*(GMW!$NF$2:$NF$60=AG$1),0),$F149-1966)</f>
        <v>410.78199999999998</v>
      </c>
      <c r="AH149" s="4" cm="1">
        <f t="array" ref="AH149">INDEX(GMW!$A$2:$NF$60,MATCH(1,(GMW!$NE$2:$NE$60=AH$3)*(GMW!$ND$2:$ND$60=AH$4)*(GMW!$NF$2:$NF$60=AH$1),0),$F149-1966)</f>
        <v>423628</v>
      </c>
    </row>
    <row r="150" spans="1:34" x14ac:dyDescent="0.25">
      <c r="B150" s="4">
        <f t="shared" si="47"/>
        <v>2008</v>
      </c>
      <c r="C150" s="4">
        <f t="shared" si="47"/>
        <v>2008</v>
      </c>
      <c r="E150" s="4">
        <f t="shared" ref="E150" si="50">+E146+1</f>
        <v>2008</v>
      </c>
      <c r="F150" s="4">
        <f t="shared" si="38"/>
        <v>2116</v>
      </c>
      <c r="G150" s="4" cm="1">
        <f t="array" ref="G150">INDEX(GMW!$A$2:$NF$60,MATCH(1,(GMW!$NE$2:$NE$60=G$3)*(GMW!$ND$2:$ND$60=G$4)*(GMW!$NF$2:$NF$60=G$1),0),$F150-1966)</f>
        <v>520230</v>
      </c>
      <c r="H150" s="4" cm="1">
        <f t="array" ref="H150">INDEX(GMW!$A$2:$NF$60,MATCH(1,(GMW!$NE$2:$NE$60=H$3)*(GMW!$ND$2:$ND$60=H$4)*(GMW!$NF$2:$NF$60=H$1),0),$F150-1966)</f>
        <v>4121.3500000000004</v>
      </c>
      <c r="I150" s="4" cm="1">
        <f t="array" ref="I150">INDEX(GMW!$A$2:$NF$60,MATCH(1,(GMW!$NE$2:$NE$60=I$3)*(GMW!$ND$2:$ND$60=I$4)*(GMW!$NF$2:$NF$60=I$1),0),$F150-1966)</f>
        <v>126600.7</v>
      </c>
      <c r="J150" s="4" cm="1">
        <f t="array" ref="J150">INDEX(GMW!$A$2:$NF$60,MATCH(1,(GMW!$NE$2:$NE$60=J$3)*(GMW!$ND$2:$ND$60=J$4)*(GMW!$NF$2:$NF$60=J$1),0),$F150-1966)</f>
        <v>771.17</v>
      </c>
      <c r="K150" s="4" cm="1">
        <f t="array" ref="K150">INDEX(GMW!$A$2:$NF$60,MATCH(1,(GMW!$NE$2:$NE$60=K$3)*(GMW!$ND$2:$ND$60=K$4)*(GMW!$NF$2:$NF$60=K$1),0),$F150-1966)</f>
        <v>553.08699999999999</v>
      </c>
      <c r="L150" s="4" cm="1">
        <f t="array" ref="L150">INDEX(GMW!$A$2:$NF$60,MATCH(1,(GMW!$NE$2:$NE$60=L$3)*(GMW!$ND$2:$ND$60=L$4)*(GMW!$NF$2:$NF$60=L$1),0),$F150-1966)</f>
        <v>460.73399999999998</v>
      </c>
      <c r="M150" s="4" cm="1">
        <f t="array" ref="M150">INDEX(GMW!$A$2:$NF$60,MATCH(1,(GMW!$NE$2:$NE$60=M$3)*(GMW!$ND$2:$ND$60=M$4)*(GMW!$NF$2:$NF$60=M$1),0),$F150-1966)</f>
        <v>460187.3</v>
      </c>
      <c r="N150" s="4" cm="1">
        <f t="array" ref="N150">INDEX(GMW!$A$2:$NF$60,MATCH(1,(GMW!$NE$2:$NE$60=N$3)*(GMW!$ND$2:$ND$60=N$4)*(GMW!$NF$2:$NF$60=N$1),0),$F150-1966)</f>
        <v>-38576</v>
      </c>
      <c r="O150" s="4" cm="1">
        <f t="array" ref="O150">INDEX(GMW!$A$2:$NF$60,MATCH(1,(GMW!$NE$2:$NE$60=O$3)*(GMW!$ND$2:$ND$60=O$4)*(GMW!$NF$2:$NF$60=O$1),0),$F150-1966)</f>
        <v>-297.51900000000001</v>
      </c>
      <c r="P150" s="4" cm="1">
        <f t="array" ref="P150">INDEX(GMW!$A$2:$NF$60,MATCH(1,(GMW!$NE$2:$NE$60=P$3)*(GMW!$ND$2:$ND$60=P$4)*(GMW!$NF$2:$NF$60=P$1),0),$F150-1966)</f>
        <v>-7685.25</v>
      </c>
      <c r="Q150" s="4" cm="1">
        <f t="array" ref="Q150">INDEX(GMW!$A$2:$NF$60,MATCH(1,(GMW!$NE$2:$NE$60=Q$3)*(GMW!$ND$2:$ND$60=Q$4)*(GMW!$NF$2:$NF$60=Q$1),0),$F150-1966)</f>
        <v>-7.048</v>
      </c>
      <c r="R150" s="4" cm="1">
        <f t="array" ref="R150">INDEX(GMW!$A$2:$NF$60,MATCH(1,(GMW!$NE$2:$NE$60=R$3)*(GMW!$ND$2:$ND$60=R$4)*(GMW!$NF$2:$NF$60=R$1),0),$F150-1966)</f>
        <v>-23.853000000000002</v>
      </c>
      <c r="S150" s="4" cm="1">
        <f t="array" ref="S150">INDEX(GMW!$A$2:$NF$60,MATCH(1,(GMW!$NE$2:$NE$60=S$3)*(GMW!$ND$2:$ND$60=S$4)*(GMW!$NF$2:$NF$60=S$1),0),$F150-1966)</f>
        <v>-13.796060000000001</v>
      </c>
      <c r="T150" s="4" cm="1">
        <f t="array" ref="T150">INDEX(GMW!$A$2:$NF$60,MATCH(1,(GMW!$NE$2:$NE$60=T$3)*(GMW!$ND$2:$ND$60=T$4)*(GMW!$NF$2:$NF$60=T$1),0),$F150-1966)</f>
        <v>-2436</v>
      </c>
      <c r="U150" s="4" cm="1">
        <f t="array" ref="U150">INDEX(GMW!$A$2:$NF$60,MATCH(1,(GMW!$NE$2:$NE$60=U$3)*(GMW!$ND$2:$ND$60=U$4)*(GMW!$NF$2:$NF$60=U$1),0),$F150-1966)</f>
        <v>809985</v>
      </c>
      <c r="V150" s="4" cm="1">
        <f t="array" ref="V150">INDEX(GMW!$A$2:$NF$60,MATCH(1,(GMW!$NE$2:$NE$60=V$3)*(GMW!$ND$2:$ND$60=V$4)*(GMW!$NF$2:$NF$60=V$1),0),$F150-1966)</f>
        <v>15114.3</v>
      </c>
      <c r="W150" s="4" cm="1">
        <f t="array" ref="W150">INDEX(GMW!$A$2:$NF$60,MATCH(1,(GMW!$NE$2:$NE$60=W$3)*(GMW!$ND$2:$ND$60=W$4)*(GMW!$NF$2:$NF$60=W$1),0),$F150-1966)</f>
        <v>837205</v>
      </c>
      <c r="X150" s="4" cm="1">
        <f t="array" ref="X150">INDEX(GMW!$A$2:$NF$60,MATCH(1,(GMW!$NE$2:$NE$60=X$3)*(GMW!$ND$2:$ND$60=X$4)*(GMW!$NF$2:$NF$60=X$1),0),$F150-1966)</f>
        <v>1589.694</v>
      </c>
      <c r="Y150" s="4" cm="1">
        <f t="array" ref="Y150">INDEX(GMW!$A$2:$NF$60,MATCH(1,(GMW!$NE$2:$NE$60=Y$3)*(GMW!$ND$2:$ND$60=Y$4)*(GMW!$NF$2:$NF$60=Y$1),0),$F150-1966)</f>
        <v>1788.386</v>
      </c>
      <c r="Z150" s="4" cm="1">
        <f t="array" ref="Z150">INDEX(GMW!$A$2:$NF$60,MATCH(1,(GMW!$NE$2:$NE$60=Z$3)*(GMW!$ND$2:$ND$60=Z$4)*(GMW!$NF$2:$NF$60=Z$1),0),$F150-1966)</f>
        <v>1868.0889999999999</v>
      </c>
      <c r="AA150" s="4" cm="1">
        <f t="array" ref="AA150">INDEX(GMW!$A$2:$NF$60,MATCH(1,(GMW!$NE$2:$NE$60=AA$3)*(GMW!$ND$2:$ND$60=AA$4)*(GMW!$NF$2:$NF$60=AA$1),0),$F150-1966)</f>
        <v>1230238</v>
      </c>
      <c r="AB150" s="4" cm="1">
        <f t="array" ref="AB150">INDEX(GMW!$A$2:$NF$60,MATCH(1,(GMW!$NE$2:$NE$60=AB$3)*(GMW!$ND$2:$ND$60=AB$4)*(GMW!$NF$2:$NF$60=AB$1),0),$F150-1966)</f>
        <v>395121</v>
      </c>
      <c r="AC150" s="4" cm="1">
        <f t="array" ref="AC150">INDEX(GMW!$A$2:$NF$60,MATCH(1,(GMW!$NE$2:$NE$60=AC$3)*(GMW!$ND$2:$ND$60=AC$4)*(GMW!$NF$2:$NF$60=AC$1),0),$F150-1966)</f>
        <v>3652.05</v>
      </c>
      <c r="AD150" s="4" cm="1">
        <f t="array" ref="AD150">INDEX(GMW!$A$2:$NF$60,MATCH(1,(GMW!$NE$2:$NE$60=AD$3)*(GMW!$ND$2:$ND$60=AD$4)*(GMW!$NF$2:$NF$60=AD$1),0),$F150-1966)</f>
        <v>129225.9</v>
      </c>
      <c r="AE150" s="4" cm="1">
        <f t="array" ref="AE150">INDEX(GMW!$A$2:$NF$60,MATCH(1,(GMW!$NE$2:$NE$60=AE$3)*(GMW!$ND$2:$ND$60=AE$4)*(GMW!$NF$2:$NF$60=AE$1),0),$F150-1966)</f>
        <v>639.52200000000005</v>
      </c>
      <c r="AF150" s="4" cm="1">
        <f t="array" ref="AF150">INDEX(GMW!$A$2:$NF$60,MATCH(1,(GMW!$NE$2:$NE$60=AF$3)*(GMW!$ND$2:$ND$60=AF$4)*(GMW!$NF$2:$NF$60=AF$1),0),$F150-1966)</f>
        <v>492.70800000000003</v>
      </c>
      <c r="AG150" s="4" cm="1">
        <f t="array" ref="AG150">INDEX(GMW!$A$2:$NF$60,MATCH(1,(GMW!$NE$2:$NE$60=AG$3)*(GMW!$ND$2:$ND$60=AG$4)*(GMW!$NF$2:$NF$60=AG$1),0),$F150-1966)</f>
        <v>402.37900000000002</v>
      </c>
      <c r="AH150" s="4" cm="1">
        <f t="array" ref="AH150">INDEX(GMW!$A$2:$NF$60,MATCH(1,(GMW!$NE$2:$NE$60=AH$3)*(GMW!$ND$2:$ND$60=AH$4)*(GMW!$NF$2:$NF$60=AH$1),0),$F150-1966)</f>
        <v>404727</v>
      </c>
    </row>
    <row r="151" spans="1:34" x14ac:dyDescent="0.25">
      <c r="A151" s="4">
        <v>2009</v>
      </c>
      <c r="B151" s="4">
        <f t="shared" si="47"/>
        <v>2009</v>
      </c>
      <c r="C151" s="4">
        <f t="shared" si="47"/>
        <v>2008</v>
      </c>
      <c r="D151" s="4">
        <f t="shared" si="47"/>
        <v>2008</v>
      </c>
      <c r="F151" s="4">
        <f t="shared" si="38"/>
        <v>2117</v>
      </c>
      <c r="G151" s="4" cm="1">
        <f t="array" ref="G151">INDEX(GMW!$A$2:$NF$60,MATCH(1,(GMW!$NE$2:$NE$60=G$3)*(GMW!$ND$2:$ND$60=G$4)*(GMW!$NF$2:$NF$60=G$1),0),$F151-1966)</f>
        <v>509646</v>
      </c>
      <c r="H151" s="4" cm="1">
        <f t="array" ref="H151">INDEX(GMW!$A$2:$NF$60,MATCH(1,(GMW!$NE$2:$NE$60=H$3)*(GMW!$ND$2:$ND$60=H$4)*(GMW!$NF$2:$NF$60=H$1),0),$F151-1966)</f>
        <v>4074.5749999999998</v>
      </c>
      <c r="I151" s="4" cm="1">
        <f t="array" ref="I151">INDEX(GMW!$A$2:$NF$60,MATCH(1,(GMW!$NE$2:$NE$60=I$3)*(GMW!$ND$2:$ND$60=I$4)*(GMW!$NF$2:$NF$60=I$1),0),$F151-1966)</f>
        <v>120530.5</v>
      </c>
      <c r="J151" s="4" cm="1">
        <f t="array" ref="J151">INDEX(GMW!$A$2:$NF$60,MATCH(1,(GMW!$NE$2:$NE$60=J$3)*(GMW!$ND$2:$ND$60=J$4)*(GMW!$NF$2:$NF$60=J$1),0),$F151-1966)</f>
        <v>735.03</v>
      </c>
      <c r="K151" s="4" cm="1">
        <f t="array" ref="K151">INDEX(GMW!$A$2:$NF$60,MATCH(1,(GMW!$NE$2:$NE$60=K$3)*(GMW!$ND$2:$ND$60=K$4)*(GMW!$NF$2:$NF$60=K$1),0),$F151-1966)</f>
        <v>542.55999999999995</v>
      </c>
      <c r="L151" s="4" cm="1">
        <f t="array" ref="L151">INDEX(GMW!$A$2:$NF$60,MATCH(1,(GMW!$NE$2:$NE$60=L$3)*(GMW!$ND$2:$ND$60=L$4)*(GMW!$NF$2:$NF$60=L$1),0),$F151-1966)</f>
        <v>449.464</v>
      </c>
      <c r="M151" s="4" cm="1">
        <f t="array" ref="M151">INDEX(GMW!$A$2:$NF$60,MATCH(1,(GMW!$NE$2:$NE$60=M$3)*(GMW!$ND$2:$ND$60=M$4)*(GMW!$NF$2:$NF$60=M$1),0),$F151-1966)</f>
        <v>449802.8</v>
      </c>
      <c r="N151" s="4" cm="1">
        <f t="array" ref="N151">INDEX(GMW!$A$2:$NF$60,MATCH(1,(GMW!$NE$2:$NE$60=N$3)*(GMW!$ND$2:$ND$60=N$4)*(GMW!$NF$2:$NF$60=N$1),0),$F151-1966)</f>
        <v>-32242</v>
      </c>
      <c r="O151" s="4" cm="1">
        <f t="array" ref="O151">INDEX(GMW!$A$2:$NF$60,MATCH(1,(GMW!$NE$2:$NE$60=O$3)*(GMW!$ND$2:$ND$60=O$4)*(GMW!$NF$2:$NF$60=O$1),0),$F151-1966)</f>
        <v>-405.77600000000001</v>
      </c>
      <c r="P151" s="4" cm="1">
        <f t="array" ref="P151">INDEX(GMW!$A$2:$NF$60,MATCH(1,(GMW!$NE$2:$NE$60=P$3)*(GMW!$ND$2:$ND$60=P$4)*(GMW!$NF$2:$NF$60=P$1),0),$F151-1966)</f>
        <v>-10068</v>
      </c>
      <c r="Q151" s="4" cm="1">
        <f t="array" ref="Q151">INDEX(GMW!$A$2:$NF$60,MATCH(1,(GMW!$NE$2:$NE$60=Q$3)*(GMW!$ND$2:$ND$60=Q$4)*(GMW!$NF$2:$NF$60=Q$1),0),$F151-1966)</f>
        <v>-5.2779999999999996</v>
      </c>
      <c r="R151" s="4" cm="1">
        <f t="array" ref="R151">INDEX(GMW!$A$2:$NF$60,MATCH(1,(GMW!$NE$2:$NE$60=R$3)*(GMW!$ND$2:$ND$60=R$4)*(GMW!$NF$2:$NF$60=R$1),0),$F151-1966)</f>
        <v>-34.703000000000003</v>
      </c>
      <c r="S151" s="4" cm="1">
        <f t="array" ref="S151">INDEX(GMW!$A$2:$NF$60,MATCH(1,(GMW!$NE$2:$NE$60=S$3)*(GMW!$ND$2:$ND$60=S$4)*(GMW!$NF$2:$NF$60=S$1),0),$F151-1966)</f>
        <v>-17.55602</v>
      </c>
      <c r="T151" s="4" cm="1">
        <f t="array" ref="T151">INDEX(GMW!$A$2:$NF$60,MATCH(1,(GMW!$NE$2:$NE$60=T$3)*(GMW!$ND$2:$ND$60=T$4)*(GMW!$NF$2:$NF$60=T$1),0),$F151-1966)</f>
        <v>-7184</v>
      </c>
      <c r="U151" s="4" cm="1">
        <f t="array" ref="U151">INDEX(GMW!$A$2:$NF$60,MATCH(1,(GMW!$NE$2:$NE$60=U$3)*(GMW!$ND$2:$ND$60=U$4)*(GMW!$NF$2:$NF$60=U$1),0),$F151-1966)</f>
        <v>847407</v>
      </c>
      <c r="V151" s="4" cm="1">
        <f t="array" ref="V151">INDEX(GMW!$A$2:$NF$60,MATCH(1,(GMW!$NE$2:$NE$60=V$3)*(GMW!$ND$2:$ND$60=V$4)*(GMW!$NF$2:$NF$60=V$1),0),$F151-1966)</f>
        <v>15842.81</v>
      </c>
      <c r="W151" s="4" cm="1">
        <f t="array" ref="W151">INDEX(GMW!$A$2:$NF$60,MATCH(1,(GMW!$NE$2:$NE$60=W$3)*(GMW!$ND$2:$ND$60=W$4)*(GMW!$NF$2:$NF$60=W$1),0),$F151-1966)</f>
        <v>847196</v>
      </c>
      <c r="X151" s="4" cm="1">
        <f t="array" ref="X151">INDEX(GMW!$A$2:$NF$60,MATCH(1,(GMW!$NE$2:$NE$60=X$3)*(GMW!$ND$2:$ND$60=X$4)*(GMW!$NF$2:$NF$60=X$1),0),$F151-1966)</f>
        <v>1609.29</v>
      </c>
      <c r="Y151" s="4" cm="1">
        <f t="array" ref="Y151">INDEX(GMW!$A$2:$NF$60,MATCH(1,(GMW!$NE$2:$NE$60=Y$3)*(GMW!$ND$2:$ND$60=Y$4)*(GMW!$NF$2:$NF$60=Y$1),0),$F151-1966)</f>
        <v>1879.3530000000001</v>
      </c>
      <c r="Z151" s="4" cm="1">
        <f t="array" ref="Z151">INDEX(GMW!$A$2:$NF$60,MATCH(1,(GMW!$NE$2:$NE$60=Z$3)*(GMW!$ND$2:$ND$60=Z$4)*(GMW!$NF$2:$NF$60=Z$1),0),$F151-1966)</f>
        <v>1901.598</v>
      </c>
      <c r="AA151" s="4" cm="1">
        <f t="array" ref="AA151">INDEX(GMW!$A$2:$NF$60,MATCH(1,(GMW!$NE$2:$NE$60=AA$3)*(GMW!$ND$2:$ND$60=AA$4)*(GMW!$NF$2:$NF$60=AA$1),0),$F151-1966)</f>
        <v>1303476</v>
      </c>
      <c r="AB151" s="4" cm="1">
        <f t="array" ref="AB151">INDEX(GMW!$A$2:$NF$60,MATCH(1,(GMW!$NE$2:$NE$60=AB$3)*(GMW!$ND$2:$ND$60=AB$4)*(GMW!$NF$2:$NF$60=AB$1),0),$F151-1966)</f>
        <v>386874</v>
      </c>
      <c r="AC151" s="4" cm="1">
        <f t="array" ref="AC151">INDEX(GMW!$A$2:$NF$60,MATCH(1,(GMW!$NE$2:$NE$60=AC$3)*(GMW!$ND$2:$ND$60=AC$4)*(GMW!$NF$2:$NF$60=AC$1),0),$F151-1966)</f>
        <v>3607.7249999999999</v>
      </c>
      <c r="AD151" s="4" cm="1">
        <f t="array" ref="AD151">INDEX(GMW!$A$2:$NF$60,MATCH(1,(GMW!$NE$2:$NE$60=AD$3)*(GMW!$ND$2:$ND$60=AD$4)*(GMW!$NF$2:$NF$60=AD$1),0),$F151-1966)</f>
        <v>123058.3</v>
      </c>
      <c r="AE151" s="4" cm="1">
        <f t="array" ref="AE151">INDEX(GMW!$A$2:$NF$60,MATCH(1,(GMW!$NE$2:$NE$60=AE$3)*(GMW!$ND$2:$ND$60=AE$4)*(GMW!$NF$2:$NF$60=AE$1),0),$F151-1966)</f>
        <v>615.57100000000003</v>
      </c>
      <c r="AF151" s="4" cm="1">
        <f t="array" ref="AF151">INDEX(GMW!$A$2:$NF$60,MATCH(1,(GMW!$NE$2:$NE$60=AF$3)*(GMW!$ND$2:$ND$60=AF$4)*(GMW!$NF$2:$NF$60=AF$1),0),$F151-1966)</f>
        <v>482.18599999999998</v>
      </c>
      <c r="AG151" s="4" cm="1">
        <f t="array" ref="AG151">INDEX(GMW!$A$2:$NF$60,MATCH(1,(GMW!$NE$2:$NE$60=AG$3)*(GMW!$ND$2:$ND$60=AG$4)*(GMW!$NF$2:$NF$60=AG$1),0),$F151-1966)</f>
        <v>395.81900000000002</v>
      </c>
      <c r="AH151" s="4" cm="1">
        <f t="array" ref="AH151">INDEX(GMW!$A$2:$NF$60,MATCH(1,(GMW!$NE$2:$NE$60=AH$3)*(GMW!$ND$2:$ND$60=AH$4)*(GMW!$NF$2:$NF$60=AH$1),0),$F151-1966)</f>
        <v>389308</v>
      </c>
    </row>
    <row r="152" spans="1:34" x14ac:dyDescent="0.25">
      <c r="B152" s="4">
        <f t="shared" si="47"/>
        <v>2009</v>
      </c>
      <c r="C152" s="4">
        <f t="shared" si="47"/>
        <v>2009</v>
      </c>
      <c r="F152" s="4">
        <f t="shared" si="38"/>
        <v>2118</v>
      </c>
      <c r="G152" s="4" cm="1">
        <f t="array" ref="G152">INDEX(GMW!$A$2:$NF$60,MATCH(1,(GMW!$NE$2:$NE$60=G$3)*(GMW!$ND$2:$ND$60=G$4)*(GMW!$NF$2:$NF$60=G$1),0),$F152-1966)</f>
        <v>508009</v>
      </c>
      <c r="H152" s="4" cm="1">
        <f t="array" ref="H152">INDEX(GMW!$A$2:$NF$60,MATCH(1,(GMW!$NE$2:$NE$60=H$3)*(GMW!$ND$2:$ND$60=H$4)*(GMW!$NF$2:$NF$60=H$1),0),$F152-1966)</f>
        <v>4067.2750000000001</v>
      </c>
      <c r="I152" s="4" cm="1">
        <f t="array" ref="I152">INDEX(GMW!$A$2:$NF$60,MATCH(1,(GMW!$NE$2:$NE$60=I$3)*(GMW!$ND$2:$ND$60=I$4)*(GMW!$NF$2:$NF$60=I$1),0),$F152-1966)</f>
        <v>122898.3</v>
      </c>
      <c r="J152" s="4" cm="1">
        <f t="array" ref="J152">INDEX(GMW!$A$2:$NF$60,MATCH(1,(GMW!$NE$2:$NE$60=J$3)*(GMW!$ND$2:$ND$60=J$4)*(GMW!$NF$2:$NF$60=J$1),0),$F152-1966)</f>
        <v>736.84</v>
      </c>
      <c r="K152" s="4" cm="1">
        <f t="array" ref="K152">INDEX(GMW!$A$2:$NF$60,MATCH(1,(GMW!$NE$2:$NE$60=K$3)*(GMW!$ND$2:$ND$60=K$4)*(GMW!$NF$2:$NF$60=K$1),0),$F152-1966)</f>
        <v>543.51700000000005</v>
      </c>
      <c r="L152" s="4" cm="1">
        <f t="array" ref="L152">INDEX(GMW!$A$2:$NF$60,MATCH(1,(GMW!$NE$2:$NE$60=L$3)*(GMW!$ND$2:$ND$60=L$4)*(GMW!$NF$2:$NF$60=L$1),0),$F152-1966)</f>
        <v>446.83499999999998</v>
      </c>
      <c r="M152" s="4" cm="1">
        <f t="array" ref="M152">INDEX(GMW!$A$2:$NF$60,MATCH(1,(GMW!$NE$2:$NE$60=M$3)*(GMW!$ND$2:$ND$60=M$4)*(GMW!$NF$2:$NF$60=M$1),0),$F152-1966)</f>
        <v>444950.8</v>
      </c>
      <c r="N152" s="4" cm="1">
        <f t="array" ref="N152">INDEX(GMW!$A$2:$NF$60,MATCH(1,(GMW!$NE$2:$NE$60=N$3)*(GMW!$ND$2:$ND$60=N$4)*(GMW!$NF$2:$NF$60=N$1),0),$F152-1966)</f>
        <v>-41170</v>
      </c>
      <c r="O152" s="4" cm="1">
        <f t="array" ref="O152">INDEX(GMW!$A$2:$NF$60,MATCH(1,(GMW!$NE$2:$NE$60=O$3)*(GMW!$ND$2:$ND$60=O$4)*(GMW!$NF$2:$NF$60=O$1),0),$F152-1966)</f>
        <v>-460.56630000000001</v>
      </c>
      <c r="P152" s="4" cm="1">
        <f t="array" ref="P152">INDEX(GMW!$A$2:$NF$60,MATCH(1,(GMW!$NE$2:$NE$60=P$3)*(GMW!$ND$2:$ND$60=P$4)*(GMW!$NF$2:$NF$60=P$1),0),$F152-1966)</f>
        <v>-11935</v>
      </c>
      <c r="Q152" s="4" cm="1">
        <f t="array" ref="Q152">INDEX(GMW!$A$2:$NF$60,MATCH(1,(GMW!$NE$2:$NE$60=Q$3)*(GMW!$ND$2:$ND$60=Q$4)*(GMW!$NF$2:$NF$60=Q$1),0),$F152-1966)</f>
        <v>-18.53</v>
      </c>
      <c r="R152" s="4" cm="1">
        <f t="array" ref="R152">INDEX(GMW!$A$2:$NF$60,MATCH(1,(GMW!$NE$2:$NE$60=R$3)*(GMW!$ND$2:$ND$60=R$4)*(GMW!$NF$2:$NF$60=R$1),0),$F152-1966)</f>
        <v>-33.704000000000001</v>
      </c>
      <c r="S152" s="4" cm="1">
        <f t="array" ref="S152">INDEX(GMW!$A$2:$NF$60,MATCH(1,(GMW!$NE$2:$NE$60=S$3)*(GMW!$ND$2:$ND$60=S$4)*(GMW!$NF$2:$NF$60=S$1),0),$F152-1966)</f>
        <v>-20.94098</v>
      </c>
      <c r="T152" s="4" cm="1">
        <f t="array" ref="T152">INDEX(GMW!$A$2:$NF$60,MATCH(1,(GMW!$NE$2:$NE$60=T$3)*(GMW!$ND$2:$ND$60=T$4)*(GMW!$NF$2:$NF$60=T$1),0),$F152-1966)</f>
        <v>-11923</v>
      </c>
      <c r="U152" s="4" cm="1">
        <f t="array" ref="U152">INDEX(GMW!$A$2:$NF$60,MATCH(1,(GMW!$NE$2:$NE$60=U$3)*(GMW!$ND$2:$ND$60=U$4)*(GMW!$NF$2:$NF$60=U$1),0),$F152-1966)</f>
        <v>895083</v>
      </c>
      <c r="V152" s="4" cm="1">
        <f t="array" ref="V152">INDEX(GMW!$A$2:$NF$60,MATCH(1,(GMW!$NE$2:$NE$60=V$3)*(GMW!$ND$2:$ND$60=V$4)*(GMW!$NF$2:$NF$60=V$1),0),$F152-1966)</f>
        <v>16172.95</v>
      </c>
      <c r="W152" s="4" cm="1">
        <f t="array" ref="W152">INDEX(GMW!$A$2:$NF$60,MATCH(1,(GMW!$NE$2:$NE$60=W$3)*(GMW!$ND$2:$ND$60=W$4)*(GMW!$NF$2:$NF$60=W$1),0),$F152-1966)</f>
        <v>857187</v>
      </c>
      <c r="X152" s="4" cm="1">
        <f t="array" ref="X152">INDEX(GMW!$A$2:$NF$60,MATCH(1,(GMW!$NE$2:$NE$60=X$3)*(GMW!$ND$2:$ND$60=X$4)*(GMW!$NF$2:$NF$60=X$1),0),$F152-1966)</f>
        <v>1621.7550000000001</v>
      </c>
      <c r="Y152" s="4" cm="1">
        <f t="array" ref="Y152">INDEX(GMW!$A$2:$NF$60,MATCH(1,(GMW!$NE$2:$NE$60=Y$3)*(GMW!$ND$2:$ND$60=Y$4)*(GMW!$NF$2:$NF$60=Y$1),0),$F152-1966)</f>
        <v>1964.268</v>
      </c>
      <c r="Z152" s="4" cm="1">
        <f t="array" ref="Z152">INDEX(GMW!$A$2:$NF$60,MATCH(1,(GMW!$NE$2:$NE$60=Z$3)*(GMW!$ND$2:$ND$60=Z$4)*(GMW!$NF$2:$NF$60=Z$1),0),$F152-1966)</f>
        <v>1935.106</v>
      </c>
      <c r="AA152" s="4" cm="1">
        <f t="array" ref="AA152">INDEX(GMW!$A$2:$NF$60,MATCH(1,(GMW!$NE$2:$NE$60=AA$3)*(GMW!$ND$2:$ND$60=AA$4)*(GMW!$NF$2:$NF$60=AA$1),0),$F152-1966)</f>
        <v>1287482</v>
      </c>
      <c r="AB152" s="4" cm="1">
        <f t="array" ref="AB152">INDEX(GMW!$A$2:$NF$60,MATCH(1,(GMW!$NE$2:$NE$60=AB$3)*(GMW!$ND$2:$ND$60=AB$4)*(GMW!$NF$2:$NF$60=AB$1),0),$F152-1966)</f>
        <v>386553</v>
      </c>
      <c r="AC152" s="4" cm="1">
        <f t="array" ref="AC152">INDEX(GMW!$A$2:$NF$60,MATCH(1,(GMW!$NE$2:$NE$60=AC$3)*(GMW!$ND$2:$ND$60=AC$4)*(GMW!$NF$2:$NF$60=AC$1),0),$F152-1966)</f>
        <v>3595.3</v>
      </c>
      <c r="AD152" s="4" cm="1">
        <f t="array" ref="AD152">INDEX(GMW!$A$2:$NF$60,MATCH(1,(GMW!$NE$2:$NE$60=AD$3)*(GMW!$ND$2:$ND$60=AD$4)*(GMW!$NF$2:$NF$60=AD$1),0),$F152-1966)</f>
        <v>124464.5</v>
      </c>
      <c r="AE152" s="4" cm="1">
        <f t="array" ref="AE152">INDEX(GMW!$A$2:$NF$60,MATCH(1,(GMW!$NE$2:$NE$60=AE$3)*(GMW!$ND$2:$ND$60=AE$4)*(GMW!$NF$2:$NF$60=AE$1),0),$F152-1966)</f>
        <v>618.58100000000002</v>
      </c>
      <c r="AF152" s="4" cm="1">
        <f t="array" ref="AF152">INDEX(GMW!$A$2:$NF$60,MATCH(1,(GMW!$NE$2:$NE$60=AF$3)*(GMW!$ND$2:$ND$60=AF$4)*(GMW!$NF$2:$NF$60=AF$1),0),$F152-1966)</f>
        <v>482.51600000000002</v>
      </c>
      <c r="AG152" s="4" cm="1">
        <f t="array" ref="AG152">INDEX(GMW!$A$2:$NF$60,MATCH(1,(GMW!$NE$2:$NE$60=AG$3)*(GMW!$ND$2:$ND$60=AG$4)*(GMW!$NF$2:$NF$60=AG$1),0),$F152-1966)</f>
        <v>394.34699999999998</v>
      </c>
      <c r="AH152" s="4" cm="1">
        <f t="array" ref="AH152">INDEX(GMW!$A$2:$NF$60,MATCH(1,(GMW!$NE$2:$NE$60=AH$3)*(GMW!$ND$2:$ND$60=AH$4)*(GMW!$NF$2:$NF$60=AH$1),0),$F152-1966)</f>
        <v>387122</v>
      </c>
    </row>
    <row r="153" spans="1:34" x14ac:dyDescent="0.25">
      <c r="B153" s="4">
        <f t="shared" si="47"/>
        <v>2009</v>
      </c>
      <c r="C153" s="4">
        <f t="shared" si="47"/>
        <v>2009</v>
      </c>
      <c r="F153" s="4">
        <f t="shared" si="38"/>
        <v>2119</v>
      </c>
      <c r="G153" s="4" cm="1">
        <f t="array" ref="G153">INDEX(GMW!$A$2:$NF$60,MATCH(1,(GMW!$NE$2:$NE$60=G$3)*(GMW!$ND$2:$ND$60=G$4)*(GMW!$NF$2:$NF$60=G$1),0),$F153-1966)</f>
        <v>508398</v>
      </c>
      <c r="H153" s="4" cm="1">
        <f t="array" ref="H153">INDEX(GMW!$A$2:$NF$60,MATCH(1,(GMW!$NE$2:$NE$60=H$3)*(GMW!$ND$2:$ND$60=H$4)*(GMW!$NF$2:$NF$60=H$1),0),$F153-1966)</f>
        <v>4081.5749999999998</v>
      </c>
      <c r="I153" s="4" cm="1">
        <f t="array" ref="I153">INDEX(GMW!$A$2:$NF$60,MATCH(1,(GMW!$NE$2:$NE$60=I$3)*(GMW!$ND$2:$ND$60=I$4)*(GMW!$NF$2:$NF$60=I$1),0),$F153-1966)</f>
        <v>122855</v>
      </c>
      <c r="J153" s="4" cm="1">
        <f t="array" ref="J153">INDEX(GMW!$A$2:$NF$60,MATCH(1,(GMW!$NE$2:$NE$60=J$3)*(GMW!$ND$2:$ND$60=J$4)*(GMW!$NF$2:$NF$60=J$1),0),$F153-1966)</f>
        <v>741.41</v>
      </c>
      <c r="K153" s="4" cm="1">
        <f t="array" ref="K153">INDEX(GMW!$A$2:$NF$60,MATCH(1,(GMW!$NE$2:$NE$60=K$3)*(GMW!$ND$2:$ND$60=K$4)*(GMW!$NF$2:$NF$60=K$1),0),$F153-1966)</f>
        <v>544.74099999999999</v>
      </c>
      <c r="L153" s="4" cm="1">
        <f t="array" ref="L153">INDEX(GMW!$A$2:$NF$60,MATCH(1,(GMW!$NE$2:$NE$60=L$3)*(GMW!$ND$2:$ND$60=L$4)*(GMW!$NF$2:$NF$60=L$1),0),$F153-1966)</f>
        <v>447.95400000000001</v>
      </c>
      <c r="M153" s="4" cm="1">
        <f t="array" ref="M153">INDEX(GMW!$A$2:$NF$60,MATCH(1,(GMW!$NE$2:$NE$60=M$3)*(GMW!$ND$2:$ND$60=M$4)*(GMW!$NF$2:$NF$60=M$1),0),$F153-1966)</f>
        <v>446940.8</v>
      </c>
      <c r="N153" s="4" cm="1">
        <f t="array" ref="N153">INDEX(GMW!$A$2:$NF$60,MATCH(1,(GMW!$NE$2:$NE$60=N$3)*(GMW!$ND$2:$ND$60=N$4)*(GMW!$NF$2:$NF$60=N$1),0),$F153-1966)</f>
        <v>-37845</v>
      </c>
      <c r="O153" s="4" cm="1">
        <f t="array" ref="O153">INDEX(GMW!$A$2:$NF$60,MATCH(1,(GMW!$NE$2:$NE$60=O$3)*(GMW!$ND$2:$ND$60=O$4)*(GMW!$NF$2:$NF$60=O$1),0),$F153-1966)</f>
        <v>-467.04719999999998</v>
      </c>
      <c r="P153" s="4" cm="1">
        <f t="array" ref="P153">INDEX(GMW!$A$2:$NF$60,MATCH(1,(GMW!$NE$2:$NE$60=P$3)*(GMW!$ND$2:$ND$60=P$4)*(GMW!$NF$2:$NF$60=P$1),0),$F153-1966)</f>
        <v>-12865.75</v>
      </c>
      <c r="Q153" s="4" cm="1">
        <f t="array" ref="Q153">INDEX(GMW!$A$2:$NF$60,MATCH(1,(GMW!$NE$2:$NE$60=Q$3)*(GMW!$ND$2:$ND$60=Q$4)*(GMW!$NF$2:$NF$60=Q$1),0),$F153-1966)</f>
        <v>-26.783000000000001</v>
      </c>
      <c r="R153" s="4" cm="1">
        <f t="array" ref="R153">INDEX(GMW!$A$2:$NF$60,MATCH(1,(GMW!$NE$2:$NE$60=R$3)*(GMW!$ND$2:$ND$60=R$4)*(GMW!$NF$2:$NF$60=R$1),0),$F153-1966)</f>
        <v>-39.085999999999999</v>
      </c>
      <c r="S153" s="4" cm="1">
        <f t="array" ref="S153">INDEX(GMW!$A$2:$NF$60,MATCH(1,(GMW!$NE$2:$NE$60=S$3)*(GMW!$ND$2:$ND$60=S$4)*(GMW!$NF$2:$NF$60=S$1),0),$F153-1966)</f>
        <v>-21.71773</v>
      </c>
      <c r="T153" s="4" cm="1">
        <f t="array" ref="T153">INDEX(GMW!$A$2:$NF$60,MATCH(1,(GMW!$NE$2:$NE$60=T$3)*(GMW!$ND$2:$ND$60=T$4)*(GMW!$NF$2:$NF$60=T$1),0),$F153-1966)</f>
        <v>-10243</v>
      </c>
      <c r="U153" s="4" cm="1">
        <f t="array" ref="U153">INDEX(GMW!$A$2:$NF$60,MATCH(1,(GMW!$NE$2:$NE$60=U$3)*(GMW!$ND$2:$ND$60=U$4)*(GMW!$NF$2:$NF$60=U$1),0),$F153-1966)</f>
        <v>948500</v>
      </c>
      <c r="V153" s="4" cm="1">
        <f t="array" ref="V153">INDEX(GMW!$A$2:$NF$60,MATCH(1,(GMW!$NE$2:$NE$60=V$3)*(GMW!$ND$2:$ND$60=V$4)*(GMW!$NF$2:$NF$60=V$1),0),$F153-1966)</f>
        <v>16455.79</v>
      </c>
      <c r="W153" s="4" cm="1">
        <f t="array" ref="W153">INDEX(GMW!$A$2:$NF$60,MATCH(1,(GMW!$NE$2:$NE$60=W$3)*(GMW!$ND$2:$ND$60=W$4)*(GMW!$NF$2:$NF$60=W$1),0),$F153-1966)</f>
        <v>867178</v>
      </c>
      <c r="X153" s="4" cm="1">
        <f t="array" ref="X153">INDEX(GMW!$A$2:$NF$60,MATCH(1,(GMW!$NE$2:$NE$60=X$3)*(GMW!$ND$2:$ND$60=X$4)*(GMW!$NF$2:$NF$60=X$1),0),$F153-1966)</f>
        <v>1675.165</v>
      </c>
      <c r="Y153" s="4" cm="1">
        <f t="array" ref="Y153">INDEX(GMW!$A$2:$NF$60,MATCH(1,(GMW!$NE$2:$NE$60=Y$3)*(GMW!$ND$2:$ND$60=Y$4)*(GMW!$NF$2:$NF$60=Y$1),0),$F153-1966)</f>
        <v>2031.904</v>
      </c>
      <c r="Z153" s="4" cm="1">
        <f t="array" ref="Z153">INDEX(GMW!$A$2:$NF$60,MATCH(1,(GMW!$NE$2:$NE$60=Z$3)*(GMW!$ND$2:$ND$60=Z$4)*(GMW!$NF$2:$NF$60=Z$1),0),$F153-1966)</f>
        <v>1968.615</v>
      </c>
      <c r="AA153" s="4" cm="1">
        <f t="array" ref="AA153">INDEX(GMW!$A$2:$NF$60,MATCH(1,(GMW!$NE$2:$NE$60=AA$3)*(GMW!$ND$2:$ND$60=AA$4)*(GMW!$NF$2:$NF$60=AA$1),0),$F153-1966)</f>
        <v>1332980</v>
      </c>
      <c r="AB153" s="4" cm="1">
        <f t="array" ref="AB153">INDEX(GMW!$A$2:$NF$60,MATCH(1,(GMW!$NE$2:$NE$60=AB$3)*(GMW!$ND$2:$ND$60=AB$4)*(GMW!$NF$2:$NF$60=AB$1),0),$F153-1966)</f>
        <v>388596</v>
      </c>
      <c r="AC153" s="4" cm="1">
        <f t="array" ref="AC153">INDEX(GMW!$A$2:$NF$60,MATCH(1,(GMW!$NE$2:$NE$60=AC$3)*(GMW!$ND$2:$ND$60=AC$4)*(GMW!$NF$2:$NF$60=AC$1),0),$F153-1966)</f>
        <v>3612.2249999999999</v>
      </c>
      <c r="AD153" s="4" cm="1">
        <f t="array" ref="AD153">INDEX(GMW!$A$2:$NF$60,MATCH(1,(GMW!$NE$2:$NE$60=AD$3)*(GMW!$ND$2:$ND$60=AD$4)*(GMW!$NF$2:$NF$60=AD$1),0),$F153-1966)</f>
        <v>123407.5</v>
      </c>
      <c r="AE153" s="4" cm="1">
        <f t="array" ref="AE153">INDEX(GMW!$A$2:$NF$60,MATCH(1,(GMW!$NE$2:$NE$60=AE$3)*(GMW!$ND$2:$ND$60=AE$4)*(GMW!$NF$2:$NF$60=AE$1),0),$F153-1966)</f>
        <v>624.95600000000002</v>
      </c>
      <c r="AF153" s="4" cm="1">
        <f t="array" ref="AF153">INDEX(GMW!$A$2:$NF$60,MATCH(1,(GMW!$NE$2:$NE$60=AF$3)*(GMW!$ND$2:$ND$60=AF$4)*(GMW!$NF$2:$NF$60=AF$1),0),$F153-1966)</f>
        <v>483.50599999999997</v>
      </c>
      <c r="AG153" s="4" cm="1">
        <f t="array" ref="AG153">INDEX(GMW!$A$2:$NF$60,MATCH(1,(GMW!$NE$2:$NE$60=AG$3)*(GMW!$ND$2:$ND$60=AG$4)*(GMW!$NF$2:$NF$60=AG$1),0),$F153-1966)</f>
        <v>396.29700000000003</v>
      </c>
      <c r="AH153" s="4" cm="1">
        <f t="array" ref="AH153">INDEX(GMW!$A$2:$NF$60,MATCH(1,(GMW!$NE$2:$NE$60=AH$3)*(GMW!$ND$2:$ND$60=AH$4)*(GMW!$NF$2:$NF$60=AH$1),0),$F153-1966)</f>
        <v>391981</v>
      </c>
    </row>
    <row r="154" spans="1:34" x14ac:dyDescent="0.25">
      <c r="B154" s="4">
        <f t="shared" si="47"/>
        <v>2009</v>
      </c>
      <c r="C154" s="4">
        <f t="shared" si="47"/>
        <v>2009</v>
      </c>
      <c r="E154" s="4">
        <f t="shared" ref="E154" si="51">+E150+1</f>
        <v>2009</v>
      </c>
      <c r="F154" s="4">
        <f t="shared" si="38"/>
        <v>2120</v>
      </c>
      <c r="G154" s="4" cm="1">
        <f t="array" ref="G154">INDEX(GMW!$A$2:$NF$60,MATCH(1,(GMW!$NE$2:$NE$60=G$3)*(GMW!$ND$2:$ND$60=G$4)*(GMW!$NF$2:$NF$60=G$1),0),$F154-1966)</f>
        <v>509889</v>
      </c>
      <c r="H154" s="4" cm="1">
        <f t="array" ref="H154">INDEX(GMW!$A$2:$NF$60,MATCH(1,(GMW!$NE$2:$NE$60=H$3)*(GMW!$ND$2:$ND$60=H$4)*(GMW!$NF$2:$NF$60=H$1),0),$F154-1966)</f>
        <v>4125.7</v>
      </c>
      <c r="I154" s="4" cm="1">
        <f t="array" ref="I154">INDEX(GMW!$A$2:$NF$60,MATCH(1,(GMW!$NE$2:$NE$60=I$3)*(GMW!$ND$2:$ND$60=I$4)*(GMW!$NF$2:$NF$60=I$1),0),$F154-1966)</f>
        <v>124335.5</v>
      </c>
      <c r="J154" s="4" cm="1">
        <f t="array" ref="J154">INDEX(GMW!$A$2:$NF$60,MATCH(1,(GMW!$NE$2:$NE$60=J$3)*(GMW!$ND$2:$ND$60=J$4)*(GMW!$NF$2:$NF$60=J$1),0),$F154-1966)</f>
        <v>747.1</v>
      </c>
      <c r="K154" s="4" cm="1">
        <f t="array" ref="K154">INDEX(GMW!$A$2:$NF$60,MATCH(1,(GMW!$NE$2:$NE$60=K$3)*(GMW!$ND$2:$ND$60=K$4)*(GMW!$NF$2:$NF$60=K$1),0),$F154-1966)</f>
        <v>548.61800000000005</v>
      </c>
      <c r="L154" s="4" cm="1">
        <f t="array" ref="L154">INDEX(GMW!$A$2:$NF$60,MATCH(1,(GMW!$NE$2:$NE$60=L$3)*(GMW!$ND$2:$ND$60=L$4)*(GMW!$NF$2:$NF$60=L$1),0),$F154-1966)</f>
        <v>449.072</v>
      </c>
      <c r="M154" s="4" cm="1">
        <f t="array" ref="M154">INDEX(GMW!$A$2:$NF$60,MATCH(1,(GMW!$NE$2:$NE$60=M$3)*(GMW!$ND$2:$ND$60=M$4)*(GMW!$NF$2:$NF$60=M$1),0),$F154-1966)</f>
        <v>452133.8</v>
      </c>
      <c r="N154" s="4" cm="1">
        <f t="array" ref="N154">INDEX(GMW!$A$2:$NF$60,MATCH(1,(GMW!$NE$2:$NE$60=N$3)*(GMW!$ND$2:$ND$60=N$4)*(GMW!$NF$2:$NF$60=N$1),0),$F154-1966)</f>
        <v>-50508</v>
      </c>
      <c r="O154" s="4" cm="1">
        <f t="array" ref="O154">INDEX(GMW!$A$2:$NF$60,MATCH(1,(GMW!$NE$2:$NE$60=O$3)*(GMW!$ND$2:$ND$60=O$4)*(GMW!$NF$2:$NF$60=O$1),0),$F154-1966)</f>
        <v>-453.00819999999999</v>
      </c>
      <c r="P154" s="4" cm="1">
        <f t="array" ref="P154">INDEX(GMW!$A$2:$NF$60,MATCH(1,(GMW!$NE$2:$NE$60=P$3)*(GMW!$ND$2:$ND$60=P$4)*(GMW!$NF$2:$NF$60=P$1),0),$F154-1966)</f>
        <v>-13106</v>
      </c>
      <c r="Q154" s="4" cm="1">
        <f t="array" ref="Q154">INDEX(GMW!$A$2:$NF$60,MATCH(1,(GMW!$NE$2:$NE$60=Q$3)*(GMW!$ND$2:$ND$60=Q$4)*(GMW!$NF$2:$NF$60=Q$1),0),$F154-1966)</f>
        <v>-28.614999999999998</v>
      </c>
      <c r="R154" s="4" cm="1">
        <f t="array" ref="R154">INDEX(GMW!$A$2:$NF$60,MATCH(1,(GMW!$NE$2:$NE$60=R$3)*(GMW!$ND$2:$ND$60=R$4)*(GMW!$NF$2:$NF$60=R$1),0),$F154-1966)</f>
        <v>-35.31</v>
      </c>
      <c r="S154" s="4" cm="1">
        <f t="array" ref="S154">INDEX(GMW!$A$2:$NF$60,MATCH(1,(GMW!$NE$2:$NE$60=S$3)*(GMW!$ND$2:$ND$60=S$4)*(GMW!$NF$2:$NF$60=S$1),0),$F154-1966)</f>
        <v>-19.88627</v>
      </c>
      <c r="T154" s="4" cm="1">
        <f t="array" ref="T154">INDEX(GMW!$A$2:$NF$60,MATCH(1,(GMW!$NE$2:$NE$60=T$3)*(GMW!$ND$2:$ND$60=T$4)*(GMW!$NF$2:$NF$60=T$1),0),$F154-1966)</f>
        <v>-8812.9989999999998</v>
      </c>
      <c r="U154" s="4" cm="1">
        <f t="array" ref="U154">INDEX(GMW!$A$2:$NF$60,MATCH(1,(GMW!$NE$2:$NE$60=U$3)*(GMW!$ND$2:$ND$60=U$4)*(GMW!$NF$2:$NF$60=U$1),0),$F154-1966)</f>
        <v>1005405</v>
      </c>
      <c r="V154" s="4" cm="1">
        <f t="array" ref="V154">INDEX(GMW!$A$2:$NF$60,MATCH(1,(GMW!$NE$2:$NE$60=V$3)*(GMW!$ND$2:$ND$60=V$4)*(GMW!$NF$2:$NF$60=V$1),0),$F154-1966)</f>
        <v>16769.52</v>
      </c>
      <c r="W154" s="4" cm="1">
        <f t="array" ref="W154">INDEX(GMW!$A$2:$NF$60,MATCH(1,(GMW!$NE$2:$NE$60=W$3)*(GMW!$ND$2:$ND$60=W$4)*(GMW!$NF$2:$NF$60=W$1),0),$F154-1966)</f>
        <v>877169</v>
      </c>
      <c r="X154" s="4" cm="1">
        <f t="array" ref="X154">INDEX(GMW!$A$2:$NF$60,MATCH(1,(GMW!$NE$2:$NE$60=X$3)*(GMW!$ND$2:$ND$60=X$4)*(GMW!$NF$2:$NF$60=X$1),0),$F154-1966)</f>
        <v>1769.5219999999999</v>
      </c>
      <c r="Y154" s="4" cm="1">
        <f t="array" ref="Y154">INDEX(GMW!$A$2:$NF$60,MATCH(1,(GMW!$NE$2:$NE$60=Y$3)*(GMW!$ND$2:$ND$60=Y$4)*(GMW!$NF$2:$NF$60=Y$1),0),$F154-1966)</f>
        <v>1995.277</v>
      </c>
      <c r="Z154" s="4" cm="1">
        <f t="array" ref="Z154">INDEX(GMW!$A$2:$NF$60,MATCH(1,(GMW!$NE$2:$NE$60=Z$3)*(GMW!$ND$2:$ND$60=Z$4)*(GMW!$NF$2:$NF$60=Z$1),0),$F154-1966)</f>
        <v>2002.124</v>
      </c>
      <c r="AA154" s="4" cm="1">
        <f t="array" ref="AA154">INDEX(GMW!$A$2:$NF$60,MATCH(1,(GMW!$NE$2:$NE$60=AA$3)*(GMW!$ND$2:$ND$60=AA$4)*(GMW!$NF$2:$NF$60=AA$1),0),$F154-1966)</f>
        <v>1361026</v>
      </c>
      <c r="AB154" s="4" cm="1">
        <f t="array" ref="AB154">INDEX(GMW!$A$2:$NF$60,MATCH(1,(GMW!$NE$2:$NE$60=AB$3)*(GMW!$ND$2:$ND$60=AB$4)*(GMW!$NF$2:$NF$60=AB$1),0),$F154-1966)</f>
        <v>386779</v>
      </c>
      <c r="AC154" s="4" cm="1">
        <f t="array" ref="AC154">INDEX(GMW!$A$2:$NF$60,MATCH(1,(GMW!$NE$2:$NE$60=AC$3)*(GMW!$ND$2:$ND$60=AC$4)*(GMW!$NF$2:$NF$60=AC$1),0),$F154-1966)</f>
        <v>3662.8</v>
      </c>
      <c r="AD154" s="4" cm="1">
        <f t="array" ref="AD154">INDEX(GMW!$A$2:$NF$60,MATCH(1,(GMW!$NE$2:$NE$60=AD$3)*(GMW!$ND$2:$ND$60=AD$4)*(GMW!$NF$2:$NF$60=AD$1),0),$F154-1966)</f>
        <v>124117</v>
      </c>
      <c r="AE154" s="4" cm="1">
        <f t="array" ref="AE154">INDEX(GMW!$A$2:$NF$60,MATCH(1,(GMW!$NE$2:$NE$60=AE$3)*(GMW!$ND$2:$ND$60=AE$4)*(GMW!$NF$2:$NF$60=AE$1),0),$F154-1966)</f>
        <v>632.91300000000001</v>
      </c>
      <c r="AF154" s="4" cm="1">
        <f t="array" ref="AF154">INDEX(GMW!$A$2:$NF$60,MATCH(1,(GMW!$NE$2:$NE$60=AF$3)*(GMW!$ND$2:$ND$60=AF$4)*(GMW!$NF$2:$NF$60=AF$1),0),$F154-1966)</f>
        <v>488.68799999999999</v>
      </c>
      <c r="AG154" s="4" cm="1">
        <f t="array" ref="AG154">INDEX(GMW!$A$2:$NF$60,MATCH(1,(GMW!$NE$2:$NE$60=AG$3)*(GMW!$ND$2:$ND$60=AG$4)*(GMW!$NF$2:$NF$60=AG$1),0),$F154-1966)</f>
        <v>397.54</v>
      </c>
      <c r="AH154" s="4" cm="1">
        <f t="array" ref="AH154">INDEX(GMW!$A$2:$NF$60,MATCH(1,(GMW!$NE$2:$NE$60=AH$3)*(GMW!$ND$2:$ND$60=AH$4)*(GMW!$NF$2:$NF$60=AH$1),0),$F154-1966)</f>
        <v>402923</v>
      </c>
    </row>
    <row r="155" spans="1:34" x14ac:dyDescent="0.25">
      <c r="A155" s="4">
        <v>2010</v>
      </c>
      <c r="B155" s="4">
        <f t="shared" si="47"/>
        <v>2010</v>
      </c>
      <c r="C155" s="4">
        <f t="shared" si="47"/>
        <v>2009</v>
      </c>
      <c r="D155" s="4">
        <f t="shared" si="47"/>
        <v>2009</v>
      </c>
      <c r="F155" s="4">
        <f t="shared" si="38"/>
        <v>2121</v>
      </c>
      <c r="G155" s="4" cm="1">
        <f t="array" ref="G155">INDEX(GMW!$A$2:$NF$60,MATCH(1,(GMW!$NE$2:$NE$60=G$3)*(GMW!$ND$2:$ND$60=G$4)*(GMW!$NF$2:$NF$60=G$1),0),$F155-1966)</f>
        <v>514595</v>
      </c>
      <c r="H155" s="4" cm="1">
        <f t="array" ref="H155">INDEX(GMW!$A$2:$NF$60,MATCH(1,(GMW!$NE$2:$NE$60=H$3)*(GMW!$ND$2:$ND$60=H$4)*(GMW!$NF$2:$NF$60=H$1),0),$F155-1966)</f>
        <v>4145.6750000000002</v>
      </c>
      <c r="I155" s="4" cm="1">
        <f t="array" ref="I155">INDEX(GMW!$A$2:$NF$60,MATCH(1,(GMW!$NE$2:$NE$60=I$3)*(GMW!$ND$2:$ND$60=I$4)*(GMW!$NF$2:$NF$60=I$1),0),$F155-1966)</f>
        <v>125665.3</v>
      </c>
      <c r="J155" s="4" cm="1">
        <f t="array" ref="J155">INDEX(GMW!$A$2:$NF$60,MATCH(1,(GMW!$NE$2:$NE$60=J$3)*(GMW!$ND$2:$ND$60=J$4)*(GMW!$NF$2:$NF$60=J$1),0),$F155-1966)</f>
        <v>752.54</v>
      </c>
      <c r="K155" s="4" cm="1">
        <f t="array" ref="K155">INDEX(GMW!$A$2:$NF$60,MATCH(1,(GMW!$NE$2:$NE$60=K$3)*(GMW!$ND$2:$ND$60=K$4)*(GMW!$NF$2:$NF$60=K$1),0),$F155-1966)</f>
        <v>550.29999999999995</v>
      </c>
      <c r="L155" s="4" cm="1">
        <f t="array" ref="L155">INDEX(GMW!$A$2:$NF$60,MATCH(1,(GMW!$NE$2:$NE$60=L$3)*(GMW!$ND$2:$ND$60=L$4)*(GMW!$NF$2:$NF$60=L$1),0),$F155-1966)</f>
        <v>451.18700000000001</v>
      </c>
      <c r="M155" s="4" cm="1">
        <f t="array" ref="M155">INDEX(GMW!$A$2:$NF$60,MATCH(1,(GMW!$NE$2:$NE$60=M$3)*(GMW!$ND$2:$ND$60=M$4)*(GMW!$NF$2:$NF$60=M$1),0),$F155-1966)</f>
        <v>457611.5</v>
      </c>
      <c r="N155" s="4" cm="1">
        <f t="array" ref="N155">INDEX(GMW!$A$2:$NF$60,MATCH(1,(GMW!$NE$2:$NE$60=N$3)*(GMW!$ND$2:$ND$60=N$4)*(GMW!$NF$2:$NF$60=N$1),0),$F155-1966)</f>
        <v>-30893</v>
      </c>
      <c r="O155" s="4" cm="1">
        <f t="array" ref="O155">INDEX(GMW!$A$2:$NF$60,MATCH(1,(GMW!$NE$2:$NE$60=O$3)*(GMW!$ND$2:$ND$60=O$4)*(GMW!$NF$2:$NF$60=O$1),0),$F155-1966)</f>
        <v>-468.29500000000002</v>
      </c>
      <c r="P155" s="4" cm="1">
        <f t="array" ref="P155">INDEX(GMW!$A$2:$NF$60,MATCH(1,(GMW!$NE$2:$NE$60=P$3)*(GMW!$ND$2:$ND$60=P$4)*(GMW!$NF$2:$NF$60=P$1),0),$F155-1966)</f>
        <v>-12225</v>
      </c>
      <c r="Q155" s="4" cm="1">
        <f t="array" ref="Q155">INDEX(GMW!$A$2:$NF$60,MATCH(1,(GMW!$NE$2:$NE$60=Q$3)*(GMW!$ND$2:$ND$60=Q$4)*(GMW!$NF$2:$NF$60=Q$1),0),$F155-1966)</f>
        <v>-27.773</v>
      </c>
      <c r="R155" s="4" cm="1">
        <f t="array" ref="R155">INDEX(GMW!$A$2:$NF$60,MATCH(1,(GMW!$NE$2:$NE$60=R$3)*(GMW!$ND$2:$ND$60=R$4)*(GMW!$NF$2:$NF$60=R$1),0),$F155-1966)</f>
        <v>-39.237000000000002</v>
      </c>
      <c r="S155" s="4" cm="1">
        <f t="array" ref="S155">INDEX(GMW!$A$2:$NF$60,MATCH(1,(GMW!$NE$2:$NE$60=S$3)*(GMW!$ND$2:$ND$60=S$4)*(GMW!$NF$2:$NF$60=S$1),0),$F155-1966)</f>
        <v>-17.94867</v>
      </c>
      <c r="T155" s="4" cm="1">
        <f t="array" ref="T155">INDEX(GMW!$A$2:$NF$60,MATCH(1,(GMW!$NE$2:$NE$60=T$3)*(GMW!$ND$2:$ND$60=T$4)*(GMW!$NF$2:$NF$60=T$1),0),$F155-1966)</f>
        <v>-10881</v>
      </c>
      <c r="U155" s="4" cm="1">
        <f t="array" ref="U155">INDEX(GMW!$A$2:$NF$60,MATCH(1,(GMW!$NE$2:$NE$60=U$3)*(GMW!$ND$2:$ND$60=U$4)*(GMW!$NF$2:$NF$60=U$1),0),$F155-1966)</f>
        <v>1102320</v>
      </c>
      <c r="V155" s="4" cm="1">
        <f t="array" ref="V155">INDEX(GMW!$A$2:$NF$60,MATCH(1,(GMW!$NE$2:$NE$60=V$3)*(GMW!$ND$2:$ND$60=V$4)*(GMW!$NF$2:$NF$60=V$1),0),$F155-1966)</f>
        <v>17385.669999999998</v>
      </c>
      <c r="W155" s="4" cm="1">
        <f t="array" ref="W155">INDEX(GMW!$A$2:$NF$60,MATCH(1,(GMW!$NE$2:$NE$60=W$3)*(GMW!$ND$2:$ND$60=W$4)*(GMW!$NF$2:$NF$60=W$1),0),$F155-1966)</f>
        <v>887264</v>
      </c>
      <c r="X155" s="4" cm="1">
        <f t="array" ref="X155">INDEX(GMW!$A$2:$NF$60,MATCH(1,(GMW!$NE$2:$NE$60=X$3)*(GMW!$ND$2:$ND$60=X$4)*(GMW!$NF$2:$NF$60=X$1),0),$F155-1966)</f>
        <v>1889.3889999999999</v>
      </c>
      <c r="Y155" s="4" cm="1">
        <f t="array" ref="Y155">INDEX(GMW!$A$2:$NF$60,MATCH(1,(GMW!$NE$2:$NE$60=Y$3)*(GMW!$ND$2:$ND$60=Y$4)*(GMW!$NF$2:$NF$60=Y$1),0),$F155-1966)</f>
        <v>2066.2469999999998</v>
      </c>
      <c r="Z155" s="4" cm="1">
        <f t="array" ref="Z155">INDEX(GMW!$A$2:$NF$60,MATCH(1,(GMW!$NE$2:$NE$60=Z$3)*(GMW!$ND$2:$ND$60=Z$4)*(GMW!$NF$2:$NF$60=Z$1),0),$F155-1966)</f>
        <v>2007.134</v>
      </c>
      <c r="AA155" s="4" cm="1">
        <f t="array" ref="AA155">INDEX(GMW!$A$2:$NF$60,MATCH(1,(GMW!$NE$2:$NE$60=AA$3)*(GMW!$ND$2:$ND$60=AA$4)*(GMW!$NF$2:$NF$60=AA$1),0),$F155-1966)</f>
        <v>1411347</v>
      </c>
      <c r="AB155" s="4" cm="1">
        <f t="array" ref="AB155">INDEX(GMW!$A$2:$NF$60,MATCH(1,(GMW!$NE$2:$NE$60=AB$3)*(GMW!$ND$2:$ND$60=AB$4)*(GMW!$NF$2:$NF$60=AB$1),0),$F155-1966)</f>
        <v>396176</v>
      </c>
      <c r="AC155" s="4" cm="1">
        <f t="array" ref="AC155">INDEX(GMW!$A$2:$NF$60,MATCH(1,(GMW!$NE$2:$NE$60=AC$3)*(GMW!$ND$2:$ND$60=AC$4)*(GMW!$NF$2:$NF$60=AC$1),0),$F155-1966)</f>
        <v>3691.15</v>
      </c>
      <c r="AD155" s="4" cm="1">
        <f t="array" ref="AD155">INDEX(GMW!$A$2:$NF$60,MATCH(1,(GMW!$NE$2:$NE$60=AD$3)*(GMW!$ND$2:$ND$60=AD$4)*(GMW!$NF$2:$NF$60=AD$1),0),$F155-1966)</f>
        <v>125377.9</v>
      </c>
      <c r="AE155" s="4" cm="1">
        <f t="array" ref="AE155">INDEX(GMW!$A$2:$NF$60,MATCH(1,(GMW!$NE$2:$NE$60=AE$3)*(GMW!$ND$2:$ND$60=AE$4)*(GMW!$NF$2:$NF$60=AE$1),0),$F155-1966)</f>
        <v>636.72699999999998</v>
      </c>
      <c r="AF155" s="4" cm="1">
        <f t="array" ref="AF155">INDEX(GMW!$A$2:$NF$60,MATCH(1,(GMW!$NE$2:$NE$60=AF$3)*(GMW!$ND$2:$ND$60=AF$4)*(GMW!$NF$2:$NF$60=AF$1),0),$F155-1966)</f>
        <v>492.27300000000002</v>
      </c>
      <c r="AG155" s="4" cm="1">
        <f t="array" ref="AG155">INDEX(GMW!$A$2:$NF$60,MATCH(1,(GMW!$NE$2:$NE$60=AG$3)*(GMW!$ND$2:$ND$60=AG$4)*(GMW!$NF$2:$NF$60=AG$1),0),$F155-1966)</f>
        <v>399.339</v>
      </c>
      <c r="AH155" s="4" cm="1">
        <f t="array" ref="AH155">INDEX(GMW!$A$2:$NF$60,MATCH(1,(GMW!$NE$2:$NE$60=AH$3)*(GMW!$ND$2:$ND$60=AH$4)*(GMW!$NF$2:$NF$60=AH$1),0),$F155-1966)</f>
        <v>411008</v>
      </c>
    </row>
    <row r="156" spans="1:34" x14ac:dyDescent="0.25">
      <c r="B156" s="4">
        <f t="shared" ref="B156:D171" si="52">+B152+1</f>
        <v>2010</v>
      </c>
      <c r="C156" s="4">
        <f t="shared" si="52"/>
        <v>2010</v>
      </c>
      <c r="F156" s="4">
        <f t="shared" si="38"/>
        <v>2122</v>
      </c>
      <c r="G156" s="4" cm="1">
        <f t="array" ref="G156">INDEX(GMW!$A$2:$NF$60,MATCH(1,(GMW!$NE$2:$NE$60=G$3)*(GMW!$ND$2:$ND$60=G$4)*(GMW!$NF$2:$NF$60=G$1),0),$F156-1966)</f>
        <v>520128</v>
      </c>
      <c r="H156" s="4" cm="1">
        <f t="array" ref="H156">INDEX(GMW!$A$2:$NF$60,MATCH(1,(GMW!$NE$2:$NE$60=H$3)*(GMW!$ND$2:$ND$60=H$4)*(GMW!$NF$2:$NF$60=H$1),0),$F156-1966)</f>
        <v>4185.8</v>
      </c>
      <c r="I156" s="4" cm="1">
        <f t="array" ref="I156">INDEX(GMW!$A$2:$NF$60,MATCH(1,(GMW!$NE$2:$NE$60=I$3)*(GMW!$ND$2:$ND$60=I$4)*(GMW!$NF$2:$NF$60=I$1),0),$F156-1966)</f>
        <v>127188.3</v>
      </c>
      <c r="J156" s="4" cm="1">
        <f t="array" ref="J156">INDEX(GMW!$A$2:$NF$60,MATCH(1,(GMW!$NE$2:$NE$60=J$3)*(GMW!$ND$2:$ND$60=J$4)*(GMW!$NF$2:$NF$60=J$1),0),$F156-1966)</f>
        <v>768.84</v>
      </c>
      <c r="K156" s="4" cm="1">
        <f t="array" ref="K156">INDEX(GMW!$A$2:$NF$60,MATCH(1,(GMW!$NE$2:$NE$60=K$3)*(GMW!$ND$2:$ND$60=K$4)*(GMW!$NF$2:$NF$60=K$1),0),$F156-1966)</f>
        <v>552.87099999999998</v>
      </c>
      <c r="L156" s="4" cm="1">
        <f t="array" ref="L156">INDEX(GMW!$A$2:$NF$60,MATCH(1,(GMW!$NE$2:$NE$60=L$3)*(GMW!$ND$2:$ND$60=L$4)*(GMW!$NF$2:$NF$60=L$1),0),$F156-1966)</f>
        <v>454.07499999999999</v>
      </c>
      <c r="M156" s="4" cm="1">
        <f t="array" ref="M156">INDEX(GMW!$A$2:$NF$60,MATCH(1,(GMW!$NE$2:$NE$60=M$3)*(GMW!$ND$2:$ND$60=M$4)*(GMW!$NF$2:$NF$60=M$1),0),$F156-1966)</f>
        <v>460007.8</v>
      </c>
      <c r="N156" s="4" cm="1">
        <f t="array" ref="N156">INDEX(GMW!$A$2:$NF$60,MATCH(1,(GMW!$NE$2:$NE$60=N$3)*(GMW!$ND$2:$ND$60=N$4)*(GMW!$NF$2:$NF$60=N$1),0),$F156-1966)</f>
        <v>-34510</v>
      </c>
      <c r="O156" s="4" cm="1">
        <f t="array" ref="O156">INDEX(GMW!$A$2:$NF$60,MATCH(1,(GMW!$NE$2:$NE$60=O$3)*(GMW!$ND$2:$ND$60=O$4)*(GMW!$NF$2:$NF$60=O$1),0),$F156-1966)</f>
        <v>-468.93880000000001</v>
      </c>
      <c r="P156" s="4" cm="1">
        <f t="array" ref="P156">INDEX(GMW!$A$2:$NF$60,MATCH(1,(GMW!$NE$2:$NE$60=P$3)*(GMW!$ND$2:$ND$60=P$4)*(GMW!$NF$2:$NF$60=P$1),0),$F156-1966)</f>
        <v>-11695.25</v>
      </c>
      <c r="Q156" s="4" cm="1">
        <f t="array" ref="Q156">INDEX(GMW!$A$2:$NF$60,MATCH(1,(GMW!$NE$2:$NE$60=Q$3)*(GMW!$ND$2:$ND$60=Q$4)*(GMW!$NF$2:$NF$60=Q$1),0),$F156-1966)</f>
        <v>-21.881</v>
      </c>
      <c r="R156" s="4" cm="1">
        <f t="array" ref="R156">INDEX(GMW!$A$2:$NF$60,MATCH(1,(GMW!$NE$2:$NE$60=R$3)*(GMW!$ND$2:$ND$60=R$4)*(GMW!$NF$2:$NF$60=R$1),0),$F156-1966)</f>
        <v>-36.597000000000001</v>
      </c>
      <c r="S156" s="4" cm="1">
        <f t="array" ref="S156">INDEX(GMW!$A$2:$NF$60,MATCH(1,(GMW!$NE$2:$NE$60=S$3)*(GMW!$ND$2:$ND$60=S$4)*(GMW!$NF$2:$NF$60=S$1),0),$F156-1966)</f>
        <v>-17.071390000000001</v>
      </c>
      <c r="T156" s="4" cm="1">
        <f t="array" ref="T156">INDEX(GMW!$A$2:$NF$60,MATCH(1,(GMW!$NE$2:$NE$60=T$3)*(GMW!$ND$2:$ND$60=T$4)*(GMW!$NF$2:$NF$60=T$1),0),$F156-1966)</f>
        <v>-9439.0010000000002</v>
      </c>
      <c r="U156" s="4" cm="1">
        <f t="array" ref="U156">INDEX(GMW!$A$2:$NF$60,MATCH(1,(GMW!$NE$2:$NE$60=U$3)*(GMW!$ND$2:$ND$60=U$4)*(GMW!$NF$2:$NF$60=U$1),0),$F156-1966)</f>
        <v>1141601</v>
      </c>
      <c r="V156" s="4" cm="1">
        <f t="array" ref="V156">INDEX(GMW!$A$2:$NF$60,MATCH(1,(GMW!$NE$2:$NE$60=V$3)*(GMW!$ND$2:$ND$60=V$4)*(GMW!$NF$2:$NF$60=V$1),0),$F156-1966)</f>
        <v>18047.650000000001</v>
      </c>
      <c r="W156" s="4" cm="1">
        <f t="array" ref="W156">INDEX(GMW!$A$2:$NF$60,MATCH(1,(GMW!$NE$2:$NE$60=W$3)*(GMW!$ND$2:$ND$60=W$4)*(GMW!$NF$2:$NF$60=W$1),0),$F156-1966)</f>
        <v>897359</v>
      </c>
      <c r="X156" s="4" cm="1">
        <f t="array" ref="X156">INDEX(GMW!$A$2:$NF$60,MATCH(1,(GMW!$NE$2:$NE$60=X$3)*(GMW!$ND$2:$ND$60=X$4)*(GMW!$NF$2:$NF$60=X$1),0),$F156-1966)</f>
        <v>1992.0429999999999</v>
      </c>
      <c r="Y156" s="4" cm="1">
        <f t="array" ref="Y156">INDEX(GMW!$A$2:$NF$60,MATCH(1,(GMW!$NE$2:$NE$60=Y$3)*(GMW!$ND$2:$ND$60=Y$4)*(GMW!$NF$2:$NF$60=Y$1),0),$F156-1966)</f>
        <v>2155.3009999999999</v>
      </c>
      <c r="Z156" s="4" cm="1">
        <f t="array" ref="Z156">INDEX(GMW!$A$2:$NF$60,MATCH(1,(GMW!$NE$2:$NE$60=Z$3)*(GMW!$ND$2:$ND$60=Z$4)*(GMW!$NF$2:$NF$60=Z$1),0),$F156-1966)</f>
        <v>2012.144</v>
      </c>
      <c r="AA156" s="4" cm="1">
        <f t="array" ref="AA156">INDEX(GMW!$A$2:$NF$60,MATCH(1,(GMW!$NE$2:$NE$60=AA$3)*(GMW!$ND$2:$ND$60=AA$4)*(GMW!$NF$2:$NF$60=AA$1),0),$F156-1966)</f>
        <v>1419695</v>
      </c>
      <c r="AB156" s="4" cm="1">
        <f t="array" ref="AB156">INDEX(GMW!$A$2:$NF$60,MATCH(1,(GMW!$NE$2:$NE$60=AB$3)*(GMW!$ND$2:$ND$60=AB$4)*(GMW!$NF$2:$NF$60=AB$1),0),$F156-1966)</f>
        <v>401223</v>
      </c>
      <c r="AC156" s="4" cm="1">
        <f t="array" ref="AC156">INDEX(GMW!$A$2:$NF$60,MATCH(1,(GMW!$NE$2:$NE$60=AC$3)*(GMW!$ND$2:$ND$60=AC$4)*(GMW!$NF$2:$NF$60=AC$1),0),$F156-1966)</f>
        <v>3745.05</v>
      </c>
      <c r="AD156" s="4" cm="1">
        <f t="array" ref="AD156">INDEX(GMW!$A$2:$NF$60,MATCH(1,(GMW!$NE$2:$NE$60=AD$3)*(GMW!$ND$2:$ND$60=AD$4)*(GMW!$NF$2:$NF$60=AD$1),0),$F156-1966)</f>
        <v>126239.1</v>
      </c>
      <c r="AE156" s="4" cm="1">
        <f t="array" ref="AE156">INDEX(GMW!$A$2:$NF$60,MATCH(1,(GMW!$NE$2:$NE$60=AE$3)*(GMW!$ND$2:$ND$60=AE$4)*(GMW!$NF$2:$NF$60=AE$1),0),$F156-1966)</f>
        <v>647.99599999999998</v>
      </c>
      <c r="AF156" s="4" cm="1">
        <f t="array" ref="AF156">INDEX(GMW!$A$2:$NF$60,MATCH(1,(GMW!$NE$2:$NE$60=AF$3)*(GMW!$ND$2:$ND$60=AF$4)*(GMW!$NF$2:$NF$60=AF$1),0),$F156-1966)</f>
        <v>496.89600000000002</v>
      </c>
      <c r="AG156" s="4" cm="1">
        <f t="array" ref="AG156">INDEX(GMW!$A$2:$NF$60,MATCH(1,(GMW!$NE$2:$NE$60=AG$3)*(GMW!$ND$2:$ND$60=AG$4)*(GMW!$NF$2:$NF$60=AG$1),0),$F156-1966)</f>
        <v>403.60700000000003</v>
      </c>
      <c r="AH156" s="4" cm="1">
        <f t="array" ref="AH156">INDEX(GMW!$A$2:$NF$60,MATCH(1,(GMW!$NE$2:$NE$60=AH$3)*(GMW!$ND$2:$ND$60=AH$4)*(GMW!$NF$2:$NF$60=AH$1),0),$F156-1966)</f>
        <v>413310</v>
      </c>
    </row>
    <row r="157" spans="1:34" x14ac:dyDescent="0.25">
      <c r="B157" s="4">
        <f t="shared" si="52"/>
        <v>2010</v>
      </c>
      <c r="C157" s="4">
        <f t="shared" si="52"/>
        <v>2010</v>
      </c>
      <c r="F157" s="4">
        <f t="shared" si="38"/>
        <v>2123</v>
      </c>
      <c r="G157" s="4" cm="1">
        <f t="array" ref="G157">INDEX(GMW!$A$2:$NF$60,MATCH(1,(GMW!$NE$2:$NE$60=G$3)*(GMW!$ND$2:$ND$60=G$4)*(GMW!$NF$2:$NF$60=G$1),0),$F157-1966)</f>
        <v>523173</v>
      </c>
      <c r="H157" s="4" cm="1">
        <f t="array" ref="H157">INDEX(GMW!$A$2:$NF$60,MATCH(1,(GMW!$NE$2:$NE$60=H$3)*(GMW!$ND$2:$ND$60=H$4)*(GMW!$NF$2:$NF$60=H$1),0),$F157-1966)</f>
        <v>4218.0749999999998</v>
      </c>
      <c r="I157" s="4" cm="1">
        <f t="array" ref="I157">INDEX(GMW!$A$2:$NF$60,MATCH(1,(GMW!$NE$2:$NE$60=I$3)*(GMW!$ND$2:$ND$60=I$4)*(GMW!$NF$2:$NF$60=I$1),0),$F157-1966)</f>
        <v>129488.8</v>
      </c>
      <c r="J157" s="4" cm="1">
        <f t="array" ref="J157">INDEX(GMW!$A$2:$NF$60,MATCH(1,(GMW!$NE$2:$NE$60=J$3)*(GMW!$ND$2:$ND$60=J$4)*(GMW!$NF$2:$NF$60=J$1),0),$F157-1966)</f>
        <v>776.26</v>
      </c>
      <c r="K157" s="4" cm="1">
        <f t="array" ref="K157">INDEX(GMW!$A$2:$NF$60,MATCH(1,(GMW!$NE$2:$NE$60=K$3)*(GMW!$ND$2:$ND$60=K$4)*(GMW!$NF$2:$NF$60=K$1),0),$F157-1966)</f>
        <v>556.49199999999996</v>
      </c>
      <c r="L157" s="4" cm="1">
        <f t="array" ref="L157">INDEX(GMW!$A$2:$NF$60,MATCH(1,(GMW!$NE$2:$NE$60=L$3)*(GMW!$ND$2:$ND$60=L$4)*(GMW!$NF$2:$NF$60=L$1),0),$F157-1966)</f>
        <v>455.303</v>
      </c>
      <c r="M157" s="4" cm="1">
        <f t="array" ref="M157">INDEX(GMW!$A$2:$NF$60,MATCH(1,(GMW!$NE$2:$NE$60=M$3)*(GMW!$ND$2:$ND$60=M$4)*(GMW!$NF$2:$NF$60=M$1),0),$F157-1966)</f>
        <v>463228</v>
      </c>
      <c r="N157" s="4" cm="1">
        <f t="array" ref="N157">INDEX(GMW!$A$2:$NF$60,MATCH(1,(GMW!$NE$2:$NE$60=N$3)*(GMW!$ND$2:$ND$60=N$4)*(GMW!$NF$2:$NF$60=N$1),0),$F157-1966)</f>
        <v>-36482</v>
      </c>
      <c r="O157" s="4" cm="1">
        <f t="array" ref="O157">INDEX(GMW!$A$2:$NF$60,MATCH(1,(GMW!$NE$2:$NE$60=O$3)*(GMW!$ND$2:$ND$60=O$4)*(GMW!$NF$2:$NF$60=O$1),0),$F157-1966)</f>
        <v>-450.14800000000002</v>
      </c>
      <c r="P157" s="4" cm="1">
        <f t="array" ref="P157">INDEX(GMW!$A$2:$NF$60,MATCH(1,(GMW!$NE$2:$NE$60=P$3)*(GMW!$ND$2:$ND$60=P$4)*(GMW!$NF$2:$NF$60=P$1),0),$F157-1966)</f>
        <v>-11206.25</v>
      </c>
      <c r="Q157" s="4" cm="1">
        <f t="array" ref="Q157">INDEX(GMW!$A$2:$NF$60,MATCH(1,(GMW!$NE$2:$NE$60=Q$3)*(GMW!$ND$2:$ND$60=Q$4)*(GMW!$NF$2:$NF$60=Q$1),0),$F157-1966)</f>
        <v>-52.749000000000002</v>
      </c>
      <c r="R157" s="4" cm="1">
        <f t="array" ref="R157">INDEX(GMW!$A$2:$NF$60,MATCH(1,(GMW!$NE$2:$NE$60=R$3)*(GMW!$ND$2:$ND$60=R$4)*(GMW!$NF$2:$NF$60=R$1),0),$F157-1966)</f>
        <v>-34.322000000000003</v>
      </c>
      <c r="S157" s="4" cm="1">
        <f t="array" ref="S157">INDEX(GMW!$A$2:$NF$60,MATCH(1,(GMW!$NE$2:$NE$60=S$3)*(GMW!$ND$2:$ND$60=S$4)*(GMW!$NF$2:$NF$60=S$1),0),$F157-1966)</f>
        <v>-16.393609999999999</v>
      </c>
      <c r="T157" s="4" cm="1">
        <f t="array" ref="T157">INDEX(GMW!$A$2:$NF$60,MATCH(1,(GMW!$NE$2:$NE$60=T$3)*(GMW!$ND$2:$ND$60=T$4)*(GMW!$NF$2:$NF$60=T$1),0),$F157-1966)</f>
        <v>-15294</v>
      </c>
      <c r="U157" s="4" cm="1">
        <f t="array" ref="U157">INDEX(GMW!$A$2:$NF$60,MATCH(1,(GMW!$NE$2:$NE$60=U$3)*(GMW!$ND$2:$ND$60=U$4)*(GMW!$NF$2:$NF$60=U$1),0),$F157-1966)</f>
        <v>1198325</v>
      </c>
      <c r="V157" s="4" cm="1">
        <f t="array" ref="V157">INDEX(GMW!$A$2:$NF$60,MATCH(1,(GMW!$NE$2:$NE$60=V$3)*(GMW!$ND$2:$ND$60=V$4)*(GMW!$NF$2:$NF$60=V$1),0),$F157-1966)</f>
        <v>18465.62</v>
      </c>
      <c r="W157" s="4" cm="1">
        <f t="array" ref="W157">INDEX(GMW!$A$2:$NF$60,MATCH(1,(GMW!$NE$2:$NE$60=W$3)*(GMW!$ND$2:$ND$60=W$4)*(GMW!$NF$2:$NF$60=W$1),0),$F157-1966)</f>
        <v>907454</v>
      </c>
      <c r="X157" s="4" cm="1">
        <f t="array" ref="X157">INDEX(GMW!$A$2:$NF$60,MATCH(1,(GMW!$NE$2:$NE$60=X$3)*(GMW!$ND$2:$ND$60=X$4)*(GMW!$NF$2:$NF$60=X$1),0),$F157-1966)</f>
        <v>2032.806</v>
      </c>
      <c r="Y157" s="4" cm="1">
        <f t="array" ref="Y157">INDEX(GMW!$A$2:$NF$60,MATCH(1,(GMW!$NE$2:$NE$60=Y$3)*(GMW!$ND$2:$ND$60=Y$4)*(GMW!$NF$2:$NF$60=Y$1),0),$F157-1966)</f>
        <v>2180.64</v>
      </c>
      <c r="Z157" s="4" cm="1">
        <f t="array" ref="Z157">INDEX(GMW!$A$2:$NF$60,MATCH(1,(GMW!$NE$2:$NE$60=Z$3)*(GMW!$ND$2:$ND$60=Z$4)*(GMW!$NF$2:$NF$60=Z$1),0),$F157-1966)</f>
        <v>2017.153</v>
      </c>
      <c r="AA157" s="4" cm="1">
        <f t="array" ref="AA157">INDEX(GMW!$A$2:$NF$60,MATCH(1,(GMW!$NE$2:$NE$60=AA$3)*(GMW!$ND$2:$ND$60=AA$4)*(GMW!$NF$2:$NF$60=AA$1),0),$F157-1966)</f>
        <v>1469712</v>
      </c>
      <c r="AB157" s="4" cm="1">
        <f t="array" ref="AB157">INDEX(GMW!$A$2:$NF$60,MATCH(1,(GMW!$NE$2:$NE$60=AB$3)*(GMW!$ND$2:$ND$60=AB$4)*(GMW!$NF$2:$NF$60=AB$1),0),$F157-1966)</f>
        <v>404365</v>
      </c>
      <c r="AC157" s="4" cm="1">
        <f t="array" ref="AC157">INDEX(GMW!$A$2:$NF$60,MATCH(1,(GMW!$NE$2:$NE$60=AC$3)*(GMW!$ND$2:$ND$60=AC$4)*(GMW!$NF$2:$NF$60=AC$1),0),$F157-1966)</f>
        <v>3785.4</v>
      </c>
      <c r="AD157" s="4" cm="1">
        <f t="array" ref="AD157">INDEX(GMW!$A$2:$NF$60,MATCH(1,(GMW!$NE$2:$NE$60=AD$3)*(GMW!$ND$2:$ND$60=AD$4)*(GMW!$NF$2:$NF$60=AD$1),0),$F157-1966)</f>
        <v>127732.8</v>
      </c>
      <c r="AE157" s="4" cm="1">
        <f t="array" ref="AE157">INDEX(GMW!$A$2:$NF$60,MATCH(1,(GMW!$NE$2:$NE$60=AE$3)*(GMW!$ND$2:$ND$60=AE$4)*(GMW!$NF$2:$NF$60=AE$1),0),$F157-1966)</f>
        <v>659.03599999999994</v>
      </c>
      <c r="AF157" s="4" cm="1">
        <f t="array" ref="AF157">INDEX(GMW!$A$2:$NF$60,MATCH(1,(GMW!$NE$2:$NE$60=AF$3)*(GMW!$ND$2:$ND$60=AF$4)*(GMW!$NF$2:$NF$60=AF$1),0),$F157-1966)</f>
        <v>501.46199999999999</v>
      </c>
      <c r="AG157" s="4" cm="1">
        <f t="array" ref="AG157">INDEX(GMW!$A$2:$NF$60,MATCH(1,(GMW!$NE$2:$NE$60=AG$3)*(GMW!$ND$2:$ND$60=AG$4)*(GMW!$NF$2:$NF$60=AG$1),0),$F157-1966)</f>
        <v>404.78800000000001</v>
      </c>
      <c r="AH157" s="4" cm="1">
        <f t="array" ref="AH157">INDEX(GMW!$A$2:$NF$60,MATCH(1,(GMW!$NE$2:$NE$60=AH$3)*(GMW!$ND$2:$ND$60=AH$4)*(GMW!$NF$2:$NF$60=AH$1),0),$F157-1966)</f>
        <v>416343</v>
      </c>
    </row>
    <row r="158" spans="1:34" x14ac:dyDescent="0.25">
      <c r="B158" s="4">
        <f t="shared" si="52"/>
        <v>2010</v>
      </c>
      <c r="C158" s="4">
        <f t="shared" si="52"/>
        <v>2010</v>
      </c>
      <c r="E158" s="4">
        <f t="shared" ref="E158" si="53">+E154+1</f>
        <v>2010</v>
      </c>
      <c r="F158" s="4">
        <f t="shared" si="38"/>
        <v>2124</v>
      </c>
      <c r="G158" s="4" cm="1">
        <f t="array" ref="G158">INDEX(GMW!$A$2:$NF$60,MATCH(1,(GMW!$NE$2:$NE$60=G$3)*(GMW!$ND$2:$ND$60=G$4)*(GMW!$NF$2:$NF$60=G$1),0),$F158-1966)</f>
        <v>523515</v>
      </c>
      <c r="H158" s="4" cm="1">
        <f t="array" ref="H158">INDEX(GMW!$A$2:$NF$60,MATCH(1,(GMW!$NE$2:$NE$60=H$3)*(GMW!$ND$2:$ND$60=H$4)*(GMW!$NF$2:$NF$60=H$1),0),$F158-1966)</f>
        <v>4240.2250000000004</v>
      </c>
      <c r="I158" s="4" cm="1">
        <f t="array" ref="I158">INDEX(GMW!$A$2:$NF$60,MATCH(1,(GMW!$NE$2:$NE$60=I$3)*(GMW!$ND$2:$ND$60=I$4)*(GMW!$NF$2:$NF$60=I$1),0),$F158-1966)</f>
        <v>128402.8</v>
      </c>
      <c r="J158" s="4" cm="1">
        <f t="array" ref="J158">INDEX(GMW!$A$2:$NF$60,MATCH(1,(GMW!$NE$2:$NE$60=J$3)*(GMW!$ND$2:$ND$60=J$4)*(GMW!$NF$2:$NF$60=J$1),0),$F158-1966)</f>
        <v>781.35</v>
      </c>
      <c r="K158" s="4" cm="1">
        <f t="array" ref="K158">INDEX(GMW!$A$2:$NF$60,MATCH(1,(GMW!$NE$2:$NE$60=K$3)*(GMW!$ND$2:$ND$60=K$4)*(GMW!$NF$2:$NF$60=K$1),0),$F158-1966)</f>
        <v>559.83699999999999</v>
      </c>
      <c r="L158" s="4" cm="1">
        <f t="array" ref="L158">INDEX(GMW!$A$2:$NF$60,MATCH(1,(GMW!$NE$2:$NE$60=L$3)*(GMW!$ND$2:$ND$60=L$4)*(GMW!$NF$2:$NF$60=L$1),0),$F158-1966)</f>
        <v>459.28199999999998</v>
      </c>
      <c r="M158" s="4" cm="1">
        <f t="array" ref="M158">INDEX(GMW!$A$2:$NF$60,MATCH(1,(GMW!$NE$2:$NE$60=M$3)*(GMW!$ND$2:$ND$60=M$4)*(GMW!$NF$2:$NF$60=M$1),0),$F158-1966)</f>
        <v>468424.5</v>
      </c>
      <c r="N158" s="4" cm="1">
        <f t="array" ref="N158">INDEX(GMW!$A$2:$NF$60,MATCH(1,(GMW!$NE$2:$NE$60=N$3)*(GMW!$ND$2:$ND$60=N$4)*(GMW!$NF$2:$NF$60=N$1),0),$F158-1966)</f>
        <v>-46076</v>
      </c>
      <c r="O158" s="4" cm="1">
        <f t="array" ref="O158">INDEX(GMW!$A$2:$NF$60,MATCH(1,(GMW!$NE$2:$NE$60=O$3)*(GMW!$ND$2:$ND$60=O$4)*(GMW!$NF$2:$NF$60=O$1),0),$F158-1966)</f>
        <v>-439.22500000000002</v>
      </c>
      <c r="P158" s="4" cm="1">
        <f t="array" ref="P158">INDEX(GMW!$A$2:$NF$60,MATCH(1,(GMW!$NE$2:$NE$60=P$3)*(GMW!$ND$2:$ND$60=P$4)*(GMW!$NF$2:$NF$60=P$1),0),$F158-1966)</f>
        <v>-10754.75</v>
      </c>
      <c r="Q158" s="4" cm="1">
        <f t="array" ref="Q158">INDEX(GMW!$A$2:$NF$60,MATCH(1,(GMW!$NE$2:$NE$60=Q$3)*(GMW!$ND$2:$ND$60=Q$4)*(GMW!$NF$2:$NF$60=Q$1),0),$F158-1966)</f>
        <v>-13.217000000000001</v>
      </c>
      <c r="R158" s="4" cm="1">
        <f t="array" ref="R158">INDEX(GMW!$A$2:$NF$60,MATCH(1,(GMW!$NE$2:$NE$60=R$3)*(GMW!$ND$2:$ND$60=R$4)*(GMW!$NF$2:$NF$60=R$1),0),$F158-1966)</f>
        <v>-32.478999999999999</v>
      </c>
      <c r="S158" s="4" cm="1">
        <f t="array" ref="S158">INDEX(GMW!$A$2:$NF$60,MATCH(1,(GMW!$NE$2:$NE$60=S$3)*(GMW!$ND$2:$ND$60=S$4)*(GMW!$NF$2:$NF$60=S$1),0),$F158-1966)</f>
        <v>-15.915330000000001</v>
      </c>
      <c r="T158" s="4" cm="1">
        <f t="array" ref="T158">INDEX(GMW!$A$2:$NF$60,MATCH(1,(GMW!$NE$2:$NE$60=T$3)*(GMW!$ND$2:$ND$60=T$4)*(GMW!$NF$2:$NF$60=T$1),0),$F158-1966)</f>
        <v>-14141</v>
      </c>
      <c r="U158" s="4" cm="1">
        <f t="array" ref="U158">INDEX(GMW!$A$2:$NF$60,MATCH(1,(GMW!$NE$2:$NE$60=U$3)*(GMW!$ND$2:$ND$60=U$4)*(GMW!$NF$2:$NF$60=U$1),0),$F158-1966)</f>
        <v>1220252</v>
      </c>
      <c r="V158" s="4" cm="1">
        <f t="array" ref="V158">INDEX(GMW!$A$2:$NF$60,MATCH(1,(GMW!$NE$2:$NE$60=V$3)*(GMW!$ND$2:$ND$60=V$4)*(GMW!$NF$2:$NF$60=V$1),0),$F158-1966)</f>
        <v>18928.23</v>
      </c>
      <c r="W158" s="4" cm="1">
        <f t="array" ref="W158">INDEX(GMW!$A$2:$NF$60,MATCH(1,(GMW!$NE$2:$NE$60=W$3)*(GMW!$ND$2:$ND$60=W$4)*(GMW!$NF$2:$NF$60=W$1),0),$F158-1966)</f>
        <v>917549</v>
      </c>
      <c r="X158" s="4" cm="1">
        <f t="array" ref="X158">INDEX(GMW!$A$2:$NF$60,MATCH(1,(GMW!$NE$2:$NE$60=X$3)*(GMW!$ND$2:$ND$60=X$4)*(GMW!$NF$2:$NF$60=X$1),0),$F158-1966)</f>
        <v>2011.6769999999999</v>
      </c>
      <c r="Y158" s="4" cm="1">
        <f t="array" ref="Y158">INDEX(GMW!$A$2:$NF$60,MATCH(1,(GMW!$NE$2:$NE$60=Y$3)*(GMW!$ND$2:$ND$60=Y$4)*(GMW!$NF$2:$NF$60=Y$1),0),$F158-1966)</f>
        <v>2162.3739999999998</v>
      </c>
      <c r="Z158" s="4" cm="1">
        <f t="array" ref="Z158">INDEX(GMW!$A$2:$NF$60,MATCH(1,(GMW!$NE$2:$NE$60=Z$3)*(GMW!$ND$2:$ND$60=Z$4)*(GMW!$NF$2:$NF$60=Z$1),0),$F158-1966)</f>
        <v>2022.163</v>
      </c>
      <c r="AA158" s="4" cm="1">
        <f t="array" ref="AA158">INDEX(GMW!$A$2:$NF$60,MATCH(1,(GMW!$NE$2:$NE$60=AA$3)*(GMW!$ND$2:$ND$60=AA$4)*(GMW!$NF$2:$NF$60=AA$1),0),$F158-1966)</f>
        <v>1492208</v>
      </c>
      <c r="AB158" s="4" cm="1">
        <f t="array" ref="AB158">INDEX(GMW!$A$2:$NF$60,MATCH(1,(GMW!$NE$2:$NE$60=AB$3)*(GMW!$ND$2:$ND$60=AB$4)*(GMW!$NF$2:$NF$60=AB$1),0),$F158-1966)</f>
        <v>406789</v>
      </c>
      <c r="AC158" s="4" cm="1">
        <f t="array" ref="AC158">INDEX(GMW!$A$2:$NF$60,MATCH(1,(GMW!$NE$2:$NE$60=AC$3)*(GMW!$ND$2:$ND$60=AC$4)*(GMW!$NF$2:$NF$60=AC$1),0),$F158-1966)</f>
        <v>3827.375</v>
      </c>
      <c r="AD158" s="4" cm="1">
        <f t="array" ref="AD158">INDEX(GMW!$A$2:$NF$60,MATCH(1,(GMW!$NE$2:$NE$60=AD$3)*(GMW!$ND$2:$ND$60=AD$4)*(GMW!$NF$2:$NF$60=AD$1),0),$F158-1966)</f>
        <v>126324.7</v>
      </c>
      <c r="AE158" s="4" cm="1">
        <f t="array" ref="AE158">INDEX(GMW!$A$2:$NF$60,MATCH(1,(GMW!$NE$2:$NE$60=AE$3)*(GMW!$ND$2:$ND$60=AE$4)*(GMW!$NF$2:$NF$60=AE$1),0),$F158-1966)</f>
        <v>666.05399999999997</v>
      </c>
      <c r="AF158" s="4" cm="1">
        <f t="array" ref="AF158">INDEX(GMW!$A$2:$NF$60,MATCH(1,(GMW!$NE$2:$NE$60=AF$3)*(GMW!$ND$2:$ND$60=AF$4)*(GMW!$NF$2:$NF$60=AF$1),0),$F158-1966)</f>
        <v>503.30099999999999</v>
      </c>
      <c r="AG158" s="4" cm="1">
        <f t="array" ref="AG158">INDEX(GMW!$A$2:$NF$60,MATCH(1,(GMW!$NE$2:$NE$60=AG$3)*(GMW!$ND$2:$ND$60=AG$4)*(GMW!$NF$2:$NF$60=AG$1),0),$F158-1966)</f>
        <v>409.32799999999997</v>
      </c>
      <c r="AH158" s="4" cm="1">
        <f t="array" ref="AH158">INDEX(GMW!$A$2:$NF$60,MATCH(1,(GMW!$NE$2:$NE$60=AH$3)*(GMW!$ND$2:$ND$60=AH$4)*(GMW!$NF$2:$NF$60=AH$1),0),$F158-1966)</f>
        <v>425387</v>
      </c>
    </row>
    <row r="159" spans="1:34" x14ac:dyDescent="0.25">
      <c r="A159" s="4">
        <v>2011</v>
      </c>
      <c r="B159" s="4">
        <f t="shared" si="52"/>
        <v>2011</v>
      </c>
      <c r="C159" s="4">
        <f t="shared" si="52"/>
        <v>2010</v>
      </c>
      <c r="D159" s="4">
        <f t="shared" si="52"/>
        <v>2010</v>
      </c>
      <c r="F159" s="4">
        <f t="shared" si="38"/>
        <v>2125</v>
      </c>
      <c r="G159" s="4" cm="1">
        <f t="array" ref="G159">INDEX(GMW!$A$2:$NF$60,MATCH(1,(GMW!$NE$2:$NE$60=G$3)*(GMW!$ND$2:$ND$60=G$4)*(GMW!$NF$2:$NF$60=G$1),0),$F159-1966)</f>
        <v>524955</v>
      </c>
      <c r="H159" s="4" cm="1">
        <f t="array" ref="H159">INDEX(GMW!$A$2:$NF$60,MATCH(1,(GMW!$NE$2:$NE$60=H$3)*(GMW!$ND$2:$ND$60=H$4)*(GMW!$NF$2:$NF$60=H$1),0),$F159-1966)</f>
        <v>4230.1499999999996</v>
      </c>
      <c r="I159" s="4" cm="1">
        <f t="array" ref="I159">INDEX(GMW!$A$2:$NF$60,MATCH(1,(GMW!$NE$2:$NE$60=I$3)*(GMW!$ND$2:$ND$60=I$4)*(GMW!$NF$2:$NF$60=I$1),0),$F159-1966)</f>
        <v>127080.9</v>
      </c>
      <c r="J159" s="4" cm="1">
        <f t="array" ref="J159">INDEX(GMW!$A$2:$NF$60,MATCH(1,(GMW!$NE$2:$NE$60=J$3)*(GMW!$ND$2:$ND$60=J$4)*(GMW!$NF$2:$NF$60=J$1),0),$F159-1966)</f>
        <v>795.48</v>
      </c>
      <c r="K159" s="4" cm="1">
        <f t="array" ref="K159">INDEX(GMW!$A$2:$NF$60,MATCH(1,(GMW!$NE$2:$NE$60=K$3)*(GMW!$ND$2:$ND$60=K$4)*(GMW!$NF$2:$NF$60=K$1),0),$F159-1966)</f>
        <v>567.20100000000002</v>
      </c>
      <c r="L159" s="4" cm="1">
        <f t="array" ref="L159">INDEX(GMW!$A$2:$NF$60,MATCH(1,(GMW!$NE$2:$NE$60=L$3)*(GMW!$ND$2:$ND$60=L$4)*(GMW!$NF$2:$NF$60=L$1),0),$F159-1966)</f>
        <v>461.59300000000002</v>
      </c>
      <c r="M159" s="4" cm="1">
        <f t="array" ref="M159">INDEX(GMW!$A$2:$NF$60,MATCH(1,(GMW!$NE$2:$NE$60=M$3)*(GMW!$ND$2:$ND$60=M$4)*(GMW!$NF$2:$NF$60=M$1),0),$F159-1966)</f>
        <v>471992</v>
      </c>
      <c r="N159" s="4" cm="1">
        <f t="array" ref="N159">INDEX(GMW!$A$2:$NF$60,MATCH(1,(GMW!$NE$2:$NE$60=N$3)*(GMW!$ND$2:$ND$60=N$4)*(GMW!$NF$2:$NF$60=N$1),0),$F159-1966)</f>
        <v>-24421</v>
      </c>
      <c r="O159" s="4" cm="1">
        <f t="array" ref="O159">INDEX(GMW!$A$2:$NF$60,MATCH(1,(GMW!$NE$2:$NE$60=O$3)*(GMW!$ND$2:$ND$60=O$4)*(GMW!$NF$2:$NF$60=O$1),0),$F159-1966)</f>
        <v>-425.86900000000003</v>
      </c>
      <c r="P159" s="4" cm="1">
        <f t="array" ref="P159">INDEX(GMW!$A$2:$NF$60,MATCH(1,(GMW!$NE$2:$NE$60=P$3)*(GMW!$ND$2:$ND$60=P$4)*(GMW!$NF$2:$NF$60=P$1),0),$F159-1966)</f>
        <v>-11058.25</v>
      </c>
      <c r="Q159" s="4" cm="1">
        <f t="array" ref="Q159">INDEX(GMW!$A$2:$NF$60,MATCH(1,(GMW!$NE$2:$NE$60=Q$3)*(GMW!$ND$2:$ND$60=Q$4)*(GMW!$NF$2:$NF$60=Q$1),0),$F159-1966)</f>
        <v>-8.0250000000000004</v>
      </c>
      <c r="R159" s="4" cm="1">
        <f t="array" ref="R159">INDEX(GMW!$A$2:$NF$60,MATCH(1,(GMW!$NE$2:$NE$60=R$3)*(GMW!$ND$2:$ND$60=R$4)*(GMW!$NF$2:$NF$60=R$1),0),$F159-1966)</f>
        <v>-28.742999999999999</v>
      </c>
      <c r="S159" s="4" cm="1">
        <f t="array" ref="S159">INDEX(GMW!$A$2:$NF$60,MATCH(1,(GMW!$NE$2:$NE$60=S$3)*(GMW!$ND$2:$ND$60=S$4)*(GMW!$NF$2:$NF$60=S$1),0),$F159-1966)</f>
        <v>-15.454610000000001</v>
      </c>
      <c r="T159" s="4" cm="1">
        <f t="array" ref="T159">INDEX(GMW!$A$2:$NF$60,MATCH(1,(GMW!$NE$2:$NE$60=T$3)*(GMW!$ND$2:$ND$60=T$4)*(GMW!$NF$2:$NF$60=T$1),0),$F159-1966)</f>
        <v>-11376</v>
      </c>
      <c r="U159" s="4" cm="1">
        <f t="array" ref="U159">INDEX(GMW!$A$2:$NF$60,MATCH(1,(GMW!$NE$2:$NE$60=U$3)*(GMW!$ND$2:$ND$60=U$4)*(GMW!$NF$2:$NF$60=U$1),0),$F159-1966)</f>
        <v>1240638</v>
      </c>
      <c r="V159" s="4" cm="1">
        <f t="array" ref="V159">INDEX(GMW!$A$2:$NF$60,MATCH(1,(GMW!$NE$2:$NE$60=V$3)*(GMW!$ND$2:$ND$60=V$4)*(GMW!$NF$2:$NF$60=V$1),0),$F159-1966)</f>
        <v>19178.21</v>
      </c>
      <c r="W159" s="4" cm="1">
        <f t="array" ref="W159">INDEX(GMW!$A$2:$NF$60,MATCH(1,(GMW!$NE$2:$NE$60=W$3)*(GMW!$ND$2:$ND$60=W$4)*(GMW!$NF$2:$NF$60=W$1),0),$F159-1966)</f>
        <v>932267</v>
      </c>
      <c r="X159" s="4" cm="1">
        <f t="array" ref="X159">INDEX(GMW!$A$2:$NF$60,MATCH(1,(GMW!$NE$2:$NE$60=X$3)*(GMW!$ND$2:$ND$60=X$4)*(GMW!$NF$2:$NF$60=X$1),0),$F159-1966)</f>
        <v>2015.117</v>
      </c>
      <c r="Y159" s="4" cm="1">
        <f t="array" ref="Y159">INDEX(GMW!$A$2:$NF$60,MATCH(1,(GMW!$NE$2:$NE$60=Y$3)*(GMW!$ND$2:$ND$60=Y$4)*(GMW!$NF$2:$NF$60=Y$1),0),$F159-1966)</f>
        <v>2165.663</v>
      </c>
      <c r="Z159" s="4" cm="1">
        <f t="array" ref="Z159">INDEX(GMW!$A$2:$NF$60,MATCH(1,(GMW!$NE$2:$NE$60=Z$3)*(GMW!$ND$2:$ND$60=Z$4)*(GMW!$NF$2:$NF$60=Z$1),0),$F159-1966)</f>
        <v>2008.1079999999999</v>
      </c>
      <c r="AA159" s="4" cm="1">
        <f t="array" ref="AA159">INDEX(GMW!$A$2:$NF$60,MATCH(1,(GMW!$NE$2:$NE$60=AA$3)*(GMW!$ND$2:$ND$60=AA$4)*(GMW!$NF$2:$NF$60=AA$1),0),$F159-1966)</f>
        <v>1519700</v>
      </c>
      <c r="AB159" s="4" cm="1">
        <f t="array" ref="AB159">INDEX(GMW!$A$2:$NF$60,MATCH(1,(GMW!$NE$2:$NE$60=AB$3)*(GMW!$ND$2:$ND$60=AB$4)*(GMW!$NF$2:$NF$60=AB$1),0),$F159-1966)</f>
        <v>414806</v>
      </c>
      <c r="AC159" s="4" cm="1">
        <f t="array" ref="AC159">INDEX(GMW!$A$2:$NF$60,MATCH(1,(GMW!$NE$2:$NE$60=AC$3)*(GMW!$ND$2:$ND$60=AC$4)*(GMW!$NF$2:$NF$60=AC$1),0),$F159-1966)</f>
        <v>3837.85</v>
      </c>
      <c r="AD159" s="4" cm="1">
        <f t="array" ref="AD159">INDEX(GMW!$A$2:$NF$60,MATCH(1,(GMW!$NE$2:$NE$60=AD$3)*(GMW!$ND$2:$ND$60=AD$4)*(GMW!$NF$2:$NF$60=AD$1),0),$F159-1966)</f>
        <v>124673.7</v>
      </c>
      <c r="AE159" s="4" cm="1">
        <f t="array" ref="AE159">INDEX(GMW!$A$2:$NF$60,MATCH(1,(GMW!$NE$2:$NE$60=AE$3)*(GMW!$ND$2:$ND$60=AE$4)*(GMW!$NF$2:$NF$60=AE$1),0),$F159-1966)</f>
        <v>678.71400000000006</v>
      </c>
      <c r="AF159" s="4" cm="1">
        <f t="array" ref="AF159">INDEX(GMW!$A$2:$NF$60,MATCH(1,(GMW!$NE$2:$NE$60=AF$3)*(GMW!$ND$2:$ND$60=AF$4)*(GMW!$NF$2:$NF$60=AF$1),0),$F159-1966)</f>
        <v>512.41399999999999</v>
      </c>
      <c r="AG159" s="4" cm="1">
        <f t="array" ref="AG159">INDEX(GMW!$A$2:$NF$60,MATCH(1,(GMW!$NE$2:$NE$60=AG$3)*(GMW!$ND$2:$ND$60=AG$4)*(GMW!$NF$2:$NF$60=AG$1),0),$F159-1966)</f>
        <v>415.96</v>
      </c>
      <c r="AH159" s="4" cm="1">
        <f t="array" ref="AH159">INDEX(GMW!$A$2:$NF$60,MATCH(1,(GMW!$NE$2:$NE$60=AH$3)*(GMW!$ND$2:$ND$60=AH$4)*(GMW!$NF$2:$NF$60=AH$1),0),$F159-1966)</f>
        <v>434488</v>
      </c>
    </row>
    <row r="160" spans="1:34" x14ac:dyDescent="0.25">
      <c r="B160" s="4">
        <f t="shared" si="52"/>
        <v>2011</v>
      </c>
      <c r="C160" s="4">
        <f t="shared" si="52"/>
        <v>2011</v>
      </c>
      <c r="F160" s="4">
        <f t="shared" si="38"/>
        <v>2126</v>
      </c>
      <c r="G160" s="4" cm="1">
        <f t="array" ref="G160">INDEX(GMW!$A$2:$NF$60,MATCH(1,(GMW!$NE$2:$NE$60=G$3)*(GMW!$ND$2:$ND$60=G$4)*(GMW!$NF$2:$NF$60=G$1),0),$F160-1966)</f>
        <v>525418</v>
      </c>
      <c r="H160" s="4" cm="1">
        <f t="array" ref="H160">INDEX(GMW!$A$2:$NF$60,MATCH(1,(GMW!$NE$2:$NE$60=H$3)*(GMW!$ND$2:$ND$60=H$4)*(GMW!$NF$2:$NF$60=H$1),0),$F160-1966)</f>
        <v>4258.7749999999996</v>
      </c>
      <c r="I160" s="4" cm="1">
        <f t="array" ref="I160">INDEX(GMW!$A$2:$NF$60,MATCH(1,(GMW!$NE$2:$NE$60=I$3)*(GMW!$ND$2:$ND$60=I$4)*(GMW!$NF$2:$NF$60=I$1),0),$F160-1966)</f>
        <v>125989.6</v>
      </c>
      <c r="J160" s="4" cm="1">
        <f t="array" ref="J160">INDEX(GMW!$A$2:$NF$60,MATCH(1,(GMW!$NE$2:$NE$60=J$3)*(GMW!$ND$2:$ND$60=J$4)*(GMW!$NF$2:$NF$60=J$1),0),$F160-1966)</f>
        <v>797.63</v>
      </c>
      <c r="K160" s="4" cm="1">
        <f t="array" ref="K160">INDEX(GMW!$A$2:$NF$60,MATCH(1,(GMW!$NE$2:$NE$60=K$3)*(GMW!$ND$2:$ND$60=K$4)*(GMW!$NF$2:$NF$60=K$1),0),$F160-1966)</f>
        <v>567.28599999999994</v>
      </c>
      <c r="L160" s="4" cm="1">
        <f t="array" ref="L160">INDEX(GMW!$A$2:$NF$60,MATCH(1,(GMW!$NE$2:$NE$60=L$3)*(GMW!$ND$2:$ND$60=L$4)*(GMW!$NF$2:$NF$60=L$1),0),$F160-1966)</f>
        <v>460.72300000000001</v>
      </c>
      <c r="M160" s="4" cm="1">
        <f t="array" ref="M160">INDEX(GMW!$A$2:$NF$60,MATCH(1,(GMW!$NE$2:$NE$60=M$3)*(GMW!$ND$2:$ND$60=M$4)*(GMW!$NF$2:$NF$60=M$1),0),$F160-1966)</f>
        <v>472848.8</v>
      </c>
      <c r="N160" s="4" cm="1">
        <f t="array" ref="N160">INDEX(GMW!$A$2:$NF$60,MATCH(1,(GMW!$NE$2:$NE$60=N$3)*(GMW!$ND$2:$ND$60=N$4)*(GMW!$NF$2:$NF$60=N$1),0),$F160-1966)</f>
        <v>-31275</v>
      </c>
      <c r="O160" s="4" cm="1">
        <f t="array" ref="O160">INDEX(GMW!$A$2:$NF$60,MATCH(1,(GMW!$NE$2:$NE$60=O$3)*(GMW!$ND$2:$ND$60=O$4)*(GMW!$NF$2:$NF$60=O$1),0),$F160-1966)</f>
        <v>-429.05829999999997</v>
      </c>
      <c r="P160" s="4" cm="1">
        <f t="array" ref="P160">INDEX(GMW!$A$2:$NF$60,MATCH(1,(GMW!$NE$2:$NE$60=P$3)*(GMW!$ND$2:$ND$60=P$4)*(GMW!$NF$2:$NF$60=P$1),0),$F160-1966)</f>
        <v>-11327</v>
      </c>
      <c r="Q160" s="4" cm="1">
        <f t="array" ref="Q160">INDEX(GMW!$A$2:$NF$60,MATCH(1,(GMW!$NE$2:$NE$60=Q$3)*(GMW!$ND$2:$ND$60=Q$4)*(GMW!$NF$2:$NF$60=Q$1),0),$F160-1966)</f>
        <v>-4.0140000000000002</v>
      </c>
      <c r="R160" s="4" cm="1">
        <f t="array" ref="R160">INDEX(GMW!$A$2:$NF$60,MATCH(1,(GMW!$NE$2:$NE$60=R$3)*(GMW!$ND$2:$ND$60=R$4)*(GMW!$NF$2:$NF$60=R$1),0),$F160-1966)</f>
        <v>-28.359000000000002</v>
      </c>
      <c r="S160" s="4" cm="1">
        <f t="array" ref="S160">INDEX(GMW!$A$2:$NF$60,MATCH(1,(GMW!$NE$2:$NE$60=S$3)*(GMW!$ND$2:$ND$60=S$4)*(GMW!$NF$2:$NF$60=S$1),0),$F160-1966)</f>
        <v>-14.912570000000001</v>
      </c>
      <c r="T160" s="4" cm="1">
        <f t="array" ref="T160">INDEX(GMW!$A$2:$NF$60,MATCH(1,(GMW!$NE$2:$NE$60=T$3)*(GMW!$ND$2:$ND$60=T$4)*(GMW!$NF$2:$NF$60=T$1),0),$F160-1966)</f>
        <v>-8400.9989999999998</v>
      </c>
      <c r="U160" s="4" cm="1">
        <f t="array" ref="U160">INDEX(GMW!$A$2:$NF$60,MATCH(1,(GMW!$NE$2:$NE$60=U$3)*(GMW!$ND$2:$ND$60=U$4)*(GMW!$NF$2:$NF$60=U$1),0),$F160-1966)</f>
        <v>1298749</v>
      </c>
      <c r="V160" s="4" cm="1">
        <f t="array" ref="V160">INDEX(GMW!$A$2:$NF$60,MATCH(1,(GMW!$NE$2:$NE$60=V$3)*(GMW!$ND$2:$ND$60=V$4)*(GMW!$NF$2:$NF$60=V$1),0),$F160-1966)</f>
        <v>19431.759999999998</v>
      </c>
      <c r="W160" s="4" cm="1">
        <f t="array" ref="W160">INDEX(GMW!$A$2:$NF$60,MATCH(1,(GMW!$NE$2:$NE$60=W$3)*(GMW!$ND$2:$ND$60=W$4)*(GMW!$NF$2:$NF$60=W$1),0),$F160-1966)</f>
        <v>946986</v>
      </c>
      <c r="X160" s="4" cm="1">
        <f t="array" ref="X160">INDEX(GMW!$A$2:$NF$60,MATCH(1,(GMW!$NE$2:$NE$60=X$3)*(GMW!$ND$2:$ND$60=X$4)*(GMW!$NF$2:$NF$60=X$1),0),$F160-1966)</f>
        <v>2018.557</v>
      </c>
      <c r="Y160" s="4" cm="1">
        <f t="array" ref="Y160">INDEX(GMW!$A$2:$NF$60,MATCH(1,(GMW!$NE$2:$NE$60=Y$3)*(GMW!$ND$2:$ND$60=Y$4)*(GMW!$NF$2:$NF$60=Y$1),0),$F160-1966)</f>
        <v>2203.105</v>
      </c>
      <c r="Z160" s="4" cm="1">
        <f t="array" ref="Z160">INDEX(GMW!$A$2:$NF$60,MATCH(1,(GMW!$NE$2:$NE$60=Z$3)*(GMW!$ND$2:$ND$60=Z$4)*(GMW!$NF$2:$NF$60=Z$1),0),$F160-1966)</f>
        <v>1994.0530000000001</v>
      </c>
      <c r="AA160" s="4" cm="1">
        <f t="array" ref="AA160">INDEX(GMW!$A$2:$NF$60,MATCH(1,(GMW!$NE$2:$NE$60=AA$3)*(GMW!$ND$2:$ND$60=AA$4)*(GMW!$NF$2:$NF$60=AA$1),0),$F160-1966)</f>
        <v>1548197</v>
      </c>
      <c r="AB160" s="4" cm="1">
        <f t="array" ref="AB160">INDEX(GMW!$A$2:$NF$60,MATCH(1,(GMW!$NE$2:$NE$60=AB$3)*(GMW!$ND$2:$ND$60=AB$4)*(GMW!$NF$2:$NF$60=AB$1),0),$F160-1966)</f>
        <v>412364</v>
      </c>
      <c r="AC160" s="4" cm="1">
        <f t="array" ref="AC160">INDEX(GMW!$A$2:$NF$60,MATCH(1,(GMW!$NE$2:$NE$60=AC$3)*(GMW!$ND$2:$ND$60=AC$4)*(GMW!$NF$2:$NF$60=AC$1),0),$F160-1966)</f>
        <v>3889.375</v>
      </c>
      <c r="AD160" s="4" cm="1">
        <f t="array" ref="AD160">INDEX(GMW!$A$2:$NF$60,MATCH(1,(GMW!$NE$2:$NE$60=AD$3)*(GMW!$ND$2:$ND$60=AD$4)*(GMW!$NF$2:$NF$60=AD$1),0),$F160-1966)</f>
        <v>122672.3</v>
      </c>
      <c r="AE160" s="4" cm="1">
        <f t="array" ref="AE160">INDEX(GMW!$A$2:$NF$60,MATCH(1,(GMW!$NE$2:$NE$60=AE$3)*(GMW!$ND$2:$ND$60=AE$4)*(GMW!$NF$2:$NF$60=AE$1),0),$F160-1966)</f>
        <v>682.47400000000005</v>
      </c>
      <c r="AF160" s="4" cm="1">
        <f t="array" ref="AF160">INDEX(GMW!$A$2:$NF$60,MATCH(1,(GMW!$NE$2:$NE$60=AF$3)*(GMW!$ND$2:$ND$60=AF$4)*(GMW!$NF$2:$NF$60=AF$1),0),$F160-1966)</f>
        <v>513.74699999999996</v>
      </c>
      <c r="AG160" s="4" cm="1">
        <f t="array" ref="AG160">INDEX(GMW!$A$2:$NF$60,MATCH(1,(GMW!$NE$2:$NE$60=AG$3)*(GMW!$ND$2:$ND$60=AG$4)*(GMW!$NF$2:$NF$60=AG$1),0),$F160-1966)</f>
        <v>414.81200000000001</v>
      </c>
      <c r="AH160" s="4" cm="1">
        <f t="array" ref="AH160">INDEX(GMW!$A$2:$NF$60,MATCH(1,(GMW!$NE$2:$NE$60=AH$3)*(GMW!$ND$2:$ND$60=AH$4)*(GMW!$NF$2:$NF$60=AH$1),0),$F160-1966)</f>
        <v>439963</v>
      </c>
    </row>
    <row r="161" spans="1:34" x14ac:dyDescent="0.25">
      <c r="B161" s="4">
        <f t="shared" si="52"/>
        <v>2011</v>
      </c>
      <c r="C161" s="4">
        <f t="shared" si="52"/>
        <v>2011</v>
      </c>
      <c r="F161" s="4">
        <f t="shared" si="38"/>
        <v>2127</v>
      </c>
      <c r="G161" s="4" cm="1">
        <f t="array" ref="G161">INDEX(GMW!$A$2:$NF$60,MATCH(1,(GMW!$NE$2:$NE$60=G$3)*(GMW!$ND$2:$ND$60=G$4)*(GMW!$NF$2:$NF$60=G$1),0),$F161-1966)</f>
        <v>527034</v>
      </c>
      <c r="H161" s="4" cm="1">
        <f t="array" ref="H161">INDEX(GMW!$A$2:$NF$60,MATCH(1,(GMW!$NE$2:$NE$60=H$3)*(GMW!$ND$2:$ND$60=H$4)*(GMW!$NF$2:$NF$60=H$1),0),$F161-1966)</f>
        <v>4257.8249999999998</v>
      </c>
      <c r="I161" s="4" cm="1">
        <f t="array" ref="I161">INDEX(GMW!$A$2:$NF$60,MATCH(1,(GMW!$NE$2:$NE$60=I$3)*(GMW!$ND$2:$ND$60=I$4)*(GMW!$NF$2:$NF$60=I$1),0),$F161-1966)</f>
        <v>129025.60000000001</v>
      </c>
      <c r="J161" s="4" cm="1">
        <f t="array" ref="J161">INDEX(GMW!$A$2:$NF$60,MATCH(1,(GMW!$NE$2:$NE$60=J$3)*(GMW!$ND$2:$ND$60=J$4)*(GMW!$NF$2:$NF$60=J$1),0),$F161-1966)</f>
        <v>801.95</v>
      </c>
      <c r="K161" s="4" cm="1">
        <f t="array" ref="K161">INDEX(GMW!$A$2:$NF$60,MATCH(1,(GMW!$NE$2:$NE$60=K$3)*(GMW!$ND$2:$ND$60=K$4)*(GMW!$NF$2:$NF$60=K$1),0),$F161-1966)</f>
        <v>569.07000000000005</v>
      </c>
      <c r="L161" s="4" cm="1">
        <f t="array" ref="L161">INDEX(GMW!$A$2:$NF$60,MATCH(1,(GMW!$NE$2:$NE$60=L$3)*(GMW!$ND$2:$ND$60=L$4)*(GMW!$NF$2:$NF$60=L$1),0),$F161-1966)</f>
        <v>458.74599999999998</v>
      </c>
      <c r="M161" s="4" cm="1">
        <f t="array" ref="M161">INDEX(GMW!$A$2:$NF$60,MATCH(1,(GMW!$NE$2:$NE$60=M$3)*(GMW!$ND$2:$ND$60=M$4)*(GMW!$NF$2:$NF$60=M$1),0),$F161-1966)</f>
        <v>479318.5</v>
      </c>
      <c r="N161" s="4" cm="1">
        <f t="array" ref="N161">INDEX(GMW!$A$2:$NF$60,MATCH(1,(GMW!$NE$2:$NE$60=N$3)*(GMW!$ND$2:$ND$60=N$4)*(GMW!$NF$2:$NF$60=N$1),0),$F161-1966)</f>
        <v>-27878</v>
      </c>
      <c r="O161" s="4" cm="1">
        <f t="array" ref="O161">INDEX(GMW!$A$2:$NF$60,MATCH(1,(GMW!$NE$2:$NE$60=O$3)*(GMW!$ND$2:$ND$60=O$4)*(GMW!$NF$2:$NF$60=O$1),0),$F161-1966)</f>
        <v>-418.0215</v>
      </c>
      <c r="P161" s="4" cm="1">
        <f t="array" ref="P161">INDEX(GMW!$A$2:$NF$60,MATCH(1,(GMW!$NE$2:$NE$60=P$3)*(GMW!$ND$2:$ND$60=P$4)*(GMW!$NF$2:$NF$60=P$1),0),$F161-1966)</f>
        <v>-11292.5</v>
      </c>
      <c r="Q161" s="4" cm="1">
        <f t="array" ref="Q161">INDEX(GMW!$A$2:$NF$60,MATCH(1,(GMW!$NE$2:$NE$60=Q$3)*(GMW!$ND$2:$ND$60=Q$4)*(GMW!$NF$2:$NF$60=Q$1),0),$F161-1966)</f>
        <v>-7.1050000000000004</v>
      </c>
      <c r="R161" s="4" cm="1">
        <f t="array" ref="R161">INDEX(GMW!$A$2:$NF$60,MATCH(1,(GMW!$NE$2:$NE$60=R$3)*(GMW!$ND$2:$ND$60=R$4)*(GMW!$NF$2:$NF$60=R$1),0),$F161-1966)</f>
        <v>-25.876000000000001</v>
      </c>
      <c r="S161" s="4" cm="1">
        <f t="array" ref="S161">INDEX(GMW!$A$2:$NF$60,MATCH(1,(GMW!$NE$2:$NE$60=S$3)*(GMW!$ND$2:$ND$60=S$4)*(GMW!$NF$2:$NF$60=S$1),0),$F161-1966)</f>
        <v>-14.33198</v>
      </c>
      <c r="T161" s="4" cm="1">
        <f t="array" ref="T161">INDEX(GMW!$A$2:$NF$60,MATCH(1,(GMW!$NE$2:$NE$60=T$3)*(GMW!$ND$2:$ND$60=T$4)*(GMW!$NF$2:$NF$60=T$1),0),$F161-1966)</f>
        <v>-9541</v>
      </c>
      <c r="U161" s="4" cm="1">
        <f t="array" ref="U161">INDEX(GMW!$A$2:$NF$60,MATCH(1,(GMW!$NE$2:$NE$60=U$3)*(GMW!$ND$2:$ND$60=U$4)*(GMW!$NF$2:$NF$60=U$1),0),$F161-1966)</f>
        <v>1322584</v>
      </c>
      <c r="V161" s="4" cm="1">
        <f t="array" ref="V161">INDEX(GMW!$A$2:$NF$60,MATCH(1,(GMW!$NE$2:$NE$60=V$3)*(GMW!$ND$2:$ND$60=V$4)*(GMW!$NF$2:$NF$60=V$1),0),$F161-1966)</f>
        <v>20101.37</v>
      </c>
      <c r="W161" s="4" cm="1">
        <f t="array" ref="W161">INDEX(GMW!$A$2:$NF$60,MATCH(1,(GMW!$NE$2:$NE$60=W$3)*(GMW!$ND$2:$ND$60=W$4)*(GMW!$NF$2:$NF$60=W$1),0),$F161-1966)</f>
        <v>961704</v>
      </c>
      <c r="X161" s="4" cm="1">
        <f t="array" ref="X161">INDEX(GMW!$A$2:$NF$60,MATCH(1,(GMW!$NE$2:$NE$60=X$3)*(GMW!$ND$2:$ND$60=X$4)*(GMW!$NF$2:$NF$60=X$1),0),$F161-1966)</f>
        <v>2021.998</v>
      </c>
      <c r="Y161" s="4" cm="1">
        <f t="array" ref="Y161">INDEX(GMW!$A$2:$NF$60,MATCH(1,(GMW!$NE$2:$NE$60=Y$3)*(GMW!$ND$2:$ND$60=Y$4)*(GMW!$NF$2:$NF$60=Y$1),0),$F161-1966)</f>
        <v>2254.105</v>
      </c>
      <c r="Z161" s="4" cm="1">
        <f t="array" ref="Z161">INDEX(GMW!$A$2:$NF$60,MATCH(1,(GMW!$NE$2:$NE$60=Z$3)*(GMW!$ND$2:$ND$60=Z$4)*(GMW!$NF$2:$NF$60=Z$1),0),$F161-1966)</f>
        <v>1979.999</v>
      </c>
      <c r="AA161" s="4" cm="1">
        <f t="array" ref="AA161">INDEX(GMW!$A$2:$NF$60,MATCH(1,(GMW!$NE$2:$NE$60=AA$3)*(GMW!$ND$2:$ND$60=AA$4)*(GMW!$NF$2:$NF$60=AA$1),0),$F161-1966)</f>
        <v>1602205</v>
      </c>
      <c r="AB161" s="4" cm="1">
        <f t="array" ref="AB161">INDEX(GMW!$A$2:$NF$60,MATCH(1,(GMW!$NE$2:$NE$60=AB$3)*(GMW!$ND$2:$ND$60=AB$4)*(GMW!$NF$2:$NF$60=AB$1),0),$F161-1966)</f>
        <v>416115</v>
      </c>
      <c r="AC161" s="4" cm="1">
        <f t="array" ref="AC161">INDEX(GMW!$A$2:$NF$60,MATCH(1,(GMW!$NE$2:$NE$60=AC$3)*(GMW!$ND$2:$ND$60=AC$4)*(GMW!$NF$2:$NF$60=AC$1),0),$F161-1966)</f>
        <v>3911.9250000000002</v>
      </c>
      <c r="AD161" s="4" cm="1">
        <f t="array" ref="AD161">INDEX(GMW!$A$2:$NF$60,MATCH(1,(GMW!$NE$2:$NE$60=AD$3)*(GMW!$ND$2:$ND$60=AD$4)*(GMW!$NF$2:$NF$60=AD$1),0),$F161-1966)</f>
        <v>125260.3</v>
      </c>
      <c r="AE161" s="4" cm="1">
        <f t="array" ref="AE161">INDEX(GMW!$A$2:$NF$60,MATCH(1,(GMW!$NE$2:$NE$60=AE$3)*(GMW!$ND$2:$ND$60=AE$4)*(GMW!$NF$2:$NF$60=AE$1),0),$F161-1966)</f>
        <v>689.50300000000004</v>
      </c>
      <c r="AF161" s="4" cm="1">
        <f t="array" ref="AF161">INDEX(GMW!$A$2:$NF$60,MATCH(1,(GMW!$NE$2:$NE$60=AF$3)*(GMW!$ND$2:$ND$60=AF$4)*(GMW!$NF$2:$NF$60=AF$1),0),$F161-1966)</f>
        <v>515.53300000000002</v>
      </c>
      <c r="AG161" s="4" cm="1">
        <f t="array" ref="AG161">INDEX(GMW!$A$2:$NF$60,MATCH(1,(GMW!$NE$2:$NE$60=AG$3)*(GMW!$ND$2:$ND$60=AG$4)*(GMW!$NF$2:$NF$60=AG$1),0),$F161-1966)</f>
        <v>415.06099999999998</v>
      </c>
      <c r="AH161" s="4" cm="1">
        <f t="array" ref="AH161">INDEX(GMW!$A$2:$NF$60,MATCH(1,(GMW!$NE$2:$NE$60=AH$3)*(GMW!$ND$2:$ND$60=AH$4)*(GMW!$NF$2:$NF$60=AH$1),0),$F161-1966)</f>
        <v>446437</v>
      </c>
    </row>
    <row r="162" spans="1:34" x14ac:dyDescent="0.25">
      <c r="B162" s="4">
        <f t="shared" si="52"/>
        <v>2011</v>
      </c>
      <c r="C162" s="4">
        <f t="shared" si="52"/>
        <v>2011</v>
      </c>
      <c r="E162" s="4">
        <f t="shared" ref="E162" si="54">+E158+1</f>
        <v>2011</v>
      </c>
      <c r="F162" s="4">
        <f t="shared" si="38"/>
        <v>2128</v>
      </c>
      <c r="G162" s="4" cm="1">
        <f t="array" ref="G162">INDEX(GMW!$A$2:$NF$60,MATCH(1,(GMW!$NE$2:$NE$60=G$3)*(GMW!$ND$2:$ND$60=G$4)*(GMW!$NF$2:$NF$60=G$1),0),$F162-1966)</f>
        <v>527698</v>
      </c>
      <c r="H162" s="4" cm="1">
        <f t="array" ref="H162">INDEX(GMW!$A$2:$NF$60,MATCH(1,(GMW!$NE$2:$NE$60=H$3)*(GMW!$ND$2:$ND$60=H$4)*(GMW!$NF$2:$NF$60=H$1),0),$F162-1966)</f>
        <v>4305.6499999999996</v>
      </c>
      <c r="I162" s="4" cm="1">
        <f t="array" ref="I162">INDEX(GMW!$A$2:$NF$60,MATCH(1,(GMW!$NE$2:$NE$60=I$3)*(GMW!$ND$2:$ND$60=I$4)*(GMW!$NF$2:$NF$60=I$1),0),$F162-1966)</f>
        <v>128830.9</v>
      </c>
      <c r="J162" s="4" cm="1">
        <f t="array" ref="J162">INDEX(GMW!$A$2:$NF$60,MATCH(1,(GMW!$NE$2:$NE$60=J$3)*(GMW!$ND$2:$ND$60=J$4)*(GMW!$NF$2:$NF$60=J$1),0),$F162-1966)</f>
        <v>801.86</v>
      </c>
      <c r="K162" s="4" cm="1">
        <f t="array" ref="K162">INDEX(GMW!$A$2:$NF$60,MATCH(1,(GMW!$NE$2:$NE$60=K$3)*(GMW!$ND$2:$ND$60=K$4)*(GMW!$NF$2:$NF$60=K$1),0),$F162-1966)</f>
        <v>571.07399999999996</v>
      </c>
      <c r="L162" s="4" cm="1">
        <f t="array" ref="L162">INDEX(GMW!$A$2:$NF$60,MATCH(1,(GMW!$NE$2:$NE$60=L$3)*(GMW!$ND$2:$ND$60=L$4)*(GMW!$NF$2:$NF$60=L$1),0),$F162-1966)</f>
        <v>454.35</v>
      </c>
      <c r="M162" s="4" cm="1">
        <f t="array" ref="M162">INDEX(GMW!$A$2:$NF$60,MATCH(1,(GMW!$NE$2:$NE$60=M$3)*(GMW!$ND$2:$ND$60=M$4)*(GMW!$NF$2:$NF$60=M$1),0),$F162-1966)</f>
        <v>483127.8</v>
      </c>
      <c r="N162" s="4" cm="1">
        <f t="array" ref="N162">INDEX(GMW!$A$2:$NF$60,MATCH(1,(GMW!$NE$2:$NE$60=N$3)*(GMW!$ND$2:$ND$60=N$4)*(GMW!$NF$2:$NF$60=N$1),0),$F162-1966)</f>
        <v>-37732</v>
      </c>
      <c r="O162" s="4" cm="1">
        <f t="array" ref="O162">INDEX(GMW!$A$2:$NF$60,MATCH(1,(GMW!$NE$2:$NE$60=O$3)*(GMW!$ND$2:$ND$60=O$4)*(GMW!$NF$2:$NF$60=O$1),0),$F162-1966)</f>
        <v>-409.50650000000002</v>
      </c>
      <c r="P162" s="4" cm="1">
        <f t="array" ref="P162">INDEX(GMW!$A$2:$NF$60,MATCH(1,(GMW!$NE$2:$NE$60=P$3)*(GMW!$ND$2:$ND$60=P$4)*(GMW!$NF$2:$NF$60=P$1),0),$F162-1966)</f>
        <v>-11020.5</v>
      </c>
      <c r="Q162" s="4" cm="1">
        <f t="array" ref="Q162">INDEX(GMW!$A$2:$NF$60,MATCH(1,(GMW!$NE$2:$NE$60=Q$3)*(GMW!$ND$2:$ND$60=Q$4)*(GMW!$NF$2:$NF$60=Q$1),0),$F162-1966)</f>
        <v>-3.93</v>
      </c>
      <c r="R162" s="4" cm="1">
        <f t="array" ref="R162">INDEX(GMW!$A$2:$NF$60,MATCH(1,(GMW!$NE$2:$NE$60=R$3)*(GMW!$ND$2:$ND$60=R$4)*(GMW!$NF$2:$NF$60=R$1),0),$F162-1966)</f>
        <v>-26.46</v>
      </c>
      <c r="S162" s="4" cm="1">
        <f t="array" ref="S162">INDEX(GMW!$A$2:$NF$60,MATCH(1,(GMW!$NE$2:$NE$60=S$3)*(GMW!$ND$2:$ND$60=S$4)*(GMW!$NF$2:$NF$60=S$1),0),$F162-1966)</f>
        <v>-13.71283</v>
      </c>
      <c r="T162" s="4" cm="1">
        <f t="array" ref="T162">INDEX(GMW!$A$2:$NF$60,MATCH(1,(GMW!$NE$2:$NE$60=T$3)*(GMW!$ND$2:$ND$60=T$4)*(GMW!$NF$2:$NF$60=T$1),0),$F162-1966)</f>
        <v>-8358</v>
      </c>
      <c r="U162" s="4" cm="1">
        <f t="array" ref="U162">INDEX(GMW!$A$2:$NF$60,MATCH(1,(GMW!$NE$2:$NE$60=U$3)*(GMW!$ND$2:$ND$60=U$4)*(GMW!$NF$2:$NF$60=U$1),0),$F162-1966)</f>
        <v>1353765</v>
      </c>
      <c r="V162" s="4" cm="1">
        <f t="array" ref="V162">INDEX(GMW!$A$2:$NF$60,MATCH(1,(GMW!$NE$2:$NE$60=V$3)*(GMW!$ND$2:$ND$60=V$4)*(GMW!$NF$2:$NF$60=V$1),0),$F162-1966)</f>
        <v>20428.82</v>
      </c>
      <c r="W162" s="4" cm="1">
        <f t="array" ref="W162">INDEX(GMW!$A$2:$NF$60,MATCH(1,(GMW!$NE$2:$NE$60=W$3)*(GMW!$ND$2:$ND$60=W$4)*(GMW!$NF$2:$NF$60=W$1),0),$F162-1966)</f>
        <v>976423</v>
      </c>
      <c r="X162" s="4" cm="1">
        <f t="array" ref="X162">INDEX(GMW!$A$2:$NF$60,MATCH(1,(GMW!$NE$2:$NE$60=X$3)*(GMW!$ND$2:$ND$60=X$4)*(GMW!$NF$2:$NF$60=X$1),0),$F162-1966)</f>
        <v>2025.4380000000001</v>
      </c>
      <c r="Y162" s="4" cm="1">
        <f t="array" ref="Y162">INDEX(GMW!$A$2:$NF$60,MATCH(1,(GMW!$NE$2:$NE$60=Y$3)*(GMW!$ND$2:$ND$60=Y$4)*(GMW!$NF$2:$NF$60=Y$1),0),$F162-1966)</f>
        <v>2220.614</v>
      </c>
      <c r="Z162" s="4" cm="1">
        <f t="array" ref="Z162">INDEX(GMW!$A$2:$NF$60,MATCH(1,(GMW!$NE$2:$NE$60=Z$3)*(GMW!$ND$2:$ND$60=Z$4)*(GMW!$NF$2:$NF$60=Z$1),0),$F162-1966)</f>
        <v>1965.944</v>
      </c>
      <c r="AA162" s="4" cm="1">
        <f t="array" ref="AA162">INDEX(GMW!$A$2:$NF$60,MATCH(1,(GMW!$NE$2:$NE$60=AA$3)*(GMW!$ND$2:$ND$60=AA$4)*(GMW!$NF$2:$NF$60=AA$1),0),$F162-1966)</f>
        <v>1642422</v>
      </c>
      <c r="AB162" s="4" cm="1">
        <f t="array" ref="AB162">INDEX(GMW!$A$2:$NF$60,MATCH(1,(GMW!$NE$2:$NE$60=AB$3)*(GMW!$ND$2:$ND$60=AB$4)*(GMW!$NF$2:$NF$60=AB$1),0),$F162-1966)</f>
        <v>419305</v>
      </c>
      <c r="AC162" s="4" cm="1">
        <f t="array" ref="AC162">INDEX(GMW!$A$2:$NF$60,MATCH(1,(GMW!$NE$2:$NE$60=AC$3)*(GMW!$ND$2:$ND$60=AC$4)*(GMW!$NF$2:$NF$60=AC$1),0),$F162-1966)</f>
        <v>3960.5749999999998</v>
      </c>
      <c r="AD162" s="4" cm="1">
        <f t="array" ref="AD162">INDEX(GMW!$A$2:$NF$60,MATCH(1,(GMW!$NE$2:$NE$60=AD$3)*(GMW!$ND$2:$ND$60=AD$4)*(GMW!$NF$2:$NF$60=AD$1),0),$F162-1966)</f>
        <v>125065.3</v>
      </c>
      <c r="AE162" s="4" cm="1">
        <f t="array" ref="AE162">INDEX(GMW!$A$2:$NF$60,MATCH(1,(GMW!$NE$2:$NE$60=AE$3)*(GMW!$ND$2:$ND$60=AE$4)*(GMW!$NF$2:$NF$60=AE$1),0),$F162-1966)</f>
        <v>692.45699999999999</v>
      </c>
      <c r="AF162" s="4" cm="1">
        <f t="array" ref="AF162">INDEX(GMW!$A$2:$NF$60,MATCH(1,(GMW!$NE$2:$NE$60=AF$3)*(GMW!$ND$2:$ND$60=AF$4)*(GMW!$NF$2:$NF$60=AF$1),0),$F162-1966)</f>
        <v>519.31100000000004</v>
      </c>
      <c r="AG162" s="4" cm="1">
        <f t="array" ref="AG162">INDEX(GMW!$A$2:$NF$60,MATCH(1,(GMW!$NE$2:$NE$60=AG$3)*(GMW!$ND$2:$ND$60=AG$4)*(GMW!$NF$2:$NF$60=AG$1),0),$F162-1966)</f>
        <v>413.233</v>
      </c>
      <c r="AH162" s="4" cm="1">
        <f t="array" ref="AH162">INDEX(GMW!$A$2:$NF$60,MATCH(1,(GMW!$NE$2:$NE$60=AH$3)*(GMW!$ND$2:$ND$60=AH$4)*(GMW!$NF$2:$NF$60=AH$1),0),$F162-1966)</f>
        <v>453175</v>
      </c>
    </row>
    <row r="163" spans="1:34" x14ac:dyDescent="0.25">
      <c r="A163" s="4">
        <v>2012</v>
      </c>
      <c r="B163" s="4">
        <f t="shared" si="52"/>
        <v>2012</v>
      </c>
      <c r="C163" s="4">
        <f t="shared" si="52"/>
        <v>2011</v>
      </c>
      <c r="D163" s="4">
        <f t="shared" si="52"/>
        <v>2011</v>
      </c>
      <c r="F163" s="4">
        <f t="shared" si="38"/>
        <v>2129</v>
      </c>
      <c r="G163" s="4" cm="1">
        <f t="array" ref="G163">INDEX(GMW!$A$2:$NF$60,MATCH(1,(GMW!$NE$2:$NE$60=G$3)*(GMW!$ND$2:$ND$60=G$4)*(GMW!$NF$2:$NF$60=G$1),0),$F163-1966)</f>
        <v>532300</v>
      </c>
      <c r="H163" s="4" cm="1">
        <f t="array" ref="H163">INDEX(GMW!$A$2:$NF$60,MATCH(1,(GMW!$NE$2:$NE$60=H$3)*(GMW!$ND$2:$ND$60=H$4)*(GMW!$NF$2:$NF$60=H$1),0),$F163-1966)</f>
        <v>4341.75</v>
      </c>
      <c r="I163" s="4" cm="1">
        <f t="array" ref="I163">INDEX(GMW!$A$2:$NF$60,MATCH(1,(GMW!$NE$2:$NE$60=I$3)*(GMW!$ND$2:$ND$60=I$4)*(GMW!$NF$2:$NF$60=I$1),0),$F163-1966)</f>
        <v>130701.9</v>
      </c>
      <c r="J163" s="4" cm="1">
        <f t="array" ref="J163">INDEX(GMW!$A$2:$NF$60,MATCH(1,(GMW!$NE$2:$NE$60=J$3)*(GMW!$ND$2:$ND$60=J$4)*(GMW!$NF$2:$NF$60=J$1),0),$F163-1966)</f>
        <v>803.57</v>
      </c>
      <c r="K163" s="4" cm="1">
        <f t="array" ref="K163">INDEX(GMW!$A$2:$NF$60,MATCH(1,(GMW!$NE$2:$NE$60=K$3)*(GMW!$ND$2:$ND$60=K$4)*(GMW!$NF$2:$NF$60=K$1),0),$F163-1966)</f>
        <v>570.803</v>
      </c>
      <c r="L163" s="4" cm="1">
        <f t="array" ref="L163">INDEX(GMW!$A$2:$NF$60,MATCH(1,(GMW!$NE$2:$NE$60=L$3)*(GMW!$ND$2:$ND$60=L$4)*(GMW!$NF$2:$NF$60=L$1),0),$F163-1966)</f>
        <v>449.16199999999998</v>
      </c>
      <c r="M163" s="4" cm="1">
        <f t="array" ref="M163">INDEX(GMW!$A$2:$NF$60,MATCH(1,(GMW!$NE$2:$NE$60=M$3)*(GMW!$ND$2:$ND$60=M$4)*(GMW!$NF$2:$NF$60=M$1),0),$F163-1966)</f>
        <v>483432.8</v>
      </c>
      <c r="N163" s="4" cm="1">
        <f t="array" ref="N163">INDEX(GMW!$A$2:$NF$60,MATCH(1,(GMW!$NE$2:$NE$60=N$3)*(GMW!$ND$2:$ND$60=N$4)*(GMW!$NF$2:$NF$60=N$1),0),$F163-1966)</f>
        <v>-23778</v>
      </c>
      <c r="O163" s="4" cm="1">
        <f t="array" ref="O163">INDEX(GMW!$A$2:$NF$60,MATCH(1,(GMW!$NE$2:$NE$60=O$3)*(GMW!$ND$2:$ND$60=O$4)*(GMW!$NF$2:$NF$60=O$1),0),$F163-1966)</f>
        <v>-383.50319999999999</v>
      </c>
      <c r="P163" s="4" cm="1">
        <f t="array" ref="P163">INDEX(GMW!$A$2:$NF$60,MATCH(1,(GMW!$NE$2:$NE$60=P$3)*(GMW!$ND$2:$ND$60=P$4)*(GMW!$NF$2:$NF$60=P$1),0),$F163-1966)</f>
        <v>-11106.5</v>
      </c>
      <c r="Q163" s="4" cm="1">
        <f t="array" ref="Q163">INDEX(GMW!$A$2:$NF$60,MATCH(1,(GMW!$NE$2:$NE$60=Q$3)*(GMW!$ND$2:$ND$60=Q$4)*(GMW!$NF$2:$NF$60=Q$1),0),$F163-1966)</f>
        <v>-1.873</v>
      </c>
      <c r="R163" s="4" cm="1">
        <f t="array" ref="R163">INDEX(GMW!$A$2:$NF$60,MATCH(1,(GMW!$NE$2:$NE$60=R$3)*(GMW!$ND$2:$ND$60=R$4)*(GMW!$NF$2:$NF$60=R$1),0),$F163-1966)</f>
        <v>-27.774999999999999</v>
      </c>
      <c r="S163" s="4" cm="1">
        <f t="array" ref="S163">INDEX(GMW!$A$2:$NF$60,MATCH(1,(GMW!$NE$2:$NE$60=S$3)*(GMW!$ND$2:$ND$60=S$4)*(GMW!$NF$2:$NF$60=S$1),0),$F163-1966)</f>
        <v>-12.93548</v>
      </c>
      <c r="T163" s="4" cm="1">
        <f t="array" ref="T163">INDEX(GMW!$A$2:$NF$60,MATCH(1,(GMW!$NE$2:$NE$60=T$3)*(GMW!$ND$2:$ND$60=T$4)*(GMW!$NF$2:$NF$60=T$1),0),$F163-1966)</f>
        <v>-7200.9989999999998</v>
      </c>
      <c r="U163" s="4" cm="1">
        <f t="array" ref="U163">INDEX(GMW!$A$2:$NF$60,MATCH(1,(GMW!$NE$2:$NE$60=U$3)*(GMW!$ND$2:$ND$60=U$4)*(GMW!$NF$2:$NF$60=U$1),0),$F163-1966)</f>
        <v>1374122</v>
      </c>
      <c r="V163" s="4" cm="1">
        <f t="array" ref="V163">INDEX(GMW!$A$2:$NF$60,MATCH(1,(GMW!$NE$2:$NE$60=V$3)*(GMW!$ND$2:$ND$60=V$4)*(GMW!$NF$2:$NF$60=V$1),0),$F163-1966)</f>
        <v>20675.009999999998</v>
      </c>
      <c r="W163" s="4" cm="1">
        <f t="array" ref="W163">INDEX(GMW!$A$2:$NF$60,MATCH(1,(GMW!$NE$2:$NE$60=W$3)*(GMW!$ND$2:$ND$60=W$4)*(GMW!$NF$2:$NF$60=W$1),0),$F163-1966)</f>
        <v>989356</v>
      </c>
      <c r="X163" s="4" cm="1">
        <f t="array" ref="X163">INDEX(GMW!$A$2:$NF$60,MATCH(1,(GMW!$NE$2:$NE$60=X$3)*(GMW!$ND$2:$ND$60=X$4)*(GMW!$NF$2:$NF$60=X$1),0),$F163-1966)</f>
        <v>2036.1510000000001</v>
      </c>
      <c r="Y163" s="4" cm="1">
        <f t="array" ref="Y163">INDEX(GMW!$A$2:$NF$60,MATCH(1,(GMW!$NE$2:$NE$60=Y$3)*(GMW!$ND$2:$ND$60=Y$4)*(GMW!$NF$2:$NF$60=Y$1),0),$F163-1966)</f>
        <v>2312.3519999999999</v>
      </c>
      <c r="Z163" s="4" cm="1">
        <f t="array" ref="Z163">INDEX(GMW!$A$2:$NF$60,MATCH(1,(GMW!$NE$2:$NE$60=Z$3)*(GMW!$ND$2:$ND$60=Z$4)*(GMW!$NF$2:$NF$60=Z$1),0),$F163-1966)</f>
        <v>2034.6590000000001</v>
      </c>
      <c r="AA163" s="4" cm="1">
        <f t="array" ref="AA163">INDEX(GMW!$A$2:$NF$60,MATCH(1,(GMW!$NE$2:$NE$60=AA$3)*(GMW!$ND$2:$ND$60=AA$4)*(GMW!$NF$2:$NF$60=AA$1),0),$F163-1966)</f>
        <v>1669010</v>
      </c>
      <c r="AB163" s="4" cm="1">
        <f t="array" ref="AB163">INDEX(GMW!$A$2:$NF$60,MATCH(1,(GMW!$NE$2:$NE$60=AB$3)*(GMW!$ND$2:$ND$60=AB$4)*(GMW!$NF$2:$NF$60=AB$1),0),$F163-1966)</f>
        <v>424540</v>
      </c>
      <c r="AC163" s="4" cm="1">
        <f t="array" ref="AC163">INDEX(GMW!$A$2:$NF$60,MATCH(1,(GMW!$NE$2:$NE$60=AC$3)*(GMW!$ND$2:$ND$60=AC$4)*(GMW!$NF$2:$NF$60=AC$1),0),$F163-1966)</f>
        <v>4017.2</v>
      </c>
      <c r="AD163" s="4" cm="1">
        <f t="array" ref="AD163">INDEX(GMW!$A$2:$NF$60,MATCH(1,(GMW!$NE$2:$NE$60=AD$3)*(GMW!$ND$2:$ND$60=AD$4)*(GMW!$NF$2:$NF$60=AD$1),0),$F163-1966)</f>
        <v>126873.4</v>
      </c>
      <c r="AE163" s="4" cm="1">
        <f t="array" ref="AE163">INDEX(GMW!$A$2:$NF$60,MATCH(1,(GMW!$NE$2:$NE$60=AE$3)*(GMW!$ND$2:$ND$60=AE$4)*(GMW!$NF$2:$NF$60=AE$1),0),$F163-1966)</f>
        <v>694.81100000000004</v>
      </c>
      <c r="AF163" s="4" cm="1">
        <f t="array" ref="AF163">INDEX(GMW!$A$2:$NF$60,MATCH(1,(GMW!$NE$2:$NE$60=AF$3)*(GMW!$ND$2:$ND$60=AF$4)*(GMW!$NF$2:$NF$60=AF$1),0),$F163-1966)</f>
        <v>520.45799999999997</v>
      </c>
      <c r="AG163" s="4" cm="1">
        <f t="array" ref="AG163">INDEX(GMW!$A$2:$NF$60,MATCH(1,(GMW!$NE$2:$NE$60=AG$3)*(GMW!$ND$2:$ND$60=AG$4)*(GMW!$NF$2:$NF$60=AG$1),0),$F163-1966)</f>
        <v>411.38600000000002</v>
      </c>
      <c r="AH163" s="4" cm="1">
        <f t="array" ref="AH163">INDEX(GMW!$A$2:$NF$60,MATCH(1,(GMW!$NE$2:$NE$60=AH$3)*(GMW!$ND$2:$ND$60=AH$4)*(GMW!$NF$2:$NF$60=AH$1),0),$F163-1966)</f>
        <v>453780</v>
      </c>
    </row>
    <row r="164" spans="1:34" x14ac:dyDescent="0.25">
      <c r="B164" s="4">
        <f t="shared" si="52"/>
        <v>2012</v>
      </c>
      <c r="C164" s="4">
        <f t="shared" si="52"/>
        <v>2012</v>
      </c>
      <c r="F164" s="4">
        <f t="shared" si="38"/>
        <v>2130</v>
      </c>
      <c r="G164" s="4" cm="1">
        <f t="array" ref="G164">INDEX(GMW!$A$2:$NF$60,MATCH(1,(GMW!$NE$2:$NE$60=G$3)*(GMW!$ND$2:$ND$60=G$4)*(GMW!$NF$2:$NF$60=G$1),0),$F164-1966)</f>
        <v>531663</v>
      </c>
      <c r="H164" s="4" cm="1">
        <f t="array" ref="H164">INDEX(GMW!$A$2:$NF$60,MATCH(1,(GMW!$NE$2:$NE$60=H$3)*(GMW!$ND$2:$ND$60=H$4)*(GMW!$NF$2:$NF$60=H$1),0),$F164-1966)</f>
        <v>4361.125</v>
      </c>
      <c r="I164" s="4" cm="1">
        <f t="array" ref="I164">INDEX(GMW!$A$2:$NF$60,MATCH(1,(GMW!$NE$2:$NE$60=I$3)*(GMW!$ND$2:$ND$60=I$4)*(GMW!$NF$2:$NF$60=I$1),0),$F164-1966)</f>
        <v>129468.2</v>
      </c>
      <c r="J164" s="4" cm="1">
        <f t="array" ref="J164">INDEX(GMW!$A$2:$NF$60,MATCH(1,(GMW!$NE$2:$NE$60=J$3)*(GMW!$ND$2:$ND$60=J$4)*(GMW!$NF$2:$NF$60=J$1),0),$F164-1966)</f>
        <v>804.43</v>
      </c>
      <c r="K164" s="4" cm="1">
        <f t="array" ref="K164">INDEX(GMW!$A$2:$NF$60,MATCH(1,(GMW!$NE$2:$NE$60=K$3)*(GMW!$ND$2:$ND$60=K$4)*(GMW!$NF$2:$NF$60=K$1),0),$F164-1966)</f>
        <v>568.56100000000004</v>
      </c>
      <c r="L164" s="4" cm="1">
        <f t="array" ref="L164">INDEX(GMW!$A$2:$NF$60,MATCH(1,(GMW!$NE$2:$NE$60=L$3)*(GMW!$ND$2:$ND$60=L$4)*(GMW!$NF$2:$NF$60=L$1),0),$F164-1966)</f>
        <v>445.75700000000001</v>
      </c>
      <c r="M164" s="4" cm="1">
        <f t="array" ref="M164">INDEX(GMW!$A$2:$NF$60,MATCH(1,(GMW!$NE$2:$NE$60=M$3)*(GMW!$ND$2:$ND$60=M$4)*(GMW!$NF$2:$NF$60=M$1),0),$F164-1966)</f>
        <v>485004.3</v>
      </c>
      <c r="N164" s="4" cm="1">
        <f t="array" ref="N164">INDEX(GMW!$A$2:$NF$60,MATCH(1,(GMW!$NE$2:$NE$60=N$3)*(GMW!$ND$2:$ND$60=N$4)*(GMW!$NF$2:$NF$60=N$1),0),$F164-1966)</f>
        <v>-43409</v>
      </c>
      <c r="O164" s="4" cm="1">
        <f t="array" ref="O164">INDEX(GMW!$A$2:$NF$60,MATCH(1,(GMW!$NE$2:$NE$60=O$3)*(GMW!$ND$2:$ND$60=O$4)*(GMW!$NF$2:$NF$60=O$1),0),$F164-1966)</f>
        <v>-378.95929999999998</v>
      </c>
      <c r="P164" s="4" cm="1">
        <f t="array" ref="P164">INDEX(GMW!$A$2:$NF$60,MATCH(1,(GMW!$NE$2:$NE$60=P$3)*(GMW!$ND$2:$ND$60=P$4)*(GMW!$NF$2:$NF$60=P$1),0),$F164-1966)</f>
        <v>-10374.75</v>
      </c>
      <c r="Q164" s="4" cm="1">
        <f t="array" ref="Q164">INDEX(GMW!$A$2:$NF$60,MATCH(1,(GMW!$NE$2:$NE$60=Q$3)*(GMW!$ND$2:$ND$60=Q$4)*(GMW!$NF$2:$NF$60=Q$1),0),$F164-1966)</f>
        <v>-0.14599999999999999</v>
      </c>
      <c r="R164" s="4" cm="1">
        <f t="array" ref="R164">INDEX(GMW!$A$2:$NF$60,MATCH(1,(GMW!$NE$2:$NE$60=R$3)*(GMW!$ND$2:$ND$60=R$4)*(GMW!$NF$2:$NF$60=R$1),0),$F164-1966)</f>
        <v>-29.481999999999999</v>
      </c>
      <c r="S164" s="4" cm="1">
        <f t="array" ref="S164">INDEX(GMW!$A$2:$NF$60,MATCH(1,(GMW!$NE$2:$NE$60=S$3)*(GMW!$ND$2:$ND$60=S$4)*(GMW!$NF$2:$NF$60=S$1),0),$F164-1966)</f>
        <v>-12.177519999999999</v>
      </c>
      <c r="T164" s="4" cm="1">
        <f t="array" ref="T164">INDEX(GMW!$A$2:$NF$60,MATCH(1,(GMW!$NE$2:$NE$60=T$3)*(GMW!$ND$2:$ND$60=T$4)*(GMW!$NF$2:$NF$60=T$1),0),$F164-1966)</f>
        <v>-6844</v>
      </c>
      <c r="U164" s="4" cm="1">
        <f t="array" ref="U164">INDEX(GMW!$A$2:$NF$60,MATCH(1,(GMW!$NE$2:$NE$60=U$3)*(GMW!$ND$2:$ND$60=U$4)*(GMW!$NF$2:$NF$60=U$1),0),$F164-1966)</f>
        <v>1382839</v>
      </c>
      <c r="V164" s="4" cm="1">
        <f t="array" ref="V164">INDEX(GMW!$A$2:$NF$60,MATCH(1,(GMW!$NE$2:$NE$60=V$3)*(GMW!$ND$2:$ND$60=V$4)*(GMW!$NF$2:$NF$60=V$1),0),$F164-1966)</f>
        <v>21015.27</v>
      </c>
      <c r="W164" s="4" cm="1">
        <f t="array" ref="W164">INDEX(GMW!$A$2:$NF$60,MATCH(1,(GMW!$NE$2:$NE$60=W$3)*(GMW!$ND$2:$ND$60=W$4)*(GMW!$NF$2:$NF$60=W$1),0),$F164-1966)</f>
        <v>1002289</v>
      </c>
      <c r="X164" s="4" cm="1">
        <f t="array" ref="X164">INDEX(GMW!$A$2:$NF$60,MATCH(1,(GMW!$NE$2:$NE$60=X$3)*(GMW!$ND$2:$ND$60=X$4)*(GMW!$NF$2:$NF$60=X$1),0),$F164-1966)</f>
        <v>2046.864</v>
      </c>
      <c r="Y164" s="4" cm="1">
        <f t="array" ref="Y164">INDEX(GMW!$A$2:$NF$60,MATCH(1,(GMW!$NE$2:$NE$60=Y$3)*(GMW!$ND$2:$ND$60=Y$4)*(GMW!$NF$2:$NF$60=Y$1),0),$F164-1966)</f>
        <v>2370.982</v>
      </c>
      <c r="Z164" s="4" cm="1">
        <f t="array" ref="Z164">INDEX(GMW!$A$2:$NF$60,MATCH(1,(GMW!$NE$2:$NE$60=Z$3)*(GMW!$ND$2:$ND$60=Z$4)*(GMW!$NF$2:$NF$60=Z$1),0),$F164-1966)</f>
        <v>2103.3739999999998</v>
      </c>
      <c r="AA164" s="4" cm="1">
        <f t="array" ref="AA164">INDEX(GMW!$A$2:$NF$60,MATCH(1,(GMW!$NE$2:$NE$60=AA$3)*(GMW!$ND$2:$ND$60=AA$4)*(GMW!$NF$2:$NF$60=AA$1),0),$F164-1966)</f>
        <v>1702213</v>
      </c>
      <c r="AB164" s="4" cm="1">
        <f t="array" ref="AB164">INDEX(GMW!$A$2:$NF$60,MATCH(1,(GMW!$NE$2:$NE$60=AB$3)*(GMW!$ND$2:$ND$60=AB$4)*(GMW!$NF$2:$NF$60=AB$1),0),$F164-1966)</f>
        <v>424939</v>
      </c>
      <c r="AC164" s="4" cm="1">
        <f t="array" ref="AC164">INDEX(GMW!$A$2:$NF$60,MATCH(1,(GMW!$NE$2:$NE$60=AC$3)*(GMW!$ND$2:$ND$60=AC$4)*(GMW!$NF$2:$NF$60=AC$1),0),$F164-1966)</f>
        <v>4051.7750000000001</v>
      </c>
      <c r="AD164" s="4" cm="1">
        <f t="array" ref="AD164">INDEX(GMW!$A$2:$NF$60,MATCH(1,(GMW!$NE$2:$NE$60=AD$3)*(GMW!$ND$2:$ND$60=AD$4)*(GMW!$NF$2:$NF$60=AD$1),0),$F164-1966)</f>
        <v>125046.1</v>
      </c>
      <c r="AE164" s="4" cm="1">
        <f t="array" ref="AE164">INDEX(GMW!$A$2:$NF$60,MATCH(1,(GMW!$NE$2:$NE$60=AE$3)*(GMW!$ND$2:$ND$60=AE$4)*(GMW!$NF$2:$NF$60=AE$1),0),$F164-1966)</f>
        <v>697.67200000000003</v>
      </c>
      <c r="AF164" s="4" cm="1">
        <f t="array" ref="AF164">INDEX(GMW!$A$2:$NF$60,MATCH(1,(GMW!$NE$2:$NE$60=AF$3)*(GMW!$ND$2:$ND$60=AF$4)*(GMW!$NF$2:$NF$60=AF$1),0),$F164-1966)</f>
        <v>520.53399999999999</v>
      </c>
      <c r="AG164" s="4" cm="1">
        <f t="array" ref="AG164">INDEX(GMW!$A$2:$NF$60,MATCH(1,(GMW!$NE$2:$NE$60=AG$3)*(GMW!$ND$2:$ND$60=AG$4)*(GMW!$NF$2:$NF$60=AG$1),0),$F164-1966)</f>
        <v>408.76900000000001</v>
      </c>
      <c r="AH164" s="4" cm="1">
        <f t="array" ref="AH164">INDEX(GMW!$A$2:$NF$60,MATCH(1,(GMW!$NE$2:$NE$60=AH$3)*(GMW!$ND$2:$ND$60=AH$4)*(GMW!$NF$2:$NF$60=AH$1),0),$F164-1966)</f>
        <v>454746</v>
      </c>
    </row>
    <row r="165" spans="1:34" x14ac:dyDescent="0.25">
      <c r="B165" s="4">
        <f t="shared" si="52"/>
        <v>2012</v>
      </c>
      <c r="C165" s="4">
        <f t="shared" si="52"/>
        <v>2012</v>
      </c>
      <c r="F165" s="4">
        <f t="shared" si="38"/>
        <v>2131</v>
      </c>
      <c r="G165" s="4" cm="1">
        <f t="array" ref="G165">INDEX(GMW!$A$2:$NF$60,MATCH(1,(GMW!$NE$2:$NE$60=G$3)*(GMW!$ND$2:$ND$60=G$4)*(GMW!$NF$2:$NF$60=G$1),0),$F165-1966)</f>
        <v>536720</v>
      </c>
      <c r="H165" s="4" cm="1">
        <f t="array" ref="H165">INDEX(GMW!$A$2:$NF$60,MATCH(1,(GMW!$NE$2:$NE$60=H$3)*(GMW!$ND$2:$ND$60=H$4)*(GMW!$NF$2:$NF$60=H$1),0),$F165-1966)</f>
        <v>4367.4250000000002</v>
      </c>
      <c r="I165" s="4" cm="1">
        <f t="array" ref="I165">INDEX(GMW!$A$2:$NF$60,MATCH(1,(GMW!$NE$2:$NE$60=I$3)*(GMW!$ND$2:$ND$60=I$4)*(GMW!$NF$2:$NF$60=I$1),0),$F165-1966)</f>
        <v>128944.8</v>
      </c>
      <c r="J165" s="4" cm="1">
        <f t="array" ref="J165">INDEX(GMW!$A$2:$NF$60,MATCH(1,(GMW!$NE$2:$NE$60=J$3)*(GMW!$ND$2:$ND$60=J$4)*(GMW!$NF$2:$NF$60=J$1),0),$F165-1966)</f>
        <v>806.07</v>
      </c>
      <c r="K165" s="4" cm="1">
        <f t="array" ref="K165">INDEX(GMW!$A$2:$NF$60,MATCH(1,(GMW!$NE$2:$NE$60=K$3)*(GMW!$ND$2:$ND$60=K$4)*(GMW!$NF$2:$NF$60=K$1),0),$F165-1966)</f>
        <v>570.27499999999998</v>
      </c>
      <c r="L165" s="4" cm="1">
        <f t="array" ref="L165">INDEX(GMW!$A$2:$NF$60,MATCH(1,(GMW!$NE$2:$NE$60=L$3)*(GMW!$ND$2:$ND$60=L$4)*(GMW!$NF$2:$NF$60=L$1),0),$F165-1966)</f>
        <v>442.68200000000002</v>
      </c>
      <c r="M165" s="4" cm="1">
        <f t="array" ref="M165">INDEX(GMW!$A$2:$NF$60,MATCH(1,(GMW!$NE$2:$NE$60=M$3)*(GMW!$ND$2:$ND$60=M$4)*(GMW!$NF$2:$NF$60=M$1),0),$F165-1966)</f>
        <v>485668</v>
      </c>
      <c r="N165" s="4" cm="1">
        <f t="array" ref="N165">INDEX(GMW!$A$2:$NF$60,MATCH(1,(GMW!$NE$2:$NE$60=N$3)*(GMW!$ND$2:$ND$60=N$4)*(GMW!$NF$2:$NF$60=N$1),0),$F165-1966)</f>
        <v>-25202</v>
      </c>
      <c r="O165" s="4" cm="1">
        <f t="array" ref="O165">INDEX(GMW!$A$2:$NF$60,MATCH(1,(GMW!$NE$2:$NE$60=O$3)*(GMW!$ND$2:$ND$60=O$4)*(GMW!$NF$2:$NF$60=O$1),0),$F165-1966)</f>
        <v>-375.42430000000002</v>
      </c>
      <c r="P165" s="4" cm="1">
        <f t="array" ref="P165">INDEX(GMW!$A$2:$NF$60,MATCH(1,(GMW!$NE$2:$NE$60=P$3)*(GMW!$ND$2:$ND$60=P$4)*(GMW!$NF$2:$NF$60=P$1),0),$F165-1966)</f>
        <v>-9933.5</v>
      </c>
      <c r="Q165" s="4" cm="1">
        <f t="array" ref="Q165">INDEX(GMW!$A$2:$NF$60,MATCH(1,(GMW!$NE$2:$NE$60=Q$3)*(GMW!$ND$2:$ND$60=Q$4)*(GMW!$NF$2:$NF$60=Q$1),0),$F165-1966)</f>
        <v>2.1970000000000001</v>
      </c>
      <c r="R165" s="4" cm="1">
        <f t="array" ref="R165">INDEX(GMW!$A$2:$NF$60,MATCH(1,(GMW!$NE$2:$NE$60=R$3)*(GMW!$ND$2:$ND$60=R$4)*(GMW!$NF$2:$NF$60=R$1),0),$F165-1966)</f>
        <v>-27.344000000000001</v>
      </c>
      <c r="S165" s="4" cm="1">
        <f t="array" ref="S165">INDEX(GMW!$A$2:$NF$60,MATCH(1,(GMW!$NE$2:$NE$60=S$3)*(GMW!$ND$2:$ND$60=S$4)*(GMW!$NF$2:$NF$60=S$1),0),$F165-1966)</f>
        <v>-11.80852</v>
      </c>
      <c r="T165" s="4" cm="1">
        <f t="array" ref="T165">INDEX(GMW!$A$2:$NF$60,MATCH(1,(GMW!$NE$2:$NE$60=T$3)*(GMW!$ND$2:$ND$60=T$4)*(GMW!$NF$2:$NF$60=T$1),0),$F165-1966)</f>
        <v>-7871</v>
      </c>
      <c r="U165" s="4" cm="1">
        <f t="array" ref="U165">INDEX(GMW!$A$2:$NF$60,MATCH(1,(GMW!$NE$2:$NE$60=U$3)*(GMW!$ND$2:$ND$60=U$4)*(GMW!$NF$2:$NF$60=U$1),0),$F165-1966)</f>
        <v>1414144</v>
      </c>
      <c r="V165" s="4" cm="1">
        <f t="array" ref="V165">INDEX(GMW!$A$2:$NF$60,MATCH(1,(GMW!$NE$2:$NE$60=V$3)*(GMW!$ND$2:$ND$60=V$4)*(GMW!$NF$2:$NF$60=V$1),0),$F165-1966)</f>
        <v>21221.91</v>
      </c>
      <c r="W165" s="4" cm="1">
        <f t="array" ref="W165">INDEX(GMW!$A$2:$NF$60,MATCH(1,(GMW!$NE$2:$NE$60=W$3)*(GMW!$ND$2:$ND$60=W$4)*(GMW!$NF$2:$NF$60=W$1),0),$F165-1966)</f>
        <v>1015222</v>
      </c>
      <c r="X165" s="4" cm="1">
        <f t="array" ref="X165">INDEX(GMW!$A$2:$NF$60,MATCH(1,(GMW!$NE$2:$NE$60=X$3)*(GMW!$ND$2:$ND$60=X$4)*(GMW!$NF$2:$NF$60=X$1),0),$F165-1966)</f>
        <v>2057.576</v>
      </c>
      <c r="Y165" s="4" cm="1">
        <f t="array" ref="Y165">INDEX(GMW!$A$2:$NF$60,MATCH(1,(GMW!$NE$2:$NE$60=Y$3)*(GMW!$ND$2:$ND$60=Y$4)*(GMW!$NF$2:$NF$60=Y$1),0),$F165-1966)</f>
        <v>2411.578</v>
      </c>
      <c r="Z165" s="4" cm="1">
        <f t="array" ref="Z165">INDEX(GMW!$A$2:$NF$60,MATCH(1,(GMW!$NE$2:$NE$60=Z$3)*(GMW!$ND$2:$ND$60=Z$4)*(GMW!$NF$2:$NF$60=Z$1),0),$F165-1966)</f>
        <v>2172.0880000000002</v>
      </c>
      <c r="AA165" s="4" cm="1">
        <f t="array" ref="AA165">INDEX(GMW!$A$2:$NF$60,MATCH(1,(GMW!$NE$2:$NE$60=AA$3)*(GMW!$ND$2:$ND$60=AA$4)*(GMW!$NF$2:$NF$60=AA$1),0),$F165-1966)</f>
        <v>1714964</v>
      </c>
      <c r="AB165" s="4" cm="1">
        <f t="array" ref="AB165">INDEX(GMW!$A$2:$NF$60,MATCH(1,(GMW!$NE$2:$NE$60=AB$3)*(GMW!$ND$2:$ND$60=AB$4)*(GMW!$NF$2:$NF$60=AB$1),0),$F165-1966)</f>
        <v>430964</v>
      </c>
      <c r="AC165" s="4" cm="1">
        <f t="array" ref="AC165">INDEX(GMW!$A$2:$NF$60,MATCH(1,(GMW!$NE$2:$NE$60=AC$3)*(GMW!$ND$2:$ND$60=AC$4)*(GMW!$NF$2:$NF$60=AC$1),0),$F165-1966)</f>
        <v>4079.875</v>
      </c>
      <c r="AD165" s="4" cm="1">
        <f t="array" ref="AD165">INDEX(GMW!$A$2:$NF$60,MATCH(1,(GMW!$NE$2:$NE$60=AD$3)*(GMW!$ND$2:$ND$60=AD$4)*(GMW!$NF$2:$NF$60=AD$1),0),$F165-1966)</f>
        <v>124380.6</v>
      </c>
      <c r="AE165" s="4" cm="1">
        <f t="array" ref="AE165">INDEX(GMW!$A$2:$NF$60,MATCH(1,(GMW!$NE$2:$NE$60=AE$3)*(GMW!$ND$2:$ND$60=AE$4)*(GMW!$NF$2:$NF$60=AE$1),0),$F165-1966)</f>
        <v>703.673</v>
      </c>
      <c r="AF165" s="4" cm="1">
        <f t="array" ref="AF165">INDEX(GMW!$A$2:$NF$60,MATCH(1,(GMW!$NE$2:$NE$60=AF$3)*(GMW!$ND$2:$ND$60=AF$4)*(GMW!$NF$2:$NF$60=AF$1),0),$F165-1966)</f>
        <v>523.60500000000002</v>
      </c>
      <c r="AG165" s="4" cm="1">
        <f t="array" ref="AG165">INDEX(GMW!$A$2:$NF$60,MATCH(1,(GMW!$NE$2:$NE$60=AG$3)*(GMW!$ND$2:$ND$60=AG$4)*(GMW!$NF$2:$NF$60=AG$1),0),$F165-1966)</f>
        <v>407.76</v>
      </c>
      <c r="AH165" s="4" cm="1">
        <f t="array" ref="AH165">INDEX(GMW!$A$2:$NF$60,MATCH(1,(GMW!$NE$2:$NE$60=AH$3)*(GMW!$ND$2:$ND$60=AH$4)*(GMW!$NF$2:$NF$60=AH$1),0),$F165-1966)</f>
        <v>457659</v>
      </c>
    </row>
    <row r="166" spans="1:34" x14ac:dyDescent="0.25">
      <c r="B166" s="4">
        <f t="shared" si="52"/>
        <v>2012</v>
      </c>
      <c r="C166" s="4">
        <f t="shared" si="52"/>
        <v>2012</v>
      </c>
      <c r="E166" s="4">
        <f t="shared" ref="E166" si="55">+E162+1</f>
        <v>2012</v>
      </c>
      <c r="F166" s="4">
        <f t="shared" si="38"/>
        <v>2132</v>
      </c>
      <c r="G166" s="4" cm="1">
        <f t="array" ref="G166">INDEX(GMW!$A$2:$NF$60,MATCH(1,(GMW!$NE$2:$NE$60=G$3)*(GMW!$ND$2:$ND$60=G$4)*(GMW!$NF$2:$NF$60=G$1),0),$F166-1966)</f>
        <v>536188</v>
      </c>
      <c r="H166" s="4" cm="1">
        <f t="array" ref="H166">INDEX(GMW!$A$2:$NF$60,MATCH(1,(GMW!$NE$2:$NE$60=H$3)*(GMW!$ND$2:$ND$60=H$4)*(GMW!$NF$2:$NF$60=H$1),0),$F166-1966)</f>
        <v>4372.4750000000004</v>
      </c>
      <c r="I166" s="4" cm="1">
        <f t="array" ref="I166">INDEX(GMW!$A$2:$NF$60,MATCH(1,(GMW!$NE$2:$NE$60=I$3)*(GMW!$ND$2:$ND$60=I$4)*(GMW!$NF$2:$NF$60=I$1),0),$F166-1966)</f>
        <v>128854.3</v>
      </c>
      <c r="J166" s="4" cm="1">
        <f t="array" ref="J166">INDEX(GMW!$A$2:$NF$60,MATCH(1,(GMW!$NE$2:$NE$60=J$3)*(GMW!$ND$2:$ND$60=J$4)*(GMW!$NF$2:$NF$60=J$1),0),$F166-1966)</f>
        <v>803.65</v>
      </c>
      <c r="K166" s="4" cm="1">
        <f t="array" ref="K166">INDEX(GMW!$A$2:$NF$60,MATCH(1,(GMW!$NE$2:$NE$60=K$3)*(GMW!$ND$2:$ND$60=K$4)*(GMW!$NF$2:$NF$60=K$1),0),$F166-1966)</f>
        <v>570.21400000000006</v>
      </c>
      <c r="L166" s="4" cm="1">
        <f t="array" ref="L166">INDEX(GMW!$A$2:$NF$60,MATCH(1,(GMW!$NE$2:$NE$60=L$3)*(GMW!$ND$2:$ND$60=L$4)*(GMW!$NF$2:$NF$60=L$1),0),$F166-1966)</f>
        <v>439.553</v>
      </c>
      <c r="M166" s="4" cm="1">
        <f t="array" ref="M166">INDEX(GMW!$A$2:$NF$60,MATCH(1,(GMW!$NE$2:$NE$60=M$3)*(GMW!$ND$2:$ND$60=M$4)*(GMW!$NF$2:$NF$60=M$1),0),$F166-1966)</f>
        <v>486667.5</v>
      </c>
      <c r="N166" s="4" cm="1">
        <f t="array" ref="N166">INDEX(GMW!$A$2:$NF$60,MATCH(1,(GMW!$NE$2:$NE$60=N$3)*(GMW!$ND$2:$ND$60=N$4)*(GMW!$NF$2:$NF$60=N$1),0),$F166-1966)</f>
        <v>-37969</v>
      </c>
      <c r="O166" s="4" cm="1">
        <f t="array" ref="O166">INDEX(GMW!$A$2:$NF$60,MATCH(1,(GMW!$NE$2:$NE$60=O$3)*(GMW!$ND$2:$ND$60=O$4)*(GMW!$NF$2:$NF$60=O$1),0),$F166-1966)</f>
        <v>-356.17950000000002</v>
      </c>
      <c r="P166" s="4" cm="1">
        <f t="array" ref="P166">INDEX(GMW!$A$2:$NF$60,MATCH(1,(GMW!$NE$2:$NE$60=P$3)*(GMW!$ND$2:$ND$60=P$4)*(GMW!$NF$2:$NF$60=P$1),0),$F166-1966)</f>
        <v>-9606.5</v>
      </c>
      <c r="Q166" s="4" cm="1">
        <f t="array" ref="Q166">INDEX(GMW!$A$2:$NF$60,MATCH(1,(GMW!$NE$2:$NE$60=Q$3)*(GMW!$ND$2:$ND$60=Q$4)*(GMW!$NF$2:$NF$60=Q$1),0),$F166-1966)</f>
        <v>-1.7010000000000001</v>
      </c>
      <c r="R166" s="4" cm="1">
        <f t="array" ref="R166">INDEX(GMW!$A$2:$NF$60,MATCH(1,(GMW!$NE$2:$NE$60=R$3)*(GMW!$ND$2:$ND$60=R$4)*(GMW!$NF$2:$NF$60=R$1),0),$F166-1966)</f>
        <v>-23.297999999999998</v>
      </c>
      <c r="S166" s="4" cm="1">
        <f t="array" ref="S166">INDEX(GMW!$A$2:$NF$60,MATCH(1,(GMW!$NE$2:$NE$60=S$3)*(GMW!$ND$2:$ND$60=S$4)*(GMW!$NF$2:$NF$60=S$1),0),$F166-1966)</f>
        <v>-11.828480000000001</v>
      </c>
      <c r="T166" s="4" cm="1">
        <f t="array" ref="T166">INDEX(GMW!$A$2:$NF$60,MATCH(1,(GMW!$NE$2:$NE$60=T$3)*(GMW!$ND$2:$ND$60=T$4)*(GMW!$NF$2:$NF$60=T$1),0),$F166-1966)</f>
        <v>-5986</v>
      </c>
      <c r="U166" s="4" cm="1">
        <f t="array" ref="U166">INDEX(GMW!$A$2:$NF$60,MATCH(1,(GMW!$NE$2:$NE$60=U$3)*(GMW!$ND$2:$ND$60=U$4)*(GMW!$NF$2:$NF$60=U$1),0),$F166-1966)</f>
        <v>1447791</v>
      </c>
      <c r="V166" s="4" cm="1">
        <f t="array" ref="V166">INDEX(GMW!$A$2:$NF$60,MATCH(1,(GMW!$NE$2:$NE$60=V$3)*(GMW!$ND$2:$ND$60=V$4)*(GMW!$NF$2:$NF$60=V$1),0),$F166-1966)</f>
        <v>21562.81</v>
      </c>
      <c r="W166" s="4" cm="1">
        <f t="array" ref="W166">INDEX(GMW!$A$2:$NF$60,MATCH(1,(GMW!$NE$2:$NE$60=W$3)*(GMW!$ND$2:$ND$60=W$4)*(GMW!$NF$2:$NF$60=W$1),0),$F166-1966)</f>
        <v>1028155</v>
      </c>
      <c r="X166" s="4" cm="1">
        <f t="array" ref="X166">INDEX(GMW!$A$2:$NF$60,MATCH(1,(GMW!$NE$2:$NE$60=X$3)*(GMW!$ND$2:$ND$60=X$4)*(GMW!$NF$2:$NF$60=X$1),0),$F166-1966)</f>
        <v>2068.2890000000002</v>
      </c>
      <c r="Y166" s="4" cm="1">
        <f t="array" ref="Y166">INDEX(GMW!$A$2:$NF$60,MATCH(1,(GMW!$NE$2:$NE$60=Y$3)*(GMW!$ND$2:$ND$60=Y$4)*(GMW!$NF$2:$NF$60=Y$1),0),$F166-1966)</f>
        <v>2434.989</v>
      </c>
      <c r="Z166" s="4" cm="1">
        <f t="array" ref="Z166">INDEX(GMW!$A$2:$NF$60,MATCH(1,(GMW!$NE$2:$NE$60=Z$3)*(GMW!$ND$2:$ND$60=Z$4)*(GMW!$NF$2:$NF$60=Z$1),0),$F166-1966)</f>
        <v>2240.8029999999999</v>
      </c>
      <c r="AA166" s="4" cm="1">
        <f t="array" ref="AA166">INDEX(GMW!$A$2:$NF$60,MATCH(1,(GMW!$NE$2:$NE$60=AA$3)*(GMW!$ND$2:$ND$60=AA$4)*(GMW!$NF$2:$NF$60=AA$1),0),$F166-1966)</f>
        <v>1739555</v>
      </c>
      <c r="AB166" s="4" cm="1">
        <f t="array" ref="AB166">INDEX(GMW!$A$2:$NF$60,MATCH(1,(GMW!$NE$2:$NE$60=AB$3)*(GMW!$ND$2:$ND$60=AB$4)*(GMW!$NF$2:$NF$60=AB$1),0),$F166-1966)</f>
        <v>433272</v>
      </c>
      <c r="AC166" s="4" cm="1">
        <f t="array" ref="AC166">INDEX(GMW!$A$2:$NF$60,MATCH(1,(GMW!$NE$2:$NE$60=AC$3)*(GMW!$ND$2:$ND$60=AC$4)*(GMW!$NF$2:$NF$60=AC$1),0),$F166-1966)</f>
        <v>4105.1000000000004</v>
      </c>
      <c r="AD166" s="4" cm="1">
        <f t="array" ref="AD166">INDEX(GMW!$A$2:$NF$60,MATCH(1,(GMW!$NE$2:$NE$60=AD$3)*(GMW!$ND$2:$ND$60=AD$4)*(GMW!$NF$2:$NF$60=AD$1),0),$F166-1966)</f>
        <v>124314.6</v>
      </c>
      <c r="AE166" s="4" cm="1">
        <f t="array" ref="AE166">INDEX(GMW!$A$2:$NF$60,MATCH(1,(GMW!$NE$2:$NE$60=AE$3)*(GMW!$ND$2:$ND$60=AE$4)*(GMW!$NF$2:$NF$60=AE$1),0),$F166-1966)</f>
        <v>704.44899999999996</v>
      </c>
      <c r="AF166" s="4" cm="1">
        <f t="array" ref="AF166">INDEX(GMW!$A$2:$NF$60,MATCH(1,(GMW!$NE$2:$NE$60=AF$3)*(GMW!$ND$2:$ND$60=AF$4)*(GMW!$NF$2:$NF$60=AF$1),0),$F166-1966)</f>
        <v>523.50099999999998</v>
      </c>
      <c r="AG166" s="4" cm="1">
        <f t="array" ref="AG166">INDEX(GMW!$A$2:$NF$60,MATCH(1,(GMW!$NE$2:$NE$60=AG$3)*(GMW!$ND$2:$ND$60=AG$4)*(GMW!$NF$2:$NF$60=AG$1),0),$F166-1966)</f>
        <v>405.83199999999999</v>
      </c>
      <c r="AH166" s="4" cm="1">
        <f t="array" ref="AH166">INDEX(GMW!$A$2:$NF$60,MATCH(1,(GMW!$NE$2:$NE$60=AH$3)*(GMW!$ND$2:$ND$60=AH$4)*(GMW!$NF$2:$NF$60=AH$1),0),$F166-1966)</f>
        <v>461016</v>
      </c>
    </row>
    <row r="167" spans="1:34" x14ac:dyDescent="0.25">
      <c r="A167" s="4">
        <v>2013</v>
      </c>
      <c r="B167" s="4">
        <f t="shared" si="52"/>
        <v>2013</v>
      </c>
      <c r="C167" s="4">
        <f t="shared" si="52"/>
        <v>2012</v>
      </c>
      <c r="D167" s="4">
        <f t="shared" si="52"/>
        <v>2012</v>
      </c>
      <c r="F167" s="4">
        <f t="shared" si="38"/>
        <v>2133</v>
      </c>
      <c r="G167" s="4" cm="1">
        <f t="array" ref="G167">INDEX(GMW!$A$2:$NF$60,MATCH(1,(GMW!$NE$2:$NE$60=G$3)*(GMW!$ND$2:$ND$60=G$4)*(GMW!$NF$2:$NF$60=G$1),0),$F167-1966)</f>
        <v>537974</v>
      </c>
      <c r="H167" s="4" cm="1">
        <f t="array" ref="H167">INDEX(GMW!$A$2:$NF$60,MATCH(1,(GMW!$NE$2:$NE$60=H$3)*(GMW!$ND$2:$ND$60=H$4)*(GMW!$NF$2:$NF$60=H$1),0),$F167-1966)</f>
        <v>4415.6000000000004</v>
      </c>
      <c r="I167" s="4" cm="1">
        <f t="array" ref="I167">INDEX(GMW!$A$2:$NF$60,MATCH(1,(GMW!$NE$2:$NE$60=I$3)*(GMW!$ND$2:$ND$60=I$4)*(GMW!$NF$2:$NF$60=I$1),0),$F167-1966)</f>
        <v>130664.3</v>
      </c>
      <c r="J167" s="4" cm="1">
        <f t="array" ref="J167">INDEX(GMW!$A$2:$NF$60,MATCH(1,(GMW!$NE$2:$NE$60=J$3)*(GMW!$ND$2:$ND$60=J$4)*(GMW!$NF$2:$NF$60=J$1),0),$F167-1966)</f>
        <v>799.21</v>
      </c>
      <c r="K167" s="4" cm="1">
        <f t="array" ref="K167">INDEX(GMW!$A$2:$NF$60,MATCH(1,(GMW!$NE$2:$NE$60=K$3)*(GMW!$ND$2:$ND$60=K$4)*(GMW!$NF$2:$NF$60=K$1),0),$F167-1966)</f>
        <v>571.28200000000004</v>
      </c>
      <c r="L167" s="4" cm="1">
        <f t="array" ref="L167">INDEX(GMW!$A$2:$NF$60,MATCH(1,(GMW!$NE$2:$NE$60=L$3)*(GMW!$ND$2:$ND$60=L$4)*(GMW!$NF$2:$NF$60=L$1),0),$F167-1966)</f>
        <v>435.57799999999997</v>
      </c>
      <c r="M167" s="4" cm="1">
        <f t="array" ref="M167">INDEX(GMW!$A$2:$NF$60,MATCH(1,(GMW!$NE$2:$NE$60=M$3)*(GMW!$ND$2:$ND$60=M$4)*(GMW!$NF$2:$NF$60=M$1),0),$F167-1966)</f>
        <v>491023.8</v>
      </c>
      <c r="N167" s="4" cm="1">
        <f t="array" ref="N167">INDEX(GMW!$A$2:$NF$60,MATCH(1,(GMW!$NE$2:$NE$60=N$3)*(GMW!$ND$2:$ND$60=N$4)*(GMW!$NF$2:$NF$60=N$1),0),$F167-1966)</f>
        <v>-17229</v>
      </c>
      <c r="O167" s="4" cm="1">
        <f t="array" ref="O167">INDEX(GMW!$A$2:$NF$60,MATCH(1,(GMW!$NE$2:$NE$60=O$3)*(GMW!$ND$2:$ND$60=O$4)*(GMW!$NF$2:$NF$60=O$1),0),$F167-1966)</f>
        <v>-282.64550000000003</v>
      </c>
      <c r="P167" s="4" cm="1">
        <f t="array" ref="P167">INDEX(GMW!$A$2:$NF$60,MATCH(1,(GMW!$NE$2:$NE$60=P$3)*(GMW!$ND$2:$ND$60=P$4)*(GMW!$NF$2:$NF$60=P$1),0),$F167-1966)</f>
        <v>-9642.7510000000002</v>
      </c>
      <c r="Q167" s="4" cm="1">
        <f t="array" ref="Q167">INDEX(GMW!$A$2:$NF$60,MATCH(1,(GMW!$NE$2:$NE$60=Q$3)*(GMW!$ND$2:$ND$60=Q$4)*(GMW!$NF$2:$NF$60=Q$1),0),$F167-1966)</f>
        <v>-4.4009999999999998</v>
      </c>
      <c r="R167" s="4" cm="1">
        <f t="array" ref="R167">INDEX(GMW!$A$2:$NF$60,MATCH(1,(GMW!$NE$2:$NE$60=R$3)*(GMW!$ND$2:$ND$60=R$4)*(GMW!$NF$2:$NF$60=R$1),0),$F167-1966)</f>
        <v>-28.271000000000001</v>
      </c>
      <c r="S167" s="4" cm="1">
        <f t="array" ref="S167">INDEX(GMW!$A$2:$NF$60,MATCH(1,(GMW!$NE$2:$NE$60=S$3)*(GMW!$ND$2:$ND$60=S$4)*(GMW!$NF$2:$NF$60=S$1),0),$F167-1966)</f>
        <v>-11.81756</v>
      </c>
      <c r="T167" s="4" cm="1">
        <f t="array" ref="T167">INDEX(GMW!$A$2:$NF$60,MATCH(1,(GMW!$NE$2:$NE$60=T$3)*(GMW!$ND$2:$ND$60=T$4)*(GMW!$NF$2:$NF$60=T$1),0),$F167-1966)</f>
        <v>-8413</v>
      </c>
      <c r="U167" s="4" cm="1">
        <f t="array" ref="U167">INDEX(GMW!$A$2:$NF$60,MATCH(1,(GMW!$NE$2:$NE$60=U$3)*(GMW!$ND$2:$ND$60=U$4)*(GMW!$NF$2:$NF$60=U$1),0),$F167-1966)</f>
        <v>1448047</v>
      </c>
      <c r="V167" s="4" cm="1">
        <f t="array" ref="V167">INDEX(GMW!$A$2:$NF$60,MATCH(1,(GMW!$NE$2:$NE$60=V$3)*(GMW!$ND$2:$ND$60=V$4)*(GMW!$NF$2:$NF$60=V$1),0),$F167-1966)</f>
        <v>22023.71</v>
      </c>
      <c r="W167" s="4" cm="1">
        <f t="array" ref="W167">INDEX(GMW!$A$2:$NF$60,MATCH(1,(GMW!$NE$2:$NE$60=W$3)*(GMW!$ND$2:$ND$60=W$4)*(GMW!$NF$2:$NF$60=W$1),0),$F167-1966)</f>
        <v>1036267</v>
      </c>
      <c r="X167" s="4" cm="1">
        <f t="array" ref="X167">INDEX(GMW!$A$2:$NF$60,MATCH(1,(GMW!$NE$2:$NE$60=X$3)*(GMW!$ND$2:$ND$60=X$4)*(GMW!$NF$2:$NF$60=X$1),0),$F167-1966)</f>
        <v>2062.0529999999999</v>
      </c>
      <c r="Y167" s="4" cm="1">
        <f t="array" ref="Y167">INDEX(GMW!$A$2:$NF$60,MATCH(1,(GMW!$NE$2:$NE$60=Y$3)*(GMW!$ND$2:$ND$60=Y$4)*(GMW!$NF$2:$NF$60=Y$1),0),$F167-1966)</f>
        <v>2486.2950000000001</v>
      </c>
      <c r="Z167" s="4" cm="1">
        <f t="array" ref="Z167">INDEX(GMW!$A$2:$NF$60,MATCH(1,(GMW!$NE$2:$NE$60=Z$3)*(GMW!$ND$2:$ND$60=Z$4)*(GMW!$NF$2:$NF$60=Z$1),0),$F167-1966)</f>
        <v>2266.5729999999999</v>
      </c>
      <c r="AA167" s="4" cm="1">
        <f t="array" ref="AA167">INDEX(GMW!$A$2:$NF$60,MATCH(1,(GMW!$NE$2:$NE$60=AA$3)*(GMW!$ND$2:$ND$60=AA$4)*(GMW!$NF$2:$NF$60=AA$1),0),$F167-1966)</f>
        <v>1774302</v>
      </c>
      <c r="AB167" s="4" cm="1">
        <f t="array" ref="AB167">INDEX(GMW!$A$2:$NF$60,MATCH(1,(GMW!$NE$2:$NE$60=AB$3)*(GMW!$ND$2:$ND$60=AB$4)*(GMW!$NF$2:$NF$60=AB$1),0),$F167-1966)</f>
        <v>438283</v>
      </c>
      <c r="AC167" s="4" cm="1">
        <f t="array" ref="AC167">INDEX(GMW!$A$2:$NF$60,MATCH(1,(GMW!$NE$2:$NE$60=AC$3)*(GMW!$ND$2:$ND$60=AC$4)*(GMW!$NF$2:$NF$60=AC$1),0),$F167-1966)</f>
        <v>4162.05</v>
      </c>
      <c r="AD167" s="4" cm="1">
        <f t="array" ref="AD167">INDEX(GMW!$A$2:$NF$60,MATCH(1,(GMW!$NE$2:$NE$60=AD$3)*(GMW!$ND$2:$ND$60=AD$4)*(GMW!$NF$2:$NF$60=AD$1),0),$F167-1966)</f>
        <v>125742.2</v>
      </c>
      <c r="AE167" s="4" cm="1">
        <f t="array" ref="AE167">INDEX(GMW!$A$2:$NF$60,MATCH(1,(GMW!$NE$2:$NE$60=AE$3)*(GMW!$ND$2:$ND$60=AE$4)*(GMW!$NF$2:$NF$60=AE$1),0),$F167-1966)</f>
        <v>706.27300000000002</v>
      </c>
      <c r="AF167" s="4" cm="1">
        <f t="array" ref="AF167">INDEX(GMW!$A$2:$NF$60,MATCH(1,(GMW!$NE$2:$NE$60=AF$3)*(GMW!$ND$2:$ND$60=AF$4)*(GMW!$NF$2:$NF$60=AF$1),0),$F167-1966)</f>
        <v>527.08699999999999</v>
      </c>
      <c r="AG167" s="4" cm="1">
        <f t="array" ref="AG167">INDEX(GMW!$A$2:$NF$60,MATCH(1,(GMW!$NE$2:$NE$60=AG$3)*(GMW!$ND$2:$ND$60=AG$4)*(GMW!$NF$2:$NF$60=AG$1),0),$F167-1966)</f>
        <v>401.97</v>
      </c>
      <c r="AH167" s="4" cm="1">
        <f t="array" ref="AH167">INDEX(GMW!$A$2:$NF$60,MATCH(1,(GMW!$NE$2:$NE$60=AH$3)*(GMW!$ND$2:$ND$60=AH$4)*(GMW!$NF$2:$NF$60=AH$1),0),$F167-1966)</f>
        <v>469211</v>
      </c>
    </row>
    <row r="168" spans="1:34" x14ac:dyDescent="0.25">
      <c r="B168" s="4">
        <f t="shared" si="52"/>
        <v>2013</v>
      </c>
      <c r="C168" s="4">
        <f t="shared" si="52"/>
        <v>2013</v>
      </c>
      <c r="F168" s="4">
        <f t="shared" si="38"/>
        <v>2134</v>
      </c>
      <c r="G168" s="4" cm="1">
        <f t="array" ref="G168">INDEX(GMW!$A$2:$NF$60,MATCH(1,(GMW!$NE$2:$NE$60=G$3)*(GMW!$ND$2:$ND$60=G$4)*(GMW!$NF$2:$NF$60=G$1),0),$F168-1966)</f>
        <v>541586</v>
      </c>
      <c r="H168" s="4" cm="1">
        <f t="array" ref="H168">INDEX(GMW!$A$2:$NF$60,MATCH(1,(GMW!$NE$2:$NE$60=H$3)*(GMW!$ND$2:$ND$60=H$4)*(GMW!$NF$2:$NF$60=H$1),0),$F168-1966)</f>
        <v>4427.4250000000002</v>
      </c>
      <c r="I168" s="4" cm="1">
        <f t="array" ref="I168">INDEX(GMW!$A$2:$NF$60,MATCH(1,(GMW!$NE$2:$NE$60=I$3)*(GMW!$ND$2:$ND$60=I$4)*(GMW!$NF$2:$NF$60=I$1),0),$F168-1966)</f>
        <v>131845.79999999999</v>
      </c>
      <c r="J168" s="4" cm="1">
        <f t="array" ref="J168">INDEX(GMW!$A$2:$NF$60,MATCH(1,(GMW!$NE$2:$NE$60=J$3)*(GMW!$ND$2:$ND$60=J$4)*(GMW!$NF$2:$NF$60=J$1),0),$F168-1966)</f>
        <v>808.53</v>
      </c>
      <c r="K168" s="4" cm="1">
        <f t="array" ref="K168">INDEX(GMW!$A$2:$NF$60,MATCH(1,(GMW!$NE$2:$NE$60=K$3)*(GMW!$ND$2:$ND$60=K$4)*(GMW!$NF$2:$NF$60=K$1),0),$F168-1966)</f>
        <v>576.30100000000004</v>
      </c>
      <c r="L168" s="4" cm="1">
        <f t="array" ref="L168">INDEX(GMW!$A$2:$NF$60,MATCH(1,(GMW!$NE$2:$NE$60=L$3)*(GMW!$ND$2:$ND$60=L$4)*(GMW!$NF$2:$NF$60=L$1),0),$F168-1966)</f>
        <v>435.55500000000001</v>
      </c>
      <c r="M168" s="4" cm="1">
        <f t="array" ref="M168">INDEX(GMW!$A$2:$NF$60,MATCH(1,(GMW!$NE$2:$NE$60=M$3)*(GMW!$ND$2:$ND$60=M$4)*(GMW!$NF$2:$NF$60=M$1),0),$F168-1966)</f>
        <v>493851.5</v>
      </c>
      <c r="N168" s="4" cm="1">
        <f t="array" ref="N168">INDEX(GMW!$A$2:$NF$60,MATCH(1,(GMW!$NE$2:$NE$60=N$3)*(GMW!$ND$2:$ND$60=N$4)*(GMW!$NF$2:$NF$60=N$1),0),$F168-1966)</f>
        <v>-29110</v>
      </c>
      <c r="O168" s="4" cm="1">
        <f t="array" ref="O168">INDEX(GMW!$A$2:$NF$60,MATCH(1,(GMW!$NE$2:$NE$60=O$3)*(GMW!$ND$2:$ND$60=O$4)*(GMW!$NF$2:$NF$60=O$1),0),$F168-1966)</f>
        <v>-216.62119999999999</v>
      </c>
      <c r="P168" s="4" cm="1">
        <f t="array" ref="P168">INDEX(GMW!$A$2:$NF$60,MATCH(1,(GMW!$NE$2:$NE$60=P$3)*(GMW!$ND$2:$ND$60=P$4)*(GMW!$NF$2:$NF$60=P$1),0),$F168-1966)</f>
        <v>-9813.7510000000002</v>
      </c>
      <c r="Q168" s="4" cm="1">
        <f t="array" ref="Q168">INDEX(GMW!$A$2:$NF$60,MATCH(1,(GMW!$NE$2:$NE$60=Q$3)*(GMW!$ND$2:$ND$60=Q$4)*(GMW!$NF$2:$NF$60=Q$1),0),$F168-1966)</f>
        <v>3.7530000000000001</v>
      </c>
      <c r="R168" s="4" cm="1">
        <f t="array" ref="R168">INDEX(GMW!$A$2:$NF$60,MATCH(1,(GMW!$NE$2:$NE$60=R$3)*(GMW!$ND$2:$ND$60=R$4)*(GMW!$NF$2:$NF$60=R$1),0),$F168-1966)</f>
        <v>-26.565999999999999</v>
      </c>
      <c r="S168" s="4" cm="1">
        <f t="array" ref="S168">INDEX(GMW!$A$2:$NF$60,MATCH(1,(GMW!$NE$2:$NE$60=S$3)*(GMW!$ND$2:$ND$60=S$4)*(GMW!$NF$2:$NF$60=S$1),0),$F168-1966)</f>
        <v>-11.64963</v>
      </c>
      <c r="T168" s="4" cm="1">
        <f t="array" ref="T168">INDEX(GMW!$A$2:$NF$60,MATCH(1,(GMW!$NE$2:$NE$60=T$3)*(GMW!$ND$2:$ND$60=T$4)*(GMW!$NF$2:$NF$60=T$1),0),$F168-1966)</f>
        <v>-4326</v>
      </c>
      <c r="U168" s="4" cm="1">
        <f t="array" ref="U168">INDEX(GMW!$A$2:$NF$60,MATCH(1,(GMW!$NE$2:$NE$60=U$3)*(GMW!$ND$2:$ND$60=U$4)*(GMW!$NF$2:$NF$60=U$1),0),$F168-1966)</f>
        <v>1482330</v>
      </c>
      <c r="V168" s="4" cm="1">
        <f t="array" ref="V168">INDEX(GMW!$A$2:$NF$60,MATCH(1,(GMW!$NE$2:$NE$60=V$3)*(GMW!$ND$2:$ND$60=V$4)*(GMW!$NF$2:$NF$60=V$1),0),$F168-1966)</f>
        <v>22268.68</v>
      </c>
      <c r="W168" s="4" cm="1">
        <f t="array" ref="W168">INDEX(GMW!$A$2:$NF$60,MATCH(1,(GMW!$NE$2:$NE$60=W$3)*(GMW!$ND$2:$ND$60=W$4)*(GMW!$NF$2:$NF$60=W$1),0),$F168-1966)</f>
        <v>1044380</v>
      </c>
      <c r="X168" s="4" cm="1">
        <f t="array" ref="X168">INDEX(GMW!$A$2:$NF$60,MATCH(1,(GMW!$NE$2:$NE$60=X$3)*(GMW!$ND$2:$ND$60=X$4)*(GMW!$NF$2:$NF$60=X$1),0),$F168-1966)</f>
        <v>2055.8159999999998</v>
      </c>
      <c r="Y168" s="4" cm="1">
        <f t="array" ref="Y168">INDEX(GMW!$A$2:$NF$60,MATCH(1,(GMW!$NE$2:$NE$60=Y$3)*(GMW!$ND$2:$ND$60=Y$4)*(GMW!$NF$2:$NF$60=Y$1),0),$F168-1966)</f>
        <v>2501.8609999999999</v>
      </c>
      <c r="Z168" s="4" cm="1">
        <f t="array" ref="Z168">INDEX(GMW!$A$2:$NF$60,MATCH(1,(GMW!$NE$2:$NE$60=Z$3)*(GMW!$ND$2:$ND$60=Z$4)*(GMW!$NF$2:$NF$60=Z$1),0),$F168-1966)</f>
        <v>2292.3429999999998</v>
      </c>
      <c r="AA168" s="4" cm="1">
        <f t="array" ref="AA168">INDEX(GMW!$A$2:$NF$60,MATCH(1,(GMW!$NE$2:$NE$60=AA$3)*(GMW!$ND$2:$ND$60=AA$4)*(GMW!$NF$2:$NF$60=AA$1),0),$F168-1966)</f>
        <v>1750694</v>
      </c>
      <c r="AB168" s="4" cm="1">
        <f t="array" ref="AB168">INDEX(GMW!$A$2:$NF$60,MATCH(1,(GMW!$NE$2:$NE$60=AB$3)*(GMW!$ND$2:$ND$60=AB$4)*(GMW!$NF$2:$NF$60=AB$1),0),$F168-1966)</f>
        <v>442095</v>
      </c>
      <c r="AC168" s="4" cm="1">
        <f t="array" ref="AC168">INDEX(GMW!$A$2:$NF$60,MATCH(1,(GMW!$NE$2:$NE$60=AC$3)*(GMW!$ND$2:$ND$60=AC$4)*(GMW!$NF$2:$NF$60=AC$1),0),$F168-1966)</f>
        <v>4182.1750000000002</v>
      </c>
      <c r="AD168" s="4" cm="1">
        <f t="array" ref="AD168">INDEX(GMW!$A$2:$NF$60,MATCH(1,(GMW!$NE$2:$NE$60=AD$3)*(GMW!$ND$2:$ND$60=AD$4)*(GMW!$NF$2:$NF$60=AD$1),0),$F168-1966)</f>
        <v>126888.7</v>
      </c>
      <c r="AE168" s="4" cm="1">
        <f t="array" ref="AE168">INDEX(GMW!$A$2:$NF$60,MATCH(1,(GMW!$NE$2:$NE$60=AE$3)*(GMW!$ND$2:$ND$60=AE$4)*(GMW!$NF$2:$NF$60=AE$1),0),$F168-1966)</f>
        <v>715.57</v>
      </c>
      <c r="AF168" s="4" cm="1">
        <f t="array" ref="AF168">INDEX(GMW!$A$2:$NF$60,MATCH(1,(GMW!$NE$2:$NE$60=AF$3)*(GMW!$ND$2:$ND$60=AF$4)*(GMW!$NF$2:$NF$60=AF$1),0),$F168-1966)</f>
        <v>532.50599999999997</v>
      </c>
      <c r="AG168" s="4" cm="1">
        <f t="array" ref="AG168">INDEX(GMW!$A$2:$NF$60,MATCH(1,(GMW!$NE$2:$NE$60=AG$3)*(GMW!$ND$2:$ND$60=AG$4)*(GMW!$NF$2:$NF$60=AG$1),0),$F168-1966)</f>
        <v>405.17099999999999</v>
      </c>
      <c r="AH168" s="4" cm="1">
        <f t="array" ref="AH168">INDEX(GMW!$A$2:$NF$60,MATCH(1,(GMW!$NE$2:$NE$60=AH$3)*(GMW!$ND$2:$ND$60=AH$4)*(GMW!$NF$2:$NF$60=AH$1),0),$F168-1966)</f>
        <v>471648</v>
      </c>
    </row>
    <row r="169" spans="1:34" x14ac:dyDescent="0.25">
      <c r="B169" s="4">
        <f t="shared" si="52"/>
        <v>2013</v>
      </c>
      <c r="C169" s="4">
        <f t="shared" si="52"/>
        <v>2013</v>
      </c>
      <c r="F169" s="4">
        <f t="shared" si="38"/>
        <v>2135</v>
      </c>
      <c r="G169" s="4" cm="1">
        <f t="array" ref="G169">INDEX(GMW!$A$2:$NF$60,MATCH(1,(GMW!$NE$2:$NE$60=G$3)*(GMW!$ND$2:$ND$60=G$4)*(GMW!$NF$2:$NF$60=G$1),0),$F169-1966)</f>
        <v>546064</v>
      </c>
      <c r="H169" s="4" cm="1">
        <f t="array" ref="H169">INDEX(GMW!$A$2:$NF$60,MATCH(1,(GMW!$NE$2:$NE$60=H$3)*(GMW!$ND$2:$ND$60=H$4)*(GMW!$NF$2:$NF$60=H$1),0),$F169-1966)</f>
        <v>4465.125</v>
      </c>
      <c r="I169" s="4" cm="1">
        <f t="array" ref="I169">INDEX(GMW!$A$2:$NF$60,MATCH(1,(GMW!$NE$2:$NE$60=I$3)*(GMW!$ND$2:$ND$60=I$4)*(GMW!$NF$2:$NF$60=I$1),0),$F169-1966)</f>
        <v>133082.1</v>
      </c>
      <c r="J169" s="4" cm="1">
        <f t="array" ref="J169">INDEX(GMW!$A$2:$NF$60,MATCH(1,(GMW!$NE$2:$NE$60=J$3)*(GMW!$ND$2:$ND$60=J$4)*(GMW!$NF$2:$NF$60=J$1),0),$F169-1966)</f>
        <v>812.67</v>
      </c>
      <c r="K169" s="4" cm="1">
        <f t="array" ref="K169">INDEX(GMW!$A$2:$NF$60,MATCH(1,(GMW!$NE$2:$NE$60=K$3)*(GMW!$ND$2:$ND$60=K$4)*(GMW!$NF$2:$NF$60=K$1),0),$F169-1966)</f>
        <v>574.92999999999995</v>
      </c>
      <c r="L169" s="4" cm="1">
        <f t="array" ref="L169">INDEX(GMW!$A$2:$NF$60,MATCH(1,(GMW!$NE$2:$NE$60=L$3)*(GMW!$ND$2:$ND$60=L$4)*(GMW!$NF$2:$NF$60=L$1),0),$F169-1966)</f>
        <v>436.971</v>
      </c>
      <c r="M169" s="4" cm="1">
        <f t="array" ref="M169">INDEX(GMW!$A$2:$NF$60,MATCH(1,(GMW!$NE$2:$NE$60=M$3)*(GMW!$ND$2:$ND$60=M$4)*(GMW!$NF$2:$NF$60=M$1),0),$F169-1966)</f>
        <v>497912.5</v>
      </c>
      <c r="N169" s="4" cm="1">
        <f t="array" ref="N169">INDEX(GMW!$A$2:$NF$60,MATCH(1,(GMW!$NE$2:$NE$60=N$3)*(GMW!$ND$2:$ND$60=N$4)*(GMW!$NF$2:$NF$60=N$1),0),$F169-1966)</f>
        <v>-24341</v>
      </c>
      <c r="O169" s="4" cm="1">
        <f t="array" ref="O169">INDEX(GMW!$A$2:$NF$60,MATCH(1,(GMW!$NE$2:$NE$60=O$3)*(GMW!$ND$2:$ND$60=O$4)*(GMW!$NF$2:$NF$60=O$1),0),$F169-1966)</f>
        <v>-266.7097</v>
      </c>
      <c r="P169" s="4" cm="1">
        <f t="array" ref="P169">INDEX(GMW!$A$2:$NF$60,MATCH(1,(GMW!$NE$2:$NE$60=P$3)*(GMW!$ND$2:$ND$60=P$4)*(GMW!$NF$2:$NF$60=P$1),0),$F169-1966)</f>
        <v>-9863</v>
      </c>
      <c r="Q169" s="4" cm="1">
        <f t="array" ref="Q169">INDEX(GMW!$A$2:$NF$60,MATCH(1,(GMW!$NE$2:$NE$60=Q$3)*(GMW!$ND$2:$ND$60=Q$4)*(GMW!$NF$2:$NF$60=Q$1),0),$F169-1966)</f>
        <v>1.474</v>
      </c>
      <c r="R169" s="4" cm="1">
        <f t="array" ref="R169">INDEX(GMW!$A$2:$NF$60,MATCH(1,(GMW!$NE$2:$NE$60=R$3)*(GMW!$ND$2:$ND$60=R$4)*(GMW!$NF$2:$NF$60=R$1),0),$F169-1966)</f>
        <v>-24.904</v>
      </c>
      <c r="S169" s="4" cm="1">
        <f t="array" ref="S169">INDEX(GMW!$A$2:$NF$60,MATCH(1,(GMW!$NE$2:$NE$60=S$3)*(GMW!$ND$2:$ND$60=S$4)*(GMW!$NF$2:$NF$60=S$1),0),$F169-1966)</f>
        <v>-11.56704</v>
      </c>
      <c r="T169" s="4" cm="1">
        <f t="array" ref="T169">INDEX(GMW!$A$2:$NF$60,MATCH(1,(GMW!$NE$2:$NE$60=T$3)*(GMW!$ND$2:$ND$60=T$4)*(GMW!$NF$2:$NF$60=T$1),0),$F169-1966)</f>
        <v>-1678</v>
      </c>
      <c r="U169" s="4" cm="1">
        <f t="array" ref="U169">INDEX(GMW!$A$2:$NF$60,MATCH(1,(GMW!$NE$2:$NE$60=U$3)*(GMW!$ND$2:$ND$60=U$4)*(GMW!$NF$2:$NF$60=U$1),0),$F169-1966)</f>
        <v>1491370</v>
      </c>
      <c r="V169" s="4" cm="1">
        <f t="array" ref="V169">INDEX(GMW!$A$2:$NF$60,MATCH(1,(GMW!$NE$2:$NE$60=V$3)*(GMW!$ND$2:$ND$60=V$4)*(GMW!$NF$2:$NF$60=V$1),0),$F169-1966)</f>
        <v>22588.720000000001</v>
      </c>
      <c r="W169" s="4" cm="1">
        <f t="array" ref="W169">INDEX(GMW!$A$2:$NF$60,MATCH(1,(GMW!$NE$2:$NE$60=W$3)*(GMW!$ND$2:$ND$60=W$4)*(GMW!$NF$2:$NF$60=W$1),0),$F169-1966)</f>
        <v>1052493</v>
      </c>
      <c r="X169" s="4" cm="1">
        <f t="array" ref="X169">INDEX(GMW!$A$2:$NF$60,MATCH(1,(GMW!$NE$2:$NE$60=X$3)*(GMW!$ND$2:$ND$60=X$4)*(GMW!$NF$2:$NF$60=X$1),0),$F169-1966)</f>
        <v>2049.58</v>
      </c>
      <c r="Y169" s="4" cm="1">
        <f t="array" ref="Y169">INDEX(GMW!$A$2:$NF$60,MATCH(1,(GMW!$NE$2:$NE$60=Y$3)*(GMW!$ND$2:$ND$60=Y$4)*(GMW!$NF$2:$NF$60=Y$1),0),$F169-1966)</f>
        <v>2522.5889999999999</v>
      </c>
      <c r="Z169" s="4" cm="1">
        <f t="array" ref="Z169">INDEX(GMW!$A$2:$NF$60,MATCH(1,(GMW!$NE$2:$NE$60=Z$3)*(GMW!$ND$2:$ND$60=Z$4)*(GMW!$NF$2:$NF$60=Z$1),0),$F169-1966)</f>
        <v>2318.1129999999998</v>
      </c>
      <c r="AA169" s="4" cm="1">
        <f t="array" ref="AA169">INDEX(GMW!$A$2:$NF$60,MATCH(1,(GMW!$NE$2:$NE$60=AA$3)*(GMW!$ND$2:$ND$60=AA$4)*(GMW!$NF$2:$NF$60=AA$1),0),$F169-1966)</f>
        <v>1747134</v>
      </c>
      <c r="AB169" s="4" cm="1">
        <f t="array" ref="AB169">INDEX(GMW!$A$2:$NF$60,MATCH(1,(GMW!$NE$2:$NE$60=AB$3)*(GMW!$ND$2:$ND$60=AB$4)*(GMW!$NF$2:$NF$60=AB$1),0),$F169-1966)</f>
        <v>448800</v>
      </c>
      <c r="AC169" s="4" cm="1">
        <f t="array" ref="AC169">INDEX(GMW!$A$2:$NF$60,MATCH(1,(GMW!$NE$2:$NE$60=AC$3)*(GMW!$ND$2:$ND$60=AC$4)*(GMW!$NF$2:$NF$60=AC$1),0),$F169-1966)</f>
        <v>4238.45</v>
      </c>
      <c r="AD169" s="4" cm="1">
        <f t="array" ref="AD169">INDEX(GMW!$A$2:$NF$60,MATCH(1,(GMW!$NE$2:$NE$60=AD$3)*(GMW!$ND$2:$ND$60=AD$4)*(GMW!$NF$2:$NF$60=AD$1),0),$F169-1966)</f>
        <v>128215.3</v>
      </c>
      <c r="AE169" s="4" cm="1">
        <f t="array" ref="AE169">INDEX(GMW!$A$2:$NF$60,MATCH(1,(GMW!$NE$2:$NE$60=AE$3)*(GMW!$ND$2:$ND$60=AE$4)*(GMW!$NF$2:$NF$60=AE$1),0),$F169-1966)</f>
        <v>722.70899999999995</v>
      </c>
      <c r="AF169" s="4" cm="1">
        <f t="array" ref="AF169">INDEX(GMW!$A$2:$NF$60,MATCH(1,(GMW!$NE$2:$NE$60=AF$3)*(GMW!$ND$2:$ND$60=AF$4)*(GMW!$NF$2:$NF$60=AF$1),0),$F169-1966)</f>
        <v>530.59299999999996</v>
      </c>
      <c r="AG169" s="4" cm="1">
        <f t="array" ref="AG169">INDEX(GMW!$A$2:$NF$60,MATCH(1,(GMW!$NE$2:$NE$60=AG$3)*(GMW!$ND$2:$ND$60=AG$4)*(GMW!$NF$2:$NF$60=AG$1),0),$F169-1966)</f>
        <v>407.15</v>
      </c>
      <c r="AH169" s="4" cm="1">
        <f t="array" ref="AH169">INDEX(GMW!$A$2:$NF$60,MATCH(1,(GMW!$NE$2:$NE$60=AH$3)*(GMW!$ND$2:$ND$60=AH$4)*(GMW!$NF$2:$NF$60=AH$1),0),$F169-1966)</f>
        <v>478107</v>
      </c>
    </row>
    <row r="170" spans="1:34" x14ac:dyDescent="0.25">
      <c r="B170" s="4">
        <f t="shared" si="52"/>
        <v>2013</v>
      </c>
      <c r="C170" s="4">
        <f t="shared" si="52"/>
        <v>2013</v>
      </c>
      <c r="E170" s="4">
        <f t="shared" ref="E170" si="56">+E166+1</f>
        <v>2013</v>
      </c>
      <c r="F170" s="4">
        <f t="shared" si="38"/>
        <v>2136</v>
      </c>
      <c r="G170" s="4" cm="1">
        <f t="array" ref="G170">INDEX(GMW!$A$2:$NF$60,MATCH(1,(GMW!$NE$2:$NE$60=G$3)*(GMW!$ND$2:$ND$60=G$4)*(GMW!$NF$2:$NF$60=G$1),0),$F170-1966)</f>
        <v>549709</v>
      </c>
      <c r="H170" s="4" cm="1">
        <f t="array" ref="H170">INDEX(GMW!$A$2:$NF$60,MATCH(1,(GMW!$NE$2:$NE$60=H$3)*(GMW!$ND$2:$ND$60=H$4)*(GMW!$NF$2:$NF$60=H$1),0),$F170-1966)</f>
        <v>4504.0249999999996</v>
      </c>
      <c r="I170" s="4" cm="1">
        <f t="array" ref="I170">INDEX(GMW!$A$2:$NF$60,MATCH(1,(GMW!$NE$2:$NE$60=I$3)*(GMW!$ND$2:$ND$60=I$4)*(GMW!$NF$2:$NF$60=I$1),0),$F170-1966)</f>
        <v>132920.20000000001</v>
      </c>
      <c r="J170" s="4" cm="1">
        <f t="array" ref="J170">INDEX(GMW!$A$2:$NF$60,MATCH(1,(GMW!$NE$2:$NE$60=J$3)*(GMW!$ND$2:$ND$60=J$4)*(GMW!$NF$2:$NF$60=J$1),0),$F170-1966)</f>
        <v>813.87</v>
      </c>
      <c r="K170" s="4" cm="1">
        <f t="array" ref="K170">INDEX(GMW!$A$2:$NF$60,MATCH(1,(GMW!$NE$2:$NE$60=K$3)*(GMW!$ND$2:$ND$60=K$4)*(GMW!$NF$2:$NF$60=K$1),0),$F170-1966)</f>
        <v>578.43799999999999</v>
      </c>
      <c r="L170" s="4" cm="1">
        <f t="array" ref="L170">INDEX(GMW!$A$2:$NF$60,MATCH(1,(GMW!$NE$2:$NE$60=L$3)*(GMW!$ND$2:$ND$60=L$4)*(GMW!$NF$2:$NF$60=L$1),0),$F170-1966)</f>
        <v>436.608</v>
      </c>
      <c r="M170" s="4" cm="1">
        <f t="array" ref="M170">INDEX(GMW!$A$2:$NF$60,MATCH(1,(GMW!$NE$2:$NE$60=M$3)*(GMW!$ND$2:$ND$60=M$4)*(GMW!$NF$2:$NF$60=M$1),0),$F170-1966)</f>
        <v>503123.5</v>
      </c>
      <c r="N170" s="4" cm="1">
        <f t="array" ref="N170">INDEX(GMW!$A$2:$NF$60,MATCH(1,(GMW!$NE$2:$NE$60=N$3)*(GMW!$ND$2:$ND$60=N$4)*(GMW!$NF$2:$NF$60=N$1),0),$F170-1966)</f>
        <v>-33854</v>
      </c>
      <c r="O170" s="4" cm="1">
        <f t="array" ref="O170">INDEX(GMW!$A$2:$NF$60,MATCH(1,(GMW!$NE$2:$NE$60=O$3)*(GMW!$ND$2:$ND$60=O$4)*(GMW!$NF$2:$NF$60=O$1),0),$F170-1966)</f>
        <v>-221.5188</v>
      </c>
      <c r="P170" s="4" cm="1">
        <f t="array" ref="P170">INDEX(GMW!$A$2:$NF$60,MATCH(1,(GMW!$NE$2:$NE$60=P$3)*(GMW!$ND$2:$ND$60=P$4)*(GMW!$NF$2:$NF$60=P$1),0),$F170-1966)</f>
        <v>-9400.0010000000002</v>
      </c>
      <c r="Q170" s="4" cm="1">
        <f t="array" ref="Q170">INDEX(GMW!$A$2:$NF$60,MATCH(1,(GMW!$NE$2:$NE$60=Q$3)*(GMW!$ND$2:$ND$60=Q$4)*(GMW!$NF$2:$NF$60=Q$1),0),$F170-1966)</f>
        <v>2.6859999999999999</v>
      </c>
      <c r="R170" s="4" cm="1">
        <f t="array" ref="R170">INDEX(GMW!$A$2:$NF$60,MATCH(1,(GMW!$NE$2:$NE$60=R$3)*(GMW!$ND$2:$ND$60=R$4)*(GMW!$NF$2:$NF$60=R$1),0),$F170-1966)</f>
        <v>-25.155000000000001</v>
      </c>
      <c r="S170" s="4" cm="1">
        <f t="array" ref="S170">INDEX(GMW!$A$2:$NF$60,MATCH(1,(GMW!$NE$2:$NE$60=S$3)*(GMW!$ND$2:$ND$60=S$4)*(GMW!$NF$2:$NF$60=S$1),0),$F170-1966)</f>
        <v>-11.56978</v>
      </c>
      <c r="T170" s="4" cm="1">
        <f t="array" ref="T170">INDEX(GMW!$A$2:$NF$60,MATCH(1,(GMW!$NE$2:$NE$60=T$3)*(GMW!$ND$2:$ND$60=T$4)*(GMW!$NF$2:$NF$60=T$1),0),$F170-1966)</f>
        <v>-1635</v>
      </c>
      <c r="U170" s="4" cm="1">
        <f t="array" ref="U170">INDEX(GMW!$A$2:$NF$60,MATCH(1,(GMW!$NE$2:$NE$60=U$3)*(GMW!$ND$2:$ND$60=U$4)*(GMW!$NF$2:$NF$60=U$1),0),$F170-1966)</f>
        <v>1519787</v>
      </c>
      <c r="V170" s="4" cm="1">
        <f t="array" ref="V170">INDEX(GMW!$A$2:$NF$60,MATCH(1,(GMW!$NE$2:$NE$60=V$3)*(GMW!$ND$2:$ND$60=V$4)*(GMW!$NF$2:$NF$60=V$1),0),$F170-1966)</f>
        <v>22989.06</v>
      </c>
      <c r="W170" s="4" cm="1">
        <f t="array" ref="W170">INDEX(GMW!$A$2:$NF$60,MATCH(1,(GMW!$NE$2:$NE$60=W$3)*(GMW!$ND$2:$ND$60=W$4)*(GMW!$NF$2:$NF$60=W$1),0),$F170-1966)</f>
        <v>1060606</v>
      </c>
      <c r="X170" s="4" cm="1">
        <f t="array" ref="X170">INDEX(GMW!$A$2:$NF$60,MATCH(1,(GMW!$NE$2:$NE$60=X$3)*(GMW!$ND$2:$ND$60=X$4)*(GMW!$NF$2:$NF$60=X$1),0),$F170-1966)</f>
        <v>2043.3440000000001</v>
      </c>
      <c r="Y170" s="4" cm="1">
        <f t="array" ref="Y170">INDEX(GMW!$A$2:$NF$60,MATCH(1,(GMW!$NE$2:$NE$60=Y$3)*(GMW!$ND$2:$ND$60=Y$4)*(GMW!$NF$2:$NF$60=Y$1),0),$F170-1966)</f>
        <v>2498.3739999999998</v>
      </c>
      <c r="Z170" s="4" cm="1">
        <f t="array" ref="Z170">INDEX(GMW!$A$2:$NF$60,MATCH(1,(GMW!$NE$2:$NE$60=Z$3)*(GMW!$ND$2:$ND$60=Z$4)*(GMW!$NF$2:$NF$60=Z$1),0),$F170-1966)</f>
        <v>2343.8829999999998</v>
      </c>
      <c r="AA170" s="4" cm="1">
        <f t="array" ref="AA170">INDEX(GMW!$A$2:$NF$60,MATCH(1,(GMW!$NE$2:$NE$60=AA$3)*(GMW!$ND$2:$ND$60=AA$4)*(GMW!$NF$2:$NF$60=AA$1),0),$F170-1966)</f>
        <v>1753831</v>
      </c>
      <c r="AB170" s="4" cm="1">
        <f t="array" ref="AB170">INDEX(GMW!$A$2:$NF$60,MATCH(1,(GMW!$NE$2:$NE$60=AB$3)*(GMW!$ND$2:$ND$60=AB$4)*(GMW!$NF$2:$NF$60=AB$1),0),$F170-1966)</f>
        <v>452183</v>
      </c>
      <c r="AC170" s="4" cm="1">
        <f t="array" ref="AC170">INDEX(GMW!$A$2:$NF$60,MATCH(1,(GMW!$NE$2:$NE$60=AC$3)*(GMW!$ND$2:$ND$60=AC$4)*(GMW!$NF$2:$NF$60=AC$1),0),$F170-1966)</f>
        <v>4298</v>
      </c>
      <c r="AD170" s="4" cm="1">
        <f t="array" ref="AD170">INDEX(GMW!$A$2:$NF$60,MATCH(1,(GMW!$NE$2:$NE$60=AD$3)*(GMW!$ND$2:$ND$60=AD$4)*(GMW!$NF$2:$NF$60=AD$1),0),$F170-1966)</f>
        <v>128120.6</v>
      </c>
      <c r="AE170" s="4" cm="1">
        <f t="array" ref="AE170">INDEX(GMW!$A$2:$NF$60,MATCH(1,(GMW!$NE$2:$NE$60=AE$3)*(GMW!$ND$2:$ND$60=AE$4)*(GMW!$NF$2:$NF$60=AE$1),0),$F170-1966)</f>
        <v>726.67899999999997</v>
      </c>
      <c r="AF170" s="4" cm="1">
        <f t="array" ref="AF170">INDEX(GMW!$A$2:$NF$60,MATCH(1,(GMW!$NE$2:$NE$60=AF$3)*(GMW!$ND$2:$ND$60=AF$4)*(GMW!$NF$2:$NF$60=AF$1),0),$F170-1966)</f>
        <v>532.88</v>
      </c>
      <c r="AG170" s="4" cm="1">
        <f t="array" ref="AG170">INDEX(GMW!$A$2:$NF$60,MATCH(1,(GMW!$NE$2:$NE$60=AG$3)*(GMW!$ND$2:$ND$60=AG$4)*(GMW!$NF$2:$NF$60=AG$1),0),$F170-1966)</f>
        <v>407.68599999999998</v>
      </c>
      <c r="AH170" s="4" cm="1">
        <f t="array" ref="AH170">INDEX(GMW!$A$2:$NF$60,MATCH(1,(GMW!$NE$2:$NE$60=AH$3)*(GMW!$ND$2:$ND$60=AH$4)*(GMW!$NF$2:$NF$60=AH$1),0),$F170-1966)</f>
        <v>483281</v>
      </c>
    </row>
    <row r="171" spans="1:34" x14ac:dyDescent="0.25">
      <c r="A171" s="4">
        <v>2014</v>
      </c>
      <c r="B171" s="4">
        <f t="shared" si="52"/>
        <v>2014</v>
      </c>
      <c r="C171" s="4">
        <f t="shared" si="52"/>
        <v>2013</v>
      </c>
      <c r="D171" s="4">
        <f t="shared" si="52"/>
        <v>2013</v>
      </c>
      <c r="F171" s="4">
        <f t="shared" si="38"/>
        <v>2137</v>
      </c>
      <c r="G171" s="4" cm="1">
        <f t="array" ref="G171">INDEX(GMW!$A$2:$NF$60,MATCH(1,(GMW!$NE$2:$NE$60=G$3)*(GMW!$ND$2:$ND$60=G$4)*(GMW!$NF$2:$NF$60=G$1),0),$F171-1966)</f>
        <v>554183</v>
      </c>
      <c r="H171" s="4" cm="1">
        <f t="array" ref="H171">INDEX(GMW!$A$2:$NF$60,MATCH(1,(GMW!$NE$2:$NE$60=H$3)*(GMW!$ND$2:$ND$60=H$4)*(GMW!$NF$2:$NF$60=H$1),0),$F171-1966)</f>
        <v>4488.5</v>
      </c>
      <c r="I171" s="4" cm="1">
        <f t="array" ref="I171">INDEX(GMW!$A$2:$NF$60,MATCH(1,(GMW!$NE$2:$NE$60=I$3)*(GMW!$ND$2:$ND$60=I$4)*(GMW!$NF$2:$NF$60=I$1),0),$F171-1966)</f>
        <v>134019.70000000001</v>
      </c>
      <c r="J171" s="4" cm="1">
        <f t="array" ref="J171">INDEX(GMW!$A$2:$NF$60,MATCH(1,(GMW!$NE$2:$NE$60=J$3)*(GMW!$ND$2:$ND$60=J$4)*(GMW!$NF$2:$NF$60=J$1),0),$F171-1966)</f>
        <v>822.37</v>
      </c>
      <c r="K171" s="4" cm="1">
        <f t="array" ref="K171">INDEX(GMW!$A$2:$NF$60,MATCH(1,(GMW!$NE$2:$NE$60=K$3)*(GMW!$ND$2:$ND$60=K$4)*(GMW!$NF$2:$NF$60=K$1),0),$F171-1966)</f>
        <v>578.45799999999997</v>
      </c>
      <c r="L171" s="4" cm="1">
        <f t="array" ref="L171">INDEX(GMW!$A$2:$NF$60,MATCH(1,(GMW!$NE$2:$NE$60=L$3)*(GMW!$ND$2:$ND$60=L$4)*(GMW!$NF$2:$NF$60=L$1),0),$F171-1966)</f>
        <v>436.416</v>
      </c>
      <c r="M171" s="4" cm="1">
        <f t="array" ref="M171">INDEX(GMW!$A$2:$NF$60,MATCH(1,(GMW!$NE$2:$NE$60=M$3)*(GMW!$ND$2:$ND$60=M$4)*(GMW!$NF$2:$NF$60=M$1),0),$F171-1966)</f>
        <v>503973.8</v>
      </c>
      <c r="N171" s="4" cm="1">
        <f t="array" ref="N171">INDEX(GMW!$A$2:$NF$60,MATCH(1,(GMW!$NE$2:$NE$60=N$3)*(GMW!$ND$2:$ND$60=N$4)*(GMW!$NF$2:$NF$60=N$1),0),$F171-1966)</f>
        <v>-16172</v>
      </c>
      <c r="O171" s="4" cm="1">
        <f t="array" ref="O171">INDEX(GMW!$A$2:$NF$60,MATCH(1,(GMW!$NE$2:$NE$60=O$3)*(GMW!$ND$2:$ND$60=O$4)*(GMW!$NF$2:$NF$60=O$1),0),$F171-1966)</f>
        <v>-220.97300000000001</v>
      </c>
      <c r="P171" s="4" cm="1">
        <f t="array" ref="P171">INDEX(GMW!$A$2:$NF$60,MATCH(1,(GMW!$NE$2:$NE$60=P$3)*(GMW!$ND$2:$ND$60=P$4)*(GMW!$NF$2:$NF$60=P$1),0),$F171-1966)</f>
        <v>-8565.2489999999998</v>
      </c>
      <c r="Q171" s="4" cm="1">
        <f t="array" ref="Q171">INDEX(GMW!$A$2:$NF$60,MATCH(1,(GMW!$NE$2:$NE$60=Q$3)*(GMW!$ND$2:$ND$60=Q$4)*(GMW!$NF$2:$NF$60=Q$1),0),$F171-1966)</f>
        <v>4.3689999999999998</v>
      </c>
      <c r="R171" s="4" cm="1">
        <f t="array" ref="R171">INDEX(GMW!$A$2:$NF$60,MATCH(1,(GMW!$NE$2:$NE$60=R$3)*(GMW!$ND$2:$ND$60=R$4)*(GMW!$NF$2:$NF$60=R$1),0),$F171-1966)</f>
        <v>-24.053000000000001</v>
      </c>
      <c r="S171" s="4" cm="1">
        <f t="array" ref="S171">INDEX(GMW!$A$2:$NF$60,MATCH(1,(GMW!$NE$2:$NE$60=S$3)*(GMW!$ND$2:$ND$60=S$4)*(GMW!$NF$2:$NF$60=S$1),0),$F171-1966)</f>
        <v>-11.67221</v>
      </c>
      <c r="T171" s="4" cm="1">
        <f t="array" ref="T171">INDEX(GMW!$A$2:$NF$60,MATCH(1,(GMW!$NE$2:$NE$60=T$3)*(GMW!$ND$2:$ND$60=T$4)*(GMW!$NF$2:$NF$60=T$1),0),$F171-1966)</f>
        <v>2106</v>
      </c>
      <c r="U171" s="4" cm="1">
        <f t="array" ref="U171">INDEX(GMW!$A$2:$NF$60,MATCH(1,(GMW!$NE$2:$NE$60=U$3)*(GMW!$ND$2:$ND$60=U$4)*(GMW!$NF$2:$NF$60=U$1),0),$F171-1966)</f>
        <v>1539787</v>
      </c>
      <c r="V171" s="4" cm="1">
        <f t="array" ref="V171">INDEX(GMW!$A$2:$NF$60,MATCH(1,(GMW!$NE$2:$NE$60=V$3)*(GMW!$ND$2:$ND$60=V$4)*(GMW!$NF$2:$NF$60=V$1),0),$F171-1966)</f>
        <v>23354.21</v>
      </c>
      <c r="W171" s="4" cm="1">
        <f t="array" ref="W171">INDEX(GMW!$A$2:$NF$60,MATCH(1,(GMW!$NE$2:$NE$60=W$3)*(GMW!$ND$2:$ND$60=W$4)*(GMW!$NF$2:$NF$60=W$1),0),$F171-1966)</f>
        <v>1074000</v>
      </c>
      <c r="X171" s="4" cm="1">
        <f t="array" ref="X171">INDEX(GMW!$A$2:$NF$60,MATCH(1,(GMW!$NE$2:$NE$60=X$3)*(GMW!$ND$2:$ND$60=X$4)*(GMW!$NF$2:$NF$60=X$1),0),$F171-1966)</f>
        <v>2043.4880000000001</v>
      </c>
      <c r="Y171" s="4" cm="1">
        <f t="array" ref="Y171">INDEX(GMW!$A$2:$NF$60,MATCH(1,(GMW!$NE$2:$NE$60=Y$3)*(GMW!$ND$2:$ND$60=Y$4)*(GMW!$NF$2:$NF$60=Y$1),0),$F171-1966)</f>
        <v>2585.7710000000002</v>
      </c>
      <c r="Z171" s="4" cm="1">
        <f t="array" ref="Z171">INDEX(GMW!$A$2:$NF$60,MATCH(1,(GMW!$NE$2:$NE$60=Z$3)*(GMW!$ND$2:$ND$60=Z$4)*(GMW!$NF$2:$NF$60=Z$1),0),$F171-1966)</f>
        <v>2401.2950000000001</v>
      </c>
      <c r="AA171" s="4" cm="1">
        <f t="array" ref="AA171">INDEX(GMW!$A$2:$NF$60,MATCH(1,(GMW!$NE$2:$NE$60=AA$3)*(GMW!$ND$2:$ND$60=AA$4)*(GMW!$NF$2:$NF$60=AA$1),0),$F171-1966)</f>
        <v>1772841</v>
      </c>
      <c r="AB171" s="4" cm="1">
        <f t="array" ref="AB171">INDEX(GMW!$A$2:$NF$60,MATCH(1,(GMW!$NE$2:$NE$60=AB$3)*(GMW!$ND$2:$ND$60=AB$4)*(GMW!$NF$2:$NF$60=AB$1),0),$F171-1966)</f>
        <v>457683</v>
      </c>
      <c r="AC171" s="4" cm="1">
        <f t="array" ref="AC171">INDEX(GMW!$A$2:$NF$60,MATCH(1,(GMW!$NE$2:$NE$60=AC$3)*(GMW!$ND$2:$ND$60=AC$4)*(GMW!$NF$2:$NF$60=AC$1),0),$F171-1966)</f>
        <v>4299.4250000000002</v>
      </c>
      <c r="AD171" s="4" cm="1">
        <f t="array" ref="AD171">INDEX(GMW!$A$2:$NF$60,MATCH(1,(GMW!$NE$2:$NE$60=AD$3)*(GMW!$ND$2:$ND$60=AD$4)*(GMW!$NF$2:$NF$60=AD$1),0),$F171-1966)</f>
        <v>129150.8</v>
      </c>
      <c r="AE171" s="4" cm="1">
        <f t="array" ref="AE171">INDEX(GMW!$A$2:$NF$60,MATCH(1,(GMW!$NE$2:$NE$60=AE$3)*(GMW!$ND$2:$ND$60=AE$4)*(GMW!$NF$2:$NF$60=AE$1),0),$F171-1966)</f>
        <v>739.43299999999999</v>
      </c>
      <c r="AF171" s="4" cm="1">
        <f t="array" ref="AF171">INDEX(GMW!$A$2:$NF$60,MATCH(1,(GMW!$NE$2:$NE$60=AF$3)*(GMW!$ND$2:$ND$60=AF$4)*(GMW!$NF$2:$NF$60=AF$1),0),$F171-1966)</f>
        <v>535.09500000000003</v>
      </c>
      <c r="AG171" s="4" cm="1">
        <f t="array" ref="AG171">INDEX(GMW!$A$2:$NF$60,MATCH(1,(GMW!$NE$2:$NE$60=AG$3)*(GMW!$ND$2:$ND$60=AG$4)*(GMW!$NF$2:$NF$60=AG$1),0),$F171-1966)</f>
        <v>408.36900000000003</v>
      </c>
      <c r="AH171" s="4" cm="1">
        <f t="array" ref="AH171">INDEX(GMW!$A$2:$NF$60,MATCH(1,(GMW!$NE$2:$NE$60=AH$3)*(GMW!$ND$2:$ND$60=AH$4)*(GMW!$NF$2:$NF$60=AH$1),0),$F171-1966)</f>
        <v>490863</v>
      </c>
    </row>
    <row r="172" spans="1:34" x14ac:dyDescent="0.25">
      <c r="B172" s="4">
        <f t="shared" ref="B172:D187" si="57">+B168+1</f>
        <v>2014</v>
      </c>
      <c r="C172" s="4">
        <f t="shared" si="57"/>
        <v>2014</v>
      </c>
      <c r="F172" s="4">
        <f t="shared" si="38"/>
        <v>2138</v>
      </c>
      <c r="G172" s="4" cm="1">
        <f t="array" ref="G172">INDEX(GMW!$A$2:$NF$60,MATCH(1,(GMW!$NE$2:$NE$60=G$3)*(GMW!$ND$2:$ND$60=G$4)*(GMW!$NF$2:$NF$60=G$1),0),$F172-1966)</f>
        <v>559331</v>
      </c>
      <c r="H172" s="4" cm="1">
        <f t="array" ref="H172">INDEX(GMW!$A$2:$NF$60,MATCH(1,(GMW!$NE$2:$NE$60=H$3)*(GMW!$ND$2:$ND$60=H$4)*(GMW!$NF$2:$NF$60=H$1),0),$F172-1966)</f>
        <v>4546.4750000000004</v>
      </c>
      <c r="I172" s="4" cm="1">
        <f t="array" ref="I172">INDEX(GMW!$A$2:$NF$60,MATCH(1,(GMW!$NE$2:$NE$60=I$3)*(GMW!$ND$2:$ND$60=I$4)*(GMW!$NF$2:$NF$60=I$1),0),$F172-1966)</f>
        <v>131619.5</v>
      </c>
      <c r="J172" s="4" cm="1">
        <f t="array" ref="J172">INDEX(GMW!$A$2:$NF$60,MATCH(1,(GMW!$NE$2:$NE$60=J$3)*(GMW!$ND$2:$ND$60=J$4)*(GMW!$NF$2:$NF$60=J$1),0),$F172-1966)</f>
        <v>822.2</v>
      </c>
      <c r="K172" s="4" cm="1">
        <f t="array" ref="K172">INDEX(GMW!$A$2:$NF$60,MATCH(1,(GMW!$NE$2:$NE$60=K$3)*(GMW!$ND$2:$ND$60=K$4)*(GMW!$NF$2:$NF$60=K$1),0),$F172-1966)</f>
        <v>579.90899999999999</v>
      </c>
      <c r="L172" s="4" cm="1">
        <f t="array" ref="L172">INDEX(GMW!$A$2:$NF$60,MATCH(1,(GMW!$NE$2:$NE$60=L$3)*(GMW!$ND$2:$ND$60=L$4)*(GMW!$NF$2:$NF$60=L$1),0),$F172-1966)</f>
        <v>436.62700000000001</v>
      </c>
      <c r="M172" s="4" cm="1">
        <f t="array" ref="M172">INDEX(GMW!$A$2:$NF$60,MATCH(1,(GMW!$NE$2:$NE$60=M$3)*(GMW!$ND$2:$ND$60=M$4)*(GMW!$NF$2:$NF$60=M$1),0),$F172-1966)</f>
        <v>508567.8</v>
      </c>
      <c r="N172" s="4" cm="1">
        <f t="array" ref="N172">INDEX(GMW!$A$2:$NF$60,MATCH(1,(GMW!$NE$2:$NE$60=N$3)*(GMW!$ND$2:$ND$60=N$4)*(GMW!$NF$2:$NF$60=N$1),0),$F172-1966)</f>
        <v>-30912</v>
      </c>
      <c r="O172" s="4" cm="1">
        <f t="array" ref="O172">INDEX(GMW!$A$2:$NF$60,MATCH(1,(GMW!$NE$2:$NE$60=O$3)*(GMW!$ND$2:$ND$60=O$4)*(GMW!$NF$2:$NF$60=O$1),0),$F172-1966)</f>
        <v>-221.37049999999999</v>
      </c>
      <c r="P172" s="4" cm="1">
        <f t="array" ref="P172">INDEX(GMW!$A$2:$NF$60,MATCH(1,(GMW!$NE$2:$NE$60=P$3)*(GMW!$ND$2:$ND$60=P$4)*(GMW!$NF$2:$NF$60=P$1),0),$F172-1966)</f>
        <v>-7684.75</v>
      </c>
      <c r="Q172" s="4" cm="1">
        <f t="array" ref="Q172">INDEX(GMW!$A$2:$NF$60,MATCH(1,(GMW!$NE$2:$NE$60=Q$3)*(GMW!$ND$2:$ND$60=Q$4)*(GMW!$NF$2:$NF$60=Q$1),0),$F172-1966)</f>
        <v>5.09</v>
      </c>
      <c r="R172" s="4" cm="1">
        <f t="array" ref="R172">INDEX(GMW!$A$2:$NF$60,MATCH(1,(GMW!$NE$2:$NE$60=R$3)*(GMW!$ND$2:$ND$60=R$4)*(GMW!$NF$2:$NF$60=R$1),0),$F172-1966)</f>
        <v>-24.670999999999999</v>
      </c>
      <c r="S172" s="4" cm="1">
        <f t="array" ref="S172">INDEX(GMW!$A$2:$NF$60,MATCH(1,(GMW!$NE$2:$NE$60=S$3)*(GMW!$ND$2:$ND$60=S$4)*(GMW!$NF$2:$NF$60=S$1),0),$F172-1966)</f>
        <v>-11.73766</v>
      </c>
      <c r="T172" s="4" cm="1">
        <f t="array" ref="T172">INDEX(GMW!$A$2:$NF$60,MATCH(1,(GMW!$NE$2:$NE$60=T$3)*(GMW!$ND$2:$ND$60=T$4)*(GMW!$NF$2:$NF$60=T$1),0),$F172-1966)</f>
        <v>1185</v>
      </c>
      <c r="U172" s="4" cm="1">
        <f t="array" ref="U172">INDEX(GMW!$A$2:$NF$60,MATCH(1,(GMW!$NE$2:$NE$60=U$3)*(GMW!$ND$2:$ND$60=U$4)*(GMW!$NF$2:$NF$60=U$1),0),$F172-1966)</f>
        <v>1573247</v>
      </c>
      <c r="V172" s="4" cm="1">
        <f t="array" ref="V172">INDEX(GMW!$A$2:$NF$60,MATCH(1,(GMW!$NE$2:$NE$60=V$3)*(GMW!$ND$2:$ND$60=V$4)*(GMW!$NF$2:$NF$60=V$1),0),$F172-1966)</f>
        <v>23274.27</v>
      </c>
      <c r="W172" s="4" cm="1">
        <f t="array" ref="W172">INDEX(GMW!$A$2:$NF$60,MATCH(1,(GMW!$NE$2:$NE$60=W$3)*(GMW!$ND$2:$ND$60=W$4)*(GMW!$NF$2:$NF$60=W$1),0),$F172-1966)</f>
        <v>1087394</v>
      </c>
      <c r="X172" s="4" cm="1">
        <f t="array" ref="X172">INDEX(GMW!$A$2:$NF$60,MATCH(1,(GMW!$NE$2:$NE$60=X$3)*(GMW!$ND$2:$ND$60=X$4)*(GMW!$NF$2:$NF$60=X$1),0),$F172-1966)</f>
        <v>2043.6310000000001</v>
      </c>
      <c r="Y172" s="4" cm="1">
        <f t="array" ref="Y172">INDEX(GMW!$A$2:$NF$60,MATCH(1,(GMW!$NE$2:$NE$60=Y$3)*(GMW!$ND$2:$ND$60=Y$4)*(GMW!$NF$2:$NF$60=Y$1),0),$F172-1966)</f>
        <v>2660.962</v>
      </c>
      <c r="Z172" s="4" cm="1">
        <f t="array" ref="Z172">INDEX(GMW!$A$2:$NF$60,MATCH(1,(GMW!$NE$2:$NE$60=Z$3)*(GMW!$ND$2:$ND$60=Z$4)*(GMW!$NF$2:$NF$60=Z$1),0),$F172-1966)</f>
        <v>2458.7069999999999</v>
      </c>
      <c r="AA172" s="4" cm="1">
        <f t="array" ref="AA172">INDEX(GMW!$A$2:$NF$60,MATCH(1,(GMW!$NE$2:$NE$60=AA$3)*(GMW!$ND$2:$ND$60=AA$4)*(GMW!$NF$2:$NF$60=AA$1),0),$F172-1966)</f>
        <v>1805811</v>
      </c>
      <c r="AB172" s="4" cm="1">
        <f t="array" ref="AB172">INDEX(GMW!$A$2:$NF$60,MATCH(1,(GMW!$NE$2:$NE$60=AB$3)*(GMW!$ND$2:$ND$60=AB$4)*(GMW!$NF$2:$NF$60=AB$1),0),$F172-1966)</f>
        <v>461549</v>
      </c>
      <c r="AC172" s="4" cm="1">
        <f t="array" ref="AC172">INDEX(GMW!$A$2:$NF$60,MATCH(1,(GMW!$NE$2:$NE$60=AC$3)*(GMW!$ND$2:$ND$60=AC$4)*(GMW!$NF$2:$NF$60=AC$1),0),$F172-1966)</f>
        <v>4379.625</v>
      </c>
      <c r="AD172" s="4" cm="1">
        <f t="array" ref="AD172">INDEX(GMW!$A$2:$NF$60,MATCH(1,(GMW!$NE$2:$NE$60=AD$3)*(GMW!$ND$2:$ND$60=AD$4)*(GMW!$NF$2:$NF$60=AD$1),0),$F172-1966)</f>
        <v>129489.7</v>
      </c>
      <c r="AE172" s="4" cm="1">
        <f t="array" ref="AE172">INDEX(GMW!$A$2:$NF$60,MATCH(1,(GMW!$NE$2:$NE$60=AE$3)*(GMW!$ND$2:$ND$60=AE$4)*(GMW!$NF$2:$NF$60=AE$1),0),$F172-1966)</f>
        <v>743.24800000000005</v>
      </c>
      <c r="AF172" s="4" cm="1">
        <f t="array" ref="AF172">INDEX(GMW!$A$2:$NF$60,MATCH(1,(GMW!$NE$2:$NE$60=AF$3)*(GMW!$ND$2:$ND$60=AF$4)*(GMW!$NF$2:$NF$60=AF$1),0),$F172-1966)</f>
        <v>537.51900000000001</v>
      </c>
      <c r="AG172" s="4" cm="1">
        <f t="array" ref="AG172">INDEX(GMW!$A$2:$NF$60,MATCH(1,(GMW!$NE$2:$NE$60=AG$3)*(GMW!$ND$2:$ND$60=AG$4)*(GMW!$NF$2:$NF$60=AG$1),0),$F172-1966)</f>
        <v>409.31900000000002</v>
      </c>
      <c r="AH172" s="4" cm="1">
        <f t="array" ref="AH172">INDEX(GMW!$A$2:$NF$60,MATCH(1,(GMW!$NE$2:$NE$60=AH$3)*(GMW!$ND$2:$ND$60=AH$4)*(GMW!$NF$2:$NF$60=AH$1),0),$F172-1966)</f>
        <v>497101</v>
      </c>
    </row>
    <row r="173" spans="1:34" x14ac:dyDescent="0.25">
      <c r="B173" s="4">
        <f t="shared" si="57"/>
        <v>2014</v>
      </c>
      <c r="C173" s="4">
        <f t="shared" si="57"/>
        <v>2014</v>
      </c>
      <c r="F173" s="4">
        <f t="shared" si="38"/>
        <v>2139</v>
      </c>
      <c r="G173" s="4" cm="1">
        <f t="array" ref="G173">INDEX(GMW!$A$2:$NF$60,MATCH(1,(GMW!$NE$2:$NE$60=G$3)*(GMW!$ND$2:$ND$60=G$4)*(GMW!$NF$2:$NF$60=G$1),0),$F173-1966)</f>
        <v>563694</v>
      </c>
      <c r="H173" s="4" cm="1">
        <f t="array" ref="H173">INDEX(GMW!$A$2:$NF$60,MATCH(1,(GMW!$NE$2:$NE$60=H$3)*(GMW!$ND$2:$ND$60=H$4)*(GMW!$NF$2:$NF$60=H$1),0),$F173-1966)</f>
        <v>4601.7250000000004</v>
      </c>
      <c r="I173" s="4" cm="1">
        <f t="array" ref="I173">INDEX(GMW!$A$2:$NF$60,MATCH(1,(GMW!$NE$2:$NE$60=I$3)*(GMW!$ND$2:$ND$60=I$4)*(GMW!$NF$2:$NF$60=I$1),0),$F173-1966)</f>
        <v>131706</v>
      </c>
      <c r="J173" s="4" cm="1">
        <f t="array" ref="J173">INDEX(GMW!$A$2:$NF$60,MATCH(1,(GMW!$NE$2:$NE$60=J$3)*(GMW!$ND$2:$ND$60=J$4)*(GMW!$NF$2:$NF$60=J$1),0),$F173-1966)</f>
        <v>826.77</v>
      </c>
      <c r="K173" s="4" cm="1">
        <f t="array" ref="K173">INDEX(GMW!$A$2:$NF$60,MATCH(1,(GMW!$NE$2:$NE$60=K$3)*(GMW!$ND$2:$ND$60=K$4)*(GMW!$NF$2:$NF$60=K$1),0),$F173-1966)</f>
        <v>583.60400000000004</v>
      </c>
      <c r="L173" s="4" cm="1">
        <f t="array" ref="L173">INDEX(GMW!$A$2:$NF$60,MATCH(1,(GMW!$NE$2:$NE$60=L$3)*(GMW!$ND$2:$ND$60=L$4)*(GMW!$NF$2:$NF$60=L$1),0),$F173-1966)</f>
        <v>436.72199999999998</v>
      </c>
      <c r="M173" s="4" cm="1">
        <f t="array" ref="M173">INDEX(GMW!$A$2:$NF$60,MATCH(1,(GMW!$NE$2:$NE$60=M$3)*(GMW!$ND$2:$ND$60=M$4)*(GMW!$NF$2:$NF$60=M$1),0),$F173-1966)</f>
        <v>513442.8</v>
      </c>
      <c r="N173" s="4" cm="1">
        <f t="array" ref="N173">INDEX(GMW!$A$2:$NF$60,MATCH(1,(GMW!$NE$2:$NE$60=N$3)*(GMW!$ND$2:$ND$60=N$4)*(GMW!$NF$2:$NF$60=N$1),0),$F173-1966)</f>
        <v>-25181</v>
      </c>
      <c r="O173" s="4" cm="1">
        <f t="array" ref="O173">INDEX(GMW!$A$2:$NF$60,MATCH(1,(GMW!$NE$2:$NE$60=O$3)*(GMW!$ND$2:$ND$60=O$4)*(GMW!$NF$2:$NF$60=O$1),0),$F173-1966)</f>
        <v>-234.64429999999999</v>
      </c>
      <c r="P173" s="4" cm="1">
        <f t="array" ref="P173">INDEX(GMW!$A$2:$NF$60,MATCH(1,(GMW!$NE$2:$NE$60=P$3)*(GMW!$ND$2:$ND$60=P$4)*(GMW!$NF$2:$NF$60=P$1),0),$F173-1966)</f>
        <v>-6907</v>
      </c>
      <c r="Q173" s="4" cm="1">
        <f t="array" ref="Q173">INDEX(GMW!$A$2:$NF$60,MATCH(1,(GMW!$NE$2:$NE$60=Q$3)*(GMW!$ND$2:$ND$60=Q$4)*(GMW!$NF$2:$NF$60=Q$1),0),$F173-1966)</f>
        <v>5.1829999999999998</v>
      </c>
      <c r="R173" s="4" cm="1">
        <f t="array" ref="R173">INDEX(GMW!$A$2:$NF$60,MATCH(1,(GMW!$NE$2:$NE$60=R$3)*(GMW!$ND$2:$ND$60=R$4)*(GMW!$NF$2:$NF$60=R$1),0),$F173-1966)</f>
        <v>-24.26</v>
      </c>
      <c r="S173" s="4" cm="1">
        <f t="array" ref="S173">INDEX(GMW!$A$2:$NF$60,MATCH(1,(GMW!$NE$2:$NE$60=S$3)*(GMW!$ND$2:$ND$60=S$4)*(GMW!$NF$2:$NF$60=S$1),0),$F173-1966)</f>
        <v>-11.559480000000001</v>
      </c>
      <c r="T173" s="4" cm="1">
        <f t="array" ref="T173">INDEX(GMW!$A$2:$NF$60,MATCH(1,(GMW!$NE$2:$NE$60=T$3)*(GMW!$ND$2:$ND$60=T$4)*(GMW!$NF$2:$NF$60=T$1),0),$F173-1966)</f>
        <v>2171</v>
      </c>
      <c r="U173" s="4" cm="1">
        <f t="array" ref="U173">INDEX(GMW!$A$2:$NF$60,MATCH(1,(GMW!$NE$2:$NE$60=U$3)*(GMW!$ND$2:$ND$60=U$4)*(GMW!$NF$2:$NF$60=U$1),0),$F173-1966)</f>
        <v>1578723</v>
      </c>
      <c r="V173" s="4" cm="1">
        <f t="array" ref="V173">INDEX(GMW!$A$2:$NF$60,MATCH(1,(GMW!$NE$2:$NE$60=V$3)*(GMW!$ND$2:$ND$60=V$4)*(GMW!$NF$2:$NF$60=V$1),0),$F173-1966)</f>
        <v>23563.86</v>
      </c>
      <c r="W173" s="4" cm="1">
        <f t="array" ref="W173">INDEX(GMW!$A$2:$NF$60,MATCH(1,(GMW!$NE$2:$NE$60=W$3)*(GMW!$ND$2:$ND$60=W$4)*(GMW!$NF$2:$NF$60=W$1),0),$F173-1966)</f>
        <v>1100788</v>
      </c>
      <c r="X173" s="4" cm="1">
        <f t="array" ref="X173">INDEX(GMW!$A$2:$NF$60,MATCH(1,(GMW!$NE$2:$NE$60=X$3)*(GMW!$ND$2:$ND$60=X$4)*(GMW!$NF$2:$NF$60=X$1),0),$F173-1966)</f>
        <v>2043.7750000000001</v>
      </c>
      <c r="Y173" s="4" cm="1">
        <f t="array" ref="Y173">INDEX(GMW!$A$2:$NF$60,MATCH(1,(GMW!$NE$2:$NE$60=Y$3)*(GMW!$ND$2:$ND$60=Y$4)*(GMW!$NF$2:$NF$60=Y$1),0),$F173-1966)</f>
        <v>2719.3629999999998</v>
      </c>
      <c r="Z173" s="4" cm="1">
        <f t="array" ref="Z173">INDEX(GMW!$A$2:$NF$60,MATCH(1,(GMW!$NE$2:$NE$60=Z$3)*(GMW!$ND$2:$ND$60=Z$4)*(GMW!$NF$2:$NF$60=Z$1),0),$F173-1966)</f>
        <v>2516.1190000000001</v>
      </c>
      <c r="AA173" s="4" cm="1">
        <f t="array" ref="AA173">INDEX(GMW!$A$2:$NF$60,MATCH(1,(GMW!$NE$2:$NE$60=AA$3)*(GMW!$ND$2:$ND$60=AA$4)*(GMW!$NF$2:$NF$60=AA$1),0),$F173-1966)</f>
        <v>1813402</v>
      </c>
      <c r="AB173" s="4" cm="1">
        <f t="array" ref="AB173">INDEX(GMW!$A$2:$NF$60,MATCH(1,(GMW!$NE$2:$NE$60=AB$3)*(GMW!$ND$2:$ND$60=AB$4)*(GMW!$NF$2:$NF$60=AB$1),0),$F173-1966)</f>
        <v>470624</v>
      </c>
      <c r="AC173" s="4" cm="1">
        <f t="array" ref="AC173">INDEX(GMW!$A$2:$NF$60,MATCH(1,(GMW!$NE$2:$NE$60=AC$3)*(GMW!$ND$2:$ND$60=AC$4)*(GMW!$NF$2:$NF$60=AC$1),0),$F173-1966)</f>
        <v>4451.05</v>
      </c>
      <c r="AD173" s="4" cm="1">
        <f t="array" ref="AD173">INDEX(GMW!$A$2:$NF$60,MATCH(1,(GMW!$NE$2:$NE$60=AD$3)*(GMW!$ND$2:$ND$60=AD$4)*(GMW!$NF$2:$NF$60=AD$1),0),$F173-1966)</f>
        <v>129568.4</v>
      </c>
      <c r="AE173" s="4" cm="1">
        <f t="array" ref="AE173">INDEX(GMW!$A$2:$NF$60,MATCH(1,(GMW!$NE$2:$NE$60=AE$3)*(GMW!$ND$2:$ND$60=AE$4)*(GMW!$NF$2:$NF$60=AE$1),0),$F173-1966)</f>
        <v>748.84400000000005</v>
      </c>
      <c r="AF173" s="4" cm="1">
        <f t="array" ref="AF173">INDEX(GMW!$A$2:$NF$60,MATCH(1,(GMW!$NE$2:$NE$60=AF$3)*(GMW!$ND$2:$ND$60=AF$4)*(GMW!$NF$2:$NF$60=AF$1),0),$F173-1966)</f>
        <v>541.73400000000004</v>
      </c>
      <c r="AG173" s="4" cm="1">
        <f t="array" ref="AG173">INDEX(GMW!$A$2:$NF$60,MATCH(1,(GMW!$NE$2:$NE$60=AG$3)*(GMW!$ND$2:$ND$60=AG$4)*(GMW!$NF$2:$NF$60=AG$1),0),$F173-1966)</f>
        <v>409.351</v>
      </c>
      <c r="AH173" s="4" cm="1">
        <f t="array" ref="AH173">INDEX(GMW!$A$2:$NF$60,MATCH(1,(GMW!$NE$2:$NE$60=AH$3)*(GMW!$ND$2:$ND$60=AH$4)*(GMW!$NF$2:$NF$60=AH$1),0),$F173-1966)</f>
        <v>503448</v>
      </c>
    </row>
    <row r="174" spans="1:34" x14ac:dyDescent="0.25">
      <c r="B174" s="4">
        <f t="shared" si="57"/>
        <v>2014</v>
      </c>
      <c r="C174" s="4">
        <f t="shared" si="57"/>
        <v>2014</v>
      </c>
      <c r="E174" s="4">
        <f t="shared" ref="E174" si="58">+E170+1</f>
        <v>2014</v>
      </c>
      <c r="F174" s="4">
        <f t="shared" si="38"/>
        <v>2140</v>
      </c>
      <c r="G174" s="4" cm="1">
        <f t="array" ref="G174">INDEX(GMW!$A$2:$NF$60,MATCH(1,(GMW!$NE$2:$NE$60=G$3)*(GMW!$ND$2:$ND$60=G$4)*(GMW!$NF$2:$NF$60=G$1),0),$F174-1966)</f>
        <v>567619</v>
      </c>
      <c r="H174" s="4" cm="1">
        <f t="array" ref="H174">INDEX(GMW!$A$2:$NF$60,MATCH(1,(GMW!$NE$2:$NE$60=H$3)*(GMW!$ND$2:$ND$60=H$4)*(GMW!$NF$2:$NF$60=H$1),0),$F174-1966)</f>
        <v>4625</v>
      </c>
      <c r="I174" s="4" cm="1">
        <f t="array" ref="I174">INDEX(GMW!$A$2:$NF$60,MATCH(1,(GMW!$NE$2:$NE$60=I$3)*(GMW!$ND$2:$ND$60=I$4)*(GMW!$NF$2:$NF$60=I$1),0),$F174-1966)</f>
        <v>132301.79999999999</v>
      </c>
      <c r="J174" s="4" cm="1">
        <f t="array" ref="J174">INDEX(GMW!$A$2:$NF$60,MATCH(1,(GMW!$NE$2:$NE$60=J$3)*(GMW!$ND$2:$ND$60=J$4)*(GMW!$NF$2:$NF$60=J$1),0),$F174-1966)</f>
        <v>833.07</v>
      </c>
      <c r="K174" s="4" cm="1">
        <f t="array" ref="K174">INDEX(GMW!$A$2:$NF$60,MATCH(1,(GMW!$NE$2:$NE$60=K$3)*(GMW!$ND$2:$ND$60=K$4)*(GMW!$NF$2:$NF$60=K$1),0),$F174-1966)</f>
        <v>582.01099999999997</v>
      </c>
      <c r="L174" s="4" cm="1">
        <f t="array" ref="L174">INDEX(GMW!$A$2:$NF$60,MATCH(1,(GMW!$NE$2:$NE$60=L$3)*(GMW!$ND$2:$ND$60=L$4)*(GMW!$NF$2:$NF$60=L$1),0),$F174-1966)</f>
        <v>436.26900000000001</v>
      </c>
      <c r="M174" s="4" cm="1">
        <f t="array" ref="M174">INDEX(GMW!$A$2:$NF$60,MATCH(1,(GMW!$NE$2:$NE$60=M$3)*(GMW!$ND$2:$ND$60=M$4)*(GMW!$NF$2:$NF$60=M$1),0),$F174-1966)</f>
        <v>516991.5</v>
      </c>
      <c r="N174" s="4" cm="1">
        <f t="array" ref="N174">INDEX(GMW!$A$2:$NF$60,MATCH(1,(GMW!$NE$2:$NE$60=N$3)*(GMW!$ND$2:$ND$60=N$4)*(GMW!$NF$2:$NF$60=N$1),0),$F174-1966)</f>
        <v>-32656</v>
      </c>
      <c r="O174" s="4" cm="1">
        <f t="array" ref="O174">INDEX(GMW!$A$2:$NF$60,MATCH(1,(GMW!$NE$2:$NE$60=O$3)*(GMW!$ND$2:$ND$60=O$4)*(GMW!$NF$2:$NF$60=O$1),0),$F174-1966)</f>
        <v>-234.85130000000001</v>
      </c>
      <c r="P174" s="4" cm="1">
        <f t="array" ref="P174">INDEX(GMW!$A$2:$NF$60,MATCH(1,(GMW!$NE$2:$NE$60=P$3)*(GMW!$ND$2:$ND$60=P$4)*(GMW!$NF$2:$NF$60=P$1),0),$F174-1966)</f>
        <v>-5980</v>
      </c>
      <c r="Q174" s="4" cm="1">
        <f t="array" ref="Q174">INDEX(GMW!$A$2:$NF$60,MATCH(1,(GMW!$NE$2:$NE$60=Q$3)*(GMW!$ND$2:$ND$60=Q$4)*(GMW!$NF$2:$NF$60=Q$1),0),$F174-1966)</f>
        <v>7.1909999999999998</v>
      </c>
      <c r="R174" s="4" cm="1">
        <f t="array" ref="R174">INDEX(GMW!$A$2:$NF$60,MATCH(1,(GMW!$NE$2:$NE$60=R$3)*(GMW!$ND$2:$ND$60=R$4)*(GMW!$NF$2:$NF$60=R$1),0),$F174-1966)</f>
        <v>-25.544</v>
      </c>
      <c r="S174" s="4" cm="1">
        <f t="array" ref="S174">INDEX(GMW!$A$2:$NF$60,MATCH(1,(GMW!$NE$2:$NE$60=S$3)*(GMW!$ND$2:$ND$60=S$4)*(GMW!$NF$2:$NF$60=S$1),0),$F174-1966)</f>
        <v>-11.137650000000001</v>
      </c>
      <c r="T174" s="4" cm="1">
        <f t="array" ref="T174">INDEX(GMW!$A$2:$NF$60,MATCH(1,(GMW!$NE$2:$NE$60=T$3)*(GMW!$ND$2:$ND$60=T$4)*(GMW!$NF$2:$NF$60=T$1),0),$F174-1966)</f>
        <v>1276</v>
      </c>
      <c r="U174" s="4" cm="1">
        <f t="array" ref="U174">INDEX(GMW!$A$2:$NF$60,MATCH(1,(GMW!$NE$2:$NE$60=U$3)*(GMW!$ND$2:$ND$60=U$4)*(GMW!$NF$2:$NF$60=U$1),0),$F174-1966)</f>
        <v>1622144</v>
      </c>
      <c r="V174" s="4" cm="1">
        <f t="array" ref="V174">INDEX(GMW!$A$2:$NF$60,MATCH(1,(GMW!$NE$2:$NE$60=V$3)*(GMW!$ND$2:$ND$60=V$4)*(GMW!$NF$2:$NF$60=V$1),0),$F174-1966)</f>
        <v>23856.06</v>
      </c>
      <c r="W174" s="4" cm="1">
        <f t="array" ref="W174">INDEX(GMW!$A$2:$NF$60,MATCH(1,(GMW!$NE$2:$NE$60=W$3)*(GMW!$ND$2:$ND$60=W$4)*(GMW!$NF$2:$NF$60=W$1),0),$F174-1966)</f>
        <v>1114183</v>
      </c>
      <c r="X174" s="4" cm="1">
        <f t="array" ref="X174">INDEX(GMW!$A$2:$NF$60,MATCH(1,(GMW!$NE$2:$NE$60=X$3)*(GMW!$ND$2:$ND$60=X$4)*(GMW!$NF$2:$NF$60=X$1),0),$F174-1966)</f>
        <v>2043.9179999999999</v>
      </c>
      <c r="Y174" s="4" cm="1">
        <f t="array" ref="Y174">INDEX(GMW!$A$2:$NF$60,MATCH(1,(GMW!$NE$2:$NE$60=Y$3)*(GMW!$ND$2:$ND$60=Y$4)*(GMW!$NF$2:$NF$60=Y$1),0),$F174-1966)</f>
        <v>2725.884</v>
      </c>
      <c r="Z174" s="4" cm="1">
        <f t="array" ref="Z174">INDEX(GMW!$A$2:$NF$60,MATCH(1,(GMW!$NE$2:$NE$60=Z$3)*(GMW!$ND$2:$ND$60=Z$4)*(GMW!$NF$2:$NF$60=Z$1),0),$F174-1966)</f>
        <v>2573.5309999999999</v>
      </c>
      <c r="AA174" s="4" cm="1">
        <f t="array" ref="AA174">INDEX(GMW!$A$2:$NF$60,MATCH(1,(GMW!$NE$2:$NE$60=AA$3)*(GMW!$ND$2:$ND$60=AA$4)*(GMW!$NF$2:$NF$60=AA$1),0),$F174-1966)</f>
        <v>1858520</v>
      </c>
      <c r="AB174" s="4" cm="1">
        <f t="array" ref="AB174">INDEX(GMW!$A$2:$NF$60,MATCH(1,(GMW!$NE$2:$NE$60=AB$3)*(GMW!$ND$2:$ND$60=AB$4)*(GMW!$NF$2:$NF$60=AB$1),0),$F174-1966)</f>
        <v>472658</v>
      </c>
      <c r="AC174" s="4" cm="1">
        <f t="array" ref="AC174">INDEX(GMW!$A$2:$NF$60,MATCH(1,(GMW!$NE$2:$NE$60=AC$3)*(GMW!$ND$2:$ND$60=AC$4)*(GMW!$NF$2:$NF$60=AC$1),0),$F174-1966)</f>
        <v>4478.0249999999996</v>
      </c>
      <c r="AD174" s="4" cm="1">
        <f t="array" ref="AD174">INDEX(GMW!$A$2:$NF$60,MATCH(1,(GMW!$NE$2:$NE$60=AD$3)*(GMW!$ND$2:$ND$60=AD$4)*(GMW!$NF$2:$NF$60=AD$1),0),$F174-1966)</f>
        <v>130518</v>
      </c>
      <c r="AE174" s="4" cm="1">
        <f t="array" ref="AE174">INDEX(GMW!$A$2:$NF$60,MATCH(1,(GMW!$NE$2:$NE$60=AE$3)*(GMW!$ND$2:$ND$60=AE$4)*(GMW!$NF$2:$NF$60=AE$1),0),$F174-1966)</f>
        <v>757.61</v>
      </c>
      <c r="AF174" s="4" cm="1">
        <f t="array" ref="AF174">INDEX(GMW!$A$2:$NF$60,MATCH(1,(GMW!$NE$2:$NE$60=AF$3)*(GMW!$ND$2:$ND$60=AF$4)*(GMW!$NF$2:$NF$60=AF$1),0),$F174-1966)</f>
        <v>542.12099999999998</v>
      </c>
      <c r="AG174" s="4" cm="1">
        <f t="array" ref="AG174">INDEX(GMW!$A$2:$NF$60,MATCH(1,(GMW!$NE$2:$NE$60=AG$3)*(GMW!$ND$2:$ND$60=AG$4)*(GMW!$NF$2:$NF$60=AG$1),0),$F174-1966)</f>
        <v>410.82299999999998</v>
      </c>
      <c r="AH174" s="4" cm="1">
        <f t="array" ref="AH174">INDEX(GMW!$A$2:$NF$60,MATCH(1,(GMW!$NE$2:$NE$60=AH$3)*(GMW!$ND$2:$ND$60=AH$4)*(GMW!$NF$2:$NF$60=AH$1),0),$F174-1966)</f>
        <v>503486</v>
      </c>
    </row>
    <row r="175" spans="1:34" x14ac:dyDescent="0.25">
      <c r="A175" s="4">
        <v>2015</v>
      </c>
      <c r="B175" s="4">
        <f t="shared" si="57"/>
        <v>2015</v>
      </c>
      <c r="C175" s="4">
        <f t="shared" si="57"/>
        <v>2014</v>
      </c>
      <c r="D175" s="4">
        <f t="shared" si="57"/>
        <v>2014</v>
      </c>
      <c r="F175" s="4">
        <f t="shared" si="38"/>
        <v>2141</v>
      </c>
      <c r="G175" s="4" cm="1">
        <f t="array" ref="G175">INDEX(GMW!$A$2:$NF$60,MATCH(1,(GMW!$NE$2:$NE$60=G$3)*(GMW!$ND$2:$ND$60=G$4)*(GMW!$NF$2:$NF$60=G$1),0),$F175-1966)</f>
        <v>569150</v>
      </c>
      <c r="H175" s="4" cm="1">
        <f t="array" ref="H175">INDEX(GMW!$A$2:$NF$60,MATCH(1,(GMW!$NE$2:$NE$60=H$3)*(GMW!$ND$2:$ND$60=H$4)*(GMW!$NF$2:$NF$60=H$1),0),$F175-1966)</f>
        <v>4666.6499999999996</v>
      </c>
      <c r="I175" s="4" cm="1">
        <f t="array" ref="I175">INDEX(GMW!$A$2:$NF$60,MATCH(1,(GMW!$NE$2:$NE$60=I$3)*(GMW!$ND$2:$ND$60=I$4)*(GMW!$NF$2:$NF$60=I$1),0),$F175-1966)</f>
        <v>134366.39999999999</v>
      </c>
      <c r="J175" s="4" cm="1">
        <f t="array" ref="J175">INDEX(GMW!$A$2:$NF$60,MATCH(1,(GMW!$NE$2:$NE$60=J$3)*(GMW!$ND$2:$ND$60=J$4)*(GMW!$NF$2:$NF$60=J$1),0),$F175-1966)</f>
        <v>831.26</v>
      </c>
      <c r="K175" s="4" cm="1">
        <f t="array" ref="K175">INDEX(GMW!$A$2:$NF$60,MATCH(1,(GMW!$NE$2:$NE$60=K$3)*(GMW!$ND$2:$ND$60=K$4)*(GMW!$NF$2:$NF$60=K$1),0),$F175-1966)</f>
        <v>585.375</v>
      </c>
      <c r="L175" s="4" cm="1">
        <f t="array" ref="L175">INDEX(GMW!$A$2:$NF$60,MATCH(1,(GMW!$NE$2:$NE$60=L$3)*(GMW!$ND$2:$ND$60=L$4)*(GMW!$NF$2:$NF$60=L$1),0),$F175-1966)</f>
        <v>437.80099999999999</v>
      </c>
      <c r="M175" s="4" cm="1">
        <f t="array" ref="M175">INDEX(GMW!$A$2:$NF$60,MATCH(1,(GMW!$NE$2:$NE$60=M$3)*(GMW!$ND$2:$ND$60=M$4)*(GMW!$NF$2:$NF$60=M$1),0),$F175-1966)</f>
        <v>514113</v>
      </c>
      <c r="N175" s="4" cm="1">
        <f t="array" ref="N175">INDEX(GMW!$A$2:$NF$60,MATCH(1,(GMW!$NE$2:$NE$60=N$3)*(GMW!$ND$2:$ND$60=N$4)*(GMW!$NF$2:$NF$60=N$1),0),$F175-1966)</f>
        <v>-9625</v>
      </c>
      <c r="O175" s="4" cm="1">
        <f t="array" ref="O175">INDEX(GMW!$A$2:$NF$60,MATCH(1,(GMW!$NE$2:$NE$60=O$3)*(GMW!$ND$2:$ND$60=O$4)*(GMW!$NF$2:$NF$60=O$1),0),$F175-1966)</f>
        <v>-221.60730000000001</v>
      </c>
      <c r="P175" s="4" cm="1">
        <f t="array" ref="P175">INDEX(GMW!$A$2:$NF$60,MATCH(1,(GMW!$NE$2:$NE$60=P$3)*(GMW!$ND$2:$ND$60=P$4)*(GMW!$NF$2:$NF$60=P$1),0),$F175-1966)</f>
        <v>-5163</v>
      </c>
      <c r="Q175" s="4" cm="1">
        <f t="array" ref="Q175">INDEX(GMW!$A$2:$NF$60,MATCH(1,(GMW!$NE$2:$NE$60=Q$3)*(GMW!$ND$2:$ND$60=Q$4)*(GMW!$NF$2:$NF$60=Q$1),0),$F175-1966)</f>
        <v>5.75</v>
      </c>
      <c r="R175" s="4" cm="1">
        <f t="array" ref="R175">INDEX(GMW!$A$2:$NF$60,MATCH(1,(GMW!$NE$2:$NE$60=R$3)*(GMW!$ND$2:$ND$60=R$4)*(GMW!$NF$2:$NF$60=R$1),0),$F175-1966)</f>
        <v>-23.143000000000001</v>
      </c>
      <c r="S175" s="4" cm="1">
        <f t="array" ref="S175">INDEX(GMW!$A$2:$NF$60,MATCH(1,(GMW!$NE$2:$NE$60=S$3)*(GMW!$ND$2:$ND$60=S$4)*(GMW!$NF$2:$NF$60=S$1),0),$F175-1966)</f>
        <v>-10.60219</v>
      </c>
      <c r="T175" s="4" cm="1">
        <f t="array" ref="T175">INDEX(GMW!$A$2:$NF$60,MATCH(1,(GMW!$NE$2:$NE$60=T$3)*(GMW!$ND$2:$ND$60=T$4)*(GMW!$NF$2:$NF$60=T$1),0),$F175-1966)</f>
        <v>-1083</v>
      </c>
      <c r="U175" s="4" cm="1">
        <f t="array" ref="U175">INDEX(GMW!$A$2:$NF$60,MATCH(1,(GMW!$NE$2:$NE$60=U$3)*(GMW!$ND$2:$ND$60=U$4)*(GMW!$NF$2:$NF$60=U$1),0),$F175-1966)</f>
        <v>1621409</v>
      </c>
      <c r="V175" s="4" cm="1">
        <f t="array" ref="V175">INDEX(GMW!$A$2:$NF$60,MATCH(1,(GMW!$NE$2:$NE$60=V$3)*(GMW!$ND$2:$ND$60=V$4)*(GMW!$NF$2:$NF$60=V$1),0),$F175-1966)</f>
        <v>24037.72</v>
      </c>
      <c r="W175" s="4" cm="1">
        <f t="array" ref="W175">INDEX(GMW!$A$2:$NF$60,MATCH(1,(GMW!$NE$2:$NE$60=W$3)*(GMW!$ND$2:$ND$60=W$4)*(GMW!$NF$2:$NF$60=W$1),0),$F175-1966)</f>
        <v>1128395</v>
      </c>
      <c r="X175" s="4" cm="1">
        <f t="array" ref="X175">INDEX(GMW!$A$2:$NF$60,MATCH(1,(GMW!$NE$2:$NE$60=X$3)*(GMW!$ND$2:$ND$60=X$4)*(GMW!$NF$2:$NF$60=X$1),0),$F175-1966)</f>
        <v>2038.115</v>
      </c>
      <c r="Y175" s="4" cm="1">
        <f t="array" ref="Y175">INDEX(GMW!$A$2:$NF$60,MATCH(1,(GMW!$NE$2:$NE$60=Y$3)*(GMW!$ND$2:$ND$60=Y$4)*(GMW!$NF$2:$NF$60=Y$1),0),$F175-1966)</f>
        <v>2876.875</v>
      </c>
      <c r="Z175" s="4" cm="1">
        <f t="array" ref="Z175">INDEX(GMW!$A$2:$NF$60,MATCH(1,(GMW!$NE$2:$NE$60=Z$3)*(GMW!$ND$2:$ND$60=Z$4)*(GMW!$NF$2:$NF$60=Z$1),0),$F175-1966)</f>
        <v>2586.2080000000001</v>
      </c>
      <c r="AA175" s="4" cm="1">
        <f t="array" ref="AA175">INDEX(GMW!$A$2:$NF$60,MATCH(1,(GMW!$NE$2:$NE$60=AA$3)*(GMW!$ND$2:$ND$60=AA$4)*(GMW!$NF$2:$NF$60=AA$1),0),$F175-1966)</f>
        <v>1942490</v>
      </c>
      <c r="AB175" s="4" cm="1">
        <f t="array" ref="AB175">INDEX(GMW!$A$2:$NF$60,MATCH(1,(GMW!$NE$2:$NE$60=AB$3)*(GMW!$ND$2:$ND$60=AB$4)*(GMW!$NF$2:$NF$60=AB$1),0),$F175-1966)</f>
        <v>474680</v>
      </c>
      <c r="AC175" s="4" cm="1">
        <f t="array" ref="AC175">INDEX(GMW!$A$2:$NF$60,MATCH(1,(GMW!$NE$2:$NE$60=AC$3)*(GMW!$ND$2:$ND$60=AC$4)*(GMW!$NF$2:$NF$60=AC$1),0),$F175-1966)</f>
        <v>4515.875</v>
      </c>
      <c r="AD175" s="4" cm="1">
        <f t="array" ref="AD175">INDEX(GMW!$A$2:$NF$60,MATCH(1,(GMW!$NE$2:$NE$60=AD$3)*(GMW!$ND$2:$ND$60=AD$4)*(GMW!$NF$2:$NF$60=AD$1),0),$F175-1966)</f>
        <v>133676.79999999999</v>
      </c>
      <c r="AE175" s="4" cm="1">
        <f t="array" ref="AE175">INDEX(GMW!$A$2:$NF$60,MATCH(1,(GMW!$NE$2:$NE$60=AE$3)*(GMW!$ND$2:$ND$60=AE$4)*(GMW!$NF$2:$NF$60=AE$1),0),$F175-1966)</f>
        <v>760.053</v>
      </c>
      <c r="AF175" s="4" cm="1">
        <f t="array" ref="AF175">INDEX(GMW!$A$2:$NF$60,MATCH(1,(GMW!$NE$2:$NE$60=AF$3)*(GMW!$ND$2:$ND$60=AF$4)*(GMW!$NF$2:$NF$60=AF$1),0),$F175-1966)</f>
        <v>546.88199999999995</v>
      </c>
      <c r="AG175" s="4" cm="1">
        <f t="array" ref="AG175">INDEX(GMW!$A$2:$NF$60,MATCH(1,(GMW!$NE$2:$NE$60=AG$3)*(GMW!$ND$2:$ND$60=AG$4)*(GMW!$NF$2:$NF$60=AG$1),0),$F175-1966)</f>
        <v>412.78199999999998</v>
      </c>
      <c r="AH175" s="4" cm="1">
        <f t="array" ref="AH175">INDEX(GMW!$A$2:$NF$60,MATCH(1,(GMW!$NE$2:$NE$60=AH$3)*(GMW!$ND$2:$ND$60=AH$4)*(GMW!$NF$2:$NF$60=AH$1),0),$F175-1966)</f>
        <v>496075</v>
      </c>
    </row>
    <row r="176" spans="1:34" x14ac:dyDescent="0.25">
      <c r="B176" s="4">
        <f t="shared" si="57"/>
        <v>2015</v>
      </c>
      <c r="C176" s="4">
        <f t="shared" si="57"/>
        <v>2015</v>
      </c>
      <c r="F176" s="4">
        <f t="shared" si="38"/>
        <v>2142</v>
      </c>
      <c r="G176" s="4" cm="1">
        <f t="array" ref="G176">INDEX(GMW!$A$2:$NF$60,MATCH(1,(GMW!$NE$2:$NE$60=G$3)*(GMW!$ND$2:$ND$60=G$4)*(GMW!$NF$2:$NF$60=G$1),0),$F176-1966)</f>
        <v>572673</v>
      </c>
      <c r="H176" s="4" cm="1">
        <f t="array" ref="H176">INDEX(GMW!$A$2:$NF$60,MATCH(1,(GMW!$NE$2:$NE$60=H$3)*(GMW!$ND$2:$ND$60=H$4)*(GMW!$NF$2:$NF$60=H$1),0),$F176-1966)</f>
        <v>4695.55</v>
      </c>
      <c r="I176" s="4" cm="1">
        <f t="array" ref="I176">INDEX(GMW!$A$2:$NF$60,MATCH(1,(GMW!$NE$2:$NE$60=I$3)*(GMW!$ND$2:$ND$60=I$4)*(GMW!$NF$2:$NF$60=I$1),0),$F176-1966)</f>
        <v>134579.5</v>
      </c>
      <c r="J176" s="4" cm="1">
        <f t="array" ref="J176">INDEX(GMW!$A$2:$NF$60,MATCH(1,(GMW!$NE$2:$NE$60=J$3)*(GMW!$ND$2:$ND$60=J$4)*(GMW!$NF$2:$NF$60=J$1),0),$F176-1966)</f>
        <v>835.57</v>
      </c>
      <c r="K176" s="4" cm="1">
        <f t="array" ref="K176">INDEX(GMW!$A$2:$NF$60,MATCH(1,(GMW!$NE$2:$NE$60=K$3)*(GMW!$ND$2:$ND$60=K$4)*(GMW!$NF$2:$NF$60=K$1),0),$F176-1966)</f>
        <v>585.78599999999994</v>
      </c>
      <c r="L176" s="4" cm="1">
        <f t="array" ref="L176">INDEX(GMW!$A$2:$NF$60,MATCH(1,(GMW!$NE$2:$NE$60=L$3)*(GMW!$ND$2:$ND$60=L$4)*(GMW!$NF$2:$NF$60=L$1),0),$F176-1966)</f>
        <v>439.52600000000001</v>
      </c>
      <c r="M176" s="4" cm="1">
        <f t="array" ref="M176">INDEX(GMW!$A$2:$NF$60,MATCH(1,(GMW!$NE$2:$NE$60=M$3)*(GMW!$ND$2:$ND$60=M$4)*(GMW!$NF$2:$NF$60=M$1),0),$F176-1966)</f>
        <v>512709.5</v>
      </c>
      <c r="N176" s="4" cm="1">
        <f t="array" ref="N176">INDEX(GMW!$A$2:$NF$60,MATCH(1,(GMW!$NE$2:$NE$60=N$3)*(GMW!$ND$2:$ND$60=N$4)*(GMW!$NF$2:$NF$60=N$1),0),$F176-1966)</f>
        <v>-27526</v>
      </c>
      <c r="O176" s="4" cm="1">
        <f t="array" ref="O176">INDEX(GMW!$A$2:$NF$60,MATCH(1,(GMW!$NE$2:$NE$60=O$3)*(GMW!$ND$2:$ND$60=O$4)*(GMW!$NF$2:$NF$60=O$1),0),$F176-1966)</f>
        <v>-218.15029999999999</v>
      </c>
      <c r="P176" s="4" cm="1">
        <f t="array" ref="P176">INDEX(GMW!$A$2:$NF$60,MATCH(1,(GMW!$NE$2:$NE$60=P$3)*(GMW!$ND$2:$ND$60=P$4)*(GMW!$NF$2:$NF$60=P$1),0),$F176-1966)</f>
        <v>-4701.25</v>
      </c>
      <c r="Q176" s="4" cm="1">
        <f t="array" ref="Q176">INDEX(GMW!$A$2:$NF$60,MATCH(1,(GMW!$NE$2:$NE$60=Q$3)*(GMW!$ND$2:$ND$60=Q$4)*(GMW!$NF$2:$NF$60=Q$1),0),$F176-1966)</f>
        <v>5.35</v>
      </c>
      <c r="R176" s="4" cm="1">
        <f t="array" ref="R176">INDEX(GMW!$A$2:$NF$60,MATCH(1,(GMW!$NE$2:$NE$60=R$3)*(GMW!$ND$2:$ND$60=R$4)*(GMW!$NF$2:$NF$60=R$1),0),$F176-1966)</f>
        <v>-22.975000000000001</v>
      </c>
      <c r="S176" s="4" cm="1">
        <f t="array" ref="S176">INDEX(GMW!$A$2:$NF$60,MATCH(1,(GMW!$NE$2:$NE$60=S$3)*(GMW!$ND$2:$ND$60=S$4)*(GMW!$NF$2:$NF$60=S$1),0),$F176-1966)</f>
        <v>-10.16825</v>
      </c>
      <c r="T176" s="4" cm="1">
        <f t="array" ref="T176">INDEX(GMW!$A$2:$NF$60,MATCH(1,(GMW!$NE$2:$NE$60=T$3)*(GMW!$ND$2:$ND$60=T$4)*(GMW!$NF$2:$NF$60=T$1),0),$F176-1966)</f>
        <v>3988</v>
      </c>
      <c r="U176" s="4" cm="1">
        <f t="array" ref="U176">INDEX(GMW!$A$2:$NF$60,MATCH(1,(GMW!$NE$2:$NE$60=U$3)*(GMW!$ND$2:$ND$60=U$4)*(GMW!$NF$2:$NF$60=U$1),0),$F176-1966)</f>
        <v>1659353</v>
      </c>
      <c r="V176" s="4" cm="1">
        <f t="array" ref="V176">INDEX(GMW!$A$2:$NF$60,MATCH(1,(GMW!$NE$2:$NE$60=V$3)*(GMW!$ND$2:$ND$60=V$4)*(GMW!$NF$2:$NF$60=V$1),0),$F176-1966)</f>
        <v>24205.29</v>
      </c>
      <c r="W176" s="4" cm="1">
        <f t="array" ref="W176">INDEX(GMW!$A$2:$NF$60,MATCH(1,(GMW!$NE$2:$NE$60=W$3)*(GMW!$ND$2:$ND$60=W$4)*(GMW!$NF$2:$NF$60=W$1),0),$F176-1966)</f>
        <v>1142607</v>
      </c>
      <c r="X176" s="4" cm="1">
        <f t="array" ref="X176">INDEX(GMW!$A$2:$NF$60,MATCH(1,(GMW!$NE$2:$NE$60=X$3)*(GMW!$ND$2:$ND$60=X$4)*(GMW!$NF$2:$NF$60=X$1),0),$F176-1966)</f>
        <v>2032.3109999999999</v>
      </c>
      <c r="Y176" s="4" cm="1">
        <f t="array" ref="Y176">INDEX(GMW!$A$2:$NF$60,MATCH(1,(GMW!$NE$2:$NE$60=Y$3)*(GMW!$ND$2:$ND$60=Y$4)*(GMW!$NF$2:$NF$60=Y$1),0),$F176-1966)</f>
        <v>2809.7750000000001</v>
      </c>
      <c r="Z176" s="4" cm="1">
        <f t="array" ref="Z176">INDEX(GMW!$A$2:$NF$60,MATCH(1,(GMW!$NE$2:$NE$60=Z$3)*(GMW!$ND$2:$ND$60=Z$4)*(GMW!$NF$2:$NF$60=Z$1),0),$F176-1966)</f>
        <v>2598.8850000000002</v>
      </c>
      <c r="AA176" s="4" cm="1">
        <f t="array" ref="AA176">INDEX(GMW!$A$2:$NF$60,MATCH(1,(GMW!$NE$2:$NE$60=AA$3)*(GMW!$ND$2:$ND$60=AA$4)*(GMW!$NF$2:$NF$60=AA$1),0),$F176-1966)</f>
        <v>1906135</v>
      </c>
      <c r="AB176" s="4" cm="1">
        <f t="array" ref="AB176">INDEX(GMW!$A$2:$NF$60,MATCH(1,(GMW!$NE$2:$NE$60=AB$3)*(GMW!$ND$2:$ND$60=AB$4)*(GMW!$NF$2:$NF$60=AB$1),0),$F176-1966)</f>
        <v>476591</v>
      </c>
      <c r="AC176" s="4" cm="1">
        <f t="array" ref="AC176">INDEX(GMW!$A$2:$NF$60,MATCH(1,(GMW!$NE$2:$NE$60=AC$3)*(GMW!$ND$2:$ND$60=AC$4)*(GMW!$NF$2:$NF$60=AC$1),0),$F176-1966)</f>
        <v>4569.95</v>
      </c>
      <c r="AD176" s="4" cm="1">
        <f t="array" ref="AD176">INDEX(GMW!$A$2:$NF$60,MATCH(1,(GMW!$NE$2:$NE$60=AD$3)*(GMW!$ND$2:$ND$60=AD$4)*(GMW!$NF$2:$NF$60=AD$1),0),$F176-1966)</f>
        <v>134553.9</v>
      </c>
      <c r="AE176" s="4" cm="1">
        <f t="array" ref="AE176">INDEX(GMW!$A$2:$NF$60,MATCH(1,(GMW!$NE$2:$NE$60=AE$3)*(GMW!$ND$2:$ND$60=AE$4)*(GMW!$NF$2:$NF$60=AE$1),0),$F176-1966)</f>
        <v>768.64700000000005</v>
      </c>
      <c r="AF176" s="4" cm="1">
        <f t="array" ref="AF176">INDEX(GMW!$A$2:$NF$60,MATCH(1,(GMW!$NE$2:$NE$60=AF$3)*(GMW!$ND$2:$ND$60=AF$4)*(GMW!$NF$2:$NF$60=AF$1),0),$F176-1966)</f>
        <v>548.82500000000005</v>
      </c>
      <c r="AG176" s="4" cm="1">
        <f t="array" ref="AG176">INDEX(GMW!$A$2:$NF$60,MATCH(1,(GMW!$NE$2:$NE$60=AG$3)*(GMW!$ND$2:$ND$60=AG$4)*(GMW!$NF$2:$NF$60=AG$1),0),$F176-1966)</f>
        <v>415.33800000000002</v>
      </c>
      <c r="AH176" s="4" cm="1">
        <f t="array" ref="AH176">INDEX(GMW!$A$2:$NF$60,MATCH(1,(GMW!$NE$2:$NE$60=AH$3)*(GMW!$ND$2:$ND$60=AH$4)*(GMW!$NF$2:$NF$60=AH$1),0),$F176-1966)</f>
        <v>496230</v>
      </c>
    </row>
    <row r="177" spans="1:34" x14ac:dyDescent="0.25">
      <c r="B177" s="4">
        <f t="shared" si="57"/>
        <v>2015</v>
      </c>
      <c r="C177" s="4">
        <f t="shared" si="57"/>
        <v>2015</v>
      </c>
      <c r="F177" s="4">
        <f t="shared" ref="F177:F240" si="59">+F176+1</f>
        <v>2143</v>
      </c>
      <c r="G177" s="4" cm="1">
        <f t="array" ref="G177">INDEX(GMW!$A$2:$NF$60,MATCH(1,(GMW!$NE$2:$NE$60=G$3)*(GMW!$ND$2:$ND$60=G$4)*(GMW!$NF$2:$NF$60=G$1),0),$F177-1966)</f>
        <v>574836</v>
      </c>
      <c r="H177" s="4" cm="1">
        <f t="array" ref="H177">INDEX(GMW!$A$2:$NF$60,MATCH(1,(GMW!$NE$2:$NE$60=H$3)*(GMW!$ND$2:$ND$60=H$4)*(GMW!$NF$2:$NF$60=H$1),0),$F177-1966)</f>
        <v>4714.3500000000004</v>
      </c>
      <c r="I177" s="4" cm="1">
        <f t="array" ref="I177">INDEX(GMW!$A$2:$NF$60,MATCH(1,(GMW!$NE$2:$NE$60=I$3)*(GMW!$ND$2:$ND$60=I$4)*(GMW!$NF$2:$NF$60=I$1),0),$F177-1966)</f>
        <v>134696.79999999999</v>
      </c>
      <c r="J177" s="4" cm="1">
        <f t="array" ref="J177">INDEX(GMW!$A$2:$NF$60,MATCH(1,(GMW!$NE$2:$NE$60=J$3)*(GMW!$ND$2:$ND$60=J$4)*(GMW!$NF$2:$NF$60=J$1),0),$F177-1966)</f>
        <v>840.06</v>
      </c>
      <c r="K177" s="4" cm="1">
        <f t="array" ref="K177">INDEX(GMW!$A$2:$NF$60,MATCH(1,(GMW!$NE$2:$NE$60=K$3)*(GMW!$ND$2:$ND$60=K$4)*(GMW!$NF$2:$NF$60=K$1),0),$F177-1966)</f>
        <v>587.28599999999994</v>
      </c>
      <c r="L177" s="4" cm="1">
        <f t="array" ref="L177">INDEX(GMW!$A$2:$NF$60,MATCH(1,(GMW!$NE$2:$NE$60=L$3)*(GMW!$ND$2:$ND$60=L$4)*(GMW!$NF$2:$NF$60=L$1),0),$F177-1966)</f>
        <v>439.69499999999999</v>
      </c>
      <c r="M177" s="4" cm="1">
        <f t="array" ref="M177">INDEX(GMW!$A$2:$NF$60,MATCH(1,(GMW!$NE$2:$NE$60=M$3)*(GMW!$ND$2:$ND$60=M$4)*(GMW!$NF$2:$NF$60=M$1),0),$F177-1966)</f>
        <v>514545.5</v>
      </c>
      <c r="N177" s="4" cm="1">
        <f t="array" ref="N177">INDEX(GMW!$A$2:$NF$60,MATCH(1,(GMW!$NE$2:$NE$60=N$3)*(GMW!$ND$2:$ND$60=N$4)*(GMW!$NF$2:$NF$60=N$1),0),$F177-1966)</f>
        <v>-22286</v>
      </c>
      <c r="O177" s="4" cm="1">
        <f t="array" ref="O177">INDEX(GMW!$A$2:$NF$60,MATCH(1,(GMW!$NE$2:$NE$60=O$3)*(GMW!$ND$2:$ND$60=O$4)*(GMW!$NF$2:$NF$60=O$1),0),$F177-1966)</f>
        <v>-228.59379999999999</v>
      </c>
      <c r="P177" s="4" cm="1">
        <f t="array" ref="P177">INDEX(GMW!$A$2:$NF$60,MATCH(1,(GMW!$NE$2:$NE$60=P$3)*(GMW!$ND$2:$ND$60=P$4)*(GMW!$NF$2:$NF$60=P$1),0),$F177-1966)</f>
        <v>-4760.25</v>
      </c>
      <c r="Q177" s="4" cm="1">
        <f t="array" ref="Q177">INDEX(GMW!$A$2:$NF$60,MATCH(1,(GMW!$NE$2:$NE$60=Q$3)*(GMW!$ND$2:$ND$60=Q$4)*(GMW!$NF$2:$NF$60=Q$1),0),$F177-1966)</f>
        <v>12.276999999999999</v>
      </c>
      <c r="R177" s="4" cm="1">
        <f t="array" ref="R177">INDEX(GMW!$A$2:$NF$60,MATCH(1,(GMW!$NE$2:$NE$60=R$3)*(GMW!$ND$2:$ND$60=R$4)*(GMW!$NF$2:$NF$60=R$1),0),$F177-1966)</f>
        <v>-20.471</v>
      </c>
      <c r="S177" s="4" cm="1">
        <f t="array" ref="S177">INDEX(GMW!$A$2:$NF$60,MATCH(1,(GMW!$NE$2:$NE$60=S$3)*(GMW!$ND$2:$ND$60=S$4)*(GMW!$NF$2:$NF$60=S$1),0),$F177-1966)</f>
        <v>-10.00853</v>
      </c>
      <c r="T177" s="4" cm="1">
        <f t="array" ref="T177">INDEX(GMW!$A$2:$NF$60,MATCH(1,(GMW!$NE$2:$NE$60=T$3)*(GMW!$ND$2:$ND$60=T$4)*(GMW!$NF$2:$NF$60=T$1),0),$F177-1966)</f>
        <v>-660</v>
      </c>
      <c r="U177" s="4" cm="1">
        <f t="array" ref="U177">INDEX(GMW!$A$2:$NF$60,MATCH(1,(GMW!$NE$2:$NE$60=U$3)*(GMW!$ND$2:$ND$60=U$4)*(GMW!$NF$2:$NF$60=U$1),0),$F177-1966)</f>
        <v>1659774</v>
      </c>
      <c r="V177" s="4" cm="1">
        <f t="array" ref="V177">INDEX(GMW!$A$2:$NF$60,MATCH(1,(GMW!$NE$2:$NE$60=V$3)*(GMW!$ND$2:$ND$60=V$4)*(GMW!$NF$2:$NF$60=V$1),0),$F177-1966)</f>
        <v>24628.880000000001</v>
      </c>
      <c r="W177" s="4" cm="1">
        <f t="array" ref="W177">INDEX(GMW!$A$2:$NF$60,MATCH(1,(GMW!$NE$2:$NE$60=W$3)*(GMW!$ND$2:$ND$60=W$4)*(GMW!$NF$2:$NF$60=W$1),0),$F177-1966)</f>
        <v>1156819</v>
      </c>
      <c r="X177" s="4" cm="1">
        <f t="array" ref="X177">INDEX(GMW!$A$2:$NF$60,MATCH(1,(GMW!$NE$2:$NE$60=X$3)*(GMW!$ND$2:$ND$60=X$4)*(GMW!$NF$2:$NF$60=X$1),0),$F177-1966)</f>
        <v>2026.5070000000001</v>
      </c>
      <c r="Y177" s="4" cm="1">
        <f t="array" ref="Y177">INDEX(GMW!$A$2:$NF$60,MATCH(1,(GMW!$NE$2:$NE$60=Y$3)*(GMW!$ND$2:$ND$60=Y$4)*(GMW!$NF$2:$NF$60=Y$1),0),$F177-1966)</f>
        <v>2848.51</v>
      </c>
      <c r="Z177" s="4" cm="1">
        <f t="array" ref="Z177">INDEX(GMW!$A$2:$NF$60,MATCH(1,(GMW!$NE$2:$NE$60=Z$3)*(GMW!$ND$2:$ND$60=Z$4)*(GMW!$NF$2:$NF$60=Z$1),0),$F177-1966)</f>
        <v>2611.5610000000001</v>
      </c>
      <c r="AA177" s="4" cm="1">
        <f t="array" ref="AA177">INDEX(GMW!$A$2:$NF$60,MATCH(1,(GMW!$NE$2:$NE$60=AA$3)*(GMW!$ND$2:$ND$60=AA$4)*(GMW!$NF$2:$NF$60=AA$1),0),$F177-1966)</f>
        <v>1927067</v>
      </c>
      <c r="AB177" s="4" cm="1">
        <f t="array" ref="AB177">INDEX(GMW!$A$2:$NF$60,MATCH(1,(GMW!$NE$2:$NE$60=AB$3)*(GMW!$ND$2:$ND$60=AB$4)*(GMW!$NF$2:$NF$60=AB$1),0),$F177-1966)</f>
        <v>479924</v>
      </c>
      <c r="AC177" s="4" cm="1">
        <f t="array" ref="AC177">INDEX(GMW!$A$2:$NF$60,MATCH(1,(GMW!$NE$2:$NE$60=AC$3)*(GMW!$ND$2:$ND$60=AC$4)*(GMW!$NF$2:$NF$60=AC$1),0),$F177-1966)</f>
        <v>4600.3999999999996</v>
      </c>
      <c r="AD177" s="4" cm="1">
        <f t="array" ref="AD177">INDEX(GMW!$A$2:$NF$60,MATCH(1,(GMW!$NE$2:$NE$60=AD$3)*(GMW!$ND$2:$ND$60=AD$4)*(GMW!$NF$2:$NF$60=AD$1),0),$F177-1966)</f>
        <v>134982.29999999999</v>
      </c>
      <c r="AE177" s="4" cm="1">
        <f t="array" ref="AE177">INDEX(GMW!$A$2:$NF$60,MATCH(1,(GMW!$NE$2:$NE$60=AE$3)*(GMW!$ND$2:$ND$60=AE$4)*(GMW!$NF$2:$NF$60=AE$1),0),$F177-1966)</f>
        <v>775.00300000000004</v>
      </c>
      <c r="AF177" s="4" cm="1">
        <f t="array" ref="AF177">INDEX(GMW!$A$2:$NF$60,MATCH(1,(GMW!$NE$2:$NE$60=AF$3)*(GMW!$ND$2:$ND$60=AF$4)*(GMW!$NF$2:$NF$60=AF$1),0),$F177-1966)</f>
        <v>552.38300000000004</v>
      </c>
      <c r="AG177" s="4" cm="1">
        <f t="array" ref="AG177">INDEX(GMW!$A$2:$NF$60,MATCH(1,(GMW!$NE$2:$NE$60=AG$3)*(GMW!$ND$2:$ND$60=AG$4)*(GMW!$NF$2:$NF$60=AG$1),0),$F177-1966)</f>
        <v>416.76</v>
      </c>
      <c r="AH177" s="4" cm="1">
        <f t="array" ref="AH177">INDEX(GMW!$A$2:$NF$60,MATCH(1,(GMW!$NE$2:$NE$60=AH$3)*(GMW!$ND$2:$ND$60=AH$4)*(GMW!$NF$2:$NF$60=AH$1),0),$F177-1966)</f>
        <v>500216</v>
      </c>
    </row>
    <row r="178" spans="1:34" x14ac:dyDescent="0.25">
      <c r="B178" s="4">
        <f t="shared" si="57"/>
        <v>2015</v>
      </c>
      <c r="C178" s="4">
        <f t="shared" si="57"/>
        <v>2015</v>
      </c>
      <c r="E178" s="4">
        <f t="shared" ref="E178" si="60">+E174+1</f>
        <v>2015</v>
      </c>
      <c r="F178" s="4">
        <f t="shared" si="59"/>
        <v>2144</v>
      </c>
      <c r="G178" s="4" cm="1">
        <f t="array" ref="G178">INDEX(GMW!$A$2:$NF$60,MATCH(1,(GMW!$NE$2:$NE$60=G$3)*(GMW!$ND$2:$ND$60=G$4)*(GMW!$NF$2:$NF$60=G$1),0),$F178-1966)</f>
        <v>578068</v>
      </c>
      <c r="H178" s="4" cm="1">
        <f t="array" ref="H178">INDEX(GMW!$A$2:$NF$60,MATCH(1,(GMW!$NE$2:$NE$60=H$3)*(GMW!$ND$2:$ND$60=H$4)*(GMW!$NF$2:$NF$60=H$1),0),$F178-1966)</f>
        <v>4723.05</v>
      </c>
      <c r="I178" s="4" cm="1">
        <f t="array" ref="I178">INDEX(GMW!$A$2:$NF$60,MATCH(1,(GMW!$NE$2:$NE$60=I$3)*(GMW!$ND$2:$ND$60=I$4)*(GMW!$NF$2:$NF$60=I$1),0),$F178-1966)</f>
        <v>134452.70000000001</v>
      </c>
      <c r="J178" s="4" cm="1">
        <f t="array" ref="J178">INDEX(GMW!$A$2:$NF$60,MATCH(1,(GMW!$NE$2:$NE$60=J$3)*(GMW!$ND$2:$ND$60=J$4)*(GMW!$NF$2:$NF$60=J$1),0),$F178-1966)</f>
        <v>844.37</v>
      </c>
      <c r="K178" s="4" cm="1">
        <f t="array" ref="K178">INDEX(GMW!$A$2:$NF$60,MATCH(1,(GMW!$NE$2:$NE$60=K$3)*(GMW!$ND$2:$ND$60=K$4)*(GMW!$NF$2:$NF$60=K$1),0),$F178-1966)</f>
        <v>588.71799999999996</v>
      </c>
      <c r="L178" s="4" cm="1">
        <f t="array" ref="L178">INDEX(GMW!$A$2:$NF$60,MATCH(1,(GMW!$NE$2:$NE$60=L$3)*(GMW!$ND$2:$ND$60=L$4)*(GMW!$NF$2:$NF$60=L$1),0),$F178-1966)</f>
        <v>442.02699999999999</v>
      </c>
      <c r="M178" s="4" cm="1">
        <f t="array" ref="M178">INDEX(GMW!$A$2:$NF$60,MATCH(1,(GMW!$NE$2:$NE$60=M$3)*(GMW!$ND$2:$ND$60=M$4)*(GMW!$NF$2:$NF$60=M$1),0),$F178-1966)</f>
        <v>514886.5</v>
      </c>
      <c r="N178" s="4" cm="1">
        <f t="array" ref="N178">INDEX(GMW!$A$2:$NF$60,MATCH(1,(GMW!$NE$2:$NE$60=N$3)*(GMW!$ND$2:$ND$60=N$4)*(GMW!$NF$2:$NF$60=N$1),0),$F178-1966)</f>
        <v>-27282</v>
      </c>
      <c r="O178" s="4" cm="1">
        <f t="array" ref="O178">INDEX(GMW!$A$2:$NF$60,MATCH(1,(GMW!$NE$2:$NE$60=O$3)*(GMW!$ND$2:$ND$60=O$4)*(GMW!$NF$2:$NF$60=O$1),0),$F178-1966)</f>
        <v>-197.77780000000001</v>
      </c>
      <c r="P178" s="4" cm="1">
        <f t="array" ref="P178">INDEX(GMW!$A$2:$NF$60,MATCH(1,(GMW!$NE$2:$NE$60=P$3)*(GMW!$ND$2:$ND$60=P$4)*(GMW!$NF$2:$NF$60=P$1),0),$F178-1966)</f>
        <v>-5163.75</v>
      </c>
      <c r="Q178" s="4" cm="1">
        <f t="array" ref="Q178">INDEX(GMW!$A$2:$NF$60,MATCH(1,(GMW!$NE$2:$NE$60=Q$3)*(GMW!$ND$2:$ND$60=Q$4)*(GMW!$NF$2:$NF$60=Q$1),0),$F178-1966)</f>
        <v>4.8630000000000004</v>
      </c>
      <c r="R178" s="4" cm="1">
        <f t="array" ref="R178">INDEX(GMW!$A$2:$NF$60,MATCH(1,(GMW!$NE$2:$NE$60=R$3)*(GMW!$ND$2:$ND$60=R$4)*(GMW!$NF$2:$NF$60=R$1),0),$F178-1966)</f>
        <v>-19.175000000000001</v>
      </c>
      <c r="S178" s="4" cm="1">
        <f t="array" ref="S178">INDEX(GMW!$A$2:$NF$60,MATCH(1,(GMW!$NE$2:$NE$60=S$3)*(GMW!$ND$2:$ND$60=S$4)*(GMW!$NF$2:$NF$60=S$1),0),$F178-1966)</f>
        <v>-10.12303</v>
      </c>
      <c r="T178" s="4" cm="1">
        <f t="array" ref="T178">INDEX(GMW!$A$2:$NF$60,MATCH(1,(GMW!$NE$2:$NE$60=T$3)*(GMW!$ND$2:$ND$60=T$4)*(GMW!$NF$2:$NF$60=T$1),0),$F178-1966)</f>
        <v>3942</v>
      </c>
      <c r="U178" s="4" cm="1">
        <f t="array" ref="U178">INDEX(GMW!$A$2:$NF$60,MATCH(1,(GMW!$NE$2:$NE$60=U$3)*(GMW!$ND$2:$ND$60=U$4)*(GMW!$NF$2:$NF$60=U$1),0),$F178-1966)</f>
        <v>1683922</v>
      </c>
      <c r="V178" s="4" cm="1">
        <f t="array" ref="V178">INDEX(GMW!$A$2:$NF$60,MATCH(1,(GMW!$NE$2:$NE$60=V$3)*(GMW!$ND$2:$ND$60=V$4)*(GMW!$NF$2:$NF$60=V$1),0),$F178-1966)</f>
        <v>25009.53</v>
      </c>
      <c r="W178" s="4" cm="1">
        <f t="array" ref="W178">INDEX(GMW!$A$2:$NF$60,MATCH(1,(GMW!$NE$2:$NE$60=W$3)*(GMW!$ND$2:$ND$60=W$4)*(GMW!$NF$2:$NF$60=W$1),0),$F178-1966)</f>
        <v>1171031</v>
      </c>
      <c r="X178" s="4" cm="1">
        <f t="array" ref="X178">INDEX(GMW!$A$2:$NF$60,MATCH(1,(GMW!$NE$2:$NE$60=X$3)*(GMW!$ND$2:$ND$60=X$4)*(GMW!$NF$2:$NF$60=X$1),0),$F178-1966)</f>
        <v>2020.704</v>
      </c>
      <c r="Y178" s="4" cm="1">
        <f t="array" ref="Y178">INDEX(GMW!$A$2:$NF$60,MATCH(1,(GMW!$NE$2:$NE$60=Y$3)*(GMW!$ND$2:$ND$60=Y$4)*(GMW!$NF$2:$NF$60=Y$1),0),$F178-1966)</f>
        <v>2804.6370000000002</v>
      </c>
      <c r="Z178" s="4" cm="1">
        <f t="array" ref="Z178">INDEX(GMW!$A$2:$NF$60,MATCH(1,(GMW!$NE$2:$NE$60=Z$3)*(GMW!$ND$2:$ND$60=Z$4)*(GMW!$NF$2:$NF$60=Z$1),0),$F178-1966)</f>
        <v>2624.2379999999998</v>
      </c>
      <c r="AA178" s="4" cm="1">
        <f t="array" ref="AA178">INDEX(GMW!$A$2:$NF$60,MATCH(1,(GMW!$NE$2:$NE$60=AA$3)*(GMW!$ND$2:$ND$60=AA$4)*(GMW!$NF$2:$NF$60=AA$1),0),$F178-1966)</f>
        <v>1983658</v>
      </c>
      <c r="AB178" s="4" cm="1">
        <f t="array" ref="AB178">INDEX(GMW!$A$2:$NF$60,MATCH(1,(GMW!$NE$2:$NE$60=AB$3)*(GMW!$ND$2:$ND$60=AB$4)*(GMW!$NF$2:$NF$60=AB$1),0),$F178-1966)</f>
        <v>485256</v>
      </c>
      <c r="AC178" s="4" cm="1">
        <f t="array" ref="AC178">INDEX(GMW!$A$2:$NF$60,MATCH(1,(GMW!$NE$2:$NE$60=AC$3)*(GMW!$ND$2:$ND$60=AC$4)*(GMW!$NF$2:$NF$60=AC$1),0),$F178-1966)</f>
        <v>4608.7749999999996</v>
      </c>
      <c r="AD178" s="4" cm="1">
        <f t="array" ref="AD178">INDEX(GMW!$A$2:$NF$60,MATCH(1,(GMW!$NE$2:$NE$60=AD$3)*(GMW!$ND$2:$ND$60=AD$4)*(GMW!$NF$2:$NF$60=AD$1),0),$F178-1966)</f>
        <v>134821</v>
      </c>
      <c r="AE178" s="4" cm="1">
        <f t="array" ref="AE178">INDEX(GMW!$A$2:$NF$60,MATCH(1,(GMW!$NE$2:$NE$60=AE$3)*(GMW!$ND$2:$ND$60=AE$4)*(GMW!$NF$2:$NF$60=AE$1),0),$F178-1966)</f>
        <v>780.65499999999997</v>
      </c>
      <c r="AF178" s="4" cm="1">
        <f t="array" ref="AF178">INDEX(GMW!$A$2:$NF$60,MATCH(1,(GMW!$NE$2:$NE$60=AF$3)*(GMW!$ND$2:$ND$60=AF$4)*(GMW!$NF$2:$NF$60=AF$1),0),$F178-1966)</f>
        <v>554.67600000000004</v>
      </c>
      <c r="AG178" s="4" cm="1">
        <f t="array" ref="AG178">INDEX(GMW!$A$2:$NF$60,MATCH(1,(GMW!$NE$2:$NE$60=AG$3)*(GMW!$ND$2:$ND$60=AG$4)*(GMW!$NF$2:$NF$60=AG$1),0),$F178-1966)</f>
        <v>418.11</v>
      </c>
      <c r="AH178" s="4" cm="1">
        <f t="array" ref="AH178">INDEX(GMW!$A$2:$NF$60,MATCH(1,(GMW!$NE$2:$NE$60=AH$3)*(GMW!$ND$2:$ND$60=AH$4)*(GMW!$NF$2:$NF$60=AH$1),0),$F178-1966)</f>
        <v>497920</v>
      </c>
    </row>
    <row r="179" spans="1:34" x14ac:dyDescent="0.25">
      <c r="A179" s="4">
        <v>2016</v>
      </c>
      <c r="B179" s="4">
        <f t="shared" si="57"/>
        <v>2016</v>
      </c>
      <c r="C179" s="4">
        <f t="shared" si="57"/>
        <v>2015</v>
      </c>
      <c r="D179" s="4">
        <f t="shared" si="57"/>
        <v>2015</v>
      </c>
      <c r="F179" s="4">
        <f t="shared" si="59"/>
        <v>2145</v>
      </c>
      <c r="G179" s="4" cm="1">
        <f t="array" ref="G179">INDEX(GMW!$A$2:$NF$60,MATCH(1,(GMW!$NE$2:$NE$60=G$3)*(GMW!$ND$2:$ND$60=G$4)*(GMW!$NF$2:$NF$60=G$1),0),$F179-1966)</f>
        <v>580110</v>
      </c>
      <c r="H179" s="4" cm="1">
        <f t="array" ref="H179">INDEX(GMW!$A$2:$NF$60,MATCH(1,(GMW!$NE$2:$NE$60=H$3)*(GMW!$ND$2:$ND$60=H$4)*(GMW!$NF$2:$NF$60=H$1),0),$F179-1966)</f>
        <v>4750.4250000000002</v>
      </c>
      <c r="I179" s="4" cm="1">
        <f t="array" ref="I179">INDEX(GMW!$A$2:$NF$60,MATCH(1,(GMW!$NE$2:$NE$60=I$3)*(GMW!$ND$2:$ND$60=I$4)*(GMW!$NF$2:$NF$60=I$1),0),$F179-1966)</f>
        <v>135492.6</v>
      </c>
      <c r="J179" s="4" cm="1">
        <f t="array" ref="J179">INDEX(GMW!$A$2:$NF$60,MATCH(1,(GMW!$NE$2:$NE$60=J$3)*(GMW!$ND$2:$ND$60=J$4)*(GMW!$NF$2:$NF$60=J$1),0),$F179-1966)</f>
        <v>851.79</v>
      </c>
      <c r="K179" s="4" cm="1">
        <f t="array" ref="K179">INDEX(GMW!$A$2:$NF$60,MATCH(1,(GMW!$NE$2:$NE$60=K$3)*(GMW!$ND$2:$ND$60=K$4)*(GMW!$NF$2:$NF$60=K$1),0),$F179-1966)</f>
        <v>590.553</v>
      </c>
      <c r="L179" s="4" cm="1">
        <f t="array" ref="L179">INDEX(GMW!$A$2:$NF$60,MATCH(1,(GMW!$NE$2:$NE$60=L$3)*(GMW!$ND$2:$ND$60=L$4)*(GMW!$NF$2:$NF$60=L$1),0),$F179-1966)</f>
        <v>442.80799999999999</v>
      </c>
      <c r="M179" s="4" cm="1">
        <f t="array" ref="M179">INDEX(GMW!$A$2:$NF$60,MATCH(1,(GMW!$NE$2:$NE$60=M$3)*(GMW!$ND$2:$ND$60=M$4)*(GMW!$NF$2:$NF$60=M$1),0),$F179-1966)</f>
        <v>517933</v>
      </c>
      <c r="N179" s="4" cm="1">
        <f t="array" ref="N179">INDEX(GMW!$A$2:$NF$60,MATCH(1,(GMW!$NE$2:$NE$60=N$3)*(GMW!$ND$2:$ND$60=N$4)*(GMW!$NF$2:$NF$60=N$1),0),$F179-1966)</f>
        <v>-4526</v>
      </c>
      <c r="O179" s="4" cm="1">
        <f t="array" ref="O179">INDEX(GMW!$A$2:$NF$60,MATCH(1,(GMW!$NE$2:$NE$60=O$3)*(GMW!$ND$2:$ND$60=O$4)*(GMW!$NF$2:$NF$60=O$1),0),$F179-1966)</f>
        <v>-248.2165</v>
      </c>
      <c r="P179" s="4" cm="1">
        <f t="array" ref="P179">INDEX(GMW!$A$2:$NF$60,MATCH(1,(GMW!$NE$2:$NE$60=P$3)*(GMW!$ND$2:$ND$60=P$4)*(GMW!$NF$2:$NF$60=P$1),0),$F179-1966)</f>
        <v>-5695.5</v>
      </c>
      <c r="Q179" s="4" cm="1">
        <f t="array" ref="Q179">INDEX(GMW!$A$2:$NF$60,MATCH(1,(GMW!$NE$2:$NE$60=Q$3)*(GMW!$ND$2:$ND$60=Q$4)*(GMW!$NF$2:$NF$60=Q$1),0),$F179-1966)</f>
        <v>7.7370000000000001</v>
      </c>
      <c r="R179" s="4" cm="1">
        <f t="array" ref="R179">INDEX(GMW!$A$2:$NF$60,MATCH(1,(GMW!$NE$2:$NE$60=R$3)*(GMW!$ND$2:$ND$60=R$4)*(GMW!$NF$2:$NF$60=R$1),0),$F179-1966)</f>
        <v>-21.288</v>
      </c>
      <c r="S179" s="4" cm="1">
        <f t="array" ref="S179">INDEX(GMW!$A$2:$NF$60,MATCH(1,(GMW!$NE$2:$NE$60=S$3)*(GMW!$ND$2:$ND$60=S$4)*(GMW!$NF$2:$NF$60=S$1),0),$F179-1966)</f>
        <v>-10.18397</v>
      </c>
      <c r="T179" s="4" cm="1">
        <f t="array" ref="T179">INDEX(GMW!$A$2:$NF$60,MATCH(1,(GMW!$NE$2:$NE$60=T$3)*(GMW!$ND$2:$ND$60=T$4)*(GMW!$NF$2:$NF$60=T$1),0),$F179-1966)</f>
        <v>1514</v>
      </c>
      <c r="U179" s="4" cm="1">
        <f t="array" ref="U179">INDEX(GMW!$A$2:$NF$60,MATCH(1,(GMW!$NE$2:$NE$60=U$3)*(GMW!$ND$2:$ND$60=U$4)*(GMW!$NF$2:$NF$60=U$1),0),$F179-1966)</f>
        <v>1670236</v>
      </c>
      <c r="V179" s="4" cm="1">
        <f t="array" ref="V179">INDEX(GMW!$A$2:$NF$60,MATCH(1,(GMW!$NE$2:$NE$60=V$3)*(GMW!$ND$2:$ND$60=V$4)*(GMW!$NF$2:$NF$60=V$1),0),$F179-1966)</f>
        <v>25370.13</v>
      </c>
      <c r="W179" s="4" cm="1">
        <f t="array" ref="W179">INDEX(GMW!$A$2:$NF$60,MATCH(1,(GMW!$NE$2:$NE$60=W$3)*(GMW!$ND$2:$ND$60=W$4)*(GMW!$NF$2:$NF$60=W$1),0),$F179-1966)</f>
        <v>1176061</v>
      </c>
      <c r="X179" s="4" cm="1">
        <f t="array" ref="X179">INDEX(GMW!$A$2:$NF$60,MATCH(1,(GMW!$NE$2:$NE$60=X$3)*(GMW!$ND$2:$ND$60=X$4)*(GMW!$NF$2:$NF$60=X$1),0),$F179-1966)</f>
        <v>2033.8140000000001</v>
      </c>
      <c r="Y179" s="4" cm="1">
        <f t="array" ref="Y179">INDEX(GMW!$A$2:$NF$60,MATCH(1,(GMW!$NE$2:$NE$60=Y$3)*(GMW!$ND$2:$ND$60=Y$4)*(GMW!$NF$2:$NF$60=Y$1),0),$F179-1966)</f>
        <v>2944.64</v>
      </c>
      <c r="Z179" s="4" cm="1">
        <f t="array" ref="Z179">INDEX(GMW!$A$2:$NF$60,MATCH(1,(GMW!$NE$2:$NE$60=Z$3)*(GMW!$ND$2:$ND$60=Z$4)*(GMW!$NF$2:$NF$60=Z$1),0),$F179-1966)</f>
        <v>2628.364</v>
      </c>
      <c r="AA179" s="4" cm="1">
        <f t="array" ref="AA179">INDEX(GMW!$A$2:$NF$60,MATCH(1,(GMW!$NE$2:$NE$60=AA$3)*(GMW!$ND$2:$ND$60=AA$4)*(GMW!$NF$2:$NF$60=AA$1),0),$F179-1966)</f>
        <v>1995346</v>
      </c>
      <c r="AB179" s="4" cm="1">
        <f t="array" ref="AB179">INDEX(GMW!$A$2:$NF$60,MATCH(1,(GMW!$NE$2:$NE$60=AB$3)*(GMW!$ND$2:$ND$60=AB$4)*(GMW!$NF$2:$NF$60=AB$1),0),$F179-1966)</f>
        <v>489683</v>
      </c>
      <c r="AC179" s="4" cm="1">
        <f t="array" ref="AC179">INDEX(GMW!$A$2:$NF$60,MATCH(1,(GMW!$NE$2:$NE$60=AC$3)*(GMW!$ND$2:$ND$60=AC$4)*(GMW!$NF$2:$NF$60=AC$1),0),$F179-1966)</f>
        <v>4631.4750000000004</v>
      </c>
      <c r="AD179" s="4" cm="1">
        <f t="array" ref="AD179">INDEX(GMW!$A$2:$NF$60,MATCH(1,(GMW!$NE$2:$NE$60=AD$3)*(GMW!$ND$2:$ND$60=AD$4)*(GMW!$NF$2:$NF$60=AD$1),0),$F179-1966)</f>
        <v>136319.5</v>
      </c>
      <c r="AE179" s="4" cm="1">
        <f t="array" ref="AE179">INDEX(GMW!$A$2:$NF$60,MATCH(1,(GMW!$NE$2:$NE$60=AE$3)*(GMW!$ND$2:$ND$60=AE$4)*(GMW!$NF$2:$NF$60=AE$1),0),$F179-1966)</f>
        <v>790.26499999999999</v>
      </c>
      <c r="AF179" s="4" cm="1">
        <f t="array" ref="AF179">INDEX(GMW!$A$2:$NF$60,MATCH(1,(GMW!$NE$2:$NE$60=AF$3)*(GMW!$ND$2:$ND$60=AF$4)*(GMW!$NF$2:$NF$60=AF$1),0),$F179-1966)</f>
        <v>557.28700000000003</v>
      </c>
      <c r="AG179" s="4" cm="1">
        <f t="array" ref="AG179">INDEX(GMW!$A$2:$NF$60,MATCH(1,(GMW!$NE$2:$NE$60=AG$3)*(GMW!$ND$2:$ND$60=AG$4)*(GMW!$NF$2:$NF$60=AG$1),0),$F179-1966)</f>
        <v>423.584</v>
      </c>
      <c r="AH179" s="4" cm="1">
        <f t="array" ref="AH179">INDEX(GMW!$A$2:$NF$60,MATCH(1,(GMW!$NE$2:$NE$60=AH$3)*(GMW!$ND$2:$ND$60=AH$4)*(GMW!$NF$2:$NF$60=AH$1),0),$F179-1966)</f>
        <v>499605</v>
      </c>
    </row>
    <row r="180" spans="1:34" x14ac:dyDescent="0.25">
      <c r="B180" s="4">
        <f t="shared" si="57"/>
        <v>2016</v>
      </c>
      <c r="C180" s="4">
        <f t="shared" si="57"/>
        <v>2016</v>
      </c>
      <c r="F180" s="4">
        <f t="shared" si="59"/>
        <v>2146</v>
      </c>
      <c r="G180" s="4" cm="1">
        <f t="array" ref="G180">INDEX(GMW!$A$2:$NF$60,MATCH(1,(GMW!$NE$2:$NE$60=G$3)*(GMW!$ND$2:$ND$60=G$4)*(GMW!$NF$2:$NF$60=G$1),0),$F180-1966)</f>
        <v>583383</v>
      </c>
      <c r="H180" s="4" cm="1">
        <f t="array" ref="H180">INDEX(GMW!$A$2:$NF$60,MATCH(1,(GMW!$NE$2:$NE$60=H$3)*(GMW!$ND$2:$ND$60=H$4)*(GMW!$NF$2:$NF$60=H$1),0),$F180-1966)</f>
        <v>4765.6750000000002</v>
      </c>
      <c r="I180" s="4" cm="1">
        <f t="array" ref="I180">INDEX(GMW!$A$2:$NF$60,MATCH(1,(GMW!$NE$2:$NE$60=I$3)*(GMW!$ND$2:$ND$60=I$4)*(GMW!$NF$2:$NF$60=I$1),0),$F180-1966)</f>
        <v>135265.70000000001</v>
      </c>
      <c r="J180" s="4" cm="1">
        <f t="array" ref="J180">INDEX(GMW!$A$2:$NF$60,MATCH(1,(GMW!$NE$2:$NE$60=J$3)*(GMW!$ND$2:$ND$60=J$4)*(GMW!$NF$2:$NF$60=J$1),0),$F180-1966)</f>
        <v>853.69</v>
      </c>
      <c r="K180" s="4" cm="1">
        <f t="array" ref="K180">INDEX(GMW!$A$2:$NF$60,MATCH(1,(GMW!$NE$2:$NE$60=K$3)*(GMW!$ND$2:$ND$60=K$4)*(GMW!$NF$2:$NF$60=K$1),0),$F180-1966)</f>
        <v>589.52</v>
      </c>
      <c r="L180" s="4" cm="1">
        <f t="array" ref="L180">INDEX(GMW!$A$2:$NF$60,MATCH(1,(GMW!$NE$2:$NE$60=L$3)*(GMW!$ND$2:$ND$60=L$4)*(GMW!$NF$2:$NF$60=L$1),0),$F180-1966)</f>
        <v>444.02199999999999</v>
      </c>
      <c r="M180" s="4" cm="1">
        <f t="array" ref="M180">INDEX(GMW!$A$2:$NF$60,MATCH(1,(GMW!$NE$2:$NE$60=M$3)*(GMW!$ND$2:$ND$60=M$4)*(GMW!$NF$2:$NF$60=M$1),0),$F180-1966)</f>
        <v>515353</v>
      </c>
      <c r="N180" s="4" cm="1">
        <f t="array" ref="N180">INDEX(GMW!$A$2:$NF$60,MATCH(1,(GMW!$NE$2:$NE$60=N$3)*(GMW!$ND$2:$ND$60=N$4)*(GMW!$NF$2:$NF$60=N$1),0),$F180-1966)</f>
        <v>-24642</v>
      </c>
      <c r="O180" s="4" cm="1">
        <f t="array" ref="O180">INDEX(GMW!$A$2:$NF$60,MATCH(1,(GMW!$NE$2:$NE$60=O$3)*(GMW!$ND$2:$ND$60=O$4)*(GMW!$NF$2:$NF$60=O$1),0),$F180-1966)</f>
        <v>-253.43819999999999</v>
      </c>
      <c r="P180" s="4" cm="1">
        <f t="array" ref="P180">INDEX(GMW!$A$2:$NF$60,MATCH(1,(GMW!$NE$2:$NE$60=P$3)*(GMW!$ND$2:$ND$60=P$4)*(GMW!$NF$2:$NF$60=P$1),0),$F180-1966)</f>
        <v>-4881</v>
      </c>
      <c r="Q180" s="4" cm="1">
        <f t="array" ref="Q180">INDEX(GMW!$A$2:$NF$60,MATCH(1,(GMW!$NE$2:$NE$60=Q$3)*(GMW!$ND$2:$ND$60=Q$4)*(GMW!$NF$2:$NF$60=Q$1),0),$F180-1966)</f>
        <v>8.0730000000000004</v>
      </c>
      <c r="R180" s="4" cm="1">
        <f t="array" ref="R180">INDEX(GMW!$A$2:$NF$60,MATCH(1,(GMW!$NE$2:$NE$60=R$3)*(GMW!$ND$2:$ND$60=R$4)*(GMW!$NF$2:$NF$60=R$1),0),$F180-1966)</f>
        <v>-20.292999999999999</v>
      </c>
      <c r="S180" s="4" cm="1">
        <f t="array" ref="S180">INDEX(GMW!$A$2:$NF$60,MATCH(1,(GMW!$NE$2:$NE$60=S$3)*(GMW!$ND$2:$ND$60=S$4)*(GMW!$NF$2:$NF$60=S$1),0),$F180-1966)</f>
        <v>-10.134969999999999</v>
      </c>
      <c r="T180" s="4" cm="1">
        <f t="array" ref="T180">INDEX(GMW!$A$2:$NF$60,MATCH(1,(GMW!$NE$2:$NE$60=T$3)*(GMW!$ND$2:$ND$60=T$4)*(GMW!$NF$2:$NF$60=T$1),0),$F180-1966)</f>
        <v>661</v>
      </c>
      <c r="U180" s="4" cm="1">
        <f t="array" ref="U180">INDEX(GMW!$A$2:$NF$60,MATCH(1,(GMW!$NE$2:$NE$60=U$3)*(GMW!$ND$2:$ND$60=U$4)*(GMW!$NF$2:$NF$60=U$1),0),$F180-1966)</f>
        <v>1708538</v>
      </c>
      <c r="V180" s="4" cm="1">
        <f t="array" ref="V180">INDEX(GMW!$A$2:$NF$60,MATCH(1,(GMW!$NE$2:$NE$60=V$3)*(GMW!$ND$2:$ND$60=V$4)*(GMW!$NF$2:$NF$60=V$1),0),$F180-1966)</f>
        <v>25435.39</v>
      </c>
      <c r="W180" s="4" cm="1">
        <f t="array" ref="W180">INDEX(GMW!$A$2:$NF$60,MATCH(1,(GMW!$NE$2:$NE$60=W$3)*(GMW!$ND$2:$ND$60=W$4)*(GMW!$NF$2:$NF$60=W$1),0),$F180-1966)</f>
        <v>1181092</v>
      </c>
      <c r="X180" s="4" cm="1">
        <f t="array" ref="X180">INDEX(GMW!$A$2:$NF$60,MATCH(1,(GMW!$NE$2:$NE$60=X$3)*(GMW!$ND$2:$ND$60=X$4)*(GMW!$NF$2:$NF$60=X$1),0),$F180-1966)</f>
        <v>2037.58</v>
      </c>
      <c r="Y180" s="4" cm="1">
        <f t="array" ref="Y180">INDEX(GMW!$A$2:$NF$60,MATCH(1,(GMW!$NE$2:$NE$60=Y$3)*(GMW!$ND$2:$ND$60=Y$4)*(GMW!$NF$2:$NF$60=Y$1),0),$F180-1966)</f>
        <v>3006.81</v>
      </c>
      <c r="Z180" s="4" cm="1">
        <f t="array" ref="Z180">INDEX(GMW!$A$2:$NF$60,MATCH(1,(GMW!$NE$2:$NE$60=Z$3)*(GMW!$ND$2:$ND$60=Z$4)*(GMW!$NF$2:$NF$60=Z$1),0),$F180-1966)</f>
        <v>2632.49</v>
      </c>
      <c r="AA180" s="4" cm="1">
        <f t="array" ref="AA180">INDEX(GMW!$A$2:$NF$60,MATCH(1,(GMW!$NE$2:$NE$60=AA$3)*(GMW!$ND$2:$ND$60=AA$4)*(GMW!$NF$2:$NF$60=AA$1),0),$F180-1966)</f>
        <v>2026896</v>
      </c>
      <c r="AB180" s="4" cm="1">
        <f t="array" ref="AB180">INDEX(GMW!$A$2:$NF$60,MATCH(1,(GMW!$NE$2:$NE$60=AB$3)*(GMW!$ND$2:$ND$60=AB$4)*(GMW!$NF$2:$NF$60=AB$1),0),$F180-1966)</f>
        <v>493710</v>
      </c>
      <c r="AC180" s="4" cm="1">
        <f t="array" ref="AC180">INDEX(GMW!$A$2:$NF$60,MATCH(1,(GMW!$NE$2:$NE$60=AC$3)*(GMW!$ND$2:$ND$60=AC$4)*(GMW!$NF$2:$NF$60=AC$1),0),$F180-1966)</f>
        <v>4677.9250000000002</v>
      </c>
      <c r="AD180" s="4" cm="1">
        <f t="array" ref="AD180">INDEX(GMW!$A$2:$NF$60,MATCH(1,(GMW!$NE$2:$NE$60=AD$3)*(GMW!$ND$2:$ND$60=AD$4)*(GMW!$NF$2:$NF$60=AD$1),0),$F180-1966)</f>
        <v>135844</v>
      </c>
      <c r="AE180" s="4" cm="1">
        <f t="array" ref="AE180">INDEX(GMW!$A$2:$NF$60,MATCH(1,(GMW!$NE$2:$NE$60=AE$3)*(GMW!$ND$2:$ND$60=AE$4)*(GMW!$NF$2:$NF$60=AE$1),0),$F180-1966)</f>
        <v>794.80799999999999</v>
      </c>
      <c r="AF180" s="4" cm="1">
        <f t="array" ref="AF180">INDEX(GMW!$A$2:$NF$60,MATCH(1,(GMW!$NE$2:$NE$60=AF$3)*(GMW!$ND$2:$ND$60=AF$4)*(GMW!$NF$2:$NF$60=AF$1),0),$F180-1966)</f>
        <v>555.57299999999998</v>
      </c>
      <c r="AG180" s="4" cm="1">
        <f t="array" ref="AG180">INDEX(GMW!$A$2:$NF$60,MATCH(1,(GMW!$NE$2:$NE$60=AG$3)*(GMW!$ND$2:$ND$60=AG$4)*(GMW!$NF$2:$NF$60=AG$1),0),$F180-1966)</f>
        <v>424.649</v>
      </c>
      <c r="AH180" s="4" cm="1">
        <f t="array" ref="AH180">INDEX(GMW!$A$2:$NF$60,MATCH(1,(GMW!$NE$2:$NE$60=AH$3)*(GMW!$ND$2:$ND$60=AH$4)*(GMW!$NF$2:$NF$60=AH$1),0),$F180-1966)</f>
        <v>500538</v>
      </c>
    </row>
    <row r="181" spans="1:34" x14ac:dyDescent="0.25">
      <c r="B181" s="4">
        <f t="shared" si="57"/>
        <v>2016</v>
      </c>
      <c r="C181" s="4">
        <f t="shared" si="57"/>
        <v>2016</v>
      </c>
      <c r="F181" s="4">
        <f t="shared" si="59"/>
        <v>2147</v>
      </c>
      <c r="G181" s="4" cm="1">
        <f t="array" ref="G181">INDEX(GMW!$A$2:$NF$60,MATCH(1,(GMW!$NE$2:$NE$60=G$3)*(GMW!$ND$2:$ND$60=G$4)*(GMW!$NF$2:$NF$60=G$1),0),$F181-1966)</f>
        <v>585856</v>
      </c>
      <c r="H181" s="4" cm="1">
        <f t="array" ref="H181">INDEX(GMW!$A$2:$NF$60,MATCH(1,(GMW!$NE$2:$NE$60=H$3)*(GMW!$ND$2:$ND$60=H$4)*(GMW!$NF$2:$NF$60=H$1),0),$F181-1966)</f>
        <v>4799.4750000000004</v>
      </c>
      <c r="I181" s="4" cm="1">
        <f t="array" ref="I181">INDEX(GMW!$A$2:$NF$60,MATCH(1,(GMW!$NE$2:$NE$60=I$3)*(GMW!$ND$2:$ND$60=I$4)*(GMW!$NF$2:$NF$60=I$1),0),$F181-1966)</f>
        <v>135545.79999999999</v>
      </c>
      <c r="J181" s="4" cm="1">
        <f t="array" ref="J181">INDEX(GMW!$A$2:$NF$60,MATCH(1,(GMW!$NE$2:$NE$60=J$3)*(GMW!$ND$2:$ND$60=J$4)*(GMW!$NF$2:$NF$60=J$1),0),$F181-1966)</f>
        <v>856.71</v>
      </c>
      <c r="K181" s="4" cm="1">
        <f t="array" ref="K181">INDEX(GMW!$A$2:$NF$60,MATCH(1,(GMW!$NE$2:$NE$60=K$3)*(GMW!$ND$2:$ND$60=K$4)*(GMW!$NF$2:$NF$60=K$1),0),$F181-1966)</f>
        <v>590.30200000000002</v>
      </c>
      <c r="L181" s="4" cm="1">
        <f t="array" ref="L181">INDEX(GMW!$A$2:$NF$60,MATCH(1,(GMW!$NE$2:$NE$60=L$3)*(GMW!$ND$2:$ND$60=L$4)*(GMW!$NF$2:$NF$60=L$1),0),$F181-1966)</f>
        <v>447.17399999999998</v>
      </c>
      <c r="M181" s="4" cm="1">
        <f t="array" ref="M181">INDEX(GMW!$A$2:$NF$60,MATCH(1,(GMW!$NE$2:$NE$60=M$3)*(GMW!$ND$2:$ND$60=M$4)*(GMW!$NF$2:$NF$60=M$1),0),$F181-1966)</f>
        <v>520701.3</v>
      </c>
      <c r="N181" s="4" cm="1">
        <f t="array" ref="N181">INDEX(GMW!$A$2:$NF$60,MATCH(1,(GMW!$NE$2:$NE$60=N$3)*(GMW!$ND$2:$ND$60=N$4)*(GMW!$NF$2:$NF$60=N$1),0),$F181-1966)</f>
        <v>-18978</v>
      </c>
      <c r="O181" s="4" cm="1">
        <f t="array" ref="O181">INDEX(GMW!$A$2:$NF$60,MATCH(1,(GMW!$NE$2:$NE$60=O$3)*(GMW!$ND$2:$ND$60=O$4)*(GMW!$NF$2:$NF$60=O$1),0),$F181-1966)</f>
        <v>-254.0847</v>
      </c>
      <c r="P181" s="4" cm="1">
        <f t="array" ref="P181">INDEX(GMW!$A$2:$NF$60,MATCH(1,(GMW!$NE$2:$NE$60=P$3)*(GMW!$ND$2:$ND$60=P$4)*(GMW!$NF$2:$NF$60=P$1),0),$F181-1966)</f>
        <v>-4651</v>
      </c>
      <c r="Q181" s="4" cm="1">
        <f t="array" ref="Q181">INDEX(GMW!$A$2:$NF$60,MATCH(1,(GMW!$NE$2:$NE$60=Q$3)*(GMW!$ND$2:$ND$60=Q$4)*(GMW!$NF$2:$NF$60=Q$1),0),$F181-1966)</f>
        <v>5.226</v>
      </c>
      <c r="R181" s="4" cm="1">
        <f t="array" ref="R181">INDEX(GMW!$A$2:$NF$60,MATCH(1,(GMW!$NE$2:$NE$60=R$3)*(GMW!$ND$2:$ND$60=R$4)*(GMW!$NF$2:$NF$60=R$1),0),$F181-1966)</f>
        <v>-22.225999999999999</v>
      </c>
      <c r="S181" s="4" cm="1">
        <f t="array" ref="S181">INDEX(GMW!$A$2:$NF$60,MATCH(1,(GMW!$NE$2:$NE$60=S$3)*(GMW!$ND$2:$ND$60=S$4)*(GMW!$NF$2:$NF$60=S$1),0),$F181-1966)</f>
        <v>-10.224500000000001</v>
      </c>
      <c r="T181" s="4" cm="1">
        <f t="array" ref="T181">INDEX(GMW!$A$2:$NF$60,MATCH(1,(GMW!$NE$2:$NE$60=T$3)*(GMW!$ND$2:$ND$60=T$4)*(GMW!$NF$2:$NF$60=T$1),0),$F181-1966)</f>
        <v>-1319</v>
      </c>
      <c r="U181" s="4" cm="1">
        <f t="array" ref="U181">INDEX(GMW!$A$2:$NF$60,MATCH(1,(GMW!$NE$2:$NE$60=U$3)*(GMW!$ND$2:$ND$60=U$4)*(GMW!$NF$2:$NF$60=U$1),0),$F181-1966)</f>
        <v>1709287</v>
      </c>
      <c r="V181" s="4" cm="1">
        <f t="array" ref="V181">INDEX(GMW!$A$2:$NF$60,MATCH(1,(GMW!$NE$2:$NE$60=V$3)*(GMW!$ND$2:$ND$60=V$4)*(GMW!$NF$2:$NF$60=V$1),0),$F181-1966)</f>
        <v>25672.37</v>
      </c>
      <c r="W181" s="4" cm="1">
        <f t="array" ref="W181">INDEX(GMW!$A$2:$NF$60,MATCH(1,(GMW!$NE$2:$NE$60=W$3)*(GMW!$ND$2:$ND$60=W$4)*(GMW!$NF$2:$NF$60=W$1),0),$F181-1966)</f>
        <v>1186122</v>
      </c>
      <c r="X181" s="4" cm="1">
        <f t="array" ref="X181">INDEX(GMW!$A$2:$NF$60,MATCH(1,(GMW!$NE$2:$NE$60=X$3)*(GMW!$ND$2:$ND$60=X$4)*(GMW!$NF$2:$NF$60=X$1),0),$F181-1966)</f>
        <v>2031.3389999999999</v>
      </c>
      <c r="Y181" s="4" cm="1">
        <f t="array" ref="Y181">INDEX(GMW!$A$2:$NF$60,MATCH(1,(GMW!$NE$2:$NE$60=Y$3)*(GMW!$ND$2:$ND$60=Y$4)*(GMW!$NF$2:$NF$60=Y$1),0),$F181-1966)</f>
        <v>3030.9459999999999</v>
      </c>
      <c r="Z181" s="4" cm="1">
        <f t="array" ref="Z181">INDEX(GMW!$A$2:$NF$60,MATCH(1,(GMW!$NE$2:$NE$60=Z$3)*(GMW!$ND$2:$ND$60=Z$4)*(GMW!$NF$2:$NF$60=Z$1),0),$F181-1966)</f>
        <v>2636.6170000000002</v>
      </c>
      <c r="AA181" s="4" cm="1">
        <f t="array" ref="AA181">INDEX(GMW!$A$2:$NF$60,MATCH(1,(GMW!$NE$2:$NE$60=AA$3)*(GMW!$ND$2:$ND$60=AA$4)*(GMW!$NF$2:$NF$60=AA$1),0),$F181-1966)</f>
        <v>2063237</v>
      </c>
      <c r="AB181" s="4" cm="1">
        <f t="array" ref="AB181">INDEX(GMW!$A$2:$NF$60,MATCH(1,(GMW!$NE$2:$NE$60=AB$3)*(GMW!$ND$2:$ND$60=AB$4)*(GMW!$NF$2:$NF$60=AB$1),0),$F181-1966)</f>
        <v>500801</v>
      </c>
      <c r="AC181" s="4" cm="1">
        <f t="array" ref="AC181">INDEX(GMW!$A$2:$NF$60,MATCH(1,(GMW!$NE$2:$NE$60=AC$3)*(GMW!$ND$2:$ND$60=AC$4)*(GMW!$NF$2:$NF$60=AC$1),0),$F181-1966)</f>
        <v>4723.1499999999996</v>
      </c>
      <c r="AD181" s="4" cm="1">
        <f t="array" ref="AD181">INDEX(GMW!$A$2:$NF$60,MATCH(1,(GMW!$NE$2:$NE$60=AD$3)*(GMW!$ND$2:$ND$60=AD$4)*(GMW!$NF$2:$NF$60=AD$1),0),$F181-1966)</f>
        <v>135904.20000000001</v>
      </c>
      <c r="AE181" s="4" cm="1">
        <f t="array" ref="AE181">INDEX(GMW!$A$2:$NF$60,MATCH(1,(GMW!$NE$2:$NE$60=AE$3)*(GMW!$ND$2:$ND$60=AE$4)*(GMW!$NF$2:$NF$60=AE$1),0),$F181-1966)</f>
        <v>799.14300000000003</v>
      </c>
      <c r="AF181" s="4" cm="1">
        <f t="array" ref="AF181">INDEX(GMW!$A$2:$NF$60,MATCH(1,(GMW!$NE$2:$NE$60=AF$3)*(GMW!$ND$2:$ND$60=AF$4)*(GMW!$NF$2:$NF$60=AF$1),0),$F181-1966)</f>
        <v>557.09100000000001</v>
      </c>
      <c r="AG181" s="4" cm="1">
        <f t="array" ref="AG181">INDEX(GMW!$A$2:$NF$60,MATCH(1,(GMW!$NE$2:$NE$60=AG$3)*(GMW!$ND$2:$ND$60=AG$4)*(GMW!$NF$2:$NF$60=AG$1),0),$F181-1966)</f>
        <v>428.27100000000002</v>
      </c>
      <c r="AH181" s="4" cm="1">
        <f t="array" ref="AH181">INDEX(GMW!$A$2:$NF$60,MATCH(1,(GMW!$NE$2:$NE$60=AH$3)*(GMW!$ND$2:$ND$60=AH$4)*(GMW!$NF$2:$NF$60=AH$1),0),$F181-1966)</f>
        <v>508855</v>
      </c>
    </row>
    <row r="182" spans="1:34" x14ac:dyDescent="0.25">
      <c r="B182" s="4">
        <f t="shared" si="57"/>
        <v>2016</v>
      </c>
      <c r="C182" s="4">
        <f t="shared" si="57"/>
        <v>2016</v>
      </c>
      <c r="E182" s="4">
        <f t="shared" ref="E182" si="61">+E178+1</f>
        <v>2016</v>
      </c>
      <c r="F182" s="4">
        <f t="shared" si="59"/>
        <v>2148</v>
      </c>
      <c r="G182" s="4" cm="1">
        <f t="array" ref="G182">INDEX(GMW!$A$2:$NF$60,MATCH(1,(GMW!$NE$2:$NE$60=G$3)*(GMW!$ND$2:$ND$60=G$4)*(GMW!$NF$2:$NF$60=G$1),0),$F182-1966)</f>
        <v>589476</v>
      </c>
      <c r="H182" s="4" cm="1">
        <f t="array" ref="H182">INDEX(GMW!$A$2:$NF$60,MATCH(1,(GMW!$NE$2:$NE$60=H$3)*(GMW!$ND$2:$ND$60=H$4)*(GMW!$NF$2:$NF$60=H$1),0),$F182-1966)</f>
        <v>4826.1000000000004</v>
      </c>
      <c r="I182" s="4" cm="1">
        <f t="array" ref="I182">INDEX(GMW!$A$2:$NF$60,MATCH(1,(GMW!$NE$2:$NE$60=I$3)*(GMW!$ND$2:$ND$60=I$4)*(GMW!$NF$2:$NF$60=I$1),0),$F182-1966)</f>
        <v>135724.29999999999</v>
      </c>
      <c r="J182" s="4" cm="1">
        <f t="array" ref="J182">INDEX(GMW!$A$2:$NF$60,MATCH(1,(GMW!$NE$2:$NE$60=J$3)*(GMW!$ND$2:$ND$60=J$4)*(GMW!$NF$2:$NF$60=J$1),0),$F182-1966)</f>
        <v>860.67</v>
      </c>
      <c r="K182" s="4" cm="1">
        <f t="array" ref="K182">INDEX(GMW!$A$2:$NF$60,MATCH(1,(GMW!$NE$2:$NE$60=K$3)*(GMW!$ND$2:$ND$60=K$4)*(GMW!$NF$2:$NF$60=K$1),0),$F182-1966)</f>
        <v>594.03499999999997</v>
      </c>
      <c r="L182" s="4" cm="1">
        <f t="array" ref="L182">INDEX(GMW!$A$2:$NF$60,MATCH(1,(GMW!$NE$2:$NE$60=L$3)*(GMW!$ND$2:$ND$60=L$4)*(GMW!$NF$2:$NF$60=L$1),0),$F182-1966)</f>
        <v>448.86700000000002</v>
      </c>
      <c r="M182" s="4" cm="1">
        <f t="array" ref="M182">INDEX(GMW!$A$2:$NF$60,MATCH(1,(GMW!$NE$2:$NE$60=M$3)*(GMW!$ND$2:$ND$60=M$4)*(GMW!$NF$2:$NF$60=M$1),0),$F182-1966)</f>
        <v>523622.5</v>
      </c>
      <c r="N182" s="4" cm="1">
        <f t="array" ref="N182">INDEX(GMW!$A$2:$NF$60,MATCH(1,(GMW!$NE$2:$NE$60=N$3)*(GMW!$ND$2:$ND$60=N$4)*(GMW!$NF$2:$NF$60=N$1),0),$F182-1966)</f>
        <v>-20314</v>
      </c>
      <c r="O182" s="4" cm="1">
        <f t="array" ref="O182">INDEX(GMW!$A$2:$NF$60,MATCH(1,(GMW!$NE$2:$NE$60=O$3)*(GMW!$ND$2:$ND$60=O$4)*(GMW!$NF$2:$NF$60=O$1),0),$F182-1966)</f>
        <v>-256.91250000000002</v>
      </c>
      <c r="P182" s="4" cm="1">
        <f t="array" ref="P182">INDEX(GMW!$A$2:$NF$60,MATCH(1,(GMW!$NE$2:$NE$60=P$3)*(GMW!$ND$2:$ND$60=P$4)*(GMW!$NF$2:$NF$60=P$1),0),$F182-1966)</f>
        <v>-4367.25</v>
      </c>
      <c r="Q182" s="4" cm="1">
        <f t="array" ref="Q182">INDEX(GMW!$A$2:$NF$60,MATCH(1,(GMW!$NE$2:$NE$60=Q$3)*(GMW!$ND$2:$ND$60=Q$4)*(GMW!$NF$2:$NF$60=Q$1),0),$F182-1966)</f>
        <v>15.2</v>
      </c>
      <c r="R182" s="4" cm="1">
        <f t="array" ref="R182">INDEX(GMW!$A$2:$NF$60,MATCH(1,(GMW!$NE$2:$NE$60=R$3)*(GMW!$ND$2:$ND$60=R$4)*(GMW!$NF$2:$NF$60=R$1),0),$F182-1966)</f>
        <v>-20.224</v>
      </c>
      <c r="S182" s="4" cm="1">
        <f t="array" ref="S182">INDEX(GMW!$A$2:$NF$60,MATCH(1,(GMW!$NE$2:$NE$60=S$3)*(GMW!$ND$2:$ND$60=S$4)*(GMW!$NF$2:$NF$60=S$1),0),$F182-1966)</f>
        <v>-10.45256</v>
      </c>
      <c r="T182" s="4" cm="1">
        <f t="array" ref="T182">INDEX(GMW!$A$2:$NF$60,MATCH(1,(GMW!$NE$2:$NE$60=T$3)*(GMW!$ND$2:$ND$60=T$4)*(GMW!$NF$2:$NF$60=T$1),0),$F182-1966)</f>
        <v>-676</v>
      </c>
      <c r="U182" s="4" cm="1">
        <f t="array" ref="U182">INDEX(GMW!$A$2:$NF$60,MATCH(1,(GMW!$NE$2:$NE$60=U$3)*(GMW!$ND$2:$ND$60=U$4)*(GMW!$NF$2:$NF$60=U$1),0),$F182-1966)</f>
        <v>1749166</v>
      </c>
      <c r="V182" s="4" cm="1">
        <f t="array" ref="V182">INDEX(GMW!$A$2:$NF$60,MATCH(1,(GMW!$NE$2:$NE$60=V$3)*(GMW!$ND$2:$ND$60=V$4)*(GMW!$NF$2:$NF$60=V$1),0),$F182-1966)</f>
        <v>26031.279999999999</v>
      </c>
      <c r="W182" s="4" cm="1">
        <f t="array" ref="W182">INDEX(GMW!$A$2:$NF$60,MATCH(1,(GMW!$NE$2:$NE$60=W$3)*(GMW!$ND$2:$ND$60=W$4)*(GMW!$NF$2:$NF$60=W$1),0),$F182-1966)</f>
        <v>1191152</v>
      </c>
      <c r="X182" s="4" cm="1">
        <f t="array" ref="X182">INDEX(GMW!$A$2:$NF$60,MATCH(1,(GMW!$NE$2:$NE$60=X$3)*(GMW!$ND$2:$ND$60=X$4)*(GMW!$NF$2:$NF$60=X$1),0),$F182-1966)</f>
        <v>2006.8130000000001</v>
      </c>
      <c r="Y182" s="4" cm="1">
        <f t="array" ref="Y182">INDEX(GMW!$A$2:$NF$60,MATCH(1,(GMW!$NE$2:$NE$60=Y$3)*(GMW!$ND$2:$ND$60=Y$4)*(GMW!$NF$2:$NF$60=Y$1),0),$F182-1966)</f>
        <v>2898.7339999999999</v>
      </c>
      <c r="Z182" s="4" cm="1">
        <f t="array" ref="Z182">INDEX(GMW!$A$2:$NF$60,MATCH(1,(GMW!$NE$2:$NE$60=Z$3)*(GMW!$ND$2:$ND$60=Z$4)*(GMW!$NF$2:$NF$60=Z$1),0),$F182-1966)</f>
        <v>2640.7429999999999</v>
      </c>
      <c r="AA182" s="4" cm="1">
        <f t="array" ref="AA182">INDEX(GMW!$A$2:$NF$60,MATCH(1,(GMW!$NE$2:$NE$60=AA$3)*(GMW!$ND$2:$ND$60=AA$4)*(GMW!$NF$2:$NF$60=AA$1),0),$F182-1966)</f>
        <v>2014521</v>
      </c>
      <c r="AB182" s="4" cm="1">
        <f t="array" ref="AB182">INDEX(GMW!$A$2:$NF$60,MATCH(1,(GMW!$NE$2:$NE$60=AB$3)*(GMW!$ND$2:$ND$60=AB$4)*(GMW!$NF$2:$NF$60=AB$1),0),$F182-1966)</f>
        <v>507451</v>
      </c>
      <c r="AC182" s="4" cm="1">
        <f t="array" ref="AC182">INDEX(GMW!$A$2:$NF$60,MATCH(1,(GMW!$NE$2:$NE$60=AC$3)*(GMW!$ND$2:$ND$60=AC$4)*(GMW!$NF$2:$NF$60=AC$1),0),$F182-1966)</f>
        <v>4772.3500000000004</v>
      </c>
      <c r="AD182" s="4" cm="1">
        <f t="array" ref="AD182">INDEX(GMW!$A$2:$NF$60,MATCH(1,(GMW!$NE$2:$NE$60=AD$3)*(GMW!$ND$2:$ND$60=AD$4)*(GMW!$NF$2:$NF$60=AD$1),0),$F182-1966)</f>
        <v>136130.79999999999</v>
      </c>
      <c r="AE182" s="4" cm="1">
        <f t="array" ref="AE182">INDEX(GMW!$A$2:$NF$60,MATCH(1,(GMW!$NE$2:$NE$60=AE$3)*(GMW!$ND$2:$ND$60=AE$4)*(GMW!$NF$2:$NF$60=AE$1),0),$F182-1966)</f>
        <v>805.76900000000001</v>
      </c>
      <c r="AF182" s="4" cm="1">
        <f t="array" ref="AF182">INDEX(GMW!$A$2:$NF$60,MATCH(1,(GMW!$NE$2:$NE$60=AF$3)*(GMW!$ND$2:$ND$60=AF$4)*(GMW!$NF$2:$NF$60=AF$1),0),$F182-1966)</f>
        <v>560.68700000000001</v>
      </c>
      <c r="AG182" s="4" cm="1">
        <f t="array" ref="AG182">INDEX(GMW!$A$2:$NF$60,MATCH(1,(GMW!$NE$2:$NE$60=AG$3)*(GMW!$ND$2:$ND$60=AG$4)*(GMW!$NF$2:$NF$60=AG$1),0),$F182-1966)</f>
        <v>430.06299999999999</v>
      </c>
      <c r="AH182" s="4" cm="1">
        <f t="array" ref="AH182">INDEX(GMW!$A$2:$NF$60,MATCH(1,(GMW!$NE$2:$NE$60=AH$3)*(GMW!$ND$2:$ND$60=AH$4)*(GMW!$NF$2:$NF$60=AH$1),0),$F182-1966)</f>
        <v>516537</v>
      </c>
    </row>
    <row r="183" spans="1:34" x14ac:dyDescent="0.25">
      <c r="A183" s="4">
        <v>2017</v>
      </c>
      <c r="B183" s="4">
        <f t="shared" si="57"/>
        <v>2017</v>
      </c>
      <c r="C183" s="4">
        <f t="shared" si="57"/>
        <v>2016</v>
      </c>
      <c r="D183" s="4">
        <f t="shared" si="57"/>
        <v>2016</v>
      </c>
      <c r="F183" s="4">
        <f t="shared" si="59"/>
        <v>2149</v>
      </c>
      <c r="G183" s="4" cm="1">
        <f t="array" ref="G183">INDEX(GMW!$A$2:$NF$60,MATCH(1,(GMW!$NE$2:$NE$60=G$3)*(GMW!$ND$2:$ND$60=G$4)*(GMW!$NF$2:$NF$60=G$1),0),$F183-1966)</f>
        <v>594423</v>
      </c>
      <c r="H183" s="4" cm="1">
        <f t="array" ref="H183">INDEX(GMW!$A$2:$NF$60,MATCH(1,(GMW!$NE$2:$NE$60=H$3)*(GMW!$ND$2:$ND$60=H$4)*(GMW!$NF$2:$NF$60=H$1),0),$F183-1966)</f>
        <v>4849.5749999999998</v>
      </c>
      <c r="I183" s="4" cm="1">
        <f t="array" ref="I183">INDEX(GMW!$A$2:$NF$60,MATCH(1,(GMW!$NE$2:$NE$60=I$3)*(GMW!$ND$2:$ND$60=I$4)*(GMW!$NF$2:$NF$60=I$1),0),$F183-1966)</f>
        <v>136780.70000000001</v>
      </c>
      <c r="J183" s="4" cm="1">
        <f t="array" ref="J183">INDEX(GMW!$A$2:$NF$60,MATCH(1,(GMW!$NE$2:$NE$60=J$3)*(GMW!$ND$2:$ND$60=J$4)*(GMW!$NF$2:$NF$60=J$1),0),$F183-1966)</f>
        <v>871.85</v>
      </c>
      <c r="K183" s="4" cm="1">
        <f t="array" ref="K183">INDEX(GMW!$A$2:$NF$60,MATCH(1,(GMW!$NE$2:$NE$60=K$3)*(GMW!$ND$2:$ND$60=K$4)*(GMW!$NF$2:$NF$60=K$1),0),$F183-1966)</f>
        <v>598.01400000000001</v>
      </c>
      <c r="L183" s="4" cm="1">
        <f t="array" ref="L183">INDEX(GMW!$A$2:$NF$60,MATCH(1,(GMW!$NE$2:$NE$60=L$3)*(GMW!$ND$2:$ND$60=L$4)*(GMW!$NF$2:$NF$60=L$1),0),$F183-1966)</f>
        <v>450.875</v>
      </c>
      <c r="M183" s="4" cm="1">
        <f t="array" ref="M183">INDEX(GMW!$A$2:$NF$60,MATCH(1,(GMW!$NE$2:$NE$60=M$3)*(GMW!$ND$2:$ND$60=M$4)*(GMW!$NF$2:$NF$60=M$1),0),$F183-1966)</f>
        <v>530210.80000000005</v>
      </c>
      <c r="N183" s="4" cm="1">
        <f t="array" ref="N183">INDEX(GMW!$A$2:$NF$60,MATCH(1,(GMW!$NE$2:$NE$60=N$3)*(GMW!$ND$2:$ND$60=N$4)*(GMW!$NF$2:$NF$60=N$1),0),$F183-1966)</f>
        <v>6273</v>
      </c>
      <c r="O183" s="4" cm="1">
        <f t="array" ref="O183">INDEX(GMW!$A$2:$NF$60,MATCH(1,(GMW!$NE$2:$NE$60=O$3)*(GMW!$ND$2:$ND$60=O$4)*(GMW!$NF$2:$NF$60=O$1),0),$F183-1966)</f>
        <v>-264.25749999999999</v>
      </c>
      <c r="P183" s="4" cm="1">
        <f t="array" ref="P183">INDEX(GMW!$A$2:$NF$60,MATCH(1,(GMW!$NE$2:$NE$60=P$3)*(GMW!$ND$2:$ND$60=P$4)*(GMW!$NF$2:$NF$60=P$1),0),$F183-1966)</f>
        <v>-4253</v>
      </c>
      <c r="Q183" s="4" cm="1">
        <f t="array" ref="Q183">INDEX(GMW!$A$2:$NF$60,MATCH(1,(GMW!$NE$2:$NE$60=Q$3)*(GMW!$ND$2:$ND$60=Q$4)*(GMW!$NF$2:$NF$60=Q$1),0),$F183-1966)</f>
        <v>12.353999999999999</v>
      </c>
      <c r="R183" s="4" cm="1">
        <f t="array" ref="R183">INDEX(GMW!$A$2:$NF$60,MATCH(1,(GMW!$NE$2:$NE$60=R$3)*(GMW!$ND$2:$ND$60=R$4)*(GMW!$NF$2:$NF$60=R$1),0),$F183-1966)</f>
        <v>-21.088999999999999</v>
      </c>
      <c r="S183" s="4" cm="1">
        <f t="array" ref="S183">INDEX(GMW!$A$2:$NF$60,MATCH(1,(GMW!$NE$2:$NE$60=S$3)*(GMW!$ND$2:$ND$60=S$4)*(GMW!$NF$2:$NF$60=S$1),0),$F183-1966)</f>
        <v>-10.84094</v>
      </c>
      <c r="T183" s="4" cm="1">
        <f t="array" ref="T183">INDEX(GMW!$A$2:$NF$60,MATCH(1,(GMW!$NE$2:$NE$60=T$3)*(GMW!$ND$2:$ND$60=T$4)*(GMW!$NF$2:$NF$60=T$1),0),$F183-1966)</f>
        <v>122</v>
      </c>
      <c r="U183" s="4" cm="1">
        <f t="array" ref="U183">INDEX(GMW!$A$2:$NF$60,MATCH(1,(GMW!$NE$2:$NE$60=U$3)*(GMW!$ND$2:$ND$60=U$4)*(GMW!$NF$2:$NF$60=U$1),0),$F183-1966)</f>
        <v>1737660</v>
      </c>
      <c r="V183" s="4" cm="1">
        <f t="array" ref="V183">INDEX(GMW!$A$2:$NF$60,MATCH(1,(GMW!$NE$2:$NE$60=V$3)*(GMW!$ND$2:$ND$60=V$4)*(GMW!$NF$2:$NF$60=V$1),0),$F183-1966)</f>
        <v>26033.74</v>
      </c>
      <c r="W183" s="4" cm="1">
        <f t="array" ref="W183">INDEX(GMW!$A$2:$NF$60,MATCH(1,(GMW!$NE$2:$NE$60=W$3)*(GMW!$ND$2:$ND$60=W$4)*(GMW!$NF$2:$NF$60=W$1),0),$F183-1966)</f>
        <v>1195545</v>
      </c>
      <c r="X183" s="4" cm="1">
        <f t="array" ref="X183">INDEX(GMW!$A$2:$NF$60,MATCH(1,(GMW!$NE$2:$NE$60=X$3)*(GMW!$ND$2:$ND$60=X$4)*(GMW!$NF$2:$NF$60=X$1),0),$F183-1966)</f>
        <v>1988.9159999999999</v>
      </c>
      <c r="Y183" s="4" cm="1">
        <f t="array" ref="Y183">INDEX(GMW!$A$2:$NF$60,MATCH(1,(GMW!$NE$2:$NE$60=Y$3)*(GMW!$ND$2:$ND$60=Y$4)*(GMW!$NF$2:$NF$60=Y$1),0),$F183-1966)</f>
        <v>2979.3960000000002</v>
      </c>
      <c r="Z183" s="4" cm="1">
        <f t="array" ref="Z183">INDEX(GMW!$A$2:$NF$60,MATCH(1,(GMW!$NE$2:$NE$60=Z$3)*(GMW!$ND$2:$ND$60=Z$4)*(GMW!$NF$2:$NF$60=Z$1),0),$F183-1966)</f>
        <v>2643.3939999999998</v>
      </c>
      <c r="AA183" s="4" cm="1">
        <f t="array" ref="AA183">INDEX(GMW!$A$2:$NF$60,MATCH(1,(GMW!$NE$2:$NE$60=AA$3)*(GMW!$ND$2:$ND$60=AA$4)*(GMW!$NF$2:$NF$60=AA$1),0),$F183-1966)</f>
        <v>2008449</v>
      </c>
      <c r="AB183" s="4" cm="1">
        <f t="array" ref="AB183">INDEX(GMW!$A$2:$NF$60,MATCH(1,(GMW!$NE$2:$NE$60=AB$3)*(GMW!$ND$2:$ND$60=AB$4)*(GMW!$NF$2:$NF$60=AB$1),0),$F183-1966)</f>
        <v>513814</v>
      </c>
      <c r="AC183" s="4" cm="1">
        <f t="array" ref="AC183">INDEX(GMW!$A$2:$NF$60,MATCH(1,(GMW!$NE$2:$NE$60=AC$3)*(GMW!$ND$2:$ND$60=AC$4)*(GMW!$NF$2:$NF$60=AC$1),0),$F183-1966)</f>
        <v>4820.0249999999996</v>
      </c>
      <c r="AD183" s="4" cm="1">
        <f t="array" ref="AD183">INDEX(GMW!$A$2:$NF$60,MATCH(1,(GMW!$NE$2:$NE$60=AD$3)*(GMW!$ND$2:$ND$60=AD$4)*(GMW!$NF$2:$NF$60=AD$1),0),$F183-1966)</f>
        <v>136923.29999999999</v>
      </c>
      <c r="AE183" s="4" cm="1">
        <f t="array" ref="AE183">INDEX(GMW!$A$2:$NF$60,MATCH(1,(GMW!$NE$2:$NE$60=AE$3)*(GMW!$ND$2:$ND$60=AE$4)*(GMW!$NF$2:$NF$60=AE$1),0),$F183-1966)</f>
        <v>818.68899999999996</v>
      </c>
      <c r="AF183" s="4" cm="1">
        <f t="array" ref="AF183">INDEX(GMW!$A$2:$NF$60,MATCH(1,(GMW!$NE$2:$NE$60=AF$3)*(GMW!$ND$2:$ND$60=AF$4)*(GMW!$NF$2:$NF$60=AF$1),0),$F183-1966)</f>
        <v>565.99900000000002</v>
      </c>
      <c r="AG183" s="4" cm="1">
        <f t="array" ref="AG183">INDEX(GMW!$A$2:$NF$60,MATCH(1,(GMW!$NE$2:$NE$60=AG$3)*(GMW!$ND$2:$ND$60=AG$4)*(GMW!$NF$2:$NF$60=AG$1),0),$F183-1966)</f>
        <v>432.68</v>
      </c>
      <c r="AH183" s="4" cm="1">
        <f t="array" ref="AH183">INDEX(GMW!$A$2:$NF$60,MATCH(1,(GMW!$NE$2:$NE$60=AH$3)*(GMW!$ND$2:$ND$60=AH$4)*(GMW!$NF$2:$NF$60=AH$1),0),$F183-1966)</f>
        <v>526987</v>
      </c>
    </row>
    <row r="184" spans="1:34" x14ac:dyDescent="0.25">
      <c r="B184" s="4">
        <f t="shared" si="57"/>
        <v>2017</v>
      </c>
      <c r="C184" s="4">
        <f t="shared" si="57"/>
        <v>2017</v>
      </c>
      <c r="F184" s="4">
        <f t="shared" si="59"/>
        <v>2150</v>
      </c>
      <c r="G184" s="4" cm="1">
        <f t="array" ref="G184">INDEX(GMW!$A$2:$NF$60,MATCH(1,(GMW!$NE$2:$NE$60=G$3)*(GMW!$ND$2:$ND$60=G$4)*(GMW!$NF$2:$NF$60=G$1),0),$F184-1966)</f>
        <v>598176</v>
      </c>
      <c r="H184" s="4" cm="1">
        <f t="array" ref="H184">INDEX(GMW!$A$2:$NF$60,MATCH(1,(GMW!$NE$2:$NE$60=H$3)*(GMW!$ND$2:$ND$60=H$4)*(GMW!$NF$2:$NF$60=H$1),0),$F184-1966)</f>
        <v>4876.7250000000004</v>
      </c>
      <c r="I184" s="4" cm="1">
        <f t="array" ref="I184">INDEX(GMW!$A$2:$NF$60,MATCH(1,(GMW!$NE$2:$NE$60=I$3)*(GMW!$ND$2:$ND$60=I$4)*(GMW!$NF$2:$NF$60=I$1),0),$F184-1966)</f>
        <v>137324.1</v>
      </c>
      <c r="J184" s="4" cm="1">
        <f t="array" ref="J184">INDEX(GMW!$A$2:$NF$60,MATCH(1,(GMW!$NE$2:$NE$60=J$3)*(GMW!$ND$2:$ND$60=J$4)*(GMW!$NF$2:$NF$60=J$1),0),$F184-1966)</f>
        <v>878.06</v>
      </c>
      <c r="K184" s="4" cm="1">
        <f t="array" ref="K184">INDEX(GMW!$A$2:$NF$60,MATCH(1,(GMW!$NE$2:$NE$60=K$3)*(GMW!$ND$2:$ND$60=K$4)*(GMW!$NF$2:$NF$60=K$1),0),$F184-1966)</f>
        <v>602.59</v>
      </c>
      <c r="L184" s="4" cm="1">
        <f t="array" ref="L184">INDEX(GMW!$A$2:$NF$60,MATCH(1,(GMW!$NE$2:$NE$60=L$3)*(GMW!$ND$2:$ND$60=L$4)*(GMW!$NF$2:$NF$60=L$1),0),$F184-1966)</f>
        <v>452.625</v>
      </c>
      <c r="M184" s="4" cm="1">
        <f t="array" ref="M184">INDEX(GMW!$A$2:$NF$60,MATCH(1,(GMW!$NE$2:$NE$60=M$3)*(GMW!$ND$2:$ND$60=M$4)*(GMW!$NF$2:$NF$60=M$1),0),$F184-1966)</f>
        <v>535791.5</v>
      </c>
      <c r="N184" s="4" cm="1">
        <f t="array" ref="N184">INDEX(GMW!$A$2:$NF$60,MATCH(1,(GMW!$NE$2:$NE$60=N$3)*(GMW!$ND$2:$ND$60=N$4)*(GMW!$NF$2:$NF$60=N$1),0),$F184-1966)</f>
        <v>-26441</v>
      </c>
      <c r="O184" s="4" cm="1">
        <f t="array" ref="O184">INDEX(GMW!$A$2:$NF$60,MATCH(1,(GMW!$NE$2:$NE$60=O$3)*(GMW!$ND$2:$ND$60=O$4)*(GMW!$NF$2:$NF$60=O$1),0),$F184-1966)</f>
        <v>-274.98750000000001</v>
      </c>
      <c r="P184" s="4" cm="1">
        <f t="array" ref="P184">INDEX(GMW!$A$2:$NF$60,MATCH(1,(GMW!$NE$2:$NE$60=P$3)*(GMW!$ND$2:$ND$60=P$4)*(GMW!$NF$2:$NF$60=P$1),0),$F184-1966)</f>
        <v>-4225</v>
      </c>
      <c r="Q184" s="4" cm="1">
        <f t="array" ref="Q184">INDEX(GMW!$A$2:$NF$60,MATCH(1,(GMW!$NE$2:$NE$60=Q$3)*(GMW!$ND$2:$ND$60=Q$4)*(GMW!$NF$2:$NF$60=Q$1),0),$F184-1966)</f>
        <v>4.1849999999999996</v>
      </c>
      <c r="R184" s="4" cm="1">
        <f t="array" ref="R184">INDEX(GMW!$A$2:$NF$60,MATCH(1,(GMW!$NE$2:$NE$60=R$3)*(GMW!$ND$2:$ND$60=R$4)*(GMW!$NF$2:$NF$60=R$1),0),$F184-1966)</f>
        <v>-18.29</v>
      </c>
      <c r="S184" s="4" cm="1">
        <f t="array" ref="S184">INDEX(GMW!$A$2:$NF$60,MATCH(1,(GMW!$NE$2:$NE$60=S$3)*(GMW!$ND$2:$ND$60=S$4)*(GMW!$NF$2:$NF$60=S$1),0),$F184-1966)</f>
        <v>-11.169309999999999</v>
      </c>
      <c r="T184" s="4" cm="1">
        <f t="array" ref="T184">INDEX(GMW!$A$2:$NF$60,MATCH(1,(GMW!$NE$2:$NE$60=T$3)*(GMW!$ND$2:$ND$60=T$4)*(GMW!$NF$2:$NF$60=T$1),0),$F184-1966)</f>
        <v>5392</v>
      </c>
      <c r="U184" s="4" cm="1">
        <f t="array" ref="U184">INDEX(GMW!$A$2:$NF$60,MATCH(1,(GMW!$NE$2:$NE$60=U$3)*(GMW!$ND$2:$ND$60=U$4)*(GMW!$NF$2:$NF$60=U$1),0),$F184-1966)</f>
        <v>1752850</v>
      </c>
      <c r="V184" s="4" cm="1">
        <f t="array" ref="V184">INDEX(GMW!$A$2:$NF$60,MATCH(1,(GMW!$NE$2:$NE$60=V$3)*(GMW!$ND$2:$ND$60=V$4)*(GMW!$NF$2:$NF$60=V$1),0),$F184-1966)</f>
        <v>26078.3</v>
      </c>
      <c r="W184" s="4" cm="1">
        <f t="array" ref="W184">INDEX(GMW!$A$2:$NF$60,MATCH(1,(GMW!$NE$2:$NE$60=W$3)*(GMW!$ND$2:$ND$60=W$4)*(GMW!$NF$2:$NF$60=W$1),0),$F184-1966)</f>
        <v>1199939</v>
      </c>
      <c r="X184" s="4" cm="1">
        <f t="array" ref="X184">INDEX(GMW!$A$2:$NF$60,MATCH(1,(GMW!$NE$2:$NE$60=X$3)*(GMW!$ND$2:$ND$60=X$4)*(GMW!$NF$2:$NF$60=X$1),0),$F184-1966)</f>
        <v>1980.96</v>
      </c>
      <c r="Y184" s="4" cm="1">
        <f t="array" ref="Y184">INDEX(GMW!$A$2:$NF$60,MATCH(1,(GMW!$NE$2:$NE$60=Y$3)*(GMW!$ND$2:$ND$60=Y$4)*(GMW!$NF$2:$NF$60=Y$1),0),$F184-1966)</f>
        <v>3034.2060000000001</v>
      </c>
      <c r="Z184" s="4" cm="1">
        <f t="array" ref="Z184">INDEX(GMW!$A$2:$NF$60,MATCH(1,(GMW!$NE$2:$NE$60=Z$3)*(GMW!$ND$2:$ND$60=Z$4)*(GMW!$NF$2:$NF$60=Z$1),0),$F184-1966)</f>
        <v>2646.0450000000001</v>
      </c>
      <c r="AA184" s="4" cm="1">
        <f t="array" ref="AA184">INDEX(GMW!$A$2:$NF$60,MATCH(1,(GMW!$NE$2:$NE$60=AA$3)*(GMW!$ND$2:$ND$60=AA$4)*(GMW!$NF$2:$NF$60=AA$1),0),$F184-1966)</f>
        <v>2044242</v>
      </c>
      <c r="AB184" s="4" cm="1">
        <f t="array" ref="AB184">INDEX(GMW!$A$2:$NF$60,MATCH(1,(GMW!$NE$2:$NE$60=AB$3)*(GMW!$ND$2:$ND$60=AB$4)*(GMW!$NF$2:$NF$60=AB$1),0),$F184-1966)</f>
        <v>517656</v>
      </c>
      <c r="AC184" s="4" cm="1">
        <f t="array" ref="AC184">INDEX(GMW!$A$2:$NF$60,MATCH(1,(GMW!$NE$2:$NE$60=AC$3)*(GMW!$ND$2:$ND$60=AC$4)*(GMW!$NF$2:$NF$60=AC$1),0),$F184-1966)</f>
        <v>4859.6499999999996</v>
      </c>
      <c r="AD184" s="4" cm="1">
        <f t="array" ref="AD184">INDEX(GMW!$A$2:$NF$60,MATCH(1,(GMW!$NE$2:$NE$60=AD$3)*(GMW!$ND$2:$ND$60=AD$4)*(GMW!$NF$2:$NF$60=AD$1),0),$F184-1966)</f>
        <v>137640.29999999999</v>
      </c>
      <c r="AE184" s="4" cm="1">
        <f t="array" ref="AE184">INDEX(GMW!$A$2:$NF$60,MATCH(1,(GMW!$NE$2:$NE$60=AE$3)*(GMW!$ND$2:$ND$60=AE$4)*(GMW!$NF$2:$NF$60=AE$1),0),$F184-1966)</f>
        <v>828.33299999999997</v>
      </c>
      <c r="AF184" s="4" cm="1">
        <f t="array" ref="AF184">INDEX(GMW!$A$2:$NF$60,MATCH(1,(GMW!$NE$2:$NE$60=AF$3)*(GMW!$ND$2:$ND$60=AF$4)*(GMW!$NF$2:$NF$60=AF$1),0),$F184-1966)</f>
        <v>571.73199999999997</v>
      </c>
      <c r="AG184" s="4" cm="1">
        <f t="array" ref="AG184">INDEX(GMW!$A$2:$NF$60,MATCH(1,(GMW!$NE$2:$NE$60=AG$3)*(GMW!$ND$2:$ND$60=AG$4)*(GMW!$NF$2:$NF$60=AG$1),0),$F184-1966)</f>
        <v>435.93799999999999</v>
      </c>
      <c r="AH184" s="4" cm="1">
        <f t="array" ref="AH184">INDEX(GMW!$A$2:$NF$60,MATCH(1,(GMW!$NE$2:$NE$60=AH$3)*(GMW!$ND$2:$ND$60=AH$4)*(GMW!$NF$2:$NF$60=AH$1),0),$F184-1966)</f>
        <v>532505</v>
      </c>
    </row>
    <row r="185" spans="1:34" x14ac:dyDescent="0.25">
      <c r="B185" s="4">
        <f t="shared" si="57"/>
        <v>2017</v>
      </c>
      <c r="C185" s="4">
        <f t="shared" si="57"/>
        <v>2017</v>
      </c>
      <c r="F185" s="4">
        <f t="shared" si="59"/>
        <v>2151</v>
      </c>
      <c r="G185" s="4" cm="1">
        <f t="array" ref="G185">INDEX(GMW!$A$2:$NF$60,MATCH(1,(GMW!$NE$2:$NE$60=G$3)*(GMW!$ND$2:$ND$60=G$4)*(GMW!$NF$2:$NF$60=G$1),0),$F185-1966)</f>
        <v>601961</v>
      </c>
      <c r="H185" s="4" cm="1">
        <f t="array" ref="H185">INDEX(GMW!$A$2:$NF$60,MATCH(1,(GMW!$NE$2:$NE$60=H$3)*(GMW!$ND$2:$ND$60=H$4)*(GMW!$NF$2:$NF$60=H$1),0),$F185-1966)</f>
        <v>4915.2</v>
      </c>
      <c r="I185" s="4" cm="1">
        <f t="array" ref="I185">INDEX(GMW!$A$2:$NF$60,MATCH(1,(GMW!$NE$2:$NE$60=I$3)*(GMW!$ND$2:$ND$60=I$4)*(GMW!$NF$2:$NF$60=I$1),0),$F185-1966)</f>
        <v>138516.79999999999</v>
      </c>
      <c r="J185" s="4" cm="1">
        <f t="array" ref="J185">INDEX(GMW!$A$2:$NF$60,MATCH(1,(GMW!$NE$2:$NE$60=J$3)*(GMW!$ND$2:$ND$60=J$4)*(GMW!$NF$2:$NF$60=J$1),0),$F185-1966)</f>
        <v>885.05</v>
      </c>
      <c r="K185" s="4" cm="1">
        <f t="array" ref="K185">INDEX(GMW!$A$2:$NF$60,MATCH(1,(GMW!$NE$2:$NE$60=K$3)*(GMW!$ND$2:$ND$60=K$4)*(GMW!$NF$2:$NF$60=K$1),0),$F185-1966)</f>
        <v>606.88699999999994</v>
      </c>
      <c r="L185" s="4" cm="1">
        <f t="array" ref="L185">INDEX(GMW!$A$2:$NF$60,MATCH(1,(GMW!$NE$2:$NE$60=L$3)*(GMW!$ND$2:$ND$60=L$4)*(GMW!$NF$2:$NF$60=L$1),0),$F185-1966)</f>
        <v>453.39699999999999</v>
      </c>
      <c r="M185" s="4" cm="1">
        <f t="array" ref="M185">INDEX(GMW!$A$2:$NF$60,MATCH(1,(GMW!$NE$2:$NE$60=M$3)*(GMW!$ND$2:$ND$60=M$4)*(GMW!$NF$2:$NF$60=M$1),0),$F185-1966)</f>
        <v>535959.80000000005</v>
      </c>
      <c r="N185" s="4" cm="1">
        <f t="array" ref="N185">INDEX(GMW!$A$2:$NF$60,MATCH(1,(GMW!$NE$2:$NE$60=N$3)*(GMW!$ND$2:$ND$60=N$4)*(GMW!$NF$2:$NF$60=N$1),0),$F185-1966)</f>
        <v>-15685</v>
      </c>
      <c r="O185" s="4" cm="1">
        <f t="array" ref="O185">INDEX(GMW!$A$2:$NF$60,MATCH(1,(GMW!$NE$2:$NE$60=O$3)*(GMW!$ND$2:$ND$60=O$4)*(GMW!$NF$2:$NF$60=O$1),0),$F185-1966)</f>
        <v>-280.18299999999999</v>
      </c>
      <c r="P185" s="4" cm="1">
        <f t="array" ref="P185">INDEX(GMW!$A$2:$NF$60,MATCH(1,(GMW!$NE$2:$NE$60=P$3)*(GMW!$ND$2:$ND$60=P$4)*(GMW!$NF$2:$NF$60=P$1),0),$F185-1966)</f>
        <v>-4336.5</v>
      </c>
      <c r="Q185" s="4" cm="1">
        <f t="array" ref="Q185">INDEX(GMW!$A$2:$NF$60,MATCH(1,(GMW!$NE$2:$NE$60=Q$3)*(GMW!$ND$2:$ND$60=Q$4)*(GMW!$NF$2:$NF$60=Q$1),0),$F185-1966)</f>
        <v>15.282</v>
      </c>
      <c r="R185" s="4" cm="1">
        <f t="array" ref="R185">INDEX(GMW!$A$2:$NF$60,MATCH(1,(GMW!$NE$2:$NE$60=R$3)*(GMW!$ND$2:$ND$60=R$4)*(GMW!$NF$2:$NF$60=R$1),0),$F185-1966)</f>
        <v>-21.609000000000002</v>
      </c>
      <c r="S185" s="4" cm="1">
        <f t="array" ref="S185">INDEX(GMW!$A$2:$NF$60,MATCH(1,(GMW!$NE$2:$NE$60=S$3)*(GMW!$ND$2:$ND$60=S$4)*(GMW!$NF$2:$NF$60=S$1),0),$F185-1966)</f>
        <v>-11.10594</v>
      </c>
      <c r="T185" s="4" cm="1">
        <f t="array" ref="T185">INDEX(GMW!$A$2:$NF$60,MATCH(1,(GMW!$NE$2:$NE$60=T$3)*(GMW!$ND$2:$ND$60=T$4)*(GMW!$NF$2:$NF$60=T$1),0),$F185-1966)</f>
        <v>2602</v>
      </c>
      <c r="U185" s="4" cm="1">
        <f t="array" ref="U185">INDEX(GMW!$A$2:$NF$60,MATCH(1,(GMW!$NE$2:$NE$60=U$3)*(GMW!$ND$2:$ND$60=U$4)*(GMW!$NF$2:$NF$60=U$1),0),$F185-1966)</f>
        <v>1763054</v>
      </c>
      <c r="V185" s="4" cm="1">
        <f t="array" ref="V185">INDEX(GMW!$A$2:$NF$60,MATCH(1,(GMW!$NE$2:$NE$60=V$3)*(GMW!$ND$2:$ND$60=V$4)*(GMW!$NF$2:$NF$60=V$1),0),$F185-1966)</f>
        <v>26223.49</v>
      </c>
      <c r="W185" s="4" cm="1">
        <f t="array" ref="W185">INDEX(GMW!$A$2:$NF$60,MATCH(1,(GMW!$NE$2:$NE$60=W$3)*(GMW!$ND$2:$ND$60=W$4)*(GMW!$NF$2:$NF$60=W$1),0),$F185-1966)</f>
        <v>1204332</v>
      </c>
      <c r="X185" s="4" cm="1">
        <f t="array" ref="X185">INDEX(GMW!$A$2:$NF$60,MATCH(1,(GMW!$NE$2:$NE$60=X$3)*(GMW!$ND$2:$ND$60=X$4)*(GMW!$NF$2:$NF$60=X$1),0),$F185-1966)</f>
        <v>1974.8779999999999</v>
      </c>
      <c r="Y185" s="4" cm="1">
        <f t="array" ref="Y185">INDEX(GMW!$A$2:$NF$60,MATCH(1,(GMW!$NE$2:$NE$60=Y$3)*(GMW!$ND$2:$ND$60=Y$4)*(GMW!$NF$2:$NF$60=Y$1),0),$F185-1966)</f>
        <v>3044.3380000000002</v>
      </c>
      <c r="Z185" s="4" cm="1">
        <f t="array" ref="Z185">INDEX(GMW!$A$2:$NF$60,MATCH(1,(GMW!$NE$2:$NE$60=Z$3)*(GMW!$ND$2:$ND$60=Z$4)*(GMW!$NF$2:$NF$60=Z$1),0),$F185-1966)</f>
        <v>2648.6970000000001</v>
      </c>
      <c r="AA185" s="4" cm="1">
        <f t="array" ref="AA185">INDEX(GMW!$A$2:$NF$60,MATCH(1,(GMW!$NE$2:$NE$60=AA$3)*(GMW!$ND$2:$ND$60=AA$4)*(GMW!$NF$2:$NF$60=AA$1),0),$F185-1966)</f>
        <v>2003457</v>
      </c>
      <c r="AB185" s="4" cm="1">
        <f t="array" ref="AB185">INDEX(GMW!$A$2:$NF$60,MATCH(1,(GMW!$NE$2:$NE$60=AB$3)*(GMW!$ND$2:$ND$60=AB$4)*(GMW!$NF$2:$NF$60=AB$1),0),$F185-1966)</f>
        <v>521257</v>
      </c>
      <c r="AC185" s="4" cm="1">
        <f t="array" ref="AC185">INDEX(GMW!$A$2:$NF$60,MATCH(1,(GMW!$NE$2:$NE$60=AC$3)*(GMW!$ND$2:$ND$60=AC$4)*(GMW!$NF$2:$NF$60=AC$1),0),$F185-1966)</f>
        <v>4923.1499999999996</v>
      </c>
      <c r="AD185" s="4" cm="1">
        <f t="array" ref="AD185">INDEX(GMW!$A$2:$NF$60,MATCH(1,(GMW!$NE$2:$NE$60=AD$3)*(GMW!$ND$2:$ND$60=AD$4)*(GMW!$NF$2:$NF$60=AD$1),0),$F185-1966)</f>
        <v>139284.5</v>
      </c>
      <c r="AE185" s="4" cm="1">
        <f t="array" ref="AE185">INDEX(GMW!$A$2:$NF$60,MATCH(1,(GMW!$NE$2:$NE$60=AE$3)*(GMW!$ND$2:$ND$60=AE$4)*(GMW!$NF$2:$NF$60=AE$1),0),$F185-1966)</f>
        <v>839.45699999999999</v>
      </c>
      <c r="AF185" s="4" cm="1">
        <f t="array" ref="AF185">INDEX(GMW!$A$2:$NF$60,MATCH(1,(GMW!$NE$2:$NE$60=AF$3)*(GMW!$ND$2:$ND$60=AF$4)*(GMW!$NF$2:$NF$60=AF$1),0),$F185-1966)</f>
        <v>576.00300000000004</v>
      </c>
      <c r="AG185" s="4" cm="1">
        <f t="array" ref="AG185">INDEX(GMW!$A$2:$NF$60,MATCH(1,(GMW!$NE$2:$NE$60=AG$3)*(GMW!$ND$2:$ND$60=AG$4)*(GMW!$NF$2:$NF$60=AG$1),0),$F185-1966)</f>
        <v>437.077</v>
      </c>
      <c r="AH185" s="4" cm="1">
        <f t="array" ref="AH185">INDEX(GMW!$A$2:$NF$60,MATCH(1,(GMW!$NE$2:$NE$60=AH$3)*(GMW!$ND$2:$ND$60=AH$4)*(GMW!$NF$2:$NF$60=AH$1),0),$F185-1966)</f>
        <v>535438</v>
      </c>
    </row>
    <row r="186" spans="1:34" x14ac:dyDescent="0.25">
      <c r="B186" s="4">
        <f t="shared" si="57"/>
        <v>2017</v>
      </c>
      <c r="C186" s="4">
        <f t="shared" si="57"/>
        <v>2017</v>
      </c>
      <c r="E186" s="4">
        <f t="shared" ref="E186" si="62">+E182+1</f>
        <v>2017</v>
      </c>
      <c r="F186" s="4">
        <f t="shared" si="59"/>
        <v>2152</v>
      </c>
      <c r="G186" s="4" cm="1">
        <f t="array" ref="G186">INDEX(GMW!$A$2:$NF$60,MATCH(1,(GMW!$NE$2:$NE$60=G$3)*(GMW!$ND$2:$ND$60=G$4)*(GMW!$NF$2:$NF$60=G$1),0),$F186-1966)</f>
        <v>606396</v>
      </c>
      <c r="H186" s="4" cm="1">
        <f t="array" ref="H186">INDEX(GMW!$A$2:$NF$60,MATCH(1,(GMW!$NE$2:$NE$60=H$3)*(GMW!$ND$2:$ND$60=H$4)*(GMW!$NF$2:$NF$60=H$1),0),$F186-1966)</f>
        <v>4970.6000000000004</v>
      </c>
      <c r="I186" s="4" cm="1">
        <f t="array" ref="I186">INDEX(GMW!$A$2:$NF$60,MATCH(1,(GMW!$NE$2:$NE$60=I$3)*(GMW!$ND$2:$ND$60=I$4)*(GMW!$NF$2:$NF$60=I$1),0),$F186-1966)</f>
        <v>138606.1</v>
      </c>
      <c r="J186" s="4" cm="1">
        <f t="array" ref="J186">INDEX(GMW!$A$2:$NF$60,MATCH(1,(GMW!$NE$2:$NE$60=J$3)*(GMW!$ND$2:$ND$60=J$4)*(GMW!$NF$2:$NF$60=J$1),0),$F186-1966)</f>
        <v>894.02</v>
      </c>
      <c r="K186" s="4" cm="1">
        <f t="array" ref="K186">INDEX(GMW!$A$2:$NF$60,MATCH(1,(GMW!$NE$2:$NE$60=K$3)*(GMW!$ND$2:$ND$60=K$4)*(GMW!$NF$2:$NF$60=K$1),0),$F186-1966)</f>
        <v>610.54300000000001</v>
      </c>
      <c r="L186" s="4" cm="1">
        <f t="array" ref="L186">INDEX(GMW!$A$2:$NF$60,MATCH(1,(GMW!$NE$2:$NE$60=L$3)*(GMW!$ND$2:$ND$60=L$4)*(GMW!$NF$2:$NF$60=L$1),0),$F186-1966)</f>
        <v>456.10199999999998</v>
      </c>
      <c r="M186" s="4" cm="1">
        <f t="array" ref="M186">INDEX(GMW!$A$2:$NF$60,MATCH(1,(GMW!$NE$2:$NE$60=M$3)*(GMW!$ND$2:$ND$60=M$4)*(GMW!$NF$2:$NF$60=M$1),0),$F186-1966)</f>
        <v>538679</v>
      </c>
      <c r="N186" s="4" cm="1">
        <f t="array" ref="N186">INDEX(GMW!$A$2:$NF$60,MATCH(1,(GMW!$NE$2:$NE$60=N$3)*(GMW!$ND$2:$ND$60=N$4)*(GMW!$NF$2:$NF$60=N$1),0),$F186-1966)</f>
        <v>-19000</v>
      </c>
      <c r="O186" s="4" cm="1">
        <f t="array" ref="O186">INDEX(GMW!$A$2:$NF$60,MATCH(1,(GMW!$NE$2:$NE$60=O$3)*(GMW!$ND$2:$ND$60=O$4)*(GMW!$NF$2:$NF$60=O$1),0),$F186-1966)</f>
        <v>-34.672750000000001</v>
      </c>
      <c r="P186" s="4" cm="1">
        <f t="array" ref="P186">INDEX(GMW!$A$2:$NF$60,MATCH(1,(GMW!$NE$2:$NE$60=P$3)*(GMW!$ND$2:$ND$60=P$4)*(GMW!$NF$2:$NF$60=P$1),0),$F186-1966)</f>
        <v>-4324</v>
      </c>
      <c r="Q186" s="4" cm="1">
        <f t="array" ref="Q186">INDEX(GMW!$A$2:$NF$60,MATCH(1,(GMW!$NE$2:$NE$60=Q$3)*(GMW!$ND$2:$ND$60=Q$4)*(GMW!$NF$2:$NF$60=Q$1),0),$F186-1966)</f>
        <v>12.752000000000001</v>
      </c>
      <c r="R186" s="4" cm="1">
        <f t="array" ref="R186">INDEX(GMW!$A$2:$NF$60,MATCH(1,(GMW!$NE$2:$NE$60=R$3)*(GMW!$ND$2:$ND$60=R$4)*(GMW!$NF$2:$NF$60=R$1),0),$F186-1966)</f>
        <v>-16.184999999999999</v>
      </c>
      <c r="S186" s="4" cm="1">
        <f t="array" ref="S186">INDEX(GMW!$A$2:$NF$60,MATCH(1,(GMW!$NE$2:$NE$60=S$3)*(GMW!$ND$2:$ND$60=S$4)*(GMW!$NF$2:$NF$60=S$1),0),$F186-1966)</f>
        <v>-10.65081</v>
      </c>
      <c r="T186" s="4" cm="1">
        <f t="array" ref="T186">INDEX(GMW!$A$2:$NF$60,MATCH(1,(GMW!$NE$2:$NE$60=T$3)*(GMW!$ND$2:$ND$60=T$4)*(GMW!$NF$2:$NF$60=T$1),0),$F186-1966)</f>
        <v>2525</v>
      </c>
      <c r="U186" s="4" cm="1">
        <f t="array" ref="U186">INDEX(GMW!$A$2:$NF$60,MATCH(1,(GMW!$NE$2:$NE$60=U$3)*(GMW!$ND$2:$ND$60=U$4)*(GMW!$NF$2:$NF$60=U$1),0),$F186-1966)</f>
        <v>1805987</v>
      </c>
      <c r="V186" s="4" cm="1">
        <f t="array" ref="V186">INDEX(GMW!$A$2:$NF$60,MATCH(1,(GMW!$NE$2:$NE$60=V$3)*(GMW!$ND$2:$ND$60=V$4)*(GMW!$NF$2:$NF$60=V$1),0),$F186-1966)</f>
        <v>26466.6</v>
      </c>
      <c r="W186" s="4" cm="1">
        <f t="array" ref="W186">INDEX(GMW!$A$2:$NF$60,MATCH(1,(GMW!$NE$2:$NE$60=W$3)*(GMW!$ND$2:$ND$60=W$4)*(GMW!$NF$2:$NF$60=W$1),0),$F186-1966)</f>
        <v>1208725</v>
      </c>
      <c r="X186" s="4" cm="1">
        <f t="array" ref="X186">INDEX(GMW!$A$2:$NF$60,MATCH(1,(GMW!$NE$2:$NE$60=X$3)*(GMW!$ND$2:$ND$60=X$4)*(GMW!$NF$2:$NF$60=X$1),0),$F186-1966)</f>
        <v>1967.2650000000001</v>
      </c>
      <c r="Y186" s="4" cm="1">
        <f t="array" ref="Y186">INDEX(GMW!$A$2:$NF$60,MATCH(1,(GMW!$NE$2:$NE$60=Y$3)*(GMW!$ND$2:$ND$60=Y$4)*(GMW!$NF$2:$NF$60=Y$1),0),$F186-1966)</f>
        <v>2985.366</v>
      </c>
      <c r="Z186" s="4" cm="1">
        <f t="array" ref="Z186">INDEX(GMW!$A$2:$NF$60,MATCH(1,(GMW!$NE$2:$NE$60=Z$3)*(GMW!$ND$2:$ND$60=Z$4)*(GMW!$NF$2:$NF$60=Z$1),0),$F186-1966)</f>
        <v>2651.348</v>
      </c>
      <c r="AA186" s="4" cm="1">
        <f t="array" ref="AA186">INDEX(GMW!$A$2:$NF$60,MATCH(1,(GMW!$NE$2:$NE$60=AA$3)*(GMW!$ND$2:$ND$60=AA$4)*(GMW!$NF$2:$NF$60=AA$1),0),$F186-1966)</f>
        <v>2058193</v>
      </c>
      <c r="AB186" s="4" cm="1">
        <f t="array" ref="AB186">INDEX(GMW!$A$2:$NF$60,MATCH(1,(GMW!$NE$2:$NE$60=AB$3)*(GMW!$ND$2:$ND$60=AB$4)*(GMW!$NF$2:$NF$60=AB$1),0),$F186-1966)</f>
        <v>529755</v>
      </c>
      <c r="AC186" s="4" cm="1">
        <f t="array" ref="AC186">INDEX(GMW!$A$2:$NF$60,MATCH(1,(GMW!$NE$2:$NE$60=AC$3)*(GMW!$ND$2:$ND$60=AC$4)*(GMW!$NF$2:$NF$60=AC$1),0),$F186-1966)</f>
        <v>5009.2749999999996</v>
      </c>
      <c r="AD186" s="4" cm="1">
        <f t="array" ref="AD186">INDEX(GMW!$A$2:$NF$60,MATCH(1,(GMW!$NE$2:$NE$60=AD$3)*(GMW!$ND$2:$ND$60=AD$4)*(GMW!$NF$2:$NF$60=AD$1),0),$F186-1966)</f>
        <v>139200.5</v>
      </c>
      <c r="AE186" s="4" cm="1">
        <f t="array" ref="AE186">INDEX(GMW!$A$2:$NF$60,MATCH(1,(GMW!$NE$2:$NE$60=AE$3)*(GMW!$ND$2:$ND$60=AE$4)*(GMW!$NF$2:$NF$60=AE$1),0),$F186-1966)</f>
        <v>850.79200000000003</v>
      </c>
      <c r="AF186" s="4" cm="1">
        <f t="array" ref="AF186">INDEX(GMW!$A$2:$NF$60,MATCH(1,(GMW!$NE$2:$NE$60=AF$3)*(GMW!$ND$2:$ND$60=AF$4)*(GMW!$NF$2:$NF$60=AF$1),0),$F186-1966)</f>
        <v>580.55600000000004</v>
      </c>
      <c r="AG186" s="4" cm="1">
        <f t="array" ref="AG186">INDEX(GMW!$A$2:$NF$60,MATCH(1,(GMW!$NE$2:$NE$60=AG$3)*(GMW!$ND$2:$ND$60=AG$4)*(GMW!$NF$2:$NF$60=AG$1),0),$F186-1966)</f>
        <v>441.976</v>
      </c>
      <c r="AH186" s="4" cm="1">
        <f t="array" ref="AH186">INDEX(GMW!$A$2:$NF$60,MATCH(1,(GMW!$NE$2:$NE$60=AH$3)*(GMW!$ND$2:$ND$60=AH$4)*(GMW!$NF$2:$NF$60=AH$1),0),$F186-1966)</f>
        <v>545711</v>
      </c>
    </row>
    <row r="187" spans="1:34" x14ac:dyDescent="0.25">
      <c r="A187" s="4">
        <v>2018</v>
      </c>
      <c r="B187" s="4">
        <f t="shared" si="57"/>
        <v>2018</v>
      </c>
      <c r="C187" s="4">
        <f t="shared" si="57"/>
        <v>2017</v>
      </c>
      <c r="D187" s="4">
        <f t="shared" si="57"/>
        <v>2017</v>
      </c>
      <c r="F187" s="4">
        <f t="shared" si="59"/>
        <v>2153</v>
      </c>
      <c r="G187" s="4" cm="1">
        <f t="array" ref="G187">INDEX(GMW!$A$2:$NF$60,MATCH(1,(GMW!$NE$2:$NE$60=G$3)*(GMW!$ND$2:$ND$60=G$4)*(GMW!$NF$2:$NF$60=G$1),0),$F187-1966)</f>
        <v>606785</v>
      </c>
      <c r="H187" s="4" cm="1">
        <f t="array" ref="H187">INDEX(GMW!$A$2:$NF$60,MATCH(1,(GMW!$NE$2:$NE$60=H$3)*(GMW!$ND$2:$ND$60=H$4)*(GMW!$NF$2:$NF$60=H$1),0),$F187-1966)</f>
        <v>5011.0249999999996</v>
      </c>
      <c r="I187" s="4" cm="1">
        <f t="array" ref="I187">INDEX(GMW!$A$2:$NF$60,MATCH(1,(GMW!$NE$2:$NE$60=I$3)*(GMW!$ND$2:$ND$60=I$4)*(GMW!$NF$2:$NF$60=I$1),0),$F187-1966)</f>
        <v>138694.6</v>
      </c>
      <c r="J187" s="4" cm="1">
        <f t="array" ref="J187">INDEX(GMW!$A$2:$NF$60,MATCH(1,(GMW!$NE$2:$NE$60=J$3)*(GMW!$ND$2:$ND$60=J$4)*(GMW!$NF$2:$NF$60=J$1),0),$F187-1966)</f>
        <v>889.08</v>
      </c>
      <c r="K187" s="4" cm="1">
        <f t="array" ref="K187">INDEX(GMW!$A$2:$NF$60,MATCH(1,(GMW!$NE$2:$NE$60=K$3)*(GMW!$ND$2:$ND$60=K$4)*(GMW!$NF$2:$NF$60=K$1),0),$F187-1966)</f>
        <v>610.30700000000002</v>
      </c>
      <c r="L187" s="4" cm="1">
        <f t="array" ref="L187">INDEX(GMW!$A$2:$NF$60,MATCH(1,(GMW!$NE$2:$NE$60=L$3)*(GMW!$ND$2:$ND$60=L$4)*(GMW!$NF$2:$NF$60=L$1),0),$F187-1966)</f>
        <v>455.29599999999999</v>
      </c>
      <c r="M187" s="4" cm="1">
        <f t="array" ref="M187">INDEX(GMW!$A$2:$NF$60,MATCH(1,(GMW!$NE$2:$NE$60=M$3)*(GMW!$ND$2:$ND$60=M$4)*(GMW!$NF$2:$NF$60=M$1),0),$F187-1966)</f>
        <v>544941.30000000005</v>
      </c>
      <c r="N187" s="4" cm="1">
        <f t="array" ref="N187">INDEX(GMW!$A$2:$NF$60,MATCH(1,(GMW!$NE$2:$NE$60=N$3)*(GMW!$ND$2:$ND$60=N$4)*(GMW!$NF$2:$NF$60=N$1),0),$F187-1966)</f>
        <v>1372</v>
      </c>
      <c r="O187" s="4" cm="1">
        <f t="array" ref="O187">INDEX(GMW!$A$2:$NF$60,MATCH(1,(GMW!$NE$2:$NE$60=O$3)*(GMW!$ND$2:$ND$60=O$4)*(GMW!$NF$2:$NF$60=O$1),0),$F187-1966)</f>
        <v>-294.99400000000003</v>
      </c>
      <c r="P187" s="4" cm="1">
        <f t="array" ref="P187">INDEX(GMW!$A$2:$NF$60,MATCH(1,(GMW!$NE$2:$NE$60=P$3)*(GMW!$ND$2:$ND$60=P$4)*(GMW!$NF$2:$NF$60=P$1),0),$F187-1966)</f>
        <v>-4403</v>
      </c>
      <c r="Q187" s="4" cm="1">
        <f t="array" ref="Q187">INDEX(GMW!$A$2:$NF$60,MATCH(1,(GMW!$NE$2:$NE$60=Q$3)*(GMW!$ND$2:$ND$60=Q$4)*(GMW!$NF$2:$NF$60=Q$1),0),$F187-1966)</f>
        <v>19.128</v>
      </c>
      <c r="R187" s="4" cm="1">
        <f t="array" ref="R187">INDEX(GMW!$A$2:$NF$60,MATCH(1,(GMW!$NE$2:$NE$60=R$3)*(GMW!$ND$2:$ND$60=R$4)*(GMW!$NF$2:$NF$60=R$1),0),$F187-1966)</f>
        <v>-14.068</v>
      </c>
      <c r="S187" s="4" cm="1">
        <f t="array" ref="S187">INDEX(GMW!$A$2:$NF$60,MATCH(1,(GMW!$NE$2:$NE$60=S$3)*(GMW!$ND$2:$ND$60=S$4)*(GMW!$NF$2:$NF$60=S$1),0),$F187-1966)</f>
        <v>-10.36007</v>
      </c>
      <c r="T187" s="4" cm="1">
        <f t="array" ref="T187">INDEX(GMW!$A$2:$NF$60,MATCH(1,(GMW!$NE$2:$NE$60=T$3)*(GMW!$ND$2:$ND$60=T$4)*(GMW!$NF$2:$NF$60=T$1),0),$F187-1966)</f>
        <v>4061</v>
      </c>
      <c r="U187" s="4" cm="1">
        <f t="array" ref="U187">INDEX(GMW!$A$2:$NF$60,MATCH(1,(GMW!$NE$2:$NE$60=U$3)*(GMW!$ND$2:$ND$60=U$4)*(GMW!$NF$2:$NF$60=U$1),0),$F187-1966)</f>
        <v>1784098</v>
      </c>
      <c r="V187" s="4" cm="1">
        <f t="array" ref="V187">INDEX(GMW!$A$2:$NF$60,MATCH(1,(GMW!$NE$2:$NE$60=V$3)*(GMW!$ND$2:$ND$60=V$4)*(GMW!$NF$2:$NF$60=V$1),0),$F187-1966)</f>
        <v>27050.22</v>
      </c>
      <c r="W187" s="4" cm="1">
        <f t="array" ref="W187">INDEX(GMW!$A$2:$NF$60,MATCH(1,(GMW!$NE$2:$NE$60=W$3)*(GMW!$ND$2:$ND$60=W$4)*(GMW!$NF$2:$NF$60=W$1),0),$F187-1966)</f>
        <v>1215203</v>
      </c>
      <c r="X187" s="4" cm="1">
        <f t="array" ref="X187">INDEX(GMW!$A$2:$NF$60,MATCH(1,(GMW!$NE$2:$NE$60=X$3)*(GMW!$ND$2:$ND$60=X$4)*(GMW!$NF$2:$NF$60=X$1),0),$F187-1966)</f>
        <v>1949.1880000000001</v>
      </c>
      <c r="Y187" s="4" cm="1">
        <f t="array" ref="Y187">INDEX(GMW!$A$2:$NF$60,MATCH(1,(GMW!$NE$2:$NE$60=Y$3)*(GMW!$ND$2:$ND$60=Y$4)*(GMW!$NF$2:$NF$60=Y$1),0),$F187-1966)</f>
        <v>3052.8910000000001</v>
      </c>
      <c r="Z187" s="4" cm="1">
        <f t="array" ref="Z187">INDEX(GMW!$A$2:$NF$60,MATCH(1,(GMW!$NE$2:$NE$60=Z$3)*(GMW!$ND$2:$ND$60=Z$4)*(GMW!$NF$2:$NF$60=Z$1),0),$F187-1966)</f>
        <v>2642.0010000000002</v>
      </c>
      <c r="AA187" s="4" cm="1">
        <f t="array" ref="AA187">INDEX(GMW!$A$2:$NF$60,MATCH(1,(GMW!$NE$2:$NE$60=AA$3)*(GMW!$ND$2:$ND$60=AA$4)*(GMW!$NF$2:$NF$60=AA$1),0),$F187-1966)</f>
        <v>2083611</v>
      </c>
      <c r="AB187" s="4" cm="1">
        <f t="array" ref="AB187">INDEX(GMW!$A$2:$NF$60,MATCH(1,(GMW!$NE$2:$NE$60=AB$3)*(GMW!$ND$2:$ND$60=AB$4)*(GMW!$NF$2:$NF$60=AB$1),0),$F187-1966)</f>
        <v>531131</v>
      </c>
      <c r="AC187" s="4" cm="1">
        <f t="array" ref="AC187">INDEX(GMW!$A$2:$NF$60,MATCH(1,(GMW!$NE$2:$NE$60=AC$3)*(GMW!$ND$2:$ND$60=AC$4)*(GMW!$NF$2:$NF$60=AC$1),0),$F187-1966)</f>
        <v>5082.1499999999996</v>
      </c>
      <c r="AD187" s="4" cm="1">
        <f t="array" ref="AD187">INDEX(GMW!$A$2:$NF$60,MATCH(1,(GMW!$NE$2:$NE$60=AD$3)*(GMW!$ND$2:$ND$60=AD$4)*(GMW!$NF$2:$NF$60=AD$1),0),$F187-1966)</f>
        <v>139606.9</v>
      </c>
      <c r="AE187" s="4" cm="1">
        <f t="array" ref="AE187">INDEX(GMW!$A$2:$NF$60,MATCH(1,(GMW!$NE$2:$NE$60=AE$3)*(GMW!$ND$2:$ND$60=AE$4)*(GMW!$NF$2:$NF$60=AE$1),0),$F187-1966)</f>
        <v>849.36599999999999</v>
      </c>
      <c r="AF187" s="4" cm="1">
        <f t="array" ref="AF187">INDEX(GMW!$A$2:$NF$60,MATCH(1,(GMW!$NE$2:$NE$60=AF$3)*(GMW!$ND$2:$ND$60=AF$4)*(GMW!$NF$2:$NF$60=AF$1),0),$F187-1966)</f>
        <v>583.01300000000003</v>
      </c>
      <c r="AG187" s="4" cm="1">
        <f t="array" ref="AG187">INDEX(GMW!$A$2:$NF$60,MATCH(1,(GMW!$NE$2:$NE$60=AG$3)*(GMW!$ND$2:$ND$60=AG$4)*(GMW!$NF$2:$NF$60=AG$1),0),$F187-1966)</f>
        <v>443.31099999999998</v>
      </c>
      <c r="AH187" s="4" cm="1">
        <f t="array" ref="AH187">INDEX(GMW!$A$2:$NF$60,MATCH(1,(GMW!$NE$2:$NE$60=AH$3)*(GMW!$ND$2:$ND$60=AH$4)*(GMW!$NF$2:$NF$60=AH$1),0),$F187-1966)</f>
        <v>551767</v>
      </c>
    </row>
    <row r="188" spans="1:34" x14ac:dyDescent="0.25">
      <c r="B188" s="4">
        <f t="shared" ref="B188:D203" si="63">+B184+1</f>
        <v>2018</v>
      </c>
      <c r="C188" s="4">
        <f t="shared" si="63"/>
        <v>2018</v>
      </c>
      <c r="F188" s="4">
        <f t="shared" si="59"/>
        <v>2154</v>
      </c>
      <c r="G188" s="4" cm="1">
        <f t="array" ref="G188">INDEX(GMW!$A$2:$NF$60,MATCH(1,(GMW!$NE$2:$NE$60=G$3)*(GMW!$ND$2:$ND$60=G$4)*(GMW!$NF$2:$NF$60=G$1),0),$F188-1966)</f>
        <v>607775</v>
      </c>
      <c r="H188" s="4" cm="1">
        <f t="array" ref="H188">INDEX(GMW!$A$2:$NF$60,MATCH(1,(GMW!$NE$2:$NE$60=H$3)*(GMW!$ND$2:$ND$60=H$4)*(GMW!$NF$2:$NF$60=H$1),0),$F188-1966)</f>
        <v>5037.625</v>
      </c>
      <c r="I188" s="4" cm="1">
        <f t="array" ref="I188">INDEX(GMW!$A$2:$NF$60,MATCH(1,(GMW!$NE$2:$NE$60=I$3)*(GMW!$ND$2:$ND$60=I$4)*(GMW!$NF$2:$NF$60=I$1),0),$F188-1966)</f>
        <v>139239</v>
      </c>
      <c r="J188" s="4" cm="1">
        <f t="array" ref="J188">INDEX(GMW!$A$2:$NF$60,MATCH(1,(GMW!$NE$2:$NE$60=J$3)*(GMW!$ND$2:$ND$60=J$4)*(GMW!$NF$2:$NF$60=J$1),0),$F188-1966)</f>
        <v>896.07</v>
      </c>
      <c r="K188" s="4" cm="1">
        <f t="array" ref="K188">INDEX(GMW!$A$2:$NF$60,MATCH(1,(GMW!$NE$2:$NE$60=K$3)*(GMW!$ND$2:$ND$60=K$4)*(GMW!$NF$2:$NF$60=K$1),0),$F188-1966)</f>
        <v>611.91999999999996</v>
      </c>
      <c r="L188" s="4" cm="1">
        <f t="array" ref="L188">INDEX(GMW!$A$2:$NF$60,MATCH(1,(GMW!$NE$2:$NE$60=L$3)*(GMW!$ND$2:$ND$60=L$4)*(GMW!$NF$2:$NF$60=L$1),0),$F188-1966)</f>
        <v>456.23599999999999</v>
      </c>
      <c r="M188" s="4" cm="1">
        <f t="array" ref="M188">INDEX(GMW!$A$2:$NF$60,MATCH(1,(GMW!$NE$2:$NE$60=M$3)*(GMW!$ND$2:$ND$60=M$4)*(GMW!$NF$2:$NF$60=M$1),0),$F188-1966)</f>
        <v>549192</v>
      </c>
      <c r="N188" s="4" cm="1">
        <f t="array" ref="N188">INDEX(GMW!$A$2:$NF$60,MATCH(1,(GMW!$NE$2:$NE$60=N$3)*(GMW!$ND$2:$ND$60=N$4)*(GMW!$NF$2:$NF$60=N$1),0),$F188-1966)</f>
        <v>-19008</v>
      </c>
      <c r="O188" s="4" cm="1">
        <f t="array" ref="O188">INDEX(GMW!$A$2:$NF$60,MATCH(1,(GMW!$NE$2:$NE$60=O$3)*(GMW!$ND$2:$ND$60=O$4)*(GMW!$NF$2:$NF$60=O$1),0),$F188-1966)</f>
        <v>-314.57299999999998</v>
      </c>
      <c r="P188" s="4" cm="1">
        <f t="array" ref="P188">INDEX(GMW!$A$2:$NF$60,MATCH(1,(GMW!$NE$2:$NE$60=P$3)*(GMW!$ND$2:$ND$60=P$4)*(GMW!$NF$2:$NF$60=P$1),0),$F188-1966)</f>
        <v>-3911</v>
      </c>
      <c r="Q188" s="4" cm="1">
        <f t="array" ref="Q188">INDEX(GMW!$A$2:$NF$60,MATCH(1,(GMW!$NE$2:$NE$60=Q$3)*(GMW!$ND$2:$ND$60=Q$4)*(GMW!$NF$2:$NF$60=Q$1),0),$F188-1966)</f>
        <v>22.873999999999999</v>
      </c>
      <c r="R188" s="4" cm="1">
        <f t="array" ref="R188">INDEX(GMW!$A$2:$NF$60,MATCH(1,(GMW!$NE$2:$NE$60=R$3)*(GMW!$ND$2:$ND$60=R$4)*(GMW!$NF$2:$NF$60=R$1),0),$F188-1966)</f>
        <v>-13.619</v>
      </c>
      <c r="S188" s="4" cm="1">
        <f t="array" ref="S188">INDEX(GMW!$A$2:$NF$60,MATCH(1,(GMW!$NE$2:$NE$60=S$3)*(GMW!$ND$2:$ND$60=S$4)*(GMW!$NF$2:$NF$60=S$1),0),$F188-1966)</f>
        <v>-10.224299999999999</v>
      </c>
      <c r="T188" s="4" cm="1">
        <f t="array" ref="T188">INDEX(GMW!$A$2:$NF$60,MATCH(1,(GMW!$NE$2:$NE$60=T$3)*(GMW!$ND$2:$ND$60=T$4)*(GMW!$NF$2:$NF$60=T$1),0),$F188-1966)</f>
        <v>5601</v>
      </c>
      <c r="U188" s="4" cm="1">
        <f t="array" ref="U188">INDEX(GMW!$A$2:$NF$60,MATCH(1,(GMW!$NE$2:$NE$60=U$3)*(GMW!$ND$2:$ND$60=U$4)*(GMW!$NF$2:$NF$60=U$1),0),$F188-1966)</f>
        <v>1818959</v>
      </c>
      <c r="V188" s="4" cm="1">
        <f t="array" ref="V188">INDEX(GMW!$A$2:$NF$60,MATCH(1,(GMW!$NE$2:$NE$60=V$3)*(GMW!$ND$2:$ND$60=V$4)*(GMW!$NF$2:$NF$60=V$1),0),$F188-1966)</f>
        <v>27150.34</v>
      </c>
      <c r="W188" s="4" cm="1">
        <f t="array" ref="W188">INDEX(GMW!$A$2:$NF$60,MATCH(1,(GMW!$NE$2:$NE$60=W$3)*(GMW!$ND$2:$ND$60=W$4)*(GMW!$NF$2:$NF$60=W$1),0),$F188-1966)</f>
        <v>1221681</v>
      </c>
      <c r="X188" s="4" cm="1">
        <f t="array" ref="X188">INDEX(GMW!$A$2:$NF$60,MATCH(1,(GMW!$NE$2:$NE$60=X$3)*(GMW!$ND$2:$ND$60=X$4)*(GMW!$NF$2:$NF$60=X$1),0),$F188-1966)</f>
        <v>1934.5329999999999</v>
      </c>
      <c r="Y188" s="4" cm="1">
        <f t="array" ref="Y188">INDEX(GMW!$A$2:$NF$60,MATCH(1,(GMW!$NE$2:$NE$60=Y$3)*(GMW!$ND$2:$ND$60=Y$4)*(GMW!$NF$2:$NF$60=Y$1),0),$F188-1966)</f>
        <v>3081.7080000000001</v>
      </c>
      <c r="Z188" s="4" cm="1">
        <f t="array" ref="Z188">INDEX(GMW!$A$2:$NF$60,MATCH(1,(GMW!$NE$2:$NE$60=Z$3)*(GMW!$ND$2:$ND$60=Z$4)*(GMW!$NF$2:$NF$60=Z$1),0),$F188-1966)</f>
        <v>2632.6550000000002</v>
      </c>
      <c r="AA188" s="4" cm="1">
        <f t="array" ref="AA188">INDEX(GMW!$A$2:$NF$60,MATCH(1,(GMW!$NE$2:$NE$60=AA$3)*(GMW!$ND$2:$ND$60=AA$4)*(GMW!$NF$2:$NF$60=AA$1),0),$F188-1966)</f>
        <v>2078705</v>
      </c>
      <c r="AB188" s="4" cm="1">
        <f t="array" ref="AB188">INDEX(GMW!$A$2:$NF$60,MATCH(1,(GMW!$NE$2:$NE$60=AB$3)*(GMW!$ND$2:$ND$60=AB$4)*(GMW!$NF$2:$NF$60=AB$1),0),$F188-1966)</f>
        <v>535707</v>
      </c>
      <c r="AC188" s="4" cm="1">
        <f t="array" ref="AC188">INDEX(GMW!$A$2:$NF$60,MATCH(1,(GMW!$NE$2:$NE$60=AC$3)*(GMW!$ND$2:$ND$60=AC$4)*(GMW!$NF$2:$NF$60=AC$1),0),$F188-1966)</f>
        <v>5145.2250000000004</v>
      </c>
      <c r="AD188" s="4" cm="1">
        <f t="array" ref="AD188">INDEX(GMW!$A$2:$NF$60,MATCH(1,(GMW!$NE$2:$NE$60=AD$3)*(GMW!$ND$2:$ND$60=AD$4)*(GMW!$NF$2:$NF$60=AD$1),0),$F188-1966)</f>
        <v>139720.1</v>
      </c>
      <c r="AE188" s="4" cm="1">
        <f t="array" ref="AE188">INDEX(GMW!$A$2:$NF$60,MATCH(1,(GMW!$NE$2:$NE$60=AE$3)*(GMW!$ND$2:$ND$60=AE$4)*(GMW!$NF$2:$NF$60=AE$1),0),$F188-1966)</f>
        <v>859.28599999999994</v>
      </c>
      <c r="AF188" s="4" cm="1">
        <f t="array" ref="AF188">INDEX(GMW!$A$2:$NF$60,MATCH(1,(GMW!$NE$2:$NE$60=AF$3)*(GMW!$ND$2:$ND$60=AF$4)*(GMW!$NF$2:$NF$60=AF$1),0),$F188-1966)</f>
        <v>585.25900000000001</v>
      </c>
      <c r="AG188" s="4" cm="1">
        <f t="array" ref="AG188">INDEX(GMW!$A$2:$NF$60,MATCH(1,(GMW!$NE$2:$NE$60=AG$3)*(GMW!$ND$2:$ND$60=AG$4)*(GMW!$NF$2:$NF$60=AG$1),0),$F188-1966)</f>
        <v>444.15800000000002</v>
      </c>
      <c r="AH188" s="4" cm="1">
        <f t="array" ref="AH188">INDEX(GMW!$A$2:$NF$60,MATCH(1,(GMW!$NE$2:$NE$60=AH$3)*(GMW!$ND$2:$ND$60=AH$4)*(GMW!$NF$2:$NF$60=AH$1),0),$F188-1966)</f>
        <v>560017</v>
      </c>
    </row>
    <row r="189" spans="1:34" x14ac:dyDescent="0.25">
      <c r="B189" s="4">
        <f t="shared" si="63"/>
        <v>2018</v>
      </c>
      <c r="C189" s="4">
        <f t="shared" si="63"/>
        <v>2018</v>
      </c>
      <c r="F189" s="4">
        <f t="shared" si="59"/>
        <v>2155</v>
      </c>
      <c r="G189" s="4" cm="1">
        <f t="array" ref="G189">INDEX(GMW!$A$2:$NF$60,MATCH(1,(GMW!$NE$2:$NE$60=G$3)*(GMW!$ND$2:$ND$60=G$4)*(GMW!$NF$2:$NF$60=G$1),0),$F189-1966)</f>
        <v>609653</v>
      </c>
      <c r="H189" s="4" cm="1">
        <f t="array" ref="H189">INDEX(GMW!$A$2:$NF$60,MATCH(1,(GMW!$NE$2:$NE$60=H$3)*(GMW!$ND$2:$ND$60=H$4)*(GMW!$NF$2:$NF$60=H$1),0),$F189-1966)</f>
        <v>5069.05</v>
      </c>
      <c r="I189" s="4" cm="1">
        <f t="array" ref="I189">INDEX(GMW!$A$2:$NF$60,MATCH(1,(GMW!$NE$2:$NE$60=I$3)*(GMW!$ND$2:$ND$60=I$4)*(GMW!$NF$2:$NF$60=I$1),0),$F189-1966)</f>
        <v>138545.5</v>
      </c>
      <c r="J189" s="4" cm="1">
        <f t="array" ref="J189">INDEX(GMW!$A$2:$NF$60,MATCH(1,(GMW!$NE$2:$NE$60=J$3)*(GMW!$ND$2:$ND$60=J$4)*(GMW!$NF$2:$NF$60=J$1),0),$F189-1966)</f>
        <v>890.2</v>
      </c>
      <c r="K189" s="4" cm="1">
        <f t="array" ref="K189">INDEX(GMW!$A$2:$NF$60,MATCH(1,(GMW!$NE$2:$NE$60=K$3)*(GMW!$ND$2:$ND$60=K$4)*(GMW!$NF$2:$NF$60=K$1),0),$F189-1966)</f>
        <v>614.846</v>
      </c>
      <c r="L189" s="4" cm="1">
        <f t="array" ref="L189">INDEX(GMW!$A$2:$NF$60,MATCH(1,(GMW!$NE$2:$NE$60=L$3)*(GMW!$ND$2:$ND$60=L$4)*(GMW!$NF$2:$NF$60=L$1),0),$F189-1966)</f>
        <v>456.21800000000002</v>
      </c>
      <c r="M189" s="4" cm="1">
        <f t="array" ref="M189">INDEX(GMW!$A$2:$NF$60,MATCH(1,(GMW!$NE$2:$NE$60=M$3)*(GMW!$ND$2:$ND$60=M$4)*(GMW!$NF$2:$NF$60=M$1),0),$F189-1966)</f>
        <v>551962.30000000005</v>
      </c>
      <c r="N189" s="4" cm="1">
        <f t="array" ref="N189">INDEX(GMW!$A$2:$NF$60,MATCH(1,(GMW!$NE$2:$NE$60=N$3)*(GMW!$ND$2:$ND$60=N$4)*(GMW!$NF$2:$NF$60=N$1),0),$F189-1966)</f>
        <v>-13638</v>
      </c>
      <c r="O189" s="4" cm="1">
        <f t="array" ref="O189">INDEX(GMW!$A$2:$NF$60,MATCH(1,(GMW!$NE$2:$NE$60=O$3)*(GMW!$ND$2:$ND$60=O$4)*(GMW!$NF$2:$NF$60=O$1),0),$F189-1966)</f>
        <v>-308.77249999999998</v>
      </c>
      <c r="P189" s="4" cm="1">
        <f t="array" ref="P189">INDEX(GMW!$A$2:$NF$60,MATCH(1,(GMW!$NE$2:$NE$60=P$3)*(GMW!$ND$2:$ND$60=P$4)*(GMW!$NF$2:$NF$60=P$1),0),$F189-1966)</f>
        <v>-3056.75</v>
      </c>
      <c r="Q189" s="4" cm="1">
        <f t="array" ref="Q189">INDEX(GMW!$A$2:$NF$60,MATCH(1,(GMW!$NE$2:$NE$60=Q$3)*(GMW!$ND$2:$ND$60=Q$4)*(GMW!$NF$2:$NF$60=Q$1),0),$F189-1966)</f>
        <v>16.195</v>
      </c>
      <c r="R189" s="4" cm="1">
        <f t="array" ref="R189">INDEX(GMW!$A$2:$NF$60,MATCH(1,(GMW!$NE$2:$NE$60=R$3)*(GMW!$ND$2:$ND$60=R$4)*(GMW!$NF$2:$NF$60=R$1),0),$F189-1966)</f>
        <v>-14.544</v>
      </c>
      <c r="S189" s="4" cm="1">
        <f t="array" ref="S189">INDEX(GMW!$A$2:$NF$60,MATCH(1,(GMW!$NE$2:$NE$60=S$3)*(GMW!$ND$2:$ND$60=S$4)*(GMW!$NF$2:$NF$60=S$1),0),$F189-1966)</f>
        <v>-9.6741130000000002</v>
      </c>
      <c r="T189" s="4" cm="1">
        <f t="array" ref="T189">INDEX(GMW!$A$2:$NF$60,MATCH(1,(GMW!$NE$2:$NE$60=T$3)*(GMW!$ND$2:$ND$60=T$4)*(GMW!$NF$2:$NF$60=T$1),0),$F189-1966)</f>
        <v>7920</v>
      </c>
      <c r="U189" s="4" cm="1">
        <f t="array" ref="U189">INDEX(GMW!$A$2:$NF$60,MATCH(1,(GMW!$NE$2:$NE$60=U$3)*(GMW!$ND$2:$ND$60=U$4)*(GMW!$NF$2:$NF$60=U$1),0),$F189-1966)</f>
        <v>1832926</v>
      </c>
      <c r="V189" s="4" cm="1">
        <f t="array" ref="V189">INDEX(GMW!$A$2:$NF$60,MATCH(1,(GMW!$NE$2:$NE$60=V$3)*(GMW!$ND$2:$ND$60=V$4)*(GMW!$NF$2:$NF$60=V$1),0),$F189-1966)</f>
        <v>27496.5</v>
      </c>
      <c r="W189" s="4" cm="1">
        <f t="array" ref="W189">INDEX(GMW!$A$2:$NF$60,MATCH(1,(GMW!$NE$2:$NE$60=W$3)*(GMW!$ND$2:$ND$60=W$4)*(GMW!$NF$2:$NF$60=W$1),0),$F189-1966)</f>
        <v>1228158</v>
      </c>
      <c r="X189" s="4" cm="1">
        <f t="array" ref="X189">INDEX(GMW!$A$2:$NF$60,MATCH(1,(GMW!$NE$2:$NE$60=X$3)*(GMW!$ND$2:$ND$60=X$4)*(GMW!$NF$2:$NF$60=X$1),0),$F189-1966)</f>
        <v>1928.616</v>
      </c>
      <c r="Y189" s="4" cm="1">
        <f t="array" ref="Y189">INDEX(GMW!$A$2:$NF$60,MATCH(1,(GMW!$NE$2:$NE$60=Y$3)*(GMW!$ND$2:$ND$60=Y$4)*(GMW!$NF$2:$NF$60=Y$1),0),$F189-1966)</f>
        <v>3086.491</v>
      </c>
      <c r="Z189" s="4" cm="1">
        <f t="array" ref="Z189">INDEX(GMW!$A$2:$NF$60,MATCH(1,(GMW!$NE$2:$NE$60=Z$3)*(GMW!$ND$2:$ND$60=Z$4)*(GMW!$NF$2:$NF$60=Z$1),0),$F189-1966)</f>
        <v>2623.3090000000002</v>
      </c>
      <c r="AA189" s="4" cm="1">
        <f t="array" ref="AA189">INDEX(GMW!$A$2:$NF$60,MATCH(1,(GMW!$NE$2:$NE$60=AA$3)*(GMW!$ND$2:$ND$60=AA$4)*(GMW!$NF$2:$NF$60=AA$1),0),$F189-1966)</f>
        <v>2071268</v>
      </c>
      <c r="AB189" s="4" cm="1">
        <f t="array" ref="AB189">INDEX(GMW!$A$2:$NF$60,MATCH(1,(GMW!$NE$2:$NE$60=AB$3)*(GMW!$ND$2:$ND$60=AB$4)*(GMW!$NF$2:$NF$60=AB$1),0),$F189-1966)</f>
        <v>540205</v>
      </c>
      <c r="AC189" s="4" cm="1">
        <f t="array" ref="AC189">INDEX(GMW!$A$2:$NF$60,MATCH(1,(GMW!$NE$2:$NE$60=AC$3)*(GMW!$ND$2:$ND$60=AC$4)*(GMW!$NF$2:$NF$60=AC$1),0),$F189-1966)</f>
        <v>5199.6750000000002</v>
      </c>
      <c r="AD189" s="4" cm="1">
        <f t="array" ref="AD189">INDEX(GMW!$A$2:$NF$60,MATCH(1,(GMW!$NE$2:$NE$60=AD$3)*(GMW!$ND$2:$ND$60=AD$4)*(GMW!$NF$2:$NF$60=AD$1),0),$F189-1966)</f>
        <v>138849.9</v>
      </c>
      <c r="AE189" s="4" cm="1">
        <f t="array" ref="AE189">INDEX(GMW!$A$2:$NF$60,MATCH(1,(GMW!$NE$2:$NE$60=AE$3)*(GMW!$ND$2:$ND$60=AE$4)*(GMW!$NF$2:$NF$60=AE$1),0),$F189-1966)</f>
        <v>859.35900000000004</v>
      </c>
      <c r="AF189" s="4" cm="1">
        <f t="array" ref="AF189">INDEX(GMW!$A$2:$NF$60,MATCH(1,(GMW!$NE$2:$NE$60=AF$3)*(GMW!$ND$2:$ND$60=AF$4)*(GMW!$NF$2:$NF$60=AF$1),0),$F189-1966)</f>
        <v>591.52499999999998</v>
      </c>
      <c r="AG189" s="4" cm="1">
        <f t="array" ref="AG189">INDEX(GMW!$A$2:$NF$60,MATCH(1,(GMW!$NE$2:$NE$60=AG$3)*(GMW!$ND$2:$ND$60=AG$4)*(GMW!$NF$2:$NF$60=AG$1),0),$F189-1966)</f>
        <v>444.54399999999998</v>
      </c>
      <c r="AH189" s="4" cm="1">
        <f t="array" ref="AH189">INDEX(GMW!$A$2:$NF$60,MATCH(1,(GMW!$NE$2:$NE$60=AH$3)*(GMW!$ND$2:$ND$60=AH$4)*(GMW!$NF$2:$NF$60=AH$1),0),$F189-1966)</f>
        <v>564738</v>
      </c>
    </row>
    <row r="190" spans="1:34" x14ac:dyDescent="0.25">
      <c r="B190" s="4">
        <f t="shared" si="63"/>
        <v>2018</v>
      </c>
      <c r="C190" s="4">
        <f t="shared" si="63"/>
        <v>2018</v>
      </c>
      <c r="E190" s="4">
        <f t="shared" ref="E190" si="64">+E186+1</f>
        <v>2018</v>
      </c>
      <c r="F190" s="4">
        <f t="shared" si="59"/>
        <v>2156</v>
      </c>
      <c r="G190" s="4" cm="1">
        <f t="array" ref="G190">INDEX(GMW!$A$2:$NF$60,MATCH(1,(GMW!$NE$2:$NE$60=G$3)*(GMW!$ND$2:$ND$60=G$4)*(GMW!$NF$2:$NF$60=G$1),0),$F190-1966)</f>
        <v>610481</v>
      </c>
      <c r="H190" s="4" cm="1">
        <f t="array" ref="H190">INDEX(GMW!$A$2:$NF$60,MATCH(1,(GMW!$NE$2:$NE$60=H$3)*(GMW!$ND$2:$ND$60=H$4)*(GMW!$NF$2:$NF$60=H$1),0),$F190-1966)</f>
        <v>5076.2250000000004</v>
      </c>
      <c r="I190" s="4" cm="1">
        <f t="array" ref="I190">INDEX(GMW!$A$2:$NF$60,MATCH(1,(GMW!$NE$2:$NE$60=I$3)*(GMW!$ND$2:$ND$60=I$4)*(GMW!$NF$2:$NF$60=I$1),0),$F190-1966)</f>
        <v>138219.1</v>
      </c>
      <c r="J190" s="4" cm="1">
        <f t="array" ref="J190">INDEX(GMW!$A$2:$NF$60,MATCH(1,(GMW!$NE$2:$NE$60=J$3)*(GMW!$ND$2:$ND$60=J$4)*(GMW!$NF$2:$NF$60=J$1),0),$F190-1966)</f>
        <v>894.17</v>
      </c>
      <c r="K190" s="4" cm="1">
        <f t="array" ref="K190">INDEX(GMW!$A$2:$NF$60,MATCH(1,(GMW!$NE$2:$NE$60=K$3)*(GMW!$ND$2:$ND$60=K$4)*(GMW!$NF$2:$NF$60=K$1),0),$F190-1966)</f>
        <v>619.48699999999997</v>
      </c>
      <c r="L190" s="4" cm="1">
        <f t="array" ref="L190">INDEX(GMW!$A$2:$NF$60,MATCH(1,(GMW!$NE$2:$NE$60=L$3)*(GMW!$ND$2:$ND$60=L$4)*(GMW!$NF$2:$NF$60=L$1),0),$F190-1966)</f>
        <v>457.57600000000002</v>
      </c>
      <c r="M190" s="4" cm="1">
        <f t="array" ref="M190">INDEX(GMW!$A$2:$NF$60,MATCH(1,(GMW!$NE$2:$NE$60=M$3)*(GMW!$ND$2:$ND$60=M$4)*(GMW!$NF$2:$NF$60=M$1),0),$F190-1966)</f>
        <v>553262.5</v>
      </c>
      <c r="N190" s="4" cm="1">
        <f t="array" ref="N190">INDEX(GMW!$A$2:$NF$60,MATCH(1,(GMW!$NE$2:$NE$60=N$3)*(GMW!$ND$2:$ND$60=N$4)*(GMW!$NF$2:$NF$60=N$1),0),$F190-1966)</f>
        <v>-20520</v>
      </c>
      <c r="O190" s="4" cm="1">
        <f t="array" ref="O190">INDEX(GMW!$A$2:$NF$60,MATCH(1,(GMW!$NE$2:$NE$60=O$3)*(GMW!$ND$2:$ND$60=O$4)*(GMW!$NF$2:$NF$60=O$1),0),$F190-1966)</f>
        <v>-328.7355</v>
      </c>
      <c r="P190" s="4" cm="1">
        <f t="array" ref="P190">INDEX(GMW!$A$2:$NF$60,MATCH(1,(GMW!$NE$2:$NE$60=P$3)*(GMW!$ND$2:$ND$60=P$4)*(GMW!$NF$2:$NF$60=P$1),0),$F190-1966)</f>
        <v>-2386</v>
      </c>
      <c r="Q190" s="4" cm="1">
        <f t="array" ref="Q190">INDEX(GMW!$A$2:$NF$60,MATCH(1,(GMW!$NE$2:$NE$60=Q$3)*(GMW!$ND$2:$ND$60=Q$4)*(GMW!$NF$2:$NF$60=Q$1),0),$F190-1966)</f>
        <v>6.4690000000000003</v>
      </c>
      <c r="R190" s="4" cm="1">
        <f t="array" ref="R190">INDEX(GMW!$A$2:$NF$60,MATCH(1,(GMW!$NE$2:$NE$60=R$3)*(GMW!$ND$2:$ND$60=R$4)*(GMW!$NF$2:$NF$60=R$1),0),$F190-1966)</f>
        <v>-12.382</v>
      </c>
      <c r="S190" s="4" cm="1">
        <f t="array" ref="S190">INDEX(GMW!$A$2:$NF$60,MATCH(1,(GMW!$NE$2:$NE$60=S$3)*(GMW!$ND$2:$ND$60=S$4)*(GMW!$NF$2:$NF$60=S$1),0),$F190-1966)</f>
        <v>-8.7095120000000001</v>
      </c>
      <c r="T190" s="4" cm="1">
        <f t="array" ref="T190">INDEX(GMW!$A$2:$NF$60,MATCH(1,(GMW!$NE$2:$NE$60=T$3)*(GMW!$ND$2:$ND$60=T$4)*(GMW!$NF$2:$NF$60=T$1),0),$F190-1966)</f>
        <v>4831</v>
      </c>
      <c r="U190" s="4" cm="1">
        <f t="array" ref="U190">INDEX(GMW!$A$2:$NF$60,MATCH(1,(GMW!$NE$2:$NE$60=U$3)*(GMW!$ND$2:$ND$60=U$4)*(GMW!$NF$2:$NF$60=U$1),0),$F190-1966)</f>
        <v>1858410</v>
      </c>
      <c r="V190" s="4" cm="1">
        <f t="array" ref="V190">INDEX(GMW!$A$2:$NF$60,MATCH(1,(GMW!$NE$2:$NE$60=V$3)*(GMW!$ND$2:$ND$60=V$4)*(GMW!$NF$2:$NF$60=V$1),0),$F190-1966)</f>
        <v>28281.55</v>
      </c>
      <c r="W190" s="4" cm="1">
        <f t="array" ref="W190">INDEX(GMW!$A$2:$NF$60,MATCH(1,(GMW!$NE$2:$NE$60=W$3)*(GMW!$ND$2:$ND$60=W$4)*(GMW!$NF$2:$NF$60=W$1),0),$F190-1966)</f>
        <v>1234636</v>
      </c>
      <c r="X190" s="4" cm="1">
        <f t="array" ref="X190">INDEX(GMW!$A$2:$NF$60,MATCH(1,(GMW!$NE$2:$NE$60=X$3)*(GMW!$ND$2:$ND$60=X$4)*(GMW!$NF$2:$NF$60=X$1),0),$F190-1966)</f>
        <v>1914.05</v>
      </c>
      <c r="Y190" s="4" cm="1">
        <f t="array" ref="Y190">INDEX(GMW!$A$2:$NF$60,MATCH(1,(GMW!$NE$2:$NE$60=Y$3)*(GMW!$ND$2:$ND$60=Y$4)*(GMW!$NF$2:$NF$60=Y$1),0),$F190-1966)</f>
        <v>3009.4389999999999</v>
      </c>
      <c r="Z190" s="4" cm="1">
        <f t="array" ref="Z190">INDEX(GMW!$A$2:$NF$60,MATCH(1,(GMW!$NE$2:$NE$60=Z$3)*(GMW!$ND$2:$ND$60=Z$4)*(GMW!$NF$2:$NF$60=Z$1),0),$F190-1966)</f>
        <v>2613.962</v>
      </c>
      <c r="AA190" s="4" cm="1">
        <f t="array" ref="AA190">INDEX(GMW!$A$2:$NF$60,MATCH(1,(GMW!$NE$2:$NE$60=AA$3)*(GMW!$ND$2:$ND$60=AA$4)*(GMW!$NF$2:$NF$60=AA$1),0),$F190-1966)</f>
        <v>2129521</v>
      </c>
      <c r="AB190" s="4" cm="1">
        <f t="array" ref="AB190">INDEX(GMW!$A$2:$NF$60,MATCH(1,(GMW!$NE$2:$NE$60=AB$3)*(GMW!$ND$2:$ND$60=AB$4)*(GMW!$NF$2:$NF$60=AB$1),0),$F190-1966)</f>
        <v>545261</v>
      </c>
      <c r="AC190" s="4" cm="1">
        <f t="array" ref="AC190">INDEX(GMW!$A$2:$NF$60,MATCH(1,(GMW!$NE$2:$NE$60=AC$3)*(GMW!$ND$2:$ND$60=AC$4)*(GMW!$NF$2:$NF$60=AC$1),0),$F190-1966)</f>
        <v>5229.4750000000004</v>
      </c>
      <c r="AD190" s="4" cm="1">
        <f t="array" ref="AD190">INDEX(GMW!$A$2:$NF$60,MATCH(1,(GMW!$NE$2:$NE$60=AD$3)*(GMW!$ND$2:$ND$60=AD$4)*(GMW!$NF$2:$NF$60=AD$1),0),$F190-1966)</f>
        <v>138374.1</v>
      </c>
      <c r="AE190" s="4" cm="1">
        <f t="array" ref="AE190">INDEX(GMW!$A$2:$NF$60,MATCH(1,(GMW!$NE$2:$NE$60=AE$3)*(GMW!$ND$2:$ND$60=AE$4)*(GMW!$NF$2:$NF$60=AE$1),0),$F190-1966)</f>
        <v>870.79499999999996</v>
      </c>
      <c r="AF190" s="4" cm="1">
        <f t="array" ref="AF190">INDEX(GMW!$A$2:$NF$60,MATCH(1,(GMW!$NE$2:$NE$60=AF$3)*(GMW!$ND$2:$ND$60=AF$4)*(GMW!$NF$2:$NF$60=AF$1),0),$F190-1966)</f>
        <v>597.13699999999994</v>
      </c>
      <c r="AG190" s="4" cm="1">
        <f t="array" ref="AG190">INDEX(GMW!$A$2:$NF$60,MATCH(1,(GMW!$NE$2:$NE$60=AG$3)*(GMW!$ND$2:$ND$60=AG$4)*(GMW!$NF$2:$NF$60=AG$1),0),$F190-1966)</f>
        <v>446.38400000000001</v>
      </c>
      <c r="AH190" s="4" cm="1">
        <f t="array" ref="AH190">INDEX(GMW!$A$2:$NF$60,MATCH(1,(GMW!$NE$2:$NE$60=AH$3)*(GMW!$ND$2:$ND$60=AH$4)*(GMW!$NF$2:$NF$60=AH$1),0),$F190-1966)</f>
        <v>559153</v>
      </c>
    </row>
    <row r="191" spans="1:34" x14ac:dyDescent="0.25">
      <c r="A191" s="4">
        <v>2019</v>
      </c>
      <c r="B191" s="4">
        <f t="shared" si="63"/>
        <v>2019</v>
      </c>
      <c r="C191" s="4">
        <f t="shared" si="63"/>
        <v>2018</v>
      </c>
      <c r="D191" s="4">
        <f t="shared" si="63"/>
        <v>2018</v>
      </c>
      <c r="F191" s="4">
        <f t="shared" si="59"/>
        <v>2157</v>
      </c>
      <c r="G191" s="4" cm="1">
        <f t="array" ref="G191">INDEX(GMW!$A$2:$NF$60,MATCH(1,(GMW!$NE$2:$NE$60=G$3)*(GMW!$ND$2:$ND$60=G$4)*(GMW!$NF$2:$NF$60=G$1),0),$F191-1966)</f>
        <v>614936</v>
      </c>
      <c r="H191" s="4" cm="1">
        <f t="array" ref="H191">INDEX(GMW!$A$2:$NF$60,MATCH(1,(GMW!$NE$2:$NE$60=H$3)*(GMW!$ND$2:$ND$60=H$4)*(GMW!$NF$2:$NF$60=H$1),0),$F191-1966)</f>
        <v>5107.8999999999996</v>
      </c>
      <c r="I191" s="4" cm="1">
        <f t="array" ref="I191">INDEX(GMW!$A$2:$NF$60,MATCH(1,(GMW!$NE$2:$NE$60=I$3)*(GMW!$ND$2:$ND$60=I$4)*(GMW!$NF$2:$NF$60=I$1),0),$F191-1966)</f>
        <v>138528.5</v>
      </c>
      <c r="J191" s="4" cm="1">
        <f t="array" ref="J191">INDEX(GMW!$A$2:$NF$60,MATCH(1,(GMW!$NE$2:$NE$60=J$3)*(GMW!$ND$2:$ND$60=J$4)*(GMW!$NF$2:$NF$60=J$1),0),$F191-1966)</f>
        <v>900.03</v>
      </c>
      <c r="K191" s="4" cm="1">
        <f t="array" ref="K191">INDEX(GMW!$A$2:$NF$60,MATCH(1,(GMW!$NE$2:$NE$60=K$3)*(GMW!$ND$2:$ND$60=K$4)*(GMW!$NF$2:$NF$60=K$1),0),$F191-1966)</f>
        <v>625.19100000000003</v>
      </c>
      <c r="L191" s="4" cm="1">
        <f t="array" ref="L191">INDEX(GMW!$A$2:$NF$60,MATCH(1,(GMW!$NE$2:$NE$60=L$3)*(GMW!$ND$2:$ND$60=L$4)*(GMW!$NF$2:$NF$60=L$1),0),$F191-1966)</f>
        <v>458.56200000000001</v>
      </c>
      <c r="M191" s="4" cm="1">
        <f t="array" ref="M191">INDEX(GMW!$A$2:$NF$60,MATCH(1,(GMW!$NE$2:$NE$60=M$3)*(GMW!$ND$2:$ND$60=M$4)*(GMW!$NF$2:$NF$60=M$1),0),$F191-1966)</f>
        <v>554594</v>
      </c>
      <c r="N191" s="4" cm="1">
        <f t="array" ref="N191">INDEX(GMW!$A$2:$NF$60,MATCH(1,(GMW!$NE$2:$NE$60=N$3)*(GMW!$ND$2:$ND$60=N$4)*(GMW!$NF$2:$NF$60=N$1),0),$F191-1966)</f>
        <v>8444</v>
      </c>
      <c r="O191" s="4" cm="1">
        <f t="array" ref="O191">INDEX(GMW!$A$2:$NF$60,MATCH(1,(GMW!$NE$2:$NE$60=O$3)*(GMW!$ND$2:$ND$60=O$4)*(GMW!$NF$2:$NF$60=O$1),0),$F191-1966)</f>
        <v>-350.31880000000001</v>
      </c>
      <c r="P191" s="4" cm="1">
        <f t="array" ref="P191">INDEX(GMW!$A$2:$NF$60,MATCH(1,(GMW!$NE$2:$NE$60=P$3)*(GMW!$ND$2:$ND$60=P$4)*(GMW!$NF$2:$NF$60=P$1),0),$F191-1966)</f>
        <v>-2039.75</v>
      </c>
      <c r="Q191" s="4" cm="1">
        <f t="array" ref="Q191">INDEX(GMW!$A$2:$NF$60,MATCH(1,(GMW!$NE$2:$NE$60=Q$3)*(GMW!$ND$2:$ND$60=Q$4)*(GMW!$NF$2:$NF$60=Q$1),0),$F191-1966)</f>
        <v>16.347000000000001</v>
      </c>
      <c r="R191" s="4" cm="1">
        <f t="array" ref="R191">INDEX(GMW!$A$2:$NF$60,MATCH(1,(GMW!$NE$2:$NE$60=R$3)*(GMW!$ND$2:$ND$60=R$4)*(GMW!$NF$2:$NF$60=R$1),0),$F191-1966)</f>
        <v>-13.411</v>
      </c>
      <c r="S191" s="4" cm="1">
        <f t="array" ref="S191">INDEX(GMW!$A$2:$NF$60,MATCH(1,(GMW!$NE$2:$NE$60=S$3)*(GMW!$ND$2:$ND$60=S$4)*(GMW!$NF$2:$NF$60=S$1),0),$F191-1966)</f>
        <v>-4.7321730000000004</v>
      </c>
      <c r="T191" s="4" cm="1">
        <f t="array" ref="T191">INDEX(GMW!$A$2:$NF$60,MATCH(1,(GMW!$NE$2:$NE$60=T$3)*(GMW!$ND$2:$ND$60=T$4)*(GMW!$NF$2:$NF$60=T$1),0),$F191-1966)</f>
        <v>3844</v>
      </c>
      <c r="U191" s="4" cm="1">
        <f t="array" ref="U191">INDEX(GMW!$A$2:$NF$60,MATCH(1,(GMW!$NE$2:$NE$60=U$3)*(GMW!$ND$2:$ND$60=U$4)*(GMW!$NF$2:$NF$60=U$1),0),$F191-1966)</f>
        <v>1842214</v>
      </c>
      <c r="V191" s="4" cm="1">
        <f t="array" ref="V191">INDEX(GMW!$A$2:$NF$60,MATCH(1,(GMW!$NE$2:$NE$60=V$3)*(GMW!$ND$2:$ND$60=V$4)*(GMW!$NF$2:$NF$60=V$1),0),$F191-1966)</f>
        <v>28466.33</v>
      </c>
      <c r="W191" s="4" cm="1">
        <f t="array" ref="W191">INDEX(GMW!$A$2:$NF$60,MATCH(1,(GMW!$NE$2:$NE$60=W$3)*(GMW!$ND$2:$ND$60=W$4)*(GMW!$NF$2:$NF$60=W$1),0),$F191-1966)</f>
        <v>1238236</v>
      </c>
      <c r="X191" s="4" cm="1">
        <f t="array" ref="X191">INDEX(GMW!$A$2:$NF$60,MATCH(1,(GMW!$NE$2:$NE$60=X$3)*(GMW!$ND$2:$ND$60=X$4)*(GMW!$NF$2:$NF$60=X$1),0),$F191-1966)</f>
        <v>1927.098</v>
      </c>
      <c r="Y191" s="4" cm="1">
        <f t="array" ref="Y191">INDEX(GMW!$A$2:$NF$60,MATCH(1,(GMW!$NE$2:$NE$60=Y$3)*(GMW!$ND$2:$ND$60=Y$4)*(GMW!$NF$2:$NF$60=Y$1),0),$F191-1966)</f>
        <v>3141.7779999999998</v>
      </c>
      <c r="Z191" s="4" cm="1">
        <f t="array" ref="Z191">INDEX(GMW!$A$2:$NF$60,MATCH(1,(GMW!$NE$2:$NE$60=Z$3)*(GMW!$ND$2:$ND$60=Z$4)*(GMW!$NF$2:$NF$60=Z$1),0),$F191-1966)</f>
        <v>2656.8290000000002</v>
      </c>
      <c r="AA191" s="4" cm="1">
        <f t="array" ref="AA191">INDEX(GMW!$A$2:$NF$60,MATCH(1,(GMW!$NE$2:$NE$60=AA$3)*(GMW!$ND$2:$ND$60=AA$4)*(GMW!$NF$2:$NF$60=AA$1),0),$F191-1966)</f>
        <v>2204683</v>
      </c>
      <c r="AB191" s="4" cm="1">
        <f t="array" ref="AB191">INDEX(GMW!$A$2:$NF$60,MATCH(1,(GMW!$NE$2:$NE$60=AB$3)*(GMW!$ND$2:$ND$60=AB$4)*(GMW!$NF$2:$NF$60=AB$1),0),$F191-1966)</f>
        <v>549060</v>
      </c>
      <c r="AC191" s="4" cm="1">
        <f t="array" ref="AC191">INDEX(GMW!$A$2:$NF$60,MATCH(1,(GMW!$NE$2:$NE$60=AC$3)*(GMW!$ND$2:$ND$60=AC$4)*(GMW!$NF$2:$NF$60=AC$1),0),$F191-1966)</f>
        <v>5277.9</v>
      </c>
      <c r="AD191" s="4" cm="1">
        <f t="array" ref="AD191">INDEX(GMW!$A$2:$NF$60,MATCH(1,(GMW!$NE$2:$NE$60=AD$3)*(GMW!$ND$2:$ND$60=AD$4)*(GMW!$NF$2:$NF$60=AD$1),0),$F191-1966)</f>
        <v>139688.9</v>
      </c>
      <c r="AE191" s="4" cm="1">
        <f t="array" ref="AE191">INDEX(GMW!$A$2:$NF$60,MATCH(1,(GMW!$NE$2:$NE$60=AE$3)*(GMW!$ND$2:$ND$60=AE$4)*(GMW!$NF$2:$NF$60=AE$1),0),$F191-1966)</f>
        <v>877.38099999999997</v>
      </c>
      <c r="AF191" s="4" cm="1">
        <f t="array" ref="AF191">INDEX(GMW!$A$2:$NF$60,MATCH(1,(GMW!$NE$2:$NE$60=AF$3)*(GMW!$ND$2:$ND$60=AF$4)*(GMW!$NF$2:$NF$60=AF$1),0),$F191-1966)</f>
        <v>604.30600000000004</v>
      </c>
      <c r="AG191" s="4" cm="1">
        <f t="array" ref="AG191">INDEX(GMW!$A$2:$NF$60,MATCH(1,(GMW!$NE$2:$NE$60=AG$3)*(GMW!$ND$2:$ND$60=AG$4)*(GMW!$NF$2:$NF$60=AG$1),0),$F191-1966)</f>
        <v>448.94400000000002</v>
      </c>
      <c r="AH191" s="4" cm="1">
        <f t="array" ref="AH191">INDEX(GMW!$A$2:$NF$60,MATCH(1,(GMW!$NE$2:$NE$60=AH$3)*(GMW!$ND$2:$ND$60=AH$4)*(GMW!$NF$2:$NF$60=AH$1),0),$F191-1966)</f>
        <v>567228</v>
      </c>
    </row>
    <row r="192" spans="1:34" x14ac:dyDescent="0.25">
      <c r="B192" s="4">
        <f t="shared" si="63"/>
        <v>2019</v>
      </c>
      <c r="C192" s="4">
        <f t="shared" si="63"/>
        <v>2019</v>
      </c>
      <c r="F192" s="4">
        <f t="shared" si="59"/>
        <v>2158</v>
      </c>
      <c r="G192" s="4" cm="1">
        <f t="array" ref="G192">INDEX(GMW!$A$2:$NF$60,MATCH(1,(GMW!$NE$2:$NE$60=G$3)*(GMW!$ND$2:$ND$60=G$4)*(GMW!$NF$2:$NF$60=G$1),0),$F192-1966)</f>
        <v>616853</v>
      </c>
      <c r="H192" s="4" cm="1">
        <f t="array" ref="H192">INDEX(GMW!$A$2:$NF$60,MATCH(1,(GMW!$NE$2:$NE$60=H$3)*(GMW!$ND$2:$ND$60=H$4)*(GMW!$NF$2:$NF$60=H$1),0),$F192-1966)</f>
        <v>5150.5749999999998</v>
      </c>
      <c r="I192" s="4" cm="1">
        <f t="array" ref="I192">INDEX(GMW!$A$2:$NF$60,MATCH(1,(GMW!$NE$2:$NE$60=I$3)*(GMW!$ND$2:$ND$60=I$4)*(GMW!$NF$2:$NF$60=I$1),0),$F192-1966)</f>
        <v>139158.5</v>
      </c>
      <c r="J192" s="4" cm="1">
        <f t="array" ref="J192">INDEX(GMW!$A$2:$NF$60,MATCH(1,(GMW!$NE$2:$NE$60=J$3)*(GMW!$ND$2:$ND$60=J$4)*(GMW!$NF$2:$NF$60=J$1),0),$F192-1966)</f>
        <v>900.55</v>
      </c>
      <c r="K192" s="4" cm="1">
        <f t="array" ref="K192">INDEX(GMW!$A$2:$NF$60,MATCH(1,(GMW!$NE$2:$NE$60=K$3)*(GMW!$ND$2:$ND$60=K$4)*(GMW!$NF$2:$NF$60=K$1),0),$F192-1966)</f>
        <v>628.63400000000001</v>
      </c>
      <c r="L192" s="4" cm="1">
        <f t="array" ref="L192">INDEX(GMW!$A$2:$NF$60,MATCH(1,(GMW!$NE$2:$NE$60=L$3)*(GMW!$ND$2:$ND$60=L$4)*(GMW!$NF$2:$NF$60=L$1),0),$F192-1966)</f>
        <v>459.82799999999997</v>
      </c>
      <c r="M192" s="4" cm="1">
        <f t="array" ref="M192">INDEX(GMW!$A$2:$NF$60,MATCH(1,(GMW!$NE$2:$NE$60=M$3)*(GMW!$ND$2:$ND$60=M$4)*(GMW!$NF$2:$NF$60=M$1),0),$F192-1966)</f>
        <v>560665.5</v>
      </c>
      <c r="N192" s="4" cm="1">
        <f t="array" ref="N192">INDEX(GMW!$A$2:$NF$60,MATCH(1,(GMW!$NE$2:$NE$60=N$3)*(GMW!$ND$2:$ND$60=N$4)*(GMW!$NF$2:$NF$60=N$1),0),$F192-1966)</f>
        <v>-23345</v>
      </c>
      <c r="O192" s="4" cm="1">
        <f t="array" ref="O192">INDEX(GMW!$A$2:$NF$60,MATCH(1,(GMW!$NE$2:$NE$60=O$3)*(GMW!$ND$2:$ND$60=O$4)*(GMW!$NF$2:$NF$60=O$1),0),$F192-1966)</f>
        <v>-343.44099999999997</v>
      </c>
      <c r="P192" s="4" cm="1">
        <f t="array" ref="P192">INDEX(GMW!$A$2:$NF$60,MATCH(1,(GMW!$NE$2:$NE$60=P$3)*(GMW!$ND$2:$ND$60=P$4)*(GMW!$NF$2:$NF$60=P$1),0),$F192-1966)</f>
        <v>-3111.5</v>
      </c>
      <c r="Q192" s="4" cm="1">
        <f t="array" ref="Q192">INDEX(GMW!$A$2:$NF$60,MATCH(1,(GMW!$NE$2:$NE$60=Q$3)*(GMW!$ND$2:$ND$60=Q$4)*(GMW!$NF$2:$NF$60=Q$1),0),$F192-1966)</f>
        <v>17.594999999999999</v>
      </c>
      <c r="R192" s="4" cm="1">
        <f t="array" ref="R192">INDEX(GMW!$A$2:$NF$60,MATCH(1,(GMW!$NE$2:$NE$60=R$3)*(GMW!$ND$2:$ND$60=R$4)*(GMW!$NF$2:$NF$60=R$1),0),$F192-1966)</f>
        <v>-14.14</v>
      </c>
      <c r="S192" s="4" cm="1">
        <f t="array" ref="S192">INDEX(GMW!$A$2:$NF$60,MATCH(1,(GMW!$NE$2:$NE$60=S$3)*(GMW!$ND$2:$ND$60=S$4)*(GMW!$NF$2:$NF$60=S$1),0),$F192-1966)</f>
        <v>-0.9946393</v>
      </c>
      <c r="T192" s="4" cm="1">
        <f t="array" ref="T192">INDEX(GMW!$A$2:$NF$60,MATCH(1,(GMW!$NE$2:$NE$60=T$3)*(GMW!$ND$2:$ND$60=T$4)*(GMW!$NF$2:$NF$60=T$1),0),$F192-1966)</f>
        <v>3336</v>
      </c>
      <c r="U192" s="4" cm="1">
        <f t="array" ref="U192">INDEX(GMW!$A$2:$NF$60,MATCH(1,(GMW!$NE$2:$NE$60=U$3)*(GMW!$ND$2:$ND$60=U$4)*(GMW!$NF$2:$NF$60=U$1),0),$F192-1966)</f>
        <v>1870885</v>
      </c>
      <c r="V192" s="4" cm="1">
        <f t="array" ref="V192">INDEX(GMW!$A$2:$NF$60,MATCH(1,(GMW!$NE$2:$NE$60=V$3)*(GMW!$ND$2:$ND$60=V$4)*(GMW!$NF$2:$NF$60=V$1),0),$F192-1966)</f>
        <v>28410.83</v>
      </c>
      <c r="W192" s="4" cm="1">
        <f t="array" ref="W192">INDEX(GMW!$A$2:$NF$60,MATCH(1,(GMW!$NE$2:$NE$60=W$3)*(GMW!$ND$2:$ND$60=W$4)*(GMW!$NF$2:$NF$60=W$1),0),$F192-1966)</f>
        <v>1241837</v>
      </c>
      <c r="X192" s="4" cm="1">
        <f t="array" ref="X192">INDEX(GMW!$A$2:$NF$60,MATCH(1,(GMW!$NE$2:$NE$60=X$3)*(GMW!$ND$2:$ND$60=X$4)*(GMW!$NF$2:$NF$60=X$1),0),$F192-1966)</f>
        <v>1919.165</v>
      </c>
      <c r="Y192" s="4" cm="1">
        <f t="array" ref="Y192">INDEX(GMW!$A$2:$NF$60,MATCH(1,(GMW!$NE$2:$NE$60=Y$3)*(GMW!$ND$2:$ND$60=Y$4)*(GMW!$NF$2:$NF$60=Y$1),0),$F192-1966)</f>
        <v>3190.6779999999999</v>
      </c>
      <c r="Z192" s="4" cm="1">
        <f t="array" ref="Z192">INDEX(GMW!$A$2:$NF$60,MATCH(1,(GMW!$NE$2:$NE$60=Z$3)*(GMW!$ND$2:$ND$60=Z$4)*(GMW!$NF$2:$NF$60=Z$1),0),$F192-1966)</f>
        <v>2699.6959999999999</v>
      </c>
      <c r="AA192" s="4" cm="1">
        <f t="array" ref="AA192">INDEX(GMW!$A$2:$NF$60,MATCH(1,(GMW!$NE$2:$NE$60=AA$3)*(GMW!$ND$2:$ND$60=AA$4)*(GMW!$NF$2:$NF$60=AA$1),0),$F192-1966)</f>
        <v>2215338</v>
      </c>
      <c r="AB192" s="4" cm="1">
        <f t="array" ref="AB192">INDEX(GMW!$A$2:$NF$60,MATCH(1,(GMW!$NE$2:$NE$60=AB$3)*(GMW!$ND$2:$ND$60=AB$4)*(GMW!$NF$2:$NF$60=AB$1),0),$F192-1966)</f>
        <v>556104</v>
      </c>
      <c r="AC192" s="4" cm="1">
        <f t="array" ref="AC192">INDEX(GMW!$A$2:$NF$60,MATCH(1,(GMW!$NE$2:$NE$60=AC$3)*(GMW!$ND$2:$ND$60=AC$4)*(GMW!$NF$2:$NF$60=AC$1),0),$F192-1966)</f>
        <v>5349.4750000000004</v>
      </c>
      <c r="AD192" s="4" cm="1">
        <f t="array" ref="AD192">INDEX(GMW!$A$2:$NF$60,MATCH(1,(GMW!$NE$2:$NE$60=AD$3)*(GMW!$ND$2:$ND$60=AD$4)*(GMW!$NF$2:$NF$60=AD$1),0),$F192-1966)</f>
        <v>140224.5</v>
      </c>
      <c r="AE192" s="4" cm="1">
        <f t="array" ref="AE192">INDEX(GMW!$A$2:$NF$60,MATCH(1,(GMW!$NE$2:$NE$60=AE$3)*(GMW!$ND$2:$ND$60=AE$4)*(GMW!$NF$2:$NF$60=AE$1),0),$F192-1966)</f>
        <v>881.57899999999995</v>
      </c>
      <c r="AF192" s="4" cm="1">
        <f t="array" ref="AF192">INDEX(GMW!$A$2:$NF$60,MATCH(1,(GMW!$NE$2:$NE$60=AF$3)*(GMW!$ND$2:$ND$60=AF$4)*(GMW!$NF$2:$NF$60=AF$1),0),$F192-1966)</f>
        <v>609.49199999999996</v>
      </c>
      <c r="AG192" s="4" cm="1">
        <f t="array" ref="AG192">INDEX(GMW!$A$2:$NF$60,MATCH(1,(GMW!$NE$2:$NE$60=AG$3)*(GMW!$ND$2:$ND$60=AG$4)*(GMW!$NF$2:$NF$60=AG$1),0),$F192-1966)</f>
        <v>450.97399999999999</v>
      </c>
      <c r="AH192" s="4" cm="1">
        <f t="array" ref="AH192">INDEX(GMW!$A$2:$NF$60,MATCH(1,(GMW!$NE$2:$NE$60=AH$3)*(GMW!$ND$2:$ND$60=AH$4)*(GMW!$NF$2:$NF$60=AH$1),0),$F192-1966)</f>
        <v>578170</v>
      </c>
    </row>
    <row r="193" spans="1:34" x14ac:dyDescent="0.25">
      <c r="B193" s="4">
        <f t="shared" si="63"/>
        <v>2019</v>
      </c>
      <c r="C193" s="4">
        <f t="shared" si="63"/>
        <v>2019</v>
      </c>
      <c r="F193" s="4">
        <f t="shared" si="59"/>
        <v>2159</v>
      </c>
      <c r="G193" s="4" cm="1">
        <f t="array" ref="G193">INDEX(GMW!$A$2:$NF$60,MATCH(1,(GMW!$NE$2:$NE$60=G$3)*(GMW!$ND$2:$ND$60=G$4)*(GMW!$NF$2:$NF$60=G$1),0),$F193-1966)</f>
        <v>621227</v>
      </c>
      <c r="H193" s="4" cm="1">
        <f t="array" ref="H193">INDEX(GMW!$A$2:$NF$60,MATCH(1,(GMW!$NE$2:$NE$60=H$3)*(GMW!$ND$2:$ND$60=H$4)*(GMW!$NF$2:$NF$60=H$1),0),$F193-1966)</f>
        <v>5210.8249999999998</v>
      </c>
      <c r="I193" s="4" cm="1">
        <f t="array" ref="I193">INDEX(GMW!$A$2:$NF$60,MATCH(1,(GMW!$NE$2:$NE$60=I$3)*(GMW!$ND$2:$ND$60=I$4)*(GMW!$NF$2:$NF$60=I$1),0),$F193-1966)</f>
        <v>139424.4</v>
      </c>
      <c r="J193" s="4" cm="1">
        <f t="array" ref="J193">INDEX(GMW!$A$2:$NF$60,MATCH(1,(GMW!$NE$2:$NE$60=J$3)*(GMW!$ND$2:$ND$60=J$4)*(GMW!$NF$2:$NF$60=J$1),0),$F193-1966)</f>
        <v>904</v>
      </c>
      <c r="K193" s="4" cm="1">
        <f t="array" ref="K193">INDEX(GMW!$A$2:$NF$60,MATCH(1,(GMW!$NE$2:$NE$60=K$3)*(GMW!$ND$2:$ND$60=K$4)*(GMW!$NF$2:$NF$60=K$1),0),$F193-1966)</f>
        <v>628.58199999999999</v>
      </c>
      <c r="L193" s="4" cm="1">
        <f t="array" ref="L193">INDEX(GMW!$A$2:$NF$60,MATCH(1,(GMW!$NE$2:$NE$60=L$3)*(GMW!$ND$2:$ND$60=L$4)*(GMW!$NF$2:$NF$60=L$1),0),$F193-1966)</f>
        <v>458.12599999999998</v>
      </c>
      <c r="M193" s="4" cm="1">
        <f t="array" ref="M193">INDEX(GMW!$A$2:$NF$60,MATCH(1,(GMW!$NE$2:$NE$60=M$3)*(GMW!$ND$2:$ND$60=M$4)*(GMW!$NF$2:$NF$60=M$1),0),$F193-1966)</f>
        <v>562233.30000000005</v>
      </c>
      <c r="N193" s="4" cm="1">
        <f t="array" ref="N193">INDEX(GMW!$A$2:$NF$60,MATCH(1,(GMW!$NE$2:$NE$60=N$3)*(GMW!$ND$2:$ND$60=N$4)*(GMW!$NF$2:$NF$60=N$1),0),$F193-1966)</f>
        <v>-13255</v>
      </c>
      <c r="O193" s="4" cm="1">
        <f t="array" ref="O193">INDEX(GMW!$A$2:$NF$60,MATCH(1,(GMW!$NE$2:$NE$60=O$3)*(GMW!$ND$2:$ND$60=O$4)*(GMW!$NF$2:$NF$60=O$1),0),$F193-1966)</f>
        <v>-362.81920000000002</v>
      </c>
      <c r="P193" s="4" cm="1">
        <f t="array" ref="P193">INDEX(GMW!$A$2:$NF$60,MATCH(1,(GMW!$NE$2:$NE$60=P$3)*(GMW!$ND$2:$ND$60=P$4)*(GMW!$NF$2:$NF$60=P$1),0),$F193-1966)</f>
        <v>-4678</v>
      </c>
      <c r="Q193" s="4" cm="1">
        <f t="array" ref="Q193">INDEX(GMW!$A$2:$NF$60,MATCH(1,(GMW!$NE$2:$NE$60=Q$3)*(GMW!$ND$2:$ND$60=Q$4)*(GMW!$NF$2:$NF$60=Q$1),0),$F193-1966)</f>
        <v>7.7549999999999999</v>
      </c>
      <c r="R193" s="4" cm="1">
        <f t="array" ref="R193">INDEX(GMW!$A$2:$NF$60,MATCH(1,(GMW!$NE$2:$NE$60=R$3)*(GMW!$ND$2:$ND$60=R$4)*(GMW!$NF$2:$NF$60=R$1),0),$F193-1966)</f>
        <v>-12.124000000000001</v>
      </c>
      <c r="S193" s="4" cm="1">
        <f t="array" ref="S193">INDEX(GMW!$A$2:$NF$60,MATCH(1,(GMW!$NE$2:$NE$60=S$3)*(GMW!$ND$2:$ND$60=S$4)*(GMW!$NF$2:$NF$60=S$1),0),$F193-1966)</f>
        <v>-4.6714830000000003</v>
      </c>
      <c r="T193" s="4" cm="1">
        <f t="array" ref="T193">INDEX(GMW!$A$2:$NF$60,MATCH(1,(GMW!$NE$2:$NE$60=T$3)*(GMW!$ND$2:$ND$60=T$4)*(GMW!$NF$2:$NF$60=T$1),0),$F193-1966)</f>
        <v>773</v>
      </c>
      <c r="U193" s="4" cm="1">
        <f t="array" ref="U193">INDEX(GMW!$A$2:$NF$60,MATCH(1,(GMW!$NE$2:$NE$60=U$3)*(GMW!$ND$2:$ND$60=U$4)*(GMW!$NF$2:$NF$60=U$1),0),$F193-1966)</f>
        <v>1870635</v>
      </c>
      <c r="V193" s="4" cm="1">
        <f t="array" ref="V193">INDEX(GMW!$A$2:$NF$60,MATCH(1,(GMW!$NE$2:$NE$60=V$3)*(GMW!$ND$2:$ND$60=V$4)*(GMW!$NF$2:$NF$60=V$1),0),$F193-1966)</f>
        <v>28905.84</v>
      </c>
      <c r="W193" s="4" cm="1">
        <f t="array" ref="W193">INDEX(GMW!$A$2:$NF$60,MATCH(1,(GMW!$NE$2:$NE$60=W$3)*(GMW!$ND$2:$ND$60=W$4)*(GMW!$NF$2:$NF$60=W$1),0),$F193-1966)</f>
        <v>1245437</v>
      </c>
      <c r="X193" s="4" cm="1">
        <f t="array" ref="X193">INDEX(GMW!$A$2:$NF$60,MATCH(1,(GMW!$NE$2:$NE$60=X$3)*(GMW!$ND$2:$ND$60=X$4)*(GMW!$NF$2:$NF$60=X$1),0),$F193-1966)</f>
        <v>1930.3520000000001</v>
      </c>
      <c r="Y193" s="4" cm="1">
        <f t="array" ref="Y193">INDEX(GMW!$A$2:$NF$60,MATCH(1,(GMW!$NE$2:$NE$60=Y$3)*(GMW!$ND$2:$ND$60=Y$4)*(GMW!$NF$2:$NF$60=Y$1),0),$F193-1966)</f>
        <v>3234.3910000000001</v>
      </c>
      <c r="Z193" s="4" cm="1">
        <f t="array" ref="Z193">INDEX(GMW!$A$2:$NF$60,MATCH(1,(GMW!$NE$2:$NE$60=Z$3)*(GMW!$ND$2:$ND$60=Z$4)*(GMW!$NF$2:$NF$60=Z$1),0),$F193-1966)</f>
        <v>2742.5630000000001</v>
      </c>
      <c r="AA193" s="4" cm="1">
        <f t="array" ref="AA193">INDEX(GMW!$A$2:$NF$60,MATCH(1,(GMW!$NE$2:$NE$60=AA$3)*(GMW!$ND$2:$ND$60=AA$4)*(GMW!$NF$2:$NF$60=AA$1),0),$F193-1966)</f>
        <v>2251059</v>
      </c>
      <c r="AB193" s="4" cm="1">
        <f t="array" ref="AB193">INDEX(GMW!$A$2:$NF$60,MATCH(1,(GMW!$NE$2:$NE$60=AB$3)*(GMW!$ND$2:$ND$60=AB$4)*(GMW!$NF$2:$NF$60=AB$1),0),$F193-1966)</f>
        <v>562999</v>
      </c>
      <c r="AC193" s="4" cm="1">
        <f t="array" ref="AC193">INDEX(GMW!$A$2:$NF$60,MATCH(1,(GMW!$NE$2:$NE$60=AC$3)*(GMW!$ND$2:$ND$60=AC$4)*(GMW!$NF$2:$NF$60=AC$1),0),$F193-1966)</f>
        <v>5429.3</v>
      </c>
      <c r="AD193" s="4" cm="1">
        <f t="array" ref="AD193">INDEX(GMW!$A$2:$NF$60,MATCH(1,(GMW!$NE$2:$NE$60=AD$3)*(GMW!$ND$2:$ND$60=AD$4)*(GMW!$NF$2:$NF$60=AD$1),0),$F193-1966)</f>
        <v>140381</v>
      </c>
      <c r="AE193" s="4" cm="1">
        <f t="array" ref="AE193">INDEX(GMW!$A$2:$NF$60,MATCH(1,(GMW!$NE$2:$NE$60=AE$3)*(GMW!$ND$2:$ND$60=AE$4)*(GMW!$NF$2:$NF$60=AE$1),0),$F193-1966)</f>
        <v>890.61500000000001</v>
      </c>
      <c r="AF193" s="4" cm="1">
        <f t="array" ref="AF193">INDEX(GMW!$A$2:$NF$60,MATCH(1,(GMW!$NE$2:$NE$60=AF$3)*(GMW!$ND$2:$ND$60=AF$4)*(GMW!$NF$2:$NF$60=AF$1),0),$F193-1966)</f>
        <v>611.34400000000005</v>
      </c>
      <c r="AG193" s="4" cm="1">
        <f t="array" ref="AG193">INDEX(GMW!$A$2:$NF$60,MATCH(1,(GMW!$NE$2:$NE$60=AG$3)*(GMW!$ND$2:$ND$60=AG$4)*(GMW!$NF$2:$NF$60=AG$1),0),$F193-1966)</f>
        <v>451.99299999999999</v>
      </c>
      <c r="AH193" s="4" cm="1">
        <f t="array" ref="AH193">INDEX(GMW!$A$2:$NF$60,MATCH(1,(GMW!$NE$2:$NE$60=AH$3)*(GMW!$ND$2:$ND$60=AH$4)*(GMW!$NF$2:$NF$60=AH$1),0),$F193-1966)</f>
        <v>580619</v>
      </c>
    </row>
    <row r="194" spans="1:34" x14ac:dyDescent="0.25">
      <c r="B194" s="4">
        <f t="shared" si="63"/>
        <v>2019</v>
      </c>
      <c r="C194" s="4">
        <f t="shared" si="63"/>
        <v>2019</v>
      </c>
      <c r="E194" s="4">
        <f t="shared" ref="E194" si="65">+E190+1</f>
        <v>2019</v>
      </c>
      <c r="F194" s="4">
        <f t="shared" si="59"/>
        <v>2160</v>
      </c>
      <c r="G194" s="4" cm="1">
        <f t="array" ref="G194">INDEX(GMW!$A$2:$NF$60,MATCH(1,(GMW!$NE$2:$NE$60=G$3)*(GMW!$ND$2:$ND$60=G$4)*(GMW!$NF$2:$NF$60=G$1),0),$F194-1966)</f>
        <v>621229</v>
      </c>
      <c r="H194" s="4" cm="1">
        <f t="array" ref="H194">INDEX(GMW!$A$2:$NF$60,MATCH(1,(GMW!$NE$2:$NE$60=H$3)*(GMW!$ND$2:$ND$60=H$4)*(GMW!$NF$2:$NF$60=H$1),0),$F194-1966)</f>
        <v>5246.35</v>
      </c>
      <c r="I194" s="4" cm="1">
        <f t="array" ref="I194">INDEX(GMW!$A$2:$NF$60,MATCH(1,(GMW!$NE$2:$NE$60=I$3)*(GMW!$ND$2:$ND$60=I$4)*(GMW!$NF$2:$NF$60=I$1),0),$F194-1966)</f>
        <v>135393</v>
      </c>
      <c r="J194" s="4" cm="1">
        <f t="array" ref="J194">INDEX(GMW!$A$2:$NF$60,MATCH(1,(GMW!$NE$2:$NE$60=J$3)*(GMW!$ND$2:$ND$60=J$4)*(GMW!$NF$2:$NF$60=J$1),0),$F194-1966)</f>
        <v>900.98</v>
      </c>
      <c r="K194" s="4" cm="1">
        <f t="array" ref="K194">INDEX(GMW!$A$2:$NF$60,MATCH(1,(GMW!$NE$2:$NE$60=K$3)*(GMW!$ND$2:$ND$60=K$4)*(GMW!$NF$2:$NF$60=K$1),0),$F194-1966)</f>
        <v>625.50800000000004</v>
      </c>
      <c r="L194" s="4" cm="1">
        <f t="array" ref="L194">INDEX(GMW!$A$2:$NF$60,MATCH(1,(GMW!$NE$2:$NE$60=L$3)*(GMW!$ND$2:$ND$60=L$4)*(GMW!$NF$2:$NF$60=L$1),0),$F194-1966)</f>
        <v>456.423</v>
      </c>
      <c r="M194" s="4" cm="1">
        <f t="array" ref="M194">INDEX(GMW!$A$2:$NF$60,MATCH(1,(GMW!$NE$2:$NE$60=M$3)*(GMW!$ND$2:$ND$60=M$4)*(GMW!$NF$2:$NF$60=M$1),0),$F194-1966)</f>
        <v>563838.5</v>
      </c>
      <c r="N194" s="4" cm="1">
        <f t="array" ref="N194">INDEX(GMW!$A$2:$NF$60,MATCH(1,(GMW!$NE$2:$NE$60=N$3)*(GMW!$ND$2:$ND$60=N$4)*(GMW!$NF$2:$NF$60=N$1),0),$F194-1966)</f>
        <v>-23425</v>
      </c>
      <c r="O194" s="4" cm="1">
        <f t="array" ref="O194">INDEX(GMW!$A$2:$NF$60,MATCH(1,(GMW!$NE$2:$NE$60=O$3)*(GMW!$ND$2:$ND$60=O$4)*(GMW!$NF$2:$NF$60=O$1),0),$F194-1966)</f>
        <v>-371.0598</v>
      </c>
      <c r="P194" s="4" cm="1">
        <f t="array" ref="P194">INDEX(GMW!$A$2:$NF$60,MATCH(1,(GMW!$NE$2:$NE$60=P$3)*(GMW!$ND$2:$ND$60=P$4)*(GMW!$NF$2:$NF$60=P$1),0),$F194-1966)</f>
        <v>-7157</v>
      </c>
      <c r="Q194" s="4" cm="1">
        <f t="array" ref="Q194">INDEX(GMW!$A$2:$NF$60,MATCH(1,(GMW!$NE$2:$NE$60=Q$3)*(GMW!$ND$2:$ND$60=Q$4)*(GMW!$NF$2:$NF$60=Q$1),0),$F194-1966)</f>
        <v>5.2519999999999998</v>
      </c>
      <c r="R194" s="4" cm="1">
        <f t="array" ref="R194">INDEX(GMW!$A$2:$NF$60,MATCH(1,(GMW!$NE$2:$NE$60=R$3)*(GMW!$ND$2:$ND$60=R$4)*(GMW!$NF$2:$NF$60=R$1),0),$F194-1966)</f>
        <v>-18.747</v>
      </c>
      <c r="S194" s="4" cm="1">
        <f t="array" ref="S194">INDEX(GMW!$A$2:$NF$60,MATCH(1,(GMW!$NE$2:$NE$60=S$3)*(GMW!$ND$2:$ND$60=S$4)*(GMW!$NF$2:$NF$60=S$1),0),$F194-1966)</f>
        <v>-15.762700000000001</v>
      </c>
      <c r="T194" s="4" cm="1">
        <f t="array" ref="T194">INDEX(GMW!$A$2:$NF$60,MATCH(1,(GMW!$NE$2:$NE$60=T$3)*(GMW!$ND$2:$ND$60=T$4)*(GMW!$NF$2:$NF$60=T$1),0),$F194-1966)</f>
        <v>-949</v>
      </c>
      <c r="U194" s="4" cm="1">
        <f t="array" ref="U194">INDEX(GMW!$A$2:$NF$60,MATCH(1,(GMW!$NE$2:$NE$60=U$3)*(GMW!$ND$2:$ND$60=U$4)*(GMW!$NF$2:$NF$60=U$1),0),$F194-1966)</f>
        <v>1913514</v>
      </c>
      <c r="V194" s="4" cm="1">
        <f t="array" ref="V194">INDEX(GMW!$A$2:$NF$60,MATCH(1,(GMW!$NE$2:$NE$60=V$3)*(GMW!$ND$2:$ND$60=V$4)*(GMW!$NF$2:$NF$60=V$1),0),$F194-1966)</f>
        <v>29150.46</v>
      </c>
      <c r="W194" s="4" cm="1">
        <f t="array" ref="W194">INDEX(GMW!$A$2:$NF$60,MATCH(1,(GMW!$NE$2:$NE$60=W$3)*(GMW!$ND$2:$ND$60=W$4)*(GMW!$NF$2:$NF$60=W$1),0),$F194-1966)</f>
        <v>1249037</v>
      </c>
      <c r="X194" s="4" cm="1">
        <f t="array" ref="X194">INDEX(GMW!$A$2:$NF$60,MATCH(1,(GMW!$NE$2:$NE$60=X$3)*(GMW!$ND$2:$ND$60=X$4)*(GMW!$NF$2:$NF$60=X$1),0),$F194-1966)</f>
        <v>1899.1679999999999</v>
      </c>
      <c r="Y194" s="4" cm="1">
        <f t="array" ref="Y194">INDEX(GMW!$A$2:$NF$60,MATCH(1,(GMW!$NE$2:$NE$60=Y$3)*(GMW!$ND$2:$ND$60=Y$4)*(GMW!$NF$2:$NF$60=Y$1),0),$F194-1966)</f>
        <v>3092.223</v>
      </c>
      <c r="Z194" s="4" cm="1">
        <f t="array" ref="Z194">INDEX(GMW!$A$2:$NF$60,MATCH(1,(GMW!$NE$2:$NE$60=Z$3)*(GMW!$ND$2:$ND$60=Z$4)*(GMW!$NF$2:$NF$60=Z$1),0),$F194-1966)</f>
        <v>2785.43</v>
      </c>
      <c r="AA194" s="4" cm="1">
        <f t="array" ref="AA194">INDEX(GMW!$A$2:$NF$60,MATCH(1,(GMW!$NE$2:$NE$60=AA$3)*(GMW!$ND$2:$ND$60=AA$4)*(GMW!$NF$2:$NF$60=AA$1),0),$F194-1966)</f>
        <v>2237183</v>
      </c>
      <c r="AB194" s="4" cm="1">
        <f t="array" ref="AB194">INDEX(GMW!$A$2:$NF$60,MATCH(1,(GMW!$NE$2:$NE$60=AB$3)*(GMW!$ND$2:$ND$60=AB$4)*(GMW!$NF$2:$NF$60=AB$1),0),$F194-1966)</f>
        <v>565758</v>
      </c>
      <c r="AC194" s="4" cm="1">
        <f t="array" ref="AC194">INDEX(GMW!$A$2:$NF$60,MATCH(1,(GMW!$NE$2:$NE$60=AC$3)*(GMW!$ND$2:$ND$60=AC$4)*(GMW!$NF$2:$NF$60=AC$1),0),$F194-1966)</f>
        <v>5483.3</v>
      </c>
      <c r="AD194" s="4" cm="1">
        <f t="array" ref="AD194">INDEX(GMW!$A$2:$NF$60,MATCH(1,(GMW!$NE$2:$NE$60=AD$3)*(GMW!$ND$2:$ND$60=AD$4)*(GMW!$NF$2:$NF$60=AD$1),0),$F194-1966)</f>
        <v>137554.5</v>
      </c>
      <c r="AE194" s="4" cm="1">
        <f t="array" ref="AE194">INDEX(GMW!$A$2:$NF$60,MATCH(1,(GMW!$NE$2:$NE$60=AE$3)*(GMW!$ND$2:$ND$60=AE$4)*(GMW!$NF$2:$NF$60=AE$1),0),$F194-1966)</f>
        <v>893.91</v>
      </c>
      <c r="AF194" s="4" cm="1">
        <f t="array" ref="AF194">INDEX(GMW!$A$2:$NF$60,MATCH(1,(GMW!$NE$2:$NE$60=AF$3)*(GMW!$ND$2:$ND$60=AF$4)*(GMW!$NF$2:$NF$60=AF$1),0),$F194-1966)</f>
        <v>610.10599999999999</v>
      </c>
      <c r="AG194" s="4" cm="1">
        <f t="array" ref="AG194">INDEX(GMW!$A$2:$NF$60,MATCH(1,(GMW!$NE$2:$NE$60=AG$3)*(GMW!$ND$2:$ND$60=AG$4)*(GMW!$NF$2:$NF$60=AG$1),0),$F194-1966)</f>
        <v>452.59399999999999</v>
      </c>
      <c r="AH194" s="4" cm="1">
        <f t="array" ref="AH194">INDEX(GMW!$A$2:$NF$60,MATCH(1,(GMW!$NE$2:$NE$60=AH$3)*(GMW!$ND$2:$ND$60=AH$4)*(GMW!$NF$2:$NF$60=AH$1),0),$F194-1966)</f>
        <v>587546</v>
      </c>
    </row>
    <row r="195" spans="1:34" x14ac:dyDescent="0.25">
      <c r="A195" s="4">
        <v>2020</v>
      </c>
      <c r="B195" s="4">
        <f t="shared" si="63"/>
        <v>2020</v>
      </c>
      <c r="C195" s="4">
        <f t="shared" si="63"/>
        <v>2019</v>
      </c>
      <c r="D195" s="4">
        <f t="shared" si="63"/>
        <v>2019</v>
      </c>
      <c r="F195" s="4">
        <f t="shared" si="59"/>
        <v>2161</v>
      </c>
      <c r="G195" s="4" cm="1">
        <f t="array" ref="G195">INDEX(GMW!$A$2:$NF$60,MATCH(1,(GMW!$NE$2:$NE$60=G$3)*(GMW!$ND$2:$ND$60=G$4)*(GMW!$NF$2:$NF$60=G$1),0),$F195-1966)</f>
        <v>604719</v>
      </c>
      <c r="H195" s="4" cm="1">
        <f t="array" ref="H195">INDEX(GMW!$A$2:$NF$60,MATCH(1,(GMW!$NE$2:$NE$60=H$3)*(GMW!$ND$2:$ND$60=H$4)*(GMW!$NF$2:$NF$60=H$1),0),$F195-1966)</f>
        <v>5173.3</v>
      </c>
      <c r="I195" s="4" cm="1">
        <f t="array" ref="I195">INDEX(GMW!$A$2:$NF$60,MATCH(1,(GMW!$NE$2:$NE$60=I$3)*(GMW!$ND$2:$ND$60=I$4)*(GMW!$NF$2:$NF$60=I$1),0),$F195-1966)</f>
        <v>136078.29999999999</v>
      </c>
      <c r="J195" s="4" cm="1">
        <f t="array" ref="J195">INDEX(GMW!$A$2:$NF$60,MATCH(1,(GMW!$NE$2:$NE$60=J$3)*(GMW!$ND$2:$ND$60=J$4)*(GMW!$NF$2:$NF$60=J$1),0),$F195-1966)</f>
        <v>882.69</v>
      </c>
      <c r="K195" s="4" cm="1">
        <f t="array" ref="K195">INDEX(GMW!$A$2:$NF$60,MATCH(1,(GMW!$NE$2:$NE$60=K$3)*(GMW!$ND$2:$ND$60=K$4)*(GMW!$NF$2:$NF$60=K$1),0),$F195-1966)</f>
        <v>593.75699999999995</v>
      </c>
      <c r="L195" s="4" cm="1">
        <f t="array" ref="L195">INDEX(GMW!$A$2:$NF$60,MATCH(1,(GMW!$NE$2:$NE$60=L$3)*(GMW!$ND$2:$ND$60=L$4)*(GMW!$NF$2:$NF$60=L$1),0),$F195-1966)</f>
        <v>429.875</v>
      </c>
      <c r="M195" s="4" cm="1">
        <f t="array" ref="M195">INDEX(GMW!$A$2:$NF$60,MATCH(1,(GMW!$NE$2:$NE$60=M$3)*(GMW!$ND$2:$ND$60=M$4)*(GMW!$NF$2:$NF$60=M$1),0),$F195-1966)</f>
        <v>552844</v>
      </c>
      <c r="N195" s="4" cm="1">
        <f t="array" ref="N195">INDEX(GMW!$A$2:$NF$60,MATCH(1,(GMW!$NE$2:$NE$60=N$3)*(GMW!$ND$2:$ND$60=N$4)*(GMW!$NF$2:$NF$60=N$1),0),$F195-1966)</f>
        <v>-968</v>
      </c>
      <c r="O195" s="4" cm="1">
        <f t="array" ref="O195">INDEX(GMW!$A$2:$NF$60,MATCH(1,(GMW!$NE$2:$NE$60=O$3)*(GMW!$ND$2:$ND$60=O$4)*(GMW!$NF$2:$NF$60=O$1),0),$F195-1966)</f>
        <v>-381.14</v>
      </c>
      <c r="P195" s="4" cm="1">
        <f t="array" ref="P195">INDEX(GMW!$A$2:$NF$60,MATCH(1,(GMW!$NE$2:$NE$60=P$3)*(GMW!$ND$2:$ND$60=P$4)*(GMW!$NF$2:$NF$60=P$1),0),$F195-1966)</f>
        <v>-10363.25</v>
      </c>
      <c r="Q195" s="4" cm="1">
        <f t="array" ref="Q195">INDEX(GMW!$A$2:$NF$60,MATCH(1,(GMW!$NE$2:$NE$60=Q$3)*(GMW!$ND$2:$ND$60=Q$4)*(GMW!$NF$2:$NF$60=Q$1),0),$F195-1966)</f>
        <v>1.966</v>
      </c>
      <c r="R195" s="4" cm="1">
        <f t="array" ref="R195">INDEX(GMW!$A$2:$NF$60,MATCH(1,(GMW!$NE$2:$NE$60=R$3)*(GMW!$ND$2:$ND$60=R$4)*(GMW!$NF$2:$NF$60=R$1),0),$F195-1966)</f>
        <v>-36.168999999999997</v>
      </c>
      <c r="S195" s="4" cm="1">
        <f t="array" ref="S195">INDEX(GMW!$A$2:$NF$60,MATCH(1,(GMW!$NE$2:$NE$60=S$3)*(GMW!$ND$2:$ND$60=S$4)*(GMW!$NF$2:$NF$60=S$1),0),$F195-1966)</f>
        <v>-29.51885</v>
      </c>
      <c r="T195" s="4" cm="1">
        <f t="array" ref="T195">INDEX(GMW!$A$2:$NF$60,MATCH(1,(GMW!$NE$2:$NE$60=T$3)*(GMW!$ND$2:$ND$60=T$4)*(GMW!$NF$2:$NF$60=T$1),0),$F195-1966)</f>
        <v>-16576</v>
      </c>
      <c r="U195" s="4" cm="1">
        <f t="array" ref="U195">INDEX(GMW!$A$2:$NF$60,MATCH(1,(GMW!$NE$2:$NE$60=U$3)*(GMW!$ND$2:$ND$60=U$4)*(GMW!$NF$2:$NF$60=U$1),0),$F195-1966)</f>
        <v>1898879</v>
      </c>
      <c r="V195" s="4" cm="1">
        <f t="array" ref="V195">INDEX(GMW!$A$2:$NF$60,MATCH(1,(GMW!$NE$2:$NE$60=V$3)*(GMW!$ND$2:$ND$60=V$4)*(GMW!$NF$2:$NF$60=V$1),0),$F195-1966)</f>
        <v>30215.46</v>
      </c>
      <c r="W195" s="4" cm="1">
        <f t="array" ref="W195">INDEX(GMW!$A$2:$NF$60,MATCH(1,(GMW!$NE$2:$NE$60=W$3)*(GMW!$ND$2:$ND$60=W$4)*(GMW!$NF$2:$NF$60=W$1),0),$F195-1966)</f>
        <v>1261188</v>
      </c>
      <c r="X195" s="4" cm="1">
        <f t="array" ref="X195">INDEX(GMW!$A$2:$NF$60,MATCH(1,(GMW!$NE$2:$NE$60=X$3)*(GMW!$ND$2:$ND$60=X$4)*(GMW!$NF$2:$NF$60=X$1),0),$F195-1966)</f>
        <v>1955.3789999999999</v>
      </c>
      <c r="Y195" s="4" cm="1">
        <f t="array" ref="Y195">INDEX(GMW!$A$2:$NF$60,MATCH(1,(GMW!$NE$2:$NE$60=Y$3)*(GMW!$ND$2:$ND$60=Y$4)*(GMW!$NF$2:$NF$60=Y$1),0),$F195-1966)</f>
        <v>3261.4690000000001</v>
      </c>
      <c r="Z195" s="4" cm="1">
        <f t="array" ref="Z195">INDEX(GMW!$A$2:$NF$60,MATCH(1,(GMW!$NE$2:$NE$60=Z$3)*(GMW!$ND$2:$ND$60=Z$4)*(GMW!$NF$2:$NF$60=Z$1),0),$F195-1966)</f>
        <v>2854.8530000000001</v>
      </c>
      <c r="AA195" s="4" cm="1">
        <f t="array" ref="AA195">INDEX(GMW!$A$2:$NF$60,MATCH(1,(GMW!$NE$2:$NE$60=AA$3)*(GMW!$ND$2:$ND$60=AA$4)*(GMW!$NF$2:$NF$60=AA$1),0),$F195-1966)</f>
        <v>2396115</v>
      </c>
      <c r="AB195" s="4" cm="1">
        <f t="array" ref="AB195">INDEX(GMW!$A$2:$NF$60,MATCH(1,(GMW!$NE$2:$NE$60=AB$3)*(GMW!$ND$2:$ND$60=AB$4)*(GMW!$NF$2:$NF$60=AB$1),0),$F195-1966)</f>
        <v>555891</v>
      </c>
      <c r="AC195" s="4" cm="1">
        <f t="array" ref="AC195">INDEX(GMW!$A$2:$NF$60,MATCH(1,(GMW!$NE$2:$NE$60=AC$3)*(GMW!$ND$2:$ND$60=AC$4)*(GMW!$NF$2:$NF$60=AC$1),0),$F195-1966)</f>
        <v>5431.9250000000002</v>
      </c>
      <c r="AD195" s="4" cm="1">
        <f t="array" ref="AD195">INDEX(GMW!$A$2:$NF$60,MATCH(1,(GMW!$NE$2:$NE$60=AD$3)*(GMW!$ND$2:$ND$60=AD$4)*(GMW!$NF$2:$NF$60=AD$1),0),$F195-1966)</f>
        <v>138574.20000000001</v>
      </c>
      <c r="AE195" s="4" cm="1">
        <f t="array" ref="AE195">INDEX(GMW!$A$2:$NF$60,MATCH(1,(GMW!$NE$2:$NE$60=AE$3)*(GMW!$ND$2:$ND$60=AE$4)*(GMW!$NF$2:$NF$60=AE$1),0),$F195-1966)</f>
        <v>881.55700000000002</v>
      </c>
      <c r="AF195" s="4" cm="1">
        <f t="array" ref="AF195">INDEX(GMW!$A$2:$NF$60,MATCH(1,(GMW!$NE$2:$NE$60=AF$3)*(GMW!$ND$2:$ND$60=AF$4)*(GMW!$NF$2:$NF$60=AF$1),0),$F195-1966)</f>
        <v>586.971</v>
      </c>
      <c r="AG195" s="4" cm="1">
        <f t="array" ref="AG195">INDEX(GMW!$A$2:$NF$60,MATCH(1,(GMW!$NE$2:$NE$60=AG$3)*(GMW!$ND$2:$ND$60=AG$4)*(GMW!$NF$2:$NF$60=AG$1),0),$F195-1966)</f>
        <v>425.46300000000002</v>
      </c>
      <c r="AH195" s="4" cm="1">
        <f t="array" ref="AH195">INDEX(GMW!$A$2:$NF$60,MATCH(1,(GMW!$NE$2:$NE$60=AH$3)*(GMW!$ND$2:$ND$60=AH$4)*(GMW!$NF$2:$NF$60=AH$1),0),$F195-1966)</f>
        <v>572004</v>
      </c>
    </row>
    <row r="196" spans="1:34" x14ac:dyDescent="0.25">
      <c r="B196" s="4">
        <f t="shared" si="63"/>
        <v>2020</v>
      </c>
      <c r="C196" s="4">
        <f t="shared" si="63"/>
        <v>2020</v>
      </c>
      <c r="F196" s="4">
        <f t="shared" si="59"/>
        <v>2162</v>
      </c>
      <c r="G196" s="4" cm="1">
        <f t="array" ref="G196">INDEX(GMW!$A$2:$NF$60,MATCH(1,(GMW!$NE$2:$NE$60=G$3)*(GMW!$ND$2:$ND$60=G$4)*(GMW!$NF$2:$NF$60=G$1),0),$F196-1966)</f>
        <v>481769</v>
      </c>
      <c r="H196" s="4" cm="1">
        <f t="array" ref="H196">INDEX(GMW!$A$2:$NF$60,MATCH(1,(GMW!$NE$2:$NE$60=H$3)*(GMW!$ND$2:$ND$60=H$4)*(GMW!$NF$2:$NF$60=H$1),0),$F196-1966)</f>
        <v>4764.1499999999996</v>
      </c>
      <c r="I196" s="4" cm="1">
        <f t="array" ref="I196">INDEX(GMW!$A$2:$NF$60,MATCH(1,(GMW!$NE$2:$NE$60=I$3)*(GMW!$ND$2:$ND$60=I$4)*(GMW!$NF$2:$NF$60=I$1),0),$F196-1966)</f>
        <v>125772.4</v>
      </c>
      <c r="J196" s="4" cm="1">
        <f t="array" ref="J196">INDEX(GMW!$A$2:$NF$60,MATCH(1,(GMW!$NE$2:$NE$60=J$3)*(GMW!$ND$2:$ND$60=J$4)*(GMW!$NF$2:$NF$60=J$1),0),$F196-1966)</f>
        <v>804.36</v>
      </c>
      <c r="K196" s="4" cm="1">
        <f t="array" ref="K196">INDEX(GMW!$A$2:$NF$60,MATCH(1,(GMW!$NE$2:$NE$60=K$3)*(GMW!$ND$2:$ND$60=K$4)*(GMW!$NF$2:$NF$60=K$1),0),$F196-1966)</f>
        <v>521.351</v>
      </c>
      <c r="L196" s="4" cm="1">
        <f t="array" ref="L196">INDEX(GMW!$A$2:$NF$60,MATCH(1,(GMW!$NE$2:$NE$60=L$3)*(GMW!$ND$2:$ND$60=L$4)*(GMW!$NF$2:$NF$60=L$1),0),$F196-1966)</f>
        <v>376.88099999999997</v>
      </c>
      <c r="M196" s="4" cm="1">
        <f t="array" ref="M196">INDEX(GMW!$A$2:$NF$60,MATCH(1,(GMW!$NE$2:$NE$60=M$3)*(GMW!$ND$2:$ND$60=M$4)*(GMW!$NF$2:$NF$60=M$1),0),$F196-1966)</f>
        <v>492031.5</v>
      </c>
      <c r="N196" s="4" cm="1">
        <f t="array" ref="N196">INDEX(GMW!$A$2:$NF$60,MATCH(1,(GMW!$NE$2:$NE$60=N$3)*(GMW!$ND$2:$ND$60=N$4)*(GMW!$NF$2:$NF$60=N$1),0),$F196-1966)</f>
        <v>-133236</v>
      </c>
      <c r="O196" s="4" cm="1">
        <f t="array" ref="O196">INDEX(GMW!$A$2:$NF$60,MATCH(1,(GMW!$NE$2:$NE$60=O$3)*(GMW!$ND$2:$ND$60=O$4)*(GMW!$NF$2:$NF$60=O$1),0),$F196-1966)</f>
        <v>-1290.2149999999999</v>
      </c>
      <c r="P196" s="4" cm="1">
        <f t="array" ref="P196">INDEX(GMW!$A$2:$NF$60,MATCH(1,(GMW!$NE$2:$NE$60=P$3)*(GMW!$ND$2:$ND$60=P$4)*(GMW!$NF$2:$NF$60=P$1),0),$F196-1966)</f>
        <v>-12270.25</v>
      </c>
      <c r="Q196" s="4" cm="1">
        <f t="array" ref="Q196">INDEX(GMW!$A$2:$NF$60,MATCH(1,(GMW!$NE$2:$NE$60=Q$3)*(GMW!$ND$2:$ND$60=Q$4)*(GMW!$NF$2:$NF$60=Q$1),0),$F196-1966)</f>
        <v>-65.748000000000005</v>
      </c>
      <c r="R196" s="4" cm="1">
        <f t="array" ref="R196">INDEX(GMW!$A$2:$NF$60,MATCH(1,(GMW!$NE$2:$NE$60=R$3)*(GMW!$ND$2:$ND$60=R$4)*(GMW!$NF$2:$NF$60=R$1),0),$F196-1966)</f>
        <v>-77.382999999999996</v>
      </c>
      <c r="S196" s="4" cm="1">
        <f t="array" ref="S196">INDEX(GMW!$A$2:$NF$60,MATCH(1,(GMW!$NE$2:$NE$60=S$3)*(GMW!$ND$2:$ND$60=S$4)*(GMW!$NF$2:$NF$60=S$1),0),$F196-1966)</f>
        <v>-40.204520000000002</v>
      </c>
      <c r="T196" s="4" cm="1">
        <f t="array" ref="T196">INDEX(GMW!$A$2:$NF$60,MATCH(1,(GMW!$NE$2:$NE$60=T$3)*(GMW!$ND$2:$ND$60=T$4)*(GMW!$NF$2:$NF$60=T$1),0),$F196-1966)</f>
        <v>-108158</v>
      </c>
      <c r="U196" s="4" cm="1">
        <f t="array" ref="U196">INDEX(GMW!$A$2:$NF$60,MATCH(1,(GMW!$NE$2:$NE$60=U$3)*(GMW!$ND$2:$ND$60=U$4)*(GMW!$NF$2:$NF$60=U$1),0),$F196-1966)</f>
        <v>2091233</v>
      </c>
      <c r="V196" s="4" cm="1">
        <f t="array" ref="V196">INDEX(GMW!$A$2:$NF$60,MATCH(1,(GMW!$NE$2:$NE$60=V$3)*(GMW!$ND$2:$ND$60=V$4)*(GMW!$NF$2:$NF$60=V$1),0),$F196-1966)</f>
        <v>32835.26</v>
      </c>
      <c r="W196" s="4" cm="1">
        <f t="array" ref="W196">INDEX(GMW!$A$2:$NF$60,MATCH(1,(GMW!$NE$2:$NE$60=W$3)*(GMW!$ND$2:$ND$60=W$4)*(GMW!$NF$2:$NF$60=W$1),0),$F196-1966)</f>
        <v>1273338</v>
      </c>
      <c r="X196" s="4" cm="1">
        <f t="array" ref="X196">INDEX(GMW!$A$2:$NF$60,MATCH(1,(GMW!$NE$2:$NE$60=X$3)*(GMW!$ND$2:$ND$60=X$4)*(GMW!$NF$2:$NF$60=X$1),0),$F196-1966)</f>
        <v>2109.1889999999999</v>
      </c>
      <c r="Y196" s="4" cm="1">
        <f t="array" ref="Y196">INDEX(GMW!$A$2:$NF$60,MATCH(1,(GMW!$NE$2:$NE$60=Y$3)*(GMW!$ND$2:$ND$60=Y$4)*(GMW!$NF$2:$NF$60=Y$1),0),$F196-1966)</f>
        <v>3537.777</v>
      </c>
      <c r="Z196" s="4" cm="1">
        <f t="array" ref="Z196">INDEX(GMW!$A$2:$NF$60,MATCH(1,(GMW!$NE$2:$NE$60=Z$3)*(GMW!$ND$2:$ND$60=Z$4)*(GMW!$NF$2:$NF$60=Z$1),0),$F196-1966)</f>
        <v>2924.2750000000001</v>
      </c>
      <c r="AA196" s="4" cm="1">
        <f t="array" ref="AA196">INDEX(GMW!$A$2:$NF$60,MATCH(1,(GMW!$NE$2:$NE$60=AA$3)*(GMW!$ND$2:$ND$60=AA$4)*(GMW!$NF$2:$NF$60=AA$1),0),$F196-1966)</f>
        <v>2767211</v>
      </c>
      <c r="AB196" s="4" cm="1">
        <f t="array" ref="AB196">INDEX(GMW!$A$2:$NF$60,MATCH(1,(GMW!$NE$2:$NE$60=AB$3)*(GMW!$ND$2:$ND$60=AB$4)*(GMW!$NF$2:$NF$60=AB$1),0),$F196-1966)</f>
        <v>476160</v>
      </c>
      <c r="AC196" s="4" cm="1">
        <f t="array" ref="AC196">INDEX(GMW!$A$2:$NF$60,MATCH(1,(GMW!$NE$2:$NE$60=AC$3)*(GMW!$ND$2:$ND$60=AC$4)*(GMW!$NF$2:$NF$60=AC$1),0),$F196-1966)</f>
        <v>4983.8500000000004</v>
      </c>
      <c r="AD196" s="4" cm="1">
        <f t="array" ref="AD196">INDEX(GMW!$A$2:$NF$60,MATCH(1,(GMW!$NE$2:$NE$60=AD$3)*(GMW!$ND$2:$ND$60=AD$4)*(GMW!$NF$2:$NF$60=AD$1),0),$F196-1966)</f>
        <v>128495.5</v>
      </c>
      <c r="AE196" s="4" cm="1">
        <f t="array" ref="AE196">INDEX(GMW!$A$2:$NF$60,MATCH(1,(GMW!$NE$2:$NE$60=AE$3)*(GMW!$ND$2:$ND$60=AE$4)*(GMW!$NF$2:$NF$60=AE$1),0),$F196-1966)</f>
        <v>809.94100000000003</v>
      </c>
      <c r="AF196" s="4" cm="1">
        <f t="array" ref="AF196">INDEX(GMW!$A$2:$NF$60,MATCH(1,(GMW!$NE$2:$NE$60=AF$3)*(GMW!$ND$2:$ND$60=AF$4)*(GMW!$NF$2:$NF$60=AF$1),0),$F196-1966)</f>
        <v>533.20600000000002</v>
      </c>
      <c r="AG196" s="4" cm="1">
        <f t="array" ref="AG196">INDEX(GMW!$A$2:$NF$60,MATCH(1,(GMW!$NE$2:$NE$60=AG$3)*(GMW!$ND$2:$ND$60=AG$4)*(GMW!$NF$2:$NF$60=AG$1),0),$F196-1966)</f>
        <v>378.51</v>
      </c>
      <c r="AH196" s="4" cm="1">
        <f t="array" ref="AH196">INDEX(GMW!$A$2:$NF$60,MATCH(1,(GMW!$NE$2:$NE$60=AH$3)*(GMW!$ND$2:$ND$60=AH$4)*(GMW!$NF$2:$NF$60=AH$1),0),$F196-1966)</f>
        <v>503983</v>
      </c>
    </row>
    <row r="197" spans="1:34" x14ac:dyDescent="0.25">
      <c r="B197" s="4">
        <f t="shared" si="63"/>
        <v>2020</v>
      </c>
      <c r="C197" s="4">
        <f t="shared" si="63"/>
        <v>2020</v>
      </c>
      <c r="F197" s="4">
        <f t="shared" si="59"/>
        <v>2163</v>
      </c>
      <c r="G197" s="4" cm="1">
        <f t="array" ref="G197">INDEX(GMW!$A$2:$NF$60,MATCH(1,(GMW!$NE$2:$NE$60=G$3)*(GMW!$ND$2:$ND$60=G$4)*(GMW!$NF$2:$NF$60=G$1),0),$F197-1966)</f>
        <v>562648</v>
      </c>
      <c r="H197" s="4" cm="1">
        <f t="array" ref="H197">INDEX(GMW!$A$2:$NF$60,MATCH(1,(GMW!$NE$2:$NE$60=H$3)*(GMW!$ND$2:$ND$60=H$4)*(GMW!$NF$2:$NF$60=H$1),0),$F197-1966)</f>
        <v>5137.2</v>
      </c>
      <c r="I197" s="4" cm="1">
        <f t="array" ref="I197">INDEX(GMW!$A$2:$NF$60,MATCH(1,(GMW!$NE$2:$NE$60=I$3)*(GMW!$ND$2:$ND$60=I$4)*(GMW!$NF$2:$NF$60=I$1),0),$F197-1966)</f>
        <v>132570.5</v>
      </c>
      <c r="J197" s="4" cm="1">
        <f t="array" ref="J197">INDEX(GMW!$A$2:$NF$60,MATCH(1,(GMW!$NE$2:$NE$60=J$3)*(GMW!$ND$2:$ND$60=J$4)*(GMW!$NF$2:$NF$60=J$1),0),$F197-1966)</f>
        <v>874.15</v>
      </c>
      <c r="K197" s="4" cm="1">
        <f t="array" ref="K197">INDEX(GMW!$A$2:$NF$60,MATCH(1,(GMW!$NE$2:$NE$60=K$3)*(GMW!$ND$2:$ND$60=K$4)*(GMW!$NF$2:$NF$60=K$1),0),$F197-1966)</f>
        <v>601.40599999999995</v>
      </c>
      <c r="L197" s="4" cm="1">
        <f t="array" ref="L197">INDEX(GMW!$A$2:$NF$60,MATCH(1,(GMW!$NE$2:$NE$60=L$3)*(GMW!$ND$2:$ND$60=L$4)*(GMW!$NF$2:$NF$60=L$1),0),$F197-1966)</f>
        <v>431.18200000000002</v>
      </c>
      <c r="M197" s="4" cm="1">
        <f t="array" ref="M197">INDEX(GMW!$A$2:$NF$60,MATCH(1,(GMW!$NE$2:$NE$60=M$3)*(GMW!$ND$2:$ND$60=M$4)*(GMW!$NF$2:$NF$60=M$1),0),$F197-1966)</f>
        <v>536725.30000000005</v>
      </c>
      <c r="N197" s="4" cm="1">
        <f t="array" ref="N197">INDEX(GMW!$A$2:$NF$60,MATCH(1,(GMW!$NE$2:$NE$60=N$3)*(GMW!$ND$2:$ND$60=N$4)*(GMW!$NF$2:$NF$60=N$1),0),$F197-1966)</f>
        <v>-74688.009999999995</v>
      </c>
      <c r="O197" s="4" cm="1">
        <f t="array" ref="O197">INDEX(GMW!$A$2:$NF$60,MATCH(1,(GMW!$NE$2:$NE$60=O$3)*(GMW!$ND$2:$ND$60=O$4)*(GMW!$NF$2:$NF$60=O$1),0),$F197-1966)</f>
        <v>-934.78589999999997</v>
      </c>
      <c r="P197" s="4" cm="1">
        <f t="array" ref="P197">INDEX(GMW!$A$2:$NF$60,MATCH(1,(GMW!$NE$2:$NE$60=P$3)*(GMW!$ND$2:$ND$60=P$4)*(GMW!$NF$2:$NF$60=P$1),0),$F197-1966)</f>
        <v>-13366.5</v>
      </c>
      <c r="Q197" s="4" cm="1">
        <f t="array" ref="Q197">INDEX(GMW!$A$2:$NF$60,MATCH(1,(GMW!$NE$2:$NE$60=Q$3)*(GMW!$ND$2:$ND$60=Q$4)*(GMW!$NF$2:$NF$60=Q$1),0),$F197-1966)</f>
        <v>-48.048999999999999</v>
      </c>
      <c r="R197" s="4" cm="1">
        <f t="array" ref="R197">INDEX(GMW!$A$2:$NF$60,MATCH(1,(GMW!$NE$2:$NE$60=R$3)*(GMW!$ND$2:$ND$60=R$4)*(GMW!$NF$2:$NF$60=R$1),0),$F197-1966)</f>
        <v>-32.621000000000002</v>
      </c>
      <c r="S197" s="4" cm="1">
        <f t="array" ref="S197">INDEX(GMW!$A$2:$NF$60,MATCH(1,(GMW!$NE$2:$NE$60=S$3)*(GMW!$ND$2:$ND$60=S$4)*(GMW!$NF$2:$NF$60=S$1),0),$F197-1966)</f>
        <v>-44.499580000000002</v>
      </c>
      <c r="T197" s="4" cm="1">
        <f t="array" ref="T197">INDEX(GMW!$A$2:$NF$60,MATCH(1,(GMW!$NE$2:$NE$60=T$3)*(GMW!$ND$2:$ND$60=T$4)*(GMW!$NF$2:$NF$60=T$1),0),$F197-1966)</f>
        <v>-65596.009999999995</v>
      </c>
      <c r="U197" s="4" cm="1">
        <f t="array" ref="U197">INDEX(GMW!$A$2:$NF$60,MATCH(1,(GMW!$NE$2:$NE$60=U$3)*(GMW!$ND$2:$ND$60=U$4)*(GMW!$NF$2:$NF$60=U$1),0),$F197-1966)</f>
        <v>2160748</v>
      </c>
      <c r="V197" s="4" cm="1">
        <f t="array" ref="V197">INDEX(GMW!$A$2:$NF$60,MATCH(1,(GMW!$NE$2:$NE$60=V$3)*(GMW!$ND$2:$ND$60=V$4)*(GMW!$NF$2:$NF$60=V$1),0),$F197-1966)</f>
        <v>33537.449999999997</v>
      </c>
      <c r="W197" s="4" cm="1">
        <f t="array" ref="W197">INDEX(GMW!$A$2:$NF$60,MATCH(1,(GMW!$NE$2:$NE$60=W$3)*(GMW!$ND$2:$ND$60=W$4)*(GMW!$NF$2:$NF$60=W$1),0),$F197-1966)</f>
        <v>1285488</v>
      </c>
      <c r="X197" s="4" cm="1">
        <f t="array" ref="X197">INDEX(GMW!$A$2:$NF$60,MATCH(1,(GMW!$NE$2:$NE$60=X$3)*(GMW!$ND$2:$ND$60=X$4)*(GMW!$NF$2:$NF$60=X$1),0),$F197-1966)</f>
        <v>2194.433</v>
      </c>
      <c r="Y197" s="4" cm="1">
        <f t="array" ref="Y197">INDEX(GMW!$A$2:$NF$60,MATCH(1,(GMW!$NE$2:$NE$60=Y$3)*(GMW!$ND$2:$ND$60=Y$4)*(GMW!$NF$2:$NF$60=Y$1),0),$F197-1966)</f>
        <v>3549.5390000000002</v>
      </c>
      <c r="Z197" s="4" cm="1">
        <f t="array" ref="Z197">INDEX(GMW!$A$2:$NF$60,MATCH(1,(GMW!$NE$2:$NE$60=Z$3)*(GMW!$ND$2:$ND$60=Z$4)*(GMW!$NF$2:$NF$60=Z$1),0),$F197-1966)</f>
        <v>2993.6979999999999</v>
      </c>
      <c r="AA197" s="4" cm="1">
        <f t="array" ref="AA197">INDEX(GMW!$A$2:$NF$60,MATCH(1,(GMW!$NE$2:$NE$60=AA$3)*(GMW!$ND$2:$ND$60=AA$4)*(GMW!$NF$2:$NF$60=AA$1),0),$F197-1966)</f>
        <v>2790496</v>
      </c>
      <c r="AB197" s="4" cm="1">
        <f t="array" ref="AB197">INDEX(GMW!$A$2:$NF$60,MATCH(1,(GMW!$NE$2:$NE$60=AB$3)*(GMW!$ND$2:$ND$60=AB$4)*(GMW!$NF$2:$NF$60=AB$1),0),$F197-1966)</f>
        <v>533806</v>
      </c>
      <c r="AC197" s="4" cm="1">
        <f t="array" ref="AC197">INDEX(GMW!$A$2:$NF$60,MATCH(1,(GMW!$NE$2:$NE$60=AC$3)*(GMW!$ND$2:$ND$60=AC$4)*(GMW!$NF$2:$NF$60=AC$1),0),$F197-1966)</f>
        <v>5421.15</v>
      </c>
      <c r="AD197" s="4" cm="1">
        <f t="array" ref="AD197">INDEX(GMW!$A$2:$NF$60,MATCH(1,(GMW!$NE$2:$NE$60=AD$3)*(GMW!$ND$2:$ND$60=AD$4)*(GMW!$NF$2:$NF$60=AD$1),0),$F197-1966)</f>
        <v>135089.5</v>
      </c>
      <c r="AE197" s="4" cm="1">
        <f t="array" ref="AE197">INDEX(GMW!$A$2:$NF$60,MATCH(1,(GMW!$NE$2:$NE$60=AE$3)*(GMW!$ND$2:$ND$60=AE$4)*(GMW!$NF$2:$NF$60=AE$1),0),$F197-1966)</f>
        <v>868.89099999999996</v>
      </c>
      <c r="AF197" s="4" cm="1">
        <f t="array" ref="AF197">INDEX(GMW!$A$2:$NF$60,MATCH(1,(GMW!$NE$2:$NE$60=AF$3)*(GMW!$ND$2:$ND$60=AF$4)*(GMW!$NF$2:$NF$60=AF$1),0),$F197-1966)</f>
        <v>596.10699999999997</v>
      </c>
      <c r="AG197" s="4" cm="1">
        <f t="array" ref="AG197">INDEX(GMW!$A$2:$NF$60,MATCH(1,(GMW!$NE$2:$NE$60=AG$3)*(GMW!$ND$2:$ND$60=AG$4)*(GMW!$NF$2:$NF$60=AG$1),0),$F197-1966)</f>
        <v>431.48099999999999</v>
      </c>
      <c r="AH197" s="4" cm="1">
        <f t="array" ref="AH197">INDEX(GMW!$A$2:$NF$60,MATCH(1,(GMW!$NE$2:$NE$60=AH$3)*(GMW!$ND$2:$ND$60=AH$4)*(GMW!$NF$2:$NF$60=AH$1),0),$F197-1966)</f>
        <v>561621</v>
      </c>
    </row>
    <row r="198" spans="1:34" x14ac:dyDescent="0.25">
      <c r="B198" s="4">
        <f t="shared" si="63"/>
        <v>2020</v>
      </c>
      <c r="C198" s="4">
        <f t="shared" si="63"/>
        <v>2020</v>
      </c>
      <c r="E198" s="4">
        <f t="shared" ref="E198" si="66">+E194+1</f>
        <v>2020</v>
      </c>
      <c r="F198" s="4">
        <f t="shared" si="59"/>
        <v>2164</v>
      </c>
      <c r="G198" s="4" cm="1">
        <f t="array" ref="G198">INDEX(GMW!$A$2:$NF$60,MATCH(1,(GMW!$NE$2:$NE$60=G$3)*(GMW!$ND$2:$ND$60=G$4)*(GMW!$NF$2:$NF$60=G$1),0),$F198-1966)</f>
        <v>570338</v>
      </c>
      <c r="H198" s="4" cm="1">
        <f t="array" ref="H198">INDEX(GMW!$A$2:$NF$60,MATCH(1,(GMW!$NE$2:$NE$60=H$3)*(GMW!$ND$2:$ND$60=H$4)*(GMW!$NF$2:$NF$60=H$1),0),$F198-1966)</f>
        <v>5192.9250000000002</v>
      </c>
      <c r="I198" s="4" cm="1">
        <f t="array" ref="I198">INDEX(GMW!$A$2:$NF$60,MATCH(1,(GMW!$NE$2:$NE$60=I$3)*(GMW!$ND$2:$ND$60=I$4)*(GMW!$NF$2:$NF$60=I$1),0),$F198-1966)</f>
        <v>134848</v>
      </c>
      <c r="J198" s="4" cm="1">
        <f t="array" ref="J198">INDEX(GMW!$A$2:$NF$60,MATCH(1,(GMW!$NE$2:$NE$60=J$3)*(GMW!$ND$2:$ND$60=J$4)*(GMW!$NF$2:$NF$60=J$1),0),$F198-1966)</f>
        <v>882.61</v>
      </c>
      <c r="K198" s="4" cm="1">
        <f t="array" ref="K198">INDEX(GMW!$A$2:$NF$60,MATCH(1,(GMW!$NE$2:$NE$60=K$3)*(GMW!$ND$2:$ND$60=K$4)*(GMW!$NF$2:$NF$60=K$1),0),$F198-1966)</f>
        <v>600.71500000000003</v>
      </c>
      <c r="L198" s="4" cm="1">
        <f t="array" ref="L198">INDEX(GMW!$A$2:$NF$60,MATCH(1,(GMW!$NE$2:$NE$60=L$3)*(GMW!$ND$2:$ND$60=L$4)*(GMW!$NF$2:$NF$60=L$1),0),$F198-1966)</f>
        <v>430.91699999999997</v>
      </c>
      <c r="M198" s="4" cm="1">
        <f t="array" ref="M198">INDEX(GMW!$A$2:$NF$60,MATCH(1,(GMW!$NE$2:$NE$60=M$3)*(GMW!$ND$2:$ND$60=M$4)*(GMW!$NF$2:$NF$60=M$1),0),$F198-1966)</f>
        <v>546807</v>
      </c>
      <c r="N198" s="4" cm="1">
        <f t="array" ref="N198">INDEX(GMW!$A$2:$NF$60,MATCH(1,(GMW!$NE$2:$NE$60=N$3)*(GMW!$ND$2:$ND$60=N$4)*(GMW!$NF$2:$NF$60=N$1),0),$F198-1966)</f>
        <v>-64062</v>
      </c>
      <c r="O198" s="4" cm="1">
        <f t="array" ref="O198">INDEX(GMW!$A$2:$NF$60,MATCH(1,(GMW!$NE$2:$NE$60=O$3)*(GMW!$ND$2:$ND$60=O$4)*(GMW!$NF$2:$NF$60=O$1),0),$F198-1966)</f>
        <v>-571.50049999999999</v>
      </c>
      <c r="P198" s="4" cm="1">
        <f t="array" ref="P198">INDEX(GMW!$A$2:$NF$60,MATCH(1,(GMW!$NE$2:$NE$60=P$3)*(GMW!$ND$2:$ND$60=P$4)*(GMW!$NF$2:$NF$60=P$1),0),$F198-1966)</f>
        <v>-12973.5</v>
      </c>
      <c r="Q198" s="4" cm="1">
        <f t="array" ref="Q198">INDEX(GMW!$A$2:$NF$60,MATCH(1,(GMW!$NE$2:$NE$60=Q$3)*(GMW!$ND$2:$ND$60=Q$4)*(GMW!$NF$2:$NF$60=Q$1),0),$F198-1966)</f>
        <v>-39.299999999999997</v>
      </c>
      <c r="R198" s="4" cm="1">
        <f t="array" ref="R198">INDEX(GMW!$A$2:$NF$60,MATCH(1,(GMW!$NE$2:$NE$60=R$3)*(GMW!$ND$2:$ND$60=R$4)*(GMW!$NF$2:$NF$60=R$1),0),$F198-1966)</f>
        <v>-60.89</v>
      </c>
      <c r="S198" s="4" cm="1">
        <f t="array" ref="S198">INDEX(GMW!$A$2:$NF$60,MATCH(1,(GMW!$NE$2:$NE$60=S$3)*(GMW!$ND$2:$ND$60=S$4)*(GMW!$NF$2:$NF$60=S$1),0),$F198-1966)</f>
        <v>-42.404040000000002</v>
      </c>
      <c r="T198" s="4" cm="1">
        <f t="array" ref="T198">INDEX(GMW!$A$2:$NF$60,MATCH(1,(GMW!$NE$2:$NE$60=T$3)*(GMW!$ND$2:$ND$60=T$4)*(GMW!$NF$2:$NF$60=T$1),0),$F198-1966)</f>
        <v>-41497</v>
      </c>
      <c r="U198" s="4" cm="1">
        <f t="array" ref="U198">INDEX(GMW!$A$2:$NF$60,MATCH(1,(GMW!$NE$2:$NE$60=U$3)*(GMW!$ND$2:$ND$60=U$4)*(GMW!$NF$2:$NF$60=U$1),0),$F198-1966)</f>
        <v>2226332</v>
      </c>
      <c r="V198" s="4" cm="1">
        <f t="array" ref="V198">INDEX(GMW!$A$2:$NF$60,MATCH(1,(GMW!$NE$2:$NE$60=V$3)*(GMW!$ND$2:$ND$60=V$4)*(GMW!$NF$2:$NF$60=V$1),0),$F198-1966)</f>
        <v>33791.4</v>
      </c>
      <c r="W198" s="4" cm="1">
        <f t="array" ref="W198">INDEX(GMW!$A$2:$NF$60,MATCH(1,(GMW!$NE$2:$NE$60=W$3)*(GMW!$ND$2:$ND$60=W$4)*(GMW!$NF$2:$NF$60=W$1),0),$F198-1966)</f>
        <v>1297639</v>
      </c>
      <c r="X198" s="4" cm="1">
        <f t="array" ref="X198">INDEX(GMW!$A$2:$NF$60,MATCH(1,(GMW!$NE$2:$NE$60=X$3)*(GMW!$ND$2:$ND$60=X$4)*(GMW!$NF$2:$NF$60=X$1),0),$F198-1966)</f>
        <v>2171.7979999999998</v>
      </c>
      <c r="Y198" s="4" cm="1">
        <f t="array" ref="Y198">INDEX(GMW!$A$2:$NF$60,MATCH(1,(GMW!$NE$2:$NE$60=Y$3)*(GMW!$ND$2:$ND$60=Y$4)*(GMW!$NF$2:$NF$60=Y$1),0),$F198-1966)</f>
        <v>3530.5149999999999</v>
      </c>
      <c r="Z198" s="4" cm="1">
        <f t="array" ref="Z198">INDEX(GMW!$A$2:$NF$60,MATCH(1,(GMW!$NE$2:$NE$60=Z$3)*(GMW!$ND$2:$ND$60=Z$4)*(GMW!$NF$2:$NF$60=Z$1),0),$F198-1966)</f>
        <v>3063.1210000000001</v>
      </c>
      <c r="AA198" s="4" cm="1">
        <f t="array" ref="AA198">INDEX(GMW!$A$2:$NF$60,MATCH(1,(GMW!$NE$2:$NE$60=AA$3)*(GMW!$ND$2:$ND$60=AA$4)*(GMW!$NF$2:$NF$60=AA$1),0),$F198-1966)</f>
        <v>2855359</v>
      </c>
      <c r="AB198" s="4" cm="1">
        <f t="array" ref="AB198">INDEX(GMW!$A$2:$NF$60,MATCH(1,(GMW!$NE$2:$NE$60=AB$3)*(GMW!$ND$2:$ND$60=AB$4)*(GMW!$NF$2:$NF$60=AB$1),0),$F198-1966)</f>
        <v>537629</v>
      </c>
      <c r="AC198" s="4" cm="1">
        <f t="array" ref="AC198">INDEX(GMW!$A$2:$NF$60,MATCH(1,(GMW!$NE$2:$NE$60=AC$3)*(GMW!$ND$2:$ND$60=AC$4)*(GMW!$NF$2:$NF$60=AC$1),0),$F198-1966)</f>
        <v>5517.2</v>
      </c>
      <c r="AD198" s="4" cm="1">
        <f t="array" ref="AD198">INDEX(GMW!$A$2:$NF$60,MATCH(1,(GMW!$NE$2:$NE$60=AD$3)*(GMW!$ND$2:$ND$60=AD$4)*(GMW!$NF$2:$NF$60=AD$1),0),$F198-1966)</f>
        <v>137277.6</v>
      </c>
      <c r="AE198" s="4" cm="1">
        <f t="array" ref="AE198">INDEX(GMW!$A$2:$NF$60,MATCH(1,(GMW!$NE$2:$NE$60=AE$3)*(GMW!$ND$2:$ND$60=AE$4)*(GMW!$NF$2:$NF$60=AE$1),0),$F198-1966)</f>
        <v>883.44200000000001</v>
      </c>
      <c r="AF198" s="4" cm="1">
        <f t="array" ref="AF198">INDEX(GMW!$A$2:$NF$60,MATCH(1,(GMW!$NE$2:$NE$60=AF$3)*(GMW!$ND$2:$ND$60=AF$4)*(GMW!$NF$2:$NF$60=AF$1),0),$F198-1966)</f>
        <v>601.00900000000001</v>
      </c>
      <c r="AG198" s="4" cm="1">
        <f t="array" ref="AG198">INDEX(GMW!$A$2:$NF$60,MATCH(1,(GMW!$NE$2:$NE$60=AG$3)*(GMW!$ND$2:$ND$60=AG$4)*(GMW!$NF$2:$NF$60=AG$1),0),$F198-1966)</f>
        <v>433.40100000000001</v>
      </c>
      <c r="AH198" s="4" cm="1">
        <f t="array" ref="AH198">INDEX(GMW!$A$2:$NF$60,MATCH(1,(GMW!$NE$2:$NE$60=AH$3)*(GMW!$ND$2:$ND$60=AH$4)*(GMW!$NF$2:$NF$60=AH$1),0),$F198-1966)</f>
        <v>582919</v>
      </c>
    </row>
    <row r="199" spans="1:34" x14ac:dyDescent="0.25">
      <c r="A199" s="4">
        <v>2021</v>
      </c>
      <c r="B199" s="4">
        <f t="shared" si="63"/>
        <v>2021</v>
      </c>
      <c r="C199" s="4">
        <f t="shared" si="63"/>
        <v>2020</v>
      </c>
      <c r="D199" s="4">
        <f t="shared" si="63"/>
        <v>2020</v>
      </c>
      <c r="F199" s="4">
        <f t="shared" si="59"/>
        <v>2165</v>
      </c>
      <c r="G199" s="4" cm="1">
        <f t="array" ref="G199">INDEX(GMW!$A$2:$NF$60,MATCH(1,(GMW!$NE$2:$NE$60=G$3)*(GMW!$ND$2:$ND$60=G$4)*(GMW!$NF$2:$NF$60=G$1),0),$F199-1966)</f>
        <v>564411</v>
      </c>
      <c r="H199" s="4" cm="1">
        <f t="array" ref="H199">INDEX(GMW!$A$2:$NF$60,MATCH(1,(GMW!$NE$2:$NE$60=H$3)*(GMW!$ND$2:$ND$60=H$4)*(GMW!$NF$2:$NF$60=H$1),0),$F199-1966)</f>
        <v>5264.6</v>
      </c>
      <c r="I199" s="4" cm="1">
        <f t="array" ref="I199">INDEX(GMW!$A$2:$NF$60,MATCH(1,(GMW!$NE$2:$NE$60=I$3)*(GMW!$ND$2:$ND$60=I$4)*(GMW!$NF$2:$NF$60=I$1),0),$F199-1966)</f>
        <v>135160.29999999999</v>
      </c>
      <c r="J199" s="4" cm="1">
        <f t="array" ref="J199">INDEX(GMW!$A$2:$NF$60,MATCH(1,(GMW!$NE$2:$NE$60=J$3)*(GMW!$ND$2:$ND$60=J$4)*(GMW!$NF$2:$NF$60=J$1),0),$F199-1966)</f>
        <v>877.17</v>
      </c>
      <c r="K199" s="4" cm="1">
        <f t="array" ref="K199">INDEX(GMW!$A$2:$NF$60,MATCH(1,(GMW!$NE$2:$NE$60=K$3)*(GMW!$ND$2:$ND$60=K$4)*(GMW!$NF$2:$NF$60=K$1),0),$F199-1966)</f>
        <v>603.16200000000003</v>
      </c>
      <c r="L199" s="4" cm="1">
        <f t="array" ref="L199">INDEX(GMW!$A$2:$NF$60,MATCH(1,(GMW!$NE$2:$NE$60=L$3)*(GMW!$ND$2:$ND$60=L$4)*(GMW!$NF$2:$NF$60=L$1),0),$F199-1966)</f>
        <v>438.548</v>
      </c>
      <c r="M199" s="4" cm="1">
        <f t="array" ref="M199">INDEX(GMW!$A$2:$NF$60,MATCH(1,(GMW!$NE$2:$NE$60=M$3)*(GMW!$ND$2:$ND$60=M$4)*(GMW!$NF$2:$NF$60=M$1),0),$F199-1966)</f>
        <v>556122.30000000005</v>
      </c>
      <c r="N199" s="4" cm="1">
        <f t="array" ref="N199">INDEX(GMW!$A$2:$NF$60,MATCH(1,(GMW!$NE$2:$NE$60=N$3)*(GMW!$ND$2:$ND$60=N$4)*(GMW!$NF$2:$NF$60=N$1),0),$F199-1966)</f>
        <v>-42053</v>
      </c>
      <c r="O199" s="4" cm="1">
        <f t="array" ref="O199">INDEX(GMW!$A$2:$NF$60,MATCH(1,(GMW!$NE$2:$NE$60=O$3)*(GMW!$ND$2:$ND$60=O$4)*(GMW!$NF$2:$NF$60=O$1),0),$F199-1966)</f>
        <v>-1169.9380000000001</v>
      </c>
      <c r="P199" s="4" cm="1">
        <f t="array" ref="P199">INDEX(GMW!$A$2:$NF$60,MATCH(1,(GMW!$NE$2:$NE$60=P$3)*(GMW!$ND$2:$ND$60=P$4)*(GMW!$NF$2:$NF$60=P$1),0),$F199-1966)</f>
        <v>-10601.5</v>
      </c>
      <c r="Q199" s="4" cm="1">
        <f t="array" ref="Q199">INDEX(GMW!$A$2:$NF$60,MATCH(1,(GMW!$NE$2:$NE$60=Q$3)*(GMW!$ND$2:$ND$60=Q$4)*(GMW!$NF$2:$NF$60=Q$1),0),$F199-1966)</f>
        <v>-38.405000000000001</v>
      </c>
      <c r="R199" s="4" cm="1">
        <f t="array" ref="R199">INDEX(GMW!$A$2:$NF$60,MATCH(1,(GMW!$NE$2:$NE$60=R$3)*(GMW!$ND$2:$ND$60=R$4)*(GMW!$NF$2:$NF$60=R$1),0),$F199-1966)</f>
        <v>-55.137999999999998</v>
      </c>
      <c r="S199" s="4" cm="1">
        <f t="array" ref="S199">INDEX(GMW!$A$2:$NF$60,MATCH(1,(GMW!$NE$2:$NE$60=S$3)*(GMW!$ND$2:$ND$60=S$4)*(GMW!$NF$2:$NF$60=S$1),0),$F199-1966)</f>
        <v>-40.426279999999998</v>
      </c>
      <c r="T199" s="4" cm="1">
        <f t="array" ref="T199">INDEX(GMW!$A$2:$NF$60,MATCH(1,(GMW!$NE$2:$NE$60=T$3)*(GMW!$ND$2:$ND$60=T$4)*(GMW!$NF$2:$NF$60=T$1),0),$F199-1966)</f>
        <v>-34636</v>
      </c>
      <c r="U199" s="4" cm="1">
        <f t="array" ref="U199">INDEX(GMW!$A$2:$NF$60,MATCH(1,(GMW!$NE$2:$NE$60=U$3)*(GMW!$ND$2:$ND$60=U$4)*(GMW!$NF$2:$NF$60=U$1),0),$F199-1966)</f>
        <v>2244344</v>
      </c>
      <c r="V199" s="4" cm="1">
        <f t="array" ref="V199">INDEX(GMW!$A$2:$NF$60,MATCH(1,(GMW!$NE$2:$NE$60=V$3)*(GMW!$ND$2:$ND$60=V$4)*(GMW!$NF$2:$NF$60=V$1),0),$F199-1966)</f>
        <v>34122.68</v>
      </c>
      <c r="W199" s="4" cm="1">
        <f t="array" ref="W199">INDEX(GMW!$A$2:$NF$60,MATCH(1,(GMW!$NE$2:$NE$60=W$3)*(GMW!$ND$2:$ND$60=W$4)*(GMW!$NF$2:$NF$60=W$1),0),$F199-1966)</f>
        <v>1306121</v>
      </c>
      <c r="X199" s="4" cm="1">
        <f t="array" ref="X199">INDEX(GMW!$A$2:$NF$60,MATCH(1,(GMW!$NE$2:$NE$60=X$3)*(GMW!$ND$2:$ND$60=X$4)*(GMW!$NF$2:$NF$60=X$1),0),$F199-1966)</f>
        <v>2205.4929999999999</v>
      </c>
      <c r="Y199" s="4" cm="1">
        <f t="array" ref="Y199">INDEX(GMW!$A$2:$NF$60,MATCH(1,(GMW!$NE$2:$NE$60=Y$3)*(GMW!$ND$2:$ND$60=Y$4)*(GMW!$NF$2:$NF$60=Y$1),0),$F199-1966)</f>
        <v>3633.9290000000001</v>
      </c>
      <c r="Z199" s="4" cm="1">
        <f t="array" ref="Z199">INDEX(GMW!$A$2:$NF$60,MATCH(1,(GMW!$NE$2:$NE$60=Z$3)*(GMW!$ND$2:$ND$60=Z$4)*(GMW!$NF$2:$NF$60=Z$1),0),$F199-1966)</f>
        <v>3081.9690000000001</v>
      </c>
      <c r="AA199" s="4" cm="1">
        <f t="array" ref="AA199">INDEX(GMW!$A$2:$NF$60,MATCH(1,(GMW!$NE$2:$NE$60=AA$3)*(GMW!$ND$2:$ND$60=AA$4)*(GMW!$NF$2:$NF$60=AA$1),0),$F199-1966)</f>
        <v>2757077</v>
      </c>
      <c r="AB199" s="4" cm="1">
        <f t="array" ref="AB199">INDEX(GMW!$A$2:$NF$60,MATCH(1,(GMW!$NE$2:$NE$60=AB$3)*(GMW!$ND$2:$ND$60=AB$4)*(GMW!$NF$2:$NF$60=AB$1),0),$F199-1966)</f>
        <v>537992</v>
      </c>
      <c r="AC199" s="4" cm="1">
        <f t="array" ref="AC199">INDEX(GMW!$A$2:$NF$60,MATCH(1,(GMW!$NE$2:$NE$60=AC$3)*(GMW!$ND$2:$ND$60=AC$4)*(GMW!$NF$2:$NF$60=AC$1),0),$F199-1966)</f>
        <v>5664.2</v>
      </c>
      <c r="AD199" s="4" cm="1">
        <f t="array" ref="AD199">INDEX(GMW!$A$2:$NF$60,MATCH(1,(GMW!$NE$2:$NE$60=AD$3)*(GMW!$ND$2:$ND$60=AD$4)*(GMW!$NF$2:$NF$60=AD$1),0),$F199-1966)</f>
        <v>137669.79999999999</v>
      </c>
      <c r="AE199" s="4" cm="1">
        <f t="array" ref="AE199">INDEX(GMW!$A$2:$NF$60,MATCH(1,(GMW!$NE$2:$NE$60=AE$3)*(GMW!$ND$2:$ND$60=AE$4)*(GMW!$NF$2:$NF$60=AE$1),0),$F199-1966)</f>
        <v>888.81399999999996</v>
      </c>
      <c r="AF199" s="4" cm="1">
        <f t="array" ref="AF199">INDEX(GMW!$A$2:$NF$60,MATCH(1,(GMW!$NE$2:$NE$60=AF$3)*(GMW!$ND$2:$ND$60=AF$4)*(GMW!$NF$2:$NF$60=AF$1),0),$F199-1966)</f>
        <v>606.95600000000002</v>
      </c>
      <c r="AG199" s="4" cm="1">
        <f t="array" ref="AG199">INDEX(GMW!$A$2:$NF$60,MATCH(1,(GMW!$NE$2:$NE$60=AG$3)*(GMW!$ND$2:$ND$60=AG$4)*(GMW!$NF$2:$NF$60=AG$1),0),$F199-1966)</f>
        <v>439.85300000000001</v>
      </c>
      <c r="AH199" s="4" cm="1">
        <f t="array" ref="AH199">INDEX(GMW!$A$2:$NF$60,MATCH(1,(GMW!$NE$2:$NE$60=AH$3)*(GMW!$ND$2:$ND$60=AH$4)*(GMW!$NF$2:$NF$60=AH$1),0),$F199-1966)</f>
        <v>607847</v>
      </c>
    </row>
    <row r="200" spans="1:34" x14ac:dyDescent="0.25">
      <c r="B200" s="4">
        <f t="shared" si="63"/>
        <v>2021</v>
      </c>
      <c r="C200" s="4">
        <f t="shared" si="63"/>
        <v>2021</v>
      </c>
      <c r="F200" s="4">
        <f t="shared" si="59"/>
        <v>2166</v>
      </c>
      <c r="G200" s="4" cm="1">
        <f t="array" ref="G200">INDEX(GMW!$A$2:$NF$60,MATCH(1,(GMW!$NE$2:$NE$60=G$3)*(GMW!$ND$2:$ND$60=G$4)*(GMW!$NF$2:$NF$60=G$1),0),$F200-1966)</f>
        <v>605353</v>
      </c>
      <c r="H200" s="4" cm="1">
        <f t="array" ref="H200">INDEX(GMW!$A$2:$NF$60,MATCH(1,(GMW!$NE$2:$NE$60=H$3)*(GMW!$ND$2:$ND$60=H$4)*(GMW!$NF$2:$NF$60=H$1),0),$F200-1966)</f>
        <v>5347.25</v>
      </c>
      <c r="I200" s="4" cm="1">
        <f t="array" ref="I200">INDEX(GMW!$A$2:$NF$60,MATCH(1,(GMW!$NE$2:$NE$60=I$3)*(GMW!$ND$2:$ND$60=I$4)*(GMW!$NF$2:$NF$60=I$1),0),$F200-1966)</f>
        <v>136139</v>
      </c>
      <c r="J200" s="4" cm="1">
        <f t="array" ref="J200">INDEX(GMW!$A$2:$NF$60,MATCH(1,(GMW!$NE$2:$NE$60=J$3)*(GMW!$ND$2:$ND$60=J$4)*(GMW!$NF$2:$NF$60=J$1),0),$F200-1966)</f>
        <v>897.79</v>
      </c>
      <c r="K200" s="4" cm="1">
        <f t="array" ref="K200">INDEX(GMW!$A$2:$NF$60,MATCH(1,(GMW!$NE$2:$NE$60=K$3)*(GMW!$ND$2:$ND$60=K$4)*(GMW!$NF$2:$NF$60=K$1),0),$F200-1966)</f>
        <v>610.51</v>
      </c>
      <c r="L200" s="4" cm="1">
        <f t="array" ref="L200">INDEX(GMW!$A$2:$NF$60,MATCH(1,(GMW!$NE$2:$NE$60=L$3)*(GMW!$ND$2:$ND$60=L$4)*(GMW!$NF$2:$NF$60=L$1),0),$F200-1966)</f>
        <v>449.303</v>
      </c>
      <c r="M200" s="4" cm="1">
        <f t="array" ref="M200">INDEX(GMW!$A$2:$NF$60,MATCH(1,(GMW!$NE$2:$NE$60=M$3)*(GMW!$ND$2:$ND$60=M$4)*(GMW!$NF$2:$NF$60=M$1),0),$F200-1966)</f>
        <v>555470.5</v>
      </c>
      <c r="N200" s="4" cm="1">
        <f t="array" ref="N200">INDEX(GMW!$A$2:$NF$60,MATCH(1,(GMW!$NE$2:$NE$60=N$3)*(GMW!$ND$2:$ND$60=N$4)*(GMW!$NF$2:$NF$60=N$1),0),$F200-1966)</f>
        <v>-59883</v>
      </c>
      <c r="O200" s="4" cm="1">
        <f t="array" ref="O200">INDEX(GMW!$A$2:$NF$60,MATCH(1,(GMW!$NE$2:$NE$60=O$3)*(GMW!$ND$2:$ND$60=O$4)*(GMW!$NF$2:$NF$60=O$1),0),$F200-1966)</f>
        <v>-683.95529999999997</v>
      </c>
      <c r="P200" s="4" cm="1">
        <f t="array" ref="P200">INDEX(GMW!$A$2:$NF$60,MATCH(1,(GMW!$NE$2:$NE$60=P$3)*(GMW!$ND$2:$ND$60=P$4)*(GMW!$NF$2:$NF$60=P$1),0),$F200-1966)</f>
        <v>-9314.75</v>
      </c>
      <c r="Q200" s="4" cm="1">
        <f t="array" ref="Q200">INDEX(GMW!$A$2:$NF$60,MATCH(1,(GMW!$NE$2:$NE$60=Q$3)*(GMW!$ND$2:$ND$60=Q$4)*(GMW!$NF$2:$NF$60=Q$1),0),$F200-1966)</f>
        <v>-44.789000000000001</v>
      </c>
      <c r="R200" s="4" cm="1">
        <f t="array" ref="R200">INDEX(GMW!$A$2:$NF$60,MATCH(1,(GMW!$NE$2:$NE$60=R$3)*(GMW!$ND$2:$ND$60=R$4)*(GMW!$NF$2:$NF$60=R$1),0),$F200-1966)</f>
        <v>-50.444000000000003</v>
      </c>
      <c r="S200" s="4" cm="1">
        <f t="array" ref="S200">INDEX(GMW!$A$2:$NF$60,MATCH(1,(GMW!$NE$2:$NE$60=S$3)*(GMW!$ND$2:$ND$60=S$4)*(GMW!$NF$2:$NF$60=S$1),0),$F200-1966)</f>
        <v>-41.037529999999997</v>
      </c>
      <c r="T200" s="4" cm="1">
        <f t="array" ref="T200">INDEX(GMW!$A$2:$NF$60,MATCH(1,(GMW!$NE$2:$NE$60=T$3)*(GMW!$ND$2:$ND$60=T$4)*(GMW!$NF$2:$NF$60=T$1),0),$F200-1966)</f>
        <v>-33678</v>
      </c>
      <c r="U200" s="4" cm="1">
        <f t="array" ref="U200">INDEX(GMW!$A$2:$NF$60,MATCH(1,(GMW!$NE$2:$NE$60=U$3)*(GMW!$ND$2:$ND$60=U$4)*(GMW!$NF$2:$NF$60=U$1),0),$F200-1966)</f>
        <v>2316539</v>
      </c>
      <c r="V200" s="4" cm="1">
        <f t="array" ref="V200">INDEX(GMW!$A$2:$NF$60,MATCH(1,(GMW!$NE$2:$NE$60=V$3)*(GMW!$ND$2:$ND$60=V$4)*(GMW!$NF$2:$NF$60=V$1),0),$F200-1966)</f>
        <v>34096.269999999997</v>
      </c>
      <c r="W200" s="4" cm="1">
        <f t="array" ref="W200">INDEX(GMW!$A$2:$NF$60,MATCH(1,(GMW!$NE$2:$NE$60=W$3)*(GMW!$ND$2:$ND$60=W$4)*(GMW!$NF$2:$NF$60=W$1),0),$F200-1966)</f>
        <v>1314604</v>
      </c>
      <c r="X200" s="4" cm="1">
        <f t="array" ref="X200">INDEX(GMW!$A$2:$NF$60,MATCH(1,(GMW!$NE$2:$NE$60=X$3)*(GMW!$ND$2:$ND$60=X$4)*(GMW!$NF$2:$NF$60=X$1),0),$F200-1966)</f>
        <v>2251.8429999999998</v>
      </c>
      <c r="Y200" s="4" cm="1">
        <f t="array" ref="Y200">INDEX(GMW!$A$2:$NF$60,MATCH(1,(GMW!$NE$2:$NE$60=Y$3)*(GMW!$ND$2:$ND$60=Y$4)*(GMW!$NF$2:$NF$60=Y$1),0),$F200-1966)</f>
        <v>3608.123</v>
      </c>
      <c r="Z200" s="4" cm="1">
        <f t="array" ref="Z200">INDEX(GMW!$A$2:$NF$60,MATCH(1,(GMW!$NE$2:$NE$60=Z$3)*(GMW!$ND$2:$ND$60=Z$4)*(GMW!$NF$2:$NF$60=Z$1),0),$F200-1966)</f>
        <v>3100.8159999999998</v>
      </c>
      <c r="AA200" s="4" cm="1">
        <f t="array" ref="AA200">INDEX(GMW!$A$2:$NF$60,MATCH(1,(GMW!$NE$2:$NE$60=AA$3)*(GMW!$ND$2:$ND$60=AA$4)*(GMW!$NF$2:$NF$60=AA$1),0),$F200-1966)</f>
        <v>2869798</v>
      </c>
      <c r="AB200" s="4" cm="1">
        <f t="array" ref="AB200">INDEX(GMW!$A$2:$NF$60,MATCH(1,(GMW!$NE$2:$NE$60=AB$3)*(GMW!$ND$2:$ND$60=AB$4)*(GMW!$NF$2:$NF$60=AB$1),0),$F200-1966)</f>
        <v>568521</v>
      </c>
      <c r="AC200" s="4" cm="1">
        <f t="array" ref="AC200">INDEX(GMW!$A$2:$NF$60,MATCH(1,(GMW!$NE$2:$NE$60=AC$3)*(GMW!$ND$2:$ND$60=AC$4)*(GMW!$NF$2:$NF$60=AC$1),0),$F200-1966)</f>
        <v>5842.2250000000004</v>
      </c>
      <c r="AD200" s="4" cm="1">
        <f t="array" ref="AD200">INDEX(GMW!$A$2:$NF$60,MATCH(1,(GMW!$NE$2:$NE$60=AD$3)*(GMW!$ND$2:$ND$60=AD$4)*(GMW!$NF$2:$NF$60=AD$1),0),$F200-1966)</f>
        <v>138545.70000000001</v>
      </c>
      <c r="AE200" s="4" cm="1">
        <f t="array" ref="AE200">INDEX(GMW!$A$2:$NF$60,MATCH(1,(GMW!$NE$2:$NE$60=AE$3)*(GMW!$ND$2:$ND$60=AE$4)*(GMW!$NF$2:$NF$60=AE$1),0),$F200-1966)</f>
        <v>909.20399999999995</v>
      </c>
      <c r="AF200" s="4" cm="1">
        <f t="array" ref="AF200">INDEX(GMW!$A$2:$NF$60,MATCH(1,(GMW!$NE$2:$NE$60=AF$3)*(GMW!$ND$2:$ND$60=AF$4)*(GMW!$NF$2:$NF$60=AF$1),0),$F200-1966)</f>
        <v>617.20899999999995</v>
      </c>
      <c r="AG200" s="4" cm="1">
        <f t="array" ref="AG200">INDEX(GMW!$A$2:$NF$60,MATCH(1,(GMW!$NE$2:$NE$60=AG$3)*(GMW!$ND$2:$ND$60=AG$4)*(GMW!$NF$2:$NF$60=AG$1),0),$F200-1966)</f>
        <v>454.12099999999998</v>
      </c>
      <c r="AH200" s="4" cm="1">
        <f t="array" ref="AH200">INDEX(GMW!$A$2:$NF$60,MATCH(1,(GMW!$NE$2:$NE$60=AH$3)*(GMW!$ND$2:$ND$60=AH$4)*(GMW!$NF$2:$NF$60=AH$1),0),$F200-1966)</f>
        <v>622004</v>
      </c>
    </row>
    <row r="201" spans="1:34" x14ac:dyDescent="0.25">
      <c r="B201" s="4">
        <f t="shared" si="63"/>
        <v>2021</v>
      </c>
      <c r="C201" s="4">
        <f t="shared" si="63"/>
        <v>2021</v>
      </c>
      <c r="F201" s="4">
        <f t="shared" si="59"/>
        <v>2167</v>
      </c>
      <c r="G201" s="4" cm="1">
        <f t="array" ref="G201">INDEX(GMW!$A$2:$NF$60,MATCH(1,(GMW!$NE$2:$NE$60=G$3)*(GMW!$ND$2:$ND$60=G$4)*(GMW!$NF$2:$NF$60=G$1),0),$F201-1966)</f>
        <v>615459</v>
      </c>
      <c r="H201" s="4" cm="1">
        <f t="array" ref="H201">INDEX(GMW!$A$2:$NF$60,MATCH(1,(GMW!$NE$2:$NE$60=H$3)*(GMW!$ND$2:$ND$60=H$4)*(GMW!$NF$2:$NF$60=H$1),0),$F201-1966)</f>
        <v>5392.85</v>
      </c>
      <c r="I201" s="4" cm="1">
        <f t="array" ref="I201">INDEX(GMW!$A$2:$NF$60,MATCH(1,(GMW!$NE$2:$NE$60=I$3)*(GMW!$ND$2:$ND$60=I$4)*(GMW!$NF$2:$NF$60=I$1),0),$F201-1966)</f>
        <v>135556.70000000001</v>
      </c>
      <c r="J201" s="4" cm="1">
        <f t="array" ref="J201">INDEX(GMW!$A$2:$NF$60,MATCH(1,(GMW!$NE$2:$NE$60=J$3)*(GMW!$ND$2:$ND$60=J$4)*(GMW!$NF$2:$NF$60=J$1),0),$F201-1966)</f>
        <v>898.57</v>
      </c>
      <c r="K201" s="4" cm="1">
        <f t="array" ref="K201">INDEX(GMW!$A$2:$NF$60,MATCH(1,(GMW!$NE$2:$NE$60=K$3)*(GMW!$ND$2:$ND$60=K$4)*(GMW!$NF$2:$NF$60=K$1),0),$F201-1966)</f>
        <v>628.72199999999998</v>
      </c>
      <c r="L201" s="4" cm="1">
        <f t="array" ref="L201">INDEX(GMW!$A$2:$NF$60,MATCH(1,(GMW!$NE$2:$NE$60=L$3)*(GMW!$ND$2:$ND$60=L$4)*(GMW!$NF$2:$NF$60=L$1),0),$F201-1966)</f>
        <v>460.46800000000002</v>
      </c>
      <c r="M201" s="4" cm="1">
        <f t="array" ref="M201">INDEX(GMW!$A$2:$NF$60,MATCH(1,(GMW!$NE$2:$NE$60=M$3)*(GMW!$ND$2:$ND$60=M$4)*(GMW!$NF$2:$NF$60=M$1),0),$F201-1966)</f>
        <v>566660.5</v>
      </c>
      <c r="N201" s="4" cm="1">
        <f t="array" ref="N201">INDEX(GMW!$A$2:$NF$60,MATCH(1,(GMW!$NE$2:$NE$60=N$3)*(GMW!$ND$2:$ND$60=N$4)*(GMW!$NF$2:$NF$60=N$1),0),$F201-1966)</f>
        <v>-35548</v>
      </c>
      <c r="O201" s="4" cm="1">
        <f t="array" ref="O201">INDEX(GMW!$A$2:$NF$60,MATCH(1,(GMW!$NE$2:$NE$60=O$3)*(GMW!$ND$2:$ND$60=O$4)*(GMW!$NF$2:$NF$60=O$1),0),$F201-1966)</f>
        <v>-553.58950000000004</v>
      </c>
      <c r="P201" s="4" cm="1">
        <f t="array" ref="P201">INDEX(GMW!$A$2:$NF$60,MATCH(1,(GMW!$NE$2:$NE$60=P$3)*(GMW!$ND$2:$ND$60=P$4)*(GMW!$NF$2:$NF$60=P$1),0),$F201-1966)</f>
        <v>-7837.75</v>
      </c>
      <c r="Q201" s="4" cm="1">
        <f t="array" ref="Q201">INDEX(GMW!$A$2:$NF$60,MATCH(1,(GMW!$NE$2:$NE$60=Q$3)*(GMW!$ND$2:$ND$60=Q$4)*(GMW!$NF$2:$NF$60=Q$1),0),$F201-1966)</f>
        <v>-17.725999999999999</v>
      </c>
      <c r="R201" s="4" cm="1">
        <f t="array" ref="R201">INDEX(GMW!$A$2:$NF$60,MATCH(1,(GMW!$NE$2:$NE$60=R$3)*(GMW!$ND$2:$ND$60=R$4)*(GMW!$NF$2:$NF$60=R$1),0),$F201-1966)</f>
        <v>-31.497</v>
      </c>
      <c r="S201" s="4" cm="1">
        <f t="array" ref="S201">INDEX(GMW!$A$2:$NF$60,MATCH(1,(GMW!$NE$2:$NE$60=S$3)*(GMW!$ND$2:$ND$60=S$4)*(GMW!$NF$2:$NF$60=S$1),0),$F201-1966)</f>
        <v>-41.206380000000003</v>
      </c>
      <c r="T201" s="4" cm="1">
        <f t="array" ref="T201">INDEX(GMW!$A$2:$NF$60,MATCH(1,(GMW!$NE$2:$NE$60=T$3)*(GMW!$ND$2:$ND$60=T$4)*(GMW!$NF$2:$NF$60=T$1),0),$F201-1966)</f>
        <v>-11351</v>
      </c>
      <c r="U201" s="4" cm="1">
        <f t="array" ref="U201">INDEX(GMW!$A$2:$NF$60,MATCH(1,(GMW!$NE$2:$NE$60=U$3)*(GMW!$ND$2:$ND$60=U$4)*(GMW!$NF$2:$NF$60=U$1),0),$F201-1966)</f>
        <v>2352974</v>
      </c>
      <c r="V201" s="4" cm="1">
        <f t="array" ref="V201">INDEX(GMW!$A$2:$NF$60,MATCH(1,(GMW!$NE$2:$NE$60=V$3)*(GMW!$ND$2:$ND$60=V$4)*(GMW!$NF$2:$NF$60=V$1),0),$F201-1966)</f>
        <v>34345</v>
      </c>
      <c r="W201" s="4" cm="1">
        <f t="array" ref="W201">INDEX(GMW!$A$2:$NF$60,MATCH(1,(GMW!$NE$2:$NE$60=W$3)*(GMW!$ND$2:$ND$60=W$4)*(GMW!$NF$2:$NF$60=W$1),0),$F201-1966)</f>
        <v>1323087</v>
      </c>
      <c r="X201" s="4" cm="1">
        <f t="array" ref="X201">INDEX(GMW!$A$2:$NF$60,MATCH(1,(GMW!$NE$2:$NE$60=X$3)*(GMW!$ND$2:$ND$60=X$4)*(GMW!$NF$2:$NF$60=X$1),0),$F201-1966)</f>
        <v>2284.049</v>
      </c>
      <c r="Y201" s="4" cm="1">
        <f t="array" ref="Y201">INDEX(GMW!$A$2:$NF$60,MATCH(1,(GMW!$NE$2:$NE$60=Y$3)*(GMW!$ND$2:$ND$60=Y$4)*(GMW!$NF$2:$NF$60=Y$1),0),$F201-1966)</f>
        <v>3689.85</v>
      </c>
      <c r="Z201" s="4" cm="1">
        <f t="array" ref="Z201">INDEX(GMW!$A$2:$NF$60,MATCH(1,(GMW!$NE$2:$NE$60=Z$3)*(GMW!$ND$2:$ND$60=Z$4)*(GMW!$NF$2:$NF$60=Z$1),0),$F201-1966)</f>
        <v>3119.6640000000002</v>
      </c>
      <c r="AA201" s="4" cm="1">
        <f t="array" ref="AA201">INDEX(GMW!$A$2:$NF$60,MATCH(1,(GMW!$NE$2:$NE$60=AA$3)*(GMW!$ND$2:$ND$60=AA$4)*(GMW!$NF$2:$NF$60=AA$1),0),$F201-1966)</f>
        <v>2921900</v>
      </c>
      <c r="AB201" s="4" cm="1">
        <f t="array" ref="AB201">INDEX(GMW!$A$2:$NF$60,MATCH(1,(GMW!$NE$2:$NE$60=AB$3)*(GMW!$ND$2:$ND$60=AB$4)*(GMW!$NF$2:$NF$60=AB$1),0),$F201-1966)</f>
        <v>581805</v>
      </c>
      <c r="AC201" s="4" cm="1">
        <f t="array" ref="AC201">INDEX(GMW!$A$2:$NF$60,MATCH(1,(GMW!$NE$2:$NE$60=AC$3)*(GMW!$ND$2:$ND$60=AC$4)*(GMW!$NF$2:$NF$60=AC$1),0),$F201-1966)</f>
        <v>5980.5</v>
      </c>
      <c r="AD201" s="4" cm="1">
        <f t="array" ref="AD201">INDEX(GMW!$A$2:$NF$60,MATCH(1,(GMW!$NE$2:$NE$60=AD$3)*(GMW!$ND$2:$ND$60=AD$4)*(GMW!$NF$2:$NF$60=AD$1),0),$F201-1966)</f>
        <v>137880.20000000001</v>
      </c>
      <c r="AE201" s="4" cm="1">
        <f t="array" ref="AE201">INDEX(GMW!$A$2:$NF$60,MATCH(1,(GMW!$NE$2:$NE$60=AE$3)*(GMW!$ND$2:$ND$60=AE$4)*(GMW!$NF$2:$NF$60=AE$1),0),$F201-1966)</f>
        <v>930.35199999999998</v>
      </c>
      <c r="AF201" s="4" cm="1">
        <f t="array" ref="AF201">INDEX(GMW!$A$2:$NF$60,MATCH(1,(GMW!$NE$2:$NE$60=AF$3)*(GMW!$ND$2:$ND$60=AF$4)*(GMW!$NF$2:$NF$60=AF$1),0),$F201-1966)</f>
        <v>637.22900000000004</v>
      </c>
      <c r="AG201" s="4" cm="1">
        <f t="array" ref="AG201">INDEX(GMW!$A$2:$NF$60,MATCH(1,(GMW!$NE$2:$NE$60=AG$3)*(GMW!$ND$2:$ND$60=AG$4)*(GMW!$NF$2:$NF$60=AG$1),0),$F201-1966)</f>
        <v>468.416</v>
      </c>
      <c r="AH201" s="4" cm="1">
        <f t="array" ref="AH201">INDEX(GMW!$A$2:$NF$60,MATCH(1,(GMW!$NE$2:$NE$60=AH$3)*(GMW!$ND$2:$ND$60=AH$4)*(GMW!$NF$2:$NF$60=AH$1),0),$F201-1966)</f>
        <v>640826</v>
      </c>
    </row>
    <row r="202" spans="1:34" x14ac:dyDescent="0.25">
      <c r="B202" s="4">
        <f t="shared" si="63"/>
        <v>2021</v>
      </c>
      <c r="C202" s="4">
        <f t="shared" si="63"/>
        <v>2021</v>
      </c>
      <c r="E202" s="4">
        <f t="shared" ref="E202" si="67">+E198+1</f>
        <v>2021</v>
      </c>
      <c r="F202" s="4">
        <f t="shared" si="59"/>
        <v>2168</v>
      </c>
      <c r="G202" s="4" cm="1">
        <f t="array" ref="G202">INDEX(GMW!$A$2:$NF$60,MATCH(1,(GMW!$NE$2:$NE$60=G$3)*(GMW!$ND$2:$ND$60=G$4)*(GMW!$NF$2:$NF$60=G$1),0),$F202-1966)</f>
        <v>624592</v>
      </c>
      <c r="H202" s="4" cm="1">
        <f t="array" ref="H202">INDEX(GMW!$A$2:$NF$60,MATCH(1,(GMW!$NE$2:$NE$60=H$3)*(GMW!$ND$2:$ND$60=H$4)*(GMW!$NF$2:$NF$60=H$1),0),$F202-1966)</f>
        <v>5490.1</v>
      </c>
      <c r="I202" s="4" cm="1">
        <f t="array" ref="I202">INDEX(GMW!$A$2:$NF$60,MATCH(1,(GMW!$NE$2:$NE$60=I$3)*(GMW!$ND$2:$ND$60=I$4)*(GMW!$NF$2:$NF$60=I$1),0),$F202-1966)</f>
        <v>137095.1</v>
      </c>
      <c r="J202" s="4" cm="1">
        <f t="array" ref="J202">INDEX(GMW!$A$2:$NF$60,MATCH(1,(GMW!$NE$2:$NE$60=J$3)*(GMW!$ND$2:$ND$60=J$4)*(GMW!$NF$2:$NF$60=J$1),0),$F202-1966)</f>
        <v>903.4</v>
      </c>
      <c r="K202" s="4" cm="1">
        <f t="array" ref="K202">INDEX(GMW!$A$2:$NF$60,MATCH(1,(GMW!$NE$2:$NE$60=K$3)*(GMW!$ND$2:$ND$60=K$4)*(GMW!$NF$2:$NF$60=K$1),0),$F202-1966)</f>
        <v>632.25900000000001</v>
      </c>
      <c r="L202" s="4" cm="1">
        <f t="array" ref="L202">INDEX(GMW!$A$2:$NF$60,MATCH(1,(GMW!$NE$2:$NE$60=L$3)*(GMW!$ND$2:$ND$60=L$4)*(GMW!$NF$2:$NF$60=L$1),0),$F202-1966)</f>
        <v>467.53300000000002</v>
      </c>
      <c r="M202" s="4" cm="1">
        <f t="array" ref="M202">INDEX(GMW!$A$2:$NF$60,MATCH(1,(GMW!$NE$2:$NE$60=M$3)*(GMW!$ND$2:$ND$60=M$4)*(GMW!$NF$2:$NF$60=M$1),0),$F202-1966)</f>
        <v>576806</v>
      </c>
      <c r="N202" s="4" cm="1">
        <f t="array" ref="N202">INDEX(GMW!$A$2:$NF$60,MATCH(1,(GMW!$NE$2:$NE$60=N$3)*(GMW!$ND$2:$ND$60=N$4)*(GMW!$NF$2:$NF$60=N$1),0),$F202-1966)</f>
        <v>-25609</v>
      </c>
      <c r="O202" s="4" cm="1">
        <f t="array" ref="O202">INDEX(GMW!$A$2:$NF$60,MATCH(1,(GMW!$NE$2:$NE$60=O$3)*(GMW!$ND$2:$ND$60=O$4)*(GMW!$NF$2:$NF$60=O$1),0),$F202-1966)</f>
        <v>-383.86680000000001</v>
      </c>
      <c r="P202" s="4" cm="1">
        <f t="array" ref="P202">INDEX(GMW!$A$2:$NF$60,MATCH(1,(GMW!$NE$2:$NE$60=P$3)*(GMW!$ND$2:$ND$60=P$4)*(GMW!$NF$2:$NF$60=P$1),0),$F202-1966)</f>
        <v>-6136.5</v>
      </c>
      <c r="Q202" s="4" cm="1">
        <f t="array" ref="Q202">INDEX(GMW!$A$2:$NF$60,MATCH(1,(GMW!$NE$2:$NE$60=Q$3)*(GMW!$ND$2:$ND$60=Q$4)*(GMW!$NF$2:$NF$60=Q$1),0),$F202-1966)</f>
        <v>-15.709</v>
      </c>
      <c r="R202" s="4" cm="1">
        <f t="array" ref="R202">INDEX(GMW!$A$2:$NF$60,MATCH(1,(GMW!$NE$2:$NE$60=R$3)*(GMW!$ND$2:$ND$60=R$4)*(GMW!$NF$2:$NF$60=R$1),0),$F202-1966)</f>
        <v>-28.047999999999998</v>
      </c>
      <c r="S202" s="4" cm="1">
        <f t="array" ref="S202">INDEX(GMW!$A$2:$NF$60,MATCH(1,(GMW!$NE$2:$NE$60=S$3)*(GMW!$ND$2:$ND$60=S$4)*(GMW!$NF$2:$NF$60=S$1),0),$F202-1966)</f>
        <v>-40.932810000000003</v>
      </c>
      <c r="T202" s="4" cm="1">
        <f t="array" ref="T202">INDEX(GMW!$A$2:$NF$60,MATCH(1,(GMW!$NE$2:$NE$60=T$3)*(GMW!$ND$2:$ND$60=T$4)*(GMW!$NF$2:$NF$60=T$1),0),$F202-1966)</f>
        <v>6057</v>
      </c>
      <c r="U202" s="4" cm="1">
        <f t="array" ref="U202">INDEX(GMW!$A$2:$NF$60,MATCH(1,(GMW!$NE$2:$NE$60=U$3)*(GMW!$ND$2:$ND$60=U$4)*(GMW!$NF$2:$NF$60=U$1),0),$F202-1966)</f>
        <v>2402658</v>
      </c>
      <c r="V202" s="4" cm="1">
        <f t="array" ref="V202">INDEX(GMW!$A$2:$NF$60,MATCH(1,(GMW!$NE$2:$NE$60=V$3)*(GMW!$ND$2:$ND$60=V$4)*(GMW!$NF$2:$NF$60=V$1),0),$F202-1966)</f>
        <v>34673.699999999997</v>
      </c>
      <c r="W202" s="4" cm="1">
        <f t="array" ref="W202">INDEX(GMW!$A$2:$NF$60,MATCH(1,(GMW!$NE$2:$NE$60=W$3)*(GMW!$ND$2:$ND$60=W$4)*(GMW!$NF$2:$NF$60=W$1),0),$F202-1966)</f>
        <v>1331569</v>
      </c>
      <c r="X202" s="4" cm="1">
        <f t="array" ref="X202">INDEX(GMW!$A$2:$NF$60,MATCH(1,(GMW!$NE$2:$NE$60=X$3)*(GMW!$ND$2:$ND$60=X$4)*(GMW!$NF$2:$NF$60=X$1),0),$F202-1966)</f>
        <v>2319.9110000000001</v>
      </c>
      <c r="Y202" s="4" cm="1">
        <f t="array" ref="Y202">INDEX(GMW!$A$2:$NF$60,MATCH(1,(GMW!$NE$2:$NE$60=Y$3)*(GMW!$ND$2:$ND$60=Y$4)*(GMW!$NF$2:$NF$60=Y$1),0),$F202-1966)</f>
        <v>3614.22</v>
      </c>
      <c r="Z202" s="4" cm="1">
        <f t="array" ref="Z202">INDEX(GMW!$A$2:$NF$60,MATCH(1,(GMW!$NE$2:$NE$60=Z$3)*(GMW!$ND$2:$ND$60=Z$4)*(GMW!$NF$2:$NF$60=Z$1),0),$F202-1966)</f>
        <v>3138.5120000000002</v>
      </c>
      <c r="AA202" s="4" cm="1">
        <f t="array" ref="AA202">INDEX(GMW!$A$2:$NF$60,MATCH(1,(GMW!$NE$2:$NE$60=AA$3)*(GMW!$ND$2:$ND$60=AA$4)*(GMW!$NF$2:$NF$60=AA$1),0),$F202-1966)</f>
        <v>2987687</v>
      </c>
      <c r="AB202" s="4" cm="1">
        <f t="array" ref="AB202">INDEX(GMW!$A$2:$NF$60,MATCH(1,(GMW!$NE$2:$NE$60=AB$3)*(GMW!$ND$2:$ND$60=AB$4)*(GMW!$NF$2:$NF$60=AB$1),0),$F202-1966)</f>
        <v>597082</v>
      </c>
      <c r="AC202" s="4" cm="1">
        <f t="array" ref="AC202">INDEX(GMW!$A$2:$NF$60,MATCH(1,(GMW!$NE$2:$NE$60=AC$3)*(GMW!$ND$2:$ND$60=AC$4)*(GMW!$NF$2:$NF$60=AC$1),0),$F202-1966)</f>
        <v>6194.25</v>
      </c>
      <c r="AD202" s="4" cm="1">
        <f t="array" ref="AD202">INDEX(GMW!$A$2:$NF$60,MATCH(1,(GMW!$NE$2:$NE$60=AD$3)*(GMW!$ND$2:$ND$60=AD$4)*(GMW!$NF$2:$NF$60=AD$1),0),$F202-1966)</f>
        <v>139187.70000000001</v>
      </c>
      <c r="AE202" s="4" cm="1">
        <f t="array" ref="AE202">INDEX(GMW!$A$2:$NF$60,MATCH(1,(GMW!$NE$2:$NE$60=AE$3)*(GMW!$ND$2:$ND$60=AE$4)*(GMW!$NF$2:$NF$60=AE$1),0),$F202-1966)</f>
        <v>944.82500000000005</v>
      </c>
      <c r="AF202" s="4" cm="1">
        <f t="array" ref="AF202">INDEX(GMW!$A$2:$NF$60,MATCH(1,(GMW!$NE$2:$NE$60=AF$3)*(GMW!$ND$2:$ND$60=AF$4)*(GMW!$NF$2:$NF$60=AF$1),0),$F202-1966)</f>
        <v>643.47900000000004</v>
      </c>
      <c r="AG202" s="4" cm="1">
        <f t="array" ref="AG202">INDEX(GMW!$A$2:$NF$60,MATCH(1,(GMW!$NE$2:$NE$60=AG$3)*(GMW!$ND$2:$ND$60=AG$4)*(GMW!$NF$2:$NF$60=AG$1),0),$F202-1966)</f>
        <v>476.78899999999999</v>
      </c>
      <c r="AH202" s="4" cm="1">
        <f t="array" ref="AH202">INDEX(GMW!$A$2:$NF$60,MATCH(1,(GMW!$NE$2:$NE$60=AH$3)*(GMW!$ND$2:$ND$60=AH$4)*(GMW!$NF$2:$NF$60=AH$1),0),$F202-1966)</f>
        <v>665141</v>
      </c>
    </row>
    <row r="203" spans="1:34" x14ac:dyDescent="0.25">
      <c r="A203" s="4">
        <v>2022</v>
      </c>
      <c r="B203" s="4">
        <f t="shared" si="63"/>
        <v>2022</v>
      </c>
      <c r="C203" s="4">
        <f t="shared" si="63"/>
        <v>2021</v>
      </c>
      <c r="D203" s="4">
        <f t="shared" si="63"/>
        <v>2021</v>
      </c>
      <c r="F203" s="4">
        <f t="shared" si="59"/>
        <v>2169</v>
      </c>
      <c r="G203" s="4" cm="1">
        <f t="array" ref="G203">INDEX(GMW!$A$2:$NF$60,MATCH(1,(GMW!$NE$2:$NE$60=G$3)*(GMW!$ND$2:$ND$60=G$4)*(GMW!$NF$2:$NF$60=G$1),0),$F203-1966)</f>
        <v>629149</v>
      </c>
      <c r="H203" s="4" cm="1">
        <f t="array" ref="H203">INDEX(GMW!$A$2:$NF$60,MATCH(1,(GMW!$NE$2:$NE$60=H$3)*(GMW!$ND$2:$ND$60=H$4)*(GMW!$NF$2:$NF$60=H$1),0),$F203-1966)</f>
        <v>5475.9750000000004</v>
      </c>
      <c r="I203" s="4" cm="1">
        <f t="array" ref="I203">INDEX(GMW!$A$2:$NF$60,MATCH(1,(GMW!$NE$2:$NE$60=I$3)*(GMW!$ND$2:$ND$60=I$4)*(GMW!$NF$2:$NF$60=I$1),0),$F203-1966)</f>
        <v>136415.29999999999</v>
      </c>
      <c r="J203" s="4" cm="1">
        <f t="array" ref="J203">INDEX(GMW!$A$2:$NF$60,MATCH(1,(GMW!$NE$2:$NE$60=J$3)*(GMW!$ND$2:$ND$60=J$4)*(GMW!$NF$2:$NF$60=J$1),0),$F203-1966)</f>
        <v>909.52</v>
      </c>
      <c r="K203" s="4" cm="1">
        <f t="array" ref="K203">INDEX(GMW!$A$2:$NF$60,MATCH(1,(GMW!$NE$2:$NE$60=K$3)*(GMW!$ND$2:$ND$60=K$4)*(GMW!$NF$2:$NF$60=K$1),0),$F203-1966)</f>
        <v>631.69600000000003</v>
      </c>
      <c r="L203" s="4" cm="1">
        <f t="array" ref="L203">INDEX(GMW!$A$2:$NF$60,MATCH(1,(GMW!$NE$2:$NE$60=L$3)*(GMW!$ND$2:$ND$60=L$4)*(GMW!$NF$2:$NF$60=L$1),0),$F203-1966)</f>
        <v>470.94900000000001</v>
      </c>
      <c r="M203" s="4" cm="1">
        <f t="array" ref="M203">INDEX(GMW!$A$2:$NF$60,MATCH(1,(GMW!$NE$2:$NE$60=M$3)*(GMW!$ND$2:$ND$60=M$4)*(GMW!$NF$2:$NF$60=M$1),0),$F203-1966)</f>
        <v>581725.30000000005</v>
      </c>
      <c r="N203" s="4" cm="1">
        <f t="array" ref="N203">INDEX(GMW!$A$2:$NF$60,MATCH(1,(GMW!$NE$2:$NE$60=N$3)*(GMW!$ND$2:$ND$60=N$4)*(GMW!$NF$2:$NF$60=N$1),0),$F203-1966)</f>
        <v>-1051</v>
      </c>
      <c r="O203" s="4" cm="1">
        <f t="array" ref="O203">INDEX(GMW!$A$2:$NF$60,MATCH(1,(GMW!$NE$2:$NE$60=O$3)*(GMW!$ND$2:$ND$60=O$4)*(GMW!$NF$2:$NF$60=O$1),0),$F203-1966)</f>
        <v>-214.46600000000001</v>
      </c>
      <c r="P203" s="4" cm="1">
        <f t="array" ref="P203">INDEX(GMW!$A$2:$NF$60,MATCH(1,(GMW!$NE$2:$NE$60=P$3)*(GMW!$ND$2:$ND$60=P$4)*(GMW!$NF$2:$NF$60=P$1),0),$F203-1966)</f>
        <v>-5963.25</v>
      </c>
      <c r="Q203" s="4" cm="1">
        <f t="array" ref="Q203">INDEX(GMW!$A$2:$NF$60,MATCH(1,(GMW!$NE$2:$NE$60=Q$3)*(GMW!$ND$2:$ND$60=Q$4)*(GMW!$NF$2:$NF$60=Q$1),0),$F203-1966)</f>
        <v>-2.3639999999999999</v>
      </c>
      <c r="R203" s="4" cm="1">
        <f t="array" ref="R203">INDEX(GMW!$A$2:$NF$60,MATCH(1,(GMW!$NE$2:$NE$60=R$3)*(GMW!$ND$2:$ND$60=R$4)*(GMW!$NF$2:$NF$60=R$1),0),$F203-1966)</f>
        <v>-32.000999999999998</v>
      </c>
      <c r="S203" s="4" cm="1">
        <f t="array" ref="S203">INDEX(GMW!$A$2:$NF$60,MATCH(1,(GMW!$NE$2:$NE$60=S$3)*(GMW!$ND$2:$ND$60=S$4)*(GMW!$NF$2:$NF$60=S$1),0),$F203-1966)</f>
        <v>-40.784599999999998</v>
      </c>
      <c r="T203" s="4" cm="1">
        <f t="array" ref="T203">INDEX(GMW!$A$2:$NF$60,MATCH(1,(GMW!$NE$2:$NE$60=T$3)*(GMW!$ND$2:$ND$60=T$4)*(GMW!$NF$2:$NF$60=T$1),0),$F203-1966)</f>
        <v>3817</v>
      </c>
      <c r="U203" s="4" cm="1">
        <f t="array" ref="U203">INDEX(GMW!$A$2:$NF$60,MATCH(1,(GMW!$NE$2:$NE$60=U$3)*(GMW!$ND$2:$ND$60=U$4)*(GMW!$NF$2:$NF$60=U$1),0),$F203-1966)</f>
        <v>2385322</v>
      </c>
      <c r="V203" s="4" cm="1">
        <f t="array" ref="V203">INDEX(GMW!$A$2:$NF$60,MATCH(1,(GMW!$NE$2:$NE$60=V$3)*(GMW!$ND$2:$ND$60=V$4)*(GMW!$NF$2:$NF$60=V$1),0),$F203-1966)</f>
        <v>35333.160000000003</v>
      </c>
      <c r="W203" s="4" cm="1">
        <f t="array" ref="W203">INDEX(GMW!$A$2:$NF$60,MATCH(1,(GMW!$NE$2:$NE$60=W$3)*(GMW!$ND$2:$ND$60=W$4)*(GMW!$NF$2:$NF$60=W$1),0),$F203-1966)</f>
        <v>1335043</v>
      </c>
      <c r="X203" s="4" cm="1">
        <f t="array" ref="X203">INDEX(GMW!$A$2:$NF$60,MATCH(1,(GMW!$NE$2:$NE$60=X$3)*(GMW!$ND$2:$ND$60=X$4)*(GMW!$NF$2:$NF$60=X$1),0),$F203-1966)</f>
        <v>2319.009</v>
      </c>
      <c r="Y203" s="4" cm="1">
        <f t="array" ref="Y203">INDEX(GMW!$A$2:$NF$60,MATCH(1,(GMW!$NE$2:$NE$60=Y$3)*(GMW!$ND$2:$ND$60=Y$4)*(GMW!$NF$2:$NF$60=Y$1),0),$F203-1966)</f>
        <v>3664.596</v>
      </c>
      <c r="Z203" s="4" cm="1">
        <f t="array" ref="Z203">INDEX(GMW!$A$2:$NF$60,MATCH(1,(GMW!$NE$2:$NE$60=Z$3)*(GMW!$ND$2:$ND$60=Z$4)*(GMW!$NF$2:$NF$60=Z$1),0),$F203-1966)</f>
        <v>3078.8380000000002</v>
      </c>
      <c r="AA203" s="4" cm="1">
        <f t="array" ref="AA203">INDEX(GMW!$A$2:$NF$60,MATCH(1,(GMW!$NE$2:$NE$60=AA$3)*(GMW!$ND$2:$ND$60=AA$4)*(GMW!$NF$2:$NF$60=AA$1),0),$F203-1966)</f>
        <v>2958998</v>
      </c>
      <c r="AB203" s="4" cm="1">
        <f t="array" ref="AB203">INDEX(GMW!$A$2:$NF$60,MATCH(1,(GMW!$NE$2:$NE$60=AB$3)*(GMW!$ND$2:$ND$60=AB$4)*(GMW!$NF$2:$NF$60=AB$1),0),$F203-1966)</f>
        <v>610346</v>
      </c>
      <c r="AC203" s="4" cm="1">
        <f t="array" ref="AC203">INDEX(GMW!$A$2:$NF$60,MATCH(1,(GMW!$NE$2:$NE$60=AC$3)*(GMW!$ND$2:$ND$60=AC$4)*(GMW!$NF$2:$NF$60=AC$1),0),$F203-1966)</f>
        <v>6303.875</v>
      </c>
      <c r="AD203" s="4" cm="1">
        <f t="array" ref="AD203">INDEX(GMW!$A$2:$NF$60,MATCH(1,(GMW!$NE$2:$NE$60=AD$3)*(GMW!$ND$2:$ND$60=AD$4)*(GMW!$NF$2:$NF$60=AD$1),0),$F203-1966)</f>
        <v>139280</v>
      </c>
      <c r="AE203" s="4" cm="1">
        <f t="array" ref="AE203">INDEX(GMW!$A$2:$NF$60,MATCH(1,(GMW!$NE$2:$NE$60=AE$3)*(GMW!$ND$2:$ND$60=AE$4)*(GMW!$NF$2:$NF$60=AE$1),0),$F203-1966)</f>
        <v>971.76700000000005</v>
      </c>
      <c r="AF203" s="4" cm="1">
        <f t="array" ref="AF203">INDEX(GMW!$A$2:$NF$60,MATCH(1,(GMW!$NE$2:$NE$60=AF$3)*(GMW!$ND$2:$ND$60=AF$4)*(GMW!$NF$2:$NF$60=AF$1),0),$F203-1966)</f>
        <v>648.79100000000005</v>
      </c>
      <c r="AG203" s="4" cm="1">
        <f t="array" ref="AG203">INDEX(GMW!$A$2:$NF$60,MATCH(1,(GMW!$NE$2:$NE$60=AG$3)*(GMW!$ND$2:$ND$60=AG$4)*(GMW!$NF$2:$NF$60=AG$1),0),$F203-1966)</f>
        <v>485.57400000000001</v>
      </c>
      <c r="AH203" s="4" cm="1">
        <f t="array" ref="AH203">INDEX(GMW!$A$2:$NF$60,MATCH(1,(GMW!$NE$2:$NE$60=AH$3)*(GMW!$ND$2:$ND$60=AH$4)*(GMW!$NF$2:$NF$60=AH$1),0),$F203-1966)</f>
        <v>693777</v>
      </c>
    </row>
    <row r="204" spans="1:34" x14ac:dyDescent="0.25">
      <c r="B204" s="4">
        <f t="shared" ref="B204:D219" si="68">+B200+1</f>
        <v>2022</v>
      </c>
      <c r="C204" s="4">
        <f t="shared" si="68"/>
        <v>2022</v>
      </c>
      <c r="F204" s="4">
        <f t="shared" si="59"/>
        <v>2170</v>
      </c>
      <c r="G204" s="4" cm="1">
        <f t="array" ref="G204">INDEX(GMW!$A$2:$NF$60,MATCH(1,(GMW!$NE$2:$NE$60=G$3)*(GMW!$ND$2:$ND$60=G$4)*(GMW!$NF$2:$NF$60=G$1),0),$F204-1966)</f>
        <v>631258</v>
      </c>
      <c r="H204" s="4" cm="1">
        <f t="array" ref="H204">INDEX(GMW!$A$2:$NF$60,MATCH(1,(GMW!$NE$2:$NE$60=H$3)*(GMW!$ND$2:$ND$60=H$4)*(GMW!$NF$2:$NF$60=H$1),0),$F204-1966)</f>
        <v>5479.8</v>
      </c>
      <c r="I204" s="4" cm="1">
        <f t="array" ref="I204">INDEX(GMW!$A$2:$NF$60,MATCH(1,(GMW!$NE$2:$NE$60=I$3)*(GMW!$ND$2:$ND$60=I$4)*(GMW!$NF$2:$NF$60=I$1),0),$F204-1966)</f>
        <v>137862.29999999999</v>
      </c>
      <c r="J204" s="4" cm="1">
        <f t="array" ref="J204">INDEX(GMW!$A$2:$NF$60,MATCH(1,(GMW!$NE$2:$NE$60=J$3)*(GMW!$ND$2:$ND$60=J$4)*(GMW!$NF$2:$NF$60=J$1),0),$F204-1966)</f>
        <v>910.9</v>
      </c>
      <c r="K204" s="4" cm="1">
        <f t="array" ref="K204">INDEX(GMW!$A$2:$NF$60,MATCH(1,(GMW!$NE$2:$NE$60=K$3)*(GMW!$ND$2:$ND$60=K$4)*(GMW!$NF$2:$NF$60=K$1),0),$F204-1966)</f>
        <v>634.423</v>
      </c>
      <c r="L204" s="4" cm="1">
        <f t="array" ref="L204">INDEX(GMW!$A$2:$NF$60,MATCH(1,(GMW!$NE$2:$NE$60=L$3)*(GMW!$ND$2:$ND$60=L$4)*(GMW!$NF$2:$NF$60=L$1),0),$F204-1966)</f>
        <v>477.84100000000001</v>
      </c>
      <c r="M204" s="4" cm="1">
        <f t="array" ref="M204">INDEX(GMW!$A$2:$NF$60,MATCH(1,(GMW!$NE$2:$NE$60=M$3)*(GMW!$ND$2:$ND$60=M$4)*(GMW!$NF$2:$NF$60=M$1),0),$F204-1966)</f>
        <v>587179.30000000005</v>
      </c>
      <c r="N204" s="4" cm="1">
        <f t="array" ref="N204">INDEX(GMW!$A$2:$NF$60,MATCH(1,(GMW!$NE$2:$NE$60=N$3)*(GMW!$ND$2:$ND$60=N$4)*(GMW!$NF$2:$NF$60=N$1),0),$F204-1966)</f>
        <v>-41295</v>
      </c>
      <c r="O204" s="4" cm="1">
        <f t="array" ref="O204">INDEX(GMW!$A$2:$NF$60,MATCH(1,(GMW!$NE$2:$NE$60=O$3)*(GMW!$ND$2:$ND$60=O$4)*(GMW!$NF$2:$NF$60=O$1),0),$F204-1966)</f>
        <v>-201.435</v>
      </c>
      <c r="P204" s="4" cm="1">
        <f t="array" ref="P204">INDEX(GMW!$A$2:$NF$60,MATCH(1,(GMW!$NE$2:$NE$60=P$3)*(GMW!$ND$2:$ND$60=P$4)*(GMW!$NF$2:$NF$60=P$1),0),$F204-1966)</f>
        <v>-5603.75</v>
      </c>
      <c r="Q204" s="4" cm="1">
        <f t="array" ref="Q204">INDEX(GMW!$A$2:$NF$60,MATCH(1,(GMW!$NE$2:$NE$60=Q$3)*(GMW!$ND$2:$ND$60=Q$4)*(GMW!$NF$2:$NF$60=Q$1),0),$F204-1966)</f>
        <v>-6.6139999999999999</v>
      </c>
      <c r="R204" s="4" cm="1">
        <f t="array" ref="R204">INDEX(GMW!$A$2:$NF$60,MATCH(1,(GMW!$NE$2:$NE$60=R$3)*(GMW!$ND$2:$ND$60=R$4)*(GMW!$NF$2:$NF$60=R$1),0),$F204-1966)</f>
        <v>-23.492000000000001</v>
      </c>
      <c r="S204" s="4" cm="1">
        <f t="array" ref="S204">INDEX(GMW!$A$2:$NF$60,MATCH(1,(GMW!$NE$2:$NE$60=S$3)*(GMW!$ND$2:$ND$60=S$4)*(GMW!$NF$2:$NF$60=S$1),0),$F204-1966)</f>
        <v>-40.812840000000001</v>
      </c>
      <c r="T204" s="4" cm="1">
        <f t="array" ref="T204">INDEX(GMW!$A$2:$NF$60,MATCH(1,(GMW!$NE$2:$NE$60=T$3)*(GMW!$ND$2:$ND$60=T$4)*(GMW!$NF$2:$NF$60=T$1),0),$F204-1966)</f>
        <v>12909</v>
      </c>
      <c r="U204" s="4" cm="1">
        <f t="array" ref="U204">INDEX(GMW!$A$2:$NF$60,MATCH(1,(GMW!$NE$2:$NE$60=U$3)*(GMW!$ND$2:$ND$60=U$4)*(GMW!$NF$2:$NF$60=U$1),0),$F204-1966)</f>
        <v>2434961</v>
      </c>
      <c r="V204" s="4" cm="1">
        <f t="array" ref="V204">INDEX(GMW!$A$2:$NF$60,MATCH(1,(GMW!$NE$2:$NE$60=V$3)*(GMW!$ND$2:$ND$60=V$4)*(GMW!$NF$2:$NF$60=V$1),0),$F204-1966)</f>
        <v>35382.870000000003</v>
      </c>
      <c r="W204" s="4" cm="1">
        <f t="array" ref="W204">INDEX(GMW!$A$2:$NF$60,MATCH(1,(GMW!$NE$2:$NE$60=W$3)*(GMW!$ND$2:$ND$60=W$4)*(GMW!$NF$2:$NF$60=W$1),0),$F204-1966)</f>
        <v>1338516</v>
      </c>
      <c r="X204" s="4" cm="1">
        <f t="array" ref="X204">INDEX(GMW!$A$2:$NF$60,MATCH(1,(GMW!$NE$2:$NE$60=X$3)*(GMW!$ND$2:$ND$60=X$4)*(GMW!$NF$2:$NF$60=X$1),0),$F204-1966)</f>
        <v>2343.9650000000001</v>
      </c>
      <c r="Y204" s="4" cm="1">
        <f t="array" ref="Y204">INDEX(GMW!$A$2:$NF$60,MATCH(1,(GMW!$NE$2:$NE$60=Y$3)*(GMW!$ND$2:$ND$60=Y$4)*(GMW!$NF$2:$NF$60=Y$1),0),$F204-1966)</f>
        <v>3458.8420000000001</v>
      </c>
      <c r="Z204" s="4" cm="1">
        <f t="array" ref="Z204">INDEX(GMW!$A$2:$NF$60,MATCH(1,(GMW!$NE$2:$NE$60=Z$3)*(GMW!$ND$2:$ND$60=Z$4)*(GMW!$NF$2:$NF$60=Z$1),0),$F204-1966)</f>
        <v>3019.1640000000002</v>
      </c>
      <c r="AA204" s="4" cm="1">
        <f t="array" ref="AA204">INDEX(GMW!$A$2:$NF$60,MATCH(1,(GMW!$NE$2:$NE$60=AA$3)*(GMW!$ND$2:$ND$60=AA$4)*(GMW!$NF$2:$NF$60=AA$1),0),$F204-1966)</f>
        <v>2822795</v>
      </c>
      <c r="AB204" s="4" cm="1">
        <f t="array" ref="AB204">INDEX(GMW!$A$2:$NF$60,MATCH(1,(GMW!$NE$2:$NE$60=AB$3)*(GMW!$ND$2:$ND$60=AB$4)*(GMW!$NF$2:$NF$60=AB$1),0),$F204-1966)</f>
        <v>625467</v>
      </c>
      <c r="AC204" s="4" cm="1">
        <f t="array" ref="AC204">INDEX(GMW!$A$2:$NF$60,MATCH(1,(GMW!$NE$2:$NE$60=AC$3)*(GMW!$ND$2:$ND$60=AC$4)*(GMW!$NF$2:$NF$60=AC$1),0),$F204-1966)</f>
        <v>6451.45</v>
      </c>
      <c r="AD204" s="4" cm="1">
        <f t="array" ref="AD204">INDEX(GMW!$A$2:$NF$60,MATCH(1,(GMW!$NE$2:$NE$60=AD$3)*(GMW!$ND$2:$ND$60=AD$4)*(GMW!$NF$2:$NF$60=AD$1),0),$F204-1966)</f>
        <v>140186.20000000001</v>
      </c>
      <c r="AE204" s="4" cm="1">
        <f t="array" ref="AE204">INDEX(GMW!$A$2:$NF$60,MATCH(1,(GMW!$NE$2:$NE$60=AE$3)*(GMW!$ND$2:$ND$60=AE$4)*(GMW!$NF$2:$NF$60=AE$1),0),$F204-1966)</f>
        <v>989.27300000000002</v>
      </c>
      <c r="AF204" s="4" cm="1">
        <f t="array" ref="AF204">INDEX(GMW!$A$2:$NF$60,MATCH(1,(GMW!$NE$2:$NE$60=AF$3)*(GMW!$ND$2:$ND$60=AF$4)*(GMW!$NF$2:$NF$60=AF$1),0),$F204-1966)</f>
        <v>655.20500000000004</v>
      </c>
      <c r="AG204" s="4" cm="1">
        <f t="array" ref="AG204">INDEX(GMW!$A$2:$NF$60,MATCH(1,(GMW!$NE$2:$NE$60=AG$3)*(GMW!$ND$2:$ND$60=AG$4)*(GMW!$NF$2:$NF$60=AG$1),0),$F204-1966)</f>
        <v>499.15600000000001</v>
      </c>
      <c r="AH204" s="4" cm="1">
        <f t="array" ref="AH204">INDEX(GMW!$A$2:$NF$60,MATCH(1,(GMW!$NE$2:$NE$60=AH$3)*(GMW!$ND$2:$ND$60=AH$4)*(GMW!$NF$2:$NF$60=AH$1),0),$F204-1966)</f>
        <v>722546</v>
      </c>
    </row>
    <row r="205" spans="1:34" x14ac:dyDescent="0.25">
      <c r="B205" s="4">
        <f t="shared" si="68"/>
        <v>2022</v>
      </c>
      <c r="C205" s="4">
        <f t="shared" si="68"/>
        <v>2022</v>
      </c>
      <c r="F205" s="4">
        <f t="shared" si="59"/>
        <v>2171</v>
      </c>
      <c r="G205" s="4" cm="1">
        <f t="array" ref="G205">INDEX(GMW!$A$2:$NF$60,MATCH(1,(GMW!$NE$2:$NE$60=G$3)*(GMW!$ND$2:$ND$60=G$4)*(GMW!$NF$2:$NF$60=G$1),0),$F205-1966)</f>
        <v>631977</v>
      </c>
      <c r="H205" s="4" cm="1">
        <f t="array" ref="H205">INDEX(GMW!$A$2:$NF$60,MATCH(1,(GMW!$NE$2:$NE$60=H$3)*(GMW!$ND$2:$ND$60=H$4)*(GMW!$NF$2:$NF$60=H$1),0),$F205-1966)</f>
        <v>5516.7</v>
      </c>
      <c r="I205" s="4" cm="1">
        <f t="array" ref="I205">INDEX(GMW!$A$2:$NF$60,MATCH(1,(GMW!$NE$2:$NE$60=I$3)*(GMW!$ND$2:$ND$60=I$4)*(GMW!$NF$2:$NF$60=I$1),0),$F205-1966)</f>
        <v>137188.79999999999</v>
      </c>
      <c r="J205" s="4" cm="1">
        <f t="array" ref="J205">INDEX(GMW!$A$2:$NF$60,MATCH(1,(GMW!$NE$2:$NE$60=J$3)*(GMW!$ND$2:$ND$60=J$4)*(GMW!$NF$2:$NF$60=J$1),0),$F205-1966)</f>
        <v>913.58</v>
      </c>
      <c r="K205" s="4" cm="1">
        <f t="array" ref="K205">INDEX(GMW!$A$2:$NF$60,MATCH(1,(GMW!$NE$2:$NE$60=K$3)*(GMW!$ND$2:$ND$60=K$4)*(GMW!$NF$2:$NF$60=K$1),0),$F205-1966)</f>
        <v>637.70000000000005</v>
      </c>
      <c r="L205" s="4" cm="1">
        <f t="array" ref="L205">INDEX(GMW!$A$2:$NF$60,MATCH(1,(GMW!$NE$2:$NE$60=L$3)*(GMW!$ND$2:$ND$60=L$4)*(GMW!$NF$2:$NF$60=L$1),0),$F205-1966)</f>
        <v>479.065</v>
      </c>
      <c r="M205" s="4" cm="1">
        <f t="array" ref="M205">INDEX(GMW!$A$2:$NF$60,MATCH(1,(GMW!$NE$2:$NE$60=M$3)*(GMW!$ND$2:$ND$60=M$4)*(GMW!$NF$2:$NF$60=M$1),0),$F205-1966)</f>
        <v>590733.30000000005</v>
      </c>
      <c r="N205" s="4" cm="1">
        <f t="array" ref="N205">INDEX(GMW!$A$2:$NF$60,MATCH(1,(GMW!$NE$2:$NE$60=N$3)*(GMW!$ND$2:$ND$60=N$4)*(GMW!$NF$2:$NF$60=N$1),0),$F205-1966)</f>
        <v>-24034</v>
      </c>
      <c r="O205" s="4" cm="1">
        <f t="array" ref="O205">INDEX(GMW!$A$2:$NF$60,MATCH(1,(GMW!$NE$2:$NE$60=O$3)*(GMW!$ND$2:$ND$60=O$4)*(GMW!$NF$2:$NF$60=O$1),0),$F205-1966)</f>
        <v>-291.4633</v>
      </c>
      <c r="P205" s="4" cm="1">
        <f t="array" ref="P205">INDEX(GMW!$A$2:$NF$60,MATCH(1,(GMW!$NE$2:$NE$60=P$3)*(GMW!$ND$2:$ND$60=P$4)*(GMW!$NF$2:$NF$60=P$1),0),$F205-1966)</f>
        <v>-6025.75</v>
      </c>
      <c r="Q205" s="4" cm="1">
        <f t="array" ref="Q205">INDEX(GMW!$A$2:$NF$60,MATCH(1,(GMW!$NE$2:$NE$60=Q$3)*(GMW!$ND$2:$ND$60=Q$4)*(GMW!$NF$2:$NF$60=Q$1),0),$F205-1966)</f>
        <v>-24.64</v>
      </c>
      <c r="R205" s="4" cm="1">
        <f t="array" ref="R205">INDEX(GMW!$A$2:$NF$60,MATCH(1,(GMW!$NE$2:$NE$60=R$3)*(GMW!$ND$2:$ND$60=R$4)*(GMW!$NF$2:$NF$60=R$1),0),$F205-1966)</f>
        <v>-32.203000000000003</v>
      </c>
      <c r="S205" s="4" cm="1">
        <f t="array" ref="S205">INDEX(GMW!$A$2:$NF$60,MATCH(1,(GMW!$NE$2:$NE$60=S$3)*(GMW!$ND$2:$ND$60=S$4)*(GMW!$NF$2:$NF$60=S$1),0),$F205-1966)</f>
        <v>-40.521619999999999</v>
      </c>
      <c r="T205" s="4" cm="1">
        <f t="array" ref="T205">INDEX(GMW!$A$2:$NF$60,MATCH(1,(GMW!$NE$2:$NE$60=T$3)*(GMW!$ND$2:$ND$60=T$4)*(GMW!$NF$2:$NF$60=T$1),0),$F205-1966)</f>
        <v>10212</v>
      </c>
      <c r="U205" s="4" cm="1">
        <f t="array" ref="U205">INDEX(GMW!$A$2:$NF$60,MATCH(1,(GMW!$NE$2:$NE$60=U$3)*(GMW!$ND$2:$ND$60=U$4)*(GMW!$NF$2:$NF$60=U$1),0),$F205-1966)</f>
        <v>2443997</v>
      </c>
      <c r="V205" s="4" cm="1">
        <f t="array" ref="V205">INDEX(GMW!$A$2:$NF$60,MATCH(1,(GMW!$NE$2:$NE$60=V$3)*(GMW!$ND$2:$ND$60=V$4)*(GMW!$NF$2:$NF$60=V$1),0),$F205-1966)</f>
        <v>35789.5</v>
      </c>
      <c r="W205" s="4" cm="1">
        <f t="array" ref="W205">INDEX(GMW!$A$2:$NF$60,MATCH(1,(GMW!$NE$2:$NE$60=W$3)*(GMW!$ND$2:$ND$60=W$4)*(GMW!$NF$2:$NF$60=W$1),0),$F205-1966)</f>
        <v>1341989</v>
      </c>
      <c r="X205" s="4" cm="1">
        <f t="array" ref="X205">INDEX(GMW!$A$2:$NF$60,MATCH(1,(GMW!$NE$2:$NE$60=X$3)*(GMW!$ND$2:$ND$60=X$4)*(GMW!$NF$2:$NF$60=X$1),0),$F205-1966)</f>
        <v>2325.357</v>
      </c>
      <c r="Y205" s="4" cm="1">
        <f t="array" ref="Y205">INDEX(GMW!$A$2:$NF$60,MATCH(1,(GMW!$NE$2:$NE$60=Y$3)*(GMW!$ND$2:$ND$60=Y$4)*(GMW!$NF$2:$NF$60=Y$1),0),$F205-1966)</f>
        <v>3384.7440000000001</v>
      </c>
      <c r="Z205" s="4" cm="1">
        <f t="array" ref="Z205">INDEX(GMW!$A$2:$NF$60,MATCH(1,(GMW!$NE$2:$NE$60=Z$3)*(GMW!$ND$2:$ND$60=Z$4)*(GMW!$NF$2:$NF$60=Z$1),0),$F205-1966)</f>
        <v>2959.49</v>
      </c>
      <c r="AA205" s="4" cm="1">
        <f t="array" ref="AA205">INDEX(GMW!$A$2:$NF$60,MATCH(1,(GMW!$NE$2:$NE$60=AA$3)*(GMW!$ND$2:$ND$60=AA$4)*(GMW!$NF$2:$NF$60=AA$1),0),$F205-1966)</f>
        <v>2814180</v>
      </c>
      <c r="AB205" s="4" cm="1">
        <f t="array" ref="AB205">INDEX(GMW!$A$2:$NF$60,MATCH(1,(GMW!$NE$2:$NE$60=AB$3)*(GMW!$ND$2:$ND$60=AB$4)*(GMW!$NF$2:$NF$60=AB$1),0),$F205-1966)</f>
        <v>636553</v>
      </c>
      <c r="AC205" s="4" cm="1">
        <f t="array" ref="AC205">INDEX(GMW!$A$2:$NF$60,MATCH(1,(GMW!$NE$2:$NE$60=AC$3)*(GMW!$ND$2:$ND$60=AC$4)*(GMW!$NF$2:$NF$60=AC$1),0),$F205-1966)</f>
        <v>6568</v>
      </c>
      <c r="AD205" s="4" cm="1">
        <f t="array" ref="AD205">INDEX(GMW!$A$2:$NF$60,MATCH(1,(GMW!$NE$2:$NE$60=AD$3)*(GMW!$ND$2:$ND$60=AD$4)*(GMW!$NF$2:$NF$60=AD$1),0),$F205-1966)</f>
        <v>139349.29999999999</v>
      </c>
      <c r="AE205" s="4" cm="1">
        <f t="array" ref="AE205">INDEX(GMW!$A$2:$NF$60,MATCH(1,(GMW!$NE$2:$NE$60=AE$3)*(GMW!$ND$2:$ND$60=AE$4)*(GMW!$NF$2:$NF$60=AE$1),0),$F205-1966)</f>
        <v>1001.691</v>
      </c>
      <c r="AF205" s="4" cm="1">
        <f t="array" ref="AF205">INDEX(GMW!$A$2:$NF$60,MATCH(1,(GMW!$NE$2:$NE$60=AF$3)*(GMW!$ND$2:$ND$60=AF$4)*(GMW!$NF$2:$NF$60=AF$1),0),$F205-1966)</f>
        <v>668.11099999999999</v>
      </c>
      <c r="AG205" s="4" cm="1">
        <f t="array" ref="AG205">INDEX(GMW!$A$2:$NF$60,MATCH(1,(GMW!$NE$2:$NE$60=AG$3)*(GMW!$ND$2:$ND$60=AG$4)*(GMW!$NF$2:$NF$60=AG$1),0),$F205-1966)</f>
        <v>502.01600000000002</v>
      </c>
      <c r="AH205" s="4" cm="1">
        <f t="array" ref="AH205">INDEX(GMW!$A$2:$NF$60,MATCH(1,(GMW!$NE$2:$NE$60=AH$3)*(GMW!$ND$2:$ND$60=AH$4)*(GMW!$NF$2:$NF$60=AH$1),0),$F205-1966)</f>
        <v>718002</v>
      </c>
    </row>
    <row r="206" spans="1:34" x14ac:dyDescent="0.25">
      <c r="B206" s="4">
        <f t="shared" si="68"/>
        <v>2022</v>
      </c>
      <c r="C206" s="4">
        <f t="shared" si="68"/>
        <v>2022</v>
      </c>
      <c r="E206" s="4">
        <f t="shared" ref="E206" si="69">+E202+1</f>
        <v>2022</v>
      </c>
      <c r="F206" s="4">
        <f t="shared" si="59"/>
        <v>2172</v>
      </c>
      <c r="G206" s="4" cm="1">
        <f t="array" ref="G206">INDEX(GMW!$A$2:$NF$60,MATCH(1,(GMW!$NE$2:$NE$60=G$3)*(GMW!$ND$2:$ND$60=G$4)*(GMW!$NF$2:$NF$60=G$1),0),$F206-1966)</f>
        <v>634044</v>
      </c>
      <c r="H206" s="4" cm="1">
        <f t="array" ref="H206">INDEX(GMW!$A$2:$NF$60,MATCH(1,(GMW!$NE$2:$NE$60=H$3)*(GMW!$ND$2:$ND$60=H$4)*(GMW!$NF$2:$NF$60=H$1),0),$F206-1966)</f>
        <v>5562.375</v>
      </c>
      <c r="I206" s="4" cm="1">
        <f t="array" ref="I206">INDEX(GMW!$A$2:$NF$60,MATCH(1,(GMW!$NE$2:$NE$60=I$3)*(GMW!$ND$2:$ND$60=I$4)*(GMW!$NF$2:$NF$60=I$1),0),$F206-1966)</f>
        <v>137553.4</v>
      </c>
      <c r="J206" s="4" cm="1">
        <f t="array" ref="J206">INDEX(GMW!$A$2:$NF$60,MATCH(1,(GMW!$NE$2:$NE$60=J$3)*(GMW!$ND$2:$ND$60=J$4)*(GMW!$NF$2:$NF$60=J$1),0),$F206-1966)</f>
        <v>910.39</v>
      </c>
      <c r="K206" s="4" cm="1">
        <f t="array" ref="K206">INDEX(GMW!$A$2:$NF$60,MATCH(1,(GMW!$NE$2:$NE$60=K$3)*(GMW!$ND$2:$ND$60=K$4)*(GMW!$NF$2:$NF$60=K$1),0),$F206-1966)</f>
        <v>640.14700000000005</v>
      </c>
      <c r="L206" s="4" cm="1">
        <f t="array" ref="L206">INDEX(GMW!$A$2:$NF$60,MATCH(1,(GMW!$NE$2:$NE$60=L$3)*(GMW!$ND$2:$ND$60=L$4)*(GMW!$NF$2:$NF$60=L$1),0),$F206-1966)</f>
        <v>478.33100000000002</v>
      </c>
      <c r="M206" s="4" cm="1">
        <f t="array" ref="M206">INDEX(GMW!$A$2:$NF$60,MATCH(1,(GMW!$NE$2:$NE$60=M$3)*(GMW!$ND$2:$ND$60=M$4)*(GMW!$NF$2:$NF$60=M$1),0),$F206-1966)</f>
        <v>589886.80000000005</v>
      </c>
      <c r="N206" s="4" cm="1">
        <f t="array" ref="N206">INDEX(GMW!$A$2:$NF$60,MATCH(1,(GMW!$NE$2:$NE$60=N$3)*(GMW!$ND$2:$ND$60=N$4)*(GMW!$NF$2:$NF$60=N$1),0),$F206-1966)</f>
        <v>-42247</v>
      </c>
      <c r="O206" s="4" cm="1">
        <f t="array" ref="O206">INDEX(GMW!$A$2:$NF$60,MATCH(1,(GMW!$NE$2:$NE$60=O$3)*(GMW!$ND$2:$ND$60=O$4)*(GMW!$NF$2:$NF$60=O$1),0),$F206-1966)</f>
        <v>-332.517</v>
      </c>
      <c r="P206" s="4" cm="1">
        <f t="array" ref="P206">INDEX(GMW!$A$2:$NF$60,MATCH(1,(GMW!$NE$2:$NE$60=P$3)*(GMW!$ND$2:$ND$60=P$4)*(GMW!$NF$2:$NF$60=P$1),0),$F206-1966)</f>
        <v>-5994.75</v>
      </c>
      <c r="Q206" s="4" cm="1">
        <f t="array" ref="Q206">INDEX(GMW!$A$2:$NF$60,MATCH(1,(GMW!$NE$2:$NE$60=Q$3)*(GMW!$ND$2:$ND$60=Q$4)*(GMW!$NF$2:$NF$60=Q$1),0),$F206-1966)</f>
        <v>-42.521000000000001</v>
      </c>
      <c r="R206" s="4" cm="1">
        <f t="array" ref="R206">INDEX(GMW!$A$2:$NF$60,MATCH(1,(GMW!$NE$2:$NE$60=R$3)*(GMW!$ND$2:$ND$60=R$4)*(GMW!$NF$2:$NF$60=R$1),0),$F206-1966)</f>
        <v>-38.340000000000003</v>
      </c>
      <c r="S206" s="4" cm="1">
        <f t="array" ref="S206">INDEX(GMW!$A$2:$NF$60,MATCH(1,(GMW!$NE$2:$NE$60=S$3)*(GMW!$ND$2:$ND$60=S$4)*(GMW!$NF$2:$NF$60=S$1),0),$F206-1966)</f>
        <v>-39.91095</v>
      </c>
      <c r="T206" s="4" cm="1">
        <f t="array" ref="T206">INDEX(GMW!$A$2:$NF$60,MATCH(1,(GMW!$NE$2:$NE$60=T$3)*(GMW!$ND$2:$ND$60=T$4)*(GMW!$NF$2:$NF$60=T$1),0),$F206-1966)</f>
        <v>-37</v>
      </c>
      <c r="U206" s="4" cm="1">
        <f t="array" ref="U206">INDEX(GMW!$A$2:$NF$60,MATCH(1,(GMW!$NE$2:$NE$60=U$3)*(GMW!$ND$2:$ND$60=U$4)*(GMW!$NF$2:$NF$60=U$1),0),$F206-1966)</f>
        <v>2516668</v>
      </c>
      <c r="V206" s="4" cm="1">
        <f t="array" ref="V206">INDEX(GMW!$A$2:$NF$60,MATCH(1,(GMW!$NE$2:$NE$60=V$3)*(GMW!$ND$2:$ND$60=V$4)*(GMW!$NF$2:$NF$60=V$1),0),$F206-1966)</f>
        <v>35599.07</v>
      </c>
      <c r="W206" s="4" cm="1">
        <f t="array" ref="W206">INDEX(GMW!$A$2:$NF$60,MATCH(1,(GMW!$NE$2:$NE$60=W$3)*(GMW!$ND$2:$ND$60=W$4)*(GMW!$NF$2:$NF$60=W$1),0),$F206-1966)</f>
        <v>1345463</v>
      </c>
      <c r="X206" s="4" cm="1">
        <f t="array" ref="X206">INDEX(GMW!$A$2:$NF$60,MATCH(1,(GMW!$NE$2:$NE$60=X$3)*(GMW!$ND$2:$ND$60=X$4)*(GMW!$NF$2:$NF$60=X$1),0),$F206-1966)</f>
        <v>2367.6869999999999</v>
      </c>
      <c r="Y206" s="4" cm="1">
        <f t="array" ref="Y206">INDEX(GMW!$A$2:$NF$60,MATCH(1,(GMW!$NE$2:$NE$60=Y$3)*(GMW!$ND$2:$ND$60=Y$4)*(GMW!$NF$2:$NF$60=Y$1),0),$F206-1966)</f>
        <v>3250.3380000000002</v>
      </c>
      <c r="Z206" s="4" cm="1">
        <f t="array" ref="Z206">INDEX(GMW!$A$2:$NF$60,MATCH(1,(GMW!$NE$2:$NE$60=Z$3)*(GMW!$ND$2:$ND$60=Z$4)*(GMW!$NF$2:$NF$60=Z$1),0),$F206-1966)</f>
        <v>2899.8159999999998</v>
      </c>
      <c r="AA206" s="4" cm="1">
        <f t="array" ref="AA206">INDEX(GMW!$A$2:$NF$60,MATCH(1,(GMW!$NE$2:$NE$60=AA$3)*(GMW!$ND$2:$ND$60=AA$4)*(GMW!$NF$2:$NF$60=AA$1),0),$F206-1966)</f>
        <v>2816866</v>
      </c>
      <c r="AB206" s="4" cm="1">
        <f t="array" ref="AB206">INDEX(GMW!$A$2:$NF$60,MATCH(1,(GMW!$NE$2:$NE$60=AB$3)*(GMW!$ND$2:$ND$60=AB$4)*(GMW!$NF$2:$NF$60=AB$1),0),$F206-1966)</f>
        <v>654062</v>
      </c>
      <c r="AC206" s="4" cm="1">
        <f t="array" ref="AC206">INDEX(GMW!$A$2:$NF$60,MATCH(1,(GMW!$NE$2:$NE$60=AC$3)*(GMW!$ND$2:$ND$60=AC$4)*(GMW!$NF$2:$NF$60=AC$1),0),$F206-1966)</f>
        <v>6683.5749999999998</v>
      </c>
      <c r="AD206" s="4" cm="1">
        <f t="array" ref="AD206">INDEX(GMW!$A$2:$NF$60,MATCH(1,(GMW!$NE$2:$NE$60=AD$3)*(GMW!$ND$2:$ND$60=AD$4)*(GMW!$NF$2:$NF$60=AD$1),0),$F206-1966)</f>
        <v>141794.9</v>
      </c>
      <c r="AE206" s="4" cm="1">
        <f t="array" ref="AE206">INDEX(GMW!$A$2:$NF$60,MATCH(1,(GMW!$NE$2:$NE$60=AE$3)*(GMW!$ND$2:$ND$60=AE$4)*(GMW!$NF$2:$NF$60=AE$1),0),$F206-1966)</f>
        <v>1020.051</v>
      </c>
      <c r="AF206" s="4" cm="1">
        <f t="array" ref="AF206">INDEX(GMW!$A$2:$NF$60,MATCH(1,(GMW!$NE$2:$NE$60=AF$3)*(GMW!$ND$2:$ND$60=AF$4)*(GMW!$NF$2:$NF$60=AF$1),0),$F206-1966)</f>
        <v>680.70399999999995</v>
      </c>
      <c r="AG206" s="4" cm="1">
        <f t="array" ref="AG206">INDEX(GMW!$A$2:$NF$60,MATCH(1,(GMW!$NE$2:$NE$60=AG$3)*(GMW!$ND$2:$ND$60=AG$4)*(GMW!$NF$2:$NF$60=AG$1),0),$F206-1966)</f>
        <v>510.59300000000002</v>
      </c>
      <c r="AH206" s="4" cm="1">
        <f t="array" ref="AH206">INDEX(GMW!$A$2:$NF$60,MATCH(1,(GMW!$NE$2:$NE$60=AH$3)*(GMW!$ND$2:$ND$60=AH$4)*(GMW!$NF$2:$NF$60=AH$1),0),$F206-1966)</f>
        <v>716615</v>
      </c>
    </row>
    <row r="207" spans="1:34" x14ac:dyDescent="0.25">
      <c r="A207" s="4">
        <v>2023</v>
      </c>
      <c r="B207" s="4">
        <f t="shared" si="68"/>
        <v>2023</v>
      </c>
      <c r="C207" s="4">
        <f t="shared" si="68"/>
        <v>2022</v>
      </c>
      <c r="D207" s="4">
        <f t="shared" si="68"/>
        <v>2022</v>
      </c>
      <c r="F207" s="4">
        <f t="shared" si="59"/>
        <v>2173</v>
      </c>
      <c r="G207" s="4" cm="1">
        <f t="array" ref="G207">INDEX(GMW!$A$2:$NF$60,MATCH(1,(GMW!$NE$2:$NE$60=G$3)*(GMW!$ND$2:$ND$60=G$4)*(GMW!$NF$2:$NF$60=G$1),0),$F207-1966)</f>
        <v>634428</v>
      </c>
      <c r="H207" s="4" cm="1">
        <f t="array" ref="H207">INDEX(GMW!$A$2:$NF$60,MATCH(1,(GMW!$NE$2:$NE$60=H$3)*(GMW!$ND$2:$ND$60=H$4)*(GMW!$NF$2:$NF$60=H$1),0),$F207-1966)</f>
        <v>5600.85</v>
      </c>
      <c r="I207" s="4" cm="1">
        <f t="array" ref="I207">INDEX(GMW!$A$2:$NF$60,MATCH(1,(GMW!$NE$2:$NE$60=I$3)*(GMW!$ND$2:$ND$60=I$4)*(GMW!$NF$2:$NF$60=I$1),0),$F207-1966)</f>
        <v>139288</v>
      </c>
      <c r="J207" s="4" cm="1">
        <f t="array" ref="J207">INDEX(GMW!$A$2:$NF$60,MATCH(1,(GMW!$NE$2:$NE$60=J$3)*(GMW!$ND$2:$ND$60=J$4)*(GMW!$NF$2:$NF$60=J$1),0),$F207-1966)</f>
        <v>906.09</v>
      </c>
      <c r="K207" s="4" cm="1">
        <f t="array" ref="K207">INDEX(GMW!$A$2:$NF$60,MATCH(1,(GMW!$NE$2:$NE$60=K$3)*(GMW!$ND$2:$ND$60=K$4)*(GMW!$NF$2:$NF$60=K$1),0),$F207-1966)</f>
        <v>640.54499999999996</v>
      </c>
      <c r="L207" s="4" cm="1">
        <f t="array" ref="L207">INDEX(GMW!$A$2:$NF$60,MATCH(1,(GMW!$NE$2:$NE$60=L$3)*(GMW!$ND$2:$ND$60=L$4)*(GMW!$NF$2:$NF$60=L$1),0),$F207-1966)</f>
        <v>480.50799999999998</v>
      </c>
      <c r="M207" s="4" cm="1">
        <f t="array" ref="M207">INDEX(GMW!$A$2:$NF$60,MATCH(1,(GMW!$NE$2:$NE$60=M$3)*(GMW!$ND$2:$ND$60=M$4)*(GMW!$NF$2:$NF$60=M$1),0),$F207-1966)</f>
        <v>595588.80000000005</v>
      </c>
      <c r="N207" s="4" cm="1">
        <f t="array" ref="N207">INDEX(GMW!$A$2:$NF$60,MATCH(1,(GMW!$NE$2:$NE$60=N$3)*(GMW!$ND$2:$ND$60=N$4)*(GMW!$NF$2:$NF$60=N$1),0),$F207-1966)</f>
        <v>-19542</v>
      </c>
      <c r="O207" s="4" cm="1">
        <f t="array" ref="O207">INDEX(GMW!$A$2:$NF$60,MATCH(1,(GMW!$NE$2:$NE$60=O$3)*(GMW!$ND$2:$ND$60=O$4)*(GMW!$NF$2:$NF$60=O$1),0),$F207-1966)</f>
        <v>-495.52269999999999</v>
      </c>
      <c r="P207" s="4" cm="1">
        <f t="array" ref="P207">INDEX(GMW!$A$2:$NF$60,MATCH(1,(GMW!$NE$2:$NE$60=P$3)*(GMW!$ND$2:$ND$60=P$4)*(GMW!$NF$2:$NF$60=P$1),0),$F207-1966)</f>
        <v>-5500.75</v>
      </c>
      <c r="Q207" s="4" cm="1">
        <f t="array" ref="Q207">INDEX(GMW!$A$2:$NF$60,MATCH(1,(GMW!$NE$2:$NE$60=Q$3)*(GMW!$ND$2:$ND$60=Q$4)*(GMW!$NF$2:$NF$60=Q$1),0),$F207-1966)</f>
        <v>-26.991</v>
      </c>
      <c r="R207" s="4" cm="1">
        <f t="array" ref="R207">INDEX(GMW!$A$2:$NF$60,MATCH(1,(GMW!$NE$2:$NE$60=R$3)*(GMW!$ND$2:$ND$60=R$4)*(GMW!$NF$2:$NF$60=R$1),0),$F207-1966)</f>
        <v>-35.023000000000003</v>
      </c>
      <c r="S207" s="4" cm="1">
        <f t="array" ref="S207">INDEX(GMW!$A$2:$NF$60,MATCH(1,(GMW!$NE$2:$NE$60=S$3)*(GMW!$ND$2:$ND$60=S$4)*(GMW!$NF$2:$NF$60=S$1),0),$F207-1966)</f>
        <v>-40.787999999999997</v>
      </c>
      <c r="T207" s="4" cm="1">
        <f t="array" ref="T207">INDEX(GMW!$A$2:$NF$60,MATCH(1,(GMW!$NE$2:$NE$60=T$3)*(GMW!$ND$2:$ND$60=T$4)*(GMW!$NF$2:$NF$60=T$1),0),$F207-1966)</f>
        <v>4918</v>
      </c>
      <c r="U207" s="4" cm="1">
        <f t="array" ref="U207">INDEX(GMW!$A$2:$NF$60,MATCH(1,(GMW!$NE$2:$NE$60=U$3)*(GMW!$ND$2:$ND$60=U$4)*(GMW!$NF$2:$NF$60=U$1),0),$F207-1966)</f>
        <v>2538407</v>
      </c>
      <c r="V207" s="4" cm="1">
        <f t="array" ref="V207">INDEX(GMW!$A$2:$NF$60,MATCH(1,(GMW!$NE$2:$NE$60=V$3)*(GMW!$ND$2:$ND$60=V$4)*(GMW!$NF$2:$NF$60=V$1),0),$F207-1966)</f>
        <v>36021.370000000003</v>
      </c>
      <c r="W207" s="4" cm="1">
        <f t="array" ref="W207">INDEX(GMW!$A$2:$NF$60,MATCH(1,(GMW!$NE$2:$NE$60=W$3)*(GMW!$ND$2:$ND$60=W$4)*(GMW!$NF$2:$NF$60=W$1),0),$F207-1966)</f>
        <v>1344354</v>
      </c>
      <c r="X207" s="4" cm="1">
        <f t="array" ref="X207">INDEX(GMW!$A$2:$NF$60,MATCH(1,(GMW!$NE$2:$NE$60=X$3)*(GMW!$ND$2:$ND$60=X$4)*(GMW!$NF$2:$NF$60=X$1),0),$F207-1966)</f>
        <v>2406.6489999999999</v>
      </c>
      <c r="Y207" s="4" cm="1">
        <f t="array" ref="Y207">INDEX(GMW!$A$2:$NF$60,MATCH(1,(GMW!$NE$2:$NE$60=Y$3)*(GMW!$ND$2:$ND$60=Y$4)*(GMW!$NF$2:$NF$60=Y$1),0),$F207-1966)</f>
        <v>3371.0650000000001</v>
      </c>
      <c r="Z207" s="4" cm="1">
        <f t="array" ref="Z207">INDEX(GMW!$A$2:$NF$60,MATCH(1,(GMW!$NE$2:$NE$60=Z$3)*(GMW!$ND$2:$ND$60=Z$4)*(GMW!$NF$2:$NF$60=Z$1),0),$F207-1966)</f>
        <v>2964.97</v>
      </c>
      <c r="AA207" s="4" cm="1">
        <f t="array" ref="AA207">INDEX(GMW!$A$2:$NF$60,MATCH(1,(GMW!$NE$2:$NE$60=AA$3)*(GMW!$ND$2:$ND$60=AA$4)*(GMW!$NF$2:$NF$60=AA$1),0),$F207-1966)</f>
        <v>2900260</v>
      </c>
      <c r="AB207" s="4" cm="1">
        <f t="array" ref="AB207">INDEX(GMW!$A$2:$NF$60,MATCH(1,(GMW!$NE$2:$NE$60=AB$3)*(GMW!$ND$2:$ND$60=AB$4)*(GMW!$NF$2:$NF$60=AB$1),0),$F207-1966)</f>
        <v>665965</v>
      </c>
      <c r="AC207" s="4" cm="1">
        <f t="array" ref="AC207">INDEX(GMW!$A$2:$NF$60,MATCH(1,(GMW!$NE$2:$NE$60=AC$3)*(GMW!$ND$2:$ND$60=AC$4)*(GMW!$NF$2:$NF$60=AC$1),0),$F207-1966)</f>
        <v>6791.1</v>
      </c>
      <c r="AD207" s="4" cm="1">
        <f t="array" ref="AD207">INDEX(GMW!$A$2:$NF$60,MATCH(1,(GMW!$NE$2:$NE$60=AD$3)*(GMW!$ND$2:$ND$60=AD$4)*(GMW!$NF$2:$NF$60=AD$1),0),$F207-1966)</f>
        <v>145517.1</v>
      </c>
      <c r="AE207" s="4" cm="1">
        <f t="array" ref="AE207">INDEX(GMW!$A$2:$NF$60,MATCH(1,(GMW!$NE$2:$NE$60=AE$3)*(GMW!$ND$2:$ND$60=AE$4)*(GMW!$NF$2:$NF$60=AE$1),0),$F207-1966)</f>
        <v>1038.961</v>
      </c>
      <c r="AF207" s="4" cm="1">
        <f t="array" ref="AF207">INDEX(GMW!$A$2:$NF$60,MATCH(1,(GMW!$NE$2:$NE$60=AF$3)*(GMW!$ND$2:$ND$60=AF$4)*(GMW!$NF$2:$NF$60=AF$1),0),$F207-1966)</f>
        <v>691.27499999999998</v>
      </c>
      <c r="AG207" s="4" cm="1">
        <f t="array" ref="AG207">INDEX(GMW!$A$2:$NF$60,MATCH(1,(GMW!$NE$2:$NE$60=AG$3)*(GMW!$ND$2:$ND$60=AG$4)*(GMW!$NF$2:$NF$60=AG$1),0),$F207-1966)</f>
        <v>525.42399999999998</v>
      </c>
      <c r="AH207" s="4" cm="1">
        <f t="array" ref="AH207">INDEX(GMW!$A$2:$NF$60,MATCH(1,(GMW!$NE$2:$NE$60=AH$3)*(GMW!$ND$2:$ND$60=AH$4)*(GMW!$NF$2:$NF$60=AH$1),0),$F207-1966)</f>
        <v>720784</v>
      </c>
    </row>
    <row r="208" spans="1:34" x14ac:dyDescent="0.25">
      <c r="B208" s="4">
        <f t="shared" si="68"/>
        <v>2023</v>
      </c>
      <c r="C208" s="4">
        <f t="shared" si="68"/>
        <v>2023</v>
      </c>
      <c r="F208" s="4">
        <f t="shared" si="59"/>
        <v>2174</v>
      </c>
      <c r="G208" s="4" cm="1">
        <f t="array" ref="G208">INDEX(GMW!$A$2:$NF$60,MATCH(1,(GMW!$NE$2:$NE$60=G$3)*(GMW!$ND$2:$ND$60=G$4)*(GMW!$NF$2:$NF$60=G$1),0),$F208-1966)</f>
        <v>634694</v>
      </c>
      <c r="H208" s="4" cm="1">
        <f t="array" ref="H208">INDEX(GMW!$A$2:$NF$60,MATCH(1,(GMW!$NE$2:$NE$60=H$3)*(GMW!$ND$2:$ND$60=H$4)*(GMW!$NF$2:$NF$60=H$1),0),$F208-1966)</f>
        <v>5634.85</v>
      </c>
      <c r="I208" s="4" cm="1">
        <f t="array" ref="I208">INDEX(GMW!$A$2:$NF$60,MATCH(1,(GMW!$NE$2:$NE$60=I$3)*(GMW!$ND$2:$ND$60=I$4)*(GMW!$NF$2:$NF$60=I$1),0),$F208-1966)</f>
        <v>139845.79999999999</v>
      </c>
      <c r="J208" s="4" cm="1">
        <f t="array" ref="J208">INDEX(GMW!$A$2:$NF$60,MATCH(1,(GMW!$NE$2:$NE$60=J$3)*(GMW!$ND$2:$ND$60=J$4)*(GMW!$NF$2:$NF$60=J$1),0),$F208-1966)</f>
        <v>905.4</v>
      </c>
      <c r="K208" s="4" cm="1">
        <f t="array" ref="K208">INDEX(GMW!$A$2:$NF$60,MATCH(1,(GMW!$NE$2:$NE$60=K$3)*(GMW!$ND$2:$ND$60=K$4)*(GMW!$NF$2:$NF$60=K$1),0),$F208-1966)</f>
        <v>646.22199999999998</v>
      </c>
      <c r="L208" s="4" cm="1">
        <f t="array" ref="L208">INDEX(GMW!$A$2:$NF$60,MATCH(1,(GMW!$NE$2:$NE$60=L$3)*(GMW!$ND$2:$ND$60=L$4)*(GMW!$NF$2:$NF$60=L$1),0),$F208-1966)</f>
        <v>479.72899999999998</v>
      </c>
      <c r="M208" s="4" cm="1">
        <f t="array" ref="M208">INDEX(GMW!$A$2:$NF$60,MATCH(1,(GMW!$NE$2:$NE$60=M$3)*(GMW!$ND$2:$ND$60=M$4)*(GMW!$NF$2:$NF$60=M$1),0),$F208-1966)</f>
        <v>596820</v>
      </c>
      <c r="N208" s="4" cm="1">
        <f t="array" ref="N208">INDEX(GMW!$A$2:$NF$60,MATCH(1,(GMW!$NE$2:$NE$60=N$3)*(GMW!$ND$2:$ND$60=N$4)*(GMW!$NF$2:$NF$60=N$1),0),$F208-1966)</f>
        <v>-54152</v>
      </c>
      <c r="O208" s="4" cm="1">
        <f t="array" ref="O208">INDEX(GMW!$A$2:$NF$60,MATCH(1,(GMW!$NE$2:$NE$60=O$3)*(GMW!$ND$2:$ND$60=O$4)*(GMW!$NF$2:$NF$60=O$1),0),$F208-1966)</f>
        <v>-544.63120000000004</v>
      </c>
      <c r="P208" s="4" cm="1">
        <f t="array" ref="P208">INDEX(GMW!$A$2:$NF$60,MATCH(1,(GMW!$NE$2:$NE$60=P$3)*(GMW!$ND$2:$ND$60=P$4)*(GMW!$NF$2:$NF$60=P$1),0),$F208-1966)</f>
        <v>-3574.5</v>
      </c>
      <c r="Q208" s="4" cm="1">
        <f t="array" ref="Q208">INDEX(GMW!$A$2:$NF$60,MATCH(1,(GMW!$NE$2:$NE$60=Q$3)*(GMW!$ND$2:$ND$60=Q$4)*(GMW!$NF$2:$NF$60=Q$1),0),$F208-1966)</f>
        <v>-23.123000000000001</v>
      </c>
      <c r="R208" s="4" cm="1">
        <f t="array" ref="R208">INDEX(GMW!$A$2:$NF$60,MATCH(1,(GMW!$NE$2:$NE$60=R$3)*(GMW!$ND$2:$ND$60=R$4)*(GMW!$NF$2:$NF$60=R$1),0),$F208-1966)</f>
        <v>-35.930999999999997</v>
      </c>
      <c r="S208" s="4" cm="1">
        <f t="array" ref="S208">INDEX(GMW!$A$2:$NF$60,MATCH(1,(GMW!$NE$2:$NE$60=S$3)*(GMW!$ND$2:$ND$60=S$4)*(GMW!$NF$2:$NF$60=S$1),0),$F208-1966)</f>
        <v>-41.759189999999997</v>
      </c>
      <c r="T208" s="4" cm="1">
        <f t="array" ref="T208">INDEX(GMW!$A$2:$NF$60,MATCH(1,(GMW!$NE$2:$NE$60=T$3)*(GMW!$ND$2:$ND$60=T$4)*(GMW!$NF$2:$NF$60=T$1),0),$F208-1966)</f>
        <v>10326</v>
      </c>
      <c r="U208" s="4" cm="1">
        <f t="array" ref="U208">INDEX(GMW!$A$2:$NF$60,MATCH(1,(GMW!$NE$2:$NE$60=U$3)*(GMW!$ND$2:$ND$60=U$4)*(GMW!$NF$2:$NF$60=U$1),0),$F208-1966)</f>
        <v>2636632</v>
      </c>
      <c r="V208" s="4" cm="1">
        <f t="array" ref="V208">INDEX(GMW!$A$2:$NF$60,MATCH(1,(GMW!$NE$2:$NE$60=V$3)*(GMW!$ND$2:$ND$60=V$4)*(GMW!$NF$2:$NF$60=V$1),0),$F208-1966)</f>
        <v>36522.29</v>
      </c>
      <c r="W208" s="4" cm="1">
        <f t="array" ref="W208">INDEX(GMW!$A$2:$NF$60,MATCH(1,(GMW!$NE$2:$NE$60=W$3)*(GMW!$ND$2:$ND$60=W$4)*(GMW!$NF$2:$NF$60=W$1),0),$F208-1966)</f>
        <v>1343245</v>
      </c>
      <c r="X208" s="4" cm="1">
        <f t="array" ref="X208">INDEX(GMW!$A$2:$NF$60,MATCH(1,(GMW!$NE$2:$NE$60=X$3)*(GMW!$ND$2:$ND$60=X$4)*(GMW!$NF$2:$NF$60=X$1),0),$F208-1966)</f>
        <v>2417.4929999999999</v>
      </c>
      <c r="Y208" s="4" cm="1">
        <f t="array" ref="Y208">INDEX(GMW!$A$2:$NF$60,MATCH(1,(GMW!$NE$2:$NE$60=Y$3)*(GMW!$ND$2:$ND$60=Y$4)*(GMW!$NF$2:$NF$60=Y$1),0),$F208-1966)</f>
        <v>3365.7179999999998</v>
      </c>
      <c r="Z208" s="4" cm="1">
        <f t="array" ref="Z208">INDEX(GMW!$A$2:$NF$60,MATCH(1,(GMW!$NE$2:$NE$60=Z$3)*(GMW!$ND$2:$ND$60=Z$4)*(GMW!$NF$2:$NF$60=Z$1),0),$F208-1966)</f>
        <v>3030.125</v>
      </c>
      <c r="AA208" s="4" cm="1">
        <f t="array" ref="AA208">INDEX(GMW!$A$2:$NF$60,MATCH(1,(GMW!$NE$2:$NE$60=AA$3)*(GMW!$ND$2:$ND$60=AA$4)*(GMW!$NF$2:$NF$60=AA$1),0),$F208-1966)</f>
        <v>2881860</v>
      </c>
      <c r="AB208" s="4" cm="1">
        <f t="array" ref="AB208">INDEX(GMW!$A$2:$NF$60,MATCH(1,(GMW!$NE$2:$NE$60=AB$3)*(GMW!$ND$2:$ND$60=AB$4)*(GMW!$NF$2:$NF$60=AB$1),0),$F208-1966)</f>
        <v>677760</v>
      </c>
      <c r="AC208" s="4" cm="1">
        <f t="array" ref="AC208">INDEX(GMW!$A$2:$NF$60,MATCH(1,(GMW!$NE$2:$NE$60=AC$3)*(GMW!$ND$2:$ND$60=AC$4)*(GMW!$NF$2:$NF$60=AC$1),0),$F208-1966)</f>
        <v>6863.45</v>
      </c>
      <c r="AD208" s="4" cm="1">
        <f t="array" ref="AD208">INDEX(GMW!$A$2:$NF$60,MATCH(1,(GMW!$NE$2:$NE$60=AD$3)*(GMW!$ND$2:$ND$60=AD$4)*(GMW!$NF$2:$NF$60=AD$1),0),$F208-1966)</f>
        <v>148264.5</v>
      </c>
      <c r="AE208" s="4" cm="1">
        <f t="array" ref="AE208">INDEX(GMW!$A$2:$NF$60,MATCH(1,(GMW!$NE$2:$NE$60=AE$3)*(GMW!$ND$2:$ND$60=AE$4)*(GMW!$NF$2:$NF$60=AE$1),0),$F208-1966)</f>
        <v>1050.287</v>
      </c>
      <c r="AF208" s="4" cm="1">
        <f t="array" ref="AF208">INDEX(GMW!$A$2:$NF$60,MATCH(1,(GMW!$NE$2:$NE$60=AF$3)*(GMW!$ND$2:$ND$60=AF$4)*(GMW!$NF$2:$NF$60=AF$1),0),$F208-1966)</f>
        <v>706.85599999999999</v>
      </c>
      <c r="AG208" s="4" cm="1">
        <f t="array" ref="AG208">INDEX(GMW!$A$2:$NF$60,MATCH(1,(GMW!$NE$2:$NE$60=AG$3)*(GMW!$ND$2:$ND$60=AG$4)*(GMW!$NF$2:$NF$60=AG$1),0),$F208-1966)</f>
        <v>533.02099999999996</v>
      </c>
      <c r="AH208" s="4" cm="1">
        <f t="array" ref="AH208">INDEX(GMW!$A$2:$NF$60,MATCH(1,(GMW!$NE$2:$NE$60=AH$3)*(GMW!$ND$2:$ND$60=AH$4)*(GMW!$NF$2:$NF$60=AH$1),0),$F208-1966)</f>
        <v>726105</v>
      </c>
    </row>
    <row r="209" spans="1:34" x14ac:dyDescent="0.25">
      <c r="B209" s="4">
        <f t="shared" si="68"/>
        <v>2023</v>
      </c>
      <c r="C209" s="4">
        <f t="shared" si="68"/>
        <v>2023</v>
      </c>
      <c r="F209" s="4">
        <f t="shared" si="59"/>
        <v>2175</v>
      </c>
      <c r="G209" s="4" cm="1">
        <f t="array" ref="G209">INDEX(GMW!$A$2:$NF$60,MATCH(1,(GMW!$NE$2:$NE$60=G$3)*(GMW!$ND$2:$ND$60=G$4)*(GMW!$NF$2:$NF$60=G$1),0),$F209-1966)</f>
        <v>634327</v>
      </c>
      <c r="H209" s="4" cm="1">
        <f t="array" ref="H209">INDEX(GMW!$A$2:$NF$60,MATCH(1,(GMW!$NE$2:$NE$60=H$3)*(GMW!$ND$2:$ND$60=H$4)*(GMW!$NF$2:$NF$60=H$1),0),$F209-1966)</f>
        <v>5695.2250000000004</v>
      </c>
      <c r="I209" s="4" cm="1">
        <f t="array" ref="I209">INDEX(GMW!$A$2:$NF$60,MATCH(1,(GMW!$NE$2:$NE$60=I$3)*(GMW!$ND$2:$ND$60=I$4)*(GMW!$NF$2:$NF$60=I$1),0),$F209-1966)</f>
        <v>138394.4</v>
      </c>
      <c r="J209" s="4" cm="1">
        <f t="array" ref="J209">INDEX(GMW!$A$2:$NF$60,MATCH(1,(GMW!$NE$2:$NE$60=J$3)*(GMW!$ND$2:$ND$60=J$4)*(GMW!$NF$2:$NF$60=J$1),0),$F209-1966)</f>
        <v>905.4</v>
      </c>
      <c r="K209" s="4" cm="1">
        <f t="array" ref="K209">INDEX(GMW!$A$2:$NF$60,MATCH(1,(GMW!$NE$2:$NE$60=K$3)*(GMW!$ND$2:$ND$60=K$4)*(GMW!$NF$2:$NF$60=K$1),0),$F209-1966)</f>
        <v>647.78300000000002</v>
      </c>
      <c r="L209" s="4" cm="1">
        <f t="array" ref="L209">INDEX(GMW!$A$2:$NF$60,MATCH(1,(GMW!$NE$2:$NE$60=L$3)*(GMW!$ND$2:$ND$60=L$4)*(GMW!$NF$2:$NF$60=L$1),0),$F209-1966)</f>
        <v>480.33600000000001</v>
      </c>
      <c r="M209" s="4" cm="1">
        <f t="array" ref="M209">INDEX(GMW!$A$2:$NF$60,MATCH(1,(GMW!$NE$2:$NE$60=M$3)*(GMW!$ND$2:$ND$60=M$4)*(GMW!$NF$2:$NF$60=M$1),0),$F209-1966)</f>
        <v>595994.80000000005</v>
      </c>
      <c r="N209" s="4" cm="1">
        <f t="array" ref="N209">INDEX(GMW!$A$2:$NF$60,MATCH(1,(GMW!$NE$2:$NE$60=N$3)*(GMW!$ND$2:$ND$60=N$4)*(GMW!$NF$2:$NF$60=N$1),0),$F209-1966)</f>
        <v>-29024</v>
      </c>
      <c r="O209" s="4" cm="1">
        <f t="array" ref="O209">INDEX(GMW!$A$2:$NF$60,MATCH(1,(GMW!$NE$2:$NE$60=O$3)*(GMW!$ND$2:$ND$60=O$4)*(GMW!$NF$2:$NF$60=O$1),0),$F209-1966)</f>
        <v>-548.08119999999997</v>
      </c>
      <c r="P209" s="4" cm="1">
        <f t="array" ref="P209">INDEX(GMW!$A$2:$NF$60,MATCH(1,(GMW!$NE$2:$NE$60=P$3)*(GMW!$ND$2:$ND$60=P$4)*(GMW!$NF$2:$NF$60=P$1),0),$F209-1966)</f>
        <v>-2557</v>
      </c>
      <c r="Q209" s="4" cm="1">
        <f t="array" ref="Q209">INDEX(GMW!$A$2:$NF$60,MATCH(1,(GMW!$NE$2:$NE$60=Q$3)*(GMW!$ND$2:$ND$60=Q$4)*(GMW!$NF$2:$NF$60=Q$1),0),$F209-1966)</f>
        <v>-24.146000000000001</v>
      </c>
      <c r="R209" s="4" cm="1">
        <f t="array" ref="R209">INDEX(GMW!$A$2:$NF$60,MATCH(1,(GMW!$NE$2:$NE$60=R$3)*(GMW!$ND$2:$ND$60=R$4)*(GMW!$NF$2:$NF$60=R$1),0),$F209-1966)</f>
        <v>-39.802</v>
      </c>
      <c r="S209" s="4" cm="1">
        <f t="array" ref="S209">INDEX(GMW!$A$2:$NF$60,MATCH(1,(GMW!$NE$2:$NE$60=S$3)*(GMW!$ND$2:$ND$60=S$4)*(GMW!$NF$2:$NF$60=S$1),0),$F209-1966)</f>
        <v>-39.05659</v>
      </c>
      <c r="T209" s="4" cm="1">
        <f t="array" ref="T209">INDEX(GMW!$A$2:$NF$60,MATCH(1,(GMW!$NE$2:$NE$60=T$3)*(GMW!$ND$2:$ND$60=T$4)*(GMW!$NF$2:$NF$60=T$1),0),$F209-1966)</f>
        <v>1888</v>
      </c>
      <c r="U209" s="4" cm="1">
        <f t="array" ref="U209">INDEX(GMW!$A$2:$NF$60,MATCH(1,(GMW!$NE$2:$NE$60=U$3)*(GMW!$ND$2:$ND$60=U$4)*(GMW!$NF$2:$NF$60=U$1),0),$F209-1966)</f>
        <v>2654355</v>
      </c>
      <c r="V209" s="4" cm="1">
        <f t="array" ref="V209">INDEX(GMW!$A$2:$NF$60,MATCH(1,(GMW!$NE$2:$NE$60=V$3)*(GMW!$ND$2:$ND$60=V$4)*(GMW!$NF$2:$NF$60=V$1),0),$F209-1966)</f>
        <v>37630.239999999998</v>
      </c>
      <c r="W209" s="4" cm="1">
        <f t="array" ref="W209">INDEX(GMW!$A$2:$NF$60,MATCH(1,(GMW!$NE$2:$NE$60=W$3)*(GMW!$ND$2:$ND$60=W$4)*(GMW!$NF$2:$NF$60=W$1),0),$F209-1966)</f>
        <v>1342136</v>
      </c>
      <c r="X209" s="4" cm="1">
        <f t="array" ref="X209">INDEX(GMW!$A$2:$NF$60,MATCH(1,(GMW!$NE$2:$NE$60=X$3)*(GMW!$ND$2:$ND$60=X$4)*(GMW!$NF$2:$NF$60=X$1),0),$F209-1966)</f>
        <v>2453.788</v>
      </c>
      <c r="Y209" s="4" cm="1">
        <f t="array" ref="Y209">INDEX(GMW!$A$2:$NF$60,MATCH(1,(GMW!$NE$2:$NE$60=Y$3)*(GMW!$ND$2:$ND$60=Y$4)*(GMW!$NF$2:$NF$60=Y$1),0),$F209-1966)</f>
        <v>3349.4229999999998</v>
      </c>
      <c r="Z209" s="4" cm="1">
        <f t="array" ref="Z209">INDEX(GMW!$A$2:$NF$60,MATCH(1,(GMW!$NE$2:$NE$60=Z$3)*(GMW!$ND$2:$ND$60=Z$4)*(GMW!$NF$2:$NF$60=Z$1),0),$F209-1966)</f>
        <v>3095.279</v>
      </c>
      <c r="AA209" s="4" cm="1">
        <f t="array" ref="AA209">INDEX(GMW!$A$2:$NF$60,MATCH(1,(GMW!$NE$2:$NE$60=AA$3)*(GMW!$ND$2:$ND$60=AA$4)*(GMW!$NF$2:$NF$60=AA$1),0),$F209-1966)</f>
        <v>2855522</v>
      </c>
      <c r="AB209" s="4" cm="1">
        <f t="array" ref="AB209">INDEX(GMW!$A$2:$NF$60,MATCH(1,(GMW!$NE$2:$NE$60=AB$3)*(GMW!$ND$2:$ND$60=AB$4)*(GMW!$NF$2:$NF$60=AB$1),0),$F209-1966)</f>
        <v>683791</v>
      </c>
      <c r="AC209" s="4" cm="1">
        <f t="array" ref="AC209">INDEX(GMW!$A$2:$NF$60,MATCH(1,(GMW!$NE$2:$NE$60=AC$3)*(GMW!$ND$2:$ND$60=AC$4)*(GMW!$NF$2:$NF$60=AC$1),0),$F209-1966)</f>
        <v>6991.9250000000002</v>
      </c>
      <c r="AD209" s="4" cm="1">
        <f t="array" ref="AD209">INDEX(GMW!$A$2:$NF$60,MATCH(1,(GMW!$NE$2:$NE$60=AD$3)*(GMW!$ND$2:$ND$60=AD$4)*(GMW!$NF$2:$NF$60=AD$1),0),$F209-1966)</f>
        <v>148178.5</v>
      </c>
      <c r="AE209" s="4" cm="1">
        <f t="array" ref="AE209">INDEX(GMW!$A$2:$NF$60,MATCH(1,(GMW!$NE$2:$NE$60=AE$3)*(GMW!$ND$2:$ND$60=AE$4)*(GMW!$NF$2:$NF$60=AE$1),0),$F209-1966)</f>
        <v>1060.2159999999999</v>
      </c>
      <c r="AF209" s="4" cm="1">
        <f t="array" ref="AF209">INDEX(GMW!$A$2:$NF$60,MATCH(1,(GMW!$NE$2:$NE$60=AF$3)*(GMW!$ND$2:$ND$60=AF$4)*(GMW!$NF$2:$NF$60=AF$1),0),$F209-1966)</f>
        <v>711.46900000000005</v>
      </c>
      <c r="AG209" s="4" cm="1">
        <f t="array" ref="AG209">INDEX(GMW!$A$2:$NF$60,MATCH(1,(GMW!$NE$2:$NE$60=AG$3)*(GMW!$ND$2:$ND$60=AG$4)*(GMW!$NF$2:$NF$60=AG$1),0),$F209-1966)</f>
        <v>535.57799999999997</v>
      </c>
      <c r="AH209" s="4" cm="1">
        <f t="array" ref="AH209">INDEX(GMW!$A$2:$NF$60,MATCH(1,(GMW!$NE$2:$NE$60=AH$3)*(GMW!$ND$2:$ND$60=AH$4)*(GMW!$NF$2:$NF$60=AH$1),0),$F209-1966)</f>
        <v>737792</v>
      </c>
    </row>
    <row r="210" spans="1:34" x14ac:dyDescent="0.25">
      <c r="B210" s="4">
        <f t="shared" si="68"/>
        <v>2023</v>
      </c>
      <c r="C210" s="4">
        <f t="shared" si="68"/>
        <v>2023</v>
      </c>
      <c r="E210" s="4">
        <f t="shared" ref="E210" si="70">+E206+1</f>
        <v>2023</v>
      </c>
      <c r="F210" s="4">
        <f t="shared" si="59"/>
        <v>2176</v>
      </c>
      <c r="G210" s="4" cm="1">
        <f t="array" ref="G210">INDEX(GMW!$A$2:$NF$60,MATCH(1,(GMW!$NE$2:$NE$60=G$3)*(GMW!$ND$2:$ND$60=G$4)*(GMW!$NF$2:$NF$60=G$1),0),$F210-1966)</f>
        <v>633011</v>
      </c>
      <c r="H210" s="4" cm="1">
        <f t="array" ref="H210">INDEX(GMW!$A$2:$NF$60,MATCH(1,(GMW!$NE$2:$NE$60=H$3)*(GMW!$ND$2:$ND$60=H$4)*(GMW!$NF$2:$NF$60=H$1),0),$F210-1966)</f>
        <v>5740.15</v>
      </c>
      <c r="I210" s="4" cm="1">
        <f t="array" ref="I210">INDEX(GMW!$A$2:$NF$60,MATCH(1,(GMW!$NE$2:$NE$60=I$3)*(GMW!$ND$2:$ND$60=I$4)*(GMW!$NF$2:$NF$60=I$1),0),$F210-1966)</f>
        <v>138327.20000000001</v>
      </c>
      <c r="J210" s="4" cm="1">
        <f t="array" ref="J210">INDEX(GMW!$A$2:$NF$60,MATCH(1,(GMW!$NE$2:$NE$60=J$3)*(GMW!$ND$2:$ND$60=J$4)*(GMW!$NF$2:$NF$60=J$1),0),$F210-1966)</f>
        <v>902.9</v>
      </c>
      <c r="K210" s="4" cm="1">
        <f t="array" ref="K210">INDEX(GMW!$A$2:$NF$60,MATCH(1,(GMW!$NE$2:$NE$60=K$3)*(GMW!$ND$2:$ND$60=K$4)*(GMW!$NF$2:$NF$60=K$1),0),$F210-1966)</f>
        <v>650.61</v>
      </c>
      <c r="L210" s="4" cm="1">
        <f t="array" ref="L210">INDEX(GMW!$A$2:$NF$60,MATCH(1,(GMW!$NE$2:$NE$60=L$3)*(GMW!$ND$2:$ND$60=L$4)*(GMW!$NF$2:$NF$60=L$1),0),$F210-1966)</f>
        <v>481.13299999999998</v>
      </c>
      <c r="M210" s="4" cm="1">
        <f t="array" ref="M210">INDEX(GMW!$A$2:$NF$60,MATCH(1,(GMW!$NE$2:$NE$60=M$3)*(GMW!$ND$2:$ND$60=M$4)*(GMW!$NF$2:$NF$60=M$1),0),$F210-1966)</f>
        <v>597039.30000000005</v>
      </c>
      <c r="N210" s="4" cm="1">
        <f t="array" ref="N210">INDEX(GMW!$A$2:$NF$60,MATCH(1,(GMW!$NE$2:$NE$60=N$3)*(GMW!$ND$2:$ND$60=N$4)*(GMW!$NF$2:$NF$60=N$1),0),$F210-1966)</f>
        <v>-38700</v>
      </c>
      <c r="O210" s="4" cm="1">
        <f t="array" ref="O210">INDEX(GMW!$A$2:$NF$60,MATCH(1,(GMW!$NE$2:$NE$60=O$3)*(GMW!$ND$2:$ND$60=O$4)*(GMW!$NF$2:$NF$60=O$1),0),$F210-1966)</f>
        <v>-501.68729999999999</v>
      </c>
      <c r="P210" s="4" cm="1">
        <f t="array" ref="P210">INDEX(GMW!$A$2:$NF$60,MATCH(1,(GMW!$NE$2:$NE$60=P$3)*(GMW!$ND$2:$ND$60=P$4)*(GMW!$NF$2:$NF$60=P$1),0),$F210-1966)</f>
        <v>-1714</v>
      </c>
      <c r="Q210" s="4" cm="1">
        <f t="array" ref="Q210">INDEX(GMW!$A$2:$NF$60,MATCH(1,(GMW!$NE$2:$NE$60=Q$3)*(GMW!$ND$2:$ND$60=Q$4)*(GMW!$NF$2:$NF$60=Q$1),0),$F210-1966)</f>
        <v>-30.988</v>
      </c>
      <c r="R210" s="4" cm="1">
        <f t="array" ref="R210">INDEX(GMW!$A$2:$NF$60,MATCH(1,(GMW!$NE$2:$NE$60=R$3)*(GMW!$ND$2:$ND$60=R$4)*(GMW!$NF$2:$NF$60=R$1),0),$F210-1966)</f>
        <v>-41.04</v>
      </c>
      <c r="S210" s="4" cm="1">
        <f t="array" ref="S210">INDEX(GMW!$A$2:$NF$60,MATCH(1,(GMW!$NE$2:$NE$60=S$3)*(GMW!$ND$2:$ND$60=S$4)*(GMW!$NF$2:$NF$60=S$1),0),$F210-1966)</f>
        <v>-32.680219999999998</v>
      </c>
      <c r="T210" s="4" cm="1">
        <f t="array" ref="T210">INDEX(GMW!$A$2:$NF$60,MATCH(1,(GMW!$NE$2:$NE$60=T$3)*(GMW!$ND$2:$ND$60=T$4)*(GMW!$NF$2:$NF$60=T$1),0),$F210-1966)</f>
        <v>-3044</v>
      </c>
      <c r="U210" s="4" cm="1">
        <f t="array" ref="U210">INDEX(GMW!$A$2:$NF$60,MATCH(1,(GMW!$NE$2:$NE$60=U$3)*(GMW!$ND$2:$ND$60=U$4)*(GMW!$NF$2:$NF$60=U$1),0),$F210-1966)</f>
        <v>2721026</v>
      </c>
      <c r="V210" s="4" cm="1">
        <f t="array" ref="V210">INDEX(GMW!$A$2:$NF$60,MATCH(1,(GMW!$NE$2:$NE$60=V$3)*(GMW!$ND$2:$ND$60=V$4)*(GMW!$NF$2:$NF$60=V$1),0),$F210-1966)</f>
        <v>38131.93</v>
      </c>
      <c r="W210" s="4" cm="1">
        <f t="array" ref="W210">INDEX(GMW!$A$2:$NF$60,MATCH(1,(GMW!$NE$2:$NE$60=W$3)*(GMW!$ND$2:$ND$60=W$4)*(GMW!$NF$2:$NF$60=W$1),0),$F210-1966)</f>
        <v>1341028</v>
      </c>
      <c r="X210" s="4" cm="1">
        <f t="array" ref="X210">INDEX(GMW!$A$2:$NF$60,MATCH(1,(GMW!$NE$2:$NE$60=X$3)*(GMW!$ND$2:$ND$60=X$4)*(GMW!$NF$2:$NF$60=X$1),0),$F210-1966)</f>
        <v>2445.6909999999998</v>
      </c>
      <c r="Y210" s="4" cm="1">
        <f t="array" ref="Y210">INDEX(GMW!$A$2:$NF$60,MATCH(1,(GMW!$NE$2:$NE$60=Y$3)*(GMW!$ND$2:$ND$60=Y$4)*(GMW!$NF$2:$NF$60=Y$1),0),$F210-1966)</f>
        <v>3470.0250000000001</v>
      </c>
      <c r="Z210" s="4" cm="1">
        <f t="array" ref="Z210">INDEX(GMW!$A$2:$NF$60,MATCH(1,(GMW!$NE$2:$NE$60=Z$3)*(GMW!$ND$2:$ND$60=Z$4)*(GMW!$NF$2:$NF$60=Z$1),0),$F210-1966)</f>
        <v>3160.433</v>
      </c>
      <c r="AA210" s="4" cm="1">
        <f t="array" ref="AA210">INDEX(GMW!$A$2:$NF$60,MATCH(1,(GMW!$NE$2:$NE$60=AA$3)*(GMW!$ND$2:$ND$60=AA$4)*(GMW!$NF$2:$NF$60=AA$1),0),$F210-1966)</f>
        <v>3052045</v>
      </c>
      <c r="AB210" s="4" cm="1">
        <f t="array" ref="AB210">INDEX(GMW!$A$2:$NF$60,MATCH(1,(GMW!$NE$2:$NE$60=AB$3)*(GMW!$ND$2:$ND$60=AB$4)*(GMW!$NF$2:$NF$60=AB$1),0),$F210-1966)</f>
        <v>683669</v>
      </c>
      <c r="AC210" s="4" cm="1">
        <f t="array" ref="AC210">INDEX(GMW!$A$2:$NF$60,MATCH(1,(GMW!$NE$2:$NE$60=AC$3)*(GMW!$ND$2:$ND$60=AC$4)*(GMW!$NF$2:$NF$60=AC$1),0),$F210-1966)</f>
        <v>7074.25</v>
      </c>
      <c r="AD210" s="4" cm="1">
        <f t="array" ref="AD210">INDEX(GMW!$A$2:$NF$60,MATCH(1,(GMW!$NE$2:$NE$60=AD$3)*(GMW!$ND$2:$ND$60=AD$4)*(GMW!$NF$2:$NF$60=AD$1),0),$F210-1966)</f>
        <v>148685.29999999999</v>
      </c>
      <c r="AE210" s="4" cm="1">
        <f t="array" ref="AE210">INDEX(GMW!$A$2:$NF$60,MATCH(1,(GMW!$NE$2:$NE$60=AE$3)*(GMW!$ND$2:$ND$60=AE$4)*(GMW!$NF$2:$NF$60=AE$1),0),$F210-1966)</f>
        <v>1071.317</v>
      </c>
      <c r="AF210" s="4" cm="1">
        <f t="array" ref="AF210">INDEX(GMW!$A$2:$NF$60,MATCH(1,(GMW!$NE$2:$NE$60=AF$3)*(GMW!$ND$2:$ND$60=AF$4)*(GMW!$NF$2:$NF$60=AF$1),0),$F210-1966)</f>
        <v>720.59900000000005</v>
      </c>
      <c r="AG210" s="4" cm="1">
        <f t="array" ref="AG210">INDEX(GMW!$A$2:$NF$60,MATCH(1,(GMW!$NE$2:$NE$60=AG$3)*(GMW!$ND$2:$ND$60=AG$4)*(GMW!$NF$2:$NF$60=AG$1),0),$F210-1966)</f>
        <v>538.66</v>
      </c>
      <c r="AH210" s="4" cm="1">
        <f t="array" ref="AH210">INDEX(GMW!$A$2:$NF$60,MATCH(1,(GMW!$NE$2:$NE$60=AH$3)*(GMW!$ND$2:$ND$60=AH$4)*(GMW!$NF$2:$NF$60=AH$1),0),$F210-1966)</f>
        <v>749129</v>
      </c>
    </row>
    <row r="211" spans="1:34" x14ac:dyDescent="0.25">
      <c r="A211" s="4">
        <v>2024</v>
      </c>
      <c r="B211" s="4">
        <f t="shared" si="68"/>
        <v>2024</v>
      </c>
      <c r="C211" s="4">
        <f t="shared" si="68"/>
        <v>2023</v>
      </c>
      <c r="D211" s="4">
        <f t="shared" si="68"/>
        <v>2023</v>
      </c>
      <c r="F211" s="4">
        <f t="shared" si="59"/>
        <v>2177</v>
      </c>
      <c r="G211" s="4" cm="1">
        <f t="array" ref="G211">INDEX(GMW!$A$2:$NF$60,MATCH(1,(GMW!$NE$2:$NE$60=G$3)*(GMW!$ND$2:$ND$60=G$4)*(GMW!$NF$2:$NF$60=G$1),0),$F211-1966)</f>
        <v>638746</v>
      </c>
      <c r="H211" s="4" cm="1">
        <f t="array" ref="H211">INDEX(GMW!$A$2:$NF$60,MATCH(1,(GMW!$NE$2:$NE$60=H$3)*(GMW!$ND$2:$ND$60=H$4)*(GMW!$NF$2:$NF$60=H$1),0),$F211-1966)</f>
        <v>5763.375</v>
      </c>
      <c r="I211" s="4" cm="1">
        <f t="array" ref="I211">INDEX(GMW!$A$2:$NF$60,MATCH(1,(GMW!$NE$2:$NE$60=I$3)*(GMW!$ND$2:$ND$60=I$4)*(GMW!$NF$2:$NF$60=I$1),0),$F211-1966)</f>
        <v>137944.79999999999</v>
      </c>
      <c r="J211" s="4" cm="1">
        <f t="array" ref="J211">INDEX(GMW!$A$2:$NF$60,MATCH(1,(GMW!$NE$2:$NE$60=J$3)*(GMW!$ND$2:$ND$60=J$4)*(GMW!$NF$2:$NF$60=J$1),0),$F211-1966)</f>
        <v>901.93</v>
      </c>
      <c r="K211" s="4" cm="1">
        <f t="array" ref="K211">INDEX(GMW!$A$2:$NF$60,MATCH(1,(GMW!$NE$2:$NE$60=K$3)*(GMW!$ND$2:$ND$60=K$4)*(GMW!$NF$2:$NF$60=K$1),0),$F211-1966)</f>
        <v>651.40499999999997</v>
      </c>
      <c r="L211" s="4" cm="1">
        <f t="array" ref="L211">INDEX(GMW!$A$2:$NF$60,MATCH(1,(GMW!$NE$2:$NE$60=L$3)*(GMW!$ND$2:$ND$60=L$4)*(GMW!$NF$2:$NF$60=L$1),0),$F211-1966)</f>
        <v>481.89699999999999</v>
      </c>
      <c r="M211" s="4" cm="1">
        <f t="array" ref="M211">INDEX(GMW!$A$2:$NF$60,MATCH(1,(GMW!$NE$2:$NE$60=M$3)*(GMW!$ND$2:$ND$60=M$4)*(GMW!$NF$2:$NF$60=M$1),0),$F211-1966)</f>
        <v>600215.5</v>
      </c>
      <c r="N211" s="4" cm="1">
        <f t="array" ref="N211">INDEX(GMW!$A$2:$NF$60,MATCH(1,(GMW!$NE$2:$NE$60=N$3)*(GMW!$ND$2:$ND$60=N$4)*(GMW!$NF$2:$NF$60=N$1),0),$F211-1966)</f>
        <v>-10185</v>
      </c>
      <c r="O211" s="4" cm="1">
        <f t="array" ref="O211">INDEX(GMW!$A$2:$NF$60,MATCH(1,(GMW!$NE$2:$NE$60=O$3)*(GMW!$ND$2:$ND$60=O$4)*(GMW!$NF$2:$NF$60=O$1),0),$F211-1966)</f>
        <v>-517.42819999999995</v>
      </c>
      <c r="P211" s="4" cm="1">
        <f t="array" ref="P211">INDEX(GMW!$A$2:$NF$60,MATCH(1,(GMW!$NE$2:$NE$60=P$3)*(GMW!$ND$2:$ND$60=P$4)*(GMW!$NF$2:$NF$60=P$1),0),$F211-1966)</f>
        <v>-4476</v>
      </c>
      <c r="Q211" s="4" cm="1">
        <f t="array" ref="Q211">INDEX(GMW!$A$2:$NF$60,MATCH(1,(GMW!$NE$2:$NE$60=Q$3)*(GMW!$ND$2:$ND$60=Q$4)*(GMW!$NF$2:$NF$60=Q$1),0),$F211-1966)</f>
        <v>-33.360999999999997</v>
      </c>
      <c r="R211" s="4" cm="1">
        <f t="array" ref="R211">INDEX(GMW!$A$2:$NF$60,MATCH(1,(GMW!$NE$2:$NE$60=R$3)*(GMW!$ND$2:$ND$60=R$4)*(GMW!$NF$2:$NF$60=R$1),0),$F211-1966)</f>
        <v>-41.633000000000003</v>
      </c>
      <c r="S211" s="4" cm="1">
        <f t="array" ref="S211">INDEX(GMW!$A$2:$NF$60,MATCH(1,(GMW!$NE$2:$NE$60=S$3)*(GMW!$ND$2:$ND$60=S$4)*(GMW!$NF$2:$NF$60=S$1),0),$F211-1966)</f>
        <v>-26.265979999999999</v>
      </c>
      <c r="T211" s="4" cm="1">
        <f t="array" ref="T211">INDEX(GMW!$A$2:$NF$60,MATCH(1,(GMW!$NE$2:$NE$60=T$3)*(GMW!$ND$2:$ND$60=T$4)*(GMW!$NF$2:$NF$60=T$1),0),$F211-1966)</f>
        <v>-25895</v>
      </c>
      <c r="U211" s="4" cm="1">
        <f t="array" ref="U211">INDEX(GMW!$A$2:$NF$60,MATCH(1,(GMW!$NE$2:$NE$60=U$3)*(GMW!$ND$2:$ND$60=U$4)*(GMW!$NF$2:$NF$60=U$1),0),$F211-1966)</f>
        <v>2736518</v>
      </c>
      <c r="V211" s="4" cm="1">
        <f t="array" ref="V211">INDEX(GMW!$A$2:$NF$60,MATCH(1,(GMW!$NE$2:$NE$60=V$3)*(GMW!$ND$2:$ND$60=V$4)*(GMW!$NF$2:$NF$60=V$1),0),$F211-1966)</f>
        <v>38649.360000000001</v>
      </c>
      <c r="W211" s="4" cm="1">
        <f t="array" ref="W211">INDEX(GMW!$A$2:$NF$60,MATCH(1,(GMW!$NE$2:$NE$60=W$3)*(GMW!$ND$2:$ND$60=W$4)*(GMW!$NF$2:$NF$60=W$1),0),$F211-1966)</f>
        <v>1345504</v>
      </c>
      <c r="X211" s="4" cm="1">
        <f t="array" ref="X211">INDEX(GMW!$A$2:$NF$60,MATCH(1,(GMW!$NE$2:$NE$60=X$3)*(GMW!$ND$2:$ND$60=X$4)*(GMW!$NF$2:$NF$60=X$1),0),$F211-1966)</f>
        <v>2461.471</v>
      </c>
      <c r="Y211" s="4" cm="1">
        <f t="array" ref="Y211">INDEX(GMW!$A$2:$NF$60,MATCH(1,(GMW!$NE$2:$NE$60=Y$3)*(GMW!$ND$2:$ND$60=Y$4)*(GMW!$NF$2:$NF$60=Y$1),0),$F211-1966)</f>
        <v>3542.1950000000002</v>
      </c>
      <c r="Z211" s="4" cm="1">
        <f t="array" ref="Z211">INDEX(GMW!$A$2:$NF$60,MATCH(1,(GMW!$NE$2:$NE$60=Z$3)*(GMW!$ND$2:$ND$60=Z$4)*(GMW!$NF$2:$NF$60=Z$1),0),$F211-1966)</f>
        <v>3184.1579999999999</v>
      </c>
      <c r="AA211" s="4" cm="1">
        <f t="array" ref="AA211">INDEX(GMW!$A$2:$NF$60,MATCH(1,(GMW!$NE$2:$NE$60=AA$3)*(GMW!$ND$2:$ND$60=AA$4)*(GMW!$NF$2:$NF$60=AA$1),0),$F211-1966)</f>
        <v>3086879</v>
      </c>
      <c r="AB211" s="4" cm="1">
        <f t="array" ref="AB211">INDEX(GMW!$A$2:$NF$60,MATCH(1,(GMW!$NE$2:$NE$60=AB$3)*(GMW!$ND$2:$ND$60=AB$4)*(GMW!$NF$2:$NF$60=AB$1),0),$F211-1966)</f>
        <v>698228</v>
      </c>
      <c r="AC211" s="4" cm="1">
        <f t="array" ref="AC211">INDEX(GMW!$A$2:$NF$60,MATCH(1,(GMW!$NE$2:$NE$60=AC$3)*(GMW!$ND$2:$ND$60=AC$4)*(GMW!$NF$2:$NF$60=AC$1),0),$F211-1966)</f>
        <v>7156.0249999999996</v>
      </c>
      <c r="AD211" s="4" cm="1">
        <f t="array" ref="AD211">INDEX(GMW!$A$2:$NF$60,MATCH(1,(GMW!$NE$2:$NE$60=AD$3)*(GMW!$ND$2:$ND$60=AD$4)*(GMW!$NF$2:$NF$60=AD$1),0),$F211-1966)</f>
        <v>148627.1</v>
      </c>
      <c r="AE211" s="4" cm="1">
        <f t="array" ref="AE211">INDEX(GMW!$A$2:$NF$60,MATCH(1,(GMW!$NE$2:$NE$60=AE$3)*(GMW!$ND$2:$ND$60=AE$4)*(GMW!$NF$2:$NF$60=AE$1),0),$F211-1966)</f>
        <v>1074.528</v>
      </c>
      <c r="AF211" s="4" cm="1">
        <f t="array" ref="AF211">INDEX(GMW!$A$2:$NF$60,MATCH(1,(GMW!$NE$2:$NE$60=AF$3)*(GMW!$ND$2:$ND$60=AF$4)*(GMW!$NF$2:$NF$60=AF$1),0),$F211-1966)</f>
        <v>724.41200000000003</v>
      </c>
      <c r="AG211" s="4" cm="1">
        <f t="array" ref="AG211">INDEX(GMW!$A$2:$NF$60,MATCH(1,(GMW!$NE$2:$NE$60=AG$3)*(GMW!$ND$2:$ND$60=AG$4)*(GMW!$NF$2:$NF$60=AG$1),0),$F211-1966)</f>
        <v>543.70100000000002</v>
      </c>
      <c r="AH211" s="4" cm="1">
        <f t="array" ref="AH211">INDEX(GMW!$A$2:$NF$60,MATCH(1,(GMW!$NE$2:$NE$60=AH$3)*(GMW!$ND$2:$ND$60=AH$4)*(GMW!$NF$2:$NF$60=AH$1),0),$F211-1966)</f>
        <v>751172</v>
      </c>
    </row>
    <row r="212" spans="1:34" x14ac:dyDescent="0.25">
      <c r="B212" s="4">
        <f t="shared" si="68"/>
        <v>2024</v>
      </c>
      <c r="C212" s="4">
        <f t="shared" si="68"/>
        <v>2024</v>
      </c>
      <c r="F212" s="4">
        <f t="shared" si="59"/>
        <v>2178</v>
      </c>
      <c r="G212" s="4" cm="1">
        <f t="array" ref="G212">INDEX(GMW!$A$2:$NF$60,MATCH(1,(GMW!$NE$2:$NE$60=G$3)*(GMW!$ND$2:$ND$60=G$4)*(GMW!$NF$2:$NF$60=G$1),0),$F212-1966)</f>
        <v>641670</v>
      </c>
      <c r="H212" s="4" cm="1">
        <f t="array" ref="H212">INDEX(GMW!$A$2:$NF$60,MATCH(1,(GMW!$NE$2:$NE$60=H$3)*(GMW!$ND$2:$ND$60=H$4)*(GMW!$NF$2:$NF$60=H$1),0),$F212-1966)</f>
        <v>5805.9750000000004</v>
      </c>
      <c r="I212" s="4" cm="1">
        <f t="array" ref="I212">INDEX(GMW!$A$2:$NF$60,MATCH(1,(GMW!$NE$2:$NE$60=I$3)*(GMW!$ND$2:$ND$60=I$4)*(GMW!$NF$2:$NF$60=I$1),0),$F212-1966)</f>
        <v>138965.4</v>
      </c>
      <c r="J212" s="4" cm="1">
        <f t="array" ref="J212">INDEX(GMW!$A$2:$NF$60,MATCH(1,(GMW!$NE$2:$NE$60=J$3)*(GMW!$ND$2:$ND$60=J$4)*(GMW!$NF$2:$NF$60=J$1),0),$F212-1966)</f>
        <v>899.6</v>
      </c>
      <c r="K212" s="4" cm="1">
        <f t="array" ref="K212">INDEX(GMW!$A$2:$NF$60,MATCH(1,(GMW!$NE$2:$NE$60=K$3)*(GMW!$ND$2:$ND$60=K$4)*(GMW!$NF$2:$NF$60=K$1),0),$F212-1966)</f>
        <v>652.61699999999996</v>
      </c>
      <c r="L212" s="4" cm="1">
        <f t="array" ref="L212">INDEX(GMW!$A$2:$NF$60,MATCH(1,(GMW!$NE$2:$NE$60=L$3)*(GMW!$ND$2:$ND$60=L$4)*(GMW!$NF$2:$NF$60=L$1),0),$F212-1966)</f>
        <v>482.93299999999999</v>
      </c>
      <c r="M212" s="4" cm="1">
        <f t="array" ref="M212">INDEX(GMW!$A$2:$NF$60,MATCH(1,(GMW!$NE$2:$NE$60=M$3)*(GMW!$ND$2:$ND$60=M$4)*(GMW!$NF$2:$NF$60=M$1),0),$F212-1966)</f>
        <v>604005.5</v>
      </c>
      <c r="N212" s="4" cm="1">
        <f t="array" ref="N212">INDEX(GMW!$A$2:$NF$60,MATCH(1,(GMW!$NE$2:$NE$60=N$3)*(GMW!$ND$2:$ND$60=N$4)*(GMW!$NF$2:$NF$60=N$1),0),$F212-1966)</f>
        <v>-49863</v>
      </c>
      <c r="O212" s="4" cm="1">
        <f t="array" ref="O212">INDEX(GMW!$A$2:$NF$60,MATCH(1,(GMW!$NE$2:$NE$60=O$3)*(GMW!$ND$2:$ND$60=O$4)*(GMW!$NF$2:$NF$60=O$1),0),$F212-1966)</f>
        <v>-543.39779999999996</v>
      </c>
      <c r="P212" s="4" cm="1">
        <f t="array" ref="P212">INDEX(GMW!$A$2:$NF$60,MATCH(1,(GMW!$NE$2:$NE$60=P$3)*(GMW!$ND$2:$ND$60=P$4)*(GMW!$NF$2:$NF$60=P$1),0),$F212-1966)</f>
        <v>-2862</v>
      </c>
      <c r="Q212" s="4" cm="1">
        <f t="array" ref="Q212">INDEX(GMW!$A$2:$NF$60,MATCH(1,(GMW!$NE$2:$NE$60=Q$3)*(GMW!$ND$2:$ND$60=Q$4)*(GMW!$NF$2:$NF$60=Q$1),0),$F212-1966)</f>
        <v>-28.73</v>
      </c>
      <c r="R212" s="4" cm="1">
        <f t="array" ref="R212">INDEX(GMW!$A$2:$NF$60,MATCH(1,(GMW!$NE$2:$NE$60=R$3)*(GMW!$ND$2:$ND$60=R$4)*(GMW!$NF$2:$NF$60=R$1),0),$F212-1966)</f>
        <v>-40.98</v>
      </c>
      <c r="S212" s="4" cm="1">
        <f t="array" ref="S212">INDEX(GMW!$A$2:$NF$60,MATCH(1,(GMW!$NE$2:$NE$60=S$3)*(GMW!$ND$2:$ND$60=S$4)*(GMW!$NF$2:$NF$60=S$1),0),$F212-1966)</f>
        <v>-21.342610000000001</v>
      </c>
      <c r="T212" s="4" cm="1">
        <f t="array" ref="T212">INDEX(GMW!$A$2:$NF$60,MATCH(1,(GMW!$NE$2:$NE$60=T$3)*(GMW!$ND$2:$ND$60=T$4)*(GMW!$NF$2:$NF$60=T$1),0),$F212-1966)</f>
        <v>-46</v>
      </c>
      <c r="U212" s="4" cm="1">
        <f t="array" ref="U212">INDEX(GMW!$A$2:$NF$60,MATCH(1,(GMW!$NE$2:$NE$60=U$3)*(GMW!$ND$2:$ND$60=U$4)*(GMW!$NF$2:$NF$60=U$1),0),$F212-1966)</f>
        <v>2804499</v>
      </c>
      <c r="V212" s="4" cm="1">
        <f t="array" ref="V212">INDEX(GMW!$A$2:$NF$60,MATCH(1,(GMW!$NE$2:$NE$60=V$3)*(GMW!$ND$2:$ND$60=V$4)*(GMW!$NF$2:$NF$60=V$1),0),$F212-1966)</f>
        <v>39192.75</v>
      </c>
      <c r="W212" s="4" cm="1">
        <f t="array" ref="W212">INDEX(GMW!$A$2:$NF$60,MATCH(1,(GMW!$NE$2:$NE$60=W$3)*(GMW!$ND$2:$ND$60=W$4)*(GMW!$NF$2:$NF$60=W$1),0),$F212-1966)</f>
        <v>1348366</v>
      </c>
      <c r="X212" s="4" cm="1">
        <f t="array" ref="X212">INDEX(GMW!$A$2:$NF$60,MATCH(1,(GMW!$NE$2:$NE$60=X$3)*(GMW!$ND$2:$ND$60=X$4)*(GMW!$NF$2:$NF$60=X$1),0),$F212-1966)</f>
        <v>2460.0700000000002</v>
      </c>
      <c r="Y212" s="4" cm="1">
        <f t="array" ref="Y212">INDEX(GMW!$A$2:$NF$60,MATCH(1,(GMW!$NE$2:$NE$60=Y$3)*(GMW!$ND$2:$ND$60=Y$4)*(GMW!$NF$2:$NF$60=Y$1),0),$F212-1966)</f>
        <v>3563.3180000000002</v>
      </c>
      <c r="Z212" s="4" cm="1">
        <f t="array" ref="Z212">INDEX(GMW!$A$2:$NF$60,MATCH(1,(GMW!$NE$2:$NE$60=Z$3)*(GMW!$ND$2:$ND$60=Z$4)*(GMW!$NF$2:$NF$60=Z$1),0),$F212-1966)</f>
        <v>3207.884</v>
      </c>
      <c r="AA212" s="4" cm="1">
        <f t="array" ref="AA212">INDEX(GMW!$A$2:$NF$60,MATCH(1,(GMW!$NE$2:$NE$60=AA$3)*(GMW!$ND$2:$ND$60=AA$4)*(GMW!$NF$2:$NF$60=AA$1),0),$F212-1966)</f>
        <v>3133940</v>
      </c>
      <c r="AB212" s="4" cm="1">
        <f t="array" ref="AB212">INDEX(GMW!$A$2:$NF$60,MATCH(1,(GMW!$NE$2:$NE$60=AB$3)*(GMW!$ND$2:$ND$60=AB$4)*(GMW!$NF$2:$NF$60=AB$1),0),$F212-1966)</f>
        <v>706477</v>
      </c>
      <c r="AC212" s="4" cm="1">
        <f t="array" ref="AC212">INDEX(GMW!$A$2:$NF$60,MATCH(1,(GMW!$NE$2:$NE$60=AC$3)*(GMW!$ND$2:$ND$60=AC$4)*(GMW!$NF$2:$NF$60=AC$1),0),$F212-1966)</f>
        <v>7254.1750000000002</v>
      </c>
      <c r="AD212" s="4" cm="1">
        <f t="array" ref="AD212">INDEX(GMW!$A$2:$NF$60,MATCH(1,(GMW!$NE$2:$NE$60=AD$3)*(GMW!$ND$2:$ND$60=AD$4)*(GMW!$NF$2:$NF$60=AD$1),0),$F212-1966)</f>
        <v>151910.79999999999</v>
      </c>
      <c r="AE212" s="4" cm="1">
        <f t="array" ref="AE212">INDEX(GMW!$A$2:$NF$60,MATCH(1,(GMW!$NE$2:$NE$60=AE$3)*(GMW!$ND$2:$ND$60=AE$4)*(GMW!$NF$2:$NF$60=AE$1),0),$F212-1966)</f>
        <v>1078.2139999999999</v>
      </c>
      <c r="AF212" s="4" cm="1">
        <f t="array" ref="AF212">INDEX(GMW!$A$2:$NF$60,MATCH(1,(GMW!$NE$2:$NE$60=AF$3)*(GMW!$ND$2:$ND$60=AF$4)*(GMW!$NF$2:$NF$60=AF$1),0),$F212-1966)</f>
        <v>725.19799999999998</v>
      </c>
      <c r="AG212" s="4" cm="1">
        <f t="array" ref="AG212">INDEX(GMW!$A$2:$NF$60,MATCH(1,(GMW!$NE$2:$NE$60=AG$3)*(GMW!$ND$2:$ND$60=AG$4)*(GMW!$NF$2:$NF$60=AG$1),0),$F212-1966)</f>
        <v>545.22699999999998</v>
      </c>
      <c r="AH212" s="4" cm="1">
        <f t="array" ref="AH212">INDEX(GMW!$A$2:$NF$60,MATCH(1,(GMW!$NE$2:$NE$60=AH$3)*(GMW!$ND$2:$ND$60=AH$4)*(GMW!$NF$2:$NF$60=AH$1),0),$F212-1966)</f>
        <v>763813</v>
      </c>
    </row>
    <row r="213" spans="1:34" x14ac:dyDescent="0.25">
      <c r="B213" s="4">
        <f t="shared" si="68"/>
        <v>2024</v>
      </c>
      <c r="C213" s="4">
        <f t="shared" si="68"/>
        <v>2024</v>
      </c>
      <c r="F213" s="4">
        <f t="shared" si="59"/>
        <v>2179</v>
      </c>
      <c r="G213" s="4" cm="1">
        <f t="array" ref="G213">INDEX(GMW!$A$2:$NF$60,MATCH(1,(GMW!$NE$2:$NE$60=G$3)*(GMW!$ND$2:$ND$60=G$4)*(GMW!$NF$2:$NF$60=G$1),0),$F213-1966)</f>
        <v>641675</v>
      </c>
      <c r="H213" s="4" cm="1">
        <f t="array" ref="H213">INDEX(GMW!$A$2:$NF$60,MATCH(1,(GMW!$NE$2:$NE$60=H$3)*(GMW!$ND$2:$ND$60=H$4)*(GMW!$NF$2:$NF$60=H$1),0),$F213-1966)</f>
        <v>5850.0749999999998</v>
      </c>
      <c r="I213" s="4" cm="1">
        <f t="array" ref="I213">INDEX(GMW!$A$2:$NF$60,MATCH(1,(GMW!$NE$2:$NE$60=I$3)*(GMW!$ND$2:$ND$60=I$4)*(GMW!$NF$2:$NF$60=I$1),0),$F213-1966)</f>
        <v>139362.79999999999</v>
      </c>
      <c r="J213" s="4" cm="1">
        <f t="array" ref="J213">INDEX(GMW!$A$2:$NF$60,MATCH(1,(GMW!$NE$2:$NE$60=J$3)*(GMW!$ND$2:$ND$60=J$4)*(GMW!$NF$2:$NF$60=J$1),0),$F213-1966)</f>
        <v>899.78</v>
      </c>
      <c r="K213" s="4" cm="1">
        <f t="array" ref="K213">INDEX(GMW!$A$2:$NF$60,MATCH(1,(GMW!$NE$2:$NE$60=K$3)*(GMW!$ND$2:$ND$60=K$4)*(GMW!$NF$2:$NF$60=K$1),0),$F213-1966)</f>
        <v>655.01499999999999</v>
      </c>
      <c r="L213" s="4" cm="1">
        <f t="array" ref="L213">INDEX(GMW!$A$2:$NF$60,MATCH(1,(GMW!$NE$2:$NE$60=L$3)*(GMW!$ND$2:$ND$60=L$4)*(GMW!$NF$2:$NF$60=L$1),0),$F213-1966)</f>
        <v>482.95100000000002</v>
      </c>
      <c r="M213" s="4" cm="1">
        <f t="array" ref="M213">INDEX(GMW!$A$2:$NF$60,MATCH(1,(GMW!$NE$2:$NE$60=M$3)*(GMW!$ND$2:$ND$60=M$4)*(GMW!$NF$2:$NF$60=M$1),0),$F213-1966)</f>
        <v>607606.30000000005</v>
      </c>
      <c r="N213" s="4" cm="1">
        <f t="array" ref="N213">INDEX(GMW!$A$2:$NF$60,MATCH(1,(GMW!$NE$2:$NE$60=N$3)*(GMW!$ND$2:$ND$60=N$4)*(GMW!$NF$2:$NF$60=N$1),0),$F213-1966)</f>
        <v>-35908</v>
      </c>
      <c r="O213" s="4" cm="1">
        <f t="array" ref="O213">INDEX(GMW!$A$2:$NF$60,MATCH(1,(GMW!$NE$2:$NE$60=O$3)*(GMW!$ND$2:$ND$60=O$4)*(GMW!$NF$2:$NF$60=O$1),0),$F213-1966)</f>
        <v>-576.54380000000003</v>
      </c>
      <c r="P213" s="4" cm="1">
        <f t="array" ref="P213">INDEX(GMW!$A$2:$NF$60,MATCH(1,(GMW!$NE$2:$NE$60=P$3)*(GMW!$ND$2:$ND$60=P$4)*(GMW!$NF$2:$NF$60=P$1),0),$F213-1966)</f>
        <v>-2749.5</v>
      </c>
      <c r="Q213" s="4" cm="1">
        <f t="array" ref="Q213">INDEX(GMW!$A$2:$NF$60,MATCH(1,(GMW!$NE$2:$NE$60=Q$3)*(GMW!$ND$2:$ND$60=Q$4)*(GMW!$NF$2:$NF$60=Q$1),0),$F213-1966)</f>
        <v>-27.754999999999999</v>
      </c>
      <c r="R213" s="4" cm="1">
        <f t="array" ref="R213">INDEX(GMW!$A$2:$NF$60,MATCH(1,(GMW!$NE$2:$NE$60=R$3)*(GMW!$ND$2:$ND$60=R$4)*(GMW!$NF$2:$NF$60=R$1),0),$F213-1966)</f>
        <v>-44.045999999999999</v>
      </c>
      <c r="S213" s="4" cm="1">
        <f t="array" ref="S213">INDEX(GMW!$A$2:$NF$60,MATCH(1,(GMW!$NE$2:$NE$60=S$3)*(GMW!$ND$2:$ND$60=S$4)*(GMW!$NF$2:$NF$60=S$1),0),$F213-1966)</f>
        <v>-16.425059999999998</v>
      </c>
      <c r="T213" s="4" cm="1">
        <f t="array" ref="T213">INDEX(GMW!$A$2:$NF$60,MATCH(1,(GMW!$NE$2:$NE$60=T$3)*(GMW!$ND$2:$ND$60=T$4)*(GMW!$NF$2:$NF$60=T$1),0),$F213-1966)</f>
        <v>-6630</v>
      </c>
      <c r="U213" s="4" cm="1">
        <f t="array" ref="U213">INDEX(GMW!$A$2:$NF$60,MATCH(1,(GMW!$NE$2:$NE$60=U$3)*(GMW!$ND$2:$ND$60=U$4)*(GMW!$NF$2:$NF$60=U$1),0),$F213-1966)</f>
        <v>2844450</v>
      </c>
      <c r="V213" s="4" cm="1">
        <f t="array" ref="V213">INDEX(GMW!$A$2:$NF$60,MATCH(1,(GMW!$NE$2:$NE$60=V$3)*(GMW!$ND$2:$ND$60=V$4)*(GMW!$NF$2:$NF$60=V$1),0),$F213-1966)</f>
        <v>39769.300000000003</v>
      </c>
      <c r="W213" s="4" cm="1">
        <f t="array" ref="W213">INDEX(GMW!$A$2:$NF$60,MATCH(1,(GMW!$NE$2:$NE$60=W$3)*(GMW!$ND$2:$ND$60=W$4)*(GMW!$NF$2:$NF$60=W$1),0),$F213-1966)</f>
        <v>1351116</v>
      </c>
      <c r="X213" s="4" cm="1">
        <f t="array" ref="X213">INDEX(GMW!$A$2:$NF$60,MATCH(1,(GMW!$NE$2:$NE$60=X$3)*(GMW!$ND$2:$ND$60=X$4)*(GMW!$NF$2:$NF$60=X$1),0),$F213-1966)</f>
        <v>2488.5479999999998</v>
      </c>
      <c r="Y213" s="4" cm="1">
        <f t="array" ref="Y213">INDEX(GMW!$A$2:$NF$60,MATCH(1,(GMW!$NE$2:$NE$60=Y$3)*(GMW!$ND$2:$ND$60=Y$4)*(GMW!$NF$2:$NF$60=Y$1),0),$F213-1966)</f>
        <v>3694.75</v>
      </c>
      <c r="Z213" s="4" cm="1">
        <f t="array" ref="Z213">INDEX(GMW!$A$2:$NF$60,MATCH(1,(GMW!$NE$2:$NE$60=Z$3)*(GMW!$ND$2:$ND$60=Z$4)*(GMW!$NF$2:$NF$60=Z$1),0),$F213-1966)</f>
        <v>3231.6089999999999</v>
      </c>
      <c r="AA213" s="4" cm="1">
        <f t="array" ref="AA213">INDEX(GMW!$A$2:$NF$60,MATCH(1,(GMW!$NE$2:$NE$60=AA$3)*(GMW!$ND$2:$ND$60=AA$4)*(GMW!$NF$2:$NF$60=AA$1),0),$F213-1966)</f>
        <v>3243255</v>
      </c>
      <c r="AB213" s="4" cm="1">
        <f t="array" ref="AB213">INDEX(GMW!$A$2:$NF$60,MATCH(1,(GMW!$NE$2:$NE$60=AB$3)*(GMW!$ND$2:$ND$60=AB$4)*(GMW!$NF$2:$NF$60=AB$1),0),$F213-1966)</f>
        <v>719085</v>
      </c>
      <c r="AC213" s="4" cm="1">
        <f t="array" ref="AC213">INDEX(GMW!$A$2:$NF$60,MATCH(1,(GMW!$NE$2:$NE$60=AC$3)*(GMW!$ND$2:$ND$60=AC$4)*(GMW!$NF$2:$NF$60=AC$1),0),$F213-1966)</f>
        <v>7343.7250000000004</v>
      </c>
      <c r="AD213" s="4" cm="1">
        <f t="array" ref="AD213">INDEX(GMW!$A$2:$NF$60,MATCH(1,(GMW!$NE$2:$NE$60=AD$3)*(GMW!$ND$2:$ND$60=AD$4)*(GMW!$NF$2:$NF$60=AD$1),0),$F213-1966)</f>
        <v>152899.4</v>
      </c>
      <c r="AE213" s="4" cm="1">
        <f t="array" ref="AE213">INDEX(GMW!$A$2:$NF$60,MATCH(1,(GMW!$NE$2:$NE$60=AE$3)*(GMW!$ND$2:$ND$60=AE$4)*(GMW!$NF$2:$NF$60=AE$1),0),$F213-1966)</f>
        <v>1083.8969999999999</v>
      </c>
      <c r="AF213" s="4" cm="1">
        <f t="array" ref="AF213">INDEX(GMW!$A$2:$NF$60,MATCH(1,(GMW!$NE$2:$NE$60=AF$3)*(GMW!$ND$2:$ND$60=AF$4)*(GMW!$NF$2:$NF$60=AF$1),0),$F213-1966)</f>
        <v>735.96</v>
      </c>
      <c r="AG213" s="4" cm="1">
        <f t="array" ref="AG213">INDEX(GMW!$A$2:$NF$60,MATCH(1,(GMW!$NE$2:$NE$60=AG$3)*(GMW!$ND$2:$ND$60=AG$4)*(GMW!$NF$2:$NF$60=AG$1),0),$F213-1966)</f>
        <v>547.89499999999998</v>
      </c>
      <c r="AH213" s="4" cm="1">
        <f t="array" ref="AH213">INDEX(GMW!$A$2:$NF$60,MATCH(1,(GMW!$NE$2:$NE$60=AH$3)*(GMW!$ND$2:$ND$60=AH$4)*(GMW!$NF$2:$NF$60=AH$1),0),$F213-1966)</f>
        <v>773197</v>
      </c>
    </row>
    <row r="214" spans="1:34" x14ac:dyDescent="0.25">
      <c r="B214" s="4">
        <f t="shared" si="68"/>
        <v>2024</v>
      </c>
      <c r="C214" s="4">
        <f t="shared" si="68"/>
        <v>2024</v>
      </c>
      <c r="E214" s="4">
        <f t="shared" ref="E214" si="71">+E210+1</f>
        <v>2024</v>
      </c>
      <c r="F214" s="4">
        <f t="shared" si="59"/>
        <v>2180</v>
      </c>
      <c r="G214" s="4" cm="1">
        <f t="array" ref="G214">INDEX(GMW!$A$2:$NF$60,MATCH(1,(GMW!$NE$2:$NE$60=G$3)*(GMW!$ND$2:$ND$60=G$4)*(GMW!$NF$2:$NF$60=G$1),0),$F214-1966)</f>
        <v>642287</v>
      </c>
      <c r="H214" s="4" cm="1">
        <f t="array" ref="H214">INDEX(GMW!$A$2:$NF$60,MATCH(1,(GMW!$NE$2:$NE$60=H$3)*(GMW!$ND$2:$ND$60=H$4)*(GMW!$NF$2:$NF$60=H$1),0),$F214-1966)</f>
        <v>5885.5749999999998</v>
      </c>
      <c r="I214" s="4" cm="1">
        <f t="array" ref="I214">INDEX(GMW!$A$2:$NF$60,MATCH(1,(GMW!$NE$2:$NE$60=I$3)*(GMW!$ND$2:$ND$60=I$4)*(GMW!$NF$2:$NF$60=I$1),0),$F214-1966)</f>
        <v>140193.5</v>
      </c>
      <c r="J214" s="4" cm="1">
        <f t="array" ref="J214">INDEX(GMW!$A$2:$NF$60,MATCH(1,(GMW!$NE$2:$NE$60=J$3)*(GMW!$ND$2:$ND$60=J$4)*(GMW!$NF$2:$NF$60=J$1),0),$F214-1966)</f>
        <v>901.41</v>
      </c>
      <c r="K214" s="4" cm="1">
        <f t="array" ref="K214">INDEX(GMW!$A$2:$NF$60,MATCH(1,(GMW!$NE$2:$NE$60=K$3)*(GMW!$ND$2:$ND$60=K$4)*(GMW!$NF$2:$NF$60=K$1),0),$F214-1966)</f>
        <v>654.62099999999998</v>
      </c>
      <c r="L214" s="4" cm="1">
        <f t="array" ref="L214">INDEX(GMW!$A$2:$NF$60,MATCH(1,(GMW!$NE$2:$NE$60=L$3)*(GMW!$ND$2:$ND$60=L$4)*(GMW!$NF$2:$NF$60=L$1),0),$F214-1966)</f>
        <v>483.91</v>
      </c>
      <c r="M214" s="4" cm="1">
        <f t="array" ref="M214">INDEX(GMW!$A$2:$NF$60,MATCH(1,(GMW!$NE$2:$NE$60=M$3)*(GMW!$ND$2:$ND$60=M$4)*(GMW!$NF$2:$NF$60=M$1),0),$F214-1966)</f>
        <v>610704.30000000005</v>
      </c>
      <c r="N214" s="4" cm="1">
        <f t="array" ref="N214">INDEX(GMW!$A$2:$NF$60,MATCH(1,(GMW!$NE$2:$NE$60=N$3)*(GMW!$ND$2:$ND$60=N$4)*(GMW!$NF$2:$NF$60=N$1),0),$F214-1966)</f>
        <v>-50053</v>
      </c>
      <c r="O214" s="4" cm="1">
        <f t="array" ref="O214">INDEX(GMW!$A$2:$NF$60,MATCH(1,(GMW!$NE$2:$NE$60=O$3)*(GMW!$ND$2:$ND$60=O$4)*(GMW!$NF$2:$NF$60=O$1),0),$F214-1966)</f>
        <v>-555.79139999999995</v>
      </c>
      <c r="P214" s="4" cm="1">
        <f t="array" ref="P214">INDEX(GMW!$A$2:$NF$60,MATCH(1,(GMW!$NE$2:$NE$60=P$3)*(GMW!$ND$2:$ND$60=P$4)*(GMW!$NF$2:$NF$60=P$1),0),$F214-1966)</f>
        <v>-3055.23</v>
      </c>
      <c r="Q214" s="4" cm="1">
        <f t="array" ref="Q214">INDEX(GMW!$A$2:$NF$60,MATCH(1,(GMW!$NE$2:$NE$60=Q$3)*(GMW!$ND$2:$ND$60=Q$4)*(GMW!$NF$2:$NF$60=Q$1),0),$F214-1966)</f>
        <v>-25.448</v>
      </c>
      <c r="R214" s="4" cm="1">
        <f t="array" ref="R214">INDEX(GMW!$A$2:$NF$60,MATCH(1,(GMW!$NE$2:$NE$60=R$3)*(GMW!$ND$2:$ND$60=R$4)*(GMW!$NF$2:$NF$60=R$1),0),$F214-1966)</f>
        <v>-43.039000000000001</v>
      </c>
      <c r="S214" s="4" cm="1">
        <f t="array" ref="S214">INDEX(GMW!$A$2:$NF$60,MATCH(1,(GMW!$NE$2:$NE$60=S$3)*(GMW!$ND$2:$ND$60=S$4)*(GMW!$NF$2:$NF$60=S$1),0),$F214-1966)</f>
        <v>-11.513350000000001</v>
      </c>
      <c r="T214" s="4" cm="1">
        <f t="array" ref="T214">INDEX(GMW!$A$2:$NF$60,MATCH(1,(GMW!$NE$2:$NE$60=T$3)*(GMW!$ND$2:$ND$60=T$4)*(GMW!$NF$2:$NF$60=T$1),0),$F214-1966)</f>
        <v>-7399</v>
      </c>
      <c r="U214" s="4" cm="1">
        <f t="array" ref="U214">INDEX(GMW!$A$2:$NF$60,MATCH(1,(GMW!$NE$2:$NE$60=U$3)*(GMW!$ND$2:$ND$60=U$4)*(GMW!$NF$2:$NF$60=U$1),0),$F214-1966)</f>
        <v>2887750</v>
      </c>
      <c r="V214" s="4" cm="1">
        <f t="array" ref="V214">INDEX(GMW!$A$2:$NF$60,MATCH(1,(GMW!$NE$2:$NE$60=V$3)*(GMW!$ND$2:$ND$60=V$4)*(GMW!$NF$2:$NF$60=V$1),0),$F214-1966)</f>
        <v>40325.089999999997</v>
      </c>
      <c r="W214" s="4" cm="1">
        <f t="array" ref="W214">INDEX(GMW!$A$2:$NF$60,MATCH(1,(GMW!$NE$2:$NE$60=W$3)*(GMW!$ND$2:$ND$60=W$4)*(GMW!$NF$2:$NF$60=W$1),0),$F214-1966)</f>
        <v>1354171</v>
      </c>
      <c r="X214" s="4" cm="1">
        <f t="array" ref="X214">INDEX(GMW!$A$2:$NF$60,MATCH(1,(GMW!$NE$2:$NE$60=X$3)*(GMW!$ND$2:$ND$60=X$4)*(GMW!$NF$2:$NF$60=X$1),0),$F214-1966)</f>
        <v>2508.9850000000001</v>
      </c>
      <c r="Y214" s="4" cm="1">
        <f t="array" ref="Y214">INDEX(GMW!$A$2:$NF$60,MATCH(1,(GMW!$NE$2:$NE$60=Y$3)*(GMW!$ND$2:$ND$60=Y$4)*(GMW!$NF$2:$NF$60=Y$1),0),$F214-1966)</f>
        <v>3601.4189999999999</v>
      </c>
      <c r="Z214" s="4" cm="1">
        <f t="array" ref="Z214">INDEX(GMW!$A$2:$NF$60,MATCH(1,(GMW!$NE$2:$NE$60=Z$3)*(GMW!$ND$2:$ND$60=Z$4)*(GMW!$NF$2:$NF$60=Z$1),0),$F214-1966)</f>
        <v>3255.3339999999998</v>
      </c>
      <c r="AA214" s="4" cm="1">
        <f t="array" ref="AA214">INDEX(GMW!$A$2:$NF$60,MATCH(1,(GMW!$NE$2:$NE$60=AA$3)*(GMW!$ND$2:$ND$60=AA$4)*(GMW!$NF$2:$NF$60=AA$1),0),$F214-1966)</f>
        <v>3293439</v>
      </c>
      <c r="AB214" s="4" cm="1">
        <f t="array" ref="AB214">INDEX(GMW!$A$2:$NF$60,MATCH(1,(GMW!$NE$2:$NE$60=AB$3)*(GMW!$ND$2:$ND$60=AB$4)*(GMW!$NF$2:$NF$60=AB$1),0),$F214-1966)</f>
        <v>727199</v>
      </c>
      <c r="AC214" s="4" cm="1">
        <f t="array" ref="AC214">INDEX(GMW!$A$2:$NF$60,MATCH(1,(GMW!$NE$2:$NE$60=AC$3)*(GMW!$ND$2:$ND$60=AC$4)*(GMW!$NF$2:$NF$60=AC$1),0),$F214-1966)</f>
        <v>7430.9750000000004</v>
      </c>
      <c r="AD214" s="4" cm="1">
        <f t="array" ref="AD214">INDEX(GMW!$A$2:$NF$60,MATCH(1,(GMW!$NE$2:$NE$60=AD$3)*(GMW!$ND$2:$ND$60=AD$4)*(GMW!$NF$2:$NF$60=AD$1),0),$F214-1966)</f>
        <v>154875.5</v>
      </c>
      <c r="AE214" s="4" cm="1">
        <f t="array" ref="AE214">INDEX(GMW!$A$2:$NF$60,MATCH(1,(GMW!$NE$2:$NE$60=AE$3)*(GMW!$ND$2:$ND$60=AE$4)*(GMW!$NF$2:$NF$60=AE$1),0),$F214-1966)</f>
        <v>1094.78</v>
      </c>
      <c r="AF214" s="4" cm="1">
        <f t="array" ref="AF214">INDEX(GMW!$A$2:$NF$60,MATCH(1,(GMW!$NE$2:$NE$60=AF$3)*(GMW!$ND$2:$ND$60=AF$4)*(GMW!$NF$2:$NF$60=AF$1),0),$F214-1966)</f>
        <v>735.63699999999994</v>
      </c>
      <c r="AG214" s="4" cm="1">
        <f t="array" ref="AG214">INDEX(GMW!$A$2:$NF$60,MATCH(1,(GMW!$NE$2:$NE$60=AG$3)*(GMW!$ND$2:$ND$60=AG$4)*(GMW!$NF$2:$NF$60=AG$1),0),$F214-1966)</f>
        <v>552.27300000000002</v>
      </c>
      <c r="AH214" s="4" cm="1">
        <f t="array" ref="AH214">INDEX(GMW!$A$2:$NF$60,MATCH(1,(GMW!$NE$2:$NE$60=AH$3)*(GMW!$ND$2:$ND$60=AH$4)*(GMW!$NF$2:$NF$60=AH$1),0),$F214-1966)</f>
        <v>784164</v>
      </c>
    </row>
    <row r="215" spans="1:34" x14ac:dyDescent="0.25">
      <c r="A215" s="4">
        <v>2025</v>
      </c>
      <c r="B215" s="4">
        <f t="shared" si="68"/>
        <v>2025</v>
      </c>
      <c r="C215" s="4">
        <f t="shared" si="68"/>
        <v>2024</v>
      </c>
      <c r="D215" s="4">
        <f t="shared" si="68"/>
        <v>2024</v>
      </c>
      <c r="F215" s="4">
        <f t="shared" si="59"/>
        <v>2181</v>
      </c>
      <c r="G215" s="4" cm="1">
        <f t="array" ref="G215">INDEX(GMW!$A$2:$NF$60,MATCH(1,(GMW!$NE$2:$NE$60=G$3)*(GMW!$ND$2:$ND$60=G$4)*(GMW!$NF$2:$NF$60=G$1),0),$F215-1966)</f>
        <v>647018</v>
      </c>
      <c r="H215" s="4" cm="1">
        <f t="array" ref="H215">INDEX(GMW!$A$2:$NF$60,MATCH(1,(GMW!$NE$2:$NE$60=H$3)*(GMW!$ND$2:$ND$60=H$4)*(GMW!$NF$2:$NF$60=H$1),0),$F215-1966)</f>
        <v>5878.1750000000002</v>
      </c>
      <c r="I215" s="4" cm="1">
        <f t="array" ref="I215">INDEX(GMW!$A$2:$NF$60,MATCH(1,(GMW!$NE$2:$NE$60=I$3)*(GMW!$ND$2:$ND$60=I$4)*(GMW!$NF$2:$NF$60=I$1),0),$F215-1966)</f>
        <v>140387.70000000001</v>
      </c>
      <c r="J215" s="4" cm="1">
        <f t="array" ref="J215">INDEX(GMW!$A$2:$NF$60,MATCH(1,(GMW!$NE$2:$NE$60=J$3)*(GMW!$ND$2:$ND$60=J$4)*(GMW!$NF$2:$NF$60=J$1),0),$F215-1966)</f>
        <v>904.18</v>
      </c>
      <c r="K215" s="4" cm="1">
        <f t="array" ref="K215">INDEX(GMW!$A$2:$NF$60,MATCH(1,(GMW!$NE$2:$NE$60=K$3)*(GMW!$ND$2:$ND$60=K$4)*(GMW!$NF$2:$NF$60=K$1),0),$F215-1966)</f>
        <v>655.37300000000005</v>
      </c>
      <c r="L215" s="4" cm="1">
        <f t="array" ref="L215">INDEX(GMW!$A$2:$NF$60,MATCH(1,(GMW!$NE$2:$NE$60=L$3)*(GMW!$ND$2:$ND$60=L$4)*(GMW!$NF$2:$NF$60=L$1),0),$F215-1966)</f>
        <v>485.416</v>
      </c>
      <c r="M215" s="4" cm="1">
        <f t="array" ref="M215">INDEX(GMW!$A$2:$NF$60,MATCH(1,(GMW!$NE$2:$NE$60=M$3)*(GMW!$ND$2:$ND$60=M$4)*(GMW!$NF$2:$NF$60=M$1),0),$F215-1966)</f>
        <v>613784.5</v>
      </c>
      <c r="N215" s="4" cm="1">
        <f t="array" ref="N215">INDEX(GMW!$A$2:$NF$60,MATCH(1,(GMW!$NE$2:$NE$60=N$3)*(GMW!$ND$2:$ND$60=N$4)*(GMW!$NF$2:$NF$60=N$1),0),$F215-1966)</f>
        <v>-12462</v>
      </c>
      <c r="O215" s="4" cm="1">
        <f t="array" ref="O215">INDEX(GMW!$A$2:$NF$60,MATCH(1,(GMW!$NE$2:$NE$60=O$3)*(GMW!$ND$2:$ND$60=O$4)*(GMW!$NF$2:$NF$60=O$1),0),$F215-1966)</f>
        <v>-551.36879999999996</v>
      </c>
      <c r="P215" s="4" cm="1">
        <f t="array" ref="P215">INDEX(GMW!$A$2:$NF$60,MATCH(1,(GMW!$NE$2:$NE$60=P$3)*(GMW!$ND$2:$ND$60=P$4)*(GMW!$NF$2:$NF$60=P$1),0),$F215-1966)</f>
        <v>-3646.9490000000001</v>
      </c>
      <c r="Q215" s="4" cm="1">
        <f t="array" ref="Q215">INDEX(GMW!$A$2:$NF$60,MATCH(1,(GMW!$NE$2:$NE$60=Q$3)*(GMW!$ND$2:$ND$60=Q$4)*(GMW!$NF$2:$NF$60=Q$1),0),$F215-1966)</f>
        <v>-20.401</v>
      </c>
      <c r="R215" s="4" cm="1">
        <f t="array" ref="R215">INDEX(GMW!$A$2:$NF$60,MATCH(1,(GMW!$NE$2:$NE$60=R$3)*(GMW!$ND$2:$ND$60=R$4)*(GMW!$NF$2:$NF$60=R$1),0),$F215-1966)</f>
        <v>-40.088999999999999</v>
      </c>
      <c r="S215" s="4" cm="1">
        <f t="array" ref="S215">INDEX(GMW!$A$2:$NF$60,MATCH(1,(GMW!$NE$2:$NE$60=S$3)*(GMW!$ND$2:$ND$60=S$4)*(GMW!$NF$2:$NF$60=S$1),0),$F215-1966)</f>
        <v>-16.45862</v>
      </c>
      <c r="T215" s="4" cm="1">
        <f t="array" ref="T215">INDEX(GMW!$A$2:$NF$60,MATCH(1,(GMW!$NE$2:$NE$60=T$3)*(GMW!$ND$2:$ND$60=T$4)*(GMW!$NF$2:$NF$60=T$1),0),$F215-1966)</f>
        <v>-4356</v>
      </c>
      <c r="U215" s="4" cm="1">
        <f t="array" ref="U215">INDEX(GMW!$A$2:$NF$60,MATCH(1,(GMW!$NE$2:$NE$60=U$3)*(GMW!$ND$2:$ND$60=U$4)*(GMW!$NF$2:$NF$60=U$1),0),$F215-1966)</f>
        <v>2925178</v>
      </c>
      <c r="V215" s="4" cm="1">
        <f t="array" ref="V215">INDEX(GMW!$A$2:$NF$60,MATCH(1,(GMW!$NE$2:$NE$60=V$3)*(GMW!$ND$2:$ND$60=V$4)*(GMW!$NF$2:$NF$60=V$1),0),$F215-1966)</f>
        <v>40876.46</v>
      </c>
      <c r="W215" s="4" cm="1">
        <f t="array" ref="W215">INDEX(GMW!$A$2:$NF$60,MATCH(1,(GMW!$NE$2:$NE$60=W$3)*(GMW!$ND$2:$ND$60=W$4)*(GMW!$NF$2:$NF$60=W$1),0),$F215-1966)</f>
        <v>1357818</v>
      </c>
      <c r="X215" s="4" cm="1">
        <f t="array" ref="X215">INDEX(GMW!$A$2:$NF$60,MATCH(1,(GMW!$NE$2:$NE$60=X$3)*(GMW!$ND$2:$ND$60=X$4)*(GMW!$NF$2:$NF$60=X$1),0),$F215-1966)</f>
        <v>2523.308</v>
      </c>
      <c r="Y215" s="4" cm="1">
        <f t="array" ref="Y215">INDEX(GMW!$A$2:$NF$60,MATCH(1,(GMW!$NE$2:$NE$60=Y$3)*(GMW!$ND$2:$ND$60=Y$4)*(GMW!$NF$2:$NF$60=Y$1),0),$F215-1966)</f>
        <v>3684.5990000000002</v>
      </c>
      <c r="Z215" s="4" cm="1">
        <f t="array" ref="Z215">INDEX(GMW!$A$2:$NF$60,MATCH(1,(GMW!$NE$2:$NE$60=Z$3)*(GMW!$ND$2:$ND$60=Z$4)*(GMW!$NF$2:$NF$60=Z$1),0),$F215-1966)</f>
        <v>3283.8049999999998</v>
      </c>
      <c r="AA215" s="4" cm="1">
        <f t="array" ref="AA215">INDEX(GMW!$A$2:$NF$60,MATCH(1,(GMW!$NE$2:$NE$60=AA$3)*(GMW!$ND$2:$ND$60=AA$4)*(GMW!$NF$2:$NF$60=AA$1),0),$F215-1966)</f>
        <v>3328690</v>
      </c>
      <c r="AB215" s="4" cm="1">
        <f t="array" ref="AB215">INDEX(GMW!$A$2:$NF$60,MATCH(1,(GMW!$NE$2:$NE$60=AB$3)*(GMW!$ND$2:$ND$60=AB$4)*(GMW!$NF$2:$NF$60=AB$1),0),$F215-1966)</f>
        <v>738159</v>
      </c>
      <c r="AC215" s="4" cm="1">
        <f t="array" ref="AC215">INDEX(GMW!$A$2:$NF$60,MATCH(1,(GMW!$NE$2:$NE$60=AC$3)*(GMW!$ND$2:$ND$60=AC$4)*(GMW!$NF$2:$NF$60=AC$1),0),$F215-1966)</f>
        <v>7490.5</v>
      </c>
      <c r="AD215" s="4" cm="1">
        <f t="array" ref="AD215">INDEX(GMW!$A$2:$NF$60,MATCH(1,(GMW!$NE$2:$NE$60=AD$3)*(GMW!$ND$2:$ND$60=AD$4)*(GMW!$NF$2:$NF$60=AD$1),0),$F215-1966)</f>
        <v>156354.29999999999</v>
      </c>
      <c r="AE215" s="4" cm="1">
        <f t="array" ref="AE215">INDEX(GMW!$A$2:$NF$60,MATCH(1,(GMW!$NE$2:$NE$60=AE$3)*(GMW!$ND$2:$ND$60=AE$4)*(GMW!$NF$2:$NF$60=AE$1),0),$F215-1966)</f>
        <v>1104.3720000000001</v>
      </c>
      <c r="AF215" s="4" cm="1">
        <f t="array" ref="AF215">INDEX(GMW!$A$2:$NF$60,MATCH(1,(GMW!$NE$2:$NE$60=AF$3)*(GMW!$ND$2:$ND$60=AF$4)*(GMW!$NF$2:$NF$60=AF$1),0),$F215-1966)</f>
        <v>739.60199999999998</v>
      </c>
      <c r="AG215" s="4" cm="1">
        <f t="array" ref="AG215">INDEX(GMW!$A$2:$NF$60,MATCH(1,(GMW!$NE$2:$NE$60=AG$3)*(GMW!$ND$2:$ND$60=AG$4)*(GMW!$NF$2:$NF$60=AG$1),0),$F215-1966)</f>
        <v>555.40700000000004</v>
      </c>
      <c r="AH215" s="4" cm="1">
        <f t="array" ref="AH215">INDEX(GMW!$A$2:$NF$60,MATCH(1,(GMW!$NE$2:$NE$60=AH$3)*(GMW!$ND$2:$ND$60=AH$4)*(GMW!$NF$2:$NF$60=AH$1),0),$F215-1966)</f>
        <v>793762</v>
      </c>
    </row>
    <row r="216" spans="1:34" x14ac:dyDescent="0.25">
      <c r="B216" s="4">
        <f t="shared" si="68"/>
        <v>2025</v>
      </c>
      <c r="C216" s="4">
        <f t="shared" si="68"/>
        <v>2025</v>
      </c>
      <c r="F216" s="4">
        <f t="shared" si="59"/>
        <v>2182</v>
      </c>
      <c r="G216" s="4" cm="1">
        <f t="array" ref="G216">INDEX(GMW!$A$2:$NF$60,MATCH(1,(GMW!$NE$2:$NE$60=G$3)*(GMW!$ND$2:$ND$60=G$4)*(GMW!$NF$2:$NF$60=G$1),0),$F216-1966)</f>
        <v>649249</v>
      </c>
      <c r="H216" s="4" cm="1">
        <f t="array" ref="H216">INDEX(GMW!$A$2:$NF$60,MATCH(1,(GMW!$NE$2:$NE$60=H$3)*(GMW!$ND$2:$ND$60=H$4)*(GMW!$NF$2:$NF$60=H$1),0),$F216-1966)</f>
        <v>5925.95</v>
      </c>
      <c r="I216" s="4" cm="1">
        <f t="array" ref="I216">INDEX(GMW!$A$2:$NF$60,MATCH(1,(GMW!$NE$2:$NE$60=I$3)*(GMW!$ND$2:$ND$60=I$4)*(GMW!$NF$2:$NF$60=I$1),0),$F216-1966)</f>
        <v>140747</v>
      </c>
      <c r="J216" s="4" cm="1">
        <f t="array" ref="J216">INDEX(GMW!$A$2:$NF$60,MATCH(1,(GMW!$NE$2:$NE$60=J$3)*(GMW!$ND$2:$ND$60=J$4)*(GMW!$NF$2:$NF$60=J$1),0),$F216-1966)</f>
        <v>901.67</v>
      </c>
      <c r="K216" s="4" cm="1">
        <f t="array" ref="K216">INDEX(GMW!$A$2:$NF$60,MATCH(1,(GMW!$NE$2:$NE$60=K$3)*(GMW!$ND$2:$ND$60=K$4)*(GMW!$NF$2:$NF$60=K$1),0),$F216-1966)</f>
        <v>657.57</v>
      </c>
      <c r="L216" s="4" cm="1">
        <f t="array" ref="L216">INDEX(GMW!$A$2:$NF$60,MATCH(1,(GMW!$NE$2:$NE$60=L$3)*(GMW!$ND$2:$ND$60=L$4)*(GMW!$NF$2:$NF$60=L$1),0),$F216-1966)</f>
        <v>485.04599999999999</v>
      </c>
      <c r="M216" s="4" cm="1">
        <f t="array" ref="M216">INDEX(GMW!$A$2:$NF$60,MATCH(1,(GMW!$NE$2:$NE$60=M$3)*(GMW!$ND$2:$ND$60=M$4)*(GMW!$NF$2:$NF$60=M$1),0),$F216-1966)</f>
        <v>611342</v>
      </c>
      <c r="N216" s="4" cm="1">
        <f t="array" ref="N216">INDEX(GMW!$A$2:$NF$60,MATCH(1,(GMW!$NE$2:$NE$60=N$3)*(GMW!$ND$2:$ND$60=N$4)*(GMW!$NF$2:$NF$60=N$1),0),$F216-1966)</f>
        <v>-58927</v>
      </c>
      <c r="O216" s="4" cm="1">
        <f t="array" ref="O216">INDEX(GMW!$A$2:$NF$60,MATCH(1,(GMW!$NE$2:$NE$60=O$3)*(GMW!$ND$2:$ND$60=O$4)*(GMW!$NF$2:$NF$60=O$1),0),$F216-1966)</f>
        <v>-527.93600000000004</v>
      </c>
      <c r="P216" s="4" cm="1">
        <f t="array" ref="P216">INDEX(GMW!$A$2:$NF$60,MATCH(1,(GMW!$NE$2:$NE$60=P$3)*(GMW!$ND$2:$ND$60=P$4)*(GMW!$NF$2:$NF$60=P$1),0),$F216-1966)</f>
        <v>-4411.5</v>
      </c>
      <c r="Q216" s="4" cm="1">
        <f t="array" ref="Q216">INDEX(GMW!$A$2:$NF$60,MATCH(1,(GMW!$NE$2:$NE$60=Q$3)*(GMW!$ND$2:$ND$60=Q$4)*(GMW!$NF$2:$NF$60=Q$1),0),$F216-1966)</f>
        <v>-22.645</v>
      </c>
      <c r="R216" s="4" cm="1">
        <f t="array" ref="R216">INDEX(GMW!$A$2:$NF$60,MATCH(1,(GMW!$NE$2:$NE$60=R$3)*(GMW!$ND$2:$ND$60=R$4)*(GMW!$NF$2:$NF$60=R$1),0),$F216-1966)</f>
        <v>-39.82</v>
      </c>
      <c r="S216" s="4" cm="1">
        <f t="array" ref="S216">INDEX(GMW!$A$2:$NF$60,MATCH(1,(GMW!$NE$2:$NE$60=S$3)*(GMW!$ND$2:$ND$60=S$4)*(GMW!$NF$2:$NF$60=S$1),0),$F216-1966)</f>
        <v>-16.85239</v>
      </c>
      <c r="T216" s="4" cm="1">
        <f t="array" ref="T216">INDEX(GMW!$A$2:$NF$60,MATCH(1,(GMW!$NE$2:$NE$60=T$3)*(GMW!$ND$2:$ND$60=T$4)*(GMW!$NF$2:$NF$60=T$1),0),$F216-1966)</f>
        <v>-8632.0010000000002</v>
      </c>
      <c r="U216" s="4" cm="1">
        <f t="array" ref="U216">INDEX(GMW!$A$2:$NF$60,MATCH(1,(GMW!$NE$2:$NE$60=U$3)*(GMW!$ND$2:$ND$60=U$4)*(GMW!$NF$2:$NF$60=U$1),0),$F216-1966)</f>
        <v>2999844</v>
      </c>
      <c r="V216" s="4" cm="1">
        <f t="array" ref="V216">INDEX(GMW!$A$2:$NF$60,MATCH(1,(GMW!$NE$2:$NE$60=V$3)*(GMW!$ND$2:$ND$60=V$4)*(GMW!$NF$2:$NF$60=V$1),0),$F216-1966)</f>
        <v>41404.39</v>
      </c>
      <c r="W216" s="4" cm="1">
        <f t="array" ref="W216">INDEX(GMW!$A$2:$NF$60,MATCH(1,(GMW!$NE$2:$NE$60=W$3)*(GMW!$ND$2:$ND$60=W$4)*(GMW!$NF$2:$NF$60=W$1),0),$F216-1966)</f>
        <v>1362229</v>
      </c>
      <c r="X216" s="4" cm="1">
        <f t="array" ref="X216">INDEX(GMW!$A$2:$NF$60,MATCH(1,(GMW!$NE$2:$NE$60=X$3)*(GMW!$ND$2:$ND$60=X$4)*(GMW!$NF$2:$NF$60=X$1),0),$F216-1966)</f>
        <v>2545.953</v>
      </c>
      <c r="Y216" s="4" cm="1">
        <f t="array" ref="Y216">INDEX(GMW!$A$2:$NF$60,MATCH(1,(GMW!$NE$2:$NE$60=Y$3)*(GMW!$ND$2:$ND$60=Y$4)*(GMW!$NF$2:$NF$60=Y$1),0),$F216-1966)</f>
        <v>3724.4189999999999</v>
      </c>
      <c r="Z216" s="4" cm="1">
        <f t="array" ref="Z216">INDEX(GMW!$A$2:$NF$60,MATCH(1,(GMW!$NE$2:$NE$60=Z$3)*(GMW!$ND$2:$ND$60=Z$4)*(GMW!$NF$2:$NF$60=Z$1),0),$F216-1966)</f>
        <v>3312.6689999999999</v>
      </c>
      <c r="AA216" s="4" cm="1">
        <f t="array" ref="AA216">INDEX(GMW!$A$2:$NF$60,MATCH(1,(GMW!$NE$2:$NE$60=AA$3)*(GMW!$ND$2:$ND$60=AA$4)*(GMW!$NF$2:$NF$60=AA$1),0),$F216-1966)</f>
        <v>3358103</v>
      </c>
      <c r="AB216" s="4" cm="1">
        <f t="array" ref="AB216">INDEX(GMW!$A$2:$NF$60,MATCH(1,(GMW!$NE$2:$NE$60=AB$3)*(GMW!$ND$2:$ND$60=AB$4)*(GMW!$NF$2:$NF$60=AB$1),0),$F216-1966)</f>
        <v>743816</v>
      </c>
      <c r="AC216" s="4" cm="1">
        <f t="array" ref="AC216">INDEX(GMW!$A$2:$NF$60,MATCH(1,(GMW!$NE$2:$NE$60=AC$3)*(GMW!$ND$2:$ND$60=AC$4)*(GMW!$NF$2:$NF$60=AC$1),0),$F216-1966)</f>
        <v>7588.4750000000004</v>
      </c>
      <c r="AD216" s="4" cm="1">
        <f t="array" ref="AD216">INDEX(GMW!$A$2:$NF$60,MATCH(1,(GMW!$NE$2:$NE$60=AD$3)*(GMW!$ND$2:$ND$60=AD$4)*(GMW!$NF$2:$NF$60=AD$1),0),$F216-1966)</f>
        <v>158326.20000000001</v>
      </c>
      <c r="AE216" s="4" cm="1">
        <f t="array" ref="AE216">INDEX(GMW!$A$2:$NF$60,MATCH(1,(GMW!$NE$2:$NE$60=AE$3)*(GMW!$ND$2:$ND$60=AE$4)*(GMW!$NF$2:$NF$60=AE$1),0),$F216-1966)</f>
        <v>1110.829</v>
      </c>
      <c r="AF216" s="4" cm="1">
        <f t="array" ref="AF216">INDEX(GMW!$A$2:$NF$60,MATCH(1,(GMW!$NE$2:$NE$60=AF$3)*(GMW!$ND$2:$ND$60=AF$4)*(GMW!$NF$2:$NF$60=AF$1),0),$F216-1966)</f>
        <v>743.5</v>
      </c>
      <c r="AG216" s="4" cm="1">
        <f t="array" ref="AG216">INDEX(GMW!$A$2:$NF$60,MATCH(1,(GMW!$NE$2:$NE$60=AG$3)*(GMW!$ND$2:$ND$60=AG$4)*(GMW!$NF$2:$NF$60=AG$1),0),$F216-1966)</f>
        <v>560.43399999999997</v>
      </c>
      <c r="AH216" s="4" cm="1">
        <f t="array" ref="AH216">INDEX(GMW!$A$2:$NF$60,MATCH(1,(GMW!$NE$2:$NE$60=AH$3)*(GMW!$ND$2:$ND$60=AH$4)*(GMW!$NF$2:$NF$60=AH$1),0),$F216-1966)</f>
        <v>790655</v>
      </c>
    </row>
    <row r="217" spans="1:34" x14ac:dyDescent="0.25">
      <c r="B217" s="4">
        <f t="shared" si="68"/>
        <v>2025</v>
      </c>
      <c r="C217" s="4">
        <f t="shared" si="68"/>
        <v>2025</v>
      </c>
      <c r="F217" s="4">
        <f t="shared" si="59"/>
        <v>2183</v>
      </c>
      <c r="G217" s="4" cm="1">
        <f t="array" ref="G217">INDEX(GMW!$A$2:$NF$60,MATCH(1,(GMW!$NE$2:$NE$60=G$3)*(GMW!$ND$2:$ND$60=G$4)*(GMW!$NF$2:$NF$60=G$1),0),$F217-1966)</f>
        <v>649495.6</v>
      </c>
      <c r="H217" s="4" cm="1">
        <f t="array" ref="H217">INDEX(GMW!$A$2:$NF$60,MATCH(1,(GMW!$NE$2:$NE$60=H$3)*(GMW!$ND$2:$ND$60=H$4)*(GMW!$NF$2:$NF$60=H$1),0),$F217-1966)</f>
        <v>5960.8990000000003</v>
      </c>
      <c r="I217" s="4" cm="1">
        <f t="array" ref="I217">INDEX(GMW!$A$2:$NF$60,MATCH(1,(GMW!$NE$2:$NE$60=I$3)*(GMW!$ND$2:$ND$60=I$4)*(GMW!$NF$2:$NF$60=I$1),0),$F217-1966)</f>
        <v>140529.4</v>
      </c>
      <c r="J217" s="4" cm="1">
        <f t="array" ref="J217">INDEX(GMW!$A$2:$NF$60,MATCH(1,(GMW!$NE$2:$NE$60=J$3)*(GMW!$ND$2:$ND$60=J$4)*(GMW!$NF$2:$NF$60=J$1),0),$F217-1966)</f>
        <v>902.03629999999998</v>
      </c>
      <c r="K217" s="4" cm="1">
        <f t="array" ref="K217">INDEX(GMW!$A$2:$NF$60,MATCH(1,(GMW!$NE$2:$NE$60=K$3)*(GMW!$ND$2:$ND$60=K$4)*(GMW!$NF$2:$NF$60=K$1),0),$F217-1966)</f>
        <v>657.8</v>
      </c>
      <c r="L217" s="4" cm="1">
        <f t="array" ref="L217">INDEX(GMW!$A$2:$NF$60,MATCH(1,(GMW!$NE$2:$NE$60=L$3)*(GMW!$ND$2:$ND$60=L$4)*(GMW!$NF$2:$NF$60=L$1),0),$F217-1966)</f>
        <v>485.65449999999998</v>
      </c>
      <c r="M217" s="4" cm="1">
        <f t="array" ref="M217">INDEX(GMW!$A$2:$NF$60,MATCH(1,(GMW!$NE$2:$NE$60=M$3)*(GMW!$ND$2:$ND$60=M$4)*(GMW!$NF$2:$NF$60=M$1),0),$F217-1966)</f>
        <v>611435.30000000005</v>
      </c>
      <c r="N217" s="4" cm="1">
        <f t="array" ref="N217">INDEX(GMW!$A$2:$NF$60,MATCH(1,(GMW!$NE$2:$NE$60=N$3)*(GMW!$ND$2:$ND$60=N$4)*(GMW!$NF$2:$NF$60=N$1),0),$F217-1966)</f>
        <v>-21963.439999999999</v>
      </c>
      <c r="O217" s="4" cm="1">
        <f t="array" ref="O217">INDEX(GMW!$A$2:$NF$60,MATCH(1,(GMW!$NE$2:$NE$60=O$3)*(GMW!$ND$2:$ND$60=O$4)*(GMW!$NF$2:$NF$60=O$1),0),$F217-1966)</f>
        <v>-528.12570000000005</v>
      </c>
      <c r="P217" s="4" cm="1">
        <f t="array" ref="P217">INDEX(GMW!$A$2:$NF$60,MATCH(1,(GMW!$NE$2:$NE$60=P$3)*(GMW!$ND$2:$ND$60=P$4)*(GMW!$NF$2:$NF$60=P$1),0),$F217-1966)</f>
        <v>-5100.2809999999999</v>
      </c>
      <c r="Q217" s="4" cm="1">
        <f t="array" ref="Q217">INDEX(GMW!$A$2:$NF$60,MATCH(1,(GMW!$NE$2:$NE$60=Q$3)*(GMW!$ND$2:$ND$60=Q$4)*(GMW!$NF$2:$NF$60=Q$1),0),$F217-1966)</f>
        <v>-23.891660000000002</v>
      </c>
      <c r="R217" s="4" cm="1">
        <f t="array" ref="R217">INDEX(GMW!$A$2:$NF$60,MATCH(1,(GMW!$NE$2:$NE$60=R$3)*(GMW!$ND$2:$ND$60=R$4)*(GMW!$NF$2:$NF$60=R$1),0),$F217-1966)</f>
        <v>-40.107300000000002</v>
      </c>
      <c r="S217" s="4" cm="1">
        <f t="array" ref="S217">INDEX(GMW!$A$2:$NF$60,MATCH(1,(GMW!$NE$2:$NE$60=S$3)*(GMW!$ND$2:$ND$60=S$4)*(GMW!$NF$2:$NF$60=S$1),0),$F217-1966)</f>
        <v>-17.029699999999998</v>
      </c>
      <c r="T217" s="4" cm="1">
        <f t="array" ref="T217">INDEX(GMW!$A$2:$NF$60,MATCH(1,(GMW!$NE$2:$NE$60=T$3)*(GMW!$ND$2:$ND$60=T$4)*(GMW!$NF$2:$NF$60=T$1),0),$F217-1966)</f>
        <v>-14691.28</v>
      </c>
      <c r="U217" s="4" cm="1">
        <f t="array" ref="U217">INDEX(GMW!$A$2:$NF$60,MATCH(1,(GMW!$NE$2:$NE$60=U$3)*(GMW!$ND$2:$ND$60=U$4)*(GMW!$NF$2:$NF$60=U$1),0),$F217-1966)</f>
        <v>3021808</v>
      </c>
      <c r="V217" s="4" cm="1">
        <f t="array" ref="V217">INDEX(GMW!$A$2:$NF$60,MATCH(1,(GMW!$NE$2:$NE$60=V$3)*(GMW!$ND$2:$ND$60=V$4)*(GMW!$NF$2:$NF$60=V$1),0),$F217-1966)</f>
        <v>41932.519999999997</v>
      </c>
      <c r="W217" s="4" cm="1">
        <f t="array" ref="W217">INDEX(GMW!$A$2:$NF$60,MATCH(1,(GMW!$NE$2:$NE$60=W$3)*(GMW!$ND$2:$ND$60=W$4)*(GMW!$NF$2:$NF$60=W$1),0),$F217-1966)</f>
        <v>1367330</v>
      </c>
      <c r="X217" s="4" cm="1">
        <f t="array" ref="X217">INDEX(GMW!$A$2:$NF$60,MATCH(1,(GMW!$NE$2:$NE$60=X$3)*(GMW!$ND$2:$ND$60=X$4)*(GMW!$NF$2:$NF$60=X$1),0),$F217-1966)</f>
        <v>2569.8449999999998</v>
      </c>
      <c r="Y217" s="4" cm="1">
        <f t="array" ref="Y217">INDEX(GMW!$A$2:$NF$60,MATCH(1,(GMW!$NE$2:$NE$60=Y$3)*(GMW!$ND$2:$ND$60=Y$4)*(GMW!$NF$2:$NF$60=Y$1),0),$F217-1966)</f>
        <v>3764.5259999999998</v>
      </c>
      <c r="Z217" s="4" cm="1">
        <f t="array" ref="Z217">INDEX(GMW!$A$2:$NF$60,MATCH(1,(GMW!$NE$2:$NE$60=Z$3)*(GMW!$ND$2:$ND$60=Z$4)*(GMW!$NF$2:$NF$60=Z$1),0),$F217-1966)</f>
        <v>3341.7109999999998</v>
      </c>
      <c r="AA217" s="4" cm="1">
        <f t="array" ref="AA217">INDEX(GMW!$A$2:$NF$60,MATCH(1,(GMW!$NE$2:$NE$60=AA$3)*(GMW!$ND$2:$ND$60=AA$4)*(GMW!$NF$2:$NF$60=AA$1),0),$F217-1966)</f>
        <v>3372794</v>
      </c>
      <c r="AB217" s="4" cm="1">
        <f t="array" ref="AB217">INDEX(GMW!$A$2:$NF$60,MATCH(1,(GMW!$NE$2:$NE$60=AB$3)*(GMW!$ND$2:$ND$60=AB$4)*(GMW!$NF$2:$NF$60=AB$1),0),$F217-1966)</f>
        <v>749753.8</v>
      </c>
      <c r="AC217" s="4" cm="1">
        <f t="array" ref="AC217">INDEX(GMW!$A$2:$NF$60,MATCH(1,(GMW!$NE$2:$NE$60=AC$3)*(GMW!$ND$2:$ND$60=AC$4)*(GMW!$NF$2:$NF$60=AC$1),0),$F217-1966)</f>
        <v>7661.8770000000004</v>
      </c>
      <c r="AD217" s="4" cm="1">
        <f t="array" ref="AD217">INDEX(GMW!$A$2:$NF$60,MATCH(1,(GMW!$NE$2:$NE$60=AD$3)*(GMW!$ND$2:$ND$60=AD$4)*(GMW!$NF$2:$NF$60=AD$1),0),$F217-1966)</f>
        <v>158633.4</v>
      </c>
      <c r="AE217" s="4" cm="1">
        <f t="array" ref="AE217">INDEX(GMW!$A$2:$NF$60,MATCH(1,(GMW!$NE$2:$NE$60=AE$3)*(GMW!$ND$2:$ND$60=AE$4)*(GMW!$NF$2:$NF$60=AE$1),0),$F217-1966)</f>
        <v>1117.335</v>
      </c>
      <c r="AF217" s="4" cm="1">
        <f t="array" ref="AF217">INDEX(GMW!$A$2:$NF$60,MATCH(1,(GMW!$NE$2:$NE$60=AF$3)*(GMW!$ND$2:$ND$60=AF$4)*(GMW!$NF$2:$NF$60=AF$1),0),$F217-1966)</f>
        <v>748.84990000000005</v>
      </c>
      <c r="AG217" s="4" cm="1">
        <f t="array" ref="AG217">INDEX(GMW!$A$2:$NF$60,MATCH(1,(GMW!$NE$2:$NE$60=AG$3)*(GMW!$ND$2:$ND$60=AG$4)*(GMW!$NF$2:$NF$60=AG$1),0),$F217-1966)</f>
        <v>564.05790000000002</v>
      </c>
      <c r="AH217" s="4" cm="1">
        <f t="array" ref="AH217">INDEX(GMW!$A$2:$NF$60,MATCH(1,(GMW!$NE$2:$NE$60=AH$3)*(GMW!$ND$2:$ND$60=AH$4)*(GMW!$NF$2:$NF$60=AH$1),0),$F217-1966)</f>
        <v>790379.6</v>
      </c>
    </row>
    <row r="218" spans="1:34" x14ac:dyDescent="0.25">
      <c r="B218" s="4">
        <f t="shared" si="68"/>
        <v>2025</v>
      </c>
      <c r="C218" s="4">
        <f t="shared" si="68"/>
        <v>2025</v>
      </c>
      <c r="E218" s="4">
        <f t="shared" ref="E218" si="72">+E214+1</f>
        <v>2025</v>
      </c>
      <c r="F218" s="4">
        <f t="shared" si="59"/>
        <v>2184</v>
      </c>
      <c r="G218" s="4" cm="1">
        <f t="array" ref="G218">INDEX(GMW!$A$2:$NF$60,MATCH(1,(GMW!$NE$2:$NE$60=G$3)*(GMW!$ND$2:$ND$60=G$4)*(GMW!$NF$2:$NF$60=G$1),0),$F218-1966)</f>
        <v>650926.80000000005</v>
      </c>
      <c r="H218" s="4" cm="1">
        <f t="array" ref="H218">INDEX(GMW!$A$2:$NF$60,MATCH(1,(GMW!$NE$2:$NE$60=H$3)*(GMW!$ND$2:$ND$60=H$4)*(GMW!$NF$2:$NF$60=H$1),0),$F218-1966)</f>
        <v>5980.9</v>
      </c>
      <c r="I218" s="4" cm="1">
        <f t="array" ref="I218">INDEX(GMW!$A$2:$NF$60,MATCH(1,(GMW!$NE$2:$NE$60=I$3)*(GMW!$ND$2:$ND$60=I$4)*(GMW!$NF$2:$NF$60=I$1),0),$F218-1966)</f>
        <v>140576.9</v>
      </c>
      <c r="J218" s="4" cm="1">
        <f t="array" ref="J218">INDEX(GMW!$A$2:$NF$60,MATCH(1,(GMW!$NE$2:$NE$60=J$3)*(GMW!$ND$2:$ND$60=J$4)*(GMW!$NF$2:$NF$60=J$1),0),$F218-1966)</f>
        <v>902.97990000000004</v>
      </c>
      <c r="K218" s="4" cm="1">
        <f t="array" ref="K218">INDEX(GMW!$A$2:$NF$60,MATCH(1,(GMW!$NE$2:$NE$60=K$3)*(GMW!$ND$2:$ND$60=K$4)*(GMW!$NF$2:$NF$60=K$1),0),$F218-1966)</f>
        <v>658.52</v>
      </c>
      <c r="L218" s="4" cm="1">
        <f t="array" ref="L218">INDEX(GMW!$A$2:$NF$60,MATCH(1,(GMW!$NE$2:$NE$60=L$3)*(GMW!$ND$2:$ND$60=L$4)*(GMW!$NF$2:$NF$60=L$1),0),$F218-1966)</f>
        <v>486.28590000000003</v>
      </c>
      <c r="M218" s="4" cm="1">
        <f t="array" ref="M218">INDEX(GMW!$A$2:$NF$60,MATCH(1,(GMW!$NE$2:$NE$60=M$3)*(GMW!$ND$2:$ND$60=M$4)*(GMW!$NF$2:$NF$60=M$1),0),$F218-1966)</f>
        <v>612177.4</v>
      </c>
      <c r="N218" s="4" cm="1">
        <f t="array" ref="N218">INDEX(GMW!$A$2:$NF$60,MATCH(1,(GMW!$NE$2:$NE$60=N$3)*(GMW!$ND$2:$ND$60=N$4)*(GMW!$NF$2:$NF$60=N$1),0),$F218-1966)</f>
        <v>-41395.06</v>
      </c>
      <c r="O218" s="4" cm="1">
        <f t="array" ref="O218">INDEX(GMW!$A$2:$NF$60,MATCH(1,(GMW!$NE$2:$NE$60=O$3)*(GMW!$ND$2:$ND$60=O$4)*(GMW!$NF$2:$NF$60=O$1),0),$F218-1966)</f>
        <v>-555.85249999999996</v>
      </c>
      <c r="P218" s="4" cm="1">
        <f t="array" ref="P218">INDEX(GMW!$A$2:$NF$60,MATCH(1,(GMW!$NE$2:$NE$60=P$3)*(GMW!$ND$2:$ND$60=P$4)*(GMW!$NF$2:$NF$60=P$1),0),$F218-1966)</f>
        <v>-5490.3909999999996</v>
      </c>
      <c r="Q218" s="4" cm="1">
        <f t="array" ref="Q218">INDEX(GMW!$A$2:$NF$60,MATCH(1,(GMW!$NE$2:$NE$60=Q$3)*(GMW!$ND$2:$ND$60=Q$4)*(GMW!$NF$2:$NF$60=Q$1),0),$F218-1966)</f>
        <v>-25.118770000000001</v>
      </c>
      <c r="R218" s="4" cm="1">
        <f t="array" ref="R218">INDEX(GMW!$A$2:$NF$60,MATCH(1,(GMW!$NE$2:$NE$60=R$3)*(GMW!$ND$2:$ND$60=R$4)*(GMW!$NF$2:$NF$60=R$1),0),$F218-1966)</f>
        <v>-40.601590000000002</v>
      </c>
      <c r="S218" s="4" cm="1">
        <f t="array" ref="S218">INDEX(GMW!$A$2:$NF$60,MATCH(1,(GMW!$NE$2:$NE$60=S$3)*(GMW!$ND$2:$ND$60=S$4)*(GMW!$NF$2:$NF$60=S$1),0),$F218-1966)</f>
        <v>-17.069800000000001</v>
      </c>
      <c r="T218" s="4" cm="1">
        <f t="array" ref="T218">INDEX(GMW!$A$2:$NF$60,MATCH(1,(GMW!$NE$2:$NE$60=T$3)*(GMW!$ND$2:$ND$60=T$4)*(GMW!$NF$2:$NF$60=T$1),0),$F218-1966)</f>
        <v>-21865.03</v>
      </c>
      <c r="U218" s="4" cm="1">
        <f t="array" ref="U218">INDEX(GMW!$A$2:$NF$60,MATCH(1,(GMW!$NE$2:$NE$60=U$3)*(GMW!$ND$2:$ND$60=U$4)*(GMW!$NF$2:$NF$60=U$1),0),$F218-1966)</f>
        <v>3063203</v>
      </c>
      <c r="V218" s="4" cm="1">
        <f t="array" ref="V218">INDEX(GMW!$A$2:$NF$60,MATCH(1,(GMW!$NE$2:$NE$60=V$3)*(GMW!$ND$2:$ND$60=V$4)*(GMW!$NF$2:$NF$60=V$1),0),$F218-1966)</f>
        <v>42488.37</v>
      </c>
      <c r="W218" s="4" cm="1">
        <f t="array" ref="W218">INDEX(GMW!$A$2:$NF$60,MATCH(1,(GMW!$NE$2:$NE$60=W$3)*(GMW!$ND$2:$ND$60=W$4)*(GMW!$NF$2:$NF$60=W$1),0),$F218-1966)</f>
        <v>1372820</v>
      </c>
      <c r="X218" s="4" cm="1">
        <f t="array" ref="X218">INDEX(GMW!$A$2:$NF$60,MATCH(1,(GMW!$NE$2:$NE$60=X$3)*(GMW!$ND$2:$ND$60=X$4)*(GMW!$NF$2:$NF$60=X$1),0),$F218-1966)</f>
        <v>2594.9630000000002</v>
      </c>
      <c r="Y218" s="4" cm="1">
        <f t="array" ref="Y218">INDEX(GMW!$A$2:$NF$60,MATCH(1,(GMW!$NE$2:$NE$60=Y$3)*(GMW!$ND$2:$ND$60=Y$4)*(GMW!$NF$2:$NF$60=Y$1),0),$F218-1966)</f>
        <v>3805.1280000000002</v>
      </c>
      <c r="Z218" s="4" cm="1">
        <f t="array" ref="Z218">INDEX(GMW!$A$2:$NF$60,MATCH(1,(GMW!$NE$2:$NE$60=Z$3)*(GMW!$ND$2:$ND$60=Z$4)*(GMW!$NF$2:$NF$60=Z$1),0),$F218-1966)</f>
        <v>3370.7919999999999</v>
      </c>
      <c r="AA218" s="4" cm="1">
        <f t="array" ref="AA218">INDEX(GMW!$A$2:$NF$60,MATCH(1,(GMW!$NE$2:$NE$60=AA$3)*(GMW!$ND$2:$ND$60=AA$4)*(GMW!$NF$2:$NF$60=AA$1),0),$F218-1966)</f>
        <v>3394659</v>
      </c>
      <c r="AB218" s="4" cm="1">
        <f t="array" ref="AB218">INDEX(GMW!$A$2:$NF$60,MATCH(1,(GMW!$NE$2:$NE$60=AB$3)*(GMW!$ND$2:$ND$60=AB$4)*(GMW!$NF$2:$NF$60=AB$1),0),$F218-1966)</f>
        <v>756665.3</v>
      </c>
      <c r="AC218" s="4" cm="1">
        <f t="array" ref="AC218">INDEX(GMW!$A$2:$NF$60,MATCH(1,(GMW!$NE$2:$NE$60=AC$3)*(GMW!$ND$2:$ND$60=AC$4)*(GMW!$NF$2:$NF$60=AC$1),0),$F218-1966)</f>
        <v>7744.5320000000002</v>
      </c>
      <c r="AD218" s="4" cm="1">
        <f t="array" ref="AD218">INDEX(GMW!$A$2:$NF$60,MATCH(1,(GMW!$NE$2:$NE$60=AD$3)*(GMW!$ND$2:$ND$60=AD$4)*(GMW!$NF$2:$NF$60=AD$1),0),$F218-1966)</f>
        <v>159055.29999999999</v>
      </c>
      <c r="AE218" s="4" cm="1">
        <f t="array" ref="AE218">INDEX(GMW!$A$2:$NF$60,MATCH(1,(GMW!$NE$2:$NE$60=AE$3)*(GMW!$ND$2:$ND$60=AE$4)*(GMW!$NF$2:$NF$60=AE$1),0),$F218-1966)</f>
        <v>1123.895</v>
      </c>
      <c r="AF218" s="4" cm="1">
        <f t="array" ref="AF218">INDEX(GMW!$A$2:$NF$60,MATCH(1,(GMW!$NE$2:$NE$60=AF$3)*(GMW!$ND$2:$ND$60=AF$4)*(GMW!$NF$2:$NF$60=AF$1),0),$F218-1966)</f>
        <v>752.5018</v>
      </c>
      <c r="AG218" s="4" cm="1">
        <f t="array" ref="AG218">INDEX(GMW!$A$2:$NF$60,MATCH(1,(GMW!$NE$2:$NE$60=AG$3)*(GMW!$ND$2:$ND$60=AG$4)*(GMW!$NF$2:$NF$60=AG$1),0),$F218-1966)</f>
        <v>566.43460000000005</v>
      </c>
      <c r="AH218" s="4" cm="1">
        <f t="array" ref="AH218">INDEX(GMW!$A$2:$NF$60,MATCH(1,(GMW!$NE$2:$NE$60=AH$3)*(GMW!$ND$2:$ND$60=AH$4)*(GMW!$NF$2:$NF$60=AH$1),0),$F218-1966)</f>
        <v>795608.4</v>
      </c>
    </row>
    <row r="219" spans="1:34" x14ac:dyDescent="0.25">
      <c r="A219" s="4">
        <v>2026</v>
      </c>
      <c r="B219" s="4">
        <f t="shared" si="68"/>
        <v>2026</v>
      </c>
      <c r="C219" s="4">
        <f t="shared" si="68"/>
        <v>2025</v>
      </c>
      <c r="D219" s="4">
        <f t="shared" si="68"/>
        <v>2025</v>
      </c>
      <c r="F219" s="4">
        <f t="shared" si="59"/>
        <v>2185</v>
      </c>
      <c r="G219" s="4" cm="1">
        <f t="array" ref="G219">INDEX(GMW!$A$2:$NF$60,MATCH(1,(GMW!$NE$2:$NE$60=G$3)*(GMW!$ND$2:$ND$60=G$4)*(GMW!$NF$2:$NF$60=G$1),0),$F219-1966)</f>
        <v>652456.9</v>
      </c>
      <c r="H219" s="4" cm="1">
        <f t="array" ref="H219">INDEX(GMW!$A$2:$NF$60,MATCH(1,(GMW!$NE$2:$NE$60=H$3)*(GMW!$ND$2:$ND$60=H$4)*(GMW!$NF$2:$NF$60=H$1),0),$F219-1966)</f>
        <v>6006.4690000000001</v>
      </c>
      <c r="I219" s="4" cm="1">
        <f t="array" ref="I219">INDEX(GMW!$A$2:$NF$60,MATCH(1,(GMW!$NE$2:$NE$60=I$3)*(GMW!$ND$2:$ND$60=I$4)*(GMW!$NF$2:$NF$60=I$1),0),$F219-1966)</f>
        <v>140776.5</v>
      </c>
      <c r="J219" s="4" cm="1">
        <f t="array" ref="J219">INDEX(GMW!$A$2:$NF$60,MATCH(1,(GMW!$NE$2:$NE$60=J$3)*(GMW!$ND$2:$ND$60=J$4)*(GMW!$NF$2:$NF$60=J$1),0),$F219-1966)</f>
        <v>904.64679999999998</v>
      </c>
      <c r="K219" s="4" cm="1">
        <f t="array" ref="K219">INDEX(GMW!$A$2:$NF$60,MATCH(1,(GMW!$NE$2:$NE$60=K$3)*(GMW!$ND$2:$ND$60=K$4)*(GMW!$NF$2:$NF$60=K$1),0),$F219-1966)</f>
        <v>659.6</v>
      </c>
      <c r="L219" s="4" cm="1">
        <f t="array" ref="L219">INDEX(GMW!$A$2:$NF$60,MATCH(1,(GMW!$NE$2:$NE$60=L$3)*(GMW!$ND$2:$ND$60=L$4)*(GMW!$NF$2:$NF$60=L$1),0),$F219-1966)</f>
        <v>487.01530000000002</v>
      </c>
      <c r="M219" s="4" cm="1">
        <f t="array" ref="M219">INDEX(GMW!$A$2:$NF$60,MATCH(1,(GMW!$NE$2:$NE$60=M$3)*(GMW!$ND$2:$ND$60=M$4)*(GMW!$NF$2:$NF$60=M$1),0),$F219-1966)</f>
        <v>613289.5</v>
      </c>
      <c r="N219" s="4" cm="1">
        <f t="array" ref="N219">INDEX(GMW!$A$2:$NF$60,MATCH(1,(GMW!$NE$2:$NE$60=N$3)*(GMW!$ND$2:$ND$60=N$4)*(GMW!$NF$2:$NF$60=N$1),0),$F219-1966)</f>
        <v>-3114.7190000000001</v>
      </c>
      <c r="O219" s="4" cm="1">
        <f t="array" ref="O219">INDEX(GMW!$A$2:$NF$60,MATCH(1,(GMW!$NE$2:$NE$60=O$3)*(GMW!$ND$2:$ND$60=O$4)*(GMW!$NF$2:$NF$60=O$1),0),$F219-1966)</f>
        <v>-587.45349999999996</v>
      </c>
      <c r="P219" s="4" cm="1">
        <f t="array" ref="P219">INDEX(GMW!$A$2:$NF$60,MATCH(1,(GMW!$NE$2:$NE$60=P$3)*(GMW!$ND$2:$ND$60=P$4)*(GMW!$NF$2:$NF$60=P$1),0),$F219-1966)</f>
        <v>-5623.5309999999999</v>
      </c>
      <c r="Q219" s="4" cm="1">
        <f t="array" ref="Q219">INDEX(GMW!$A$2:$NF$60,MATCH(1,(GMW!$NE$2:$NE$60=Q$3)*(GMW!$ND$2:$ND$60=Q$4)*(GMW!$NF$2:$NF$60=Q$1),0),$F219-1966)</f>
        <v>-27.01379</v>
      </c>
      <c r="R219" s="4" cm="1">
        <f t="array" ref="R219">INDEX(GMW!$A$2:$NF$60,MATCH(1,(GMW!$NE$2:$NE$60=R$3)*(GMW!$ND$2:$ND$60=R$4)*(GMW!$NF$2:$NF$60=R$1),0),$F219-1966)</f>
        <v>-40.9617</v>
      </c>
      <c r="S219" s="4" cm="1">
        <f t="array" ref="S219">INDEX(GMW!$A$2:$NF$60,MATCH(1,(GMW!$NE$2:$NE$60=S$3)*(GMW!$ND$2:$ND$60=S$4)*(GMW!$NF$2:$NF$60=S$1),0),$F219-1966)</f>
        <v>-16.005400000000002</v>
      </c>
      <c r="T219" s="4" cm="1">
        <f t="array" ref="T219">INDEX(GMW!$A$2:$NF$60,MATCH(1,(GMW!$NE$2:$NE$60=T$3)*(GMW!$ND$2:$ND$60=T$4)*(GMW!$NF$2:$NF$60=T$1),0),$F219-1966)</f>
        <v>-26063</v>
      </c>
      <c r="U219" s="4" cm="1">
        <f t="array" ref="U219">INDEX(GMW!$A$2:$NF$60,MATCH(1,(GMW!$NE$2:$NE$60=U$3)*(GMW!$ND$2:$ND$60=U$4)*(GMW!$NF$2:$NF$60=U$1),0),$F219-1966)</f>
        <v>3066317</v>
      </c>
      <c r="V219" s="4" cm="1">
        <f t="array" ref="V219">INDEX(GMW!$A$2:$NF$60,MATCH(1,(GMW!$NE$2:$NE$60=V$3)*(GMW!$ND$2:$ND$60=V$4)*(GMW!$NF$2:$NF$60=V$1),0),$F219-1966)</f>
        <v>43075.82</v>
      </c>
      <c r="W219" s="4" cm="1">
        <f t="array" ref="W219">INDEX(GMW!$A$2:$NF$60,MATCH(1,(GMW!$NE$2:$NE$60=W$3)*(GMW!$ND$2:$ND$60=W$4)*(GMW!$NF$2:$NF$60=W$1),0),$F219-1966)</f>
        <v>1378443</v>
      </c>
      <c r="X219" s="4" cm="1">
        <f t="array" ref="X219">INDEX(GMW!$A$2:$NF$60,MATCH(1,(GMW!$NE$2:$NE$60=X$3)*(GMW!$ND$2:$ND$60=X$4)*(GMW!$NF$2:$NF$60=X$1),0),$F219-1966)</f>
        <v>2621.9769999999999</v>
      </c>
      <c r="Y219" s="4" cm="1">
        <f t="array" ref="Y219">INDEX(GMW!$A$2:$NF$60,MATCH(1,(GMW!$NE$2:$NE$60=Y$3)*(GMW!$ND$2:$ND$60=Y$4)*(GMW!$NF$2:$NF$60=Y$1),0),$F219-1966)</f>
        <v>3846.09</v>
      </c>
      <c r="Z219" s="4" cm="1">
        <f t="array" ref="Z219">INDEX(GMW!$A$2:$NF$60,MATCH(1,(GMW!$NE$2:$NE$60=Z$3)*(GMW!$ND$2:$ND$60=Z$4)*(GMW!$NF$2:$NF$60=Z$1),0),$F219-1966)</f>
        <v>3399.1460000000002</v>
      </c>
      <c r="AA219" s="4" cm="1">
        <f t="array" ref="AA219">INDEX(GMW!$A$2:$NF$60,MATCH(1,(GMW!$NE$2:$NE$60=AA$3)*(GMW!$ND$2:$ND$60=AA$4)*(GMW!$NF$2:$NF$60=AA$1),0),$F219-1966)</f>
        <v>3420722</v>
      </c>
      <c r="AB219" s="4" cm="1">
        <f t="array" ref="AB219">INDEX(GMW!$A$2:$NF$60,MATCH(1,(GMW!$NE$2:$NE$60=AB$3)*(GMW!$ND$2:$ND$60=AB$4)*(GMW!$NF$2:$NF$60=AB$1),0),$F219-1966)</f>
        <v>762843.4</v>
      </c>
      <c r="AC219" s="4" cm="1">
        <f t="array" ref="AC219">INDEX(GMW!$A$2:$NF$60,MATCH(1,(GMW!$NE$2:$NE$60=AC$3)*(GMW!$ND$2:$ND$60=AC$4)*(GMW!$NF$2:$NF$60=AC$1),0),$F219-1966)</f>
        <v>7821.8729999999996</v>
      </c>
      <c r="AD219" s="4" cm="1">
        <f t="array" ref="AD219">INDEX(GMW!$A$2:$NF$60,MATCH(1,(GMW!$NE$2:$NE$60=AD$3)*(GMW!$ND$2:$ND$60=AD$4)*(GMW!$NF$2:$NF$60=AD$1),0),$F219-1966)</f>
        <v>159594.6</v>
      </c>
      <c r="AE219" s="4" cm="1">
        <f t="array" ref="AE219">INDEX(GMW!$A$2:$NF$60,MATCH(1,(GMW!$NE$2:$NE$60=AE$3)*(GMW!$ND$2:$ND$60=AE$4)*(GMW!$NF$2:$NF$60=AE$1),0),$F219-1966)</f>
        <v>1132.4680000000001</v>
      </c>
      <c r="AF219" s="4" cm="1">
        <f t="array" ref="AF219">INDEX(GMW!$A$2:$NF$60,MATCH(1,(GMW!$NE$2:$NE$60=AF$3)*(GMW!$ND$2:$ND$60=AF$4)*(GMW!$NF$2:$NF$60=AF$1),0),$F219-1966)</f>
        <v>757.35299999999995</v>
      </c>
      <c r="AG219" s="4" cm="1">
        <f t="array" ref="AG219">INDEX(GMW!$A$2:$NF$60,MATCH(1,(GMW!$NE$2:$NE$60=AG$3)*(GMW!$ND$2:$ND$60=AG$4)*(GMW!$NF$2:$NF$60=AG$1),0),$F219-1966)</f>
        <v>568.40170000000001</v>
      </c>
      <c r="AH219" s="4" cm="1">
        <f t="array" ref="AH219">INDEX(GMW!$A$2:$NF$60,MATCH(1,(GMW!$NE$2:$NE$60=AH$3)*(GMW!$ND$2:$ND$60=AH$4)*(GMW!$NF$2:$NF$60=AH$1),0),$F219-1966)</f>
        <v>800203.4</v>
      </c>
    </row>
    <row r="220" spans="1:34" x14ac:dyDescent="0.25">
      <c r="B220" s="4">
        <f t="shared" ref="B220:D235" si="73">+B216+1</f>
        <v>2026</v>
      </c>
      <c r="C220" s="4">
        <f t="shared" si="73"/>
        <v>2026</v>
      </c>
      <c r="F220" s="4">
        <f t="shared" si="59"/>
        <v>2186</v>
      </c>
      <c r="G220" s="4" cm="1">
        <f t="array" ref="G220">INDEX(GMW!$A$2:$NF$60,MATCH(1,(GMW!$NE$2:$NE$60=G$3)*(GMW!$ND$2:$ND$60=G$4)*(GMW!$NF$2:$NF$60=G$1),0),$F220-1966)</f>
        <v>653991</v>
      </c>
      <c r="H220" s="4" cm="1">
        <f t="array" ref="H220">INDEX(GMW!$A$2:$NF$60,MATCH(1,(GMW!$NE$2:$NE$60=H$3)*(GMW!$ND$2:$ND$60=H$4)*(GMW!$NF$2:$NF$60=H$1),0),$F220-1966)</f>
        <v>6037.9030000000002</v>
      </c>
      <c r="I220" s="4" cm="1">
        <f t="array" ref="I220">INDEX(GMW!$A$2:$NF$60,MATCH(1,(GMW!$NE$2:$NE$60=I$3)*(GMW!$ND$2:$ND$60=I$4)*(GMW!$NF$2:$NF$60=I$1),0),$F220-1966)</f>
        <v>141111</v>
      </c>
      <c r="J220" s="4" cm="1">
        <f t="array" ref="J220">INDEX(GMW!$A$2:$NF$60,MATCH(1,(GMW!$NE$2:$NE$60=J$3)*(GMW!$ND$2:$ND$60=J$4)*(GMW!$NF$2:$NF$60=J$1),0),$F220-1966)</f>
        <v>907.73050000000001</v>
      </c>
      <c r="K220" s="4" cm="1">
        <f t="array" ref="K220">INDEX(GMW!$A$2:$NF$60,MATCH(1,(GMW!$NE$2:$NE$60=K$3)*(GMW!$ND$2:$ND$60=K$4)*(GMW!$NF$2:$NF$60=K$1),0),$F220-1966)</f>
        <v>660.71</v>
      </c>
      <c r="L220" s="4" cm="1">
        <f t="array" ref="L220">INDEX(GMW!$A$2:$NF$60,MATCH(1,(GMW!$NE$2:$NE$60=L$3)*(GMW!$ND$2:$ND$60=L$4)*(GMW!$NF$2:$NF$60=L$1),0),$F220-1966)</f>
        <v>487.72149999999999</v>
      </c>
      <c r="M220" s="4" cm="1">
        <f t="array" ref="M220">INDEX(GMW!$A$2:$NF$60,MATCH(1,(GMW!$NE$2:$NE$60=M$3)*(GMW!$ND$2:$ND$60=M$4)*(GMW!$NF$2:$NF$60=M$1),0),$F220-1966)</f>
        <v>615261.9</v>
      </c>
      <c r="N220" s="4" cm="1">
        <f t="array" ref="N220">INDEX(GMW!$A$2:$NF$60,MATCH(1,(GMW!$NE$2:$NE$60=N$3)*(GMW!$ND$2:$ND$60=N$4)*(GMW!$NF$2:$NF$60=N$1),0),$F220-1966)</f>
        <v>-43939.06</v>
      </c>
      <c r="O220" s="4" cm="1">
        <f t="array" ref="O220">INDEX(GMW!$A$2:$NF$60,MATCH(1,(GMW!$NE$2:$NE$60=O$3)*(GMW!$ND$2:$ND$60=O$4)*(GMW!$NF$2:$NF$60=O$1),0),$F220-1966)</f>
        <v>-611.72299999999996</v>
      </c>
      <c r="P220" s="4" cm="1">
        <f t="array" ref="P220">INDEX(GMW!$A$2:$NF$60,MATCH(1,(GMW!$NE$2:$NE$60=P$3)*(GMW!$ND$2:$ND$60=P$4)*(GMW!$NF$2:$NF$60=P$1),0),$F220-1966)</f>
        <v>-5642.4610000000002</v>
      </c>
      <c r="Q220" s="4" cm="1">
        <f t="array" ref="Q220">INDEX(GMW!$A$2:$NF$60,MATCH(1,(GMW!$NE$2:$NE$60=Q$3)*(GMW!$ND$2:$ND$60=Q$4)*(GMW!$NF$2:$NF$60=Q$1),0),$F220-1966)</f>
        <v>-28.969480000000001</v>
      </c>
      <c r="R220" s="4" cm="1">
        <f t="array" ref="R220">INDEX(GMW!$A$2:$NF$60,MATCH(1,(GMW!$NE$2:$NE$60=R$3)*(GMW!$ND$2:$ND$60=R$4)*(GMW!$NF$2:$NF$60=R$1),0),$F220-1966)</f>
        <v>-41.114620000000002</v>
      </c>
      <c r="S220" s="4" cm="1">
        <f t="array" ref="S220">INDEX(GMW!$A$2:$NF$60,MATCH(1,(GMW!$NE$2:$NE$60=S$3)*(GMW!$ND$2:$ND$60=S$4)*(GMW!$NF$2:$NF$60=S$1),0),$F220-1966)</f>
        <v>-15.966100000000001</v>
      </c>
      <c r="T220" s="4" cm="1">
        <f t="array" ref="T220">INDEX(GMW!$A$2:$NF$60,MATCH(1,(GMW!$NE$2:$NE$60=T$3)*(GMW!$ND$2:$ND$60=T$4)*(GMW!$NF$2:$NF$60=T$1),0),$F220-1966)</f>
        <v>-28244.720000000001</v>
      </c>
      <c r="U220" s="4" cm="1">
        <f t="array" ref="U220">INDEX(GMW!$A$2:$NF$60,MATCH(1,(GMW!$NE$2:$NE$60=U$3)*(GMW!$ND$2:$ND$60=U$4)*(GMW!$NF$2:$NF$60=U$1),0),$F220-1966)</f>
        <v>3110256</v>
      </c>
      <c r="V220" s="4" cm="1">
        <f t="array" ref="V220">INDEX(GMW!$A$2:$NF$60,MATCH(1,(GMW!$NE$2:$NE$60=V$3)*(GMW!$ND$2:$ND$60=V$4)*(GMW!$NF$2:$NF$60=V$1),0),$F220-1966)</f>
        <v>43687.55</v>
      </c>
      <c r="W220" s="4" cm="1">
        <f t="array" ref="W220">INDEX(GMW!$A$2:$NF$60,MATCH(1,(GMW!$NE$2:$NE$60=W$3)*(GMW!$ND$2:$ND$60=W$4)*(GMW!$NF$2:$NF$60=W$1),0),$F220-1966)</f>
        <v>1384086</v>
      </c>
      <c r="X220" s="4" cm="1">
        <f t="array" ref="X220">INDEX(GMW!$A$2:$NF$60,MATCH(1,(GMW!$NE$2:$NE$60=X$3)*(GMW!$ND$2:$ND$60=X$4)*(GMW!$NF$2:$NF$60=X$1),0),$F220-1966)</f>
        <v>2650.9470000000001</v>
      </c>
      <c r="Y220" s="4" cm="1">
        <f t="array" ref="Y220">INDEX(GMW!$A$2:$NF$60,MATCH(1,(GMW!$NE$2:$NE$60=Y$3)*(GMW!$ND$2:$ND$60=Y$4)*(GMW!$NF$2:$NF$60=Y$1),0),$F220-1966)</f>
        <v>3887.2040000000002</v>
      </c>
      <c r="Z220" s="4" cm="1">
        <f t="array" ref="Z220">INDEX(GMW!$A$2:$NF$60,MATCH(1,(GMW!$NE$2:$NE$60=Z$3)*(GMW!$ND$2:$ND$60=Z$4)*(GMW!$NF$2:$NF$60=Z$1),0),$F220-1966)</f>
        <v>3427.4609999999998</v>
      </c>
      <c r="AA220" s="4" cm="1">
        <f t="array" ref="AA220">INDEX(GMW!$A$2:$NF$60,MATCH(1,(GMW!$NE$2:$NE$60=AA$3)*(GMW!$ND$2:$ND$60=AA$4)*(GMW!$NF$2:$NF$60=AA$1),0),$F220-1966)</f>
        <v>3448967</v>
      </c>
      <c r="AB220" s="4" cm="1">
        <f t="array" ref="AB220">INDEX(GMW!$A$2:$NF$60,MATCH(1,(GMW!$NE$2:$NE$60=AB$3)*(GMW!$ND$2:$ND$60=AB$4)*(GMW!$NF$2:$NF$60=AB$1),0),$F220-1966)</f>
        <v>768765.9</v>
      </c>
      <c r="AC220" s="4" cm="1">
        <f t="array" ref="AC220">INDEX(GMW!$A$2:$NF$60,MATCH(1,(GMW!$NE$2:$NE$60=AC$3)*(GMW!$ND$2:$ND$60=AC$4)*(GMW!$NF$2:$NF$60=AC$1),0),$F220-1966)</f>
        <v>7895.5039999999999</v>
      </c>
      <c r="AD220" s="4" cm="1">
        <f t="array" ref="AD220">INDEX(GMW!$A$2:$NF$60,MATCH(1,(GMW!$NE$2:$NE$60=AD$3)*(GMW!$ND$2:$ND$60=AD$4)*(GMW!$NF$2:$NF$60=AD$1),0),$F220-1966)</f>
        <v>160302.39999999999</v>
      </c>
      <c r="AE220" s="4" cm="1">
        <f t="array" ref="AE220">INDEX(GMW!$A$2:$NF$60,MATCH(1,(GMW!$NE$2:$NE$60=AE$3)*(GMW!$ND$2:$ND$60=AE$4)*(GMW!$NF$2:$NF$60=AE$1),0),$F220-1966)</f>
        <v>1143.097</v>
      </c>
      <c r="AF220" s="4" cm="1">
        <f t="array" ref="AF220">INDEX(GMW!$A$2:$NF$60,MATCH(1,(GMW!$NE$2:$NE$60=AF$3)*(GMW!$ND$2:$ND$60=AF$4)*(GMW!$NF$2:$NF$60=AF$1),0),$F220-1966)</f>
        <v>762.12300000000005</v>
      </c>
      <c r="AG220" s="4" cm="1">
        <f t="array" ref="AG220">INDEX(GMW!$A$2:$NF$60,MATCH(1,(GMW!$NE$2:$NE$60=AG$3)*(GMW!$ND$2:$ND$60=AG$4)*(GMW!$NF$2:$NF$60=AG$1),0),$F220-1966)</f>
        <v>570.63009999999997</v>
      </c>
      <c r="AH220" s="4" cm="1">
        <f t="array" ref="AH220">INDEX(GMW!$A$2:$NF$60,MATCH(1,(GMW!$NE$2:$NE$60=AH$3)*(GMW!$ND$2:$ND$60=AH$4)*(GMW!$NF$2:$NF$60=AH$1),0),$F220-1966)</f>
        <v>806265.9</v>
      </c>
    </row>
    <row r="221" spans="1:34" x14ac:dyDescent="0.25">
      <c r="B221" s="4">
        <f t="shared" si="73"/>
        <v>2026</v>
      </c>
      <c r="C221" s="4">
        <f t="shared" si="73"/>
        <v>2026</v>
      </c>
      <c r="F221" s="4">
        <f t="shared" si="59"/>
        <v>2187</v>
      </c>
      <c r="G221" s="4" cm="1">
        <f t="array" ref="G221">INDEX(GMW!$A$2:$NF$60,MATCH(1,(GMW!$NE$2:$NE$60=G$3)*(GMW!$ND$2:$ND$60=G$4)*(GMW!$NF$2:$NF$60=G$1),0),$F221-1966)</f>
        <v>655625.9</v>
      </c>
      <c r="H221" s="4" cm="1">
        <f t="array" ref="H221">INDEX(GMW!$A$2:$NF$60,MATCH(1,(GMW!$NE$2:$NE$60=H$3)*(GMW!$ND$2:$ND$60=H$4)*(GMW!$NF$2:$NF$60=H$1),0),$F221-1966)</f>
        <v>6072.8069999999998</v>
      </c>
      <c r="I221" s="4" cm="1">
        <f t="array" ref="I221">INDEX(GMW!$A$2:$NF$60,MATCH(1,(GMW!$NE$2:$NE$60=I$3)*(GMW!$ND$2:$ND$60=I$4)*(GMW!$NF$2:$NF$60=I$1),0),$F221-1966)</f>
        <v>141371.1</v>
      </c>
      <c r="J221" s="4" cm="1">
        <f t="array" ref="J221">INDEX(GMW!$A$2:$NF$60,MATCH(1,(GMW!$NE$2:$NE$60=J$3)*(GMW!$ND$2:$ND$60=J$4)*(GMW!$NF$2:$NF$60=J$1),0),$F221-1966)</f>
        <v>911.37779999999998</v>
      </c>
      <c r="K221" s="4" cm="1">
        <f t="array" ref="K221">INDEX(GMW!$A$2:$NF$60,MATCH(1,(GMW!$NE$2:$NE$60=K$3)*(GMW!$ND$2:$ND$60=K$4)*(GMW!$NF$2:$NF$60=K$1),0),$F221-1966)</f>
        <v>662.22</v>
      </c>
      <c r="L221" s="4" cm="1">
        <f t="array" ref="L221">INDEX(GMW!$A$2:$NF$60,MATCH(1,(GMW!$NE$2:$NE$60=L$3)*(GMW!$ND$2:$ND$60=L$4)*(GMW!$NF$2:$NF$60=L$1),0),$F221-1966)</f>
        <v>488.65789999999998</v>
      </c>
      <c r="M221" s="4" cm="1">
        <f t="array" ref="M221">INDEX(GMW!$A$2:$NF$60,MATCH(1,(GMW!$NE$2:$NE$60=M$3)*(GMW!$ND$2:$ND$60=M$4)*(GMW!$NF$2:$NF$60=M$1),0),$F221-1966)</f>
        <v>618522.80000000005</v>
      </c>
      <c r="N221" s="4" cm="1">
        <f t="array" ref="N221">INDEX(GMW!$A$2:$NF$60,MATCH(1,(GMW!$NE$2:$NE$60=N$3)*(GMW!$ND$2:$ND$60=N$4)*(GMW!$NF$2:$NF$60=N$1),0),$F221-1966)</f>
        <v>-21455.53</v>
      </c>
      <c r="O221" s="4" cm="1">
        <f t="array" ref="O221">INDEX(GMW!$A$2:$NF$60,MATCH(1,(GMW!$NE$2:$NE$60=O$3)*(GMW!$ND$2:$ND$60=O$4)*(GMW!$NF$2:$NF$60=O$1),0),$F221-1966)</f>
        <v>-644.40049999999997</v>
      </c>
      <c r="P221" s="4" cm="1">
        <f t="array" ref="P221">INDEX(GMW!$A$2:$NF$60,MATCH(1,(GMW!$NE$2:$NE$60=P$3)*(GMW!$ND$2:$ND$60=P$4)*(GMW!$NF$2:$NF$60=P$1),0),$F221-1966)</f>
        <v>-5642.9769999999999</v>
      </c>
      <c r="Q221" s="4" cm="1">
        <f t="array" ref="Q221">INDEX(GMW!$A$2:$NF$60,MATCH(1,(GMW!$NE$2:$NE$60=Q$3)*(GMW!$ND$2:$ND$60=Q$4)*(GMW!$NF$2:$NF$60=Q$1),0),$F221-1966)</f>
        <v>-30.293330000000001</v>
      </c>
      <c r="R221" s="4" cm="1">
        <f t="array" ref="R221">INDEX(GMW!$A$2:$NF$60,MATCH(1,(GMW!$NE$2:$NE$60=R$3)*(GMW!$ND$2:$ND$60=R$4)*(GMW!$NF$2:$NF$60=R$1),0),$F221-1966)</f>
        <v>-41.056609999999999</v>
      </c>
      <c r="S221" s="4" cm="1">
        <f t="array" ref="S221">INDEX(GMW!$A$2:$NF$60,MATCH(1,(GMW!$NE$2:$NE$60=S$3)*(GMW!$ND$2:$ND$60=S$4)*(GMW!$NF$2:$NF$60=S$1),0),$F221-1966)</f>
        <v>-15.99982</v>
      </c>
      <c r="T221" s="4" cm="1">
        <f t="array" ref="T221">INDEX(GMW!$A$2:$NF$60,MATCH(1,(GMW!$NE$2:$NE$60=T$3)*(GMW!$ND$2:$ND$60=T$4)*(GMW!$NF$2:$NF$60=T$1),0),$F221-1966)</f>
        <v>-31280.63</v>
      </c>
      <c r="U221" s="4" cm="1">
        <f t="array" ref="U221">INDEX(GMW!$A$2:$NF$60,MATCH(1,(GMW!$NE$2:$NE$60=U$3)*(GMW!$ND$2:$ND$60=U$4)*(GMW!$NF$2:$NF$60=U$1),0),$F221-1966)</f>
        <v>3131712</v>
      </c>
      <c r="V221" s="4" cm="1">
        <f t="array" ref="V221">INDEX(GMW!$A$2:$NF$60,MATCH(1,(GMW!$NE$2:$NE$60=V$3)*(GMW!$ND$2:$ND$60=V$4)*(GMW!$NF$2:$NF$60=V$1),0),$F221-1966)</f>
        <v>44331.95</v>
      </c>
      <c r="W221" s="4" cm="1">
        <f t="array" ref="W221">INDEX(GMW!$A$2:$NF$60,MATCH(1,(GMW!$NE$2:$NE$60=W$3)*(GMW!$ND$2:$ND$60=W$4)*(GMW!$NF$2:$NF$60=W$1),0),$F221-1966)</f>
        <v>1389729</v>
      </c>
      <c r="X221" s="4" cm="1">
        <f t="array" ref="X221">INDEX(GMW!$A$2:$NF$60,MATCH(1,(GMW!$NE$2:$NE$60=X$3)*(GMW!$ND$2:$ND$60=X$4)*(GMW!$NF$2:$NF$60=X$1),0),$F221-1966)</f>
        <v>2681.24</v>
      </c>
      <c r="Y221" s="4" cm="1">
        <f t="array" ref="Y221">INDEX(GMW!$A$2:$NF$60,MATCH(1,(GMW!$NE$2:$NE$60=Y$3)*(GMW!$ND$2:$ND$60=Y$4)*(GMW!$NF$2:$NF$60=Y$1),0),$F221-1966)</f>
        <v>3928.261</v>
      </c>
      <c r="Z221" s="4" cm="1">
        <f t="array" ref="Z221">INDEX(GMW!$A$2:$NF$60,MATCH(1,(GMW!$NE$2:$NE$60=Z$3)*(GMW!$ND$2:$ND$60=Z$4)*(GMW!$NF$2:$NF$60=Z$1),0),$F221-1966)</f>
        <v>3455.8090000000002</v>
      </c>
      <c r="AA221" s="4" cm="1">
        <f t="array" ref="AA221">INDEX(GMW!$A$2:$NF$60,MATCH(1,(GMW!$NE$2:$NE$60=AA$3)*(GMW!$ND$2:$ND$60=AA$4)*(GMW!$NF$2:$NF$60=AA$1),0),$F221-1966)</f>
        <v>3480248</v>
      </c>
      <c r="AB221" s="4" cm="1">
        <f t="array" ref="AB221">INDEX(GMW!$A$2:$NF$60,MATCH(1,(GMW!$NE$2:$NE$60=AB$3)*(GMW!$ND$2:$ND$60=AB$4)*(GMW!$NF$2:$NF$60=AB$1),0),$F221-1966)</f>
        <v>774695.6</v>
      </c>
      <c r="AC221" s="4" cm="1">
        <f t="array" ref="AC221">INDEX(GMW!$A$2:$NF$60,MATCH(1,(GMW!$NE$2:$NE$60=AC$3)*(GMW!$ND$2:$ND$60=AC$4)*(GMW!$NF$2:$NF$60=AC$1),0),$F221-1966)</f>
        <v>7974.35</v>
      </c>
      <c r="AD221" s="4" cm="1">
        <f t="array" ref="AD221">INDEX(GMW!$A$2:$NF$60,MATCH(1,(GMW!$NE$2:$NE$60=AD$3)*(GMW!$ND$2:$ND$60=AD$4)*(GMW!$NF$2:$NF$60=AD$1),0),$F221-1966)</f>
        <v>160843.1</v>
      </c>
      <c r="AE221" s="4" cm="1">
        <f t="array" ref="AE221">INDEX(GMW!$A$2:$NF$60,MATCH(1,(GMW!$NE$2:$NE$60=AE$3)*(GMW!$ND$2:$ND$60=AE$4)*(GMW!$NF$2:$NF$60=AE$1),0),$F221-1966)</f>
        <v>1155.1510000000001</v>
      </c>
      <c r="AF221" s="4" cm="1">
        <f t="array" ref="AF221">INDEX(GMW!$A$2:$NF$60,MATCH(1,(GMW!$NE$2:$NE$60=AF$3)*(GMW!$ND$2:$ND$60=AF$4)*(GMW!$NF$2:$NF$60=AF$1),0),$F221-1966)</f>
        <v>767.49019999999996</v>
      </c>
      <c r="AG221" s="4" cm="1">
        <f t="array" ref="AG221">INDEX(GMW!$A$2:$NF$60,MATCH(1,(GMW!$NE$2:$NE$60=AG$3)*(GMW!$ND$2:$ND$60=AG$4)*(GMW!$NF$2:$NF$60=AG$1),0),$F221-1966)</f>
        <v>573.57249999999999</v>
      </c>
      <c r="AH221" s="4" cm="1">
        <f t="array" ref="AH221">INDEX(GMW!$A$2:$NF$60,MATCH(1,(GMW!$NE$2:$NE$60=AH$3)*(GMW!$ND$2:$ND$60=AH$4)*(GMW!$NF$2:$NF$60=AH$1),0),$F221-1966)</f>
        <v>814686.4</v>
      </c>
    </row>
    <row r="222" spans="1:34" x14ac:dyDescent="0.25">
      <c r="B222" s="4">
        <f t="shared" si="73"/>
        <v>2026</v>
      </c>
      <c r="C222" s="4">
        <f t="shared" si="73"/>
        <v>2026</v>
      </c>
      <c r="E222" s="4">
        <f t="shared" ref="E222" si="74">+E218+1</f>
        <v>2026</v>
      </c>
      <c r="F222" s="4">
        <f t="shared" si="59"/>
        <v>2188</v>
      </c>
      <c r="G222" s="4" cm="1">
        <f t="array" ref="G222">INDEX(GMW!$A$2:$NF$60,MATCH(1,(GMW!$NE$2:$NE$60=G$3)*(GMW!$ND$2:$ND$60=G$4)*(GMW!$NF$2:$NF$60=G$1),0),$F222-1966)</f>
        <v>657559.6</v>
      </c>
      <c r="H222" s="4" cm="1">
        <f t="array" ref="H222">INDEX(GMW!$A$2:$NF$60,MATCH(1,(GMW!$NE$2:$NE$60=H$3)*(GMW!$ND$2:$ND$60=H$4)*(GMW!$NF$2:$NF$60=H$1),0),$F222-1966)</f>
        <v>6110.2219999999998</v>
      </c>
      <c r="I222" s="4" cm="1">
        <f t="array" ref="I222">INDEX(GMW!$A$2:$NF$60,MATCH(1,(GMW!$NE$2:$NE$60=I$3)*(GMW!$ND$2:$ND$60=I$4)*(GMW!$NF$2:$NF$60=I$1),0),$F222-1966)</f>
        <v>141568.4</v>
      </c>
      <c r="J222" s="4" cm="1">
        <f t="array" ref="J222">INDEX(GMW!$A$2:$NF$60,MATCH(1,(GMW!$NE$2:$NE$60=J$3)*(GMW!$ND$2:$ND$60=J$4)*(GMW!$NF$2:$NF$60=J$1),0),$F222-1966)</f>
        <v>915.76369999999997</v>
      </c>
      <c r="K222" s="4" cm="1">
        <f t="array" ref="K222">INDEX(GMW!$A$2:$NF$60,MATCH(1,(GMW!$NE$2:$NE$60=K$3)*(GMW!$ND$2:$ND$60=K$4)*(GMW!$NF$2:$NF$60=K$1),0),$F222-1966)</f>
        <v>664.17</v>
      </c>
      <c r="L222" s="4" cm="1">
        <f t="array" ref="L222">INDEX(GMW!$A$2:$NF$60,MATCH(1,(GMW!$NE$2:$NE$60=L$3)*(GMW!$ND$2:$ND$60=L$4)*(GMW!$NF$2:$NF$60=L$1),0),$F222-1966)</f>
        <v>489.57639999999998</v>
      </c>
      <c r="M222" s="4" cm="1">
        <f t="array" ref="M222">INDEX(GMW!$A$2:$NF$60,MATCH(1,(GMW!$NE$2:$NE$60=M$3)*(GMW!$ND$2:$ND$60=M$4)*(GMW!$NF$2:$NF$60=M$1),0),$F222-1966)</f>
        <v>623312.1</v>
      </c>
      <c r="N222" s="4" cm="1">
        <f t="array" ref="N222">INDEX(GMW!$A$2:$NF$60,MATCH(1,(GMW!$NE$2:$NE$60=N$3)*(GMW!$ND$2:$ND$60=N$4)*(GMW!$NF$2:$NF$60=N$1),0),$F222-1966)</f>
        <v>-41569.660000000003</v>
      </c>
      <c r="O222" s="4" cm="1">
        <f t="array" ref="O222">INDEX(GMW!$A$2:$NF$60,MATCH(1,(GMW!$NE$2:$NE$60=O$3)*(GMW!$ND$2:$ND$60=O$4)*(GMW!$NF$2:$NF$60=O$1),0),$F222-1966)</f>
        <v>-645.74969999999996</v>
      </c>
      <c r="P222" s="4" cm="1">
        <f t="array" ref="P222">INDEX(GMW!$A$2:$NF$60,MATCH(1,(GMW!$NE$2:$NE$60=P$3)*(GMW!$ND$2:$ND$60=P$4)*(GMW!$NF$2:$NF$60=P$1),0),$F222-1966)</f>
        <v>-5601.3980000000001</v>
      </c>
      <c r="Q222" s="4" cm="1">
        <f t="array" ref="Q222">INDEX(GMW!$A$2:$NF$60,MATCH(1,(GMW!$NE$2:$NE$60=Q$3)*(GMW!$ND$2:$ND$60=Q$4)*(GMW!$NF$2:$NF$60=Q$1),0),$F222-1966)</f>
        <v>-31.747990000000001</v>
      </c>
      <c r="R222" s="4" cm="1">
        <f t="array" ref="R222">INDEX(GMW!$A$2:$NF$60,MATCH(1,(GMW!$NE$2:$NE$60=R$3)*(GMW!$ND$2:$ND$60=R$4)*(GMW!$NF$2:$NF$60=R$1),0),$F222-1966)</f>
        <v>-41.084780000000002</v>
      </c>
      <c r="S222" s="4" cm="1">
        <f t="array" ref="S222">INDEX(GMW!$A$2:$NF$60,MATCH(1,(GMW!$NE$2:$NE$60=S$3)*(GMW!$ND$2:$ND$60=S$4)*(GMW!$NF$2:$NF$60=S$1),0),$F222-1966)</f>
        <v>-16.270299999999999</v>
      </c>
      <c r="T222" s="4" cm="1">
        <f t="array" ref="T222">INDEX(GMW!$A$2:$NF$60,MATCH(1,(GMW!$NE$2:$NE$60=T$3)*(GMW!$ND$2:$ND$60=T$4)*(GMW!$NF$2:$NF$60=T$1),0),$F222-1966)</f>
        <v>-31095.5</v>
      </c>
      <c r="U222" s="4" cm="1">
        <f t="array" ref="U222">INDEX(GMW!$A$2:$NF$60,MATCH(1,(GMW!$NE$2:$NE$60=U$3)*(GMW!$ND$2:$ND$60=U$4)*(GMW!$NF$2:$NF$60=U$1),0),$F222-1966)</f>
        <v>3173282</v>
      </c>
      <c r="V222" s="4" cm="1">
        <f t="array" ref="V222">INDEX(GMW!$A$2:$NF$60,MATCH(1,(GMW!$NE$2:$NE$60=V$3)*(GMW!$ND$2:$ND$60=V$4)*(GMW!$NF$2:$NF$60=V$1),0),$F222-1966)</f>
        <v>44977.7</v>
      </c>
      <c r="W222" s="4" cm="1">
        <f t="array" ref="W222">INDEX(GMW!$A$2:$NF$60,MATCH(1,(GMW!$NE$2:$NE$60=W$3)*(GMW!$ND$2:$ND$60=W$4)*(GMW!$NF$2:$NF$60=W$1),0),$F222-1966)</f>
        <v>1395330</v>
      </c>
      <c r="X222" s="4" cm="1">
        <f t="array" ref="X222">INDEX(GMW!$A$2:$NF$60,MATCH(1,(GMW!$NE$2:$NE$60=X$3)*(GMW!$ND$2:$ND$60=X$4)*(GMW!$NF$2:$NF$60=X$1),0),$F222-1966)</f>
        <v>2712.9879999999998</v>
      </c>
      <c r="Y222" s="4" cm="1">
        <f t="array" ref="Y222">INDEX(GMW!$A$2:$NF$60,MATCH(1,(GMW!$NE$2:$NE$60=Y$3)*(GMW!$ND$2:$ND$60=Y$4)*(GMW!$NF$2:$NF$60=Y$1),0),$F222-1966)</f>
        <v>3969.3449999999998</v>
      </c>
      <c r="Z222" s="4" cm="1">
        <f t="array" ref="Z222">INDEX(GMW!$A$2:$NF$60,MATCH(1,(GMW!$NE$2:$NE$60=Z$3)*(GMW!$ND$2:$ND$60=Z$4)*(GMW!$NF$2:$NF$60=Z$1),0),$F222-1966)</f>
        <v>3484.4270000000001</v>
      </c>
      <c r="AA222" s="4" cm="1">
        <f t="array" ref="AA222">INDEX(GMW!$A$2:$NF$60,MATCH(1,(GMW!$NE$2:$NE$60=AA$3)*(GMW!$ND$2:$ND$60=AA$4)*(GMW!$NF$2:$NF$60=AA$1),0),$F222-1966)</f>
        <v>3511343</v>
      </c>
      <c r="AB222" s="4" cm="1">
        <f t="array" ref="AB222">INDEX(GMW!$A$2:$NF$60,MATCH(1,(GMW!$NE$2:$NE$60=AB$3)*(GMW!$ND$2:$ND$60=AB$4)*(GMW!$NF$2:$NF$60=AB$1),0),$F222-1966)</f>
        <v>781331.3</v>
      </c>
      <c r="AC222" s="4" cm="1">
        <f t="array" ref="AC222">INDEX(GMW!$A$2:$NF$60,MATCH(1,(GMW!$NE$2:$NE$60=AC$3)*(GMW!$ND$2:$ND$60=AC$4)*(GMW!$NF$2:$NF$60=AC$1),0),$F222-1966)</f>
        <v>8061.0339999999997</v>
      </c>
      <c r="AD222" s="4" cm="1">
        <f t="array" ref="AD222">INDEX(GMW!$A$2:$NF$60,MATCH(1,(GMW!$NE$2:$NE$60=AD$3)*(GMW!$ND$2:$ND$60=AD$4)*(GMW!$NF$2:$NF$60=AD$1),0),$F222-1966)</f>
        <v>161244.5</v>
      </c>
      <c r="AE222" s="4" cm="1">
        <f t="array" ref="AE222">INDEX(GMW!$A$2:$NF$60,MATCH(1,(GMW!$NE$2:$NE$60=AE$3)*(GMW!$ND$2:$ND$60=AE$4)*(GMW!$NF$2:$NF$60=AE$1),0),$F222-1966)</f>
        <v>1167.703</v>
      </c>
      <c r="AF222" s="4" cm="1">
        <f t="array" ref="AF222">INDEX(GMW!$A$2:$NF$60,MATCH(1,(GMW!$NE$2:$NE$60=AF$3)*(GMW!$ND$2:$ND$60=AF$4)*(GMW!$NF$2:$NF$60=AF$1),0),$F222-1966)</f>
        <v>773.17330000000004</v>
      </c>
      <c r="AG222" s="4" cm="1">
        <f t="array" ref="AG222">INDEX(GMW!$A$2:$NF$60,MATCH(1,(GMW!$NE$2:$NE$60=AG$3)*(GMW!$ND$2:$ND$60=AG$4)*(GMW!$NF$2:$NF$60=AG$1),0),$F222-1966)</f>
        <v>576.57719999999995</v>
      </c>
      <c r="AH222" s="4" cm="1">
        <f t="array" ref="AH222">INDEX(GMW!$A$2:$NF$60,MATCH(1,(GMW!$NE$2:$NE$60=AH$3)*(GMW!$ND$2:$ND$60=AH$4)*(GMW!$NF$2:$NF$60=AH$1),0),$F222-1966)</f>
        <v>825120.3</v>
      </c>
    </row>
    <row r="223" spans="1:34" x14ac:dyDescent="0.25">
      <c r="A223" s="4">
        <v>2027</v>
      </c>
      <c r="B223" s="4">
        <f t="shared" si="73"/>
        <v>2027</v>
      </c>
      <c r="C223" s="4">
        <f t="shared" si="73"/>
        <v>2026</v>
      </c>
      <c r="D223" s="4">
        <f t="shared" si="73"/>
        <v>2026</v>
      </c>
      <c r="F223" s="4">
        <f t="shared" si="59"/>
        <v>2189</v>
      </c>
      <c r="G223" s="4" cm="1">
        <f t="array" ref="G223">INDEX(GMW!$A$2:$NF$60,MATCH(1,(GMW!$NE$2:$NE$60=G$3)*(GMW!$ND$2:$ND$60=G$4)*(GMW!$NF$2:$NF$60=G$1),0),$F223-1966)</f>
        <v>659696.69999999995</v>
      </c>
      <c r="H223" s="4" cm="1">
        <f t="array" ref="H223">INDEX(GMW!$A$2:$NF$60,MATCH(1,(GMW!$NE$2:$NE$60=H$3)*(GMW!$ND$2:$ND$60=H$4)*(GMW!$NF$2:$NF$60=H$1),0),$F223-1966)</f>
        <v>6148.098</v>
      </c>
      <c r="I223" s="4" cm="1">
        <f t="array" ref="I223">INDEX(GMW!$A$2:$NF$60,MATCH(1,(GMW!$NE$2:$NE$60=I$3)*(GMW!$ND$2:$ND$60=I$4)*(GMW!$NF$2:$NF$60=I$1),0),$F223-1966)</f>
        <v>141727.70000000001</v>
      </c>
      <c r="J223" s="4" cm="1">
        <f t="array" ref="J223">INDEX(GMW!$A$2:$NF$60,MATCH(1,(GMW!$NE$2:$NE$60=J$3)*(GMW!$ND$2:$ND$60=J$4)*(GMW!$NF$2:$NF$60=J$1),0),$F223-1966)</f>
        <v>920.66610000000003</v>
      </c>
      <c r="K223" s="4" cm="1">
        <f t="array" ref="K223">INDEX(GMW!$A$2:$NF$60,MATCH(1,(GMW!$NE$2:$NE$60=K$3)*(GMW!$ND$2:$ND$60=K$4)*(GMW!$NF$2:$NF$60=K$1),0),$F223-1966)</f>
        <v>666.37</v>
      </c>
      <c r="L223" s="4" cm="1">
        <f t="array" ref="L223">INDEX(GMW!$A$2:$NF$60,MATCH(1,(GMW!$NE$2:$NE$60=L$3)*(GMW!$ND$2:$ND$60=L$4)*(GMW!$NF$2:$NF$60=L$1),0),$F223-1966)</f>
        <v>490.4948</v>
      </c>
      <c r="M223" s="4" cm="1">
        <f t="array" ref="M223">INDEX(GMW!$A$2:$NF$60,MATCH(1,(GMW!$NE$2:$NE$60=M$3)*(GMW!$ND$2:$ND$60=M$4)*(GMW!$NF$2:$NF$60=M$1),0),$F223-1966)</f>
        <v>626933.80000000005</v>
      </c>
      <c r="N223" s="4" cm="1">
        <f t="array" ref="N223">INDEX(GMW!$A$2:$NF$60,MATCH(1,(GMW!$NE$2:$NE$60=N$3)*(GMW!$ND$2:$ND$60=N$4)*(GMW!$NF$2:$NF$60=N$1),0),$F223-1966)</f>
        <v>-766.9375</v>
      </c>
      <c r="O223" s="4" cm="1">
        <f t="array" ref="O223">INDEX(GMW!$A$2:$NF$60,MATCH(1,(GMW!$NE$2:$NE$60=O$3)*(GMW!$ND$2:$ND$60=O$4)*(GMW!$NF$2:$NF$60=O$1),0),$F223-1966)</f>
        <v>-644.42600000000004</v>
      </c>
      <c r="P223" s="4" cm="1">
        <f t="array" ref="P223">INDEX(GMW!$A$2:$NF$60,MATCH(1,(GMW!$NE$2:$NE$60=P$3)*(GMW!$ND$2:$ND$60=P$4)*(GMW!$NF$2:$NF$60=P$1),0),$F223-1966)</f>
        <v>-5559.82</v>
      </c>
      <c r="Q223" s="4" cm="1">
        <f t="array" ref="Q223">INDEX(GMW!$A$2:$NF$60,MATCH(1,(GMW!$NE$2:$NE$60=Q$3)*(GMW!$ND$2:$ND$60=Q$4)*(GMW!$NF$2:$NF$60=Q$1),0),$F223-1966)</f>
        <v>-33.135309999999997</v>
      </c>
      <c r="R223" s="4" cm="1">
        <f t="array" ref="R223">INDEX(GMW!$A$2:$NF$60,MATCH(1,(GMW!$NE$2:$NE$60=R$3)*(GMW!$ND$2:$ND$60=R$4)*(GMW!$NF$2:$NF$60=R$1),0),$F223-1966)</f>
        <v>-40.156100000000002</v>
      </c>
      <c r="S223" s="4" cm="1">
        <f t="array" ref="S223">INDEX(GMW!$A$2:$NF$60,MATCH(1,(GMW!$NE$2:$NE$60=S$3)*(GMW!$ND$2:$ND$60=S$4)*(GMW!$NF$2:$NF$60=S$1),0),$F223-1966)</f>
        <v>-16.193210000000001</v>
      </c>
      <c r="T223" s="4" cm="1">
        <f t="array" ref="T223">INDEX(GMW!$A$2:$NF$60,MATCH(1,(GMW!$NE$2:$NE$60=T$3)*(GMW!$ND$2:$ND$60=T$4)*(GMW!$NF$2:$NF$60=T$1),0),$F223-1966)</f>
        <v>-31125.47</v>
      </c>
      <c r="U223" s="4" cm="1">
        <f t="array" ref="U223">INDEX(GMW!$A$2:$NF$60,MATCH(1,(GMW!$NE$2:$NE$60=U$3)*(GMW!$ND$2:$ND$60=U$4)*(GMW!$NF$2:$NF$60=U$1),0),$F223-1966)</f>
        <v>3174049</v>
      </c>
      <c r="V223" s="4" cm="1">
        <f t="array" ref="V223">INDEX(GMW!$A$2:$NF$60,MATCH(1,(GMW!$NE$2:$NE$60=V$3)*(GMW!$ND$2:$ND$60=V$4)*(GMW!$NF$2:$NF$60=V$1),0),$F223-1966)</f>
        <v>45622.13</v>
      </c>
      <c r="W223" s="4" cm="1">
        <f t="array" ref="W223">INDEX(GMW!$A$2:$NF$60,MATCH(1,(GMW!$NE$2:$NE$60=W$3)*(GMW!$ND$2:$ND$60=W$4)*(GMW!$NF$2:$NF$60=W$1),0),$F223-1966)</f>
        <v>1400890</v>
      </c>
      <c r="X223" s="4" cm="1">
        <f t="array" ref="X223">INDEX(GMW!$A$2:$NF$60,MATCH(1,(GMW!$NE$2:$NE$60=X$3)*(GMW!$ND$2:$ND$60=X$4)*(GMW!$NF$2:$NF$60=X$1),0),$F223-1966)</f>
        <v>2746.123</v>
      </c>
      <c r="Y223" s="4" cm="1">
        <f t="array" ref="Y223">INDEX(GMW!$A$2:$NF$60,MATCH(1,(GMW!$NE$2:$NE$60=Y$3)*(GMW!$ND$2:$ND$60=Y$4)*(GMW!$NF$2:$NF$60=Y$1),0),$F223-1966)</f>
        <v>4009.5010000000002</v>
      </c>
      <c r="Z223" s="4" cm="1">
        <f t="array" ref="Z223">INDEX(GMW!$A$2:$NF$60,MATCH(1,(GMW!$NE$2:$NE$60=Z$3)*(GMW!$ND$2:$ND$60=Z$4)*(GMW!$NF$2:$NF$60=Z$1),0),$F223-1966)</f>
        <v>3504.0740000000001</v>
      </c>
      <c r="AA223" s="4" cm="1">
        <f t="array" ref="AA223">INDEX(GMW!$A$2:$NF$60,MATCH(1,(GMW!$NE$2:$NE$60=AA$3)*(GMW!$ND$2:$ND$60=AA$4)*(GMW!$NF$2:$NF$60=AA$1),0),$F223-1966)</f>
        <v>3542469</v>
      </c>
      <c r="AB223" s="4" cm="1">
        <f t="array" ref="AB223">INDEX(GMW!$A$2:$NF$60,MATCH(1,(GMW!$NE$2:$NE$60=AB$3)*(GMW!$ND$2:$ND$60=AB$4)*(GMW!$NF$2:$NF$60=AB$1),0),$F223-1966)</f>
        <v>788495.5</v>
      </c>
      <c r="AC223" s="4" cm="1">
        <f t="array" ref="AC223">INDEX(GMW!$A$2:$NF$60,MATCH(1,(GMW!$NE$2:$NE$60=AC$3)*(GMW!$ND$2:$ND$60=AC$4)*(GMW!$NF$2:$NF$60=AC$1),0),$F223-1966)</f>
        <v>8150.48</v>
      </c>
      <c r="AD223" s="4" cm="1">
        <f t="array" ref="AD223">INDEX(GMW!$A$2:$NF$60,MATCH(1,(GMW!$NE$2:$NE$60=AD$3)*(GMW!$ND$2:$ND$60=AD$4)*(GMW!$NF$2:$NF$60=AD$1),0),$F223-1966)</f>
        <v>161533.6</v>
      </c>
      <c r="AE223" s="4" cm="1">
        <f t="array" ref="AE223">INDEX(GMW!$A$2:$NF$60,MATCH(1,(GMW!$NE$2:$NE$60=AE$3)*(GMW!$ND$2:$ND$60=AE$4)*(GMW!$NF$2:$NF$60=AE$1),0),$F223-1966)</f>
        <v>1181.2619999999999</v>
      </c>
      <c r="AF223" s="4" cm="1">
        <f t="array" ref="AF223">INDEX(GMW!$A$2:$NF$60,MATCH(1,(GMW!$NE$2:$NE$60=AF$3)*(GMW!$ND$2:$ND$60=AF$4)*(GMW!$NF$2:$NF$60=AF$1),0),$F223-1966)</f>
        <v>779.54129999999998</v>
      </c>
      <c r="AG223" s="4" cm="1">
        <f t="array" ref="AG223">INDEX(GMW!$A$2:$NF$60,MATCH(1,(GMW!$NE$2:$NE$60=AG$3)*(GMW!$ND$2:$ND$60=AG$4)*(GMW!$NF$2:$NF$60=AG$1),0),$F223-1966)</f>
        <v>579.61559999999997</v>
      </c>
      <c r="AH223" s="4" cm="1">
        <f t="array" ref="AH223">INDEX(GMW!$A$2:$NF$60,MATCH(1,(GMW!$NE$2:$NE$60=AH$3)*(GMW!$ND$2:$ND$60=AH$4)*(GMW!$NF$2:$NF$60=AH$1),0),$F223-1966)</f>
        <v>833768.3</v>
      </c>
    </row>
    <row r="224" spans="1:34" x14ac:dyDescent="0.25">
      <c r="B224" s="4">
        <f t="shared" si="73"/>
        <v>2027</v>
      </c>
      <c r="C224" s="4">
        <f t="shared" si="73"/>
        <v>2027</v>
      </c>
      <c r="F224" s="4">
        <f t="shared" si="59"/>
        <v>2190</v>
      </c>
      <c r="G224" s="4" cm="1">
        <f t="array" ref="G224">INDEX(GMW!$A$2:$NF$60,MATCH(1,(GMW!$NE$2:$NE$60=G$3)*(GMW!$ND$2:$ND$60=G$4)*(GMW!$NF$2:$NF$60=G$1),0),$F224-1966)</f>
        <v>662121.6</v>
      </c>
      <c r="H224" s="4" cm="1">
        <f t="array" ref="H224">INDEX(GMW!$A$2:$NF$60,MATCH(1,(GMW!$NE$2:$NE$60=H$3)*(GMW!$ND$2:$ND$60=H$4)*(GMW!$NF$2:$NF$60=H$1),0),$F224-1966)</f>
        <v>6185.6440000000002</v>
      </c>
      <c r="I224" s="4" cm="1">
        <f t="array" ref="I224">INDEX(GMW!$A$2:$NF$60,MATCH(1,(GMW!$NE$2:$NE$60=I$3)*(GMW!$ND$2:$ND$60=I$4)*(GMW!$NF$2:$NF$60=I$1),0),$F224-1966)</f>
        <v>141860.79999999999</v>
      </c>
      <c r="J224" s="4" cm="1">
        <f t="array" ref="J224">INDEX(GMW!$A$2:$NF$60,MATCH(1,(GMW!$NE$2:$NE$60=J$3)*(GMW!$ND$2:$ND$60=J$4)*(GMW!$NF$2:$NF$60=J$1),0),$F224-1966)</f>
        <v>926.09559999999999</v>
      </c>
      <c r="K224" s="4" cm="1">
        <f t="array" ref="K224">INDEX(GMW!$A$2:$NF$60,MATCH(1,(GMW!$NE$2:$NE$60=K$3)*(GMW!$ND$2:$ND$60=K$4)*(GMW!$NF$2:$NF$60=K$1),0),$F224-1966)</f>
        <v>668.74</v>
      </c>
      <c r="L224" s="4" cm="1">
        <f t="array" ref="L224">INDEX(GMW!$A$2:$NF$60,MATCH(1,(GMW!$NE$2:$NE$60=L$3)*(GMW!$ND$2:$ND$60=L$4)*(GMW!$NF$2:$NF$60=L$1),0),$F224-1966)</f>
        <v>491.41320000000002</v>
      </c>
      <c r="M224" s="4" cm="1">
        <f t="array" ref="M224">INDEX(GMW!$A$2:$NF$60,MATCH(1,(GMW!$NE$2:$NE$60=M$3)*(GMW!$ND$2:$ND$60=M$4)*(GMW!$NF$2:$NF$60=M$1),0),$F224-1966)</f>
        <v>631274</v>
      </c>
      <c r="N224" s="4" cm="1">
        <f t="array" ref="N224">INDEX(GMW!$A$2:$NF$60,MATCH(1,(GMW!$NE$2:$NE$60=N$3)*(GMW!$ND$2:$ND$60=N$4)*(GMW!$NF$2:$NF$60=N$1),0),$F224-1966)</f>
        <v>-39941.25</v>
      </c>
      <c r="O224" s="4" cm="1">
        <f t="array" ref="O224">INDEX(GMW!$A$2:$NF$60,MATCH(1,(GMW!$NE$2:$NE$60=O$3)*(GMW!$ND$2:$ND$60=O$4)*(GMW!$NF$2:$NF$60=O$1),0),$F224-1966)</f>
        <v>-648.14170000000001</v>
      </c>
      <c r="P224" s="4" cm="1">
        <f t="array" ref="P224">INDEX(GMW!$A$2:$NF$60,MATCH(1,(GMW!$NE$2:$NE$60=P$3)*(GMW!$ND$2:$ND$60=P$4)*(GMW!$NF$2:$NF$60=P$1),0),$F224-1966)</f>
        <v>-5518.2380000000003</v>
      </c>
      <c r="Q224" s="4" cm="1">
        <f t="array" ref="Q224">INDEX(GMW!$A$2:$NF$60,MATCH(1,(GMW!$NE$2:$NE$60=Q$3)*(GMW!$ND$2:$ND$60=Q$4)*(GMW!$NF$2:$NF$60=Q$1),0),$F224-1966)</f>
        <v>-34.358699999999999</v>
      </c>
      <c r="R224" s="4" cm="1">
        <f t="array" ref="R224">INDEX(GMW!$A$2:$NF$60,MATCH(1,(GMW!$NE$2:$NE$60=R$3)*(GMW!$ND$2:$ND$60=R$4)*(GMW!$NF$2:$NF$60=R$1),0),$F224-1966)</f>
        <v>-40.023409999999998</v>
      </c>
      <c r="S224" s="4" cm="1">
        <f t="array" ref="S224">INDEX(GMW!$A$2:$NF$60,MATCH(1,(GMW!$NE$2:$NE$60=S$3)*(GMW!$ND$2:$ND$60=S$4)*(GMW!$NF$2:$NF$60=S$1),0),$F224-1966)</f>
        <v>-16.255710000000001</v>
      </c>
      <c r="T224" s="4" cm="1">
        <f t="array" ref="T224">INDEX(GMW!$A$2:$NF$60,MATCH(1,(GMW!$NE$2:$NE$60=T$3)*(GMW!$ND$2:$ND$60=T$4)*(GMW!$NF$2:$NF$60=T$1),0),$F224-1966)</f>
        <v>-31332.59</v>
      </c>
      <c r="U224" s="4" cm="1">
        <f t="array" ref="U224">INDEX(GMW!$A$2:$NF$60,MATCH(1,(GMW!$NE$2:$NE$60=U$3)*(GMW!$ND$2:$ND$60=U$4)*(GMW!$NF$2:$NF$60=U$1),0),$F224-1966)</f>
        <v>3213990</v>
      </c>
      <c r="V224" s="4" cm="1">
        <f t="array" ref="V224">INDEX(GMW!$A$2:$NF$60,MATCH(1,(GMW!$NE$2:$NE$60=V$3)*(GMW!$ND$2:$ND$60=V$4)*(GMW!$NF$2:$NF$60=V$1),0),$F224-1966)</f>
        <v>46270.27</v>
      </c>
      <c r="W224" s="4" cm="1">
        <f t="array" ref="W224">INDEX(GMW!$A$2:$NF$60,MATCH(1,(GMW!$NE$2:$NE$60=W$3)*(GMW!$ND$2:$ND$60=W$4)*(GMW!$NF$2:$NF$60=W$1),0),$F224-1966)</f>
        <v>1406408</v>
      </c>
      <c r="X224" s="4" cm="1">
        <f t="array" ref="X224">INDEX(GMW!$A$2:$NF$60,MATCH(1,(GMW!$NE$2:$NE$60=X$3)*(GMW!$ND$2:$ND$60=X$4)*(GMW!$NF$2:$NF$60=X$1),0),$F224-1966)</f>
        <v>2780.482</v>
      </c>
      <c r="Y224" s="4" cm="1">
        <f t="array" ref="Y224">INDEX(GMW!$A$2:$NF$60,MATCH(1,(GMW!$NE$2:$NE$60=Y$3)*(GMW!$ND$2:$ND$60=Y$4)*(GMW!$NF$2:$NF$60=Y$1),0),$F224-1966)</f>
        <v>4049.5250000000001</v>
      </c>
      <c r="Z224" s="4" cm="1">
        <f t="array" ref="Z224">INDEX(GMW!$A$2:$NF$60,MATCH(1,(GMW!$NE$2:$NE$60=Z$3)*(GMW!$ND$2:$ND$60=Z$4)*(GMW!$NF$2:$NF$60=Z$1),0),$F224-1966)</f>
        <v>3523.7840000000001</v>
      </c>
      <c r="AA224" s="4" cm="1">
        <f t="array" ref="AA224">INDEX(GMW!$A$2:$NF$60,MATCH(1,(GMW!$NE$2:$NE$60=AA$3)*(GMW!$ND$2:$ND$60=AA$4)*(GMW!$NF$2:$NF$60=AA$1),0),$F224-1966)</f>
        <v>3573801</v>
      </c>
      <c r="AB224" s="4" cm="1">
        <f t="array" ref="AB224">INDEX(GMW!$A$2:$NF$60,MATCH(1,(GMW!$NE$2:$NE$60=AB$3)*(GMW!$ND$2:$ND$60=AB$4)*(GMW!$NF$2:$NF$60=AB$1),0),$F224-1966)</f>
        <v>796063.3</v>
      </c>
      <c r="AC224" s="4" cm="1">
        <f t="array" ref="AC224">INDEX(GMW!$A$2:$NF$60,MATCH(1,(GMW!$NE$2:$NE$60=AC$3)*(GMW!$ND$2:$ND$60=AC$4)*(GMW!$NF$2:$NF$60=AC$1),0),$F224-1966)</f>
        <v>8240.0460000000003</v>
      </c>
      <c r="AD224" s="4" cm="1">
        <f t="array" ref="AD224">INDEX(GMW!$A$2:$NF$60,MATCH(1,(GMW!$NE$2:$NE$60=AD$3)*(GMW!$ND$2:$ND$60=AD$4)*(GMW!$NF$2:$NF$60=AD$1),0),$F224-1966)</f>
        <v>161895.9</v>
      </c>
      <c r="AE224" s="4" cm="1">
        <f t="array" ref="AE224">INDEX(GMW!$A$2:$NF$60,MATCH(1,(GMW!$NE$2:$NE$60=AE$3)*(GMW!$ND$2:$ND$60=AE$4)*(GMW!$NF$2:$NF$60=AE$1),0),$F224-1966)</f>
        <v>1195.8489999999999</v>
      </c>
      <c r="AF224" s="4" cm="1">
        <f t="array" ref="AF224">INDEX(GMW!$A$2:$NF$60,MATCH(1,(GMW!$NE$2:$NE$60=AF$3)*(GMW!$ND$2:$ND$60=AF$4)*(GMW!$NF$2:$NF$60=AF$1),0),$F224-1966)</f>
        <v>786.25570000000005</v>
      </c>
      <c r="AG224" s="4" cm="1">
        <f t="array" ref="AG224">INDEX(GMW!$A$2:$NF$60,MATCH(1,(GMW!$NE$2:$NE$60=AG$3)*(GMW!$ND$2:$ND$60=AG$4)*(GMW!$NF$2:$NF$60=AG$1),0),$F224-1966)</f>
        <v>583.09500000000003</v>
      </c>
      <c r="AH224" s="4" cm="1">
        <f t="array" ref="AH224">INDEX(GMW!$A$2:$NF$60,MATCH(1,(GMW!$NE$2:$NE$60=AH$3)*(GMW!$ND$2:$ND$60=AH$4)*(GMW!$NF$2:$NF$60=AH$1),0),$F224-1966)</f>
        <v>843685.9</v>
      </c>
    </row>
    <row r="225" spans="1:34" x14ac:dyDescent="0.25">
      <c r="B225" s="4">
        <f t="shared" si="73"/>
        <v>2027</v>
      </c>
      <c r="C225" s="4">
        <f t="shared" si="73"/>
        <v>2027</v>
      </c>
      <c r="F225" s="4">
        <f t="shared" si="59"/>
        <v>2191</v>
      </c>
      <c r="G225" s="4" cm="1">
        <f t="array" ref="G225">INDEX(GMW!$A$2:$NF$60,MATCH(1,(GMW!$NE$2:$NE$60=G$3)*(GMW!$ND$2:$ND$60=G$4)*(GMW!$NF$2:$NF$60=G$1),0),$F225-1966)</f>
        <v>664902.40000000002</v>
      </c>
      <c r="H225" s="4" cm="1">
        <f t="array" ref="H225">INDEX(GMW!$A$2:$NF$60,MATCH(1,(GMW!$NE$2:$NE$60=H$3)*(GMW!$ND$2:$ND$60=H$4)*(GMW!$NF$2:$NF$60=H$1),0),$F225-1966)</f>
        <v>6222.7290000000003</v>
      </c>
      <c r="I225" s="4" cm="1">
        <f t="array" ref="I225">INDEX(GMW!$A$2:$NF$60,MATCH(1,(GMW!$NE$2:$NE$60=I$3)*(GMW!$ND$2:$ND$60=I$4)*(GMW!$NF$2:$NF$60=I$1),0),$F225-1966)</f>
        <v>141976.20000000001</v>
      </c>
      <c r="J225" s="4" cm="1">
        <f t="array" ref="J225">INDEX(GMW!$A$2:$NF$60,MATCH(1,(GMW!$NE$2:$NE$60=J$3)*(GMW!$ND$2:$ND$60=J$4)*(GMW!$NF$2:$NF$60=J$1),0),$F225-1966)</f>
        <v>931.82190000000003</v>
      </c>
      <c r="K225" s="4" cm="1">
        <f t="array" ref="K225">INDEX(GMW!$A$2:$NF$60,MATCH(1,(GMW!$NE$2:$NE$60=K$3)*(GMW!$ND$2:$ND$60=K$4)*(GMW!$NF$2:$NF$60=K$1),0),$F225-1966)</f>
        <v>671.38</v>
      </c>
      <c r="L225" s="4" cm="1">
        <f t="array" ref="L225">INDEX(GMW!$A$2:$NF$60,MATCH(1,(GMW!$NE$2:$NE$60=L$3)*(GMW!$ND$2:$ND$60=L$4)*(GMW!$NF$2:$NF$60=L$1),0),$F225-1966)</f>
        <v>492.33159999999998</v>
      </c>
      <c r="M225" s="4" cm="1">
        <f t="array" ref="M225">INDEX(GMW!$A$2:$NF$60,MATCH(1,(GMW!$NE$2:$NE$60=M$3)*(GMW!$ND$2:$ND$60=M$4)*(GMW!$NF$2:$NF$60=M$1),0),$F225-1966)</f>
        <v>635299</v>
      </c>
      <c r="N225" s="4" cm="1">
        <f t="array" ref="N225">INDEX(GMW!$A$2:$NF$60,MATCH(1,(GMW!$NE$2:$NE$60=N$3)*(GMW!$ND$2:$ND$60=N$4)*(GMW!$NF$2:$NF$60=N$1),0),$F225-1966)</f>
        <v>-16513.13</v>
      </c>
      <c r="O225" s="4" cm="1">
        <f t="array" ref="O225">INDEX(GMW!$A$2:$NF$60,MATCH(1,(GMW!$NE$2:$NE$60=O$3)*(GMW!$ND$2:$ND$60=O$4)*(GMW!$NF$2:$NF$60=O$1),0),$F225-1966)</f>
        <v>-653.72919999999999</v>
      </c>
      <c r="P225" s="4" cm="1">
        <f t="array" ref="P225">INDEX(GMW!$A$2:$NF$60,MATCH(1,(GMW!$NE$2:$NE$60=P$3)*(GMW!$ND$2:$ND$60=P$4)*(GMW!$NF$2:$NF$60=P$1),0),$F225-1966)</f>
        <v>-5476.66</v>
      </c>
      <c r="Q225" s="4" cm="1">
        <f t="array" ref="Q225">INDEX(GMW!$A$2:$NF$60,MATCH(1,(GMW!$NE$2:$NE$60=Q$3)*(GMW!$ND$2:$ND$60=Q$4)*(GMW!$NF$2:$NF$60=Q$1),0),$F225-1966)</f>
        <v>-35.479799999999997</v>
      </c>
      <c r="R225" s="4" cm="1">
        <f t="array" ref="R225">INDEX(GMW!$A$2:$NF$60,MATCH(1,(GMW!$NE$2:$NE$60=R$3)*(GMW!$ND$2:$ND$60=R$4)*(GMW!$NF$2:$NF$60=R$1),0),$F225-1966)</f>
        <v>-40.076419999999999</v>
      </c>
      <c r="S225" s="4" cm="1">
        <f t="array" ref="S225">INDEX(GMW!$A$2:$NF$60,MATCH(1,(GMW!$NE$2:$NE$60=S$3)*(GMW!$ND$2:$ND$60=S$4)*(GMW!$NF$2:$NF$60=S$1),0),$F225-1966)</f>
        <v>-15.930300000000001</v>
      </c>
      <c r="T225" s="4" cm="1">
        <f t="array" ref="T225">INDEX(GMW!$A$2:$NF$60,MATCH(1,(GMW!$NE$2:$NE$60=T$3)*(GMW!$ND$2:$ND$60=T$4)*(GMW!$NF$2:$NF$60=T$1),0),$F225-1966)</f>
        <v>-31697.63</v>
      </c>
      <c r="U225" s="4" cm="1">
        <f t="array" ref="U225">INDEX(GMW!$A$2:$NF$60,MATCH(1,(GMW!$NE$2:$NE$60=U$3)*(GMW!$ND$2:$ND$60=U$4)*(GMW!$NF$2:$NF$60=U$1),0),$F225-1966)</f>
        <v>3230503</v>
      </c>
      <c r="V225" s="4" cm="1">
        <f t="array" ref="V225">INDEX(GMW!$A$2:$NF$60,MATCH(1,(GMW!$NE$2:$NE$60=V$3)*(GMW!$ND$2:$ND$60=V$4)*(GMW!$NF$2:$NF$60=V$1),0),$F225-1966)</f>
        <v>46924</v>
      </c>
      <c r="W225" s="4" cm="1">
        <f t="array" ref="W225">INDEX(GMW!$A$2:$NF$60,MATCH(1,(GMW!$NE$2:$NE$60=W$3)*(GMW!$ND$2:$ND$60=W$4)*(GMW!$NF$2:$NF$60=W$1),0),$F225-1966)</f>
        <v>1411885</v>
      </c>
      <c r="X225" s="4" cm="1">
        <f t="array" ref="X225">INDEX(GMW!$A$2:$NF$60,MATCH(1,(GMW!$NE$2:$NE$60=X$3)*(GMW!$ND$2:$ND$60=X$4)*(GMW!$NF$2:$NF$60=X$1),0),$F225-1966)</f>
        <v>2815.9609999999998</v>
      </c>
      <c r="Y225" s="4" cm="1">
        <f t="array" ref="Y225">INDEX(GMW!$A$2:$NF$60,MATCH(1,(GMW!$NE$2:$NE$60=Y$3)*(GMW!$ND$2:$ND$60=Y$4)*(GMW!$NF$2:$NF$60=Y$1),0),$F225-1966)</f>
        <v>4089.6010000000001</v>
      </c>
      <c r="Z225" s="4" cm="1">
        <f t="array" ref="Z225">INDEX(GMW!$A$2:$NF$60,MATCH(1,(GMW!$NE$2:$NE$60=Z$3)*(GMW!$ND$2:$ND$60=Z$4)*(GMW!$NF$2:$NF$60=Z$1),0),$F225-1966)</f>
        <v>3543.1680000000001</v>
      </c>
      <c r="AA225" s="4" cm="1">
        <f t="array" ref="AA225">INDEX(GMW!$A$2:$NF$60,MATCH(1,(GMW!$NE$2:$NE$60=AA$3)*(GMW!$ND$2:$ND$60=AA$4)*(GMW!$NF$2:$NF$60=AA$1),0),$F225-1966)</f>
        <v>3605499</v>
      </c>
      <c r="AB225" s="4" cm="1">
        <f t="array" ref="AB225">INDEX(GMW!$A$2:$NF$60,MATCH(1,(GMW!$NE$2:$NE$60=AB$3)*(GMW!$ND$2:$ND$60=AB$4)*(GMW!$NF$2:$NF$60=AB$1),0),$F225-1966)</f>
        <v>803883.1</v>
      </c>
      <c r="AC225" s="4" cm="1">
        <f t="array" ref="AC225">INDEX(GMW!$A$2:$NF$60,MATCH(1,(GMW!$NE$2:$NE$60=AC$3)*(GMW!$ND$2:$ND$60=AC$4)*(GMW!$NF$2:$NF$60=AC$1),0),$F225-1966)</f>
        <v>8327.6290000000008</v>
      </c>
      <c r="AD225" s="4" cm="1">
        <f t="array" ref="AD225">INDEX(GMW!$A$2:$NF$60,MATCH(1,(GMW!$NE$2:$NE$60=AD$3)*(GMW!$ND$2:$ND$60=AD$4)*(GMW!$NF$2:$NF$60=AD$1),0),$F225-1966)</f>
        <v>162289.29999999999</v>
      </c>
      <c r="AE225" s="4" cm="1">
        <f t="array" ref="AE225">INDEX(GMW!$A$2:$NF$60,MATCH(1,(GMW!$NE$2:$NE$60=AE$3)*(GMW!$ND$2:$ND$60=AE$4)*(GMW!$NF$2:$NF$60=AE$1),0),$F225-1966)</f>
        <v>1211.191</v>
      </c>
      <c r="AF225" s="4" cm="1">
        <f t="array" ref="AF225">INDEX(GMW!$A$2:$NF$60,MATCH(1,(GMW!$NE$2:$NE$60=AF$3)*(GMW!$ND$2:$ND$60=AF$4)*(GMW!$NF$2:$NF$60=AF$1),0),$F225-1966)</f>
        <v>793.25490000000002</v>
      </c>
      <c r="AG225" s="4" cm="1">
        <f t="array" ref="AG225">INDEX(GMW!$A$2:$NF$60,MATCH(1,(GMW!$NE$2:$NE$60=AG$3)*(GMW!$ND$2:$ND$60=AG$4)*(GMW!$NF$2:$NF$60=AG$1),0),$F225-1966)</f>
        <v>586.63250000000005</v>
      </c>
      <c r="AH225" s="4" cm="1">
        <f t="array" ref="AH225">INDEX(GMW!$A$2:$NF$60,MATCH(1,(GMW!$NE$2:$NE$60=AH$3)*(GMW!$ND$2:$ND$60=AH$4)*(GMW!$NF$2:$NF$60=AH$1),0),$F225-1966)</f>
        <v>853405.7</v>
      </c>
    </row>
    <row r="226" spans="1:34" x14ac:dyDescent="0.25">
      <c r="B226" s="4">
        <f t="shared" si="73"/>
        <v>2027</v>
      </c>
      <c r="C226" s="4">
        <f t="shared" si="73"/>
        <v>2027</v>
      </c>
      <c r="E226" s="4">
        <f t="shared" ref="E226" si="75">+E222+1</f>
        <v>2027</v>
      </c>
      <c r="F226" s="4">
        <f t="shared" si="59"/>
        <v>2192</v>
      </c>
      <c r="G226" s="4" cm="1">
        <f t="array" ref="G226">INDEX(GMW!$A$2:$NF$60,MATCH(1,(GMW!$NE$2:$NE$60=G$3)*(GMW!$ND$2:$ND$60=G$4)*(GMW!$NF$2:$NF$60=G$1),0),$F226-1966)</f>
        <v>667827.80000000005</v>
      </c>
      <c r="H226" s="4" cm="1">
        <f t="array" ref="H226">INDEX(GMW!$A$2:$NF$60,MATCH(1,(GMW!$NE$2:$NE$60=H$3)*(GMW!$ND$2:$ND$60=H$4)*(GMW!$NF$2:$NF$60=H$1),0),$F226-1966)</f>
        <v>6259.2269999999999</v>
      </c>
      <c r="I226" s="4" cm="1">
        <f t="array" ref="I226">INDEX(GMW!$A$2:$NF$60,MATCH(1,(GMW!$NE$2:$NE$60=I$3)*(GMW!$ND$2:$ND$60=I$4)*(GMW!$NF$2:$NF$60=I$1),0),$F226-1966)</f>
        <v>142083.79999999999</v>
      </c>
      <c r="J226" s="4" cm="1">
        <f t="array" ref="J226">INDEX(GMW!$A$2:$NF$60,MATCH(1,(GMW!$NE$2:$NE$60=J$3)*(GMW!$ND$2:$ND$60=J$4)*(GMW!$NF$2:$NF$60=J$1),0),$F226-1966)</f>
        <v>937.54290000000003</v>
      </c>
      <c r="K226" s="4" cm="1">
        <f t="array" ref="K226">INDEX(GMW!$A$2:$NF$60,MATCH(1,(GMW!$NE$2:$NE$60=K$3)*(GMW!$ND$2:$ND$60=K$4)*(GMW!$NF$2:$NF$60=K$1),0),$F226-1966)</f>
        <v>673.84</v>
      </c>
      <c r="L226" s="4" cm="1">
        <f t="array" ref="L226">INDEX(GMW!$A$2:$NF$60,MATCH(1,(GMW!$NE$2:$NE$60=L$3)*(GMW!$ND$2:$ND$60=L$4)*(GMW!$NF$2:$NF$60=L$1),0),$F226-1966)</f>
        <v>493.25009999999997</v>
      </c>
      <c r="M226" s="4" cm="1">
        <f t="array" ref="M226">INDEX(GMW!$A$2:$NF$60,MATCH(1,(GMW!$NE$2:$NE$60=M$3)*(GMW!$ND$2:$ND$60=M$4)*(GMW!$NF$2:$NF$60=M$1),0),$F226-1966)</f>
        <v>639106.4</v>
      </c>
      <c r="N226" s="4" cm="1">
        <f t="array" ref="N226">INDEX(GMW!$A$2:$NF$60,MATCH(1,(GMW!$NE$2:$NE$60=N$3)*(GMW!$ND$2:$ND$60=N$4)*(GMW!$NF$2:$NF$60=N$1),0),$F226-1966)</f>
        <v>-37227.53</v>
      </c>
      <c r="O226" s="4" cm="1">
        <f t="array" ref="O226">INDEX(GMW!$A$2:$NF$60,MATCH(1,(GMW!$NE$2:$NE$60=O$3)*(GMW!$ND$2:$ND$60=O$4)*(GMW!$NF$2:$NF$60=O$1),0),$F226-1966)</f>
        <v>-664.6241</v>
      </c>
      <c r="P226" s="4" cm="1">
        <f t="array" ref="P226">INDEX(GMW!$A$2:$NF$60,MATCH(1,(GMW!$NE$2:$NE$60=P$3)*(GMW!$ND$2:$ND$60=P$4)*(GMW!$NF$2:$NF$60=P$1),0),$F226-1966)</f>
        <v>-5435.0820000000003</v>
      </c>
      <c r="Q226" s="4" cm="1">
        <f t="array" ref="Q226">INDEX(GMW!$A$2:$NF$60,MATCH(1,(GMW!$NE$2:$NE$60=Q$3)*(GMW!$ND$2:$ND$60=Q$4)*(GMW!$NF$2:$NF$60=Q$1),0),$F226-1966)</f>
        <v>-36.56024</v>
      </c>
      <c r="R226" s="4" cm="1">
        <f t="array" ref="R226">INDEX(GMW!$A$2:$NF$60,MATCH(1,(GMW!$NE$2:$NE$60=R$3)*(GMW!$ND$2:$ND$60=R$4)*(GMW!$NF$2:$NF$60=R$1),0),$F226-1966)</f>
        <v>-40.251399999999997</v>
      </c>
      <c r="S226" s="4" cm="1">
        <f t="array" ref="S226">INDEX(GMW!$A$2:$NF$60,MATCH(1,(GMW!$NE$2:$NE$60=S$3)*(GMW!$ND$2:$ND$60=S$4)*(GMW!$NF$2:$NF$60=S$1),0),$F226-1966)</f>
        <v>-15.562900000000001</v>
      </c>
      <c r="T226" s="4" cm="1">
        <f t="array" ref="T226">INDEX(GMW!$A$2:$NF$60,MATCH(1,(GMW!$NE$2:$NE$60=T$3)*(GMW!$ND$2:$ND$60=T$4)*(GMW!$NF$2:$NF$60=T$1),0),$F226-1966)</f>
        <v>-31848.84</v>
      </c>
      <c r="U226" s="4" cm="1">
        <f t="array" ref="U226">INDEX(GMW!$A$2:$NF$60,MATCH(1,(GMW!$NE$2:$NE$60=U$3)*(GMW!$ND$2:$ND$60=U$4)*(GMW!$NF$2:$NF$60=U$1),0),$F226-1966)</f>
        <v>3267731</v>
      </c>
      <c r="V226" s="4" cm="1">
        <f t="array" ref="V226">INDEX(GMW!$A$2:$NF$60,MATCH(1,(GMW!$NE$2:$NE$60=V$3)*(GMW!$ND$2:$ND$60=V$4)*(GMW!$NF$2:$NF$60=V$1),0),$F226-1966)</f>
        <v>47588.62</v>
      </c>
      <c r="W226" s="4" cm="1">
        <f t="array" ref="W226">INDEX(GMW!$A$2:$NF$60,MATCH(1,(GMW!$NE$2:$NE$60=W$3)*(GMW!$ND$2:$ND$60=W$4)*(GMW!$NF$2:$NF$60=W$1),0),$F226-1966)</f>
        <v>1417320</v>
      </c>
      <c r="X226" s="4" cm="1">
        <f t="array" ref="X226">INDEX(GMW!$A$2:$NF$60,MATCH(1,(GMW!$NE$2:$NE$60=X$3)*(GMW!$ND$2:$ND$60=X$4)*(GMW!$NF$2:$NF$60=X$1),0),$F226-1966)</f>
        <v>2852.5219999999999</v>
      </c>
      <c r="Y226" s="4" cm="1">
        <f t="array" ref="Y226">INDEX(GMW!$A$2:$NF$60,MATCH(1,(GMW!$NE$2:$NE$60=Y$3)*(GMW!$ND$2:$ND$60=Y$4)*(GMW!$NF$2:$NF$60=Y$1),0),$F226-1966)</f>
        <v>4129.8530000000001</v>
      </c>
      <c r="Z226" s="4" cm="1">
        <f t="array" ref="Z226">INDEX(GMW!$A$2:$NF$60,MATCH(1,(GMW!$NE$2:$NE$60=Z$3)*(GMW!$ND$2:$ND$60=Z$4)*(GMW!$NF$2:$NF$60=Z$1),0),$F226-1966)</f>
        <v>3562.1849999999999</v>
      </c>
      <c r="AA226" s="4" cm="1">
        <f t="array" ref="AA226">INDEX(GMW!$A$2:$NF$60,MATCH(1,(GMW!$NE$2:$NE$60=AA$3)*(GMW!$ND$2:$ND$60=AA$4)*(GMW!$NF$2:$NF$60=AA$1),0),$F226-1966)</f>
        <v>3637347</v>
      </c>
      <c r="AB226" s="4" cm="1">
        <f t="array" ref="AB226">INDEX(GMW!$A$2:$NF$60,MATCH(1,(GMW!$NE$2:$NE$60=AB$3)*(GMW!$ND$2:$ND$60=AB$4)*(GMW!$NF$2:$NF$60=AB$1),0),$F226-1966)</f>
        <v>811860.8</v>
      </c>
      <c r="AC226" s="4" cm="1">
        <f t="array" ref="AC226">INDEX(GMW!$A$2:$NF$60,MATCH(1,(GMW!$NE$2:$NE$60=AC$3)*(GMW!$ND$2:$ND$60=AC$4)*(GMW!$NF$2:$NF$60=AC$1),0),$F226-1966)</f>
        <v>8415.3050000000003</v>
      </c>
      <c r="AD226" s="4" cm="1">
        <f t="array" ref="AD226">INDEX(GMW!$A$2:$NF$60,MATCH(1,(GMW!$NE$2:$NE$60=AD$3)*(GMW!$ND$2:$ND$60=AD$4)*(GMW!$NF$2:$NF$60=AD$1),0),$F226-1966)</f>
        <v>162707.6</v>
      </c>
      <c r="AE226" s="4" cm="1">
        <f t="array" ref="AE226">INDEX(GMW!$A$2:$NF$60,MATCH(1,(GMW!$NE$2:$NE$60=AE$3)*(GMW!$ND$2:$ND$60=AE$4)*(GMW!$NF$2:$NF$60=AE$1),0),$F226-1966)</f>
        <v>1226.921</v>
      </c>
      <c r="AF226" s="4" cm="1">
        <f t="array" ref="AF226">INDEX(GMW!$A$2:$NF$60,MATCH(1,(GMW!$NE$2:$NE$60=AF$3)*(GMW!$ND$2:$ND$60=AF$4)*(GMW!$NF$2:$NF$60=AF$1),0),$F226-1966)</f>
        <v>800.16949999999997</v>
      </c>
      <c r="AG226" s="4" cm="1">
        <f t="array" ref="AG226">INDEX(GMW!$A$2:$NF$60,MATCH(1,(GMW!$NE$2:$NE$60=AG$3)*(GMW!$ND$2:$ND$60=AG$4)*(GMW!$NF$2:$NF$60=AG$1),0),$F226-1966)</f>
        <v>590.18719999999996</v>
      </c>
      <c r="AH226" s="4" cm="1">
        <f t="array" ref="AH226">INDEX(GMW!$A$2:$NF$60,MATCH(1,(GMW!$NE$2:$NE$60=AH$3)*(GMW!$ND$2:$ND$60=AH$4)*(GMW!$NF$2:$NF$60=AH$1),0),$F226-1966)</f>
        <v>863031.5</v>
      </c>
    </row>
    <row r="227" spans="1:34" x14ac:dyDescent="0.25">
      <c r="A227" s="4">
        <v>2028</v>
      </c>
      <c r="B227" s="4">
        <f t="shared" si="73"/>
        <v>2028</v>
      </c>
      <c r="C227" s="4">
        <f t="shared" si="73"/>
        <v>2027</v>
      </c>
      <c r="D227" s="4">
        <f t="shared" si="73"/>
        <v>2027</v>
      </c>
      <c r="F227" s="4">
        <f t="shared" si="59"/>
        <v>2193</v>
      </c>
      <c r="G227" s="4" cm="1">
        <f t="array" ref="G227">INDEX(GMW!$A$2:$NF$60,MATCH(1,(GMW!$NE$2:$NE$60=G$3)*(GMW!$ND$2:$ND$60=G$4)*(GMW!$NF$2:$NF$60=G$1),0),$F227-1966)</f>
        <v>670766.30000000005</v>
      </c>
      <c r="H227" s="4" cm="1">
        <f t="array" ref="H227">INDEX(GMW!$A$2:$NF$60,MATCH(1,(GMW!$NE$2:$NE$60=H$3)*(GMW!$ND$2:$ND$60=H$4)*(GMW!$NF$2:$NF$60=H$1),0),$F227-1966)</f>
        <v>6295.3119999999999</v>
      </c>
      <c r="I227" s="4" cm="1">
        <f t="array" ref="I227">INDEX(GMW!$A$2:$NF$60,MATCH(1,(GMW!$NE$2:$NE$60=I$3)*(GMW!$ND$2:$ND$60=I$4)*(GMW!$NF$2:$NF$60=I$1),0),$F227-1966)</f>
        <v>142172.5</v>
      </c>
      <c r="J227" s="4" cm="1">
        <f t="array" ref="J227">INDEX(GMW!$A$2:$NF$60,MATCH(1,(GMW!$NE$2:$NE$60=J$3)*(GMW!$ND$2:$ND$60=J$4)*(GMW!$NF$2:$NF$60=J$1),0),$F227-1966)</f>
        <v>943.16369999999995</v>
      </c>
      <c r="K227" s="4" cm="1">
        <f t="array" ref="K227">INDEX(GMW!$A$2:$NF$60,MATCH(1,(GMW!$NE$2:$NE$60=K$3)*(GMW!$ND$2:$ND$60=K$4)*(GMW!$NF$2:$NF$60=K$1),0),$F227-1966)</f>
        <v>676.43</v>
      </c>
      <c r="L227" s="4" cm="1">
        <f t="array" ref="L227">INDEX(GMW!$A$2:$NF$60,MATCH(1,(GMW!$NE$2:$NE$60=L$3)*(GMW!$ND$2:$ND$60=L$4)*(GMW!$NF$2:$NF$60=L$1),0),$F227-1966)</f>
        <v>494.23719999999997</v>
      </c>
      <c r="M227" s="4" cm="1">
        <f t="array" ref="M227">INDEX(GMW!$A$2:$NF$60,MATCH(1,(GMW!$NE$2:$NE$60=M$3)*(GMW!$ND$2:$ND$60=M$4)*(GMW!$NF$2:$NF$60=M$1),0),$F227-1966)</f>
        <v>642511.80000000005</v>
      </c>
      <c r="N227" s="4" cm="1">
        <f t="array" ref="N227">INDEX(GMW!$A$2:$NF$60,MATCH(1,(GMW!$NE$2:$NE$60=N$3)*(GMW!$ND$2:$ND$60=N$4)*(GMW!$NF$2:$NF$60=N$1),0),$F227-1966)</f>
        <v>5696.9059999999999</v>
      </c>
      <c r="O227" s="4" cm="1">
        <f t="array" ref="O227">INDEX(GMW!$A$2:$NF$60,MATCH(1,(GMW!$NE$2:$NE$60=O$3)*(GMW!$ND$2:$ND$60=O$4)*(GMW!$NF$2:$NF$60=O$1),0),$F227-1966)</f>
        <v>-665.46190000000001</v>
      </c>
      <c r="P227" s="4" cm="1">
        <f t="array" ref="P227">INDEX(GMW!$A$2:$NF$60,MATCH(1,(GMW!$NE$2:$NE$60=P$3)*(GMW!$ND$2:$ND$60=P$4)*(GMW!$NF$2:$NF$60=P$1),0),$F227-1966)</f>
        <v>-5393.5</v>
      </c>
      <c r="Q227" s="4" cm="1">
        <f t="array" ref="Q227">INDEX(GMW!$A$2:$NF$60,MATCH(1,(GMW!$NE$2:$NE$60=Q$3)*(GMW!$ND$2:$ND$60=Q$4)*(GMW!$NF$2:$NF$60=Q$1),0),$F227-1966)</f>
        <v>-37.930540000000001</v>
      </c>
      <c r="R227" s="4" cm="1">
        <f t="array" ref="R227">INDEX(GMW!$A$2:$NF$60,MATCH(1,(GMW!$NE$2:$NE$60=R$3)*(GMW!$ND$2:$ND$60=R$4)*(GMW!$NF$2:$NF$60=R$1),0),$F227-1966)</f>
        <v>-40.289790000000004</v>
      </c>
      <c r="S227" s="4" cm="1">
        <f t="array" ref="S227">INDEX(GMW!$A$2:$NF$60,MATCH(1,(GMW!$NE$2:$NE$60=S$3)*(GMW!$ND$2:$ND$60=S$4)*(GMW!$NF$2:$NF$60=S$1),0),$F227-1966)</f>
        <v>-15.87088</v>
      </c>
      <c r="T227" s="4" cm="1">
        <f t="array" ref="T227">INDEX(GMW!$A$2:$NF$60,MATCH(1,(GMW!$NE$2:$NE$60=T$3)*(GMW!$ND$2:$ND$60=T$4)*(GMW!$NF$2:$NF$60=T$1),0),$F227-1966)</f>
        <v>-31768.63</v>
      </c>
      <c r="U227" s="4" cm="1">
        <f t="array" ref="U227">INDEX(GMW!$A$2:$NF$60,MATCH(1,(GMW!$NE$2:$NE$60=U$3)*(GMW!$ND$2:$ND$60=U$4)*(GMW!$NF$2:$NF$60=U$1),0),$F227-1966)</f>
        <v>3262034</v>
      </c>
      <c r="V227" s="4" cm="1">
        <f t="array" ref="V227">INDEX(GMW!$A$2:$NF$60,MATCH(1,(GMW!$NE$2:$NE$60=V$3)*(GMW!$ND$2:$ND$60=V$4)*(GMW!$NF$2:$NF$60=V$1),0),$F227-1966)</f>
        <v>48254.080000000002</v>
      </c>
      <c r="W227" s="4" cm="1">
        <f t="array" ref="W227">INDEX(GMW!$A$2:$NF$60,MATCH(1,(GMW!$NE$2:$NE$60=W$3)*(GMW!$ND$2:$ND$60=W$4)*(GMW!$NF$2:$NF$60=W$1),0),$F227-1966)</f>
        <v>1422714</v>
      </c>
      <c r="X227" s="4" cm="1">
        <f t="array" ref="X227">INDEX(GMW!$A$2:$NF$60,MATCH(1,(GMW!$NE$2:$NE$60=X$3)*(GMW!$ND$2:$ND$60=X$4)*(GMW!$NF$2:$NF$60=X$1),0),$F227-1966)</f>
        <v>2890.4520000000002</v>
      </c>
      <c r="Y227" s="4" cm="1">
        <f t="array" ref="Y227">INDEX(GMW!$A$2:$NF$60,MATCH(1,(GMW!$NE$2:$NE$60=Y$3)*(GMW!$ND$2:$ND$60=Y$4)*(GMW!$NF$2:$NF$60=Y$1),0),$F227-1966)</f>
        <v>4170.143</v>
      </c>
      <c r="Z227" s="4" cm="1">
        <f t="array" ref="Z227">INDEX(GMW!$A$2:$NF$60,MATCH(1,(GMW!$NE$2:$NE$60=Z$3)*(GMW!$ND$2:$ND$60=Z$4)*(GMW!$NF$2:$NF$60=Z$1),0),$F227-1966)</f>
        <v>3580.4119999999998</v>
      </c>
      <c r="AA227" s="4" cm="1">
        <f t="array" ref="AA227">INDEX(GMW!$A$2:$NF$60,MATCH(1,(GMW!$NE$2:$NE$60=AA$3)*(GMW!$ND$2:$ND$60=AA$4)*(GMW!$NF$2:$NF$60=AA$1),0),$F227-1966)</f>
        <v>3669116</v>
      </c>
      <c r="AB227" s="4" cm="1">
        <f t="array" ref="AB227">INDEX(GMW!$A$2:$NF$60,MATCH(1,(GMW!$NE$2:$NE$60=AB$3)*(GMW!$ND$2:$ND$60=AB$4)*(GMW!$NF$2:$NF$60=AB$1),0),$F227-1966)</f>
        <v>819755</v>
      </c>
      <c r="AC227" s="4" cm="1">
        <f t="array" ref="AC227">INDEX(GMW!$A$2:$NF$60,MATCH(1,(GMW!$NE$2:$NE$60=AC$3)*(GMW!$ND$2:$ND$60=AC$4)*(GMW!$NF$2:$NF$60=AC$1),0),$F227-1966)</f>
        <v>8503.3729999999996</v>
      </c>
      <c r="AD227" s="4" cm="1">
        <f t="array" ref="AD227">INDEX(GMW!$A$2:$NF$60,MATCH(1,(GMW!$NE$2:$NE$60=AD$3)*(GMW!$ND$2:$ND$60=AD$4)*(GMW!$NF$2:$NF$60=AD$1),0),$F227-1966)</f>
        <v>163118.29999999999</v>
      </c>
      <c r="AE227" s="4" cm="1">
        <f t="array" ref="AE227">INDEX(GMW!$A$2:$NF$60,MATCH(1,(GMW!$NE$2:$NE$60=AE$3)*(GMW!$ND$2:$ND$60=AE$4)*(GMW!$NF$2:$NF$60=AE$1),0),$F227-1966)</f>
        <v>1242.4349999999999</v>
      </c>
      <c r="AF227" s="4" cm="1">
        <f t="array" ref="AF227">INDEX(GMW!$A$2:$NF$60,MATCH(1,(GMW!$NE$2:$NE$60=AF$3)*(GMW!$ND$2:$ND$60=AF$4)*(GMW!$NF$2:$NF$60=AF$1),0),$F227-1966)</f>
        <v>807.37929999999994</v>
      </c>
      <c r="AG227" s="4" cm="1">
        <f t="array" ref="AG227">INDEX(GMW!$A$2:$NF$60,MATCH(1,(GMW!$NE$2:$NE$60=AG$3)*(GMW!$ND$2:$ND$60=AG$4)*(GMW!$NF$2:$NF$60=AG$1),0),$F227-1966)</f>
        <v>593.66740000000004</v>
      </c>
      <c r="AH227" s="4" cm="1">
        <f t="array" ref="AH227">INDEX(GMW!$A$2:$NF$60,MATCH(1,(GMW!$NE$2:$NE$60=AH$3)*(GMW!$ND$2:$ND$60=AH$4)*(GMW!$NF$2:$NF$60=AH$1),0),$F227-1966)</f>
        <v>872112</v>
      </c>
    </row>
    <row r="228" spans="1:34" x14ac:dyDescent="0.25">
      <c r="B228" s="4">
        <f t="shared" si="73"/>
        <v>2028</v>
      </c>
      <c r="C228" s="4">
        <f t="shared" si="73"/>
        <v>2028</v>
      </c>
      <c r="F228" s="4">
        <f t="shared" si="59"/>
        <v>2194</v>
      </c>
      <c r="G228" s="4" cm="1">
        <f t="array" ref="G228">INDEX(GMW!$A$2:$NF$60,MATCH(1,(GMW!$NE$2:$NE$60=G$3)*(GMW!$ND$2:$ND$60=G$4)*(GMW!$NF$2:$NF$60=G$1),0),$F228-1966)</f>
        <v>673650.4</v>
      </c>
      <c r="H228" s="4" cm="1">
        <f t="array" ref="H228">INDEX(GMW!$A$2:$NF$60,MATCH(1,(GMW!$NE$2:$NE$60=H$3)*(GMW!$ND$2:$ND$60=H$4)*(GMW!$NF$2:$NF$60=H$1),0),$F228-1966)</f>
        <v>6331</v>
      </c>
      <c r="I228" s="4" cm="1">
        <f t="array" ref="I228">INDEX(GMW!$A$2:$NF$60,MATCH(1,(GMW!$NE$2:$NE$60=I$3)*(GMW!$ND$2:$ND$60=I$4)*(GMW!$NF$2:$NF$60=I$1),0),$F228-1966)</f>
        <v>142247.29999999999</v>
      </c>
      <c r="J228" s="4" cm="1">
        <f t="array" ref="J228">INDEX(GMW!$A$2:$NF$60,MATCH(1,(GMW!$NE$2:$NE$60=J$3)*(GMW!$ND$2:$ND$60=J$4)*(GMW!$NF$2:$NF$60=J$1),0),$F228-1966)</f>
        <v>948.40470000000005</v>
      </c>
      <c r="K228" s="4" cm="1">
        <f t="array" ref="K228">INDEX(GMW!$A$2:$NF$60,MATCH(1,(GMW!$NE$2:$NE$60=K$3)*(GMW!$ND$2:$ND$60=K$4)*(GMW!$NF$2:$NF$60=K$1),0),$F228-1966)</f>
        <v>679.06</v>
      </c>
      <c r="L228" s="4" cm="1">
        <f t="array" ref="L228">INDEX(GMW!$A$2:$NF$60,MATCH(1,(GMW!$NE$2:$NE$60=L$3)*(GMW!$ND$2:$ND$60=L$4)*(GMW!$NF$2:$NF$60=L$1),0),$F228-1966)</f>
        <v>495.226</v>
      </c>
      <c r="M228" s="4" cm="1">
        <f t="array" ref="M228">INDEX(GMW!$A$2:$NF$60,MATCH(1,(GMW!$NE$2:$NE$60=M$3)*(GMW!$ND$2:$ND$60=M$4)*(GMW!$NF$2:$NF$60=M$1),0),$F228-1966)</f>
        <v>645171.69999999995</v>
      </c>
      <c r="N228" s="4" cm="1">
        <f t="array" ref="N228">INDEX(GMW!$A$2:$NF$60,MATCH(1,(GMW!$NE$2:$NE$60=N$3)*(GMW!$ND$2:$ND$60=N$4)*(GMW!$NF$2:$NF$60=N$1),0),$F228-1966)</f>
        <v>-40200.25</v>
      </c>
      <c r="O228" s="4" cm="1">
        <f t="array" ref="O228">INDEX(GMW!$A$2:$NF$60,MATCH(1,(GMW!$NE$2:$NE$60=O$3)*(GMW!$ND$2:$ND$60=O$4)*(GMW!$NF$2:$NF$60=O$1),0),$F228-1966)</f>
        <v>-671.97760000000005</v>
      </c>
      <c r="P228" s="4" cm="1">
        <f t="array" ref="P228">INDEX(GMW!$A$2:$NF$60,MATCH(1,(GMW!$NE$2:$NE$60=P$3)*(GMW!$ND$2:$ND$60=P$4)*(GMW!$NF$2:$NF$60=P$1),0),$F228-1966)</f>
        <v>-5351.9179999999997</v>
      </c>
      <c r="Q228" s="4" cm="1">
        <f t="array" ref="Q228">INDEX(GMW!$A$2:$NF$60,MATCH(1,(GMW!$NE$2:$NE$60=Q$3)*(GMW!$ND$2:$ND$60=Q$4)*(GMW!$NF$2:$NF$60=Q$1),0),$F228-1966)</f>
        <v>-39.837649999999996</v>
      </c>
      <c r="R228" s="4" cm="1">
        <f t="array" ref="R228">INDEX(GMW!$A$2:$NF$60,MATCH(1,(GMW!$NE$2:$NE$60=R$3)*(GMW!$ND$2:$ND$60=R$4)*(GMW!$NF$2:$NF$60=R$1),0),$F228-1966)</f>
        <v>-40.300899999999999</v>
      </c>
      <c r="S228" s="4" cm="1">
        <f t="array" ref="S228">INDEX(GMW!$A$2:$NF$60,MATCH(1,(GMW!$NE$2:$NE$60=S$3)*(GMW!$ND$2:$ND$60=S$4)*(GMW!$NF$2:$NF$60=S$1),0),$F228-1966)</f>
        <v>-16.000800000000002</v>
      </c>
      <c r="T228" s="4" cm="1">
        <f t="array" ref="T228">INDEX(GMW!$A$2:$NF$60,MATCH(1,(GMW!$NE$2:$NE$60=T$3)*(GMW!$ND$2:$ND$60=T$4)*(GMW!$NF$2:$NF$60=T$1),0),$F228-1966)</f>
        <v>-31513.78</v>
      </c>
      <c r="U228" s="4" cm="1">
        <f t="array" ref="U228">INDEX(GMW!$A$2:$NF$60,MATCH(1,(GMW!$NE$2:$NE$60=U$3)*(GMW!$ND$2:$ND$60=U$4)*(GMW!$NF$2:$NF$60=U$1),0),$F228-1966)</f>
        <v>3302234</v>
      </c>
      <c r="V228" s="4" cm="1">
        <f t="array" ref="V228">INDEX(GMW!$A$2:$NF$60,MATCH(1,(GMW!$NE$2:$NE$60=V$3)*(GMW!$ND$2:$ND$60=V$4)*(GMW!$NF$2:$NF$60=V$1),0),$F228-1966)</f>
        <v>48926.06</v>
      </c>
      <c r="W228" s="4" cm="1">
        <f t="array" ref="W228">INDEX(GMW!$A$2:$NF$60,MATCH(1,(GMW!$NE$2:$NE$60=W$3)*(GMW!$ND$2:$ND$60=W$4)*(GMW!$NF$2:$NF$60=W$1),0),$F228-1966)</f>
        <v>1428066</v>
      </c>
      <c r="X228" s="4" cm="1">
        <f t="array" ref="X228">INDEX(GMW!$A$2:$NF$60,MATCH(1,(GMW!$NE$2:$NE$60=X$3)*(GMW!$ND$2:$ND$60=X$4)*(GMW!$NF$2:$NF$60=X$1),0),$F228-1966)</f>
        <v>2930.29</v>
      </c>
      <c r="Y228" s="4" cm="1">
        <f t="array" ref="Y228">INDEX(GMW!$A$2:$NF$60,MATCH(1,(GMW!$NE$2:$NE$60=Y$3)*(GMW!$ND$2:$ND$60=Y$4)*(GMW!$NF$2:$NF$60=Y$1),0),$F228-1966)</f>
        <v>4210.4430000000002</v>
      </c>
      <c r="Z228" s="4" cm="1">
        <f t="array" ref="Z228">INDEX(GMW!$A$2:$NF$60,MATCH(1,(GMW!$NE$2:$NE$60=Z$3)*(GMW!$ND$2:$ND$60=Z$4)*(GMW!$NF$2:$NF$60=Z$1),0),$F228-1966)</f>
        <v>3598.7689999999998</v>
      </c>
      <c r="AA228" s="4" cm="1">
        <f t="array" ref="AA228">INDEX(GMW!$A$2:$NF$60,MATCH(1,(GMW!$NE$2:$NE$60=AA$3)*(GMW!$ND$2:$ND$60=AA$4)*(GMW!$NF$2:$NF$60=AA$1),0),$F228-1966)</f>
        <v>3700630</v>
      </c>
      <c r="AB228" s="4" cm="1">
        <f t="array" ref="AB228">INDEX(GMW!$A$2:$NF$60,MATCH(1,(GMW!$NE$2:$NE$60=AB$3)*(GMW!$ND$2:$ND$60=AB$4)*(GMW!$NF$2:$NF$60=AB$1),0),$F228-1966)</f>
        <v>827560.4</v>
      </c>
      <c r="AC228" s="4" cm="1">
        <f t="array" ref="AC228">INDEX(GMW!$A$2:$NF$60,MATCH(1,(GMW!$NE$2:$NE$60=AC$3)*(GMW!$ND$2:$ND$60=AC$4)*(GMW!$NF$2:$NF$60=AC$1),0),$F228-1966)</f>
        <v>8590.56</v>
      </c>
      <c r="AD228" s="4" cm="1">
        <f t="array" ref="AD228">INDEX(GMW!$A$2:$NF$60,MATCH(1,(GMW!$NE$2:$NE$60=AD$3)*(GMW!$ND$2:$ND$60=AD$4)*(GMW!$NF$2:$NF$60=AD$1),0),$F228-1966)</f>
        <v>163609.29999999999</v>
      </c>
      <c r="AE228" s="4" cm="1">
        <f t="array" ref="AE228">INDEX(GMW!$A$2:$NF$60,MATCH(1,(GMW!$NE$2:$NE$60=AE$3)*(GMW!$ND$2:$ND$60=AE$4)*(GMW!$NF$2:$NF$60=AE$1),0),$F228-1966)</f>
        <v>1257.473</v>
      </c>
      <c r="AF228" s="4" cm="1">
        <f t="array" ref="AF228">INDEX(GMW!$A$2:$NF$60,MATCH(1,(GMW!$NE$2:$NE$60=AF$3)*(GMW!$ND$2:$ND$60=AF$4)*(GMW!$NF$2:$NF$60=AF$1),0),$F228-1966)</f>
        <v>814.65319999999997</v>
      </c>
      <c r="AG228" s="4" cm="1">
        <f t="array" ref="AG228">INDEX(GMW!$A$2:$NF$60,MATCH(1,(GMW!$NE$2:$NE$60=AG$3)*(GMW!$ND$2:$ND$60=AG$4)*(GMW!$NF$2:$NF$60=AG$1),0),$F228-1966)</f>
        <v>597.6028</v>
      </c>
      <c r="AH228" s="4" cm="1">
        <f t="array" ref="AH228">INDEX(GMW!$A$2:$NF$60,MATCH(1,(GMW!$NE$2:$NE$60=AH$3)*(GMW!$ND$2:$ND$60=AH$4)*(GMW!$NF$2:$NF$60=AH$1),0),$F228-1966)</f>
        <v>880291.4</v>
      </c>
    </row>
    <row r="229" spans="1:34" x14ac:dyDescent="0.25">
      <c r="B229" s="4">
        <f t="shared" si="73"/>
        <v>2028</v>
      </c>
      <c r="C229" s="4">
        <f t="shared" si="73"/>
        <v>2028</v>
      </c>
      <c r="F229" s="4">
        <f t="shared" si="59"/>
        <v>2195</v>
      </c>
      <c r="G229" s="4" cm="1">
        <f t="array" ref="G229">INDEX(GMW!$A$2:$NF$60,MATCH(1,(GMW!$NE$2:$NE$60=G$3)*(GMW!$ND$2:$ND$60=G$4)*(GMW!$NF$2:$NF$60=G$1),0),$F229-1966)</f>
        <v>676648.1</v>
      </c>
      <c r="H229" s="4" cm="1">
        <f t="array" ref="H229">INDEX(GMW!$A$2:$NF$60,MATCH(1,(GMW!$NE$2:$NE$60=H$3)*(GMW!$ND$2:$ND$60=H$4)*(GMW!$NF$2:$NF$60=H$1),0),$F229-1966)</f>
        <v>6366.2839999999997</v>
      </c>
      <c r="I229" s="4" cm="1">
        <f t="array" ref="I229">INDEX(GMW!$A$2:$NF$60,MATCH(1,(GMW!$NE$2:$NE$60=I$3)*(GMW!$ND$2:$ND$60=I$4)*(GMW!$NF$2:$NF$60=I$1),0),$F229-1966)</f>
        <v>142315.29999999999</v>
      </c>
      <c r="J229" s="4" cm="1">
        <f t="array" ref="J229">INDEX(GMW!$A$2:$NF$60,MATCH(1,(GMW!$NE$2:$NE$60=J$3)*(GMW!$ND$2:$ND$60=J$4)*(GMW!$NF$2:$NF$60=J$1),0),$F229-1966)</f>
        <v>953.07650000000001</v>
      </c>
      <c r="K229" s="4" cm="1">
        <f t="array" ref="K229">INDEX(GMW!$A$2:$NF$60,MATCH(1,(GMW!$NE$2:$NE$60=K$3)*(GMW!$ND$2:$ND$60=K$4)*(GMW!$NF$2:$NF$60=K$1),0),$F229-1966)</f>
        <v>681.85</v>
      </c>
      <c r="L229" s="4" cm="1">
        <f t="array" ref="L229">INDEX(GMW!$A$2:$NF$60,MATCH(1,(GMW!$NE$2:$NE$60=L$3)*(GMW!$ND$2:$ND$60=L$4)*(GMW!$NF$2:$NF$60=L$1),0),$F229-1966)</f>
        <v>496.19869999999997</v>
      </c>
      <c r="M229" s="4" cm="1">
        <f t="array" ref="M229">INDEX(GMW!$A$2:$NF$60,MATCH(1,(GMW!$NE$2:$NE$60=M$3)*(GMW!$ND$2:$ND$60=M$4)*(GMW!$NF$2:$NF$60=M$1),0),$F229-1966)</f>
        <v>647990.19999999995</v>
      </c>
      <c r="N229" s="4" cm="1">
        <f t="array" ref="N229">INDEX(GMW!$A$2:$NF$60,MATCH(1,(GMW!$NE$2:$NE$60=N$3)*(GMW!$ND$2:$ND$60=N$4)*(GMW!$NF$2:$NF$60=N$1),0),$F229-1966)</f>
        <v>-15760.5</v>
      </c>
      <c r="O229" s="4" cm="1">
        <f t="array" ref="O229">INDEX(GMW!$A$2:$NF$60,MATCH(1,(GMW!$NE$2:$NE$60=O$3)*(GMW!$ND$2:$ND$60=O$4)*(GMW!$NF$2:$NF$60=O$1),0),$F229-1966)</f>
        <v>-681.35220000000004</v>
      </c>
      <c r="P229" s="4" cm="1">
        <f t="array" ref="P229">INDEX(GMW!$A$2:$NF$60,MATCH(1,(GMW!$NE$2:$NE$60=P$3)*(GMW!$ND$2:$ND$60=P$4)*(GMW!$NF$2:$NF$60=P$1),0),$F229-1966)</f>
        <v>-5310.3320000000003</v>
      </c>
      <c r="Q229" s="4" cm="1">
        <f t="array" ref="Q229">INDEX(GMW!$A$2:$NF$60,MATCH(1,(GMW!$NE$2:$NE$60=Q$3)*(GMW!$ND$2:$ND$60=Q$4)*(GMW!$NF$2:$NF$60=Q$1),0),$F229-1966)</f>
        <v>-41.839970000000001</v>
      </c>
      <c r="R229" s="4" cm="1">
        <f t="array" ref="R229">INDEX(GMW!$A$2:$NF$60,MATCH(1,(GMW!$NE$2:$NE$60=R$3)*(GMW!$ND$2:$ND$60=R$4)*(GMW!$NF$2:$NF$60=R$1),0),$F229-1966)</f>
        <v>-39.940489999999997</v>
      </c>
      <c r="S229" s="4" cm="1">
        <f t="array" ref="S229">INDEX(GMW!$A$2:$NF$60,MATCH(1,(GMW!$NE$2:$NE$60=S$3)*(GMW!$ND$2:$ND$60=S$4)*(GMW!$NF$2:$NF$60=S$1),0),$F229-1966)</f>
        <v>-16.130710000000001</v>
      </c>
      <c r="T229" s="4" cm="1">
        <f t="array" ref="T229">INDEX(GMW!$A$2:$NF$60,MATCH(1,(GMW!$NE$2:$NE$60=T$3)*(GMW!$ND$2:$ND$60=T$4)*(GMW!$NF$2:$NF$60=T$1),0),$F229-1966)</f>
        <v>-30966.22</v>
      </c>
      <c r="U229" s="4" cm="1">
        <f t="array" ref="U229">INDEX(GMW!$A$2:$NF$60,MATCH(1,(GMW!$NE$2:$NE$60=U$3)*(GMW!$ND$2:$ND$60=U$4)*(GMW!$NF$2:$NF$60=U$1),0),$F229-1966)</f>
        <v>3317994</v>
      </c>
      <c r="V229" s="4" cm="1">
        <f t="array" ref="V229">INDEX(GMW!$A$2:$NF$60,MATCH(1,(GMW!$NE$2:$NE$60=V$3)*(GMW!$ND$2:$ND$60=V$4)*(GMW!$NF$2:$NF$60=V$1),0),$F229-1966)</f>
        <v>49607.41</v>
      </c>
      <c r="W229" s="4" cm="1">
        <f t="array" ref="W229">INDEX(GMW!$A$2:$NF$60,MATCH(1,(GMW!$NE$2:$NE$60=W$3)*(GMW!$ND$2:$ND$60=W$4)*(GMW!$NF$2:$NF$60=W$1),0),$F229-1966)</f>
        <v>1433376</v>
      </c>
      <c r="X229" s="4" cm="1">
        <f t="array" ref="X229">INDEX(GMW!$A$2:$NF$60,MATCH(1,(GMW!$NE$2:$NE$60=X$3)*(GMW!$ND$2:$ND$60=X$4)*(GMW!$NF$2:$NF$60=X$1),0),$F229-1966)</f>
        <v>2972.13</v>
      </c>
      <c r="Y229" s="4" cm="1">
        <f t="array" ref="Y229">INDEX(GMW!$A$2:$NF$60,MATCH(1,(GMW!$NE$2:$NE$60=Y$3)*(GMW!$ND$2:$ND$60=Y$4)*(GMW!$NF$2:$NF$60=Y$1),0),$F229-1966)</f>
        <v>4250.384</v>
      </c>
      <c r="Z229" s="4" cm="1">
        <f t="array" ref="Z229">INDEX(GMW!$A$2:$NF$60,MATCH(1,(GMW!$NE$2:$NE$60=Z$3)*(GMW!$ND$2:$ND$60=Z$4)*(GMW!$NF$2:$NF$60=Z$1),0),$F229-1966)</f>
        <v>3617.2550000000001</v>
      </c>
      <c r="AA229" s="4" cm="1">
        <f t="array" ref="AA229">INDEX(GMW!$A$2:$NF$60,MATCH(1,(GMW!$NE$2:$NE$60=AA$3)*(GMW!$ND$2:$ND$60=AA$4)*(GMW!$NF$2:$NF$60=AA$1),0),$F229-1966)</f>
        <v>3731596</v>
      </c>
      <c r="AB229" s="4" cm="1">
        <f t="array" ref="AB229">INDEX(GMW!$A$2:$NF$60,MATCH(1,(GMW!$NE$2:$NE$60=AB$3)*(GMW!$ND$2:$ND$60=AB$4)*(GMW!$NF$2:$NF$60=AB$1),0),$F229-1966)</f>
        <v>835565.8</v>
      </c>
      <c r="AC229" s="4" cm="1">
        <f t="array" ref="AC229">INDEX(GMW!$A$2:$NF$60,MATCH(1,(GMW!$NE$2:$NE$60=AC$3)*(GMW!$ND$2:$ND$60=AC$4)*(GMW!$NF$2:$NF$60=AC$1),0),$F229-1966)</f>
        <v>8677.9230000000007</v>
      </c>
      <c r="AD229" s="4" cm="1">
        <f t="array" ref="AD229">INDEX(GMW!$A$2:$NF$60,MATCH(1,(GMW!$NE$2:$NE$60=AD$3)*(GMW!$ND$2:$ND$60=AD$4)*(GMW!$NF$2:$NF$60=AD$1),0),$F229-1966)</f>
        <v>164109</v>
      </c>
      <c r="AE229" s="4" cm="1">
        <f t="array" ref="AE229">INDEX(GMW!$A$2:$NF$60,MATCH(1,(GMW!$NE$2:$NE$60=AE$3)*(GMW!$ND$2:$ND$60=AE$4)*(GMW!$NF$2:$NF$60=AE$1),0),$F229-1966)</f>
        <v>1271.768</v>
      </c>
      <c r="AF229" s="4" cm="1">
        <f t="array" ref="AF229">INDEX(GMW!$A$2:$NF$60,MATCH(1,(GMW!$NE$2:$NE$60=AF$3)*(GMW!$ND$2:$ND$60=AF$4)*(GMW!$NF$2:$NF$60=AF$1),0),$F229-1966)</f>
        <v>822.20029999999997</v>
      </c>
      <c r="AG229" s="4" cm="1">
        <f t="array" ref="AG229">INDEX(GMW!$A$2:$NF$60,MATCH(1,(GMW!$NE$2:$NE$60=AG$3)*(GMW!$ND$2:$ND$60=AG$4)*(GMW!$NF$2:$NF$60=AG$1),0),$F229-1966)</f>
        <v>601.45889999999997</v>
      </c>
      <c r="AH229" s="4" cm="1">
        <f t="array" ref="AH229">INDEX(GMW!$A$2:$NF$60,MATCH(1,(GMW!$NE$2:$NE$60=AH$3)*(GMW!$ND$2:$ND$60=AH$4)*(GMW!$NF$2:$NF$60=AH$1),0),$F229-1966)</f>
        <v>888676.2</v>
      </c>
    </row>
    <row r="230" spans="1:34" x14ac:dyDescent="0.25">
      <c r="B230" s="4">
        <f t="shared" si="73"/>
        <v>2028</v>
      </c>
      <c r="C230" s="4">
        <f t="shared" si="73"/>
        <v>2028</v>
      </c>
      <c r="E230" s="4">
        <f t="shared" ref="E230" si="76">+E226+1</f>
        <v>2028</v>
      </c>
      <c r="F230" s="4">
        <f t="shared" si="59"/>
        <v>2196</v>
      </c>
      <c r="G230" s="4" cm="1">
        <f t="array" ref="G230">INDEX(GMW!$A$2:$NF$60,MATCH(1,(GMW!$NE$2:$NE$60=G$3)*(GMW!$ND$2:$ND$60=G$4)*(GMW!$NF$2:$NF$60=G$1),0),$F230-1966)</f>
        <v>679557.8</v>
      </c>
      <c r="H230" s="4" cm="1">
        <f t="array" ref="H230">INDEX(GMW!$A$2:$NF$60,MATCH(1,(GMW!$NE$2:$NE$60=H$3)*(GMW!$ND$2:$ND$60=H$4)*(GMW!$NF$2:$NF$60=H$1),0),$F230-1966)</f>
        <v>6401.1809999999996</v>
      </c>
      <c r="I230" s="4" cm="1">
        <f t="array" ref="I230">INDEX(GMW!$A$2:$NF$60,MATCH(1,(GMW!$NE$2:$NE$60=I$3)*(GMW!$ND$2:$ND$60=I$4)*(GMW!$NF$2:$NF$60=I$1),0),$F230-1966)</f>
        <v>142371.4</v>
      </c>
      <c r="J230" s="4" cm="1">
        <f t="array" ref="J230">INDEX(GMW!$A$2:$NF$60,MATCH(1,(GMW!$NE$2:$NE$60=J$3)*(GMW!$ND$2:$ND$60=J$4)*(GMW!$NF$2:$NF$60=J$1),0),$F230-1966)</f>
        <v>957.28380000000004</v>
      </c>
      <c r="K230" s="4" cm="1">
        <f t="array" ref="K230">INDEX(GMW!$A$2:$NF$60,MATCH(1,(GMW!$NE$2:$NE$60=K$3)*(GMW!$ND$2:$ND$60=K$4)*(GMW!$NF$2:$NF$60=K$1),0),$F230-1966)</f>
        <v>684.64</v>
      </c>
      <c r="L230" s="4" cm="1">
        <f t="array" ref="L230">INDEX(GMW!$A$2:$NF$60,MATCH(1,(GMW!$NE$2:$NE$60=L$3)*(GMW!$ND$2:$ND$60=L$4)*(GMW!$NF$2:$NF$60=L$1),0),$F230-1966)</f>
        <v>497.1046</v>
      </c>
      <c r="M230" s="4" cm="1">
        <f t="array" ref="M230">INDEX(GMW!$A$2:$NF$60,MATCH(1,(GMW!$NE$2:$NE$60=M$3)*(GMW!$ND$2:$ND$60=M$4)*(GMW!$NF$2:$NF$60=M$1),0),$F230-1966)</f>
        <v>650834.69999999995</v>
      </c>
      <c r="N230" s="4" cm="1">
        <f t="array" ref="N230">INDEX(GMW!$A$2:$NF$60,MATCH(1,(GMW!$NE$2:$NE$60=N$3)*(GMW!$ND$2:$ND$60=N$4)*(GMW!$NF$2:$NF$60=N$1),0),$F230-1966)</f>
        <v>-37144.379999999997</v>
      </c>
      <c r="O230" s="4" cm="1">
        <f t="array" ref="O230">INDEX(GMW!$A$2:$NF$60,MATCH(1,(GMW!$NE$2:$NE$60=O$3)*(GMW!$ND$2:$ND$60=O$4)*(GMW!$NF$2:$NF$60=O$1),0),$F230-1966)</f>
        <v>-680.27829999999994</v>
      </c>
      <c r="P230" s="4" cm="1">
        <f t="array" ref="P230">INDEX(GMW!$A$2:$NF$60,MATCH(1,(GMW!$NE$2:$NE$60=P$3)*(GMW!$ND$2:$ND$60=P$4)*(GMW!$NF$2:$NF$60=P$1),0),$F230-1966)</f>
        <v>-5268.75</v>
      </c>
      <c r="Q230" s="4" cm="1">
        <f t="array" ref="Q230">INDEX(GMW!$A$2:$NF$60,MATCH(1,(GMW!$NE$2:$NE$60=Q$3)*(GMW!$ND$2:$ND$60=Q$4)*(GMW!$NF$2:$NF$60=Q$1),0),$F230-1966)</f>
        <v>-43.496090000000002</v>
      </c>
      <c r="R230" s="4" cm="1">
        <f t="array" ref="R230">INDEX(GMW!$A$2:$NF$60,MATCH(1,(GMW!$NE$2:$NE$60=R$3)*(GMW!$ND$2:$ND$60=R$4)*(GMW!$NF$2:$NF$60=R$1),0),$F230-1966)</f>
        <v>-39.571620000000003</v>
      </c>
      <c r="S230" s="4" cm="1">
        <f t="array" ref="S230">INDEX(GMW!$A$2:$NF$60,MATCH(1,(GMW!$NE$2:$NE$60=S$3)*(GMW!$ND$2:$ND$60=S$4)*(GMW!$NF$2:$NF$60=S$1),0),$F230-1966)</f>
        <v>-16.2605</v>
      </c>
      <c r="T230" s="4" cm="1">
        <f t="array" ref="T230">INDEX(GMW!$A$2:$NF$60,MATCH(1,(GMW!$NE$2:$NE$60=T$3)*(GMW!$ND$2:$ND$60=T$4)*(GMW!$NF$2:$NF$60=T$1),0),$F230-1966)</f>
        <v>-30219.5</v>
      </c>
      <c r="U230" s="4" cm="1">
        <f t="array" ref="U230">INDEX(GMW!$A$2:$NF$60,MATCH(1,(GMW!$NE$2:$NE$60=U$3)*(GMW!$ND$2:$ND$60=U$4)*(GMW!$NF$2:$NF$60=U$1),0),$F230-1966)</f>
        <v>3355139</v>
      </c>
      <c r="V230" s="4" cm="1">
        <f t="array" ref="V230">INDEX(GMW!$A$2:$NF$60,MATCH(1,(GMW!$NE$2:$NE$60=V$3)*(GMW!$ND$2:$ND$60=V$4)*(GMW!$NF$2:$NF$60=V$1),0),$F230-1966)</f>
        <v>50287.69</v>
      </c>
      <c r="W230" s="4" cm="1">
        <f t="array" ref="W230">INDEX(GMW!$A$2:$NF$60,MATCH(1,(GMW!$NE$2:$NE$60=W$3)*(GMW!$ND$2:$ND$60=W$4)*(GMW!$NF$2:$NF$60=W$1),0),$F230-1966)</f>
        <v>1438645</v>
      </c>
      <c r="X230" s="4" cm="1">
        <f t="array" ref="X230">INDEX(GMW!$A$2:$NF$60,MATCH(1,(GMW!$NE$2:$NE$60=X$3)*(GMW!$ND$2:$ND$60=X$4)*(GMW!$NF$2:$NF$60=X$1),0),$F230-1966)</f>
        <v>3015.6260000000002</v>
      </c>
      <c r="Y230" s="4" cm="1">
        <f t="array" ref="Y230">INDEX(GMW!$A$2:$NF$60,MATCH(1,(GMW!$NE$2:$NE$60=Y$3)*(GMW!$ND$2:$ND$60=Y$4)*(GMW!$NF$2:$NF$60=Y$1),0),$F230-1966)</f>
        <v>4289.9560000000001</v>
      </c>
      <c r="Z230" s="4" cm="1">
        <f t="array" ref="Z230">INDEX(GMW!$A$2:$NF$60,MATCH(1,(GMW!$NE$2:$NE$60=Z$3)*(GMW!$ND$2:$ND$60=Z$4)*(GMW!$NF$2:$NF$60=Z$1),0),$F230-1966)</f>
        <v>3635.8719999999998</v>
      </c>
      <c r="AA230" s="4" cm="1">
        <f t="array" ref="AA230">INDEX(GMW!$A$2:$NF$60,MATCH(1,(GMW!$NE$2:$NE$60=AA$3)*(GMW!$ND$2:$ND$60=AA$4)*(GMW!$NF$2:$NF$60=AA$1),0),$F230-1966)</f>
        <v>3761816</v>
      </c>
      <c r="AB230" s="4" cm="1">
        <f t="array" ref="AB230">INDEX(GMW!$A$2:$NF$60,MATCH(1,(GMW!$NE$2:$NE$60=AB$3)*(GMW!$ND$2:$ND$60=AB$4)*(GMW!$NF$2:$NF$60=AB$1),0),$F230-1966)</f>
        <v>843522.4</v>
      </c>
      <c r="AC230" s="4" cm="1">
        <f t="array" ref="AC230">INDEX(GMW!$A$2:$NF$60,MATCH(1,(GMW!$NE$2:$NE$60=AC$3)*(GMW!$ND$2:$ND$60=AC$4)*(GMW!$NF$2:$NF$60=AC$1),0),$F230-1966)</f>
        <v>8764.9629999999997</v>
      </c>
      <c r="AD230" s="4" cm="1">
        <f t="array" ref="AD230">INDEX(GMW!$A$2:$NF$60,MATCH(1,(GMW!$NE$2:$NE$60=AD$3)*(GMW!$ND$2:$ND$60=AD$4)*(GMW!$NF$2:$NF$60=AD$1),0),$F230-1966)</f>
        <v>164613.6</v>
      </c>
      <c r="AE230" s="4" cm="1">
        <f t="array" ref="AE230">INDEX(GMW!$A$2:$NF$60,MATCH(1,(GMW!$NE$2:$NE$60=AE$3)*(GMW!$ND$2:$ND$60=AE$4)*(GMW!$NF$2:$NF$60=AE$1),0),$F230-1966)</f>
        <v>1285.443</v>
      </c>
      <c r="AF230" s="4" cm="1">
        <f t="array" ref="AF230">INDEX(GMW!$A$2:$NF$60,MATCH(1,(GMW!$NE$2:$NE$60=AF$3)*(GMW!$ND$2:$ND$60=AF$4)*(GMW!$NF$2:$NF$60=AF$1),0),$F230-1966)</f>
        <v>829.7867</v>
      </c>
      <c r="AG230" s="4" cm="1">
        <f t="array" ref="AG230">INDEX(GMW!$A$2:$NF$60,MATCH(1,(GMW!$NE$2:$NE$60=AG$3)*(GMW!$ND$2:$ND$60=AG$4)*(GMW!$NF$2:$NF$60=AG$1),0),$F230-1966)</f>
        <v>605.19799999999998</v>
      </c>
      <c r="AH230" s="4" cm="1">
        <f t="array" ref="AH230">INDEX(GMW!$A$2:$NF$60,MATCH(1,(GMW!$NE$2:$NE$60=AH$3)*(GMW!$ND$2:$ND$60=AH$4)*(GMW!$NF$2:$NF$60=AH$1),0),$F230-1966)</f>
        <v>897057.8</v>
      </c>
    </row>
    <row r="231" spans="1:34" x14ac:dyDescent="0.25">
      <c r="A231" s="4">
        <v>2029</v>
      </c>
      <c r="B231" s="4">
        <f t="shared" si="73"/>
        <v>2029</v>
      </c>
      <c r="C231" s="4">
        <f t="shared" si="73"/>
        <v>2028</v>
      </c>
      <c r="D231" s="4">
        <f t="shared" si="73"/>
        <v>2028</v>
      </c>
      <c r="F231" s="4">
        <f t="shared" si="59"/>
        <v>2197</v>
      </c>
      <c r="G231" s="4" cm="1">
        <f t="array" ref="G231">INDEX(GMW!$A$2:$NF$60,MATCH(1,(GMW!$NE$2:$NE$60=G$3)*(GMW!$ND$2:$ND$60=G$4)*(GMW!$NF$2:$NF$60=G$1),0),$F231-1966)</f>
        <v>682344</v>
      </c>
      <c r="H231" s="4" cm="1">
        <f t="array" ref="H231">INDEX(GMW!$A$2:$NF$60,MATCH(1,(GMW!$NE$2:$NE$60=H$3)*(GMW!$ND$2:$ND$60=H$4)*(GMW!$NF$2:$NF$60=H$1),0),$F231-1966)</f>
        <v>6435.6540000000005</v>
      </c>
      <c r="I231" s="4" cm="1">
        <f t="array" ref="I231">INDEX(GMW!$A$2:$NF$60,MATCH(1,(GMW!$NE$2:$NE$60=I$3)*(GMW!$ND$2:$ND$60=I$4)*(GMW!$NF$2:$NF$60=I$1),0),$F231-1966)</f>
        <v>142425.60000000001</v>
      </c>
      <c r="J231" s="4" cm="1">
        <f t="array" ref="J231">INDEX(GMW!$A$2:$NF$60,MATCH(1,(GMW!$NE$2:$NE$60=J$3)*(GMW!$ND$2:$ND$60=J$4)*(GMW!$NF$2:$NF$60=J$1),0),$F231-1966)</f>
        <v>961.1807</v>
      </c>
      <c r="K231" s="4" cm="1">
        <f t="array" ref="K231">INDEX(GMW!$A$2:$NF$60,MATCH(1,(GMW!$NE$2:$NE$60=K$3)*(GMW!$ND$2:$ND$60=K$4)*(GMW!$NF$2:$NF$60=K$1),0),$F231-1966)</f>
        <v>687.36</v>
      </c>
      <c r="L231" s="4" cm="1">
        <f t="array" ref="L231">INDEX(GMW!$A$2:$NF$60,MATCH(1,(GMW!$NE$2:$NE$60=L$3)*(GMW!$ND$2:$ND$60=L$4)*(GMW!$NF$2:$NF$60=L$1),0),$F231-1966)</f>
        <v>497.96190000000001</v>
      </c>
      <c r="M231" s="4" cm="1">
        <f t="array" ref="M231">INDEX(GMW!$A$2:$NF$60,MATCH(1,(GMW!$NE$2:$NE$60=M$3)*(GMW!$ND$2:$ND$60=M$4)*(GMW!$NF$2:$NF$60=M$1),0),$F231-1966)</f>
        <v>653450.1</v>
      </c>
      <c r="N231" s="4" cm="1">
        <f t="array" ref="N231">INDEX(GMW!$A$2:$NF$60,MATCH(1,(GMW!$NE$2:$NE$60=N$3)*(GMW!$ND$2:$ND$60=N$4)*(GMW!$NF$2:$NF$60=N$1),0),$F231-1966)</f>
        <v>8330.4689999999991</v>
      </c>
      <c r="O231" s="4" cm="1">
        <f t="array" ref="O231">INDEX(GMW!$A$2:$NF$60,MATCH(1,(GMW!$NE$2:$NE$60=O$3)*(GMW!$ND$2:$ND$60=O$4)*(GMW!$NF$2:$NF$60=O$1),0),$F231-1966)</f>
        <v>-680.1481</v>
      </c>
      <c r="P231" s="4" cm="1">
        <f t="array" ref="P231">INDEX(GMW!$A$2:$NF$60,MATCH(1,(GMW!$NE$2:$NE$60=P$3)*(GMW!$ND$2:$ND$60=P$4)*(GMW!$NF$2:$NF$60=P$1),0),$F231-1966)</f>
        <v>-5227.1679999999997</v>
      </c>
      <c r="Q231" s="4" cm="1">
        <f t="array" ref="Q231">INDEX(GMW!$A$2:$NF$60,MATCH(1,(GMW!$NE$2:$NE$60=Q$3)*(GMW!$ND$2:$ND$60=Q$4)*(GMW!$NF$2:$NF$60=Q$1),0),$F231-1966)</f>
        <v>-44.911189999999998</v>
      </c>
      <c r="R231" s="4" cm="1">
        <f t="array" ref="R231">INDEX(GMW!$A$2:$NF$60,MATCH(1,(GMW!$NE$2:$NE$60=R$3)*(GMW!$ND$2:$ND$60=R$4)*(GMW!$NF$2:$NF$60=R$1),0),$F231-1966)</f>
        <v>-39.104190000000003</v>
      </c>
      <c r="S231" s="4" cm="1">
        <f t="array" ref="S231">INDEX(GMW!$A$2:$NF$60,MATCH(1,(GMW!$NE$2:$NE$60=S$3)*(GMW!$ND$2:$ND$60=S$4)*(GMW!$NF$2:$NF$60=S$1),0),$F231-1966)</f>
        <v>-16.390409999999999</v>
      </c>
      <c r="T231" s="4" cm="1">
        <f t="array" ref="T231">INDEX(GMW!$A$2:$NF$60,MATCH(1,(GMW!$NE$2:$NE$60=T$3)*(GMW!$ND$2:$ND$60=T$4)*(GMW!$NF$2:$NF$60=T$1),0),$F231-1966)</f>
        <v>-29489.25</v>
      </c>
      <c r="U231" s="4" cm="1">
        <f t="array" ref="U231">INDEX(GMW!$A$2:$NF$60,MATCH(1,(GMW!$NE$2:$NE$60=U$3)*(GMW!$ND$2:$ND$60=U$4)*(GMW!$NF$2:$NF$60=U$1),0),$F231-1966)</f>
        <v>3346808</v>
      </c>
      <c r="V231" s="4" cm="1">
        <f t="array" ref="V231">INDEX(GMW!$A$2:$NF$60,MATCH(1,(GMW!$NE$2:$NE$60=V$3)*(GMW!$ND$2:$ND$60=V$4)*(GMW!$NF$2:$NF$60=V$1),0),$F231-1966)</f>
        <v>50967.839999999997</v>
      </c>
      <c r="W231" s="4" cm="1">
        <f t="array" ref="W231">INDEX(GMW!$A$2:$NF$60,MATCH(1,(GMW!$NE$2:$NE$60=W$3)*(GMW!$ND$2:$ND$60=W$4)*(GMW!$NF$2:$NF$60=W$1),0),$F231-1966)</f>
        <v>1443872</v>
      </c>
      <c r="X231" s="4" cm="1">
        <f t="array" ref="X231">INDEX(GMW!$A$2:$NF$60,MATCH(1,(GMW!$NE$2:$NE$60=X$3)*(GMW!$ND$2:$ND$60=X$4)*(GMW!$NF$2:$NF$60=X$1),0),$F231-1966)</f>
        <v>3060.5369999999998</v>
      </c>
      <c r="Y231" s="4" cm="1">
        <f t="array" ref="Y231">INDEX(GMW!$A$2:$NF$60,MATCH(1,(GMW!$NE$2:$NE$60=Y$3)*(GMW!$ND$2:$ND$60=Y$4)*(GMW!$NF$2:$NF$60=Y$1),0),$F231-1966)</f>
        <v>4329.0600000000004</v>
      </c>
      <c r="Z231" s="4" cm="1">
        <f t="array" ref="Z231">INDEX(GMW!$A$2:$NF$60,MATCH(1,(GMW!$NE$2:$NE$60=Z$3)*(GMW!$ND$2:$ND$60=Z$4)*(GMW!$NF$2:$NF$60=Z$1),0),$F231-1966)</f>
        <v>3653.4659999999999</v>
      </c>
      <c r="AA231" s="4" cm="1">
        <f t="array" ref="AA231">INDEX(GMW!$A$2:$NF$60,MATCH(1,(GMW!$NE$2:$NE$60=AA$3)*(GMW!$ND$2:$ND$60=AA$4)*(GMW!$NF$2:$NF$60=AA$1),0),$F231-1966)</f>
        <v>3791305</v>
      </c>
      <c r="AB231" s="4" cm="1">
        <f t="array" ref="AB231">INDEX(GMW!$A$2:$NF$60,MATCH(1,(GMW!$NE$2:$NE$60=AB$3)*(GMW!$ND$2:$ND$60=AB$4)*(GMW!$NF$2:$NF$60=AB$1),0),$F231-1966)</f>
        <v>851300.2</v>
      </c>
      <c r="AC231" s="4" cm="1">
        <f t="array" ref="AC231">INDEX(GMW!$A$2:$NF$60,MATCH(1,(GMW!$NE$2:$NE$60=AC$3)*(GMW!$ND$2:$ND$60=AC$4)*(GMW!$NF$2:$NF$60=AC$1),0),$F231-1966)</f>
        <v>8852.8799999999992</v>
      </c>
      <c r="AD231" s="4" cm="1">
        <f t="array" ref="AD231">INDEX(GMW!$A$2:$NF$60,MATCH(1,(GMW!$NE$2:$NE$60=AD$3)*(GMW!$ND$2:$ND$60=AD$4)*(GMW!$NF$2:$NF$60=AD$1),0),$F231-1966)</f>
        <v>165121.1</v>
      </c>
      <c r="AE231" s="4" cm="1">
        <f t="array" ref="AE231">INDEX(GMW!$A$2:$NF$60,MATCH(1,(GMW!$NE$2:$NE$60=AE$3)*(GMW!$ND$2:$ND$60=AE$4)*(GMW!$NF$2:$NF$60=AE$1),0),$F231-1966)</f>
        <v>1298.819</v>
      </c>
      <c r="AF231" s="4" cm="1">
        <f t="array" ref="AF231">INDEX(GMW!$A$2:$NF$60,MATCH(1,(GMW!$NE$2:$NE$60=AF$3)*(GMW!$ND$2:$ND$60=AF$4)*(GMW!$NF$2:$NF$60=AF$1),0),$F231-1966)</f>
        <v>837.38570000000004</v>
      </c>
      <c r="AG231" s="4" cm="1">
        <f t="array" ref="AG231">INDEX(GMW!$A$2:$NF$60,MATCH(1,(GMW!$NE$2:$NE$60=AG$3)*(GMW!$ND$2:$ND$60=AG$4)*(GMW!$NF$2:$NF$60=AG$1),0),$F231-1966)</f>
        <v>608.88509999999997</v>
      </c>
      <c r="AH231" s="4" cm="1">
        <f t="array" ref="AH231">INDEX(GMW!$A$2:$NF$60,MATCH(1,(GMW!$NE$2:$NE$60=AH$3)*(GMW!$ND$2:$ND$60=AH$4)*(GMW!$NF$2:$NF$60=AH$1),0),$F231-1966)</f>
        <v>904985.3</v>
      </c>
    </row>
    <row r="232" spans="1:34" x14ac:dyDescent="0.25">
      <c r="B232" s="4">
        <f t="shared" si="73"/>
        <v>2029</v>
      </c>
      <c r="C232" s="4">
        <f t="shared" si="73"/>
        <v>2029</v>
      </c>
      <c r="F232" s="4">
        <f t="shared" si="59"/>
        <v>2198</v>
      </c>
      <c r="G232" s="4" cm="1">
        <f t="array" ref="G232">INDEX(GMW!$A$2:$NF$60,MATCH(1,(GMW!$NE$2:$NE$60=G$3)*(GMW!$ND$2:$ND$60=G$4)*(GMW!$NF$2:$NF$60=G$1),0),$F232-1966)</f>
        <v>685039.2</v>
      </c>
      <c r="H232" s="4" cm="1">
        <f t="array" ref="H232">INDEX(GMW!$A$2:$NF$60,MATCH(1,(GMW!$NE$2:$NE$60=H$3)*(GMW!$ND$2:$ND$60=H$4)*(GMW!$NF$2:$NF$60=H$1),0),$F232-1966)</f>
        <v>6469.723</v>
      </c>
      <c r="I232" s="4" cm="1">
        <f t="array" ref="I232">INDEX(GMW!$A$2:$NF$60,MATCH(1,(GMW!$NE$2:$NE$60=I$3)*(GMW!$ND$2:$ND$60=I$4)*(GMW!$NF$2:$NF$60=I$1),0),$F232-1966)</f>
        <v>142477.70000000001</v>
      </c>
      <c r="J232" s="4" cm="1">
        <f t="array" ref="J232">INDEX(GMW!$A$2:$NF$60,MATCH(1,(GMW!$NE$2:$NE$60=J$3)*(GMW!$ND$2:$ND$60=J$4)*(GMW!$NF$2:$NF$60=J$1),0),$F232-1966)</f>
        <v>964.86490000000003</v>
      </c>
      <c r="K232" s="4" cm="1">
        <f t="array" ref="K232">INDEX(GMW!$A$2:$NF$60,MATCH(1,(GMW!$NE$2:$NE$60=K$3)*(GMW!$ND$2:$ND$60=K$4)*(GMW!$NF$2:$NF$60=K$1),0),$F232-1966)</f>
        <v>690.06</v>
      </c>
      <c r="L232" s="4" cm="1">
        <f t="array" ref="L232">INDEX(GMW!$A$2:$NF$60,MATCH(1,(GMW!$NE$2:$NE$60=L$3)*(GMW!$ND$2:$ND$60=L$4)*(GMW!$NF$2:$NF$60=L$1),0),$F232-1966)</f>
        <v>498.79349999999999</v>
      </c>
      <c r="M232" s="4" cm="1">
        <f t="array" ref="M232">INDEX(GMW!$A$2:$NF$60,MATCH(1,(GMW!$NE$2:$NE$60=M$3)*(GMW!$ND$2:$ND$60=M$4)*(GMW!$NF$2:$NF$60=M$1),0),$F232-1966)</f>
        <v>656353.30000000005</v>
      </c>
      <c r="N232" s="4" cm="1">
        <f t="array" ref="N232">INDEX(GMW!$A$2:$NF$60,MATCH(1,(GMW!$NE$2:$NE$60=N$3)*(GMW!$ND$2:$ND$60=N$4)*(GMW!$NF$2:$NF$60=N$1),0),$F232-1966)</f>
        <v>-40595.910000000003</v>
      </c>
      <c r="O232" s="4" cm="1">
        <f t="array" ref="O232">INDEX(GMW!$A$2:$NF$60,MATCH(1,(GMW!$NE$2:$NE$60=O$3)*(GMW!$ND$2:$ND$60=O$4)*(GMW!$NF$2:$NF$60=O$1),0),$F232-1966)</f>
        <v>-680.68510000000003</v>
      </c>
      <c r="P232" s="4" cm="1">
        <f t="array" ref="P232">INDEX(GMW!$A$2:$NF$60,MATCH(1,(GMW!$NE$2:$NE$60=P$3)*(GMW!$ND$2:$ND$60=P$4)*(GMW!$NF$2:$NF$60=P$1),0),$F232-1966)</f>
        <v>-5185.5940000000001</v>
      </c>
      <c r="Q232" s="4" cm="1">
        <f t="array" ref="Q232">INDEX(GMW!$A$2:$NF$60,MATCH(1,(GMW!$NE$2:$NE$60=Q$3)*(GMW!$ND$2:$ND$60=Q$4)*(GMW!$NF$2:$NF$60=Q$1),0),$F232-1966)</f>
        <v>-45.893250000000002</v>
      </c>
      <c r="R232" s="4" cm="1">
        <f t="array" ref="R232">INDEX(GMW!$A$2:$NF$60,MATCH(1,(GMW!$NE$2:$NE$60=R$3)*(GMW!$ND$2:$ND$60=R$4)*(GMW!$NF$2:$NF$60=R$1),0),$F232-1966)</f>
        <v>-38.63391</v>
      </c>
      <c r="S232" s="4" cm="1">
        <f t="array" ref="S232">INDEX(GMW!$A$2:$NF$60,MATCH(1,(GMW!$NE$2:$NE$60=S$3)*(GMW!$ND$2:$ND$60=S$4)*(GMW!$NF$2:$NF$60=S$1),0),$F232-1966)</f>
        <v>-16.520199999999999</v>
      </c>
      <c r="T232" s="4" cm="1">
        <f t="array" ref="T232">INDEX(GMW!$A$2:$NF$60,MATCH(1,(GMW!$NE$2:$NE$60=T$3)*(GMW!$ND$2:$ND$60=T$4)*(GMW!$NF$2:$NF$60=T$1),0),$F232-1966)</f>
        <v>-28702.09</v>
      </c>
      <c r="U232" s="4" cm="1">
        <f t="array" ref="U232">INDEX(GMW!$A$2:$NF$60,MATCH(1,(GMW!$NE$2:$NE$60=U$3)*(GMW!$ND$2:$ND$60=U$4)*(GMW!$NF$2:$NF$60=U$1),0),$F232-1966)</f>
        <v>3387404</v>
      </c>
      <c r="V232" s="4" cm="1">
        <f t="array" ref="V232">INDEX(GMW!$A$2:$NF$60,MATCH(1,(GMW!$NE$2:$NE$60=V$3)*(GMW!$ND$2:$ND$60=V$4)*(GMW!$NF$2:$NF$60=V$1),0),$F232-1966)</f>
        <v>51648.52</v>
      </c>
      <c r="W232" s="4" cm="1">
        <f t="array" ref="W232">INDEX(GMW!$A$2:$NF$60,MATCH(1,(GMW!$NE$2:$NE$60=W$3)*(GMW!$ND$2:$ND$60=W$4)*(GMW!$NF$2:$NF$60=W$1),0),$F232-1966)</f>
        <v>1449057</v>
      </c>
      <c r="X232" s="4" cm="1">
        <f t="array" ref="X232">INDEX(GMW!$A$2:$NF$60,MATCH(1,(GMW!$NE$2:$NE$60=X$3)*(GMW!$ND$2:$ND$60=X$4)*(GMW!$NF$2:$NF$60=X$1),0),$F232-1966)</f>
        <v>3106.43</v>
      </c>
      <c r="Y232" s="4" cm="1">
        <f t="array" ref="Y232">INDEX(GMW!$A$2:$NF$60,MATCH(1,(GMW!$NE$2:$NE$60=Y$3)*(GMW!$ND$2:$ND$60=Y$4)*(GMW!$NF$2:$NF$60=Y$1),0),$F232-1966)</f>
        <v>4367.6930000000002</v>
      </c>
      <c r="Z232" s="4" cm="1">
        <f t="array" ref="Z232">INDEX(GMW!$A$2:$NF$60,MATCH(1,(GMW!$NE$2:$NE$60=Z$3)*(GMW!$ND$2:$ND$60=Z$4)*(GMW!$NF$2:$NF$60=Z$1),0),$F232-1966)</f>
        <v>3671.1909999999998</v>
      </c>
      <c r="AA232" s="4" cm="1">
        <f t="array" ref="AA232">INDEX(GMW!$A$2:$NF$60,MATCH(1,(GMW!$NE$2:$NE$60=AA$3)*(GMW!$ND$2:$ND$60=AA$4)*(GMW!$NF$2:$NF$60=AA$1),0),$F232-1966)</f>
        <v>3820007</v>
      </c>
      <c r="AB232" s="4" cm="1">
        <f t="array" ref="AB232">INDEX(GMW!$A$2:$NF$60,MATCH(1,(GMW!$NE$2:$NE$60=AB$3)*(GMW!$ND$2:$ND$60=AB$4)*(GMW!$NF$2:$NF$60=AB$1),0),$F232-1966)</f>
        <v>858936.4</v>
      </c>
      <c r="AC232" s="4" cm="1">
        <f t="array" ref="AC232">INDEX(GMW!$A$2:$NF$60,MATCH(1,(GMW!$NE$2:$NE$60=AC$3)*(GMW!$ND$2:$ND$60=AC$4)*(GMW!$NF$2:$NF$60=AC$1),0),$F232-1966)</f>
        <v>8940.5220000000008</v>
      </c>
      <c r="AD232" s="4" cm="1">
        <f t="array" ref="AD232">INDEX(GMW!$A$2:$NF$60,MATCH(1,(GMW!$NE$2:$NE$60=AD$3)*(GMW!$ND$2:$ND$60=AD$4)*(GMW!$NF$2:$NF$60=AD$1),0),$F232-1966)</f>
        <v>165641.60000000001</v>
      </c>
      <c r="AE232" s="4" cm="1">
        <f t="array" ref="AE232">INDEX(GMW!$A$2:$NF$60,MATCH(1,(GMW!$NE$2:$NE$60=AE$3)*(GMW!$ND$2:$ND$60=AE$4)*(GMW!$NF$2:$NF$60=AE$1),0),$F232-1966)</f>
        <v>1312.0219999999999</v>
      </c>
      <c r="AF232" s="4" cm="1">
        <f t="array" ref="AF232">INDEX(GMW!$A$2:$NF$60,MATCH(1,(GMW!$NE$2:$NE$60=AF$3)*(GMW!$ND$2:$ND$60=AF$4)*(GMW!$NF$2:$NF$60=AF$1),0),$F232-1966)</f>
        <v>845.01390000000004</v>
      </c>
      <c r="AG232" s="4" cm="1">
        <f t="array" ref="AG232">INDEX(GMW!$A$2:$NF$60,MATCH(1,(GMW!$NE$2:$NE$60=AG$3)*(GMW!$ND$2:$ND$60=AG$4)*(GMW!$NF$2:$NF$60=AG$1),0),$F232-1966)</f>
        <v>612.60850000000005</v>
      </c>
      <c r="AH232" s="4" cm="1">
        <f t="array" ref="AH232">INDEX(GMW!$A$2:$NF$60,MATCH(1,(GMW!$NE$2:$NE$60=AH$3)*(GMW!$ND$2:$ND$60=AH$4)*(GMW!$NF$2:$NF$60=AH$1),0),$F232-1966)</f>
        <v>913278.8</v>
      </c>
    </row>
    <row r="233" spans="1:34" x14ac:dyDescent="0.25">
      <c r="B233" s="4">
        <f t="shared" si="73"/>
        <v>2029</v>
      </c>
      <c r="C233" s="4">
        <f t="shared" si="73"/>
        <v>2029</v>
      </c>
      <c r="F233" s="4">
        <f t="shared" si="59"/>
        <v>2199</v>
      </c>
      <c r="G233" s="4" cm="1">
        <f t="array" ref="G233">INDEX(GMW!$A$2:$NF$60,MATCH(1,(GMW!$NE$2:$NE$60=G$3)*(GMW!$ND$2:$ND$60=G$4)*(GMW!$NF$2:$NF$60=G$1),0),$F233-1966)</f>
        <v>687779.4</v>
      </c>
      <c r="H233" s="4" cm="1">
        <f t="array" ref="H233">INDEX(GMW!$A$2:$NF$60,MATCH(1,(GMW!$NE$2:$NE$60=H$3)*(GMW!$ND$2:$ND$60=H$4)*(GMW!$NF$2:$NF$60=H$1),0),$F233-1966)</f>
        <v>6503.3230000000003</v>
      </c>
      <c r="I233" s="4" cm="1">
        <f t="array" ref="I233">INDEX(GMW!$A$2:$NF$60,MATCH(1,(GMW!$NE$2:$NE$60=I$3)*(GMW!$ND$2:$ND$60=I$4)*(GMW!$NF$2:$NF$60=I$1),0),$F233-1966)</f>
        <v>142525.70000000001</v>
      </c>
      <c r="J233" s="4" cm="1">
        <f t="array" ref="J233">INDEX(GMW!$A$2:$NF$60,MATCH(1,(GMW!$NE$2:$NE$60=J$3)*(GMW!$ND$2:$ND$60=J$4)*(GMW!$NF$2:$NF$60=J$1),0),$F233-1966)</f>
        <v>968.44309999999996</v>
      </c>
      <c r="K233" s="4" cm="1">
        <f t="array" ref="K233">INDEX(GMW!$A$2:$NF$60,MATCH(1,(GMW!$NE$2:$NE$60=K$3)*(GMW!$ND$2:$ND$60=K$4)*(GMW!$NF$2:$NF$60=K$1),0),$F233-1966)</f>
        <v>692.75</v>
      </c>
      <c r="L233" s="4" cm="1">
        <f t="array" ref="L233">INDEX(GMW!$A$2:$NF$60,MATCH(1,(GMW!$NE$2:$NE$60=L$3)*(GMW!$ND$2:$ND$60=L$4)*(GMW!$NF$2:$NF$60=L$1),0),$F233-1966)</f>
        <v>499.64479999999998</v>
      </c>
      <c r="M233" s="4" cm="1">
        <f t="array" ref="M233">INDEX(GMW!$A$2:$NF$60,MATCH(1,(GMW!$NE$2:$NE$60=M$3)*(GMW!$ND$2:$ND$60=M$4)*(GMW!$NF$2:$NF$60=M$1),0),$F233-1966)</f>
        <v>659325.69999999995</v>
      </c>
      <c r="N233" s="4" cm="1">
        <f t="array" ref="N233">INDEX(GMW!$A$2:$NF$60,MATCH(1,(GMW!$NE$2:$NE$60=N$3)*(GMW!$ND$2:$ND$60=N$4)*(GMW!$NF$2:$NF$60=N$1),0),$F233-1966)</f>
        <v>-15080.47</v>
      </c>
      <c r="O233" s="4" cm="1">
        <f t="array" ref="O233">INDEX(GMW!$A$2:$NF$60,MATCH(1,(GMW!$NE$2:$NE$60=O$3)*(GMW!$ND$2:$ND$60=O$4)*(GMW!$NF$2:$NF$60=O$1),0),$F233-1966)</f>
        <v>-680.9547</v>
      </c>
      <c r="P233" s="4" cm="1">
        <f t="array" ref="P233">INDEX(GMW!$A$2:$NF$60,MATCH(1,(GMW!$NE$2:$NE$60=P$3)*(GMW!$ND$2:$ND$60=P$4)*(GMW!$NF$2:$NF$60=P$1),0),$F233-1966)</f>
        <v>-5144.0079999999998</v>
      </c>
      <c r="Q233" s="4" cm="1">
        <f t="array" ref="Q233">INDEX(GMW!$A$2:$NF$60,MATCH(1,(GMW!$NE$2:$NE$60=Q$3)*(GMW!$ND$2:$ND$60=Q$4)*(GMW!$NF$2:$NF$60=Q$1),0),$F233-1966)</f>
        <v>-46.309570000000001</v>
      </c>
      <c r="R233" s="4" cm="1">
        <f t="array" ref="R233">INDEX(GMW!$A$2:$NF$60,MATCH(1,(GMW!$NE$2:$NE$60=R$3)*(GMW!$ND$2:$ND$60=R$4)*(GMW!$NF$2:$NF$60=R$1),0),$F233-1966)</f>
        <v>-38.179780000000001</v>
      </c>
      <c r="S233" s="4" cm="1">
        <f t="array" ref="S233">INDEX(GMW!$A$2:$NF$60,MATCH(1,(GMW!$NE$2:$NE$60=S$3)*(GMW!$ND$2:$ND$60=S$4)*(GMW!$NF$2:$NF$60=S$1),0),$F233-1966)</f>
        <v>-16.650120000000001</v>
      </c>
      <c r="T233" s="4" cm="1">
        <f t="array" ref="T233">INDEX(GMW!$A$2:$NF$60,MATCH(1,(GMW!$NE$2:$NE$60=T$3)*(GMW!$ND$2:$ND$60=T$4)*(GMW!$NF$2:$NF$60=T$1),0),$F233-1966)</f>
        <v>-27975.88</v>
      </c>
      <c r="U233" s="4" cm="1">
        <f t="array" ref="U233">INDEX(GMW!$A$2:$NF$60,MATCH(1,(GMW!$NE$2:$NE$60=U$3)*(GMW!$ND$2:$ND$60=U$4)*(GMW!$NF$2:$NF$60=U$1),0),$F233-1966)</f>
        <v>3402485</v>
      </c>
      <c r="V233" s="4" cm="1">
        <f t="array" ref="V233">INDEX(GMW!$A$2:$NF$60,MATCH(1,(GMW!$NE$2:$NE$60=V$3)*(GMW!$ND$2:$ND$60=V$4)*(GMW!$NF$2:$NF$60=V$1),0),$F233-1966)</f>
        <v>52329.47</v>
      </c>
      <c r="W233" s="4" cm="1">
        <f t="array" ref="W233">INDEX(GMW!$A$2:$NF$60,MATCH(1,(GMW!$NE$2:$NE$60=W$3)*(GMW!$ND$2:$ND$60=W$4)*(GMW!$NF$2:$NF$60=W$1),0),$F233-1966)</f>
        <v>1454201</v>
      </c>
      <c r="X233" s="4" cm="1">
        <f t="array" ref="X233">INDEX(GMW!$A$2:$NF$60,MATCH(1,(GMW!$NE$2:$NE$60=X$3)*(GMW!$ND$2:$ND$60=X$4)*(GMW!$NF$2:$NF$60=X$1),0),$F233-1966)</f>
        <v>3152.74</v>
      </c>
      <c r="Y233" s="4" cm="1">
        <f t="array" ref="Y233">INDEX(GMW!$A$2:$NF$60,MATCH(1,(GMW!$NE$2:$NE$60=Y$3)*(GMW!$ND$2:$ND$60=Y$4)*(GMW!$NF$2:$NF$60=Y$1),0),$F233-1966)</f>
        <v>4405.8729999999996</v>
      </c>
      <c r="Z233" s="4" cm="1">
        <f t="array" ref="Z233">INDEX(GMW!$A$2:$NF$60,MATCH(1,(GMW!$NE$2:$NE$60=Z$3)*(GMW!$ND$2:$ND$60=Z$4)*(GMW!$NF$2:$NF$60=Z$1),0),$F233-1966)</f>
        <v>3689.0450000000001</v>
      </c>
      <c r="AA233" s="4" cm="1">
        <f t="array" ref="AA233">INDEX(GMW!$A$2:$NF$60,MATCH(1,(GMW!$NE$2:$NE$60=AA$3)*(GMW!$ND$2:$ND$60=AA$4)*(GMW!$NF$2:$NF$60=AA$1),0),$F233-1966)</f>
        <v>3847983</v>
      </c>
      <c r="AB233" s="4" cm="1">
        <f t="array" ref="AB233">INDEX(GMW!$A$2:$NF$60,MATCH(1,(GMW!$NE$2:$NE$60=AB$3)*(GMW!$ND$2:$ND$60=AB$4)*(GMW!$NF$2:$NF$60=AB$1),0),$F233-1966)</f>
        <v>866770.2</v>
      </c>
      <c r="AC233" s="4" cm="1">
        <f t="array" ref="AC233">INDEX(GMW!$A$2:$NF$60,MATCH(1,(GMW!$NE$2:$NE$60=AC$3)*(GMW!$ND$2:$ND$60=AC$4)*(GMW!$NF$2:$NF$60=AC$1),0),$F233-1966)</f>
        <v>9028.8040000000001</v>
      </c>
      <c r="AD233" s="4" cm="1">
        <f t="array" ref="AD233">INDEX(GMW!$A$2:$NF$60,MATCH(1,(GMW!$NE$2:$NE$60=AD$3)*(GMW!$ND$2:$ND$60=AD$4)*(GMW!$NF$2:$NF$60=AD$1),0),$F233-1966)</f>
        <v>166163</v>
      </c>
      <c r="AE233" s="4" cm="1">
        <f t="array" ref="AE233">INDEX(GMW!$A$2:$NF$60,MATCH(1,(GMW!$NE$2:$NE$60=AE$3)*(GMW!$ND$2:$ND$60=AE$4)*(GMW!$NF$2:$NF$60=AE$1),0),$F233-1966)</f>
        <v>1325.17</v>
      </c>
      <c r="AF233" s="4" cm="1">
        <f t="array" ref="AF233">INDEX(GMW!$A$2:$NF$60,MATCH(1,(GMW!$NE$2:$NE$60=AF$3)*(GMW!$ND$2:$ND$60=AF$4)*(GMW!$NF$2:$NF$60=AF$1),0),$F233-1966)</f>
        <v>852.8306</v>
      </c>
      <c r="AG233" s="4" cm="1">
        <f t="array" ref="AG233">INDEX(GMW!$A$2:$NF$60,MATCH(1,(GMW!$NE$2:$NE$60=AG$3)*(GMW!$ND$2:$ND$60=AG$4)*(GMW!$NF$2:$NF$60=AG$1),0),$F233-1966)</f>
        <v>616.37300000000005</v>
      </c>
      <c r="AH233" s="4" cm="1">
        <f t="array" ref="AH233">INDEX(GMW!$A$2:$NF$60,MATCH(1,(GMW!$NE$2:$NE$60=AH$3)*(GMW!$ND$2:$ND$60=AH$4)*(GMW!$NF$2:$NF$60=AH$1),0),$F233-1966)</f>
        <v>921680.9</v>
      </c>
    </row>
    <row r="234" spans="1:34" x14ac:dyDescent="0.25">
      <c r="B234" s="4">
        <f t="shared" si="73"/>
        <v>2029</v>
      </c>
      <c r="C234" s="4">
        <f t="shared" si="73"/>
        <v>2029</v>
      </c>
      <c r="E234" s="4">
        <f t="shared" ref="E234" si="77">+E230+1</f>
        <v>2029</v>
      </c>
      <c r="F234" s="4">
        <f t="shared" si="59"/>
        <v>2200</v>
      </c>
      <c r="G234" s="4" cm="1">
        <f t="array" ref="G234">INDEX(GMW!$A$2:$NF$60,MATCH(1,(GMW!$NE$2:$NE$60=G$3)*(GMW!$ND$2:$ND$60=G$4)*(GMW!$NF$2:$NF$60=G$1),0),$F234-1966)</f>
        <v>690530.6</v>
      </c>
      <c r="H234" s="4" cm="1">
        <f t="array" ref="H234">INDEX(GMW!$A$2:$NF$60,MATCH(1,(GMW!$NE$2:$NE$60=H$3)*(GMW!$ND$2:$ND$60=H$4)*(GMW!$NF$2:$NF$60=H$1),0),$F234-1966)</f>
        <v>6536.4440000000004</v>
      </c>
      <c r="I234" s="4" cm="1">
        <f t="array" ref="I234">INDEX(GMW!$A$2:$NF$60,MATCH(1,(GMW!$NE$2:$NE$60=I$3)*(GMW!$ND$2:$ND$60=I$4)*(GMW!$NF$2:$NF$60=I$1),0),$F234-1966)</f>
        <v>142565.79999999999</v>
      </c>
      <c r="J234" s="4" cm="1">
        <f t="array" ref="J234">INDEX(GMW!$A$2:$NF$60,MATCH(1,(GMW!$NE$2:$NE$60=J$3)*(GMW!$ND$2:$ND$60=J$4)*(GMW!$NF$2:$NF$60=J$1),0),$F234-1966)</f>
        <v>971.78660000000002</v>
      </c>
      <c r="K234" s="4" cm="1">
        <f t="array" ref="K234">INDEX(GMW!$A$2:$NF$60,MATCH(1,(GMW!$NE$2:$NE$60=K$3)*(GMW!$ND$2:$ND$60=K$4)*(GMW!$NF$2:$NF$60=K$1),0),$F234-1966)</f>
        <v>695.31</v>
      </c>
      <c r="L234" s="4" cm="1">
        <f t="array" ref="L234">INDEX(GMW!$A$2:$NF$60,MATCH(1,(GMW!$NE$2:$NE$60=L$3)*(GMW!$ND$2:$ND$60=L$4)*(GMW!$NF$2:$NF$60=L$1),0),$F234-1966)</f>
        <v>500.36610000000002</v>
      </c>
      <c r="M234" s="4" cm="1">
        <f t="array" ref="M234">INDEX(GMW!$A$2:$NF$60,MATCH(1,(GMW!$NE$2:$NE$60=M$3)*(GMW!$ND$2:$ND$60=M$4)*(GMW!$NF$2:$NF$60=M$1),0),$F234-1966)</f>
        <v>662456</v>
      </c>
      <c r="N234" s="4" cm="1">
        <f t="array" ref="N234">INDEX(GMW!$A$2:$NF$60,MATCH(1,(GMW!$NE$2:$NE$60=N$3)*(GMW!$ND$2:$ND$60=N$4)*(GMW!$NF$2:$NF$60=N$1),0),$F234-1966)</f>
        <v>-37223.03</v>
      </c>
      <c r="O234" s="4" cm="1">
        <f t="array" ref="O234">INDEX(GMW!$A$2:$NF$60,MATCH(1,(GMW!$NE$2:$NE$60=O$3)*(GMW!$ND$2:$ND$60=O$4)*(GMW!$NF$2:$NF$60=O$1),0),$F234-1966)</f>
        <v>-693.15660000000003</v>
      </c>
      <c r="P234" s="4" cm="1">
        <f t="array" ref="P234">INDEX(GMW!$A$2:$NF$60,MATCH(1,(GMW!$NE$2:$NE$60=P$3)*(GMW!$ND$2:$ND$60=P$4)*(GMW!$NF$2:$NF$60=P$1),0),$F234-1966)</f>
        <v>-5102.4260000000004</v>
      </c>
      <c r="Q234" s="4" cm="1">
        <f t="array" ref="Q234">INDEX(GMW!$A$2:$NF$60,MATCH(1,(GMW!$NE$2:$NE$60=Q$3)*(GMW!$ND$2:$ND$60=Q$4)*(GMW!$NF$2:$NF$60=Q$1),0),$F234-1966)</f>
        <v>-45.830379999999998</v>
      </c>
      <c r="R234" s="4" cm="1">
        <f t="array" ref="R234">INDEX(GMW!$A$2:$NF$60,MATCH(1,(GMW!$NE$2:$NE$60=R$3)*(GMW!$ND$2:$ND$60=R$4)*(GMW!$NF$2:$NF$60=R$1),0),$F234-1966)</f>
        <v>-37.624510000000001</v>
      </c>
      <c r="S234" s="4" cm="1">
        <f t="array" ref="S234">INDEX(GMW!$A$2:$NF$60,MATCH(1,(GMW!$NE$2:$NE$60=S$3)*(GMW!$ND$2:$ND$60=S$4)*(GMW!$NF$2:$NF$60=S$1),0),$F234-1966)</f>
        <v>-16.78</v>
      </c>
      <c r="T234" s="4" cm="1">
        <f t="array" ref="T234">INDEX(GMW!$A$2:$NF$60,MATCH(1,(GMW!$NE$2:$NE$60=T$3)*(GMW!$ND$2:$ND$60=T$4)*(GMW!$NF$2:$NF$60=T$1),0),$F234-1966)</f>
        <v>-27488.31</v>
      </c>
      <c r="U234" s="4" cm="1">
        <f t="array" ref="U234">INDEX(GMW!$A$2:$NF$60,MATCH(1,(GMW!$NE$2:$NE$60=U$3)*(GMW!$ND$2:$ND$60=U$4)*(GMW!$NF$2:$NF$60=U$1),0),$F234-1966)</f>
        <v>3439708</v>
      </c>
      <c r="V234" s="4" cm="1">
        <f t="array" ref="V234">INDEX(GMW!$A$2:$NF$60,MATCH(1,(GMW!$NE$2:$NE$60=V$3)*(GMW!$ND$2:$ND$60=V$4)*(GMW!$NF$2:$NF$60=V$1),0),$F234-1966)</f>
        <v>53022.63</v>
      </c>
      <c r="W234" s="4" cm="1">
        <f t="array" ref="W234">INDEX(GMW!$A$2:$NF$60,MATCH(1,(GMW!$NE$2:$NE$60=W$3)*(GMW!$ND$2:$ND$60=W$4)*(GMW!$NF$2:$NF$60=W$1),0),$F234-1966)</f>
        <v>1459304</v>
      </c>
      <c r="X234" s="4" cm="1">
        <f t="array" ref="X234">INDEX(GMW!$A$2:$NF$60,MATCH(1,(GMW!$NE$2:$NE$60=X$3)*(GMW!$ND$2:$ND$60=X$4)*(GMW!$NF$2:$NF$60=X$1),0),$F234-1966)</f>
        <v>3198.57</v>
      </c>
      <c r="Y234" s="4" cm="1">
        <f t="array" ref="Y234">INDEX(GMW!$A$2:$NF$60,MATCH(1,(GMW!$NE$2:$NE$60=Y$3)*(GMW!$ND$2:$ND$60=Y$4)*(GMW!$NF$2:$NF$60=Y$1),0),$F234-1966)</f>
        <v>4443.4979999999996</v>
      </c>
      <c r="Z234" s="4" cm="1">
        <f t="array" ref="Z234">INDEX(GMW!$A$2:$NF$60,MATCH(1,(GMW!$NE$2:$NE$60=Z$3)*(GMW!$ND$2:$ND$60=Z$4)*(GMW!$NF$2:$NF$60=Z$1),0),$F234-1966)</f>
        <v>3707.03</v>
      </c>
      <c r="AA234" s="4" cm="1">
        <f t="array" ref="AA234">INDEX(GMW!$A$2:$NF$60,MATCH(1,(GMW!$NE$2:$NE$60=AA$3)*(GMW!$ND$2:$ND$60=AA$4)*(GMW!$NF$2:$NF$60=AA$1),0),$F234-1966)</f>
        <v>3875471</v>
      </c>
      <c r="AB234" s="4" cm="1">
        <f t="array" ref="AB234">INDEX(GMW!$A$2:$NF$60,MATCH(1,(GMW!$NE$2:$NE$60=AB$3)*(GMW!$ND$2:$ND$60=AB$4)*(GMW!$NF$2:$NF$60=AB$1),0),$F234-1966)</f>
        <v>874588.7</v>
      </c>
      <c r="AC234" s="4" cm="1">
        <f t="array" ref="AC234">INDEX(GMW!$A$2:$NF$60,MATCH(1,(GMW!$NE$2:$NE$60=AC$3)*(GMW!$ND$2:$ND$60=AC$4)*(GMW!$NF$2:$NF$60=AC$1),0),$F234-1966)</f>
        <v>9117.527</v>
      </c>
      <c r="AD234" s="4" cm="1">
        <f t="array" ref="AD234">INDEX(GMW!$A$2:$NF$60,MATCH(1,(GMW!$NE$2:$NE$60=AD$3)*(GMW!$ND$2:$ND$60=AD$4)*(GMW!$NF$2:$NF$60=AD$1),0),$F234-1966)</f>
        <v>166698.5</v>
      </c>
      <c r="AE234" s="4" cm="1">
        <f t="array" ref="AE234">INDEX(GMW!$A$2:$NF$60,MATCH(1,(GMW!$NE$2:$NE$60=AE$3)*(GMW!$ND$2:$ND$60=AE$4)*(GMW!$NF$2:$NF$60=AE$1),0),$F234-1966)</f>
        <v>1338.0350000000001</v>
      </c>
      <c r="AF234" s="4" cm="1">
        <f t="array" ref="AF234">INDEX(GMW!$A$2:$NF$60,MATCH(1,(GMW!$NE$2:$NE$60=AF$3)*(GMW!$ND$2:$ND$60=AF$4)*(GMW!$NF$2:$NF$60=AF$1),0),$F234-1966)</f>
        <v>860.40560000000005</v>
      </c>
      <c r="AG234" s="4" cm="1">
        <f t="array" ref="AG234">INDEX(GMW!$A$2:$NF$60,MATCH(1,(GMW!$NE$2:$NE$60=AG$3)*(GMW!$ND$2:$ND$60=AG$4)*(GMW!$NF$2:$NF$60=AG$1),0),$F234-1966)</f>
        <v>620.10109999999997</v>
      </c>
      <c r="AH234" s="4" cm="1">
        <f t="array" ref="AH234">INDEX(GMW!$A$2:$NF$60,MATCH(1,(GMW!$NE$2:$NE$60=AH$3)*(GMW!$ND$2:$ND$60=AH$4)*(GMW!$NF$2:$NF$60=AH$1),0),$F234-1966)</f>
        <v>930259.3</v>
      </c>
    </row>
    <row r="235" spans="1:34" x14ac:dyDescent="0.25">
      <c r="A235" s="4">
        <v>2030</v>
      </c>
      <c r="B235" s="4">
        <f t="shared" si="73"/>
        <v>2030</v>
      </c>
      <c r="C235" s="4">
        <f t="shared" si="73"/>
        <v>2029</v>
      </c>
      <c r="D235" s="4">
        <f t="shared" si="73"/>
        <v>2029</v>
      </c>
      <c r="F235" s="4">
        <f t="shared" si="59"/>
        <v>2201</v>
      </c>
      <c r="G235" s="4" cm="1">
        <f t="array" ref="G235">INDEX(GMW!$A$2:$NF$60,MATCH(1,(GMW!$NE$2:$NE$60=G$3)*(GMW!$ND$2:$ND$60=G$4)*(GMW!$NF$2:$NF$60=G$1),0),$F235-1966)</f>
        <v>693223.7</v>
      </c>
      <c r="H235" s="4" cm="1">
        <f t="array" ref="H235">INDEX(GMW!$A$2:$NF$60,MATCH(1,(GMW!$NE$2:$NE$60=H$3)*(GMW!$ND$2:$ND$60=H$4)*(GMW!$NF$2:$NF$60=H$1),0),$F235-1966)</f>
        <v>6569.0780000000004</v>
      </c>
      <c r="I235" s="4" cm="1">
        <f t="array" ref="I235">INDEX(GMW!$A$2:$NF$60,MATCH(1,(GMW!$NE$2:$NE$60=I$3)*(GMW!$ND$2:$ND$60=I$4)*(GMW!$NF$2:$NF$60=I$1),0),$F235-1966)</f>
        <v>142600.29999999999</v>
      </c>
      <c r="J235" s="4" cm="1">
        <f t="array" ref="J235">INDEX(GMW!$A$2:$NF$60,MATCH(1,(GMW!$NE$2:$NE$60=J$3)*(GMW!$ND$2:$ND$60=J$4)*(GMW!$NF$2:$NF$60=J$1),0),$F235-1966)</f>
        <v>974.86800000000005</v>
      </c>
      <c r="K235" s="4" cm="1">
        <f t="array" ref="K235">INDEX(GMW!$A$2:$NF$60,MATCH(1,(GMW!$NE$2:$NE$60=K$3)*(GMW!$ND$2:$ND$60=K$4)*(GMW!$NF$2:$NF$60=K$1),0),$F235-1966)</f>
        <v>697.82</v>
      </c>
      <c r="L235" s="4" cm="1">
        <f t="array" ref="L235">INDEX(GMW!$A$2:$NF$60,MATCH(1,(GMW!$NE$2:$NE$60=L$3)*(GMW!$ND$2:$ND$60=L$4)*(GMW!$NF$2:$NF$60=L$1),0),$F235-1966)</f>
        <v>501.0874</v>
      </c>
      <c r="M235" s="4" cm="1">
        <f t="array" ref="M235">INDEX(GMW!$A$2:$NF$60,MATCH(1,(GMW!$NE$2:$NE$60=M$3)*(GMW!$ND$2:$ND$60=M$4)*(GMW!$NF$2:$NF$60=M$1),0),$F235-1966)</f>
        <v>665776.4</v>
      </c>
      <c r="N235" s="4" cm="1">
        <f t="array" ref="N235">INDEX(GMW!$A$2:$NF$60,MATCH(1,(GMW!$NE$2:$NE$60=N$3)*(GMW!$ND$2:$ND$60=N$4)*(GMW!$NF$2:$NF$60=N$1),0),$F235-1966)</f>
        <v>10815.53</v>
      </c>
      <c r="O235" s="4" cm="1">
        <f t="array" ref="O235">INDEX(GMW!$A$2:$NF$60,MATCH(1,(GMW!$NE$2:$NE$60=O$3)*(GMW!$ND$2:$ND$60=O$4)*(GMW!$NF$2:$NF$60=O$1),0),$F235-1966)</f>
        <v>-702.62850000000003</v>
      </c>
      <c r="P235" s="4" cm="1">
        <f t="array" ref="P235">INDEX(GMW!$A$2:$NF$60,MATCH(1,(GMW!$NE$2:$NE$60=P$3)*(GMW!$ND$2:$ND$60=P$4)*(GMW!$NF$2:$NF$60=P$1),0),$F235-1966)</f>
        <v>-5025.152</v>
      </c>
      <c r="Q235" s="4" cm="1">
        <f t="array" ref="Q235">INDEX(GMW!$A$2:$NF$60,MATCH(1,(GMW!$NE$2:$NE$60=Q$3)*(GMW!$ND$2:$ND$60=Q$4)*(GMW!$NF$2:$NF$60=Q$1),0),$F235-1966)</f>
        <v>-45.487609999999997</v>
      </c>
      <c r="R235" s="4" cm="1">
        <f t="array" ref="R235">INDEX(GMW!$A$2:$NF$60,MATCH(1,(GMW!$NE$2:$NE$60=R$3)*(GMW!$ND$2:$ND$60=R$4)*(GMW!$NF$2:$NF$60=R$1),0),$F235-1966)</f>
        <v>-37.125700000000002</v>
      </c>
      <c r="S235" s="4" cm="1">
        <f t="array" ref="S235">INDEX(GMW!$A$2:$NF$60,MATCH(1,(GMW!$NE$2:$NE$60=S$3)*(GMW!$ND$2:$ND$60=S$4)*(GMW!$NF$2:$NF$60=S$1),0),$F235-1966)</f>
        <v>-16.90982</v>
      </c>
      <c r="T235" s="4" cm="1">
        <f t="array" ref="T235">INDEX(GMW!$A$2:$NF$60,MATCH(1,(GMW!$NE$2:$NE$60=T$3)*(GMW!$ND$2:$ND$60=T$4)*(GMW!$NF$2:$NF$60=T$1),0),$F235-1966)</f>
        <v>-27205.16</v>
      </c>
      <c r="U235" s="4" cm="1">
        <f t="array" ref="U235">INDEX(GMW!$A$2:$NF$60,MATCH(1,(GMW!$NE$2:$NE$60=U$3)*(GMW!$ND$2:$ND$60=U$4)*(GMW!$NF$2:$NF$60=U$1),0),$F235-1966)</f>
        <v>3428892</v>
      </c>
      <c r="V235" s="4" cm="1">
        <f t="array" ref="V235">INDEX(GMW!$A$2:$NF$60,MATCH(1,(GMW!$NE$2:$NE$60=V$3)*(GMW!$ND$2:$ND$60=V$4)*(GMW!$NF$2:$NF$60=V$1),0),$F235-1966)</f>
        <v>53725.26</v>
      </c>
      <c r="W235" s="4" cm="1">
        <f t="array" ref="W235">INDEX(GMW!$A$2:$NF$60,MATCH(1,(GMW!$NE$2:$NE$60=W$3)*(GMW!$ND$2:$ND$60=W$4)*(GMW!$NF$2:$NF$60=W$1),0),$F235-1966)</f>
        <v>1464329</v>
      </c>
      <c r="X235" s="4" cm="1">
        <f t="array" ref="X235">INDEX(GMW!$A$2:$NF$60,MATCH(1,(GMW!$NE$2:$NE$60=X$3)*(GMW!$ND$2:$ND$60=X$4)*(GMW!$NF$2:$NF$60=X$1),0),$F235-1966)</f>
        <v>3244.058</v>
      </c>
      <c r="Y235" s="4" cm="1">
        <f t="array" ref="Y235">INDEX(GMW!$A$2:$NF$60,MATCH(1,(GMW!$NE$2:$NE$60=Y$3)*(GMW!$ND$2:$ND$60=Y$4)*(GMW!$NF$2:$NF$60=Y$1),0),$F235-1966)</f>
        <v>4480.6229999999996</v>
      </c>
      <c r="Z235" s="4" cm="1">
        <f t="array" ref="Z235">INDEX(GMW!$A$2:$NF$60,MATCH(1,(GMW!$NE$2:$NE$60=Z$3)*(GMW!$ND$2:$ND$60=Z$4)*(GMW!$NF$2:$NF$60=Z$1),0),$F235-1966)</f>
        <v>3724.9749999999999</v>
      </c>
      <c r="AA235" s="4" cm="1">
        <f t="array" ref="AA235">INDEX(GMW!$A$2:$NF$60,MATCH(1,(GMW!$NE$2:$NE$60=AA$3)*(GMW!$ND$2:$ND$60=AA$4)*(GMW!$NF$2:$NF$60=AA$1),0),$F235-1966)</f>
        <v>3902676</v>
      </c>
      <c r="AB235" s="4" cm="1">
        <f t="array" ref="AB235">INDEX(GMW!$A$2:$NF$60,MATCH(1,(GMW!$NE$2:$NE$60=AB$3)*(GMW!$ND$2:$ND$60=AB$4)*(GMW!$NF$2:$NF$60=AB$1),0),$F235-1966)</f>
        <v>882301.7</v>
      </c>
      <c r="AC235" s="4" cm="1">
        <f t="array" ref="AC235">INDEX(GMW!$A$2:$NF$60,MATCH(1,(GMW!$NE$2:$NE$60=AC$3)*(GMW!$ND$2:$ND$60=AC$4)*(GMW!$NF$2:$NF$60=AC$1),0),$F235-1966)</f>
        <v>9206.1119999999992</v>
      </c>
      <c r="AD235" s="4" cm="1">
        <f t="array" ref="AD235">INDEX(GMW!$A$2:$NF$60,MATCH(1,(GMW!$NE$2:$NE$60=AD$3)*(GMW!$ND$2:$ND$60=AD$4)*(GMW!$NF$2:$NF$60=AD$1),0),$F235-1966)</f>
        <v>167268.79999999999</v>
      </c>
      <c r="AE235" s="4" cm="1">
        <f t="array" ref="AE235">INDEX(GMW!$A$2:$NF$60,MATCH(1,(GMW!$NE$2:$NE$60=AE$3)*(GMW!$ND$2:$ND$60=AE$4)*(GMW!$NF$2:$NF$60=AE$1),0),$F235-1966)</f>
        <v>1350.51</v>
      </c>
      <c r="AF235" s="4" cm="1">
        <f t="array" ref="AF235">INDEX(GMW!$A$2:$NF$60,MATCH(1,(GMW!$NE$2:$NE$60=AF$3)*(GMW!$ND$2:$ND$60=AF$4)*(GMW!$NF$2:$NF$60=AF$1),0),$F235-1966)</f>
        <v>868.02809999999999</v>
      </c>
      <c r="AG235" s="4" cm="1">
        <f t="array" ref="AG235">INDEX(GMW!$A$2:$NF$60,MATCH(1,(GMW!$NE$2:$NE$60=AG$3)*(GMW!$ND$2:$ND$60=AG$4)*(GMW!$NF$2:$NF$60=AG$1),0),$F235-1966)</f>
        <v>623.84450000000004</v>
      </c>
      <c r="AH235" s="4" cm="1">
        <f t="array" ref="AH235">INDEX(GMW!$A$2:$NF$60,MATCH(1,(GMW!$NE$2:$NE$60=AH$3)*(GMW!$ND$2:$ND$60=AH$4)*(GMW!$NF$2:$NF$60=AH$1),0),$F235-1966)</f>
        <v>939215.8</v>
      </c>
    </row>
    <row r="236" spans="1:34" x14ac:dyDescent="0.25">
      <c r="B236" s="4">
        <f t="shared" ref="B236:D251" si="78">+B232+1</f>
        <v>2030</v>
      </c>
      <c r="C236" s="4">
        <f t="shared" si="78"/>
        <v>2030</v>
      </c>
      <c r="F236" s="4">
        <f t="shared" si="59"/>
        <v>2202</v>
      </c>
      <c r="G236" s="4" cm="1">
        <f t="array" ref="G236">INDEX(GMW!$A$2:$NF$60,MATCH(1,(GMW!$NE$2:$NE$60=G$3)*(GMW!$ND$2:$ND$60=G$4)*(GMW!$NF$2:$NF$60=G$1),0),$F236-1966)</f>
        <v>695927.3</v>
      </c>
      <c r="H236" s="4" cm="1">
        <f t="array" ref="H236">INDEX(GMW!$A$2:$NF$60,MATCH(1,(GMW!$NE$2:$NE$60=H$3)*(GMW!$ND$2:$ND$60=H$4)*(GMW!$NF$2:$NF$60=H$1),0),$F236-1966)</f>
        <v>6601.3130000000001</v>
      </c>
      <c r="I236" s="4" cm="1">
        <f t="array" ref="I236">INDEX(GMW!$A$2:$NF$60,MATCH(1,(GMW!$NE$2:$NE$60=I$3)*(GMW!$ND$2:$ND$60=I$4)*(GMW!$NF$2:$NF$60=I$1),0),$F236-1966)</f>
        <v>142633.29999999999</v>
      </c>
      <c r="J236" s="4" cm="1">
        <f t="array" ref="J236">INDEX(GMW!$A$2:$NF$60,MATCH(1,(GMW!$NE$2:$NE$60=J$3)*(GMW!$ND$2:$ND$60=J$4)*(GMW!$NF$2:$NF$60=J$1),0),$F236-1966)</f>
        <v>977.70579999999995</v>
      </c>
      <c r="K236" s="4" cm="1">
        <f t="array" ref="K236">INDEX(GMW!$A$2:$NF$60,MATCH(1,(GMW!$NE$2:$NE$60=K$3)*(GMW!$ND$2:$ND$60=K$4)*(GMW!$NF$2:$NF$60=K$1),0),$F236-1966)</f>
        <v>700.05</v>
      </c>
      <c r="L236" s="4" cm="1">
        <f t="array" ref="L236">INDEX(GMW!$A$2:$NF$60,MATCH(1,(GMW!$NE$2:$NE$60=L$3)*(GMW!$ND$2:$ND$60=L$4)*(GMW!$NF$2:$NF$60=L$1),0),$F236-1966)</f>
        <v>501.77269999999999</v>
      </c>
      <c r="M236" s="4" cm="1">
        <f t="array" ref="M236">INDEX(GMW!$A$2:$NF$60,MATCH(1,(GMW!$NE$2:$NE$60=M$3)*(GMW!$ND$2:$ND$60=M$4)*(GMW!$NF$2:$NF$60=M$1),0),$F236-1966)</f>
        <v>669240.19999999995</v>
      </c>
      <c r="N236" s="4" cm="1">
        <f t="array" ref="N236">INDEX(GMW!$A$2:$NF$60,MATCH(1,(GMW!$NE$2:$NE$60=N$3)*(GMW!$ND$2:$ND$60=N$4)*(GMW!$NF$2:$NF$60=N$1),0),$F236-1966)</f>
        <v>-44788.91</v>
      </c>
      <c r="O236" s="4" cm="1">
        <f t="array" ref="O236">INDEX(GMW!$A$2:$NF$60,MATCH(1,(GMW!$NE$2:$NE$60=O$3)*(GMW!$ND$2:$ND$60=O$4)*(GMW!$NF$2:$NF$60=O$1),0),$F236-1966)</f>
        <v>-719.71939999999995</v>
      </c>
      <c r="P236" s="4" cm="1">
        <f t="array" ref="P236">INDEX(GMW!$A$2:$NF$60,MATCH(1,(GMW!$NE$2:$NE$60=P$3)*(GMW!$ND$2:$ND$60=P$4)*(GMW!$NF$2:$NF$60=P$1),0),$F236-1966)</f>
        <v>-4952.875</v>
      </c>
      <c r="Q236" s="4" cm="1">
        <f t="array" ref="Q236">INDEX(GMW!$A$2:$NF$60,MATCH(1,(GMW!$NE$2:$NE$60=Q$3)*(GMW!$ND$2:$ND$60=Q$4)*(GMW!$NF$2:$NF$60=Q$1),0),$F236-1966)</f>
        <v>-44.72504</v>
      </c>
      <c r="R236" s="4" cm="1">
        <f t="array" ref="R236">INDEX(GMW!$A$2:$NF$60,MATCH(1,(GMW!$NE$2:$NE$60=R$3)*(GMW!$ND$2:$ND$60=R$4)*(GMW!$NF$2:$NF$60=R$1),0),$F236-1966)</f>
        <v>-36.848109999999998</v>
      </c>
      <c r="S236" s="4" cm="1">
        <f t="array" ref="S236">INDEX(GMW!$A$2:$NF$60,MATCH(1,(GMW!$NE$2:$NE$60=S$3)*(GMW!$ND$2:$ND$60=S$4)*(GMW!$NF$2:$NF$60=S$1),0),$F236-1966)</f>
        <v>-16.709289999999999</v>
      </c>
      <c r="T236" s="4" cm="1">
        <f t="array" ref="T236">INDEX(GMW!$A$2:$NF$60,MATCH(1,(GMW!$NE$2:$NE$60=T$3)*(GMW!$ND$2:$ND$60=T$4)*(GMW!$NF$2:$NF$60=T$1),0),$F236-1966)</f>
        <v>-27008</v>
      </c>
      <c r="U236" s="4" cm="1">
        <f t="array" ref="U236">INDEX(GMW!$A$2:$NF$60,MATCH(1,(GMW!$NE$2:$NE$60=U$3)*(GMW!$ND$2:$ND$60=U$4)*(GMW!$NF$2:$NF$60=U$1),0),$F236-1966)</f>
        <v>3473681</v>
      </c>
      <c r="V236" s="4" cm="1">
        <f t="array" ref="V236">INDEX(GMW!$A$2:$NF$60,MATCH(1,(GMW!$NE$2:$NE$60=V$3)*(GMW!$ND$2:$ND$60=V$4)*(GMW!$NF$2:$NF$60=V$1),0),$F236-1966)</f>
        <v>54444.98</v>
      </c>
      <c r="W236" s="4" cm="1">
        <f t="array" ref="W236">INDEX(GMW!$A$2:$NF$60,MATCH(1,(GMW!$NE$2:$NE$60=W$3)*(GMW!$ND$2:$ND$60=W$4)*(GMW!$NF$2:$NF$60=W$1),0),$F236-1966)</f>
        <v>1469282</v>
      </c>
      <c r="X236" s="4" cm="1">
        <f t="array" ref="X236">INDEX(GMW!$A$2:$NF$60,MATCH(1,(GMW!$NE$2:$NE$60=X$3)*(GMW!$ND$2:$ND$60=X$4)*(GMW!$NF$2:$NF$60=X$1),0),$F236-1966)</f>
        <v>3288.7829999999999</v>
      </c>
      <c r="Y236" s="4" cm="1">
        <f t="array" ref="Y236">INDEX(GMW!$A$2:$NF$60,MATCH(1,(GMW!$NE$2:$NE$60=Y$3)*(GMW!$ND$2:$ND$60=Y$4)*(GMW!$NF$2:$NF$60=Y$1),0),$F236-1966)</f>
        <v>4517.4709999999995</v>
      </c>
      <c r="Z236" s="4" cm="1">
        <f t="array" ref="Z236">INDEX(GMW!$A$2:$NF$60,MATCH(1,(GMW!$NE$2:$NE$60=Z$3)*(GMW!$ND$2:$ND$60=Z$4)*(GMW!$NF$2:$NF$60=Z$1),0),$F236-1966)</f>
        <v>3742.7190000000001</v>
      </c>
      <c r="AA236" s="4" cm="1">
        <f t="array" ref="AA236">INDEX(GMW!$A$2:$NF$60,MATCH(1,(GMW!$NE$2:$NE$60=AA$3)*(GMW!$ND$2:$ND$60=AA$4)*(GMW!$NF$2:$NF$60=AA$1),0),$F236-1966)</f>
        <v>3929684</v>
      </c>
      <c r="AB236" s="4" cm="1">
        <f t="array" ref="AB236">INDEX(GMW!$A$2:$NF$60,MATCH(1,(GMW!$NE$2:$NE$60=AB$3)*(GMW!$ND$2:$ND$60=AB$4)*(GMW!$NF$2:$NF$60=AB$1),0),$F236-1966)</f>
        <v>890171.8</v>
      </c>
      <c r="AC236" s="4" cm="1">
        <f t="array" ref="AC236">INDEX(GMW!$A$2:$NF$60,MATCH(1,(GMW!$NE$2:$NE$60=AC$3)*(GMW!$ND$2:$ND$60=AC$4)*(GMW!$NF$2:$NF$60=AC$1),0),$F236-1966)</f>
        <v>9294.0580000000009</v>
      </c>
      <c r="AD236" s="4" cm="1">
        <f t="array" ref="AD236">INDEX(GMW!$A$2:$NF$60,MATCH(1,(GMW!$NE$2:$NE$60=AD$3)*(GMW!$ND$2:$ND$60=AD$4)*(GMW!$NF$2:$NF$60=AD$1),0),$F236-1966)</f>
        <v>167884.4</v>
      </c>
      <c r="AE236" s="4" cm="1">
        <f t="array" ref="AE236">INDEX(GMW!$A$2:$NF$60,MATCH(1,(GMW!$NE$2:$NE$60=AE$3)*(GMW!$ND$2:$ND$60=AE$4)*(GMW!$NF$2:$NF$60=AE$1),0),$F236-1966)</f>
        <v>1362.57</v>
      </c>
      <c r="AF236" s="4" cm="1">
        <f t="array" ref="AF236">INDEX(GMW!$A$2:$NF$60,MATCH(1,(GMW!$NE$2:$NE$60=AF$3)*(GMW!$ND$2:$ND$60=AF$4)*(GMW!$NF$2:$NF$60=AF$1),0),$F236-1966)</f>
        <v>875.36519999999996</v>
      </c>
      <c r="AG236" s="4" cm="1">
        <f t="array" ref="AG236">INDEX(GMW!$A$2:$NF$60,MATCH(1,(GMW!$NE$2:$NE$60=AG$3)*(GMW!$ND$2:$ND$60=AG$4)*(GMW!$NF$2:$NF$60=AG$1),0),$F236-1966)</f>
        <v>627.59609999999998</v>
      </c>
      <c r="AH236" s="4" cm="1">
        <f t="array" ref="AH236">INDEX(GMW!$A$2:$NF$60,MATCH(1,(GMW!$NE$2:$NE$60=AH$3)*(GMW!$ND$2:$ND$60=AH$4)*(GMW!$NF$2:$NF$60=AH$1),0),$F236-1966)</f>
        <v>948357.9</v>
      </c>
    </row>
    <row r="237" spans="1:34" x14ac:dyDescent="0.25">
      <c r="B237" s="4">
        <f t="shared" si="78"/>
        <v>2030</v>
      </c>
      <c r="C237" s="4">
        <f t="shared" si="78"/>
        <v>2030</v>
      </c>
      <c r="F237" s="4">
        <f t="shared" si="59"/>
        <v>2203</v>
      </c>
      <c r="G237" s="4" cm="1">
        <f t="array" ref="G237">INDEX(GMW!$A$2:$NF$60,MATCH(1,(GMW!$NE$2:$NE$60=G$3)*(GMW!$ND$2:$ND$60=G$4)*(GMW!$NF$2:$NF$60=G$1),0),$F237-1966)</f>
        <v>698641.4</v>
      </c>
      <c r="H237" s="4" cm="1">
        <f t="array" ref="H237">INDEX(GMW!$A$2:$NF$60,MATCH(1,(GMW!$NE$2:$NE$60=H$3)*(GMW!$ND$2:$ND$60=H$4)*(GMW!$NF$2:$NF$60=H$1),0),$F237-1966)</f>
        <v>6633.1419999999998</v>
      </c>
      <c r="I237" s="4" cm="1">
        <f t="array" ref="I237">INDEX(GMW!$A$2:$NF$60,MATCH(1,(GMW!$NE$2:$NE$60=I$3)*(GMW!$ND$2:$ND$60=I$4)*(GMW!$NF$2:$NF$60=I$1),0),$F237-1966)</f>
        <v>142653.4</v>
      </c>
      <c r="J237" s="4" cm="1">
        <f t="array" ref="J237">INDEX(GMW!$A$2:$NF$60,MATCH(1,(GMW!$NE$2:$NE$60=J$3)*(GMW!$ND$2:$ND$60=J$4)*(GMW!$NF$2:$NF$60=J$1),0),$F237-1966)</f>
        <v>980.33860000000004</v>
      </c>
      <c r="K237" s="4" cm="1">
        <f t="array" ref="K237">INDEX(GMW!$A$2:$NF$60,MATCH(1,(GMW!$NE$2:$NE$60=K$3)*(GMW!$ND$2:$ND$60=K$4)*(GMW!$NF$2:$NF$60=K$1),0),$F237-1966)</f>
        <v>702.29</v>
      </c>
      <c r="L237" s="4" cm="1">
        <f t="array" ref="L237">INDEX(GMW!$A$2:$NF$60,MATCH(1,(GMW!$NE$2:$NE$60=L$3)*(GMW!$ND$2:$ND$60=L$4)*(GMW!$NF$2:$NF$60=L$1),0),$F237-1966)</f>
        <v>502.45639999999997</v>
      </c>
      <c r="M237" s="4" cm="1">
        <f t="array" ref="M237">INDEX(GMW!$A$2:$NF$60,MATCH(1,(GMW!$NE$2:$NE$60=M$3)*(GMW!$ND$2:$ND$60=M$4)*(GMW!$NF$2:$NF$60=M$1),0),$F237-1966)</f>
        <v>672740.6</v>
      </c>
      <c r="N237" s="4" cm="1">
        <f t="array" ref="N237">INDEX(GMW!$A$2:$NF$60,MATCH(1,(GMW!$NE$2:$NE$60=N$3)*(GMW!$ND$2:$ND$60=N$4)*(GMW!$NF$2:$NF$60=N$1),0),$F237-1966)</f>
        <v>-18355.13</v>
      </c>
      <c r="O237" s="4" cm="1">
        <f t="array" ref="O237">INDEX(GMW!$A$2:$NF$60,MATCH(1,(GMW!$NE$2:$NE$60=O$3)*(GMW!$ND$2:$ND$60=O$4)*(GMW!$NF$2:$NF$60=O$1),0),$F237-1966)</f>
        <v>-732.92510000000004</v>
      </c>
      <c r="P237" s="4" cm="1">
        <f t="array" ref="P237">INDEX(GMW!$A$2:$NF$60,MATCH(1,(GMW!$NE$2:$NE$60=P$3)*(GMW!$ND$2:$ND$60=P$4)*(GMW!$NF$2:$NF$60=P$1),0),$F237-1966)</f>
        <v>-4822.9570000000003</v>
      </c>
      <c r="Q237" s="4" cm="1">
        <f t="array" ref="Q237">INDEX(GMW!$A$2:$NF$60,MATCH(1,(GMW!$NE$2:$NE$60=Q$3)*(GMW!$ND$2:$ND$60=Q$4)*(GMW!$NF$2:$NF$60=Q$1),0),$F237-1966)</f>
        <v>-43.695070000000001</v>
      </c>
      <c r="R237" s="4" cm="1">
        <f t="array" ref="R237">INDEX(GMW!$A$2:$NF$60,MATCH(1,(GMW!$NE$2:$NE$60=R$3)*(GMW!$ND$2:$ND$60=R$4)*(GMW!$NF$2:$NF$60=R$1),0),$F237-1966)</f>
        <v>-36.497100000000003</v>
      </c>
      <c r="S237" s="4" cm="1">
        <f t="array" ref="S237">INDEX(GMW!$A$2:$NF$60,MATCH(1,(GMW!$NE$2:$NE$60=S$3)*(GMW!$ND$2:$ND$60=S$4)*(GMW!$NF$2:$NF$60=S$1),0),$F237-1966)</f>
        <v>-16.67249</v>
      </c>
      <c r="T237" s="4" cm="1">
        <f t="array" ref="T237">INDEX(GMW!$A$2:$NF$60,MATCH(1,(GMW!$NE$2:$NE$60=T$3)*(GMW!$ND$2:$ND$60=T$4)*(GMW!$NF$2:$NF$60=T$1),0),$F237-1966)</f>
        <v>-26962.41</v>
      </c>
      <c r="U237" s="4" cm="1">
        <f t="array" ref="U237">INDEX(GMW!$A$2:$NF$60,MATCH(1,(GMW!$NE$2:$NE$60=U$3)*(GMW!$ND$2:$ND$60=U$4)*(GMW!$NF$2:$NF$60=U$1),0),$F237-1966)</f>
        <v>3492036</v>
      </c>
      <c r="V237" s="4" cm="1">
        <f t="array" ref="V237">INDEX(GMW!$A$2:$NF$60,MATCH(1,(GMW!$NE$2:$NE$60=V$3)*(GMW!$ND$2:$ND$60=V$4)*(GMW!$NF$2:$NF$60=V$1),0),$F237-1966)</f>
        <v>55177.9</v>
      </c>
      <c r="W237" s="4" cm="1">
        <f t="array" ref="W237">INDEX(GMW!$A$2:$NF$60,MATCH(1,(GMW!$NE$2:$NE$60=W$3)*(GMW!$ND$2:$ND$60=W$4)*(GMW!$NF$2:$NF$60=W$1),0),$F237-1966)</f>
        <v>1474105</v>
      </c>
      <c r="X237" s="4" cm="1">
        <f t="array" ref="X237">INDEX(GMW!$A$2:$NF$60,MATCH(1,(GMW!$NE$2:$NE$60=X$3)*(GMW!$ND$2:$ND$60=X$4)*(GMW!$NF$2:$NF$60=X$1),0),$F237-1966)</f>
        <v>3332.4780000000001</v>
      </c>
      <c r="Y237" s="4" cm="1">
        <f t="array" ref="Y237">INDEX(GMW!$A$2:$NF$60,MATCH(1,(GMW!$NE$2:$NE$60=Y$3)*(GMW!$ND$2:$ND$60=Y$4)*(GMW!$NF$2:$NF$60=Y$1),0),$F237-1966)</f>
        <v>4553.9679999999998</v>
      </c>
      <c r="Z237" s="4" cm="1">
        <f t="array" ref="Z237">INDEX(GMW!$A$2:$NF$60,MATCH(1,(GMW!$NE$2:$NE$60=Z$3)*(GMW!$ND$2:$ND$60=Z$4)*(GMW!$NF$2:$NF$60=Z$1),0),$F237-1966)</f>
        <v>3760.4270000000001</v>
      </c>
      <c r="AA237" s="4" cm="1">
        <f t="array" ref="AA237">INDEX(GMW!$A$2:$NF$60,MATCH(1,(GMW!$NE$2:$NE$60=AA$3)*(GMW!$ND$2:$ND$60=AA$4)*(GMW!$NF$2:$NF$60=AA$1),0),$F237-1966)</f>
        <v>3956647</v>
      </c>
      <c r="AB237" s="4" cm="1">
        <f t="array" ref="AB237">INDEX(GMW!$A$2:$NF$60,MATCH(1,(GMW!$NE$2:$NE$60=AB$3)*(GMW!$ND$2:$ND$60=AB$4)*(GMW!$NF$2:$NF$60=AB$1),0),$F237-1966)</f>
        <v>898290.2</v>
      </c>
      <c r="AC237" s="4" cm="1">
        <f t="array" ref="AC237">INDEX(GMW!$A$2:$NF$60,MATCH(1,(GMW!$NE$2:$NE$60=AC$3)*(GMW!$ND$2:$ND$60=AC$4)*(GMW!$NF$2:$NF$60=AC$1),0),$F237-1966)</f>
        <v>9381.9079999999994</v>
      </c>
      <c r="AD237" s="4" cm="1">
        <f t="array" ref="AD237">INDEX(GMW!$A$2:$NF$60,MATCH(1,(GMW!$NE$2:$NE$60=AD$3)*(GMW!$ND$2:$ND$60=AD$4)*(GMW!$NF$2:$NF$60=AD$1),0),$F237-1966)</f>
        <v>168515</v>
      </c>
      <c r="AE237" s="4" cm="1">
        <f t="array" ref="AE237">INDEX(GMW!$A$2:$NF$60,MATCH(1,(GMW!$NE$2:$NE$60=AE$3)*(GMW!$ND$2:$ND$60=AE$4)*(GMW!$NF$2:$NF$60=AE$1),0),$F237-1966)</f>
        <v>1374.3</v>
      </c>
      <c r="AF237" s="4" cm="1">
        <f t="array" ref="AF237">INDEX(GMW!$A$2:$NF$60,MATCH(1,(GMW!$NE$2:$NE$60=AF$3)*(GMW!$ND$2:$ND$60=AF$4)*(GMW!$NF$2:$NF$60=AF$1),0),$F237-1966)</f>
        <v>882.8107</v>
      </c>
      <c r="AG237" s="4" cm="1">
        <f t="array" ref="AG237">INDEX(GMW!$A$2:$NF$60,MATCH(1,(GMW!$NE$2:$NE$60=AG$3)*(GMW!$ND$2:$ND$60=AG$4)*(GMW!$NF$2:$NF$60=AG$1),0),$F237-1966)</f>
        <v>631.36329999999998</v>
      </c>
      <c r="AH237" s="4" cm="1">
        <f t="array" ref="AH237">INDEX(GMW!$A$2:$NF$60,MATCH(1,(GMW!$NE$2:$NE$60=AH$3)*(GMW!$ND$2:$ND$60=AH$4)*(GMW!$NF$2:$NF$60=AH$1),0),$F237-1966)</f>
        <v>957603.3</v>
      </c>
    </row>
    <row r="238" spans="1:34" x14ac:dyDescent="0.25">
      <c r="B238" s="4">
        <f t="shared" si="78"/>
        <v>2030</v>
      </c>
      <c r="C238" s="4">
        <f t="shared" si="78"/>
        <v>2030</v>
      </c>
      <c r="E238" s="4">
        <f t="shared" ref="E238" si="79">+E234+1</f>
        <v>2030</v>
      </c>
      <c r="F238" s="4">
        <f t="shared" si="59"/>
        <v>2204</v>
      </c>
      <c r="G238" s="4" cm="1">
        <f t="array" ref="G238">INDEX(GMW!$A$2:$NF$60,MATCH(1,(GMW!$NE$2:$NE$60=G$3)*(GMW!$ND$2:$ND$60=G$4)*(GMW!$NF$2:$NF$60=G$1),0),$F238-1966)</f>
        <v>701401</v>
      </c>
      <c r="H238" s="4" cm="1">
        <f t="array" ref="H238">INDEX(GMW!$A$2:$NF$60,MATCH(1,(GMW!$NE$2:$NE$60=H$3)*(GMW!$ND$2:$ND$60=H$4)*(GMW!$NF$2:$NF$60=H$1),0),$F238-1966)</f>
        <v>6664.5349999999999</v>
      </c>
      <c r="I238" s="4" cm="1">
        <f t="array" ref="I238">INDEX(GMW!$A$2:$NF$60,MATCH(1,(GMW!$NE$2:$NE$60=I$3)*(GMW!$ND$2:$ND$60=I$4)*(GMW!$NF$2:$NF$60=I$1),0),$F238-1966)</f>
        <v>142668.5</v>
      </c>
      <c r="J238" s="4" cm="1">
        <f t="array" ref="J238">INDEX(GMW!$A$2:$NF$60,MATCH(1,(GMW!$NE$2:$NE$60=J$3)*(GMW!$ND$2:$ND$60=J$4)*(GMW!$NF$2:$NF$60=J$1),0),$F238-1966)</f>
        <v>982.72379999999998</v>
      </c>
      <c r="K238" s="4" cm="1">
        <f t="array" ref="K238">INDEX(GMW!$A$2:$NF$60,MATCH(1,(GMW!$NE$2:$NE$60=K$3)*(GMW!$ND$2:$ND$60=K$4)*(GMW!$NF$2:$NF$60=K$1),0),$F238-1966)</f>
        <v>704.44</v>
      </c>
      <c r="L238" s="4" cm="1">
        <f t="array" ref="L238">INDEX(GMW!$A$2:$NF$60,MATCH(1,(GMW!$NE$2:$NE$60=L$3)*(GMW!$ND$2:$ND$60=L$4)*(GMW!$NF$2:$NF$60=L$1),0),$F238-1966)</f>
        <v>503.1397</v>
      </c>
      <c r="M238" s="4" cm="1">
        <f t="array" ref="M238">INDEX(GMW!$A$2:$NF$60,MATCH(1,(GMW!$NE$2:$NE$60=M$3)*(GMW!$ND$2:$ND$60=M$4)*(GMW!$NF$2:$NF$60=M$1),0),$F238-1966)</f>
        <v>676308.9</v>
      </c>
      <c r="N238" s="4" cm="1">
        <f t="array" ref="N238">INDEX(GMW!$A$2:$NF$60,MATCH(1,(GMW!$NE$2:$NE$60=N$3)*(GMW!$ND$2:$ND$60=N$4)*(GMW!$NF$2:$NF$60=N$1),0),$F238-1966)</f>
        <v>-41300.089999999997</v>
      </c>
      <c r="O238" s="4" cm="1">
        <f t="array" ref="O238">INDEX(GMW!$A$2:$NF$60,MATCH(1,(GMW!$NE$2:$NE$60=O$3)*(GMW!$ND$2:$ND$60=O$4)*(GMW!$NF$2:$NF$60=O$1),0),$F238-1966)</f>
        <v>-738.52120000000002</v>
      </c>
      <c r="P238" s="4" cm="1">
        <f t="array" ref="P238">INDEX(GMW!$A$2:$NF$60,MATCH(1,(GMW!$NE$2:$NE$60=P$3)*(GMW!$ND$2:$ND$60=P$4)*(GMW!$NF$2:$NF$60=P$1),0),$F238-1966)</f>
        <v>-4692.5230000000001</v>
      </c>
      <c r="Q238" s="4" cm="1">
        <f t="array" ref="Q238">INDEX(GMW!$A$2:$NF$60,MATCH(1,(GMW!$NE$2:$NE$60=Q$3)*(GMW!$ND$2:$ND$60=Q$4)*(GMW!$NF$2:$NF$60=Q$1),0),$F238-1966)</f>
        <v>-42.613219999999998</v>
      </c>
      <c r="R238" s="4" cm="1">
        <f t="array" ref="R238">INDEX(GMW!$A$2:$NF$60,MATCH(1,(GMW!$NE$2:$NE$60=R$3)*(GMW!$ND$2:$ND$60=R$4)*(GMW!$NF$2:$NF$60=R$1),0),$F238-1966)</f>
        <v>-36.437100000000001</v>
      </c>
      <c r="S238" s="4" cm="1">
        <f t="array" ref="S238">INDEX(GMW!$A$2:$NF$60,MATCH(1,(GMW!$NE$2:$NE$60=S$3)*(GMW!$ND$2:$ND$60=S$4)*(GMW!$NF$2:$NF$60=S$1),0),$F238-1966)</f>
        <v>-16.638310000000001</v>
      </c>
      <c r="T238" s="4" cm="1">
        <f t="array" ref="T238">INDEX(GMW!$A$2:$NF$60,MATCH(1,(GMW!$NE$2:$NE$60=T$3)*(GMW!$ND$2:$ND$60=T$4)*(GMW!$NF$2:$NF$60=T$1),0),$F238-1966)</f>
        <v>-27131.72</v>
      </c>
      <c r="U238" s="4" cm="1">
        <f t="array" ref="U238">INDEX(GMW!$A$2:$NF$60,MATCH(1,(GMW!$NE$2:$NE$60=U$3)*(GMW!$ND$2:$ND$60=U$4)*(GMW!$NF$2:$NF$60=U$1),0),$F238-1966)</f>
        <v>3533336</v>
      </c>
      <c r="V238" s="4" cm="1">
        <f t="array" ref="V238">INDEX(GMW!$A$2:$NF$60,MATCH(1,(GMW!$NE$2:$NE$60=V$3)*(GMW!$ND$2:$ND$60=V$4)*(GMW!$NF$2:$NF$60=V$1),0),$F238-1966)</f>
        <v>55916.42</v>
      </c>
      <c r="W238" s="4" cm="1">
        <f t="array" ref="W238">INDEX(GMW!$A$2:$NF$60,MATCH(1,(GMW!$NE$2:$NE$60=W$3)*(GMW!$ND$2:$ND$60=W$4)*(GMW!$NF$2:$NF$60=W$1),0),$F238-1966)</f>
        <v>1478797</v>
      </c>
      <c r="X238" s="4" cm="1">
        <f t="array" ref="X238">INDEX(GMW!$A$2:$NF$60,MATCH(1,(GMW!$NE$2:$NE$60=X$3)*(GMW!$ND$2:$ND$60=X$4)*(GMW!$NF$2:$NF$60=X$1),0),$F238-1966)</f>
        <v>3375.0909999999999</v>
      </c>
      <c r="Y238" s="4" cm="1">
        <f t="array" ref="Y238">INDEX(GMW!$A$2:$NF$60,MATCH(1,(GMW!$NE$2:$NE$60=Y$3)*(GMW!$ND$2:$ND$60=Y$4)*(GMW!$NF$2:$NF$60=Y$1),0),$F238-1966)</f>
        <v>4590.4049999999997</v>
      </c>
      <c r="Z238" s="4" cm="1">
        <f t="array" ref="Z238">INDEX(GMW!$A$2:$NF$60,MATCH(1,(GMW!$NE$2:$NE$60=Z$3)*(GMW!$ND$2:$ND$60=Z$4)*(GMW!$NF$2:$NF$60=Z$1),0),$F238-1966)</f>
        <v>3778.1010000000001</v>
      </c>
      <c r="AA238" s="4" cm="1">
        <f t="array" ref="AA238">INDEX(GMW!$A$2:$NF$60,MATCH(1,(GMW!$NE$2:$NE$60=AA$3)*(GMW!$ND$2:$ND$60=AA$4)*(GMW!$NF$2:$NF$60=AA$1),0),$F238-1966)</f>
        <v>3983778</v>
      </c>
      <c r="AB238" s="4" cm="1">
        <f t="array" ref="AB238">INDEX(GMW!$A$2:$NF$60,MATCH(1,(GMW!$NE$2:$NE$60=AB$3)*(GMW!$ND$2:$ND$60=AB$4)*(GMW!$NF$2:$NF$60=AB$1),0),$F238-1966)</f>
        <v>906618.1</v>
      </c>
      <c r="AC238" s="4" cm="1">
        <f t="array" ref="AC238">INDEX(GMW!$A$2:$NF$60,MATCH(1,(GMW!$NE$2:$NE$60=AC$3)*(GMW!$ND$2:$ND$60=AC$4)*(GMW!$NF$2:$NF$60=AC$1),0),$F238-1966)</f>
        <v>9469.7520000000004</v>
      </c>
      <c r="AD238" s="4" cm="1">
        <f t="array" ref="AD238">INDEX(GMW!$A$2:$NF$60,MATCH(1,(GMW!$NE$2:$NE$60=AD$3)*(GMW!$ND$2:$ND$60=AD$4)*(GMW!$NF$2:$NF$60=AD$1),0),$F238-1966)</f>
        <v>169145.5</v>
      </c>
      <c r="AE238" s="4" cm="1">
        <f t="array" ref="AE238">INDEX(GMW!$A$2:$NF$60,MATCH(1,(GMW!$NE$2:$NE$60=AE$3)*(GMW!$ND$2:$ND$60=AE$4)*(GMW!$NF$2:$NF$60=AE$1),0),$F238-1966)</f>
        <v>1385.617</v>
      </c>
      <c r="AF238" s="4" cm="1">
        <f t="array" ref="AF238">INDEX(GMW!$A$2:$NF$60,MATCH(1,(GMW!$NE$2:$NE$60=AF$3)*(GMW!$ND$2:$ND$60=AF$4)*(GMW!$NF$2:$NF$60=AF$1),0),$F238-1966)</f>
        <v>890.15650000000005</v>
      </c>
      <c r="AG238" s="4" cm="1">
        <f t="array" ref="AG238">INDEX(GMW!$A$2:$NF$60,MATCH(1,(GMW!$NE$2:$NE$60=AG$3)*(GMW!$ND$2:$ND$60=AG$4)*(GMW!$NF$2:$NF$60=AG$1),0),$F238-1966)</f>
        <v>635.13210000000004</v>
      </c>
      <c r="AH238" s="4" cm="1">
        <f t="array" ref="AH238">INDEX(GMW!$A$2:$NF$60,MATCH(1,(GMW!$NE$2:$NE$60=AH$3)*(GMW!$ND$2:$ND$60=AH$4)*(GMW!$NF$2:$NF$60=AH$1),0),$F238-1966)</f>
        <v>967009.9</v>
      </c>
    </row>
    <row r="239" spans="1:34" x14ac:dyDescent="0.25">
      <c r="A239" s="4">
        <v>2031</v>
      </c>
      <c r="B239" s="4">
        <f t="shared" si="78"/>
        <v>2031</v>
      </c>
      <c r="C239" s="4">
        <f t="shared" si="78"/>
        <v>2030</v>
      </c>
      <c r="D239" s="4">
        <f t="shared" si="78"/>
        <v>2030</v>
      </c>
      <c r="F239" s="4">
        <f t="shared" si="59"/>
        <v>2205</v>
      </c>
      <c r="G239" s="4" cm="1">
        <f t="array" ref="G239">INDEX(GMW!$A$2:$NF$60,MATCH(1,(GMW!$NE$2:$NE$60=G$3)*(GMW!$ND$2:$ND$60=G$4)*(GMW!$NF$2:$NF$60=G$1),0),$F239-1966)</f>
        <v>704206.6</v>
      </c>
      <c r="H239" s="4" cm="1">
        <f t="array" ref="H239">INDEX(GMW!$A$2:$NF$60,MATCH(1,(GMW!$NE$2:$NE$60=H$3)*(GMW!$ND$2:$ND$60=H$4)*(GMW!$NF$2:$NF$60=H$1),0),$F239-1966)</f>
        <v>6695.6859999999997</v>
      </c>
      <c r="I239" s="4" cm="1">
        <f t="array" ref="I239">INDEX(GMW!$A$2:$NF$60,MATCH(1,(GMW!$NE$2:$NE$60=I$3)*(GMW!$ND$2:$ND$60=I$4)*(GMW!$NF$2:$NF$60=I$1),0),$F239-1966)</f>
        <v>142673.4</v>
      </c>
      <c r="J239" s="4" cm="1">
        <f t="array" ref="J239">INDEX(GMW!$A$2:$NF$60,MATCH(1,(GMW!$NE$2:$NE$60=J$3)*(GMW!$ND$2:$ND$60=J$4)*(GMW!$NF$2:$NF$60=J$1),0),$F239-1966)</f>
        <v>984.85709999999995</v>
      </c>
      <c r="K239" s="4" cm="1">
        <f t="array" ref="K239">INDEX(GMW!$A$2:$NF$60,MATCH(1,(GMW!$NE$2:$NE$60=K$3)*(GMW!$ND$2:$ND$60=K$4)*(GMW!$NF$2:$NF$60=K$1),0),$F239-1966)</f>
        <v>706.66</v>
      </c>
      <c r="L239" s="4" cm="1">
        <f t="array" ref="L239">INDEX(GMW!$A$2:$NF$60,MATCH(1,(GMW!$NE$2:$NE$60=L$3)*(GMW!$ND$2:$ND$60=L$4)*(GMW!$NF$2:$NF$60=L$1),0),$F239-1966)</f>
        <v>503.649</v>
      </c>
      <c r="M239" s="4" cm="1">
        <f t="array" ref="M239">INDEX(GMW!$A$2:$NF$60,MATCH(1,(GMW!$NE$2:$NE$60=M$3)*(GMW!$ND$2:$ND$60=M$4)*(GMW!$NF$2:$NF$60=M$1),0),$F239-1966)</f>
        <v>679760.9</v>
      </c>
      <c r="N239" s="4" cm="1">
        <f t="array" ref="N239">INDEX(GMW!$A$2:$NF$60,MATCH(1,(GMW!$NE$2:$NE$60=N$3)*(GMW!$ND$2:$ND$60=N$4)*(GMW!$NF$2:$NF$60=N$1),0),$F239-1966)</f>
        <v>8395.8439999999991</v>
      </c>
      <c r="O239" s="4" cm="1">
        <f t="array" ref="O239">INDEX(GMW!$A$2:$NF$60,MATCH(1,(GMW!$NE$2:$NE$60=O$3)*(GMW!$ND$2:$ND$60=O$4)*(GMW!$NF$2:$NF$60=O$1),0),$F239-1966)</f>
        <v>-744.47699999999998</v>
      </c>
      <c r="P239" s="4" cm="1">
        <f t="array" ref="P239">INDEX(GMW!$A$2:$NF$60,MATCH(1,(GMW!$NE$2:$NE$60=P$3)*(GMW!$ND$2:$ND$60=P$4)*(GMW!$NF$2:$NF$60=P$1),0),$F239-1966)</f>
        <v>-4561.3519999999999</v>
      </c>
      <c r="Q239" s="4" cm="1">
        <f t="array" ref="Q239">INDEX(GMW!$A$2:$NF$60,MATCH(1,(GMW!$NE$2:$NE$60=Q$3)*(GMW!$ND$2:$ND$60=Q$4)*(GMW!$NF$2:$NF$60=Q$1),0),$F239-1966)</f>
        <v>-41.531739999999999</v>
      </c>
      <c r="R239" s="4" cm="1">
        <f t="array" ref="R239">INDEX(GMW!$A$2:$NF$60,MATCH(1,(GMW!$NE$2:$NE$60=R$3)*(GMW!$ND$2:$ND$60=R$4)*(GMW!$NF$2:$NF$60=R$1),0),$F239-1966)</f>
        <v>-36.372500000000002</v>
      </c>
      <c r="S239" s="4" cm="1">
        <f t="array" ref="S239">INDEX(GMW!$A$2:$NF$60,MATCH(1,(GMW!$NE$2:$NE$60=S$3)*(GMW!$ND$2:$ND$60=S$4)*(GMW!$NF$2:$NF$60=S$1),0),$F239-1966)</f>
        <v>-16.353179999999998</v>
      </c>
      <c r="T239" s="4" cm="1">
        <f t="array" ref="T239">INDEX(GMW!$A$2:$NF$60,MATCH(1,(GMW!$NE$2:$NE$60=T$3)*(GMW!$ND$2:$ND$60=T$4)*(GMW!$NF$2:$NF$60=T$1),0),$F239-1966)</f>
        <v>-27251.279999999999</v>
      </c>
      <c r="U239" s="4" cm="1">
        <f t="array" ref="U239">INDEX(GMW!$A$2:$NF$60,MATCH(1,(GMW!$NE$2:$NE$60=U$3)*(GMW!$ND$2:$ND$60=U$4)*(GMW!$NF$2:$NF$60=U$1),0),$F239-1966)</f>
        <v>3524940</v>
      </c>
      <c r="V239" s="4" cm="1">
        <f t="array" ref="V239">INDEX(GMW!$A$2:$NF$60,MATCH(1,(GMW!$NE$2:$NE$60=V$3)*(GMW!$ND$2:$ND$60=V$4)*(GMW!$NF$2:$NF$60=V$1),0),$F239-1966)</f>
        <v>56660.9</v>
      </c>
      <c r="W239" s="4" cm="1">
        <f t="array" ref="W239">INDEX(GMW!$A$2:$NF$60,MATCH(1,(GMW!$NE$2:$NE$60=W$3)*(GMW!$ND$2:$ND$60=W$4)*(GMW!$NF$2:$NF$60=W$1),0),$F239-1966)</f>
        <v>1483359</v>
      </c>
      <c r="X239" s="4" cm="1">
        <f t="array" ref="X239">INDEX(GMW!$A$2:$NF$60,MATCH(1,(GMW!$NE$2:$NE$60=X$3)*(GMW!$ND$2:$ND$60=X$4)*(GMW!$NF$2:$NF$60=X$1),0),$F239-1966)</f>
        <v>3416.623</v>
      </c>
      <c r="Y239" s="4" cm="1">
        <f t="array" ref="Y239">INDEX(GMW!$A$2:$NF$60,MATCH(1,(GMW!$NE$2:$NE$60=Y$3)*(GMW!$ND$2:$ND$60=Y$4)*(GMW!$NF$2:$NF$60=Y$1),0),$F239-1966)</f>
        <v>4626.7780000000002</v>
      </c>
      <c r="Z239" s="4" cm="1">
        <f t="array" ref="Z239">INDEX(GMW!$A$2:$NF$60,MATCH(1,(GMW!$NE$2:$NE$60=Z$3)*(GMW!$ND$2:$ND$60=Z$4)*(GMW!$NF$2:$NF$60=Z$1),0),$F239-1966)</f>
        <v>3795.2139999999999</v>
      </c>
      <c r="AA239" s="4" cm="1">
        <f t="array" ref="AA239">INDEX(GMW!$A$2:$NF$60,MATCH(1,(GMW!$NE$2:$NE$60=AA$3)*(GMW!$ND$2:$ND$60=AA$4)*(GMW!$NF$2:$NF$60=AA$1),0),$F239-1966)</f>
        <v>4011030</v>
      </c>
      <c r="AB239" s="4" cm="1">
        <f t="array" ref="AB239">INDEX(GMW!$A$2:$NF$60,MATCH(1,(GMW!$NE$2:$NE$60=AB$3)*(GMW!$ND$2:$ND$60=AB$4)*(GMW!$NF$2:$NF$60=AB$1),0),$F239-1966)</f>
        <v>915123.1</v>
      </c>
      <c r="AC239" s="4" cm="1">
        <f t="array" ref="AC239">INDEX(GMW!$A$2:$NF$60,MATCH(1,(GMW!$NE$2:$NE$60=AC$3)*(GMW!$ND$2:$ND$60=AC$4)*(GMW!$NF$2:$NF$60=AC$1),0),$F239-1966)</f>
        <v>9557.7250000000004</v>
      </c>
      <c r="AD239" s="4" cm="1">
        <f t="array" ref="AD239">INDEX(GMW!$A$2:$NF$60,MATCH(1,(GMW!$NE$2:$NE$60=AD$3)*(GMW!$ND$2:$ND$60=AD$4)*(GMW!$NF$2:$NF$60=AD$1),0),$F239-1966)</f>
        <v>169769.9</v>
      </c>
      <c r="AE239" s="4" cm="1">
        <f t="array" ref="AE239">INDEX(GMW!$A$2:$NF$60,MATCH(1,(GMW!$NE$2:$NE$60=AE$3)*(GMW!$ND$2:$ND$60=AE$4)*(GMW!$NF$2:$NF$60=AE$1),0),$F239-1966)</f>
        <v>1396.5219999999999</v>
      </c>
      <c r="AF239" s="4" cm="1">
        <f t="array" ref="AF239">INDEX(GMW!$A$2:$NF$60,MATCH(1,(GMW!$NE$2:$NE$60=AF$3)*(GMW!$ND$2:$ND$60=AF$4)*(GMW!$NF$2:$NF$60=AF$1),0),$F239-1966)</f>
        <v>897.72400000000005</v>
      </c>
      <c r="AG239" s="4" cm="1">
        <f t="array" ref="AG239">INDEX(GMW!$A$2:$NF$60,MATCH(1,(GMW!$NE$2:$NE$60=AG$3)*(GMW!$ND$2:$ND$60=AG$4)*(GMW!$NF$2:$NF$60=AG$1),0),$F239-1966)</f>
        <v>638.84820000000002</v>
      </c>
      <c r="AH239" s="4" cm="1">
        <f t="array" ref="AH239">INDEX(GMW!$A$2:$NF$60,MATCH(1,(GMW!$NE$2:$NE$60=AH$3)*(GMW!$ND$2:$ND$60=AH$4)*(GMW!$NF$2:$NF$60=AH$1),0),$F239-1966)</f>
        <v>976372.8</v>
      </c>
    </row>
    <row r="240" spans="1:34" x14ac:dyDescent="0.25">
      <c r="B240" s="4">
        <f t="shared" si="78"/>
        <v>2031</v>
      </c>
      <c r="C240" s="4">
        <f t="shared" si="78"/>
        <v>2031</v>
      </c>
      <c r="F240" s="4">
        <f t="shared" si="59"/>
        <v>2206</v>
      </c>
      <c r="G240" s="4" cm="1">
        <f t="array" ref="G240">INDEX(GMW!$A$2:$NF$60,MATCH(1,(GMW!$NE$2:$NE$60=G$3)*(GMW!$ND$2:$ND$60=G$4)*(GMW!$NF$2:$NF$60=G$1),0),$F240-1966)</f>
        <v>707023.4</v>
      </c>
      <c r="H240" s="4" cm="1">
        <f t="array" ref="H240">INDEX(GMW!$A$2:$NF$60,MATCH(1,(GMW!$NE$2:$NE$60=H$3)*(GMW!$ND$2:$ND$60=H$4)*(GMW!$NF$2:$NF$60=H$1),0),$F240-1966)</f>
        <v>6726.8040000000001</v>
      </c>
      <c r="I240" s="4" cm="1">
        <f t="array" ref="I240">INDEX(GMW!$A$2:$NF$60,MATCH(1,(GMW!$NE$2:$NE$60=I$3)*(GMW!$ND$2:$ND$60=I$4)*(GMW!$NF$2:$NF$60=I$1),0),$F240-1966)</f>
        <v>142676.70000000001</v>
      </c>
      <c r="J240" s="4" cm="1">
        <f t="array" ref="J240">INDEX(GMW!$A$2:$NF$60,MATCH(1,(GMW!$NE$2:$NE$60=J$3)*(GMW!$ND$2:$ND$60=J$4)*(GMW!$NF$2:$NF$60=J$1),0),$F240-1966)</f>
        <v>986.84529999999995</v>
      </c>
      <c r="K240" s="4" cm="1">
        <f t="array" ref="K240">INDEX(GMW!$A$2:$NF$60,MATCH(1,(GMW!$NE$2:$NE$60=K$3)*(GMW!$ND$2:$ND$60=K$4)*(GMW!$NF$2:$NF$60=K$1),0),$F240-1966)</f>
        <v>708.68</v>
      </c>
      <c r="L240" s="4" cm="1">
        <f t="array" ref="L240">INDEX(GMW!$A$2:$NF$60,MATCH(1,(GMW!$NE$2:$NE$60=L$3)*(GMW!$ND$2:$ND$60=L$4)*(GMW!$NF$2:$NF$60=L$1),0),$F240-1966)</f>
        <v>504.13459999999998</v>
      </c>
      <c r="M240" s="4" cm="1">
        <f t="array" ref="M240">INDEX(GMW!$A$2:$NF$60,MATCH(1,(GMW!$NE$2:$NE$60=M$3)*(GMW!$ND$2:$ND$60=M$4)*(GMW!$NF$2:$NF$60=M$1),0),$F240-1966)</f>
        <v>683140.6</v>
      </c>
      <c r="N240" s="4" cm="1">
        <f t="array" ref="N240">INDEX(GMW!$A$2:$NF$60,MATCH(1,(GMW!$NE$2:$NE$60=N$3)*(GMW!$ND$2:$ND$60=N$4)*(GMW!$NF$2:$NF$60=N$1),0),$F240-1966)</f>
        <v>-49094.91</v>
      </c>
      <c r="O240" s="4" cm="1">
        <f t="array" ref="O240">INDEX(GMW!$A$2:$NF$60,MATCH(1,(GMW!$NE$2:$NE$60=O$3)*(GMW!$ND$2:$ND$60=O$4)*(GMW!$NF$2:$NF$60=O$1),0),$F240-1966)</f>
        <v>-755.00319999999999</v>
      </c>
      <c r="P240" s="4" cm="1">
        <f t="array" ref="P240">INDEX(GMW!$A$2:$NF$60,MATCH(1,(GMW!$NE$2:$NE$60=P$3)*(GMW!$ND$2:$ND$60=P$4)*(GMW!$NF$2:$NF$60=P$1),0),$F240-1966)</f>
        <v>-4430.1329999999998</v>
      </c>
      <c r="Q240" s="4" cm="1">
        <f t="array" ref="Q240">INDEX(GMW!$A$2:$NF$60,MATCH(1,(GMW!$NE$2:$NE$60=Q$3)*(GMW!$ND$2:$ND$60=Q$4)*(GMW!$NF$2:$NF$60=Q$1),0),$F240-1966)</f>
        <v>-40.234439999999999</v>
      </c>
      <c r="R240" s="4" cm="1">
        <f t="array" ref="R240">INDEX(GMW!$A$2:$NF$60,MATCH(1,(GMW!$NE$2:$NE$60=R$3)*(GMW!$ND$2:$ND$60=R$4)*(GMW!$NF$2:$NF$60=R$1),0),$F240-1966)</f>
        <v>-36.221409999999999</v>
      </c>
      <c r="S240" s="4" cm="1">
        <f t="array" ref="S240">INDEX(GMW!$A$2:$NF$60,MATCH(1,(GMW!$NE$2:$NE$60=S$3)*(GMW!$ND$2:$ND$60=S$4)*(GMW!$NF$2:$NF$60=S$1),0),$F240-1966)</f>
        <v>-16.061620000000001</v>
      </c>
      <c r="T240" s="4" cm="1">
        <f t="array" ref="T240">INDEX(GMW!$A$2:$NF$60,MATCH(1,(GMW!$NE$2:$NE$60=T$3)*(GMW!$ND$2:$ND$60=T$4)*(GMW!$NF$2:$NF$60=T$1),0),$F240-1966)</f>
        <v>-27142.91</v>
      </c>
      <c r="U240" s="4" cm="1">
        <f t="array" ref="U240">INDEX(GMW!$A$2:$NF$60,MATCH(1,(GMW!$NE$2:$NE$60=U$3)*(GMW!$ND$2:$ND$60=U$4)*(GMW!$NF$2:$NF$60=U$1),0),$F240-1966)</f>
        <v>3574035</v>
      </c>
      <c r="V240" s="4" cm="1">
        <f t="array" ref="V240">INDEX(GMW!$A$2:$NF$60,MATCH(1,(GMW!$NE$2:$NE$60=V$3)*(GMW!$ND$2:$ND$60=V$4)*(GMW!$NF$2:$NF$60=V$1),0),$F240-1966)</f>
        <v>57415.9</v>
      </c>
      <c r="W240" s="4" cm="1">
        <f t="array" ref="W240">INDEX(GMW!$A$2:$NF$60,MATCH(1,(GMW!$NE$2:$NE$60=W$3)*(GMW!$ND$2:$ND$60=W$4)*(GMW!$NF$2:$NF$60=W$1),0),$F240-1966)</f>
        <v>1487789</v>
      </c>
      <c r="X240" s="4" cm="1">
        <f t="array" ref="X240">INDEX(GMW!$A$2:$NF$60,MATCH(1,(GMW!$NE$2:$NE$60=X$3)*(GMW!$ND$2:$ND$60=X$4)*(GMW!$NF$2:$NF$60=X$1),0),$F240-1966)</f>
        <v>3456.857</v>
      </c>
      <c r="Y240" s="4" cm="1">
        <f t="array" ref="Y240">INDEX(GMW!$A$2:$NF$60,MATCH(1,(GMW!$NE$2:$NE$60=Y$3)*(GMW!$ND$2:$ND$60=Y$4)*(GMW!$NF$2:$NF$60=Y$1),0),$F240-1966)</f>
        <v>4662.9989999999998</v>
      </c>
      <c r="Z240" s="4" cm="1">
        <f t="array" ref="Z240">INDEX(GMW!$A$2:$NF$60,MATCH(1,(GMW!$NE$2:$NE$60=Z$3)*(GMW!$ND$2:$ND$60=Z$4)*(GMW!$NF$2:$NF$60=Z$1),0),$F240-1966)</f>
        <v>3812.0360000000001</v>
      </c>
      <c r="AA240" s="4" cm="1">
        <f t="array" ref="AA240">INDEX(GMW!$A$2:$NF$60,MATCH(1,(GMW!$NE$2:$NE$60=AA$3)*(GMW!$ND$2:$ND$60=AA$4)*(GMW!$NF$2:$NF$60=AA$1),0),$F240-1966)</f>
        <v>4038173</v>
      </c>
      <c r="AB240" s="4" cm="1">
        <f t="array" ref="AB240">INDEX(GMW!$A$2:$NF$60,MATCH(1,(GMW!$NE$2:$NE$60=AB$3)*(GMW!$ND$2:$ND$60=AB$4)*(GMW!$NF$2:$NF$60=AB$1),0),$F240-1966)</f>
        <v>923708.5</v>
      </c>
      <c r="AC240" s="4" cm="1">
        <f t="array" ref="AC240">INDEX(GMW!$A$2:$NF$60,MATCH(1,(GMW!$NE$2:$NE$60=AC$3)*(GMW!$ND$2:$ND$60=AC$4)*(GMW!$NF$2:$NF$60=AC$1),0),$F240-1966)</f>
        <v>9646.1509999999998</v>
      </c>
      <c r="AD240" s="4" cm="1">
        <f t="array" ref="AD240">INDEX(GMW!$A$2:$NF$60,MATCH(1,(GMW!$NE$2:$NE$60=AD$3)*(GMW!$ND$2:$ND$60=AD$4)*(GMW!$NF$2:$NF$60=AD$1),0),$F240-1966)</f>
        <v>170379</v>
      </c>
      <c r="AE240" s="4" cm="1">
        <f t="array" ref="AE240">INDEX(GMW!$A$2:$NF$60,MATCH(1,(GMW!$NE$2:$NE$60=AE$3)*(GMW!$ND$2:$ND$60=AE$4)*(GMW!$NF$2:$NF$60=AE$1),0),$F240-1966)</f>
        <v>1407.18</v>
      </c>
      <c r="AF240" s="4" cm="1">
        <f t="array" ref="AF240">INDEX(GMW!$A$2:$NF$60,MATCH(1,(GMW!$NE$2:$NE$60=AF$3)*(GMW!$ND$2:$ND$60=AF$4)*(GMW!$NF$2:$NF$60=AF$1),0),$F240-1966)</f>
        <v>905.22329999999999</v>
      </c>
      <c r="AG240" s="4" cm="1">
        <f t="array" ref="AG240">INDEX(GMW!$A$2:$NF$60,MATCH(1,(GMW!$NE$2:$NE$60=AG$3)*(GMW!$ND$2:$ND$60=AG$4)*(GMW!$NF$2:$NF$60=AG$1),0),$F240-1966)</f>
        <v>642.59939999999995</v>
      </c>
      <c r="AH240" s="4" cm="1">
        <f t="array" ref="AH240">INDEX(GMW!$A$2:$NF$60,MATCH(1,(GMW!$NE$2:$NE$60=AH$3)*(GMW!$ND$2:$ND$60=AH$4)*(GMW!$NF$2:$NF$60=AH$1),0),$F240-1966)</f>
        <v>985718.9</v>
      </c>
    </row>
    <row r="241" spans="1:34" x14ac:dyDescent="0.25">
      <c r="B241" s="4">
        <f t="shared" si="78"/>
        <v>2031</v>
      </c>
      <c r="C241" s="4">
        <f t="shared" si="78"/>
        <v>2031</v>
      </c>
      <c r="F241" s="4">
        <f t="shared" ref="F241:F304" si="80">+F240+1</f>
        <v>2207</v>
      </c>
      <c r="G241" s="4" cm="1">
        <f t="array" ref="G241">INDEX(GMW!$A$2:$NF$60,MATCH(1,(GMW!$NE$2:$NE$60=G$3)*(GMW!$ND$2:$ND$60=G$4)*(GMW!$NF$2:$NF$60=G$1),0),$F241-1966)</f>
        <v>709780.8</v>
      </c>
      <c r="H241" s="4" cm="1">
        <f t="array" ref="H241">INDEX(GMW!$A$2:$NF$60,MATCH(1,(GMW!$NE$2:$NE$60=H$3)*(GMW!$ND$2:$ND$60=H$4)*(GMW!$NF$2:$NF$60=H$1),0),$F241-1966)</f>
        <v>6757.8329999999996</v>
      </c>
      <c r="I241" s="4" cm="1">
        <f t="array" ref="I241">INDEX(GMW!$A$2:$NF$60,MATCH(1,(GMW!$NE$2:$NE$60=I$3)*(GMW!$ND$2:$ND$60=I$4)*(GMW!$NF$2:$NF$60=I$1),0),$F241-1966)</f>
        <v>142668.1</v>
      </c>
      <c r="J241" s="4" cm="1">
        <f t="array" ref="J241">INDEX(GMW!$A$2:$NF$60,MATCH(1,(GMW!$NE$2:$NE$60=J$3)*(GMW!$ND$2:$ND$60=J$4)*(GMW!$NF$2:$NF$60=J$1),0),$F241-1966)</f>
        <v>988.64689999999996</v>
      </c>
      <c r="K241" s="4" cm="1">
        <f t="array" ref="K241">INDEX(GMW!$A$2:$NF$60,MATCH(1,(GMW!$NE$2:$NE$60=K$3)*(GMW!$ND$2:$ND$60=K$4)*(GMW!$NF$2:$NF$60=K$1),0),$F241-1966)</f>
        <v>710.44</v>
      </c>
      <c r="L241" s="4" cm="1">
        <f t="array" ref="L241">INDEX(GMW!$A$2:$NF$60,MATCH(1,(GMW!$NE$2:$NE$60=L$3)*(GMW!$ND$2:$ND$60=L$4)*(GMW!$NF$2:$NF$60=L$1),0),$F241-1966)</f>
        <v>504.61750000000001</v>
      </c>
      <c r="M241" s="4" cm="1">
        <f t="array" ref="M241">INDEX(GMW!$A$2:$NF$60,MATCH(1,(GMW!$NE$2:$NE$60=M$3)*(GMW!$ND$2:$ND$60=M$4)*(GMW!$NF$2:$NF$60=M$1),0),$F241-1966)</f>
        <v>686558.6</v>
      </c>
      <c r="N241" s="4" cm="1">
        <f t="array" ref="N241">INDEX(GMW!$A$2:$NF$60,MATCH(1,(GMW!$NE$2:$NE$60=N$3)*(GMW!$ND$2:$ND$60=N$4)*(GMW!$NF$2:$NF$60=N$1),0),$F241-1966)</f>
        <v>-21807.16</v>
      </c>
      <c r="O241" s="4" cm="1">
        <f t="array" ref="O241">INDEX(GMW!$A$2:$NF$60,MATCH(1,(GMW!$NE$2:$NE$60=O$3)*(GMW!$ND$2:$ND$60=O$4)*(GMW!$NF$2:$NF$60=O$1),0),$F241-1966)</f>
        <v>-760.81709999999998</v>
      </c>
      <c r="P241" s="4" cm="1">
        <f t="array" ref="P241">INDEX(GMW!$A$2:$NF$60,MATCH(1,(GMW!$NE$2:$NE$60=P$3)*(GMW!$ND$2:$ND$60=P$4)*(GMW!$NF$2:$NF$60=P$1),0),$F241-1966)</f>
        <v>-4265.3829999999998</v>
      </c>
      <c r="Q241" s="4" cm="1">
        <f t="array" ref="Q241">INDEX(GMW!$A$2:$NF$60,MATCH(1,(GMW!$NE$2:$NE$60=Q$3)*(GMW!$ND$2:$ND$60=Q$4)*(GMW!$NF$2:$NF$60=Q$1),0),$F241-1966)</f>
        <v>-38.862670000000001</v>
      </c>
      <c r="R241" s="4" cm="1">
        <f t="array" ref="R241">INDEX(GMW!$A$2:$NF$60,MATCH(1,(GMW!$NE$2:$NE$60=R$3)*(GMW!$ND$2:$ND$60=R$4)*(GMW!$NF$2:$NF$60=R$1),0),$F241-1966)</f>
        <v>-36.204320000000003</v>
      </c>
      <c r="S241" s="4" cm="1">
        <f t="array" ref="S241">INDEX(GMW!$A$2:$NF$60,MATCH(1,(GMW!$NE$2:$NE$60=S$3)*(GMW!$ND$2:$ND$60=S$4)*(GMW!$NF$2:$NF$60=S$1),0),$F241-1966)</f>
        <v>-15.80939</v>
      </c>
      <c r="T241" s="4" cm="1">
        <f t="array" ref="T241">INDEX(GMW!$A$2:$NF$60,MATCH(1,(GMW!$NE$2:$NE$60=T$3)*(GMW!$ND$2:$ND$60=T$4)*(GMW!$NF$2:$NF$60=T$1),0),$F241-1966)</f>
        <v>-27029.13</v>
      </c>
      <c r="U241" s="4" cm="1">
        <f t="array" ref="U241">INDEX(GMW!$A$2:$NF$60,MATCH(1,(GMW!$NE$2:$NE$60=U$3)*(GMW!$ND$2:$ND$60=U$4)*(GMW!$NF$2:$NF$60=U$1),0),$F241-1966)</f>
        <v>3595843</v>
      </c>
      <c r="V241" s="4" cm="1">
        <f t="array" ref="V241">INDEX(GMW!$A$2:$NF$60,MATCH(1,(GMW!$NE$2:$NE$60=V$3)*(GMW!$ND$2:$ND$60=V$4)*(GMW!$NF$2:$NF$60=V$1),0),$F241-1966)</f>
        <v>58176.72</v>
      </c>
      <c r="W241" s="4" cm="1">
        <f t="array" ref="W241">INDEX(GMW!$A$2:$NF$60,MATCH(1,(GMW!$NE$2:$NE$60=W$3)*(GMW!$ND$2:$ND$60=W$4)*(GMW!$NF$2:$NF$60=W$1),0),$F241-1966)</f>
        <v>1492054</v>
      </c>
      <c r="X241" s="4" cm="1">
        <f t="array" ref="X241">INDEX(GMW!$A$2:$NF$60,MATCH(1,(GMW!$NE$2:$NE$60=X$3)*(GMW!$ND$2:$ND$60=X$4)*(GMW!$NF$2:$NF$60=X$1),0),$F241-1966)</f>
        <v>3495.72</v>
      </c>
      <c r="Y241" s="4" cm="1">
        <f t="array" ref="Y241">INDEX(GMW!$A$2:$NF$60,MATCH(1,(GMW!$NE$2:$NE$60=Y$3)*(GMW!$ND$2:$ND$60=Y$4)*(GMW!$NF$2:$NF$60=Y$1),0),$F241-1966)</f>
        <v>4699.2030000000004</v>
      </c>
      <c r="Z241" s="4" cm="1">
        <f t="array" ref="Z241">INDEX(GMW!$A$2:$NF$60,MATCH(1,(GMW!$NE$2:$NE$60=Z$3)*(GMW!$ND$2:$ND$60=Z$4)*(GMW!$NF$2:$NF$60=Z$1),0),$F241-1966)</f>
        <v>3828.6060000000002</v>
      </c>
      <c r="AA241" s="4" cm="1">
        <f t="array" ref="AA241">INDEX(GMW!$A$2:$NF$60,MATCH(1,(GMW!$NE$2:$NE$60=AA$3)*(GMW!$ND$2:$ND$60=AA$4)*(GMW!$NF$2:$NF$60=AA$1),0),$F241-1966)</f>
        <v>4065202</v>
      </c>
      <c r="AB241" s="4" cm="1">
        <f t="array" ref="AB241">INDEX(GMW!$A$2:$NF$60,MATCH(1,(GMW!$NE$2:$NE$60=AB$3)*(GMW!$ND$2:$ND$60=AB$4)*(GMW!$NF$2:$NF$60=AB$1),0),$F241-1966)</f>
        <v>932309.1</v>
      </c>
      <c r="AC241" s="4" cm="1">
        <f t="array" ref="AC241">INDEX(GMW!$A$2:$NF$60,MATCH(1,(GMW!$NE$2:$NE$60=AC$3)*(GMW!$ND$2:$ND$60=AC$4)*(GMW!$NF$2:$NF$60=AC$1),0),$F241-1966)</f>
        <v>9734.9789999999994</v>
      </c>
      <c r="AD241" s="4" cm="1">
        <f t="array" ref="AD241">INDEX(GMW!$A$2:$NF$60,MATCH(1,(GMW!$NE$2:$NE$60=AD$3)*(GMW!$ND$2:$ND$60=AD$4)*(GMW!$NF$2:$NF$60=AD$1),0),$F241-1966)</f>
        <v>170957.2</v>
      </c>
      <c r="AE241" s="4" cm="1">
        <f t="array" ref="AE241">INDEX(GMW!$A$2:$NF$60,MATCH(1,(GMW!$NE$2:$NE$60=AE$3)*(GMW!$ND$2:$ND$60=AE$4)*(GMW!$NF$2:$NF$60=AE$1),0),$F241-1966)</f>
        <v>1417.5050000000001</v>
      </c>
      <c r="AF241" s="4" cm="1">
        <f t="array" ref="AF241">INDEX(GMW!$A$2:$NF$60,MATCH(1,(GMW!$NE$2:$NE$60=AF$3)*(GMW!$ND$2:$ND$60=AF$4)*(GMW!$NF$2:$NF$60=AF$1),0),$F241-1966)</f>
        <v>912.39440000000002</v>
      </c>
      <c r="AG241" s="4" cm="1">
        <f t="array" ref="AG241">INDEX(GMW!$A$2:$NF$60,MATCH(1,(GMW!$NE$2:$NE$60=AG$3)*(GMW!$ND$2:$ND$60=AG$4)*(GMW!$NF$2:$NF$60=AG$1),0),$F241-1966)</f>
        <v>646.37049999999999</v>
      </c>
      <c r="AH241" s="4" cm="1">
        <f t="array" ref="AH241">INDEX(GMW!$A$2:$NF$60,MATCH(1,(GMW!$NE$2:$NE$60=AH$3)*(GMW!$ND$2:$ND$60=AH$4)*(GMW!$NF$2:$NF$60=AH$1),0),$F241-1966)</f>
        <v>995180.8</v>
      </c>
    </row>
    <row r="242" spans="1:34" x14ac:dyDescent="0.25">
      <c r="B242" s="4">
        <f t="shared" si="78"/>
        <v>2031</v>
      </c>
      <c r="C242" s="4">
        <f t="shared" si="78"/>
        <v>2031</v>
      </c>
      <c r="E242" s="4">
        <f t="shared" ref="E242" si="81">+E238+1</f>
        <v>2031</v>
      </c>
      <c r="F242" s="4">
        <f t="shared" si="80"/>
        <v>2208</v>
      </c>
      <c r="G242" s="4" cm="1">
        <f t="array" ref="G242">INDEX(GMW!$A$2:$NF$60,MATCH(1,(GMW!$NE$2:$NE$60=G$3)*(GMW!$ND$2:$ND$60=G$4)*(GMW!$NF$2:$NF$60=G$1),0),$F242-1966)</f>
        <v>712548.9</v>
      </c>
      <c r="H242" s="4" cm="1">
        <f t="array" ref="H242">INDEX(GMW!$A$2:$NF$60,MATCH(1,(GMW!$NE$2:$NE$60=H$3)*(GMW!$ND$2:$ND$60=H$4)*(GMW!$NF$2:$NF$60=H$1),0),$F242-1966)</f>
        <v>6788.8180000000002</v>
      </c>
      <c r="I242" s="4" cm="1">
        <f t="array" ref="I242">INDEX(GMW!$A$2:$NF$60,MATCH(1,(GMW!$NE$2:$NE$60=I$3)*(GMW!$ND$2:$ND$60=I$4)*(GMW!$NF$2:$NF$60=I$1),0),$F242-1966)</f>
        <v>142650.5</v>
      </c>
      <c r="J242" s="4" cm="1">
        <f t="array" ref="J242">INDEX(GMW!$A$2:$NF$60,MATCH(1,(GMW!$NE$2:$NE$60=J$3)*(GMW!$ND$2:$ND$60=J$4)*(GMW!$NF$2:$NF$60=J$1),0),$F242-1966)</f>
        <v>990.25959999999998</v>
      </c>
      <c r="K242" s="4" cm="1">
        <f t="array" ref="K242">INDEX(GMW!$A$2:$NF$60,MATCH(1,(GMW!$NE$2:$NE$60=K$3)*(GMW!$ND$2:$ND$60=K$4)*(GMW!$NF$2:$NF$60=K$1),0),$F242-1966)</f>
        <v>711.77</v>
      </c>
      <c r="L242" s="4" cm="1">
        <f t="array" ref="L242">INDEX(GMW!$A$2:$NF$60,MATCH(1,(GMW!$NE$2:$NE$60=L$3)*(GMW!$ND$2:$ND$60=L$4)*(GMW!$NF$2:$NF$60=L$1),0),$F242-1966)</f>
        <v>505.09730000000002</v>
      </c>
      <c r="M242" s="4" cm="1">
        <f t="array" ref="M242">INDEX(GMW!$A$2:$NF$60,MATCH(1,(GMW!$NE$2:$NE$60=M$3)*(GMW!$ND$2:$ND$60=M$4)*(GMW!$NF$2:$NF$60=M$1),0),$F242-1966)</f>
        <v>689969.4</v>
      </c>
      <c r="N242" s="4" cm="1">
        <f t="array" ref="N242">INDEX(GMW!$A$2:$NF$60,MATCH(1,(GMW!$NE$2:$NE$60=N$3)*(GMW!$ND$2:$ND$60=N$4)*(GMW!$NF$2:$NF$60=N$1),0),$F242-1966)</f>
        <v>-45772.97</v>
      </c>
      <c r="O242" s="4" cm="1">
        <f t="array" ref="O242">INDEX(GMW!$A$2:$NF$60,MATCH(1,(GMW!$NE$2:$NE$60=O$3)*(GMW!$ND$2:$ND$60=O$4)*(GMW!$NF$2:$NF$60=O$1),0),$F242-1966)</f>
        <v>-773.15480000000002</v>
      </c>
      <c r="P242" s="4" cm="1">
        <f t="array" ref="P242">INDEX(GMW!$A$2:$NF$60,MATCH(1,(GMW!$NE$2:$NE$60=P$3)*(GMW!$ND$2:$ND$60=P$4)*(GMW!$NF$2:$NF$60=P$1),0),$F242-1966)</f>
        <v>-4106.7070000000003</v>
      </c>
      <c r="Q242" s="4" cm="1">
        <f t="array" ref="Q242">INDEX(GMW!$A$2:$NF$60,MATCH(1,(GMW!$NE$2:$NE$60=Q$3)*(GMW!$ND$2:$ND$60=Q$4)*(GMW!$NF$2:$NF$60=Q$1),0),$F242-1966)</f>
        <v>-37.677979999999998</v>
      </c>
      <c r="R242" s="4" cm="1">
        <f t="array" ref="R242">INDEX(GMW!$A$2:$NF$60,MATCH(1,(GMW!$NE$2:$NE$60=R$3)*(GMW!$ND$2:$ND$60=R$4)*(GMW!$NF$2:$NF$60=R$1),0),$F242-1966)</f>
        <v>-36.315060000000003</v>
      </c>
      <c r="S242" s="4" cm="1">
        <f t="array" ref="S242">INDEX(GMW!$A$2:$NF$60,MATCH(1,(GMW!$NE$2:$NE$60=S$3)*(GMW!$ND$2:$ND$60=S$4)*(GMW!$NF$2:$NF$60=S$1),0),$F242-1966)</f>
        <v>-15.590299999999999</v>
      </c>
      <c r="T242" s="4" cm="1">
        <f t="array" ref="T242">INDEX(GMW!$A$2:$NF$60,MATCH(1,(GMW!$NE$2:$NE$60=T$3)*(GMW!$ND$2:$ND$60=T$4)*(GMW!$NF$2:$NF$60=T$1),0),$F242-1966)</f>
        <v>-26984.5</v>
      </c>
      <c r="U242" s="4" cm="1">
        <f t="array" ref="U242">INDEX(GMW!$A$2:$NF$60,MATCH(1,(GMW!$NE$2:$NE$60=U$3)*(GMW!$ND$2:$ND$60=U$4)*(GMW!$NF$2:$NF$60=U$1),0),$F242-1966)</f>
        <v>3641616</v>
      </c>
      <c r="V242" s="4" cm="1">
        <f t="array" ref="V242">INDEX(GMW!$A$2:$NF$60,MATCH(1,(GMW!$NE$2:$NE$60=V$3)*(GMW!$ND$2:$ND$60=V$4)*(GMW!$NF$2:$NF$60=V$1),0),$F242-1966)</f>
        <v>58949.88</v>
      </c>
      <c r="W242" s="4" cm="1">
        <f t="array" ref="W242">INDEX(GMW!$A$2:$NF$60,MATCH(1,(GMW!$NE$2:$NE$60=W$3)*(GMW!$ND$2:$ND$60=W$4)*(GMW!$NF$2:$NF$60=W$1),0),$F242-1966)</f>
        <v>1496161</v>
      </c>
      <c r="X242" s="4" cm="1">
        <f t="array" ref="X242">INDEX(GMW!$A$2:$NF$60,MATCH(1,(GMW!$NE$2:$NE$60=X$3)*(GMW!$ND$2:$ND$60=X$4)*(GMW!$NF$2:$NF$60=X$1),0),$F242-1966)</f>
        <v>3533.3980000000001</v>
      </c>
      <c r="Y242" s="4" cm="1">
        <f t="array" ref="Y242">INDEX(GMW!$A$2:$NF$60,MATCH(1,(GMW!$NE$2:$NE$60=Y$3)*(GMW!$ND$2:$ND$60=Y$4)*(GMW!$NF$2:$NF$60=Y$1),0),$F242-1966)</f>
        <v>4735.518</v>
      </c>
      <c r="Z242" s="4" cm="1">
        <f t="array" ref="Z242">INDEX(GMW!$A$2:$NF$60,MATCH(1,(GMW!$NE$2:$NE$60=Z$3)*(GMW!$ND$2:$ND$60=Z$4)*(GMW!$NF$2:$NF$60=Z$1),0),$F242-1966)</f>
        <v>3844.9569999999999</v>
      </c>
      <c r="AA242" s="4" cm="1">
        <f t="array" ref="AA242">INDEX(GMW!$A$2:$NF$60,MATCH(1,(GMW!$NE$2:$NE$60=AA$3)*(GMW!$ND$2:$ND$60=AA$4)*(GMW!$NF$2:$NF$60=AA$1),0),$F242-1966)</f>
        <v>4092186</v>
      </c>
      <c r="AB242" s="4" cm="1">
        <f t="array" ref="AB242">INDEX(GMW!$A$2:$NF$60,MATCH(1,(GMW!$NE$2:$NE$60=AB$3)*(GMW!$ND$2:$ND$60=AB$4)*(GMW!$NF$2:$NF$60=AB$1),0),$F242-1966)</f>
        <v>940989.8</v>
      </c>
      <c r="AC242" s="4" cm="1">
        <f t="array" ref="AC242">INDEX(GMW!$A$2:$NF$60,MATCH(1,(GMW!$NE$2:$NE$60=AC$3)*(GMW!$ND$2:$ND$60=AC$4)*(GMW!$NF$2:$NF$60=AC$1),0),$F242-1966)</f>
        <v>9824.268</v>
      </c>
      <c r="AD242" s="4" cm="1">
        <f t="array" ref="AD242">INDEX(GMW!$A$2:$NF$60,MATCH(1,(GMW!$NE$2:$NE$60=AD$3)*(GMW!$ND$2:$ND$60=AD$4)*(GMW!$NF$2:$NF$60=AD$1),0),$F242-1966)</f>
        <v>171529.1</v>
      </c>
      <c r="AE242" s="4" cm="1">
        <f t="array" ref="AE242">INDEX(GMW!$A$2:$NF$60,MATCH(1,(GMW!$NE$2:$NE$60=AE$3)*(GMW!$ND$2:$ND$60=AE$4)*(GMW!$NF$2:$NF$60=AE$1),0),$F242-1966)</f>
        <v>1427.4849999999999</v>
      </c>
      <c r="AF242" s="4" cm="1">
        <f t="array" ref="AF242">INDEX(GMW!$A$2:$NF$60,MATCH(1,(GMW!$NE$2:$NE$60=AF$3)*(GMW!$ND$2:$ND$60=AF$4)*(GMW!$NF$2:$NF$60=AF$1),0),$F242-1966)</f>
        <v>919.03880000000004</v>
      </c>
      <c r="AG242" s="4" cm="1">
        <f t="array" ref="AG242">INDEX(GMW!$A$2:$NF$60,MATCH(1,(GMW!$NE$2:$NE$60=AG$3)*(GMW!$ND$2:$ND$60=AG$4)*(GMW!$NF$2:$NF$60=AG$1),0),$F242-1966)</f>
        <v>650.14080000000001</v>
      </c>
      <c r="AH242" s="4" cm="1">
        <f t="array" ref="AH242">INDEX(GMW!$A$2:$NF$60,MATCH(1,(GMW!$NE$2:$NE$60=AH$3)*(GMW!$ND$2:$ND$60=AH$4)*(GMW!$NF$2:$NF$60=AH$1),0),$F242-1966)</f>
        <v>1004701</v>
      </c>
    </row>
    <row r="243" spans="1:34" x14ac:dyDescent="0.25">
      <c r="A243" s="4">
        <v>2032</v>
      </c>
      <c r="B243" s="4">
        <f t="shared" si="78"/>
        <v>2032</v>
      </c>
      <c r="C243" s="4">
        <f t="shared" si="78"/>
        <v>2031</v>
      </c>
      <c r="D243" s="4">
        <f t="shared" si="78"/>
        <v>2031</v>
      </c>
      <c r="F243" s="4">
        <f t="shared" si="80"/>
        <v>2209</v>
      </c>
      <c r="G243" s="4" cm="1">
        <f t="array" ref="G243">INDEX(GMW!$A$2:$NF$60,MATCH(1,(GMW!$NE$2:$NE$60=G$3)*(GMW!$ND$2:$ND$60=G$4)*(GMW!$NF$2:$NF$60=G$1),0),$F243-1966)</f>
        <v>715327.9</v>
      </c>
      <c r="H243" s="4" cm="1">
        <f t="array" ref="H243">INDEX(GMW!$A$2:$NF$60,MATCH(1,(GMW!$NE$2:$NE$60=H$3)*(GMW!$ND$2:$ND$60=H$4)*(GMW!$NF$2:$NF$60=H$1),0),$F243-1966)</f>
        <v>6819.79</v>
      </c>
      <c r="I243" s="4" cm="1">
        <f t="array" ref="I243">INDEX(GMW!$A$2:$NF$60,MATCH(1,(GMW!$NE$2:$NE$60=I$3)*(GMW!$ND$2:$ND$60=I$4)*(GMW!$NF$2:$NF$60=I$1),0),$F243-1966)</f>
        <v>142628</v>
      </c>
      <c r="J243" s="4" cm="1">
        <f t="array" ref="J243">INDEX(GMW!$A$2:$NF$60,MATCH(1,(GMW!$NE$2:$NE$60=J$3)*(GMW!$ND$2:$ND$60=J$4)*(GMW!$NF$2:$NF$60=J$1),0),$F243-1966)</f>
        <v>991.74749999999995</v>
      </c>
      <c r="K243" s="4" cm="1">
        <f t="array" ref="K243">INDEX(GMW!$A$2:$NF$60,MATCH(1,(GMW!$NE$2:$NE$60=K$3)*(GMW!$ND$2:$ND$60=K$4)*(GMW!$NF$2:$NF$60=K$1),0),$F243-1966)</f>
        <v>713.32</v>
      </c>
      <c r="L243" s="4" cm="1">
        <f t="array" ref="L243">INDEX(GMW!$A$2:$NF$60,MATCH(1,(GMW!$NE$2:$NE$60=L$3)*(GMW!$ND$2:$ND$60=L$4)*(GMW!$NF$2:$NF$60=L$1),0),$F243-1966)</f>
        <v>505.51069999999999</v>
      </c>
      <c r="M243" s="4" cm="1">
        <f t="array" ref="M243">INDEX(GMW!$A$2:$NF$60,MATCH(1,(GMW!$NE$2:$NE$60=M$3)*(GMW!$ND$2:$ND$60=M$4)*(GMW!$NF$2:$NF$60=M$1),0),$F243-1966)</f>
        <v>693350.1</v>
      </c>
      <c r="N243" s="4" cm="1">
        <f t="array" ref="N243">INDEX(GMW!$A$2:$NF$60,MATCH(1,(GMW!$NE$2:$NE$60=N$3)*(GMW!$ND$2:$ND$60=N$4)*(GMW!$NF$2:$NF$60=N$1),0),$F243-1966)</f>
        <v>7203.0630000000001</v>
      </c>
      <c r="O243" s="4" cm="1">
        <f t="array" ref="O243">INDEX(GMW!$A$2:$NF$60,MATCH(1,(GMW!$NE$2:$NE$60=O$3)*(GMW!$ND$2:$ND$60=O$4)*(GMW!$NF$2:$NF$60=O$1),0),$F243-1966)</f>
        <v>-789.13789999999995</v>
      </c>
      <c r="P243" s="4" cm="1">
        <f t="array" ref="P243">INDEX(GMW!$A$2:$NF$60,MATCH(1,(GMW!$NE$2:$NE$60=P$3)*(GMW!$ND$2:$ND$60=P$4)*(GMW!$NF$2:$NF$60=P$1),0),$F243-1966)</f>
        <v>-3915.348</v>
      </c>
      <c r="Q243" s="4" cm="1">
        <f t="array" ref="Q243">INDEX(GMW!$A$2:$NF$60,MATCH(1,(GMW!$NE$2:$NE$60=Q$3)*(GMW!$ND$2:$ND$60=Q$4)*(GMW!$NF$2:$NF$60=Q$1),0),$F243-1966)</f>
        <v>-36.564999999999998</v>
      </c>
      <c r="R243" s="4" cm="1">
        <f t="array" ref="R243">INDEX(GMW!$A$2:$NF$60,MATCH(1,(GMW!$NE$2:$NE$60=R$3)*(GMW!$ND$2:$ND$60=R$4)*(GMW!$NF$2:$NF$60=R$1),0),$F243-1966)</f>
        <v>-36.44473</v>
      </c>
      <c r="S243" s="4" cm="1">
        <f t="array" ref="S243">INDEX(GMW!$A$2:$NF$60,MATCH(1,(GMW!$NE$2:$NE$60=S$3)*(GMW!$ND$2:$ND$60=S$4)*(GMW!$NF$2:$NF$60=S$1),0),$F243-1966)</f>
        <v>-15.35501</v>
      </c>
      <c r="T243" s="4" cm="1">
        <f t="array" ref="T243">INDEX(GMW!$A$2:$NF$60,MATCH(1,(GMW!$NE$2:$NE$60=T$3)*(GMW!$ND$2:$ND$60=T$4)*(GMW!$NF$2:$NF$60=T$1),0),$F243-1966)</f>
        <v>-27025.25</v>
      </c>
      <c r="U243" s="4" cm="1">
        <f t="array" ref="U243">INDEX(GMW!$A$2:$NF$60,MATCH(1,(GMW!$NE$2:$NE$60=U$3)*(GMW!$ND$2:$ND$60=U$4)*(GMW!$NF$2:$NF$60=U$1),0),$F243-1966)</f>
        <v>3634413</v>
      </c>
      <c r="V243" s="4" cm="1">
        <f t="array" ref="V243">INDEX(GMW!$A$2:$NF$60,MATCH(1,(GMW!$NE$2:$NE$60=V$3)*(GMW!$ND$2:$ND$60=V$4)*(GMW!$NF$2:$NF$60=V$1),0),$F243-1966)</f>
        <v>59739.01</v>
      </c>
      <c r="W243" s="4" cm="1">
        <f t="array" ref="W243">INDEX(GMW!$A$2:$NF$60,MATCH(1,(GMW!$NE$2:$NE$60=W$3)*(GMW!$ND$2:$ND$60=W$4)*(GMW!$NF$2:$NF$60=W$1),0),$F243-1966)</f>
        <v>1500076</v>
      </c>
      <c r="X243" s="4" cm="1">
        <f t="array" ref="X243">INDEX(GMW!$A$2:$NF$60,MATCH(1,(GMW!$NE$2:$NE$60=X$3)*(GMW!$ND$2:$ND$60=X$4)*(GMW!$NF$2:$NF$60=X$1),0),$F243-1966)</f>
        <v>3569.9630000000002</v>
      </c>
      <c r="Y243" s="4" cm="1">
        <f t="array" ref="Y243">INDEX(GMW!$A$2:$NF$60,MATCH(1,(GMW!$NE$2:$NE$60=Y$3)*(GMW!$ND$2:$ND$60=Y$4)*(GMW!$NF$2:$NF$60=Y$1),0),$F243-1966)</f>
        <v>4771.9629999999997</v>
      </c>
      <c r="Z243" s="4" cm="1">
        <f t="array" ref="Z243">INDEX(GMW!$A$2:$NF$60,MATCH(1,(GMW!$NE$2:$NE$60=Z$3)*(GMW!$ND$2:$ND$60=Z$4)*(GMW!$NF$2:$NF$60=Z$1),0),$F243-1966)</f>
        <v>3860.5569999999998</v>
      </c>
      <c r="AA243" s="4" cm="1">
        <f t="array" ref="AA243">INDEX(GMW!$A$2:$NF$60,MATCH(1,(GMW!$NE$2:$NE$60=AA$3)*(GMW!$ND$2:$ND$60=AA$4)*(GMW!$NF$2:$NF$60=AA$1),0),$F243-1966)</f>
        <v>4119211</v>
      </c>
      <c r="AB243" s="4" cm="1">
        <f t="array" ref="AB243">INDEX(GMW!$A$2:$NF$60,MATCH(1,(GMW!$NE$2:$NE$60=AB$3)*(GMW!$ND$2:$ND$60=AB$4)*(GMW!$NF$2:$NF$60=AB$1),0),$F243-1966)</f>
        <v>949751.7</v>
      </c>
      <c r="AC243" s="4" cm="1">
        <f t="array" ref="AC243">INDEX(GMW!$A$2:$NF$60,MATCH(1,(GMW!$NE$2:$NE$60=AC$3)*(GMW!$ND$2:$ND$60=AC$4)*(GMW!$NF$2:$NF$60=AC$1),0),$F243-1966)</f>
        <v>9914.1059999999998</v>
      </c>
      <c r="AD243" s="4" cm="1">
        <f t="array" ref="AD243">INDEX(GMW!$A$2:$NF$60,MATCH(1,(GMW!$NE$2:$NE$60=AD$3)*(GMW!$ND$2:$ND$60=AD$4)*(GMW!$NF$2:$NF$60=AD$1),0),$F243-1966)</f>
        <v>172108.6</v>
      </c>
      <c r="AE243" s="4" cm="1">
        <f t="array" ref="AE243">INDEX(GMW!$A$2:$NF$60,MATCH(1,(GMW!$NE$2:$NE$60=AE$3)*(GMW!$ND$2:$ND$60=AE$4)*(GMW!$NF$2:$NF$60=AE$1),0),$F243-1966)</f>
        <v>1437.2080000000001</v>
      </c>
      <c r="AF243" s="4" cm="1">
        <f t="array" ref="AF243">INDEX(GMW!$A$2:$NF$60,MATCH(1,(GMW!$NE$2:$NE$60=AF$3)*(GMW!$ND$2:$ND$60=AF$4)*(GMW!$NF$2:$NF$60=AF$1),0),$F243-1966)</f>
        <v>926.03880000000004</v>
      </c>
      <c r="AG243" s="4" cm="1">
        <f t="array" ref="AG243">INDEX(GMW!$A$2:$NF$60,MATCH(1,(GMW!$NE$2:$NE$60=AG$3)*(GMW!$ND$2:$ND$60=AG$4)*(GMW!$NF$2:$NF$60=AG$1),0),$F243-1966)</f>
        <v>653.83609999999999</v>
      </c>
      <c r="AH243" s="4" cm="1">
        <f t="array" ref="AH243">INDEX(GMW!$A$2:$NF$60,MATCH(1,(GMW!$NE$2:$NE$60=AH$3)*(GMW!$ND$2:$ND$60=AH$4)*(GMW!$NF$2:$NF$60=AH$1),0),$F243-1966)</f>
        <v>1014262</v>
      </c>
    </row>
    <row r="244" spans="1:34" x14ac:dyDescent="0.25">
      <c r="B244" s="4">
        <f t="shared" si="78"/>
        <v>2032</v>
      </c>
      <c r="C244" s="4">
        <f t="shared" si="78"/>
        <v>2032</v>
      </c>
      <c r="F244" s="4">
        <f t="shared" si="80"/>
        <v>2210</v>
      </c>
      <c r="G244" s="4" cm="1">
        <f t="array" ref="G244">INDEX(GMW!$A$2:$NF$60,MATCH(1,(GMW!$NE$2:$NE$60=G$3)*(GMW!$ND$2:$ND$60=G$4)*(GMW!$NF$2:$NF$60=G$1),0),$F244-1966)</f>
        <v>718081.9</v>
      </c>
      <c r="H244" s="4" cm="1">
        <f t="array" ref="H244">INDEX(GMW!$A$2:$NF$60,MATCH(1,(GMW!$NE$2:$NE$60=H$3)*(GMW!$ND$2:$ND$60=H$4)*(GMW!$NF$2:$NF$60=H$1),0),$F244-1966)</f>
        <v>6850.7690000000002</v>
      </c>
      <c r="I244" s="4" cm="1">
        <f t="array" ref="I244">INDEX(GMW!$A$2:$NF$60,MATCH(1,(GMW!$NE$2:$NE$60=I$3)*(GMW!$ND$2:$ND$60=I$4)*(GMW!$NF$2:$NF$60=I$1),0),$F244-1966)</f>
        <v>142605</v>
      </c>
      <c r="J244" s="4" cm="1">
        <f t="array" ref="J244">INDEX(GMW!$A$2:$NF$60,MATCH(1,(GMW!$NE$2:$NE$60=J$3)*(GMW!$ND$2:$ND$60=J$4)*(GMW!$NF$2:$NF$60=J$1),0),$F244-1966)</f>
        <v>993.15319999999997</v>
      </c>
      <c r="K244" s="4" cm="1">
        <f t="array" ref="K244">INDEX(GMW!$A$2:$NF$60,MATCH(1,(GMW!$NE$2:$NE$60=K$3)*(GMW!$ND$2:$ND$60=K$4)*(GMW!$NF$2:$NF$60=K$1),0),$F244-1966)</f>
        <v>714.71</v>
      </c>
      <c r="L244" s="4" cm="1">
        <f t="array" ref="L244">INDEX(GMW!$A$2:$NF$60,MATCH(1,(GMW!$NE$2:$NE$60=L$3)*(GMW!$ND$2:$ND$60=L$4)*(GMW!$NF$2:$NF$60=L$1),0),$F244-1966)</f>
        <v>505.91489999999999</v>
      </c>
      <c r="M244" s="4" cm="1">
        <f t="array" ref="M244">INDEX(GMW!$A$2:$NF$60,MATCH(1,(GMW!$NE$2:$NE$60=M$3)*(GMW!$ND$2:$ND$60=M$4)*(GMW!$NF$2:$NF$60=M$1),0),$F244-1966)</f>
        <v>696735.3</v>
      </c>
      <c r="N244" s="4" cm="1">
        <f t="array" ref="N244">INDEX(GMW!$A$2:$NF$60,MATCH(1,(GMW!$NE$2:$NE$60=N$3)*(GMW!$ND$2:$ND$60=N$4)*(GMW!$NF$2:$NF$60=N$1),0),$F244-1966)</f>
        <v>-52315.16</v>
      </c>
      <c r="O244" s="4" cm="1">
        <f t="array" ref="O244">INDEX(GMW!$A$2:$NF$60,MATCH(1,(GMW!$NE$2:$NE$60=O$3)*(GMW!$ND$2:$ND$60=O$4)*(GMW!$NF$2:$NF$60=O$1),0),$F244-1966)</f>
        <v>-808.39589999999998</v>
      </c>
      <c r="P244" s="4" cm="1">
        <f t="array" ref="P244">INDEX(GMW!$A$2:$NF$60,MATCH(1,(GMW!$NE$2:$NE$60=P$3)*(GMW!$ND$2:$ND$60=P$4)*(GMW!$NF$2:$NF$60=P$1),0),$F244-1966)</f>
        <v>-3752.3090000000002</v>
      </c>
      <c r="Q244" s="4" cm="1">
        <f t="array" ref="Q244">INDEX(GMW!$A$2:$NF$60,MATCH(1,(GMW!$NE$2:$NE$60=Q$3)*(GMW!$ND$2:$ND$60=Q$4)*(GMW!$NF$2:$NF$60=Q$1),0),$F244-1966)</f>
        <v>-35.495240000000003</v>
      </c>
      <c r="R244" s="4" cm="1">
        <f t="array" ref="R244">INDEX(GMW!$A$2:$NF$60,MATCH(1,(GMW!$NE$2:$NE$60=R$3)*(GMW!$ND$2:$ND$60=R$4)*(GMW!$NF$2:$NF$60=R$1),0),$F244-1966)</f>
        <v>-36.524079999999998</v>
      </c>
      <c r="S244" s="4" cm="1">
        <f t="array" ref="S244">INDEX(GMW!$A$2:$NF$60,MATCH(1,(GMW!$NE$2:$NE$60=S$3)*(GMW!$ND$2:$ND$60=S$4)*(GMW!$NF$2:$NF$60=S$1),0),$F244-1966)</f>
        <v>-15.172090000000001</v>
      </c>
      <c r="T244" s="4" cm="1">
        <f t="array" ref="T244">INDEX(GMW!$A$2:$NF$60,MATCH(1,(GMW!$NE$2:$NE$60=T$3)*(GMW!$ND$2:$ND$60=T$4)*(GMW!$NF$2:$NF$60=T$1),0),$F244-1966)</f>
        <v>-27081.16</v>
      </c>
      <c r="U244" s="4" cm="1">
        <f t="array" ref="U244">INDEX(GMW!$A$2:$NF$60,MATCH(1,(GMW!$NE$2:$NE$60=U$3)*(GMW!$ND$2:$ND$60=U$4)*(GMW!$NF$2:$NF$60=U$1),0),$F244-1966)</f>
        <v>3686728</v>
      </c>
      <c r="V244" s="4" cm="1">
        <f t="array" ref="V244">INDEX(GMW!$A$2:$NF$60,MATCH(1,(GMW!$NE$2:$NE$60=V$3)*(GMW!$ND$2:$ND$60=V$4)*(GMW!$NF$2:$NF$60=V$1),0),$F244-1966)</f>
        <v>60547.41</v>
      </c>
      <c r="W244" s="4" cm="1">
        <f t="array" ref="W244">INDEX(GMW!$A$2:$NF$60,MATCH(1,(GMW!$NE$2:$NE$60=W$3)*(GMW!$ND$2:$ND$60=W$4)*(GMW!$NF$2:$NF$60=W$1),0),$F244-1966)</f>
        <v>1503829</v>
      </c>
      <c r="X244" s="4" cm="1">
        <f t="array" ref="X244">INDEX(GMW!$A$2:$NF$60,MATCH(1,(GMW!$NE$2:$NE$60=X$3)*(GMW!$ND$2:$ND$60=X$4)*(GMW!$NF$2:$NF$60=X$1),0),$F244-1966)</f>
        <v>3605.4580000000001</v>
      </c>
      <c r="Y244" s="4" cm="1">
        <f t="array" ref="Y244">INDEX(GMW!$A$2:$NF$60,MATCH(1,(GMW!$NE$2:$NE$60=Y$3)*(GMW!$ND$2:$ND$60=Y$4)*(GMW!$NF$2:$NF$60=Y$1),0),$F244-1966)</f>
        <v>4808.4870000000001</v>
      </c>
      <c r="Z244" s="4" cm="1">
        <f t="array" ref="Z244">INDEX(GMW!$A$2:$NF$60,MATCH(1,(GMW!$NE$2:$NE$60=Z$3)*(GMW!$ND$2:$ND$60=Z$4)*(GMW!$NF$2:$NF$60=Z$1),0),$F244-1966)</f>
        <v>3875.9740000000002</v>
      </c>
      <c r="AA244" s="4" cm="1">
        <f t="array" ref="AA244">INDEX(GMW!$A$2:$NF$60,MATCH(1,(GMW!$NE$2:$NE$60=AA$3)*(GMW!$ND$2:$ND$60=AA$4)*(GMW!$NF$2:$NF$60=AA$1),0),$F244-1966)</f>
        <v>4146293</v>
      </c>
      <c r="AB244" s="4" cm="1">
        <f t="array" ref="AB244">INDEX(GMW!$A$2:$NF$60,MATCH(1,(GMW!$NE$2:$NE$60=AB$3)*(GMW!$ND$2:$ND$60=AB$4)*(GMW!$NF$2:$NF$60=AB$1),0),$F244-1966)</f>
        <v>958547</v>
      </c>
      <c r="AC244" s="4" cm="1">
        <f t="array" ref="AC244">INDEX(GMW!$A$2:$NF$60,MATCH(1,(GMW!$NE$2:$NE$60=AC$3)*(GMW!$ND$2:$ND$60=AC$4)*(GMW!$NF$2:$NF$60=AC$1),0),$F244-1966)</f>
        <v>10004.6</v>
      </c>
      <c r="AD244" s="4" cm="1">
        <f t="array" ref="AD244">INDEX(GMW!$A$2:$NF$60,MATCH(1,(GMW!$NE$2:$NE$60=AD$3)*(GMW!$ND$2:$ND$60=AD$4)*(GMW!$NF$2:$NF$60=AD$1),0),$F244-1966)</f>
        <v>172688.7</v>
      </c>
      <c r="AE244" s="4" cm="1">
        <f t="array" ref="AE244">INDEX(GMW!$A$2:$NF$60,MATCH(1,(GMW!$NE$2:$NE$60=AE$3)*(GMW!$ND$2:$ND$60=AE$4)*(GMW!$NF$2:$NF$60=AE$1),0),$F244-1966)</f>
        <v>1446.7280000000001</v>
      </c>
      <c r="AF244" s="4" cm="1">
        <f t="array" ref="AF244">INDEX(GMW!$A$2:$NF$60,MATCH(1,(GMW!$NE$2:$NE$60=AF$3)*(GMW!$ND$2:$ND$60=AF$4)*(GMW!$NF$2:$NF$60=AF$1),0),$F244-1966)</f>
        <v>932.85410000000002</v>
      </c>
      <c r="AG244" s="4" cm="1">
        <f t="array" ref="AG244">INDEX(GMW!$A$2:$NF$60,MATCH(1,(GMW!$NE$2:$NE$60=AG$3)*(GMW!$ND$2:$ND$60=AG$4)*(GMW!$NF$2:$NF$60=AG$1),0),$F244-1966)</f>
        <v>657.56679999999994</v>
      </c>
      <c r="AH244" s="4" cm="1">
        <f t="array" ref="AH244">INDEX(GMW!$A$2:$NF$60,MATCH(1,(GMW!$NE$2:$NE$60=AH$3)*(GMW!$ND$2:$ND$60=AH$4)*(GMW!$NF$2:$NF$60=AH$1),0),$F244-1966)</f>
        <v>1023901</v>
      </c>
    </row>
    <row r="245" spans="1:34" x14ac:dyDescent="0.25">
      <c r="B245" s="4">
        <f t="shared" si="78"/>
        <v>2032</v>
      </c>
      <c r="C245" s="4">
        <f t="shared" si="78"/>
        <v>2032</v>
      </c>
      <c r="F245" s="4">
        <f t="shared" si="80"/>
        <v>2211</v>
      </c>
      <c r="G245" s="4" cm="1">
        <f t="array" ref="G245">INDEX(GMW!$A$2:$NF$60,MATCH(1,(GMW!$NE$2:$NE$60=G$3)*(GMW!$ND$2:$ND$60=G$4)*(GMW!$NF$2:$NF$60=G$1),0),$F245-1966)</f>
        <v>720882.4</v>
      </c>
      <c r="H245" s="4" cm="1">
        <f t="array" ref="H245">INDEX(GMW!$A$2:$NF$60,MATCH(1,(GMW!$NE$2:$NE$60=H$3)*(GMW!$ND$2:$ND$60=H$4)*(GMW!$NF$2:$NF$60=H$1),0),$F245-1966)</f>
        <v>6881.7370000000001</v>
      </c>
      <c r="I245" s="4" cm="1">
        <f t="array" ref="I245">INDEX(GMW!$A$2:$NF$60,MATCH(1,(GMW!$NE$2:$NE$60=I$3)*(GMW!$ND$2:$ND$60=I$4)*(GMW!$NF$2:$NF$60=I$1),0),$F245-1966)</f>
        <v>142579.29999999999</v>
      </c>
      <c r="J245" s="4" cm="1">
        <f t="array" ref="J245">INDEX(GMW!$A$2:$NF$60,MATCH(1,(GMW!$NE$2:$NE$60=J$3)*(GMW!$ND$2:$ND$60=J$4)*(GMW!$NF$2:$NF$60=J$1),0),$F245-1966)</f>
        <v>994.41390000000001</v>
      </c>
      <c r="K245" s="4" cm="1">
        <f t="array" ref="K245">INDEX(GMW!$A$2:$NF$60,MATCH(1,(GMW!$NE$2:$NE$60=K$3)*(GMW!$ND$2:$ND$60=K$4)*(GMW!$NF$2:$NF$60=K$1),0),$F245-1966)</f>
        <v>716.1</v>
      </c>
      <c r="L245" s="4" cm="1">
        <f t="array" ref="L245">INDEX(GMW!$A$2:$NF$60,MATCH(1,(GMW!$NE$2:$NE$60=L$3)*(GMW!$ND$2:$ND$60=L$4)*(GMW!$NF$2:$NF$60=L$1),0),$F245-1966)</f>
        <v>506.31709999999998</v>
      </c>
      <c r="M245" s="4" cm="1">
        <f t="array" ref="M245">INDEX(GMW!$A$2:$NF$60,MATCH(1,(GMW!$NE$2:$NE$60=M$3)*(GMW!$ND$2:$ND$60=M$4)*(GMW!$NF$2:$NF$60=M$1),0),$F245-1966)</f>
        <v>700125.6</v>
      </c>
      <c r="N245" s="4" cm="1">
        <f t="array" ref="N245">INDEX(GMW!$A$2:$NF$60,MATCH(1,(GMW!$NE$2:$NE$60=N$3)*(GMW!$ND$2:$ND$60=N$4)*(GMW!$NF$2:$NF$60=N$1),0),$F245-1966)</f>
        <v>-24008.25</v>
      </c>
      <c r="O245" s="4" cm="1">
        <f t="array" ref="O245">INDEX(GMW!$A$2:$NF$60,MATCH(1,(GMW!$NE$2:$NE$60=O$3)*(GMW!$ND$2:$ND$60=O$4)*(GMW!$NF$2:$NF$60=O$1),0),$F245-1966)</f>
        <v>-822.39610000000005</v>
      </c>
      <c r="P245" s="4" cm="1">
        <f t="array" ref="P245">INDEX(GMW!$A$2:$NF$60,MATCH(1,(GMW!$NE$2:$NE$60=P$3)*(GMW!$ND$2:$ND$60=P$4)*(GMW!$NF$2:$NF$60=P$1),0),$F245-1966)</f>
        <v>-3589.2730000000001</v>
      </c>
      <c r="Q245" s="4" cm="1">
        <f t="array" ref="Q245">INDEX(GMW!$A$2:$NF$60,MATCH(1,(GMW!$NE$2:$NE$60=Q$3)*(GMW!$ND$2:$ND$60=Q$4)*(GMW!$NF$2:$NF$60=Q$1),0),$F245-1966)</f>
        <v>-34.619259999999997</v>
      </c>
      <c r="R245" s="4" cm="1">
        <f t="array" ref="R245">INDEX(GMW!$A$2:$NF$60,MATCH(1,(GMW!$NE$2:$NE$60=R$3)*(GMW!$ND$2:$ND$60=R$4)*(GMW!$NF$2:$NF$60=R$1),0),$F245-1966)</f>
        <v>-36.543700000000001</v>
      </c>
      <c r="S245" s="4" cm="1">
        <f t="array" ref="S245">INDEX(GMW!$A$2:$NF$60,MATCH(1,(GMW!$NE$2:$NE$60=S$3)*(GMW!$ND$2:$ND$60=S$4)*(GMW!$NF$2:$NF$60=S$1),0),$F245-1966)</f>
        <v>-14.9747</v>
      </c>
      <c r="T245" s="4" cm="1">
        <f t="array" ref="T245">INDEX(GMW!$A$2:$NF$60,MATCH(1,(GMW!$NE$2:$NE$60=T$3)*(GMW!$ND$2:$ND$60=T$4)*(GMW!$NF$2:$NF$60=T$1),0),$F245-1966)</f>
        <v>-27105.19</v>
      </c>
      <c r="U245" s="4" cm="1">
        <f t="array" ref="U245">INDEX(GMW!$A$2:$NF$60,MATCH(1,(GMW!$NE$2:$NE$60=U$3)*(GMW!$ND$2:$ND$60=U$4)*(GMW!$NF$2:$NF$60=U$1),0),$F245-1966)</f>
        <v>3710736</v>
      </c>
      <c r="V245" s="4" cm="1">
        <f t="array" ref="V245">INDEX(GMW!$A$2:$NF$60,MATCH(1,(GMW!$NE$2:$NE$60=V$3)*(GMW!$ND$2:$ND$60=V$4)*(GMW!$NF$2:$NF$60=V$1),0),$F245-1966)</f>
        <v>61369.8</v>
      </c>
      <c r="W245" s="4" cm="1">
        <f t="array" ref="W245">INDEX(GMW!$A$2:$NF$60,MATCH(1,(GMW!$NE$2:$NE$60=W$3)*(GMW!$ND$2:$ND$60=W$4)*(GMW!$NF$2:$NF$60=W$1),0),$F245-1966)</f>
        <v>1507418</v>
      </c>
      <c r="X245" s="4" cm="1">
        <f t="array" ref="X245">INDEX(GMW!$A$2:$NF$60,MATCH(1,(GMW!$NE$2:$NE$60=X$3)*(GMW!$ND$2:$ND$60=X$4)*(GMW!$NF$2:$NF$60=X$1),0),$F245-1966)</f>
        <v>3640.078</v>
      </c>
      <c r="Y245" s="4" cm="1">
        <f t="array" ref="Y245">INDEX(GMW!$A$2:$NF$60,MATCH(1,(GMW!$NE$2:$NE$60=Y$3)*(GMW!$ND$2:$ND$60=Y$4)*(GMW!$NF$2:$NF$60=Y$1),0),$F245-1966)</f>
        <v>4845.03</v>
      </c>
      <c r="Z245" s="4" cm="1">
        <f t="array" ref="Z245">INDEX(GMW!$A$2:$NF$60,MATCH(1,(GMW!$NE$2:$NE$60=Z$3)*(GMW!$ND$2:$ND$60=Z$4)*(GMW!$NF$2:$NF$60=Z$1),0),$F245-1966)</f>
        <v>3891.194</v>
      </c>
      <c r="AA245" s="4" cm="1">
        <f t="array" ref="AA245">INDEX(GMW!$A$2:$NF$60,MATCH(1,(GMW!$NE$2:$NE$60=AA$3)*(GMW!$ND$2:$ND$60=AA$4)*(GMW!$NF$2:$NF$60=AA$1),0),$F245-1966)</f>
        <v>4173398</v>
      </c>
      <c r="AB245" s="4" cm="1">
        <f t="array" ref="AB245">INDEX(GMW!$A$2:$NF$60,MATCH(1,(GMW!$NE$2:$NE$60=AB$3)*(GMW!$ND$2:$ND$60=AB$4)*(GMW!$NF$2:$NF$60=AB$1),0),$F245-1966)</f>
        <v>967471.7</v>
      </c>
      <c r="AC245" s="4" cm="1">
        <f t="array" ref="AC245">INDEX(GMW!$A$2:$NF$60,MATCH(1,(GMW!$NE$2:$NE$60=AC$3)*(GMW!$ND$2:$ND$60=AC$4)*(GMW!$NF$2:$NF$60=AC$1),0),$F245-1966)</f>
        <v>10095.68</v>
      </c>
      <c r="AD245" s="4" cm="1">
        <f t="array" ref="AD245">INDEX(GMW!$A$2:$NF$60,MATCH(1,(GMW!$NE$2:$NE$60=AD$3)*(GMW!$ND$2:$ND$60=AD$4)*(GMW!$NF$2:$NF$60=AD$1),0),$F245-1966)</f>
        <v>173250.5</v>
      </c>
      <c r="AE245" s="4" cm="1">
        <f t="array" ref="AE245">INDEX(GMW!$A$2:$NF$60,MATCH(1,(GMW!$NE$2:$NE$60=AE$3)*(GMW!$ND$2:$ND$60=AE$4)*(GMW!$NF$2:$NF$60=AE$1),0),$F245-1966)</f>
        <v>1455.953</v>
      </c>
      <c r="AF245" s="4" cm="1">
        <f t="array" ref="AF245">INDEX(GMW!$A$2:$NF$60,MATCH(1,(GMW!$NE$2:$NE$60=AF$3)*(GMW!$ND$2:$ND$60=AF$4)*(GMW!$NF$2:$NF$60=AF$1),0),$F245-1966)</f>
        <v>939.70439999999996</v>
      </c>
      <c r="AG245" s="4" cm="1">
        <f t="array" ref="AG245">INDEX(GMW!$A$2:$NF$60,MATCH(1,(GMW!$NE$2:$NE$60=AG$3)*(GMW!$ND$2:$ND$60=AG$4)*(GMW!$NF$2:$NF$60=AG$1),0),$F245-1966)</f>
        <v>661.32690000000002</v>
      </c>
      <c r="AH245" s="4" cm="1">
        <f t="array" ref="AH245">INDEX(GMW!$A$2:$NF$60,MATCH(1,(GMW!$NE$2:$NE$60=AH$3)*(GMW!$ND$2:$ND$60=AH$4)*(GMW!$NF$2:$NF$60=AH$1),0),$F245-1966)</f>
        <v>1033605</v>
      </c>
    </row>
    <row r="246" spans="1:34" x14ac:dyDescent="0.25">
      <c r="B246" s="4">
        <f t="shared" si="78"/>
        <v>2032</v>
      </c>
      <c r="C246" s="4">
        <f t="shared" si="78"/>
        <v>2032</v>
      </c>
      <c r="E246" s="4">
        <f t="shared" ref="E246" si="82">+E242+1</f>
        <v>2032</v>
      </c>
      <c r="F246" s="4">
        <f t="shared" si="80"/>
        <v>2212</v>
      </c>
      <c r="G246" s="4" cm="1">
        <f t="array" ref="G246">INDEX(GMW!$A$2:$NF$60,MATCH(1,(GMW!$NE$2:$NE$60=G$3)*(GMW!$ND$2:$ND$60=G$4)*(GMW!$NF$2:$NF$60=G$1),0),$F246-1966)</f>
        <v>723729.9</v>
      </c>
      <c r="H246" s="4" cm="1">
        <f t="array" ref="H246">INDEX(GMW!$A$2:$NF$60,MATCH(1,(GMW!$NE$2:$NE$60=H$3)*(GMW!$ND$2:$ND$60=H$4)*(GMW!$NF$2:$NF$60=H$1),0),$F246-1966)</f>
        <v>6912.7550000000001</v>
      </c>
      <c r="I246" s="4" cm="1">
        <f t="array" ref="I246">INDEX(GMW!$A$2:$NF$60,MATCH(1,(GMW!$NE$2:$NE$60=I$3)*(GMW!$ND$2:$ND$60=I$4)*(GMW!$NF$2:$NF$60=I$1),0),$F246-1966)</f>
        <v>142550.5</v>
      </c>
      <c r="J246" s="4" cm="1">
        <f t="array" ref="J246">INDEX(GMW!$A$2:$NF$60,MATCH(1,(GMW!$NE$2:$NE$60=J$3)*(GMW!$ND$2:$ND$60=J$4)*(GMW!$NF$2:$NF$60=J$1),0),$F246-1966)</f>
        <v>995.5951</v>
      </c>
      <c r="K246" s="4" cm="1">
        <f t="array" ref="K246">INDEX(GMW!$A$2:$NF$60,MATCH(1,(GMW!$NE$2:$NE$60=K$3)*(GMW!$ND$2:$ND$60=K$4)*(GMW!$NF$2:$NF$60=K$1),0),$F246-1966)</f>
        <v>717.46</v>
      </c>
      <c r="L246" s="4" cm="1">
        <f t="array" ref="L246">INDEX(GMW!$A$2:$NF$60,MATCH(1,(GMW!$NE$2:$NE$60=L$3)*(GMW!$ND$2:$ND$60=L$4)*(GMW!$NF$2:$NF$60=L$1),0),$F246-1966)</f>
        <v>506.73270000000002</v>
      </c>
      <c r="M246" s="4" cm="1">
        <f t="array" ref="M246">INDEX(GMW!$A$2:$NF$60,MATCH(1,(GMW!$NE$2:$NE$60=M$3)*(GMW!$ND$2:$ND$60=M$4)*(GMW!$NF$2:$NF$60=M$1),0),$F246-1966)</f>
        <v>703499.1</v>
      </c>
      <c r="N246" s="4" cm="1">
        <f t="array" ref="N246">INDEX(GMW!$A$2:$NF$60,MATCH(1,(GMW!$NE$2:$NE$60=N$3)*(GMW!$ND$2:$ND$60=N$4)*(GMW!$NF$2:$NF$60=N$1),0),$F246-1966)</f>
        <v>-48929.16</v>
      </c>
      <c r="O246" s="4" cm="1">
        <f t="array" ref="O246">INDEX(GMW!$A$2:$NF$60,MATCH(1,(GMW!$NE$2:$NE$60=O$3)*(GMW!$ND$2:$ND$60=O$4)*(GMW!$NF$2:$NF$60=O$1),0),$F246-1966)</f>
        <v>-841.19219999999996</v>
      </c>
      <c r="P246" s="4" cm="1">
        <f t="array" ref="P246">INDEX(GMW!$A$2:$NF$60,MATCH(1,(GMW!$NE$2:$NE$60=P$3)*(GMW!$ND$2:$ND$60=P$4)*(GMW!$NF$2:$NF$60=P$1),0),$F246-1966)</f>
        <v>-3426.2339999999999</v>
      </c>
      <c r="Q246" s="4" cm="1">
        <f t="array" ref="Q246">INDEX(GMW!$A$2:$NF$60,MATCH(1,(GMW!$NE$2:$NE$60=Q$3)*(GMW!$ND$2:$ND$60=Q$4)*(GMW!$NF$2:$NF$60=Q$1),0),$F246-1966)</f>
        <v>-33.734189999999998</v>
      </c>
      <c r="R246" s="4" cm="1">
        <f t="array" ref="R246">INDEX(GMW!$A$2:$NF$60,MATCH(1,(GMW!$NE$2:$NE$60=R$3)*(GMW!$ND$2:$ND$60=R$4)*(GMW!$NF$2:$NF$60=R$1),0),$F246-1966)</f>
        <v>-36.295529999999999</v>
      </c>
      <c r="S246" s="4" cm="1">
        <f t="array" ref="S246">INDEX(GMW!$A$2:$NF$60,MATCH(1,(GMW!$NE$2:$NE$60=S$3)*(GMW!$ND$2:$ND$60=S$4)*(GMW!$NF$2:$NF$60=S$1),0),$F246-1966)</f>
        <v>-14.74741</v>
      </c>
      <c r="T246" s="4" cm="1">
        <f t="array" ref="T246">INDEX(GMW!$A$2:$NF$60,MATCH(1,(GMW!$NE$2:$NE$60=T$3)*(GMW!$ND$2:$ND$60=T$4)*(GMW!$NF$2:$NF$60=T$1),0),$F246-1966)</f>
        <v>-27193.97</v>
      </c>
      <c r="U246" s="4" cm="1">
        <f t="array" ref="U246">INDEX(GMW!$A$2:$NF$60,MATCH(1,(GMW!$NE$2:$NE$60=U$3)*(GMW!$ND$2:$ND$60=U$4)*(GMW!$NF$2:$NF$60=U$1),0),$F246-1966)</f>
        <v>3759665</v>
      </c>
      <c r="V246" s="4" cm="1">
        <f t="array" ref="V246">INDEX(GMW!$A$2:$NF$60,MATCH(1,(GMW!$NE$2:$NE$60=V$3)*(GMW!$ND$2:$ND$60=V$4)*(GMW!$NF$2:$NF$60=V$1),0),$F246-1966)</f>
        <v>62210.99</v>
      </c>
      <c r="W246" s="4" cm="1">
        <f t="array" ref="W246">INDEX(GMW!$A$2:$NF$60,MATCH(1,(GMW!$NE$2:$NE$60=W$3)*(GMW!$ND$2:$ND$60=W$4)*(GMW!$NF$2:$NF$60=W$1),0),$F246-1966)</f>
        <v>1510844</v>
      </c>
      <c r="X246" s="4" cm="1">
        <f t="array" ref="X246">INDEX(GMW!$A$2:$NF$60,MATCH(1,(GMW!$NE$2:$NE$60=X$3)*(GMW!$ND$2:$ND$60=X$4)*(GMW!$NF$2:$NF$60=X$1),0),$F246-1966)</f>
        <v>3673.8119999999999</v>
      </c>
      <c r="Y246" s="4" cm="1">
        <f t="array" ref="Y246">INDEX(GMW!$A$2:$NF$60,MATCH(1,(GMW!$NE$2:$NE$60=Y$3)*(GMW!$ND$2:$ND$60=Y$4)*(GMW!$NF$2:$NF$60=Y$1),0),$F246-1966)</f>
        <v>4881.326</v>
      </c>
      <c r="Z246" s="4" cm="1">
        <f t="array" ref="Z246">INDEX(GMW!$A$2:$NF$60,MATCH(1,(GMW!$NE$2:$NE$60=Z$3)*(GMW!$ND$2:$ND$60=Z$4)*(GMW!$NF$2:$NF$60=Z$1),0),$F246-1966)</f>
        <v>3906.1869999999999</v>
      </c>
      <c r="AA246" s="4" cm="1">
        <f t="array" ref="AA246">INDEX(GMW!$A$2:$NF$60,MATCH(1,(GMW!$NE$2:$NE$60=AA$3)*(GMW!$ND$2:$ND$60=AA$4)*(GMW!$NF$2:$NF$60=AA$1),0),$F246-1966)</f>
        <v>4200592</v>
      </c>
      <c r="AB246" s="4" cm="1">
        <f t="array" ref="AB246">INDEX(GMW!$A$2:$NF$60,MATCH(1,(GMW!$NE$2:$NE$60=AB$3)*(GMW!$ND$2:$ND$60=AB$4)*(GMW!$NF$2:$NF$60=AB$1),0),$F246-1966)</f>
        <v>976529</v>
      </c>
      <c r="AC246" s="4" cm="1">
        <f t="array" ref="AC246">INDEX(GMW!$A$2:$NF$60,MATCH(1,(GMW!$NE$2:$NE$60=AC$3)*(GMW!$ND$2:$ND$60=AC$4)*(GMW!$NF$2:$NF$60=AC$1),0),$F246-1966)</f>
        <v>10187.530000000001</v>
      </c>
      <c r="AD246" s="4" cm="1">
        <f t="array" ref="AD246">INDEX(GMW!$A$2:$NF$60,MATCH(1,(GMW!$NE$2:$NE$60=AD$3)*(GMW!$ND$2:$ND$60=AD$4)*(GMW!$NF$2:$NF$60=AD$1),0),$F246-1966)</f>
        <v>173813.8</v>
      </c>
      <c r="AE246" s="4" cm="1">
        <f t="array" ref="AE246">INDEX(GMW!$A$2:$NF$60,MATCH(1,(GMW!$NE$2:$NE$60=AE$3)*(GMW!$ND$2:$ND$60=AE$4)*(GMW!$NF$2:$NF$60=AE$1),0),$F246-1966)</f>
        <v>1464.971</v>
      </c>
      <c r="AF246" s="4" cm="1">
        <f t="array" ref="AF246">INDEX(GMW!$A$2:$NF$60,MATCH(1,(GMW!$NE$2:$NE$60=AF$3)*(GMW!$ND$2:$ND$60=AF$4)*(GMW!$NF$2:$NF$60=AF$1),0),$F246-1966)</f>
        <v>946.51350000000002</v>
      </c>
      <c r="AG246" s="4" cm="1">
        <f t="array" ref="AG246">INDEX(GMW!$A$2:$NF$60,MATCH(1,(GMW!$NE$2:$NE$60=AG$3)*(GMW!$ND$2:$ND$60=AG$4)*(GMW!$NF$2:$NF$60=AG$1),0),$F246-1966)</f>
        <v>665.10469999999998</v>
      </c>
      <c r="AH246" s="4" cm="1">
        <f t="array" ref="AH246">INDEX(GMW!$A$2:$NF$60,MATCH(1,(GMW!$NE$2:$NE$60=AH$3)*(GMW!$ND$2:$ND$60=AH$4)*(GMW!$NF$2:$NF$60=AH$1),0),$F246-1966)</f>
        <v>1043355</v>
      </c>
    </row>
    <row r="247" spans="1:34" x14ac:dyDescent="0.25">
      <c r="A247" s="4">
        <v>2033</v>
      </c>
      <c r="B247" s="4">
        <f t="shared" si="78"/>
        <v>2033</v>
      </c>
      <c r="C247" s="4">
        <f t="shared" si="78"/>
        <v>2032</v>
      </c>
      <c r="D247" s="4">
        <f t="shared" si="78"/>
        <v>2032</v>
      </c>
      <c r="F247" s="4">
        <f t="shared" si="80"/>
        <v>2213</v>
      </c>
      <c r="G247" s="4" cm="1">
        <f t="array" ref="G247">INDEX(GMW!$A$2:$NF$60,MATCH(1,(GMW!$NE$2:$NE$60=G$3)*(GMW!$ND$2:$ND$60=G$4)*(GMW!$NF$2:$NF$60=G$1),0),$F247-1966)</f>
        <v>726536.1</v>
      </c>
      <c r="H247" s="4" cm="1">
        <f t="array" ref="H247">INDEX(GMW!$A$2:$NF$60,MATCH(1,(GMW!$NE$2:$NE$60=H$3)*(GMW!$ND$2:$ND$60=H$4)*(GMW!$NF$2:$NF$60=H$1),0),$F247-1966)</f>
        <v>6943.8990000000003</v>
      </c>
      <c r="I247" s="4" cm="1">
        <f t="array" ref="I247">INDEX(GMW!$A$2:$NF$60,MATCH(1,(GMW!$NE$2:$NE$60=I$3)*(GMW!$ND$2:$ND$60=I$4)*(GMW!$NF$2:$NF$60=I$1),0),$F247-1966)</f>
        <v>142510.1</v>
      </c>
      <c r="J247" s="4" cm="1">
        <f t="array" ref="J247">INDEX(GMW!$A$2:$NF$60,MATCH(1,(GMW!$NE$2:$NE$60=J$3)*(GMW!$ND$2:$ND$60=J$4)*(GMW!$NF$2:$NF$60=J$1),0),$F247-1966)</f>
        <v>996.78459999999995</v>
      </c>
      <c r="K247" s="4" cm="1">
        <f t="array" ref="K247">INDEX(GMW!$A$2:$NF$60,MATCH(1,(GMW!$NE$2:$NE$60=K$3)*(GMW!$ND$2:$ND$60=K$4)*(GMW!$NF$2:$NF$60=K$1),0),$F247-1966)</f>
        <v>718.57</v>
      </c>
      <c r="L247" s="4" cm="1">
        <f t="array" ref="L247">INDEX(GMW!$A$2:$NF$60,MATCH(1,(GMW!$NE$2:$NE$60=L$3)*(GMW!$ND$2:$ND$60=L$4)*(GMW!$NF$2:$NF$60=L$1),0),$F247-1966)</f>
        <v>507.1345</v>
      </c>
      <c r="M247" s="4" cm="1">
        <f t="array" ref="M247">INDEX(GMW!$A$2:$NF$60,MATCH(1,(GMW!$NE$2:$NE$60=M$3)*(GMW!$ND$2:$ND$60=M$4)*(GMW!$NF$2:$NF$60=M$1),0),$F247-1966)</f>
        <v>706922</v>
      </c>
      <c r="N247" s="4" cm="1">
        <f t="array" ref="N247">INDEX(GMW!$A$2:$NF$60,MATCH(1,(GMW!$NE$2:$NE$60=N$3)*(GMW!$ND$2:$ND$60=N$4)*(GMW!$NF$2:$NF$60=N$1),0),$F247-1966)</f>
        <v>5936.1559999999999</v>
      </c>
      <c r="O247" s="4" cm="1">
        <f t="array" ref="O247">INDEX(GMW!$A$2:$NF$60,MATCH(1,(GMW!$NE$2:$NE$60=O$3)*(GMW!$ND$2:$ND$60=O$4)*(GMW!$NF$2:$NF$60=O$1),0),$F247-1966)</f>
        <v>-862.3193</v>
      </c>
      <c r="P247" s="4" cm="1">
        <f t="array" ref="P247">INDEX(GMW!$A$2:$NF$60,MATCH(1,(GMW!$NE$2:$NE$60=P$3)*(GMW!$ND$2:$ND$60=P$4)*(GMW!$NF$2:$NF$60=P$1),0),$F247-1966)</f>
        <v>-3263.1950000000002</v>
      </c>
      <c r="Q247" s="4" cm="1">
        <f t="array" ref="Q247">INDEX(GMW!$A$2:$NF$60,MATCH(1,(GMW!$NE$2:$NE$60=Q$3)*(GMW!$ND$2:$ND$60=Q$4)*(GMW!$NF$2:$NF$60=Q$1),0),$F247-1966)</f>
        <v>-32.760309999999997</v>
      </c>
      <c r="R247" s="4" cm="1">
        <f t="array" ref="R247">INDEX(GMW!$A$2:$NF$60,MATCH(1,(GMW!$NE$2:$NE$60=R$3)*(GMW!$ND$2:$ND$60=R$4)*(GMW!$NF$2:$NF$60=R$1),0),$F247-1966)</f>
        <v>-36.173400000000001</v>
      </c>
      <c r="S247" s="4" cm="1">
        <f t="array" ref="S247">INDEX(GMW!$A$2:$NF$60,MATCH(1,(GMW!$NE$2:$NE$60=S$3)*(GMW!$ND$2:$ND$60=S$4)*(GMW!$NF$2:$NF$60=S$1),0),$F247-1966)</f>
        <v>-14.50498</v>
      </c>
      <c r="T247" s="4" cm="1">
        <f t="array" ref="T247">INDEX(GMW!$A$2:$NF$60,MATCH(1,(GMW!$NE$2:$NE$60=T$3)*(GMW!$ND$2:$ND$60=T$4)*(GMW!$NF$2:$NF$60=T$1),0),$F247-1966)</f>
        <v>-27366</v>
      </c>
      <c r="U247" s="4" cm="1">
        <f t="array" ref="U247">INDEX(GMW!$A$2:$NF$60,MATCH(1,(GMW!$NE$2:$NE$60=U$3)*(GMW!$ND$2:$ND$60=U$4)*(GMW!$NF$2:$NF$60=U$1),0),$F247-1966)</f>
        <v>3753729</v>
      </c>
      <c r="V247" s="4" cm="1">
        <f t="array" ref="V247">INDEX(GMW!$A$2:$NF$60,MATCH(1,(GMW!$NE$2:$NE$60=V$3)*(GMW!$ND$2:$ND$60=V$4)*(GMW!$NF$2:$NF$60=V$1),0),$F247-1966)</f>
        <v>63073.31</v>
      </c>
      <c r="W247" s="4" cm="1">
        <f t="array" ref="W247">INDEX(GMW!$A$2:$NF$60,MATCH(1,(GMW!$NE$2:$NE$60=W$3)*(GMW!$ND$2:$ND$60=W$4)*(GMW!$NF$2:$NF$60=W$1),0),$F247-1966)</f>
        <v>1514107</v>
      </c>
      <c r="X247" s="4" cm="1">
        <f t="array" ref="X247">INDEX(GMW!$A$2:$NF$60,MATCH(1,(GMW!$NE$2:$NE$60=X$3)*(GMW!$ND$2:$ND$60=X$4)*(GMW!$NF$2:$NF$60=X$1),0),$F247-1966)</f>
        <v>3706.5720000000001</v>
      </c>
      <c r="Y247" s="4" cm="1">
        <f t="array" ref="Y247">INDEX(GMW!$A$2:$NF$60,MATCH(1,(GMW!$NE$2:$NE$60=Y$3)*(GMW!$ND$2:$ND$60=Y$4)*(GMW!$NF$2:$NF$60=Y$1),0),$F247-1966)</f>
        <v>4917.4989999999998</v>
      </c>
      <c r="Z247" s="4" cm="1">
        <f t="array" ref="Z247">INDEX(GMW!$A$2:$NF$60,MATCH(1,(GMW!$NE$2:$NE$60=Z$3)*(GMW!$ND$2:$ND$60=Z$4)*(GMW!$NF$2:$NF$60=Z$1),0),$F247-1966)</f>
        <v>3920.835</v>
      </c>
      <c r="AA247" s="4" cm="1">
        <f t="array" ref="AA247">INDEX(GMW!$A$2:$NF$60,MATCH(1,(GMW!$NE$2:$NE$60=AA$3)*(GMW!$ND$2:$ND$60=AA$4)*(GMW!$NF$2:$NF$60=AA$1),0),$F247-1966)</f>
        <v>4227958</v>
      </c>
      <c r="AB247" s="4" cm="1">
        <f t="array" ref="AB247">INDEX(GMW!$A$2:$NF$60,MATCH(1,(GMW!$NE$2:$NE$60=AB$3)*(GMW!$ND$2:$ND$60=AB$4)*(GMW!$NF$2:$NF$60=AB$1),0),$F247-1966)</f>
        <v>985599.3</v>
      </c>
      <c r="AC247" s="4" cm="1">
        <f t="array" ref="AC247">INDEX(GMW!$A$2:$NF$60,MATCH(1,(GMW!$NE$2:$NE$60=AC$3)*(GMW!$ND$2:$ND$60=AC$4)*(GMW!$NF$2:$NF$60=AC$1),0),$F247-1966)</f>
        <v>10280.18</v>
      </c>
      <c r="AD247" s="4" cm="1">
        <f t="array" ref="AD247">INDEX(GMW!$A$2:$NF$60,MATCH(1,(GMW!$NE$2:$NE$60=AD$3)*(GMW!$ND$2:$ND$60=AD$4)*(GMW!$NF$2:$NF$60=AD$1),0),$F247-1966)</f>
        <v>174354.1</v>
      </c>
      <c r="AE247" s="4" cm="1">
        <f t="array" ref="AE247">INDEX(GMW!$A$2:$NF$60,MATCH(1,(GMW!$NE$2:$NE$60=AE$3)*(GMW!$ND$2:$ND$60=AE$4)*(GMW!$NF$2:$NF$60=AE$1),0),$F247-1966)</f>
        <v>1473.999</v>
      </c>
      <c r="AF247" s="4" cm="1">
        <f t="array" ref="AF247">INDEX(GMW!$A$2:$NF$60,MATCH(1,(GMW!$NE$2:$NE$60=AF$3)*(GMW!$ND$2:$ND$60=AF$4)*(GMW!$NF$2:$NF$60=AF$1),0),$F247-1966)</f>
        <v>952.93020000000001</v>
      </c>
      <c r="AG247" s="4" cm="1">
        <f t="array" ref="AG247">INDEX(GMW!$A$2:$NF$60,MATCH(1,(GMW!$NE$2:$NE$60=AG$3)*(GMW!$ND$2:$ND$60=AG$4)*(GMW!$NF$2:$NF$60=AG$1),0),$F247-1966)</f>
        <v>668.87789999999995</v>
      </c>
      <c r="AH247" s="4" cm="1">
        <f t="array" ref="AH247">INDEX(GMW!$A$2:$NF$60,MATCH(1,(GMW!$NE$2:$NE$60=AH$3)*(GMW!$ND$2:$ND$60=AH$4)*(GMW!$NF$2:$NF$60=AH$1),0),$F247-1966)</f>
        <v>1053259</v>
      </c>
    </row>
    <row r="248" spans="1:34" x14ac:dyDescent="0.25">
      <c r="B248" s="4">
        <f t="shared" si="78"/>
        <v>2033</v>
      </c>
      <c r="C248" s="4">
        <f t="shared" si="78"/>
        <v>2033</v>
      </c>
      <c r="F248" s="4">
        <f t="shared" si="80"/>
        <v>2214</v>
      </c>
      <c r="G248" s="4" cm="1">
        <f t="array" ref="G248">INDEX(GMW!$A$2:$NF$60,MATCH(1,(GMW!$NE$2:$NE$60=G$3)*(GMW!$ND$2:$ND$60=G$4)*(GMW!$NF$2:$NF$60=G$1),0),$F248-1966)</f>
        <v>729279</v>
      </c>
      <c r="H248" s="4" cm="1">
        <f t="array" ref="H248">INDEX(GMW!$A$2:$NF$60,MATCH(1,(GMW!$NE$2:$NE$60=H$3)*(GMW!$ND$2:$ND$60=H$4)*(GMW!$NF$2:$NF$60=H$1),0),$F248-1966)</f>
        <v>6975.17</v>
      </c>
      <c r="I248" s="4" cm="1">
        <f t="array" ref="I248">INDEX(GMW!$A$2:$NF$60,MATCH(1,(GMW!$NE$2:$NE$60=I$3)*(GMW!$ND$2:$ND$60=I$4)*(GMW!$NF$2:$NF$60=I$1),0),$F248-1966)</f>
        <v>142472.70000000001</v>
      </c>
      <c r="J248" s="4" cm="1">
        <f t="array" ref="J248">INDEX(GMW!$A$2:$NF$60,MATCH(1,(GMW!$NE$2:$NE$60=J$3)*(GMW!$ND$2:$ND$60=J$4)*(GMW!$NF$2:$NF$60=J$1),0),$F248-1966)</f>
        <v>997.9819</v>
      </c>
      <c r="K248" s="4" cm="1">
        <f t="array" ref="K248">INDEX(GMW!$A$2:$NF$60,MATCH(1,(GMW!$NE$2:$NE$60=K$3)*(GMW!$ND$2:$ND$60=K$4)*(GMW!$NF$2:$NF$60=K$1),0),$F248-1966)</f>
        <v>719.83</v>
      </c>
      <c r="L248" s="4" cm="1">
        <f t="array" ref="L248">INDEX(GMW!$A$2:$NF$60,MATCH(1,(GMW!$NE$2:$NE$60=L$3)*(GMW!$ND$2:$ND$60=L$4)*(GMW!$NF$2:$NF$60=L$1),0),$F248-1966)</f>
        <v>507.53449999999998</v>
      </c>
      <c r="M248" s="4" cm="1">
        <f t="array" ref="M248">INDEX(GMW!$A$2:$NF$60,MATCH(1,(GMW!$NE$2:$NE$60=M$3)*(GMW!$ND$2:$ND$60=M$4)*(GMW!$NF$2:$NF$60=M$1),0),$F248-1966)</f>
        <v>710353.1</v>
      </c>
      <c r="N248" s="4" cm="1">
        <f t="array" ref="N248">INDEX(GMW!$A$2:$NF$60,MATCH(1,(GMW!$NE$2:$NE$60=N$3)*(GMW!$ND$2:$ND$60=N$4)*(GMW!$NF$2:$NF$60=N$1),0),$F248-1966)</f>
        <v>-55708.06</v>
      </c>
      <c r="O248" s="4" cm="1">
        <f t="array" ref="O248">INDEX(GMW!$A$2:$NF$60,MATCH(1,(GMW!$NE$2:$NE$60=O$3)*(GMW!$ND$2:$ND$60=O$4)*(GMW!$NF$2:$NF$60=O$1),0),$F248-1966)</f>
        <v>-887.71140000000003</v>
      </c>
      <c r="P248" s="4" cm="1">
        <f t="array" ref="P248">INDEX(GMW!$A$2:$NF$60,MATCH(1,(GMW!$NE$2:$NE$60=P$3)*(GMW!$ND$2:$ND$60=P$4)*(GMW!$NF$2:$NF$60=P$1),0),$F248-1966)</f>
        <v>-3100.1559999999999</v>
      </c>
      <c r="Q248" s="4" cm="1">
        <f t="array" ref="Q248">INDEX(GMW!$A$2:$NF$60,MATCH(1,(GMW!$NE$2:$NE$60=Q$3)*(GMW!$ND$2:$ND$60=Q$4)*(GMW!$NF$2:$NF$60=Q$1),0),$F248-1966)</f>
        <v>-31.69745</v>
      </c>
      <c r="R248" s="4" cm="1">
        <f t="array" ref="R248">INDEX(GMW!$A$2:$NF$60,MATCH(1,(GMW!$NE$2:$NE$60=R$3)*(GMW!$ND$2:$ND$60=R$4)*(GMW!$NF$2:$NF$60=R$1),0),$F248-1966)</f>
        <v>-35.926789999999997</v>
      </c>
      <c r="S248" s="4" cm="1">
        <f t="array" ref="S248">INDEX(GMW!$A$2:$NF$60,MATCH(1,(GMW!$NE$2:$NE$60=S$3)*(GMW!$ND$2:$ND$60=S$4)*(GMW!$NF$2:$NF$60=S$1),0),$F248-1966)</f>
        <v>-14.284000000000001</v>
      </c>
      <c r="T248" s="4" cm="1">
        <f t="array" ref="T248">INDEX(GMW!$A$2:$NF$60,MATCH(1,(GMW!$NE$2:$NE$60=T$3)*(GMW!$ND$2:$ND$60=T$4)*(GMW!$NF$2:$NF$60=T$1),0),$F248-1966)</f>
        <v>-27498.69</v>
      </c>
      <c r="U248" s="4" cm="1">
        <f t="array" ref="U248">INDEX(GMW!$A$2:$NF$60,MATCH(1,(GMW!$NE$2:$NE$60=U$3)*(GMW!$ND$2:$ND$60=U$4)*(GMW!$NF$2:$NF$60=U$1),0),$F248-1966)</f>
        <v>3809437</v>
      </c>
      <c r="V248" s="4" cm="1">
        <f t="array" ref="V248">INDEX(GMW!$A$2:$NF$60,MATCH(1,(GMW!$NE$2:$NE$60=V$3)*(GMW!$ND$2:$ND$60=V$4)*(GMW!$NF$2:$NF$60=V$1),0),$F248-1966)</f>
        <v>63961.02</v>
      </c>
      <c r="W248" s="4" cm="1">
        <f t="array" ref="W248">INDEX(GMW!$A$2:$NF$60,MATCH(1,(GMW!$NE$2:$NE$60=W$3)*(GMW!$ND$2:$ND$60=W$4)*(GMW!$NF$2:$NF$60=W$1),0),$F248-1966)</f>
        <v>1517207</v>
      </c>
      <c r="X248" s="4" cm="1">
        <f t="array" ref="X248">INDEX(GMW!$A$2:$NF$60,MATCH(1,(GMW!$NE$2:$NE$60=X$3)*(GMW!$ND$2:$ND$60=X$4)*(GMW!$NF$2:$NF$60=X$1),0),$F248-1966)</f>
        <v>3738.27</v>
      </c>
      <c r="Y248" s="4" cm="1">
        <f t="array" ref="Y248">INDEX(GMW!$A$2:$NF$60,MATCH(1,(GMW!$NE$2:$NE$60=Y$3)*(GMW!$ND$2:$ND$60=Y$4)*(GMW!$NF$2:$NF$60=Y$1),0),$F248-1966)</f>
        <v>4953.4260000000004</v>
      </c>
      <c r="Z248" s="4" cm="1">
        <f t="array" ref="Z248">INDEX(GMW!$A$2:$NF$60,MATCH(1,(GMW!$NE$2:$NE$60=Z$3)*(GMW!$ND$2:$ND$60=Z$4)*(GMW!$NF$2:$NF$60=Z$1),0),$F248-1966)</f>
        <v>3935.2620000000002</v>
      </c>
      <c r="AA248" s="4" cm="1">
        <f t="array" ref="AA248">INDEX(GMW!$A$2:$NF$60,MATCH(1,(GMW!$NE$2:$NE$60=AA$3)*(GMW!$ND$2:$ND$60=AA$4)*(GMW!$NF$2:$NF$60=AA$1),0),$F248-1966)</f>
        <v>4255456</v>
      </c>
      <c r="AB248" s="4" cm="1">
        <f t="array" ref="AB248">INDEX(GMW!$A$2:$NF$60,MATCH(1,(GMW!$NE$2:$NE$60=AB$3)*(GMW!$ND$2:$ND$60=AB$4)*(GMW!$NF$2:$NF$60=AB$1),0),$F248-1966)</f>
        <v>994652.3</v>
      </c>
      <c r="AC248" s="4" cm="1">
        <f t="array" ref="AC248">INDEX(GMW!$A$2:$NF$60,MATCH(1,(GMW!$NE$2:$NE$60=AC$3)*(GMW!$ND$2:$ND$60=AC$4)*(GMW!$NF$2:$NF$60=AC$1),0),$F248-1966)</f>
        <v>10373.68</v>
      </c>
      <c r="AD248" s="4" cm="1">
        <f t="array" ref="AD248">INDEX(GMW!$A$2:$NF$60,MATCH(1,(GMW!$NE$2:$NE$60=AD$3)*(GMW!$ND$2:$ND$60=AD$4)*(GMW!$NF$2:$NF$60=AD$1),0),$F248-1966)</f>
        <v>174926.1</v>
      </c>
      <c r="AE248" s="4" cm="1">
        <f t="array" ref="AE248">INDEX(GMW!$A$2:$NF$60,MATCH(1,(GMW!$NE$2:$NE$60=AE$3)*(GMW!$ND$2:$ND$60=AE$4)*(GMW!$NF$2:$NF$60=AE$1),0),$F248-1966)</f>
        <v>1483.115</v>
      </c>
      <c r="AF248" s="4" cm="1">
        <f t="array" ref="AF248">INDEX(GMW!$A$2:$NF$60,MATCH(1,(GMW!$NE$2:$NE$60=AF$3)*(GMW!$ND$2:$ND$60=AF$4)*(GMW!$NF$2:$NF$60=AF$1),0),$F248-1966)</f>
        <v>959.63070000000005</v>
      </c>
      <c r="AG248" s="4" cm="1">
        <f t="array" ref="AG248">INDEX(GMW!$A$2:$NF$60,MATCH(1,(GMW!$NE$2:$NE$60=AG$3)*(GMW!$ND$2:$ND$60=AG$4)*(GMW!$NF$2:$NF$60=AG$1),0),$F248-1966)</f>
        <v>672.71749999999997</v>
      </c>
      <c r="AH248" s="4" cm="1">
        <f t="array" ref="AH248">INDEX(GMW!$A$2:$NF$60,MATCH(1,(GMW!$NE$2:$NE$60=AH$3)*(GMW!$ND$2:$ND$60=AH$4)*(GMW!$NF$2:$NF$60=AH$1),0),$F248-1966)</f>
        <v>1063199</v>
      </c>
    </row>
    <row r="249" spans="1:34" x14ac:dyDescent="0.25">
      <c r="B249" s="4">
        <f t="shared" si="78"/>
        <v>2033</v>
      </c>
      <c r="C249" s="4">
        <f t="shared" si="78"/>
        <v>2033</v>
      </c>
      <c r="F249" s="4">
        <f t="shared" si="80"/>
        <v>2215</v>
      </c>
      <c r="G249" s="4" cm="1">
        <f t="array" ref="G249">INDEX(GMW!$A$2:$NF$60,MATCH(1,(GMW!$NE$2:$NE$60=G$3)*(GMW!$ND$2:$ND$60=G$4)*(GMW!$NF$2:$NF$60=G$1),0),$F249-1966)</f>
        <v>732034.8</v>
      </c>
      <c r="H249" s="4" cm="1">
        <f t="array" ref="H249">INDEX(GMW!$A$2:$NF$60,MATCH(1,(GMW!$NE$2:$NE$60=H$3)*(GMW!$ND$2:$ND$60=H$4)*(GMW!$NF$2:$NF$60=H$1),0),$F249-1966)</f>
        <v>7006.5690000000004</v>
      </c>
      <c r="I249" s="4" cm="1">
        <f t="array" ref="I249">INDEX(GMW!$A$2:$NF$60,MATCH(1,(GMW!$NE$2:$NE$60=I$3)*(GMW!$ND$2:$ND$60=I$4)*(GMW!$NF$2:$NF$60=I$1),0),$F249-1966)</f>
        <v>142445.1</v>
      </c>
      <c r="J249" s="4" cm="1">
        <f t="array" ref="J249">INDEX(GMW!$A$2:$NF$60,MATCH(1,(GMW!$NE$2:$NE$60=J$3)*(GMW!$ND$2:$ND$60=J$4)*(GMW!$NF$2:$NF$60=J$1),0),$F249-1966)</f>
        <v>999.1866</v>
      </c>
      <c r="K249" s="4" cm="1">
        <f t="array" ref="K249">INDEX(GMW!$A$2:$NF$60,MATCH(1,(GMW!$NE$2:$NE$60=K$3)*(GMW!$ND$2:$ND$60=K$4)*(GMW!$NF$2:$NF$60=K$1),0),$F249-1966)</f>
        <v>721.01</v>
      </c>
      <c r="L249" s="4" cm="1">
        <f t="array" ref="L249">INDEX(GMW!$A$2:$NF$60,MATCH(1,(GMW!$NE$2:$NE$60=L$3)*(GMW!$ND$2:$ND$60=L$4)*(GMW!$NF$2:$NF$60=L$1),0),$F249-1966)</f>
        <v>507.93310000000002</v>
      </c>
      <c r="M249" s="4" cm="1">
        <f t="array" ref="M249">INDEX(GMW!$A$2:$NF$60,MATCH(1,(GMW!$NE$2:$NE$60=M$3)*(GMW!$ND$2:$ND$60=M$4)*(GMW!$NF$2:$NF$60=M$1),0),$F249-1966)</f>
        <v>713808.1</v>
      </c>
      <c r="N249" s="4" cm="1">
        <f t="array" ref="N249">INDEX(GMW!$A$2:$NF$60,MATCH(1,(GMW!$NE$2:$NE$60=N$3)*(GMW!$ND$2:$ND$60=N$4)*(GMW!$NF$2:$NF$60=N$1),0),$F249-1966)</f>
        <v>-26342.34</v>
      </c>
      <c r="O249" s="4" cm="1">
        <f t="array" ref="O249">INDEX(GMW!$A$2:$NF$60,MATCH(1,(GMW!$NE$2:$NE$60=O$3)*(GMW!$ND$2:$ND$60=O$4)*(GMW!$NF$2:$NF$60=O$1),0),$F249-1966)</f>
        <v>-908.28290000000004</v>
      </c>
      <c r="P249" s="4" cm="1">
        <f t="array" ref="P249">INDEX(GMW!$A$2:$NF$60,MATCH(1,(GMW!$NE$2:$NE$60=P$3)*(GMW!$ND$2:$ND$60=P$4)*(GMW!$NF$2:$NF$60=P$1),0),$F249-1966)</f>
        <v>-2937.1089999999999</v>
      </c>
      <c r="Q249" s="4" cm="1">
        <f t="array" ref="Q249">INDEX(GMW!$A$2:$NF$60,MATCH(1,(GMW!$NE$2:$NE$60=Q$3)*(GMW!$ND$2:$ND$60=Q$4)*(GMW!$NF$2:$NF$60=Q$1),0),$F249-1966)</f>
        <v>-30.47101</v>
      </c>
      <c r="R249" s="4" cm="1">
        <f t="array" ref="R249">INDEX(GMW!$A$2:$NF$60,MATCH(1,(GMW!$NE$2:$NE$60=R$3)*(GMW!$ND$2:$ND$60=R$4)*(GMW!$NF$2:$NF$60=R$1),0),$F249-1966)</f>
        <v>-35.749079999999999</v>
      </c>
      <c r="S249" s="4" cm="1">
        <f t="array" ref="S249">INDEX(GMW!$A$2:$NF$60,MATCH(1,(GMW!$NE$2:$NE$60=S$3)*(GMW!$ND$2:$ND$60=S$4)*(GMW!$NF$2:$NF$60=S$1),0),$F249-1966)</f>
        <v>-14.04691</v>
      </c>
      <c r="T249" s="4" cm="1">
        <f t="array" ref="T249">INDEX(GMW!$A$2:$NF$60,MATCH(1,(GMW!$NE$2:$NE$60=T$3)*(GMW!$ND$2:$ND$60=T$4)*(GMW!$NF$2:$NF$60=T$1),0),$F249-1966)</f>
        <v>-27537.97</v>
      </c>
      <c r="U249" s="4" cm="1">
        <f t="array" ref="U249">INDEX(GMW!$A$2:$NF$60,MATCH(1,(GMW!$NE$2:$NE$60=U$3)*(GMW!$ND$2:$ND$60=U$4)*(GMW!$NF$2:$NF$60=U$1),0),$F249-1966)</f>
        <v>3835779</v>
      </c>
      <c r="V249" s="4" cm="1">
        <f t="array" ref="V249">INDEX(GMW!$A$2:$NF$60,MATCH(1,(GMW!$NE$2:$NE$60=V$3)*(GMW!$ND$2:$ND$60=V$4)*(GMW!$NF$2:$NF$60=V$1),0),$F249-1966)</f>
        <v>64869.3</v>
      </c>
      <c r="W249" s="4" cm="1">
        <f t="array" ref="W249">INDEX(GMW!$A$2:$NF$60,MATCH(1,(GMW!$NE$2:$NE$60=W$3)*(GMW!$ND$2:$ND$60=W$4)*(GMW!$NF$2:$NF$60=W$1),0),$F249-1966)</f>
        <v>1520145</v>
      </c>
      <c r="X249" s="4" cm="1">
        <f t="array" ref="X249">INDEX(GMW!$A$2:$NF$60,MATCH(1,(GMW!$NE$2:$NE$60=X$3)*(GMW!$ND$2:$ND$60=X$4)*(GMW!$NF$2:$NF$60=X$1),0),$F249-1966)</f>
        <v>3768.74</v>
      </c>
      <c r="Y249" s="4" cm="1">
        <f t="array" ref="Y249">INDEX(GMW!$A$2:$NF$60,MATCH(1,(GMW!$NE$2:$NE$60=Y$3)*(GMW!$ND$2:$ND$60=Y$4)*(GMW!$NF$2:$NF$60=Y$1),0),$F249-1966)</f>
        <v>4989.1750000000002</v>
      </c>
      <c r="Z249" s="4" cm="1">
        <f t="array" ref="Z249">INDEX(GMW!$A$2:$NF$60,MATCH(1,(GMW!$NE$2:$NE$60=Z$3)*(GMW!$ND$2:$ND$60=Z$4)*(GMW!$NF$2:$NF$60=Z$1),0),$F249-1966)</f>
        <v>3949.453</v>
      </c>
      <c r="AA249" s="4" cm="1">
        <f t="array" ref="AA249">INDEX(GMW!$A$2:$NF$60,MATCH(1,(GMW!$NE$2:$NE$60=AA$3)*(GMW!$ND$2:$ND$60=AA$4)*(GMW!$NF$2:$NF$60=AA$1),0),$F249-1966)</f>
        <v>4282994</v>
      </c>
      <c r="AB249" s="4" cm="1">
        <f t="array" ref="AB249">INDEX(GMW!$A$2:$NF$60,MATCH(1,(GMW!$NE$2:$NE$60=AB$3)*(GMW!$ND$2:$ND$60=AB$4)*(GMW!$NF$2:$NF$60=AB$1),0),$F249-1966)</f>
        <v>1003792</v>
      </c>
      <c r="AC249" s="4" cm="1">
        <f t="array" ref="AC249">INDEX(GMW!$A$2:$NF$60,MATCH(1,(GMW!$NE$2:$NE$60=AC$3)*(GMW!$ND$2:$ND$60=AC$4)*(GMW!$NF$2:$NF$60=AC$1),0),$F249-1966)</f>
        <v>10468.15</v>
      </c>
      <c r="AD249" s="4" cm="1">
        <f t="array" ref="AD249">INDEX(GMW!$A$2:$NF$60,MATCH(1,(GMW!$NE$2:$NE$60=AD$3)*(GMW!$ND$2:$ND$60=AD$4)*(GMW!$NF$2:$NF$60=AD$1),0),$F249-1966)</f>
        <v>175514.2</v>
      </c>
      <c r="AE249" s="4" cm="1">
        <f t="array" ref="AE249">INDEX(GMW!$A$2:$NF$60,MATCH(1,(GMW!$NE$2:$NE$60=AE$3)*(GMW!$ND$2:$ND$60=AE$4)*(GMW!$NF$2:$NF$60=AE$1),0),$F249-1966)</f>
        <v>1492.2809999999999</v>
      </c>
      <c r="AF249" s="4" cm="1">
        <f t="array" ref="AF249">INDEX(GMW!$A$2:$NF$60,MATCH(1,(GMW!$NE$2:$NE$60=AF$3)*(GMW!$ND$2:$ND$60=AF$4)*(GMW!$NF$2:$NF$60=AF$1),0),$F249-1966)</f>
        <v>966.27279999999996</v>
      </c>
      <c r="AG249" s="4" cm="1">
        <f t="array" ref="AG249">INDEX(GMW!$A$2:$NF$60,MATCH(1,(GMW!$NE$2:$NE$60=AG$3)*(GMW!$ND$2:$ND$60=AG$4)*(GMW!$NF$2:$NF$60=AG$1),0),$F249-1966)</f>
        <v>676.57500000000005</v>
      </c>
      <c r="AH249" s="4" cm="1">
        <f t="array" ref="AH249">INDEX(GMW!$A$2:$NF$60,MATCH(1,(GMW!$NE$2:$NE$60=AH$3)*(GMW!$ND$2:$ND$60=AH$4)*(GMW!$NF$2:$NF$60=AH$1),0),$F249-1966)</f>
        <v>1073284</v>
      </c>
    </row>
    <row r="250" spans="1:34" x14ac:dyDescent="0.25">
      <c r="B250" s="4">
        <f t="shared" si="78"/>
        <v>2033</v>
      </c>
      <c r="C250" s="4">
        <f t="shared" si="78"/>
        <v>2033</v>
      </c>
      <c r="E250" s="4">
        <f t="shared" ref="E250" si="83">+E246+1</f>
        <v>2033</v>
      </c>
      <c r="F250" s="4">
        <f t="shared" si="80"/>
        <v>2216</v>
      </c>
      <c r="G250" s="4" cm="1">
        <f t="array" ref="G250">INDEX(GMW!$A$2:$NF$60,MATCH(1,(GMW!$NE$2:$NE$60=G$3)*(GMW!$ND$2:$ND$60=G$4)*(GMW!$NF$2:$NF$60=G$1),0),$F250-1966)</f>
        <v>734734.6</v>
      </c>
      <c r="H250" s="4" cm="1">
        <f t="array" ref="H250">INDEX(GMW!$A$2:$NF$60,MATCH(1,(GMW!$NE$2:$NE$60=H$3)*(GMW!$ND$2:$ND$60=H$4)*(GMW!$NF$2:$NF$60=H$1),0),$F250-1966)</f>
        <v>7038.0959999999995</v>
      </c>
      <c r="I250" s="4" cm="1">
        <f t="array" ref="I250">INDEX(GMW!$A$2:$NF$60,MATCH(1,(GMW!$NE$2:$NE$60=I$3)*(GMW!$ND$2:$ND$60=I$4)*(GMW!$NF$2:$NF$60=I$1),0),$F250-1966)</f>
        <v>142402</v>
      </c>
      <c r="J250" s="4" cm="1">
        <f t="array" ref="J250">INDEX(GMW!$A$2:$NF$60,MATCH(1,(GMW!$NE$2:$NE$60=J$3)*(GMW!$ND$2:$ND$60=J$4)*(GMW!$NF$2:$NF$60=J$1),0),$F250-1966)</f>
        <v>1000.3440000000001</v>
      </c>
      <c r="K250" s="4" cm="1">
        <f t="array" ref="K250">INDEX(GMW!$A$2:$NF$60,MATCH(1,(GMW!$NE$2:$NE$60=K$3)*(GMW!$ND$2:$ND$60=K$4)*(GMW!$NF$2:$NF$60=K$1),0),$F250-1966)</f>
        <v>722.39</v>
      </c>
      <c r="L250" s="4" cm="1">
        <f t="array" ref="L250">INDEX(GMW!$A$2:$NF$60,MATCH(1,(GMW!$NE$2:$NE$60=L$3)*(GMW!$ND$2:$ND$60=L$4)*(GMW!$NF$2:$NF$60=L$1),0),$F250-1966)</f>
        <v>508.27080000000001</v>
      </c>
      <c r="M250" s="4" cm="1">
        <f t="array" ref="M250">INDEX(GMW!$A$2:$NF$60,MATCH(1,(GMW!$NE$2:$NE$60=M$3)*(GMW!$ND$2:$ND$60=M$4)*(GMW!$NF$2:$NF$60=M$1),0),$F250-1966)</f>
        <v>717296.1</v>
      </c>
      <c r="N250" s="4" cm="1">
        <f t="array" ref="N250">INDEX(GMW!$A$2:$NF$60,MATCH(1,(GMW!$NE$2:$NE$60=N$3)*(GMW!$ND$2:$ND$60=N$4)*(GMW!$NF$2:$NF$60=N$1),0),$F250-1966)</f>
        <v>-52236.22</v>
      </c>
      <c r="O250" s="4" cm="1">
        <f t="array" ref="O250">INDEX(GMW!$A$2:$NF$60,MATCH(1,(GMW!$NE$2:$NE$60=O$3)*(GMW!$ND$2:$ND$60=O$4)*(GMW!$NF$2:$NF$60=O$1),0),$F250-1966)</f>
        <v>-914.49289999999996</v>
      </c>
      <c r="P250" s="4" cm="1">
        <f t="array" ref="P250">INDEX(GMW!$A$2:$NF$60,MATCH(1,(GMW!$NE$2:$NE$60=P$3)*(GMW!$ND$2:$ND$60=P$4)*(GMW!$NF$2:$NF$60=P$1),0),$F250-1966)</f>
        <v>-2774.07</v>
      </c>
      <c r="Q250" s="4" cm="1">
        <f t="array" ref="Q250">INDEX(GMW!$A$2:$NF$60,MATCH(1,(GMW!$NE$2:$NE$60=Q$3)*(GMW!$ND$2:$ND$60=Q$4)*(GMW!$NF$2:$NF$60=Q$1),0),$F250-1966)</f>
        <v>-29.163820000000001</v>
      </c>
      <c r="R250" s="4" cm="1">
        <f t="array" ref="R250">INDEX(GMW!$A$2:$NF$60,MATCH(1,(GMW!$NE$2:$NE$60=R$3)*(GMW!$ND$2:$ND$60=R$4)*(GMW!$NF$2:$NF$60=R$1),0),$F250-1966)</f>
        <v>-35.487119999999997</v>
      </c>
      <c r="S250" s="4" cm="1">
        <f t="array" ref="S250">INDEX(GMW!$A$2:$NF$60,MATCH(1,(GMW!$NE$2:$NE$60=S$3)*(GMW!$ND$2:$ND$60=S$4)*(GMW!$NF$2:$NF$60=S$1),0),$F250-1966)</f>
        <v>-13.852819999999999</v>
      </c>
      <c r="T250" s="4" cm="1">
        <f t="array" ref="T250">INDEX(GMW!$A$2:$NF$60,MATCH(1,(GMW!$NE$2:$NE$60=T$3)*(GMW!$ND$2:$ND$60=T$4)*(GMW!$NF$2:$NF$60=T$1),0),$F250-1966)</f>
        <v>-27578.53</v>
      </c>
      <c r="U250" s="4" cm="1">
        <f t="array" ref="U250">INDEX(GMW!$A$2:$NF$60,MATCH(1,(GMW!$NE$2:$NE$60=U$3)*(GMW!$ND$2:$ND$60=U$4)*(GMW!$NF$2:$NF$60=U$1),0),$F250-1966)</f>
        <v>3888016</v>
      </c>
      <c r="V250" s="4" cm="1">
        <f t="array" ref="V250">INDEX(GMW!$A$2:$NF$60,MATCH(1,(GMW!$NE$2:$NE$60=V$3)*(GMW!$ND$2:$ND$60=V$4)*(GMW!$NF$2:$NF$60=V$1),0),$F250-1966)</f>
        <v>65783.8</v>
      </c>
      <c r="W250" s="4" cm="1">
        <f t="array" ref="W250">INDEX(GMW!$A$2:$NF$60,MATCH(1,(GMW!$NE$2:$NE$60=W$3)*(GMW!$ND$2:$ND$60=W$4)*(GMW!$NF$2:$NF$60=W$1),0),$F250-1966)</f>
        <v>1522919</v>
      </c>
      <c r="X250" s="4" cm="1">
        <f t="array" ref="X250">INDEX(GMW!$A$2:$NF$60,MATCH(1,(GMW!$NE$2:$NE$60=X$3)*(GMW!$ND$2:$ND$60=X$4)*(GMW!$NF$2:$NF$60=X$1),0),$F250-1966)</f>
        <v>3797.904</v>
      </c>
      <c r="Y250" s="4" cm="1">
        <f t="array" ref="Y250">INDEX(GMW!$A$2:$NF$60,MATCH(1,(GMW!$NE$2:$NE$60=Y$3)*(GMW!$ND$2:$ND$60=Y$4)*(GMW!$NF$2:$NF$60=Y$1),0),$F250-1966)</f>
        <v>5024.6620000000003</v>
      </c>
      <c r="Z250" s="4" cm="1">
        <f t="array" ref="Z250">INDEX(GMW!$A$2:$NF$60,MATCH(1,(GMW!$NE$2:$NE$60=Z$3)*(GMW!$ND$2:$ND$60=Z$4)*(GMW!$NF$2:$NF$60=Z$1),0),$F250-1966)</f>
        <v>3963.4490000000001</v>
      </c>
      <c r="AA250" s="4" cm="1">
        <f t="array" ref="AA250">INDEX(GMW!$A$2:$NF$60,MATCH(1,(GMW!$NE$2:$NE$60=AA$3)*(GMW!$ND$2:$ND$60=AA$4)*(GMW!$NF$2:$NF$60=AA$1),0),$F250-1966)</f>
        <v>4310573</v>
      </c>
      <c r="AB250" s="4" cm="1">
        <f t="array" ref="AB250">INDEX(GMW!$A$2:$NF$60,MATCH(1,(GMW!$NE$2:$NE$60=AB$3)*(GMW!$ND$2:$ND$60=AB$4)*(GMW!$NF$2:$NF$60=AB$1),0),$F250-1966)</f>
        <v>1012925</v>
      </c>
      <c r="AC250" s="4" cm="1">
        <f t="array" ref="AC250">INDEX(GMW!$A$2:$NF$60,MATCH(1,(GMW!$NE$2:$NE$60=AC$3)*(GMW!$ND$2:$ND$60=AC$4)*(GMW!$NF$2:$NF$60=AC$1),0),$F250-1966)</f>
        <v>10563.5</v>
      </c>
      <c r="AD250" s="4" cm="1">
        <f t="array" ref="AD250">INDEX(GMW!$A$2:$NF$60,MATCH(1,(GMW!$NE$2:$NE$60=AD$3)*(GMW!$ND$2:$ND$60=AD$4)*(GMW!$NF$2:$NF$60=AD$1),0),$F250-1966)</f>
        <v>176086.6</v>
      </c>
      <c r="AE250" s="4" cm="1">
        <f t="array" ref="AE250">INDEX(GMW!$A$2:$NF$60,MATCH(1,(GMW!$NE$2:$NE$60=AE$3)*(GMW!$ND$2:$ND$60=AE$4)*(GMW!$NF$2:$NF$60=AE$1),0),$F250-1966)</f>
        <v>1501.4159999999999</v>
      </c>
      <c r="AF250" s="4" cm="1">
        <f t="array" ref="AF250">INDEX(GMW!$A$2:$NF$60,MATCH(1,(GMW!$NE$2:$NE$60=AF$3)*(GMW!$ND$2:$ND$60=AF$4)*(GMW!$NF$2:$NF$60=AF$1),0),$F250-1966)</f>
        <v>973.22249999999997</v>
      </c>
      <c r="AG250" s="4" cm="1">
        <f t="array" ref="AG250">INDEX(GMW!$A$2:$NF$60,MATCH(1,(GMW!$NE$2:$NE$60=AG$3)*(GMW!$ND$2:$ND$60=AG$4)*(GMW!$NF$2:$NF$60=AG$1),0),$F250-1966)</f>
        <v>680.35580000000004</v>
      </c>
      <c r="AH250" s="4" cm="1">
        <f t="array" ref="AH250">INDEX(GMW!$A$2:$NF$60,MATCH(1,(GMW!$NE$2:$NE$60=AH$3)*(GMW!$ND$2:$ND$60=AH$4)*(GMW!$NF$2:$NF$60=AH$1),0),$F250-1966)</f>
        <v>1083526</v>
      </c>
    </row>
    <row r="251" spans="1:34" x14ac:dyDescent="0.25">
      <c r="A251" s="4">
        <v>2034</v>
      </c>
      <c r="B251" s="4">
        <f t="shared" si="78"/>
        <v>2034</v>
      </c>
      <c r="C251" s="4">
        <f t="shared" si="78"/>
        <v>2033</v>
      </c>
      <c r="D251" s="4">
        <f t="shared" si="78"/>
        <v>2033</v>
      </c>
      <c r="F251" s="4">
        <f t="shared" si="80"/>
        <v>2217</v>
      </c>
      <c r="G251" s="4" cm="1">
        <f t="array" ref="G251">INDEX(GMW!$A$2:$NF$60,MATCH(1,(GMW!$NE$2:$NE$60=G$3)*(GMW!$ND$2:$ND$60=G$4)*(GMW!$NF$2:$NF$60=G$1),0),$F251-1966)</f>
        <v>737531.2</v>
      </c>
      <c r="H251" s="4" cm="1">
        <f t="array" ref="H251">INDEX(GMW!$A$2:$NF$60,MATCH(1,(GMW!$NE$2:$NE$60=H$3)*(GMW!$ND$2:$ND$60=H$4)*(GMW!$NF$2:$NF$60=H$1),0),$F251-1966)</f>
        <v>7069.7520000000004</v>
      </c>
      <c r="I251" s="4" cm="1">
        <f t="array" ref="I251">INDEX(GMW!$A$2:$NF$60,MATCH(1,(GMW!$NE$2:$NE$60=I$3)*(GMW!$ND$2:$ND$60=I$4)*(GMW!$NF$2:$NF$60=I$1),0),$F251-1966)</f>
        <v>142363</v>
      </c>
      <c r="J251" s="4" cm="1">
        <f t="array" ref="J251">INDEX(GMW!$A$2:$NF$60,MATCH(1,(GMW!$NE$2:$NE$60=J$3)*(GMW!$ND$2:$ND$60=J$4)*(GMW!$NF$2:$NF$60=J$1),0),$F251-1966)</f>
        <v>1001.509</v>
      </c>
      <c r="K251" s="4" cm="1">
        <f t="array" ref="K251">INDEX(GMW!$A$2:$NF$60,MATCH(1,(GMW!$NE$2:$NE$60=K$3)*(GMW!$ND$2:$ND$60=K$4)*(GMW!$NF$2:$NF$60=K$1),0),$F251-1966)</f>
        <v>723.77</v>
      </c>
      <c r="L251" s="4" cm="1">
        <f t="array" ref="L251">INDEX(GMW!$A$2:$NF$60,MATCH(1,(GMW!$NE$2:$NE$60=L$3)*(GMW!$ND$2:$ND$60=L$4)*(GMW!$NF$2:$NF$60=L$1),0),$F251-1966)</f>
        <v>508.59519999999998</v>
      </c>
      <c r="M251" s="4" cm="1">
        <f t="array" ref="M251">INDEX(GMW!$A$2:$NF$60,MATCH(1,(GMW!$NE$2:$NE$60=M$3)*(GMW!$ND$2:$ND$60=M$4)*(GMW!$NF$2:$NF$60=M$1),0),$F251-1966)</f>
        <v>720852</v>
      </c>
      <c r="N251" s="4" cm="1">
        <f t="array" ref="N251">INDEX(GMW!$A$2:$NF$60,MATCH(1,(GMW!$NE$2:$NE$60=N$3)*(GMW!$ND$2:$ND$60=N$4)*(GMW!$NF$2:$NF$60=N$1),0),$F251-1966)</f>
        <v>4558</v>
      </c>
      <c r="O251" s="4" cm="1">
        <f t="array" ref="O251">INDEX(GMW!$A$2:$NF$60,MATCH(1,(GMW!$NE$2:$NE$60=O$3)*(GMW!$ND$2:$ND$60=O$4)*(GMW!$NF$2:$NF$60=O$1),0),$F251-1966)</f>
        <v>-918.27149999999995</v>
      </c>
      <c r="P251" s="4" cm="1">
        <f t="array" ref="P251">INDEX(GMW!$A$2:$NF$60,MATCH(1,(GMW!$NE$2:$NE$60=P$3)*(GMW!$ND$2:$ND$60=P$4)*(GMW!$NF$2:$NF$60=P$1),0),$F251-1966)</f>
        <v>-2577.125</v>
      </c>
      <c r="Q251" s="4" cm="1">
        <f t="array" ref="Q251">INDEX(GMW!$A$2:$NF$60,MATCH(1,(GMW!$NE$2:$NE$60=Q$3)*(GMW!$ND$2:$ND$60=Q$4)*(GMW!$NF$2:$NF$60=Q$1),0),$F251-1966)</f>
        <v>-27.839230000000001</v>
      </c>
      <c r="R251" s="4" cm="1">
        <f t="array" ref="R251">INDEX(GMW!$A$2:$NF$60,MATCH(1,(GMW!$NE$2:$NE$60=R$3)*(GMW!$ND$2:$ND$60=R$4)*(GMW!$NF$2:$NF$60=R$1),0),$F251-1966)</f>
        <v>-35.252809999999997</v>
      </c>
      <c r="S251" s="4" cm="1">
        <f t="array" ref="S251">INDEX(GMW!$A$2:$NF$60,MATCH(1,(GMW!$NE$2:$NE$60=S$3)*(GMW!$ND$2:$ND$60=S$4)*(GMW!$NF$2:$NF$60=S$1),0),$F251-1966)</f>
        <v>-13.648199999999999</v>
      </c>
      <c r="T251" s="4" cm="1">
        <f t="array" ref="T251">INDEX(GMW!$A$2:$NF$60,MATCH(1,(GMW!$NE$2:$NE$60=T$3)*(GMW!$ND$2:$ND$60=T$4)*(GMW!$NF$2:$NF$60=T$1),0),$F251-1966)</f>
        <v>-27686.28</v>
      </c>
      <c r="U251" s="4" cm="1">
        <f t="array" ref="U251">INDEX(GMW!$A$2:$NF$60,MATCH(1,(GMW!$NE$2:$NE$60=U$3)*(GMW!$ND$2:$ND$60=U$4)*(GMW!$NF$2:$NF$60=U$1),0),$F251-1966)</f>
        <v>3883458</v>
      </c>
      <c r="V251" s="4" cm="1">
        <f t="array" ref="V251">INDEX(GMW!$A$2:$NF$60,MATCH(1,(GMW!$NE$2:$NE$60=V$3)*(GMW!$ND$2:$ND$60=V$4)*(GMW!$NF$2:$NF$60=V$1),0),$F251-1966)</f>
        <v>66702.070000000007</v>
      </c>
      <c r="W251" s="4" cm="1">
        <f t="array" ref="W251">INDEX(GMW!$A$2:$NF$60,MATCH(1,(GMW!$NE$2:$NE$60=W$3)*(GMW!$ND$2:$ND$60=W$4)*(GMW!$NF$2:$NF$60=W$1),0),$F251-1966)</f>
        <v>1525496</v>
      </c>
      <c r="X251" s="4" cm="1">
        <f t="array" ref="X251">INDEX(GMW!$A$2:$NF$60,MATCH(1,(GMW!$NE$2:$NE$60=X$3)*(GMW!$ND$2:$ND$60=X$4)*(GMW!$NF$2:$NF$60=X$1),0),$F251-1966)</f>
        <v>3825.7440000000001</v>
      </c>
      <c r="Y251" s="4" cm="1">
        <f t="array" ref="Y251">INDEX(GMW!$A$2:$NF$60,MATCH(1,(GMW!$NE$2:$NE$60=Y$3)*(GMW!$ND$2:$ND$60=Y$4)*(GMW!$NF$2:$NF$60=Y$1),0),$F251-1966)</f>
        <v>5059.915</v>
      </c>
      <c r="Z251" s="4" cm="1">
        <f t="array" ref="Z251">INDEX(GMW!$A$2:$NF$60,MATCH(1,(GMW!$NE$2:$NE$60=Z$3)*(GMW!$ND$2:$ND$60=Z$4)*(GMW!$NF$2:$NF$60=Z$1),0),$F251-1966)</f>
        <v>3977.123</v>
      </c>
      <c r="AA251" s="4" cm="1">
        <f t="array" ref="AA251">INDEX(GMW!$A$2:$NF$60,MATCH(1,(GMW!$NE$2:$NE$60=AA$3)*(GMW!$ND$2:$ND$60=AA$4)*(GMW!$NF$2:$NF$60=AA$1),0),$F251-1966)</f>
        <v>4338259</v>
      </c>
      <c r="AB251" s="4" cm="1">
        <f t="array" ref="AB251">INDEX(GMW!$A$2:$NF$60,MATCH(1,(GMW!$NE$2:$NE$60=AB$3)*(GMW!$ND$2:$ND$60=AB$4)*(GMW!$NF$2:$NF$60=AB$1),0),$F251-1966)</f>
        <v>1022261</v>
      </c>
      <c r="AC251" s="4" cm="1">
        <f t="array" ref="AC251">INDEX(GMW!$A$2:$NF$60,MATCH(1,(GMW!$NE$2:$NE$60=AC$3)*(GMW!$ND$2:$ND$60=AC$4)*(GMW!$NF$2:$NF$60=AC$1),0),$F251-1966)</f>
        <v>10659.65</v>
      </c>
      <c r="AD251" s="4" cm="1">
        <f t="array" ref="AD251">INDEX(GMW!$A$2:$NF$60,MATCH(1,(GMW!$NE$2:$NE$60=AD$3)*(GMW!$ND$2:$ND$60=AD$4)*(GMW!$NF$2:$NF$60=AD$1),0),$F251-1966)</f>
        <v>176682.3</v>
      </c>
      <c r="AE251" s="4" cm="1">
        <f t="array" ref="AE251">INDEX(GMW!$A$2:$NF$60,MATCH(1,(GMW!$NE$2:$NE$60=AE$3)*(GMW!$ND$2:$ND$60=AE$4)*(GMW!$NF$2:$NF$60=AE$1),0),$F251-1966)</f>
        <v>1510.6089999999999</v>
      </c>
      <c r="AF251" s="4" cm="1">
        <f t="array" ref="AF251">INDEX(GMW!$A$2:$NF$60,MATCH(1,(GMW!$NE$2:$NE$60=AF$3)*(GMW!$ND$2:$ND$60=AF$4)*(GMW!$NF$2:$NF$60=AF$1),0),$F251-1966)</f>
        <v>980.20780000000002</v>
      </c>
      <c r="AG251" s="4" cm="1">
        <f t="array" ref="AG251">INDEX(GMW!$A$2:$NF$60,MATCH(1,(GMW!$NE$2:$NE$60=AG$3)*(GMW!$ND$2:$ND$60=AG$4)*(GMW!$NF$2:$NF$60=AG$1),0),$F251-1966)</f>
        <v>684.13900000000001</v>
      </c>
      <c r="AH251" s="4" cm="1">
        <f t="array" ref="AH251">INDEX(GMW!$A$2:$NF$60,MATCH(1,(GMW!$NE$2:$NE$60=AH$3)*(GMW!$ND$2:$ND$60=AH$4)*(GMW!$NF$2:$NF$60=AH$1),0),$F251-1966)</f>
        <v>1093935</v>
      </c>
    </row>
    <row r="252" spans="1:34" x14ac:dyDescent="0.25">
      <c r="B252" s="4">
        <f t="shared" ref="B252:D267" si="84">+B248+1</f>
        <v>2034</v>
      </c>
      <c r="C252" s="4">
        <f t="shared" si="84"/>
        <v>2034</v>
      </c>
      <c r="F252" s="4">
        <f t="shared" si="80"/>
        <v>2218</v>
      </c>
      <c r="G252" s="4" cm="1">
        <f t="array" ref="G252">INDEX(GMW!$A$2:$NF$60,MATCH(1,(GMW!$NE$2:$NE$60=G$3)*(GMW!$ND$2:$ND$60=G$4)*(GMW!$NF$2:$NF$60=G$1),0),$F252-1966)</f>
        <v>740293.6</v>
      </c>
      <c r="H252" s="4" cm="1">
        <f t="array" ref="H252">INDEX(GMW!$A$2:$NF$60,MATCH(1,(GMW!$NE$2:$NE$60=H$3)*(GMW!$ND$2:$ND$60=H$4)*(GMW!$NF$2:$NF$60=H$1),0),$F252-1966)</f>
        <v>7101.5370000000003</v>
      </c>
      <c r="I252" s="4" cm="1">
        <f t="array" ref="I252">INDEX(GMW!$A$2:$NF$60,MATCH(1,(GMW!$NE$2:$NE$60=I$3)*(GMW!$ND$2:$ND$60=I$4)*(GMW!$NF$2:$NF$60=I$1),0),$F252-1966)</f>
        <v>142327.20000000001</v>
      </c>
      <c r="J252" s="4" cm="1">
        <f t="array" ref="J252">INDEX(GMW!$A$2:$NF$60,MATCH(1,(GMW!$NE$2:$NE$60=J$3)*(GMW!$ND$2:$ND$60=J$4)*(GMW!$NF$2:$NF$60=J$1),0),$F252-1966)</f>
        <v>1002.679</v>
      </c>
      <c r="K252" s="4" cm="1">
        <f t="array" ref="K252">INDEX(GMW!$A$2:$NF$60,MATCH(1,(GMW!$NE$2:$NE$60=K$3)*(GMW!$ND$2:$ND$60=K$4)*(GMW!$NF$2:$NF$60=K$1),0),$F252-1966)</f>
        <v>725.22</v>
      </c>
      <c r="L252" s="4" cm="1">
        <f t="array" ref="L252">INDEX(GMW!$A$2:$NF$60,MATCH(1,(GMW!$NE$2:$NE$60=L$3)*(GMW!$ND$2:$ND$60=L$4)*(GMW!$NF$2:$NF$60=L$1),0),$F252-1966)</f>
        <v>508.91849999999999</v>
      </c>
      <c r="M252" s="4" cm="1">
        <f t="array" ref="M252">INDEX(GMW!$A$2:$NF$60,MATCH(1,(GMW!$NE$2:$NE$60=M$3)*(GMW!$ND$2:$ND$60=M$4)*(GMW!$NF$2:$NF$60=M$1),0),$F252-1966)</f>
        <v>724415</v>
      </c>
      <c r="N252" s="4" cm="1">
        <f t="array" ref="N252">INDEX(GMW!$A$2:$NF$60,MATCH(1,(GMW!$NE$2:$NE$60=N$3)*(GMW!$ND$2:$ND$60=N$4)*(GMW!$NF$2:$NF$60=N$1),0),$F252-1966)</f>
        <v>-59256.75</v>
      </c>
      <c r="O252" s="4" cm="1">
        <f t="array" ref="O252">INDEX(GMW!$A$2:$NF$60,MATCH(1,(GMW!$NE$2:$NE$60=O$3)*(GMW!$ND$2:$ND$60=O$4)*(GMW!$NF$2:$NF$60=O$1),0),$F252-1966)</f>
        <v>-925.13959999999997</v>
      </c>
      <c r="P252" s="4" cm="1">
        <f t="array" ref="P252">INDEX(GMW!$A$2:$NF$60,MATCH(1,(GMW!$NE$2:$NE$60=P$3)*(GMW!$ND$2:$ND$60=P$4)*(GMW!$NF$2:$NF$60=P$1),0),$F252-1966)</f>
        <v>-2380.203</v>
      </c>
      <c r="Q252" s="4" cm="1">
        <f t="array" ref="Q252">INDEX(GMW!$A$2:$NF$60,MATCH(1,(GMW!$NE$2:$NE$60=Q$3)*(GMW!$ND$2:$ND$60=Q$4)*(GMW!$NF$2:$NF$60=Q$1),0),$F252-1966)</f>
        <v>-26.572330000000001</v>
      </c>
      <c r="R252" s="4" cm="1">
        <f t="array" ref="R252">INDEX(GMW!$A$2:$NF$60,MATCH(1,(GMW!$NE$2:$NE$60=R$3)*(GMW!$ND$2:$ND$60=R$4)*(GMW!$NF$2:$NF$60=R$1),0),$F252-1966)</f>
        <v>-34.921880000000002</v>
      </c>
      <c r="S252" s="4" cm="1">
        <f t="array" ref="S252">INDEX(GMW!$A$2:$NF$60,MATCH(1,(GMW!$NE$2:$NE$60=S$3)*(GMW!$ND$2:$ND$60=S$4)*(GMW!$NF$2:$NF$60=S$1),0),$F252-1966)</f>
        <v>-13.45218</v>
      </c>
      <c r="T252" s="4" cm="1">
        <f t="array" ref="T252">INDEX(GMW!$A$2:$NF$60,MATCH(1,(GMW!$NE$2:$NE$60=T$3)*(GMW!$ND$2:$ND$60=T$4)*(GMW!$NF$2:$NF$60=T$1),0),$F252-1966)</f>
        <v>-27670.880000000001</v>
      </c>
      <c r="U252" s="4" cm="1">
        <f t="array" ref="U252">INDEX(GMW!$A$2:$NF$60,MATCH(1,(GMW!$NE$2:$NE$60=U$3)*(GMW!$ND$2:$ND$60=U$4)*(GMW!$NF$2:$NF$60=U$1),0),$F252-1966)</f>
        <v>3942714</v>
      </c>
      <c r="V252" s="4" cm="1">
        <f t="array" ref="V252">INDEX(GMW!$A$2:$NF$60,MATCH(1,(GMW!$NE$2:$NE$60=V$3)*(GMW!$ND$2:$ND$60=V$4)*(GMW!$NF$2:$NF$60=V$1),0),$F252-1966)</f>
        <v>67627.210000000006</v>
      </c>
      <c r="W252" s="4" cm="1">
        <f t="array" ref="W252">INDEX(GMW!$A$2:$NF$60,MATCH(1,(GMW!$NE$2:$NE$60=W$3)*(GMW!$ND$2:$ND$60=W$4)*(GMW!$NF$2:$NF$60=W$1),0),$F252-1966)</f>
        <v>1527876</v>
      </c>
      <c r="X252" s="4" cm="1">
        <f t="array" ref="X252">INDEX(GMW!$A$2:$NF$60,MATCH(1,(GMW!$NE$2:$NE$60=X$3)*(GMW!$ND$2:$ND$60=X$4)*(GMW!$NF$2:$NF$60=X$1),0),$F252-1966)</f>
        <v>3852.3159999999998</v>
      </c>
      <c r="Y252" s="4" cm="1">
        <f t="array" ref="Y252">INDEX(GMW!$A$2:$NF$60,MATCH(1,(GMW!$NE$2:$NE$60=Y$3)*(GMW!$ND$2:$ND$60=Y$4)*(GMW!$NF$2:$NF$60=Y$1),0),$F252-1966)</f>
        <v>5094.8370000000004</v>
      </c>
      <c r="Z252" s="4" cm="1">
        <f t="array" ref="Z252">INDEX(GMW!$A$2:$NF$60,MATCH(1,(GMW!$NE$2:$NE$60=Z$3)*(GMW!$ND$2:$ND$60=Z$4)*(GMW!$NF$2:$NF$60=Z$1),0),$F252-1966)</f>
        <v>3990.6</v>
      </c>
      <c r="AA252" s="4" cm="1">
        <f t="array" ref="AA252">INDEX(GMW!$A$2:$NF$60,MATCH(1,(GMW!$NE$2:$NE$60=AA$3)*(GMW!$ND$2:$ND$60=AA$4)*(GMW!$NF$2:$NF$60=AA$1),0),$F252-1966)</f>
        <v>4365930</v>
      </c>
      <c r="AB252" s="4" cm="1">
        <f t="array" ref="AB252">INDEX(GMW!$A$2:$NF$60,MATCH(1,(GMW!$NE$2:$NE$60=AB$3)*(GMW!$ND$2:$ND$60=AB$4)*(GMW!$NF$2:$NF$60=AB$1),0),$F252-1966)</f>
        <v>1031620</v>
      </c>
      <c r="AC252" s="4" cm="1">
        <f t="array" ref="AC252">INDEX(GMW!$A$2:$NF$60,MATCH(1,(GMW!$NE$2:$NE$60=AC$3)*(GMW!$ND$2:$ND$60=AC$4)*(GMW!$NF$2:$NF$60=AC$1),0),$F252-1966)</f>
        <v>10756.59</v>
      </c>
      <c r="AD252" s="4" cm="1">
        <f t="array" ref="AD252">INDEX(GMW!$A$2:$NF$60,MATCH(1,(GMW!$NE$2:$NE$60=AD$3)*(GMW!$ND$2:$ND$60=AD$4)*(GMW!$NF$2:$NF$60=AD$1),0),$F252-1966)</f>
        <v>177277.9</v>
      </c>
      <c r="AE252" s="4" cm="1">
        <f t="array" ref="AE252">INDEX(GMW!$A$2:$NF$60,MATCH(1,(GMW!$NE$2:$NE$60=AE$3)*(GMW!$ND$2:$ND$60=AE$4)*(GMW!$NF$2:$NF$60=AE$1),0),$F252-1966)</f>
        <v>1519.866</v>
      </c>
      <c r="AF252" s="4" cm="1">
        <f t="array" ref="AF252">INDEX(GMW!$A$2:$NF$60,MATCH(1,(GMW!$NE$2:$NE$60=AF$3)*(GMW!$ND$2:$ND$60=AF$4)*(GMW!$NF$2:$NF$60=AF$1),0),$F252-1966)</f>
        <v>987.36659999999995</v>
      </c>
      <c r="AG252" s="4" cm="1">
        <f t="array" ref="AG252">INDEX(GMW!$A$2:$NF$60,MATCH(1,(GMW!$NE$2:$NE$60=AG$3)*(GMW!$ND$2:$ND$60=AG$4)*(GMW!$NF$2:$NF$60=AG$1),0),$F252-1966)</f>
        <v>687.97329999999999</v>
      </c>
      <c r="AH252" s="4" cm="1">
        <f t="array" ref="AH252">INDEX(GMW!$A$2:$NF$60,MATCH(1,(GMW!$NE$2:$NE$60=AH$3)*(GMW!$ND$2:$ND$60=AH$4)*(GMW!$NF$2:$NF$60=AH$1),0),$F252-1966)</f>
        <v>1104449</v>
      </c>
    </row>
    <row r="253" spans="1:34" x14ac:dyDescent="0.25">
      <c r="B253" s="4">
        <f t="shared" si="84"/>
        <v>2034</v>
      </c>
      <c r="C253" s="4">
        <f t="shared" si="84"/>
        <v>2034</v>
      </c>
      <c r="F253" s="4">
        <f t="shared" si="80"/>
        <v>2219</v>
      </c>
      <c r="G253" s="4" cm="1">
        <f t="array" ref="G253">INDEX(GMW!$A$2:$NF$60,MATCH(1,(GMW!$NE$2:$NE$60=G$3)*(GMW!$ND$2:$ND$60=G$4)*(GMW!$NF$2:$NF$60=G$1),0),$F253-1966)</f>
        <v>743059.1</v>
      </c>
      <c r="H253" s="4" cm="1">
        <f t="array" ref="H253">INDEX(GMW!$A$2:$NF$60,MATCH(1,(GMW!$NE$2:$NE$60=H$3)*(GMW!$ND$2:$ND$60=H$4)*(GMW!$NF$2:$NF$60=H$1),0),$F253-1966)</f>
        <v>7133.4520000000002</v>
      </c>
      <c r="I253" s="4" cm="1">
        <f t="array" ref="I253">INDEX(GMW!$A$2:$NF$60,MATCH(1,(GMW!$NE$2:$NE$60=I$3)*(GMW!$ND$2:$ND$60=I$4)*(GMW!$NF$2:$NF$60=I$1),0),$F253-1966)</f>
        <v>142275.29999999999</v>
      </c>
      <c r="J253" s="4" cm="1">
        <f t="array" ref="J253">INDEX(GMW!$A$2:$NF$60,MATCH(1,(GMW!$NE$2:$NE$60=J$3)*(GMW!$ND$2:$ND$60=J$4)*(GMW!$NF$2:$NF$60=J$1),0),$F253-1966)</f>
        <v>1003.801</v>
      </c>
      <c r="K253" s="4" cm="1">
        <f t="array" ref="K253">INDEX(GMW!$A$2:$NF$60,MATCH(1,(GMW!$NE$2:$NE$60=K$3)*(GMW!$ND$2:$ND$60=K$4)*(GMW!$NF$2:$NF$60=K$1),0),$F253-1966)</f>
        <v>726.64</v>
      </c>
      <c r="L253" s="4" cm="1">
        <f t="array" ref="L253">INDEX(GMW!$A$2:$NF$60,MATCH(1,(GMW!$NE$2:$NE$60=L$3)*(GMW!$ND$2:$ND$60=L$4)*(GMW!$NF$2:$NF$60=L$1),0),$F253-1966)</f>
        <v>509.24380000000002</v>
      </c>
      <c r="M253" s="4" cm="1">
        <f t="array" ref="M253">INDEX(GMW!$A$2:$NF$60,MATCH(1,(GMW!$NE$2:$NE$60=M$3)*(GMW!$ND$2:$ND$60=M$4)*(GMW!$NF$2:$NF$60=M$1),0),$F253-1966)</f>
        <v>727992.8</v>
      </c>
      <c r="N253" s="4" cm="1">
        <f t="array" ref="N253">INDEX(GMW!$A$2:$NF$60,MATCH(1,(GMW!$NE$2:$NE$60=N$3)*(GMW!$ND$2:$ND$60=N$4)*(GMW!$NF$2:$NF$60=N$1),0),$F253-1966)</f>
        <v>-28809.06</v>
      </c>
      <c r="O253" s="4" cm="1">
        <f t="array" ref="O253">INDEX(GMW!$A$2:$NF$60,MATCH(1,(GMW!$NE$2:$NE$60=O$3)*(GMW!$ND$2:$ND$60=O$4)*(GMW!$NF$2:$NF$60=O$1),0),$F253-1966)</f>
        <v>-930.82039999999995</v>
      </c>
      <c r="P253" s="4" cm="1">
        <f t="array" ref="P253">INDEX(GMW!$A$2:$NF$60,MATCH(1,(GMW!$NE$2:$NE$60=P$3)*(GMW!$ND$2:$ND$60=P$4)*(GMW!$NF$2:$NF$60=P$1),0),$F253-1966)</f>
        <v>-2200.2269999999999</v>
      </c>
      <c r="Q253" s="4" cm="1">
        <f t="array" ref="Q253">INDEX(GMW!$A$2:$NF$60,MATCH(1,(GMW!$NE$2:$NE$60=Q$3)*(GMW!$ND$2:$ND$60=Q$4)*(GMW!$NF$2:$NF$60=Q$1),0),$F253-1966)</f>
        <v>-25.327940000000002</v>
      </c>
      <c r="R253" s="4" cm="1">
        <f t="array" ref="R253">INDEX(GMW!$A$2:$NF$60,MATCH(1,(GMW!$NE$2:$NE$60=R$3)*(GMW!$ND$2:$ND$60=R$4)*(GMW!$NF$2:$NF$60=R$1),0),$F253-1966)</f>
        <v>-34.654850000000003</v>
      </c>
      <c r="S253" s="4" cm="1">
        <f t="array" ref="S253">INDEX(GMW!$A$2:$NF$60,MATCH(1,(GMW!$NE$2:$NE$60=S$3)*(GMW!$ND$2:$ND$60=S$4)*(GMW!$NF$2:$NF$60=S$1),0),$F253-1966)</f>
        <v>-13.259</v>
      </c>
      <c r="T253" s="4" cm="1">
        <f t="array" ref="T253">INDEX(GMW!$A$2:$NF$60,MATCH(1,(GMW!$NE$2:$NE$60=T$3)*(GMW!$ND$2:$ND$60=T$4)*(GMW!$NF$2:$NF$60=T$1),0),$F253-1966)</f>
        <v>-27607.97</v>
      </c>
      <c r="U253" s="4" cm="1">
        <f t="array" ref="U253">INDEX(GMW!$A$2:$NF$60,MATCH(1,(GMW!$NE$2:$NE$60=U$3)*(GMW!$ND$2:$ND$60=U$4)*(GMW!$NF$2:$NF$60=U$1),0),$F253-1966)</f>
        <v>3971523</v>
      </c>
      <c r="V253" s="4" cm="1">
        <f t="array" ref="V253">INDEX(GMW!$A$2:$NF$60,MATCH(1,(GMW!$NE$2:$NE$60=V$3)*(GMW!$ND$2:$ND$60=V$4)*(GMW!$NF$2:$NF$60=V$1),0),$F253-1966)</f>
        <v>68558.03</v>
      </c>
      <c r="W253" s="4" cm="1">
        <f t="array" ref="W253">INDEX(GMW!$A$2:$NF$60,MATCH(1,(GMW!$NE$2:$NE$60=W$3)*(GMW!$ND$2:$ND$60=W$4)*(GMW!$NF$2:$NF$60=W$1),0),$F253-1966)</f>
        <v>1530076</v>
      </c>
      <c r="X253" s="4" cm="1">
        <f t="array" ref="X253">INDEX(GMW!$A$2:$NF$60,MATCH(1,(GMW!$NE$2:$NE$60=X$3)*(GMW!$ND$2:$ND$60=X$4)*(GMW!$NF$2:$NF$60=X$1),0),$F253-1966)</f>
        <v>3877.6439999999998</v>
      </c>
      <c r="Y253" s="4" cm="1">
        <f t="array" ref="Y253">INDEX(GMW!$A$2:$NF$60,MATCH(1,(GMW!$NE$2:$NE$60=Y$3)*(GMW!$ND$2:$ND$60=Y$4)*(GMW!$NF$2:$NF$60=Y$1),0),$F253-1966)</f>
        <v>5129.4920000000002</v>
      </c>
      <c r="Z253" s="4" cm="1">
        <f t="array" ref="Z253">INDEX(GMW!$A$2:$NF$60,MATCH(1,(GMW!$NE$2:$NE$60=Z$3)*(GMW!$ND$2:$ND$60=Z$4)*(GMW!$NF$2:$NF$60=Z$1),0),$F253-1966)</f>
        <v>4003.8850000000002</v>
      </c>
      <c r="AA253" s="4" cm="1">
        <f t="array" ref="AA253">INDEX(GMW!$A$2:$NF$60,MATCH(1,(GMW!$NE$2:$NE$60=AA$3)*(GMW!$ND$2:$ND$60=AA$4)*(GMW!$NF$2:$NF$60=AA$1),0),$F253-1966)</f>
        <v>4393538</v>
      </c>
      <c r="AB253" s="4" cm="1">
        <f t="array" ref="AB253">INDEX(GMW!$A$2:$NF$60,MATCH(1,(GMW!$NE$2:$NE$60=AB$3)*(GMW!$ND$2:$ND$60=AB$4)*(GMW!$NF$2:$NF$60=AB$1),0),$F253-1966)</f>
        <v>1041056</v>
      </c>
      <c r="AC253" s="4" cm="1">
        <f t="array" ref="AC253">INDEX(GMW!$A$2:$NF$60,MATCH(1,(GMW!$NE$2:$NE$60=AC$3)*(GMW!$ND$2:$ND$60=AC$4)*(GMW!$NF$2:$NF$60=AC$1),0),$F253-1966)</f>
        <v>10854.41</v>
      </c>
      <c r="AD253" s="4" cm="1">
        <f t="array" ref="AD253">INDEX(GMW!$A$2:$NF$60,MATCH(1,(GMW!$NE$2:$NE$60=AD$3)*(GMW!$ND$2:$ND$60=AD$4)*(GMW!$NF$2:$NF$60=AD$1),0),$F253-1966)</f>
        <v>177854.2</v>
      </c>
      <c r="AE253" s="4" cm="1">
        <f t="array" ref="AE253">INDEX(GMW!$A$2:$NF$60,MATCH(1,(GMW!$NE$2:$NE$60=AE$3)*(GMW!$ND$2:$ND$60=AE$4)*(GMW!$NF$2:$NF$60=AE$1),0),$F253-1966)</f>
        <v>1529.114</v>
      </c>
      <c r="AF253" s="4" cm="1">
        <f t="array" ref="AF253">INDEX(GMW!$A$2:$NF$60,MATCH(1,(GMW!$NE$2:$NE$60=AF$3)*(GMW!$ND$2:$ND$60=AF$4)*(GMW!$NF$2:$NF$60=AF$1),0),$F253-1966)</f>
        <v>994.54729999999995</v>
      </c>
      <c r="AG253" s="4" cm="1">
        <f t="array" ref="AG253">INDEX(GMW!$A$2:$NF$60,MATCH(1,(GMW!$NE$2:$NE$60=AG$3)*(GMW!$ND$2:$ND$60=AG$4)*(GMW!$NF$2:$NF$60=AG$1),0),$F253-1966)</f>
        <v>691.83590000000004</v>
      </c>
      <c r="AH253" s="4" cm="1">
        <f t="array" ref="AH253">INDEX(GMW!$A$2:$NF$60,MATCH(1,(GMW!$NE$2:$NE$60=AH$3)*(GMW!$ND$2:$ND$60=AH$4)*(GMW!$NF$2:$NF$60=AH$1),0),$F253-1966)</f>
        <v>1115051</v>
      </c>
    </row>
    <row r="254" spans="1:34" x14ac:dyDescent="0.25">
      <c r="B254" s="4">
        <f t="shared" si="84"/>
        <v>2034</v>
      </c>
      <c r="C254" s="4">
        <f t="shared" si="84"/>
        <v>2034</v>
      </c>
      <c r="E254" s="4">
        <f t="shared" ref="E254" si="85">+E250+1</f>
        <v>2034</v>
      </c>
      <c r="F254" s="4">
        <f t="shared" si="80"/>
        <v>2220</v>
      </c>
      <c r="G254" s="4" cm="1">
        <f t="array" ref="G254">INDEX(GMW!$A$2:$NF$60,MATCH(1,(GMW!$NE$2:$NE$60=G$3)*(GMW!$ND$2:$ND$60=G$4)*(GMW!$NF$2:$NF$60=G$1),0),$F254-1966)</f>
        <v>745779</v>
      </c>
      <c r="H254" s="4" cm="1">
        <f t="array" ref="H254">INDEX(GMW!$A$2:$NF$60,MATCH(1,(GMW!$NE$2:$NE$60=H$3)*(GMW!$ND$2:$ND$60=H$4)*(GMW!$NF$2:$NF$60=H$1),0),$F254-1966)</f>
        <v>7165.4960000000001</v>
      </c>
      <c r="I254" s="4" cm="1">
        <f t="array" ref="I254">INDEX(GMW!$A$2:$NF$60,MATCH(1,(GMW!$NE$2:$NE$60=I$3)*(GMW!$ND$2:$ND$60=I$4)*(GMW!$NF$2:$NF$60=I$1),0),$F254-1966)</f>
        <v>142206.9</v>
      </c>
      <c r="J254" s="4" cm="1">
        <f t="array" ref="J254">INDEX(GMW!$A$2:$NF$60,MATCH(1,(GMW!$NE$2:$NE$60=J$3)*(GMW!$ND$2:$ND$60=J$4)*(GMW!$NF$2:$NF$60=J$1),0),$F254-1966)</f>
        <v>1004.928</v>
      </c>
      <c r="K254" s="4" cm="1">
        <f t="array" ref="K254">INDEX(GMW!$A$2:$NF$60,MATCH(1,(GMW!$NE$2:$NE$60=K$3)*(GMW!$ND$2:$ND$60=K$4)*(GMW!$NF$2:$NF$60=K$1),0),$F254-1966)</f>
        <v>727.83</v>
      </c>
      <c r="L254" s="4" cm="1">
        <f t="array" ref="L254">INDEX(GMW!$A$2:$NF$60,MATCH(1,(GMW!$NE$2:$NE$60=L$3)*(GMW!$ND$2:$ND$60=L$4)*(GMW!$NF$2:$NF$60=L$1),0),$F254-1966)</f>
        <v>509.56849999999997</v>
      </c>
      <c r="M254" s="4" cm="1">
        <f t="array" ref="M254">INDEX(GMW!$A$2:$NF$60,MATCH(1,(GMW!$NE$2:$NE$60=M$3)*(GMW!$ND$2:$ND$60=M$4)*(GMW!$NF$2:$NF$60=M$1),0),$F254-1966)</f>
        <v>731572.6</v>
      </c>
      <c r="N254" s="4" cm="1">
        <f t="array" ref="N254">INDEX(GMW!$A$2:$NF$60,MATCH(1,(GMW!$NE$2:$NE$60=N$3)*(GMW!$ND$2:$ND$60=N$4)*(GMW!$NF$2:$NF$60=N$1),0),$F254-1966)</f>
        <v>-55715.06</v>
      </c>
      <c r="O254" s="4" cm="1">
        <f t="array" ref="O254">INDEX(GMW!$A$2:$NF$60,MATCH(1,(GMW!$NE$2:$NE$60=O$3)*(GMW!$ND$2:$ND$60=O$4)*(GMW!$NF$2:$NF$60=O$1),0),$F254-1966)</f>
        <v>-935.44349999999997</v>
      </c>
      <c r="P254" s="4" cm="1">
        <f t="array" ref="P254">INDEX(GMW!$A$2:$NF$60,MATCH(1,(GMW!$NE$2:$NE$60=P$3)*(GMW!$ND$2:$ND$60=P$4)*(GMW!$NF$2:$NF$60=P$1),0),$F254-1966)</f>
        <v>-2045.6410000000001</v>
      </c>
      <c r="Q254" s="4" cm="1">
        <f t="array" ref="Q254">INDEX(GMW!$A$2:$NF$60,MATCH(1,(GMW!$NE$2:$NE$60=Q$3)*(GMW!$ND$2:$ND$60=Q$4)*(GMW!$NF$2:$NF$60=Q$1),0),$F254-1966)</f>
        <v>-24.294309999999999</v>
      </c>
      <c r="R254" s="4" cm="1">
        <f t="array" ref="R254">INDEX(GMW!$A$2:$NF$60,MATCH(1,(GMW!$NE$2:$NE$60=R$3)*(GMW!$ND$2:$ND$60=R$4)*(GMW!$NF$2:$NF$60=R$1),0),$F254-1966)</f>
        <v>-34.489930000000001</v>
      </c>
      <c r="S254" s="4" cm="1">
        <f t="array" ref="S254">INDEX(GMW!$A$2:$NF$60,MATCH(1,(GMW!$NE$2:$NE$60=S$3)*(GMW!$ND$2:$ND$60=S$4)*(GMW!$NF$2:$NF$60=S$1),0),$F254-1966)</f>
        <v>-13.09183</v>
      </c>
      <c r="T254" s="4" cm="1">
        <f t="array" ref="T254">INDEX(GMW!$A$2:$NF$60,MATCH(1,(GMW!$NE$2:$NE$60=T$3)*(GMW!$ND$2:$ND$60=T$4)*(GMW!$NF$2:$NF$60=T$1),0),$F254-1966)</f>
        <v>-27586.31</v>
      </c>
      <c r="U254" s="4" cm="1">
        <f t="array" ref="U254">INDEX(GMW!$A$2:$NF$60,MATCH(1,(GMW!$NE$2:$NE$60=U$3)*(GMW!$ND$2:$ND$60=U$4)*(GMW!$NF$2:$NF$60=U$1),0),$F254-1966)</f>
        <v>4027238</v>
      </c>
      <c r="V254" s="4" cm="1">
        <f t="array" ref="V254">INDEX(GMW!$A$2:$NF$60,MATCH(1,(GMW!$NE$2:$NE$60=V$3)*(GMW!$ND$2:$ND$60=V$4)*(GMW!$NF$2:$NF$60=V$1),0),$F254-1966)</f>
        <v>69493.48</v>
      </c>
      <c r="W254" s="4" cm="1">
        <f t="array" ref="W254">INDEX(GMW!$A$2:$NF$60,MATCH(1,(GMW!$NE$2:$NE$60=W$3)*(GMW!$ND$2:$ND$60=W$4)*(GMW!$NF$2:$NF$60=W$1),0),$F254-1966)</f>
        <v>1532122</v>
      </c>
      <c r="X254" s="4" cm="1">
        <f t="array" ref="X254">INDEX(GMW!$A$2:$NF$60,MATCH(1,(GMW!$NE$2:$NE$60=X$3)*(GMW!$ND$2:$ND$60=X$4)*(GMW!$NF$2:$NF$60=X$1),0),$F254-1966)</f>
        <v>3901.9380000000001</v>
      </c>
      <c r="Y254" s="4" cm="1">
        <f t="array" ref="Y254">INDEX(GMW!$A$2:$NF$60,MATCH(1,(GMW!$NE$2:$NE$60=Y$3)*(GMW!$ND$2:$ND$60=Y$4)*(GMW!$NF$2:$NF$60=Y$1),0),$F254-1966)</f>
        <v>5163.9809999999998</v>
      </c>
      <c r="Z254" s="4" cm="1">
        <f t="array" ref="Z254">INDEX(GMW!$A$2:$NF$60,MATCH(1,(GMW!$NE$2:$NE$60=Z$3)*(GMW!$ND$2:$ND$60=Z$4)*(GMW!$NF$2:$NF$60=Z$1),0),$F254-1966)</f>
        <v>4017.002</v>
      </c>
      <c r="AA254" s="4" cm="1">
        <f t="array" ref="AA254">INDEX(GMW!$A$2:$NF$60,MATCH(1,(GMW!$NE$2:$NE$60=AA$3)*(GMW!$ND$2:$ND$60=AA$4)*(GMW!$NF$2:$NF$60=AA$1),0),$F254-1966)</f>
        <v>4421125</v>
      </c>
      <c r="AB254" s="4" cm="1">
        <f t="array" ref="AB254">INDEX(GMW!$A$2:$NF$60,MATCH(1,(GMW!$NE$2:$NE$60=AB$3)*(GMW!$ND$2:$ND$60=AB$4)*(GMW!$NF$2:$NF$60=AB$1),0),$F254-1966)</f>
        <v>1050498</v>
      </c>
      <c r="AC254" s="4" cm="1">
        <f t="array" ref="AC254">INDEX(GMW!$A$2:$NF$60,MATCH(1,(GMW!$NE$2:$NE$60=AC$3)*(GMW!$ND$2:$ND$60=AC$4)*(GMW!$NF$2:$NF$60=AC$1),0),$F254-1966)</f>
        <v>10953.08</v>
      </c>
      <c r="AD254" s="4" cm="1">
        <f t="array" ref="AD254">INDEX(GMW!$A$2:$NF$60,MATCH(1,(GMW!$NE$2:$NE$60=AD$3)*(GMW!$ND$2:$ND$60=AD$4)*(GMW!$NF$2:$NF$60=AD$1),0),$F254-1966)</f>
        <v>178409.2</v>
      </c>
      <c r="AE254" s="4" cm="1">
        <f t="array" ref="AE254">INDEX(GMW!$A$2:$NF$60,MATCH(1,(GMW!$NE$2:$NE$60=AE$3)*(GMW!$ND$2:$ND$60=AE$4)*(GMW!$NF$2:$NF$60=AE$1),0),$F254-1966)</f>
        <v>1538.425</v>
      </c>
      <c r="AF254" s="4" cm="1">
        <f t="array" ref="AF254">INDEX(GMW!$A$2:$NF$60,MATCH(1,(GMW!$NE$2:$NE$60=AF$3)*(GMW!$ND$2:$ND$60=AF$4)*(GMW!$NF$2:$NF$60=AF$1),0),$F254-1966)</f>
        <v>1001.44</v>
      </c>
      <c r="AG254" s="4" cm="1">
        <f t="array" ref="AG254">INDEX(GMW!$A$2:$NF$60,MATCH(1,(GMW!$NE$2:$NE$60=AG$3)*(GMW!$ND$2:$ND$60=AG$4)*(GMW!$NF$2:$NF$60=AG$1),0),$F254-1966)</f>
        <v>695.70230000000004</v>
      </c>
      <c r="AH254" s="4" cm="1">
        <f t="array" ref="AH254">INDEX(GMW!$A$2:$NF$60,MATCH(1,(GMW!$NE$2:$NE$60=AH$3)*(GMW!$ND$2:$ND$60=AH$4)*(GMW!$NF$2:$NF$60=AH$1),0),$F254-1966)</f>
        <v>1125745</v>
      </c>
    </row>
    <row r="255" spans="1:34" x14ac:dyDescent="0.25">
      <c r="A255" s="4">
        <v>2035</v>
      </c>
      <c r="B255" s="4">
        <f t="shared" si="84"/>
        <v>2035</v>
      </c>
      <c r="C255" s="4">
        <f t="shared" si="84"/>
        <v>2034</v>
      </c>
      <c r="D255" s="4">
        <f t="shared" si="84"/>
        <v>2034</v>
      </c>
      <c r="F255" s="4">
        <f t="shared" si="80"/>
        <v>2221</v>
      </c>
      <c r="G255" s="4" cm="1">
        <f t="array" ref="G255">INDEX(GMW!$A$2:$NF$60,MATCH(1,(GMW!$NE$2:$NE$60=G$3)*(GMW!$ND$2:$ND$60=G$4)*(GMW!$NF$2:$NF$60=G$1),0),$F255-1966)</f>
        <v>748598.8</v>
      </c>
      <c r="H255" s="4" cm="1">
        <f t="array" ref="H255">INDEX(GMW!$A$2:$NF$60,MATCH(1,(GMW!$NE$2:$NE$60=H$3)*(GMW!$ND$2:$ND$60=H$4)*(GMW!$NF$2:$NF$60=H$1),0),$F255-1966)</f>
        <v>7197.6710000000003</v>
      </c>
      <c r="I255" s="4" cm="1">
        <f t="array" ref="I255">INDEX(GMW!$A$2:$NF$60,MATCH(1,(GMW!$NE$2:$NE$60=I$3)*(GMW!$ND$2:$ND$60=I$4)*(GMW!$NF$2:$NF$60=I$1),0),$F255-1966)</f>
        <v>142142.79999999999</v>
      </c>
      <c r="J255" s="4" cm="1">
        <f t="array" ref="J255">INDEX(GMW!$A$2:$NF$60,MATCH(1,(GMW!$NE$2:$NE$60=J$3)*(GMW!$ND$2:$ND$60=J$4)*(GMW!$NF$2:$NF$60=J$1),0),$F255-1966)</f>
        <v>1006.126</v>
      </c>
      <c r="K255" s="4" cm="1">
        <f t="array" ref="K255">INDEX(GMW!$A$2:$NF$60,MATCH(1,(GMW!$NE$2:$NE$60=K$3)*(GMW!$ND$2:$ND$60=K$4)*(GMW!$NF$2:$NF$60=K$1),0),$F255-1966)</f>
        <v>729.3</v>
      </c>
      <c r="L255" s="4" cm="1">
        <f t="array" ref="L255">INDEX(GMW!$A$2:$NF$60,MATCH(1,(GMW!$NE$2:$NE$60=L$3)*(GMW!$ND$2:$ND$60=L$4)*(GMW!$NF$2:$NF$60=L$1),0),$F255-1966)</f>
        <v>509.88350000000003</v>
      </c>
      <c r="M255" s="4" cm="1">
        <f t="array" ref="M255">INDEX(GMW!$A$2:$NF$60,MATCH(1,(GMW!$NE$2:$NE$60=M$3)*(GMW!$ND$2:$ND$60=M$4)*(GMW!$NF$2:$NF$60=M$1),0),$F255-1966)</f>
        <v>734993.9</v>
      </c>
      <c r="N255" s="4" cm="1">
        <f t="array" ref="N255">INDEX(GMW!$A$2:$NF$60,MATCH(1,(GMW!$NE$2:$NE$60=N$3)*(GMW!$ND$2:$ND$60=N$4)*(GMW!$NF$2:$NF$60=N$1),0),$F255-1966)</f>
        <v>3065.9380000000001</v>
      </c>
      <c r="O255" s="4" cm="1">
        <f t="array" ref="O255">INDEX(GMW!$A$2:$NF$60,MATCH(1,(GMW!$NE$2:$NE$60=O$3)*(GMW!$ND$2:$ND$60=O$4)*(GMW!$NF$2:$NF$60=O$1),0),$F255-1966)</f>
        <v>-941.01440000000002</v>
      </c>
      <c r="P255" s="4" cm="1">
        <f t="array" ref="P255">INDEX(GMW!$A$2:$NF$60,MATCH(1,(GMW!$NE$2:$NE$60=P$3)*(GMW!$ND$2:$ND$60=P$4)*(GMW!$NF$2:$NF$60=P$1),0),$F255-1966)</f>
        <v>-1920.75</v>
      </c>
      <c r="Q255" s="4" cm="1">
        <f t="array" ref="Q255">INDEX(GMW!$A$2:$NF$60,MATCH(1,(GMW!$NE$2:$NE$60=Q$3)*(GMW!$ND$2:$ND$60=Q$4)*(GMW!$NF$2:$NF$60=Q$1),0),$F255-1966)</f>
        <v>-23.575869999999998</v>
      </c>
      <c r="R255" s="4" cm="1">
        <f t="array" ref="R255">INDEX(GMW!$A$2:$NF$60,MATCH(1,(GMW!$NE$2:$NE$60=R$3)*(GMW!$ND$2:$ND$60=R$4)*(GMW!$NF$2:$NF$60=R$1),0),$F255-1966)</f>
        <v>-34.304989999999997</v>
      </c>
      <c r="S255" s="4" cm="1">
        <f t="array" ref="S255">INDEX(GMW!$A$2:$NF$60,MATCH(1,(GMW!$NE$2:$NE$60=S$3)*(GMW!$ND$2:$ND$60=S$4)*(GMW!$NF$2:$NF$60=S$1),0),$F255-1966)</f>
        <v>-12.909000000000001</v>
      </c>
      <c r="T255" s="4" cm="1">
        <f t="array" ref="T255">INDEX(GMW!$A$2:$NF$60,MATCH(1,(GMW!$NE$2:$NE$60=T$3)*(GMW!$ND$2:$ND$60=T$4)*(GMW!$NF$2:$NF$60=T$1),0),$F255-1966)</f>
        <v>-27740.53</v>
      </c>
      <c r="U255" s="4" cm="1">
        <f t="array" ref="U255">INDEX(GMW!$A$2:$NF$60,MATCH(1,(GMW!$NE$2:$NE$60=U$3)*(GMW!$ND$2:$ND$60=U$4)*(GMW!$NF$2:$NF$60=U$1),0),$F255-1966)</f>
        <v>4024172</v>
      </c>
      <c r="V255" s="4" cm="1">
        <f t="array" ref="V255">INDEX(GMW!$A$2:$NF$60,MATCH(1,(GMW!$NE$2:$NE$60=V$3)*(GMW!$ND$2:$ND$60=V$4)*(GMW!$NF$2:$NF$60=V$1),0),$F255-1966)</f>
        <v>70434.490000000005</v>
      </c>
      <c r="W255" s="4" cm="1">
        <f t="array" ref="W255">INDEX(GMW!$A$2:$NF$60,MATCH(1,(GMW!$NE$2:$NE$60=W$3)*(GMW!$ND$2:$ND$60=W$4)*(GMW!$NF$2:$NF$60=W$1),0),$F255-1966)</f>
        <v>1534043</v>
      </c>
      <c r="X255" s="4" cm="1">
        <f t="array" ref="X255">INDEX(GMW!$A$2:$NF$60,MATCH(1,(GMW!$NE$2:$NE$60=X$3)*(GMW!$ND$2:$ND$60=X$4)*(GMW!$NF$2:$NF$60=X$1),0),$F255-1966)</f>
        <v>3925.5140000000001</v>
      </c>
      <c r="Y255" s="4" cm="1">
        <f t="array" ref="Y255">INDEX(GMW!$A$2:$NF$60,MATCH(1,(GMW!$NE$2:$NE$60=Y$3)*(GMW!$ND$2:$ND$60=Y$4)*(GMW!$NF$2:$NF$60=Y$1),0),$F255-1966)</f>
        <v>5198.2870000000003</v>
      </c>
      <c r="Z255" s="4" cm="1">
        <f t="array" ref="Z255">INDEX(GMW!$A$2:$NF$60,MATCH(1,(GMW!$NE$2:$NE$60=Z$3)*(GMW!$ND$2:$ND$60=Z$4)*(GMW!$NF$2:$NF$60=Z$1),0),$F255-1966)</f>
        <v>4029.9110000000001</v>
      </c>
      <c r="AA255" s="4" cm="1">
        <f t="array" ref="AA255">INDEX(GMW!$A$2:$NF$60,MATCH(1,(GMW!$NE$2:$NE$60=AA$3)*(GMW!$ND$2:$ND$60=AA$4)*(GMW!$NF$2:$NF$60=AA$1),0),$F255-1966)</f>
        <v>4448865</v>
      </c>
      <c r="AB255" s="4" cm="1">
        <f t="array" ref="AB255">INDEX(GMW!$A$2:$NF$60,MATCH(1,(GMW!$NE$2:$NE$60=AB$3)*(GMW!$ND$2:$ND$60=AB$4)*(GMW!$NF$2:$NF$60=AB$1),0),$F255-1966)</f>
        <v>1060138</v>
      </c>
      <c r="AC255" s="4" cm="1">
        <f t="array" ref="AC255">INDEX(GMW!$A$2:$NF$60,MATCH(1,(GMW!$NE$2:$NE$60=AC$3)*(GMW!$ND$2:$ND$60=AC$4)*(GMW!$NF$2:$NF$60=AC$1),0),$F255-1966)</f>
        <v>11052.62</v>
      </c>
      <c r="AD255" s="4" cm="1">
        <f t="array" ref="AD255">INDEX(GMW!$A$2:$NF$60,MATCH(1,(GMW!$NE$2:$NE$60=AD$3)*(GMW!$ND$2:$ND$60=AD$4)*(GMW!$NF$2:$NF$60=AD$1),0),$F255-1966)</f>
        <v>178983.5</v>
      </c>
      <c r="AE255" s="4" cm="1">
        <f t="array" ref="AE255">INDEX(GMW!$A$2:$NF$60,MATCH(1,(GMW!$NE$2:$NE$60=AE$3)*(GMW!$ND$2:$ND$60=AE$4)*(GMW!$NF$2:$NF$60=AE$1),0),$F255-1966)</f>
        <v>1547.9010000000001</v>
      </c>
      <c r="AF255" s="4" cm="1">
        <f t="array" ref="AF255">INDEX(GMW!$A$2:$NF$60,MATCH(1,(GMW!$NE$2:$NE$60=AF$3)*(GMW!$ND$2:$ND$60=AF$4)*(GMW!$NF$2:$NF$60=AF$1),0),$F255-1966)</f>
        <v>1008.741</v>
      </c>
      <c r="AG255" s="4" cm="1">
        <f t="array" ref="AG255">INDEX(GMW!$A$2:$NF$60,MATCH(1,(GMW!$NE$2:$NE$60=AG$3)*(GMW!$ND$2:$ND$60=AG$4)*(GMW!$NF$2:$NF$60=AG$1),0),$F255-1966)</f>
        <v>699.56790000000001</v>
      </c>
      <c r="AH255" s="4" cm="1">
        <f t="array" ref="AH255">INDEX(GMW!$A$2:$NF$60,MATCH(1,(GMW!$NE$2:$NE$60=AH$3)*(GMW!$ND$2:$ND$60=AH$4)*(GMW!$NF$2:$NF$60=AH$1),0),$F255-1966)</f>
        <v>1136289</v>
      </c>
    </row>
    <row r="256" spans="1:34" x14ac:dyDescent="0.25">
      <c r="B256" s="4">
        <f t="shared" si="84"/>
        <v>2035</v>
      </c>
      <c r="C256" s="4">
        <f t="shared" si="84"/>
        <v>2035</v>
      </c>
      <c r="F256" s="4">
        <f t="shared" si="80"/>
        <v>2222</v>
      </c>
      <c r="G256" s="4" cm="1">
        <f t="array" ref="G256">INDEX(GMW!$A$2:$NF$60,MATCH(1,(GMW!$NE$2:$NE$60=G$3)*(GMW!$ND$2:$ND$60=G$4)*(GMW!$NF$2:$NF$60=G$1),0),$F256-1966)</f>
        <v>751430.9</v>
      </c>
      <c r="H256" s="4" cm="1">
        <f t="array" ref="H256">INDEX(GMW!$A$2:$NF$60,MATCH(1,(GMW!$NE$2:$NE$60=H$3)*(GMW!$ND$2:$ND$60=H$4)*(GMW!$NF$2:$NF$60=H$1),0),$F256-1966)</f>
        <v>7229.9769999999999</v>
      </c>
      <c r="I256" s="4" cm="1">
        <f t="array" ref="I256">INDEX(GMW!$A$2:$NF$60,MATCH(1,(GMW!$NE$2:$NE$60=I$3)*(GMW!$ND$2:$ND$60=I$4)*(GMW!$NF$2:$NF$60=I$1),0),$F256-1966)</f>
        <v>142083.6</v>
      </c>
      <c r="J256" s="4" cm="1">
        <f t="array" ref="J256">INDEX(GMW!$A$2:$NF$60,MATCH(1,(GMW!$NE$2:$NE$60=J$3)*(GMW!$ND$2:$ND$60=J$4)*(GMW!$NF$2:$NF$60=J$1),0),$F256-1966)</f>
        <v>1007.533</v>
      </c>
      <c r="K256" s="4" cm="1">
        <f t="array" ref="K256">INDEX(GMW!$A$2:$NF$60,MATCH(1,(GMW!$NE$2:$NE$60=K$3)*(GMW!$ND$2:$ND$60=K$4)*(GMW!$NF$2:$NF$60=K$1),0),$F256-1966)</f>
        <v>730.69</v>
      </c>
      <c r="L256" s="4" cm="1">
        <f t="array" ref="L256">INDEX(GMW!$A$2:$NF$60,MATCH(1,(GMW!$NE$2:$NE$60=L$3)*(GMW!$ND$2:$ND$60=L$4)*(GMW!$NF$2:$NF$60=L$1),0),$F256-1966)</f>
        <v>510.233</v>
      </c>
      <c r="M256" s="4" cm="1">
        <f t="array" ref="M256">INDEX(GMW!$A$2:$NF$60,MATCH(1,(GMW!$NE$2:$NE$60=M$3)*(GMW!$ND$2:$ND$60=M$4)*(GMW!$NF$2:$NF$60=M$1),0),$F256-1966)</f>
        <v>738402.5</v>
      </c>
      <c r="N256" s="4" cm="1">
        <f t="array" ref="N256">INDEX(GMW!$A$2:$NF$60,MATCH(1,(GMW!$NE$2:$NE$60=N$3)*(GMW!$ND$2:$ND$60=N$4)*(GMW!$NF$2:$NF$60=N$1),0),$F256-1966)</f>
        <v>-62989.38</v>
      </c>
      <c r="O256" s="4" cm="1">
        <f t="array" ref="O256">INDEX(GMW!$A$2:$NF$60,MATCH(1,(GMW!$NE$2:$NE$60=O$3)*(GMW!$ND$2:$ND$60=O$4)*(GMW!$NF$2:$NF$60=O$1),0),$F256-1966)</f>
        <v>-946.21720000000005</v>
      </c>
      <c r="P256" s="4" cm="1">
        <f t="array" ref="P256">INDEX(GMW!$A$2:$NF$60,MATCH(1,(GMW!$NE$2:$NE$60=P$3)*(GMW!$ND$2:$ND$60=P$4)*(GMW!$NF$2:$NF$60=P$1),0),$F256-1966)</f>
        <v>-1825.5</v>
      </c>
      <c r="Q256" s="4" cm="1">
        <f t="array" ref="Q256">INDEX(GMW!$A$2:$NF$60,MATCH(1,(GMW!$NE$2:$NE$60=Q$3)*(GMW!$ND$2:$ND$60=Q$4)*(GMW!$NF$2:$NF$60=Q$1),0),$F256-1966)</f>
        <v>-23.046939999999999</v>
      </c>
      <c r="R256" s="4" cm="1">
        <f t="array" ref="R256">INDEX(GMW!$A$2:$NF$60,MATCH(1,(GMW!$NE$2:$NE$60=R$3)*(GMW!$ND$2:$ND$60=R$4)*(GMW!$NF$2:$NF$60=R$1),0),$F256-1966)</f>
        <v>-34.13617</v>
      </c>
      <c r="S256" s="4" cm="1">
        <f t="array" ref="S256">INDEX(GMW!$A$2:$NF$60,MATCH(1,(GMW!$NE$2:$NE$60=S$3)*(GMW!$ND$2:$ND$60=S$4)*(GMW!$NF$2:$NF$60=S$1),0),$F256-1966)</f>
        <v>-12.7302</v>
      </c>
      <c r="T256" s="4" cm="1">
        <f t="array" ref="T256">INDEX(GMW!$A$2:$NF$60,MATCH(1,(GMW!$NE$2:$NE$60=T$3)*(GMW!$ND$2:$ND$60=T$4)*(GMW!$NF$2:$NF$60=T$1),0),$F256-1966)</f>
        <v>-27716.03</v>
      </c>
      <c r="U256" s="4" cm="1">
        <f t="array" ref="U256">INDEX(GMW!$A$2:$NF$60,MATCH(1,(GMW!$NE$2:$NE$60=U$3)*(GMW!$ND$2:$ND$60=U$4)*(GMW!$NF$2:$NF$60=U$1),0),$F256-1966)</f>
        <v>4087162</v>
      </c>
      <c r="V256" s="4" cm="1">
        <f t="array" ref="V256">INDEX(GMW!$A$2:$NF$60,MATCH(1,(GMW!$NE$2:$NE$60=V$3)*(GMW!$ND$2:$ND$60=V$4)*(GMW!$NF$2:$NF$60=V$1),0),$F256-1966)</f>
        <v>71380.710000000006</v>
      </c>
      <c r="W256" s="4" cm="1">
        <f t="array" ref="W256">INDEX(GMW!$A$2:$NF$60,MATCH(1,(GMW!$NE$2:$NE$60=W$3)*(GMW!$ND$2:$ND$60=W$4)*(GMW!$NF$2:$NF$60=W$1),0),$F256-1966)</f>
        <v>1535868</v>
      </c>
      <c r="X256" s="4" cm="1">
        <f t="array" ref="X256">INDEX(GMW!$A$2:$NF$60,MATCH(1,(GMW!$NE$2:$NE$60=X$3)*(GMW!$ND$2:$ND$60=X$4)*(GMW!$NF$2:$NF$60=X$1),0),$F256-1966)</f>
        <v>3948.5610000000001</v>
      </c>
      <c r="Y256" s="4" cm="1">
        <f t="array" ref="Y256">INDEX(GMW!$A$2:$NF$60,MATCH(1,(GMW!$NE$2:$NE$60=Y$3)*(GMW!$ND$2:$ND$60=Y$4)*(GMW!$NF$2:$NF$60=Y$1),0),$F256-1966)</f>
        <v>5232.4229999999998</v>
      </c>
      <c r="Z256" s="4" cm="1">
        <f t="array" ref="Z256">INDEX(GMW!$A$2:$NF$60,MATCH(1,(GMW!$NE$2:$NE$60=Z$3)*(GMW!$ND$2:$ND$60=Z$4)*(GMW!$NF$2:$NF$60=Z$1),0),$F256-1966)</f>
        <v>4042.6410000000001</v>
      </c>
      <c r="AA256" s="4" cm="1">
        <f t="array" ref="AA256">INDEX(GMW!$A$2:$NF$60,MATCH(1,(GMW!$NE$2:$NE$60=AA$3)*(GMW!$ND$2:$ND$60=AA$4)*(GMW!$NF$2:$NF$60=AA$1),0),$F256-1966)</f>
        <v>4476581</v>
      </c>
      <c r="AB256" s="4" cm="1">
        <f t="array" ref="AB256">INDEX(GMW!$A$2:$NF$60,MATCH(1,(GMW!$NE$2:$NE$60=AB$3)*(GMW!$ND$2:$ND$60=AB$4)*(GMW!$NF$2:$NF$60=AB$1),0),$F256-1966)</f>
        <v>1069868</v>
      </c>
      <c r="AC256" s="4" cm="1">
        <f t="array" ref="AC256">INDEX(GMW!$A$2:$NF$60,MATCH(1,(GMW!$NE$2:$NE$60=AC$3)*(GMW!$ND$2:$ND$60=AC$4)*(GMW!$NF$2:$NF$60=AC$1),0),$F256-1966)</f>
        <v>11153.03</v>
      </c>
      <c r="AD256" s="4" cm="1">
        <f t="array" ref="AD256">INDEX(GMW!$A$2:$NF$60,MATCH(1,(GMW!$NE$2:$NE$60=AD$3)*(GMW!$ND$2:$ND$60=AD$4)*(GMW!$NF$2:$NF$60=AD$1),0),$F256-1966)</f>
        <v>179559.3</v>
      </c>
      <c r="AE256" s="4" cm="1">
        <f t="array" ref="AE256">INDEX(GMW!$A$2:$NF$60,MATCH(1,(GMW!$NE$2:$NE$60=AE$3)*(GMW!$ND$2:$ND$60=AE$4)*(GMW!$NF$2:$NF$60=AE$1),0),$F256-1966)</f>
        <v>1557.7550000000001</v>
      </c>
      <c r="AF256" s="4" cm="1">
        <f t="array" ref="AF256">INDEX(GMW!$A$2:$NF$60,MATCH(1,(GMW!$NE$2:$NE$60=AF$3)*(GMW!$ND$2:$ND$60=AF$4)*(GMW!$NF$2:$NF$60=AF$1),0),$F256-1966)</f>
        <v>1015.8579999999999</v>
      </c>
      <c r="AG256" s="4" cm="1">
        <f t="array" ref="AG256">INDEX(GMW!$A$2:$NF$60,MATCH(1,(GMW!$NE$2:$NE$60=AG$3)*(GMW!$ND$2:$ND$60=AG$4)*(GMW!$NF$2:$NF$60=AG$1),0),$F256-1966)</f>
        <v>703.53579999999999</v>
      </c>
      <c r="AH256" s="4" cm="1">
        <f t="array" ref="AH256">INDEX(GMW!$A$2:$NF$60,MATCH(1,(GMW!$NE$2:$NE$60=AH$3)*(GMW!$ND$2:$ND$60=AH$4)*(GMW!$NF$2:$NF$60=AH$1),0),$F256-1966)</f>
        <v>1146904</v>
      </c>
    </row>
    <row r="257" spans="1:34" x14ac:dyDescent="0.25">
      <c r="B257" s="4">
        <f t="shared" si="84"/>
        <v>2035</v>
      </c>
      <c r="C257" s="4">
        <f t="shared" si="84"/>
        <v>2035</v>
      </c>
      <c r="F257" s="4">
        <f t="shared" si="80"/>
        <v>2223</v>
      </c>
      <c r="G257" s="4" cm="1">
        <f t="array" ref="G257">INDEX(GMW!$A$2:$NF$60,MATCH(1,(GMW!$NE$2:$NE$60=G$3)*(GMW!$ND$2:$ND$60=G$4)*(GMW!$NF$2:$NF$60=G$1),0),$F257-1966)</f>
        <v>754274.7</v>
      </c>
      <c r="H257" s="4" cm="1">
        <f t="array" ref="H257">INDEX(GMW!$A$2:$NF$60,MATCH(1,(GMW!$NE$2:$NE$60=H$3)*(GMW!$ND$2:$ND$60=H$4)*(GMW!$NF$2:$NF$60=H$1),0),$F257-1966)</f>
        <v>7262.4139999999998</v>
      </c>
      <c r="I257" s="4" cm="1">
        <f t="array" ref="I257">INDEX(GMW!$A$2:$NF$60,MATCH(1,(GMW!$NE$2:$NE$60=I$3)*(GMW!$ND$2:$ND$60=I$4)*(GMW!$NF$2:$NF$60=I$1),0),$F257-1966)</f>
        <v>142011.79999999999</v>
      </c>
      <c r="J257" s="4" cm="1">
        <f t="array" ref="J257">INDEX(GMW!$A$2:$NF$60,MATCH(1,(GMW!$NE$2:$NE$60=J$3)*(GMW!$ND$2:$ND$60=J$4)*(GMW!$NF$2:$NF$60=J$1),0),$F257-1966)</f>
        <v>1009.191</v>
      </c>
      <c r="K257" s="4" cm="1">
        <f t="array" ref="K257">INDEX(GMW!$A$2:$NF$60,MATCH(1,(GMW!$NE$2:$NE$60=K$3)*(GMW!$ND$2:$ND$60=K$4)*(GMW!$NF$2:$NF$60=K$1),0),$F257-1966)</f>
        <v>731.9</v>
      </c>
      <c r="L257" s="4" cm="1">
        <f t="array" ref="L257">INDEX(GMW!$A$2:$NF$60,MATCH(1,(GMW!$NE$2:$NE$60=L$3)*(GMW!$ND$2:$ND$60=L$4)*(GMW!$NF$2:$NF$60=L$1),0),$F257-1966)</f>
        <v>510.5598</v>
      </c>
      <c r="M257" s="4" cm="1">
        <f t="array" ref="M257">INDEX(GMW!$A$2:$NF$60,MATCH(1,(GMW!$NE$2:$NE$60=M$3)*(GMW!$ND$2:$ND$60=M$4)*(GMW!$NF$2:$NF$60=M$1),0),$F257-1966)</f>
        <v>741856.4</v>
      </c>
      <c r="N257" s="4" cm="1">
        <f t="array" ref="N257">INDEX(GMW!$A$2:$NF$60,MATCH(1,(GMW!$NE$2:$NE$60=N$3)*(GMW!$ND$2:$ND$60=N$4)*(GMW!$NF$2:$NF$60=N$1),0),$F257-1966)</f>
        <v>-31424.44</v>
      </c>
      <c r="O257" s="4" cm="1">
        <f t="array" ref="O257">INDEX(GMW!$A$2:$NF$60,MATCH(1,(GMW!$NE$2:$NE$60=O$3)*(GMW!$ND$2:$ND$60=O$4)*(GMW!$NF$2:$NF$60=O$1),0),$F257-1966)</f>
        <v>-951.35569999999996</v>
      </c>
      <c r="P257" s="4" cm="1">
        <f t="array" ref="P257">INDEX(GMW!$A$2:$NF$60,MATCH(1,(GMW!$NE$2:$NE$60=P$3)*(GMW!$ND$2:$ND$60=P$4)*(GMW!$NF$2:$NF$60=P$1),0),$F257-1966)</f>
        <v>-1751.4380000000001</v>
      </c>
      <c r="Q257" s="4" cm="1">
        <f t="array" ref="Q257">INDEX(GMW!$A$2:$NF$60,MATCH(1,(GMW!$NE$2:$NE$60=Q$3)*(GMW!$ND$2:$ND$60=Q$4)*(GMW!$NF$2:$NF$60=Q$1),0),$F257-1966)</f>
        <v>-22.706910000000001</v>
      </c>
      <c r="R257" s="4" cm="1">
        <f t="array" ref="R257">INDEX(GMW!$A$2:$NF$60,MATCH(1,(GMW!$NE$2:$NE$60=R$3)*(GMW!$ND$2:$ND$60=R$4)*(GMW!$NF$2:$NF$60=R$1),0),$F257-1966)</f>
        <v>-34.03143</v>
      </c>
      <c r="S257" s="4" cm="1">
        <f t="array" ref="S257">INDEX(GMW!$A$2:$NF$60,MATCH(1,(GMW!$NE$2:$NE$60=S$3)*(GMW!$ND$2:$ND$60=S$4)*(GMW!$NF$2:$NF$60=S$1),0),$F257-1966)</f>
        <v>-12.641999999999999</v>
      </c>
      <c r="T257" s="4" cm="1">
        <f t="array" ref="T257">INDEX(GMW!$A$2:$NF$60,MATCH(1,(GMW!$NE$2:$NE$60=T$3)*(GMW!$ND$2:$ND$60=T$4)*(GMW!$NF$2:$NF$60=T$1),0),$F257-1966)</f>
        <v>-27675.25</v>
      </c>
      <c r="U257" s="4" cm="1">
        <f t="array" ref="U257">INDEX(GMW!$A$2:$NF$60,MATCH(1,(GMW!$NE$2:$NE$60=U$3)*(GMW!$ND$2:$ND$60=U$4)*(GMW!$NF$2:$NF$60=U$1),0),$F257-1966)</f>
        <v>4118586</v>
      </c>
      <c r="V257" s="4" cm="1">
        <f t="array" ref="V257">INDEX(GMW!$A$2:$NF$60,MATCH(1,(GMW!$NE$2:$NE$60=V$3)*(GMW!$ND$2:$ND$60=V$4)*(GMW!$NF$2:$NF$60=V$1),0),$F257-1966)</f>
        <v>72332.070000000007</v>
      </c>
      <c r="W257" s="4" cm="1">
        <f t="array" ref="W257">INDEX(GMW!$A$2:$NF$60,MATCH(1,(GMW!$NE$2:$NE$60=W$3)*(GMW!$ND$2:$ND$60=W$4)*(GMW!$NF$2:$NF$60=W$1),0),$F257-1966)</f>
        <v>1537620</v>
      </c>
      <c r="X257" s="4" cm="1">
        <f t="array" ref="X257">INDEX(GMW!$A$2:$NF$60,MATCH(1,(GMW!$NE$2:$NE$60=X$3)*(GMW!$ND$2:$ND$60=X$4)*(GMW!$NF$2:$NF$60=X$1),0),$F257-1966)</f>
        <v>3971.268</v>
      </c>
      <c r="Y257" s="4" cm="1">
        <f t="array" ref="Y257">INDEX(GMW!$A$2:$NF$60,MATCH(1,(GMW!$NE$2:$NE$60=Y$3)*(GMW!$ND$2:$ND$60=Y$4)*(GMW!$NF$2:$NF$60=Y$1),0),$F257-1966)</f>
        <v>5266.4539999999997</v>
      </c>
      <c r="Z257" s="4" cm="1">
        <f t="array" ref="Z257">INDEX(GMW!$A$2:$NF$60,MATCH(1,(GMW!$NE$2:$NE$60=Z$3)*(GMW!$ND$2:$ND$60=Z$4)*(GMW!$NF$2:$NF$60=Z$1),0),$F257-1966)</f>
        <v>4055.2829999999999</v>
      </c>
      <c r="AA257" s="4" cm="1">
        <f t="array" ref="AA257">INDEX(GMW!$A$2:$NF$60,MATCH(1,(GMW!$NE$2:$NE$60=AA$3)*(GMW!$ND$2:$ND$60=AA$4)*(GMW!$NF$2:$NF$60=AA$1),0),$F257-1966)</f>
        <v>4504256</v>
      </c>
      <c r="AB257" s="4" cm="1">
        <f t="array" ref="AB257">INDEX(GMW!$A$2:$NF$60,MATCH(1,(GMW!$NE$2:$NE$60=AB$3)*(GMW!$ND$2:$ND$60=AB$4)*(GMW!$NF$2:$NF$60=AB$1),0),$F257-1966)</f>
        <v>1079689</v>
      </c>
      <c r="AC257" s="4" cm="1">
        <f t="array" ref="AC257">INDEX(GMW!$A$2:$NF$60,MATCH(1,(GMW!$NE$2:$NE$60=AC$3)*(GMW!$ND$2:$ND$60=AC$4)*(GMW!$NF$2:$NF$60=AC$1),0),$F257-1966)</f>
        <v>11254.27</v>
      </c>
      <c r="AD257" s="4" cm="1">
        <f t="array" ref="AD257">INDEX(GMW!$A$2:$NF$60,MATCH(1,(GMW!$NE$2:$NE$60=AD$3)*(GMW!$ND$2:$ND$60=AD$4)*(GMW!$NF$2:$NF$60=AD$1),0),$F257-1966)</f>
        <v>180118</v>
      </c>
      <c r="AE257" s="4" cm="1">
        <f t="array" ref="AE257">INDEX(GMW!$A$2:$NF$60,MATCH(1,(GMW!$NE$2:$NE$60=AE$3)*(GMW!$ND$2:$ND$60=AE$4)*(GMW!$NF$2:$NF$60=AE$1),0),$F257-1966)</f>
        <v>1568.06</v>
      </c>
      <c r="AF257" s="4" cm="1">
        <f t="array" ref="AF257">INDEX(GMW!$A$2:$NF$60,MATCH(1,(GMW!$NE$2:$NE$60=AF$3)*(GMW!$ND$2:$ND$60=AF$4)*(GMW!$NF$2:$NF$60=AF$1),0),$F257-1966)</f>
        <v>1022.803</v>
      </c>
      <c r="AG257" s="4" cm="1">
        <f t="array" ref="AG257">INDEX(GMW!$A$2:$NF$60,MATCH(1,(GMW!$NE$2:$NE$60=AG$3)*(GMW!$ND$2:$ND$60=AG$4)*(GMW!$NF$2:$NF$60=AG$1),0),$F257-1966)</f>
        <v>707.49379999999996</v>
      </c>
      <c r="AH257" s="4" cm="1">
        <f t="array" ref="AH257">INDEX(GMW!$A$2:$NF$60,MATCH(1,(GMW!$NE$2:$NE$60=AH$3)*(GMW!$ND$2:$ND$60=AH$4)*(GMW!$NF$2:$NF$60=AH$1),0),$F257-1966)</f>
        <v>1157691</v>
      </c>
    </row>
    <row r="258" spans="1:34" x14ac:dyDescent="0.25">
      <c r="B258" s="4">
        <f t="shared" si="84"/>
        <v>2035</v>
      </c>
      <c r="C258" s="4">
        <f t="shared" si="84"/>
        <v>2035</v>
      </c>
      <c r="E258" s="4">
        <f t="shared" ref="E258" si="86">+E254+1</f>
        <v>2035</v>
      </c>
      <c r="F258" s="4">
        <f t="shared" si="80"/>
        <v>2224</v>
      </c>
      <c r="G258" s="4" cm="1">
        <f t="array" ref="G258">INDEX(GMW!$A$2:$NF$60,MATCH(1,(GMW!$NE$2:$NE$60=G$3)*(GMW!$ND$2:$ND$60=G$4)*(GMW!$NF$2:$NF$60=G$1),0),$F258-1966)</f>
        <v>757130.4</v>
      </c>
      <c r="H258" s="4" cm="1">
        <f t="array" ref="H258">INDEX(GMW!$A$2:$NF$60,MATCH(1,(GMW!$NE$2:$NE$60=H$3)*(GMW!$ND$2:$ND$60=H$4)*(GMW!$NF$2:$NF$60=H$1),0),$F258-1966)</f>
        <v>7294.9830000000002</v>
      </c>
      <c r="I258" s="4" cm="1">
        <f t="array" ref="I258">INDEX(GMW!$A$2:$NF$60,MATCH(1,(GMW!$NE$2:$NE$60=I$3)*(GMW!$ND$2:$ND$60=I$4)*(GMW!$NF$2:$NF$60=I$1),0),$F258-1966)</f>
        <v>141926.6</v>
      </c>
      <c r="J258" s="4" cm="1">
        <f t="array" ref="J258">INDEX(GMW!$A$2:$NF$60,MATCH(1,(GMW!$NE$2:$NE$60=J$3)*(GMW!$ND$2:$ND$60=J$4)*(GMW!$NF$2:$NF$60=J$1),0),$F258-1966)</f>
        <v>1011.057</v>
      </c>
      <c r="K258" s="4" cm="1">
        <f t="array" ref="K258">INDEX(GMW!$A$2:$NF$60,MATCH(1,(GMW!$NE$2:$NE$60=K$3)*(GMW!$ND$2:$ND$60=K$4)*(GMW!$NF$2:$NF$60=K$1),0),$F258-1966)</f>
        <v>733.03800000000001</v>
      </c>
      <c r="L258" s="4" cm="1">
        <f t="array" ref="L258">INDEX(GMW!$A$2:$NF$60,MATCH(1,(GMW!$NE$2:$NE$60=L$3)*(GMW!$ND$2:$ND$60=L$4)*(GMW!$NF$2:$NF$60=L$1),0),$F258-1966)</f>
        <v>510.88589999999999</v>
      </c>
      <c r="M258" s="4" cm="1">
        <f t="array" ref="M258">INDEX(GMW!$A$2:$NF$60,MATCH(1,(GMW!$NE$2:$NE$60=M$3)*(GMW!$ND$2:$ND$60=M$4)*(GMW!$NF$2:$NF$60=M$1),0),$F258-1966)</f>
        <v>745373.8</v>
      </c>
      <c r="N258" s="4" cm="1">
        <f t="array" ref="N258">INDEX(GMW!$A$2:$NF$60,MATCH(1,(GMW!$NE$2:$NE$60=N$3)*(GMW!$ND$2:$ND$60=N$4)*(GMW!$NF$2:$NF$60=N$1),0),$F258-1966)</f>
        <v>-59387.69</v>
      </c>
      <c r="O258" s="4" cm="1">
        <f t="array" ref="O258">INDEX(GMW!$A$2:$NF$60,MATCH(1,(GMW!$NE$2:$NE$60=O$3)*(GMW!$ND$2:$ND$60=O$4)*(GMW!$NF$2:$NF$60=O$1),0),$F258-1966)</f>
        <v>-956.45519999999999</v>
      </c>
      <c r="P258" s="4" cm="1">
        <f t="array" ref="P258">INDEX(GMW!$A$2:$NF$60,MATCH(1,(GMW!$NE$2:$NE$60=P$3)*(GMW!$ND$2:$ND$60=P$4)*(GMW!$NF$2:$NF$60=P$1),0),$F258-1966)</f>
        <v>-1684.547</v>
      </c>
      <c r="Q258" s="4" cm="1">
        <f t="array" ref="Q258">INDEX(GMW!$A$2:$NF$60,MATCH(1,(GMW!$NE$2:$NE$60=Q$3)*(GMW!$ND$2:$ND$60=Q$4)*(GMW!$NF$2:$NF$60=Q$1),0),$F258-1966)</f>
        <v>-22.588560000000001</v>
      </c>
      <c r="R258" s="4" cm="1">
        <f t="array" ref="R258">INDEX(GMW!$A$2:$NF$60,MATCH(1,(GMW!$NE$2:$NE$60=R$3)*(GMW!$ND$2:$ND$60=R$4)*(GMW!$NF$2:$NF$60=R$1),0),$F258-1966)</f>
        <v>-34.034730000000003</v>
      </c>
      <c r="S258" s="4" cm="1">
        <f t="array" ref="S258">INDEX(GMW!$A$2:$NF$60,MATCH(1,(GMW!$NE$2:$NE$60=S$3)*(GMW!$ND$2:$ND$60=S$4)*(GMW!$NF$2:$NF$60=S$1),0),$F258-1966)</f>
        <v>-12.62271</v>
      </c>
      <c r="T258" s="4" cm="1">
        <f t="array" ref="T258">INDEX(GMW!$A$2:$NF$60,MATCH(1,(GMW!$NE$2:$NE$60=T$3)*(GMW!$ND$2:$ND$60=T$4)*(GMW!$NF$2:$NF$60=T$1),0),$F258-1966)</f>
        <v>-27771.22</v>
      </c>
      <c r="U258" s="4" cm="1">
        <f t="array" ref="U258">INDEX(GMW!$A$2:$NF$60,MATCH(1,(GMW!$NE$2:$NE$60=U$3)*(GMW!$ND$2:$ND$60=U$4)*(GMW!$NF$2:$NF$60=U$1),0),$F258-1966)</f>
        <v>4177974</v>
      </c>
      <c r="V258" s="4" cm="1">
        <f t="array" ref="V258">INDEX(GMW!$A$2:$NF$60,MATCH(1,(GMW!$NE$2:$NE$60=V$3)*(GMW!$ND$2:$ND$60=V$4)*(GMW!$NF$2:$NF$60=V$1),0),$F258-1966)</f>
        <v>73288.52</v>
      </c>
      <c r="W258" s="4" cm="1">
        <f t="array" ref="W258">INDEX(GMW!$A$2:$NF$60,MATCH(1,(GMW!$NE$2:$NE$60=W$3)*(GMW!$ND$2:$ND$60=W$4)*(GMW!$NF$2:$NF$60=W$1),0),$F258-1966)</f>
        <v>1539304</v>
      </c>
      <c r="X258" s="4" cm="1">
        <f t="array" ref="X258">INDEX(GMW!$A$2:$NF$60,MATCH(1,(GMW!$NE$2:$NE$60=X$3)*(GMW!$ND$2:$ND$60=X$4)*(GMW!$NF$2:$NF$60=X$1),0),$F258-1966)</f>
        <v>3993.8560000000002</v>
      </c>
      <c r="Y258" s="4" cm="1">
        <f t="array" ref="Y258">INDEX(GMW!$A$2:$NF$60,MATCH(1,(GMW!$NE$2:$NE$60=Y$3)*(GMW!$ND$2:$ND$60=Y$4)*(GMW!$NF$2:$NF$60=Y$1),0),$F258-1966)</f>
        <v>5300.4889999999996</v>
      </c>
      <c r="Z258" s="4" cm="1">
        <f t="array" ref="Z258">INDEX(GMW!$A$2:$NF$60,MATCH(1,(GMW!$NE$2:$NE$60=Z$3)*(GMW!$ND$2:$ND$60=Z$4)*(GMW!$NF$2:$NF$60=Z$1),0),$F258-1966)</f>
        <v>4067.9059999999999</v>
      </c>
      <c r="AA258" s="4" cm="1">
        <f t="array" ref="AA258">INDEX(GMW!$A$2:$NF$60,MATCH(1,(GMW!$NE$2:$NE$60=AA$3)*(GMW!$ND$2:$ND$60=AA$4)*(GMW!$NF$2:$NF$60=AA$1),0),$F258-1966)</f>
        <v>4532027</v>
      </c>
      <c r="AB258" s="4" cm="1">
        <f t="array" ref="AB258">INDEX(GMW!$A$2:$NF$60,MATCH(1,(GMW!$NE$2:$NE$60=AB$3)*(GMW!$ND$2:$ND$60=AB$4)*(GMW!$NF$2:$NF$60=AB$1),0),$F258-1966)</f>
        <v>1089564</v>
      </c>
      <c r="AC258" s="4" cm="1">
        <f t="array" ref="AC258">INDEX(GMW!$A$2:$NF$60,MATCH(1,(GMW!$NE$2:$NE$60=AC$3)*(GMW!$ND$2:$ND$60=AC$4)*(GMW!$NF$2:$NF$60=AC$1),0),$F258-1966)</f>
        <v>11356.44</v>
      </c>
      <c r="AD258" s="4" cm="1">
        <f t="array" ref="AD258">INDEX(GMW!$A$2:$NF$60,MATCH(1,(GMW!$NE$2:$NE$60=AD$3)*(GMW!$ND$2:$ND$60=AD$4)*(GMW!$NF$2:$NF$60=AD$1),0),$F258-1966)</f>
        <v>180658.5</v>
      </c>
      <c r="AE258" s="4" cm="1">
        <f t="array" ref="AE258">INDEX(GMW!$A$2:$NF$60,MATCH(1,(GMW!$NE$2:$NE$60=AE$3)*(GMW!$ND$2:$ND$60=AE$4)*(GMW!$NF$2:$NF$60=AE$1),0),$F258-1966)</f>
        <v>1578.7539999999999</v>
      </c>
      <c r="AF258" s="4" cm="1">
        <f t="array" ref="AF258">INDEX(GMW!$A$2:$NF$60,MATCH(1,(GMW!$NE$2:$NE$60=AF$3)*(GMW!$ND$2:$ND$60=AF$4)*(GMW!$NF$2:$NF$60=AF$1),0),$F258-1966)</f>
        <v>1029.4359999999999</v>
      </c>
      <c r="AG258" s="4" cm="1">
        <f t="array" ref="AG258">INDEX(GMW!$A$2:$NF$60,MATCH(1,(GMW!$NE$2:$NE$60=AG$3)*(GMW!$ND$2:$ND$60=AG$4)*(GMW!$NF$2:$NF$60=AG$1),0),$F258-1966)</f>
        <v>711.45929999999998</v>
      </c>
      <c r="AH258" s="4" cm="1">
        <f t="array" ref="AH258">INDEX(GMW!$A$2:$NF$60,MATCH(1,(GMW!$NE$2:$NE$60=AH$3)*(GMW!$ND$2:$ND$60=AH$4)*(GMW!$NF$2:$NF$60=AH$1),0),$F258-1966)</f>
        <v>1168687</v>
      </c>
    </row>
    <row r="259" spans="1:34" x14ac:dyDescent="0.25">
      <c r="A259" s="4">
        <v>2036</v>
      </c>
      <c r="B259" s="4">
        <f t="shared" si="84"/>
        <v>2036</v>
      </c>
      <c r="C259" s="4">
        <f t="shared" si="84"/>
        <v>2035</v>
      </c>
      <c r="D259" s="4">
        <f t="shared" si="84"/>
        <v>2035</v>
      </c>
      <c r="F259" s="4">
        <f t="shared" si="80"/>
        <v>2225</v>
      </c>
      <c r="G259" s="4" cm="1">
        <f t="array" ref="G259">INDEX(GMW!$A$2:$NF$60,MATCH(1,(GMW!$NE$2:$NE$60=G$3)*(GMW!$ND$2:$ND$60=G$4)*(GMW!$NF$2:$NF$60=G$1),0),$F259-1966)</f>
        <v>760063.8</v>
      </c>
      <c r="H259" s="4" cm="1">
        <f t="array" ref="H259">INDEX(GMW!$A$2:$NF$60,MATCH(1,(GMW!$NE$2:$NE$60=H$3)*(GMW!$ND$2:$ND$60=H$4)*(GMW!$NF$2:$NF$60=H$1),0),$F259-1966)</f>
        <v>7327.6629999999996</v>
      </c>
      <c r="I259" s="4" cm="1">
        <f t="array" ref="I259">INDEX(GMW!$A$2:$NF$60,MATCH(1,(GMW!$NE$2:$NE$60=I$3)*(GMW!$ND$2:$ND$60=I$4)*(GMW!$NF$2:$NF$60=I$1),0),$F259-1966)</f>
        <v>141840.5</v>
      </c>
      <c r="J259" s="4" cm="1">
        <f t="array" ref="J259">INDEX(GMW!$A$2:$NF$60,MATCH(1,(GMW!$NE$2:$NE$60=J$3)*(GMW!$ND$2:$ND$60=J$4)*(GMW!$NF$2:$NF$60=J$1),0),$F259-1966)</f>
        <v>1013.008</v>
      </c>
      <c r="K259" s="4" cm="1">
        <f t="array" ref="K259">INDEX(GMW!$A$2:$NF$60,MATCH(1,(GMW!$NE$2:$NE$60=K$3)*(GMW!$ND$2:$ND$60=K$4)*(GMW!$NF$2:$NF$60=K$1),0),$F259-1966)</f>
        <v>734.38229999999999</v>
      </c>
      <c r="L259" s="4" cm="1">
        <f t="array" ref="L259">INDEX(GMW!$A$2:$NF$60,MATCH(1,(GMW!$NE$2:$NE$60=L$3)*(GMW!$ND$2:$ND$60=L$4)*(GMW!$NF$2:$NF$60=L$1),0),$F259-1966)</f>
        <v>511.1859</v>
      </c>
      <c r="M259" s="4" cm="1">
        <f t="array" ref="M259">INDEX(GMW!$A$2:$NF$60,MATCH(1,(GMW!$NE$2:$NE$60=M$3)*(GMW!$ND$2:$ND$60=M$4)*(GMW!$NF$2:$NF$60=M$1),0),$F259-1966)</f>
        <v>749054.8</v>
      </c>
      <c r="N259" s="4" cm="1">
        <f t="array" ref="N259">INDEX(GMW!$A$2:$NF$60,MATCH(1,(GMW!$NE$2:$NE$60=N$3)*(GMW!$ND$2:$ND$60=N$4)*(GMW!$NF$2:$NF$60=N$1),0),$F259-1966)</f>
        <v>1950.25</v>
      </c>
      <c r="O259" s="4" cm="1">
        <f t="array" ref="O259">INDEX(GMW!$A$2:$NF$60,MATCH(1,(GMW!$NE$2:$NE$60=O$3)*(GMW!$ND$2:$ND$60=O$4)*(GMW!$NF$2:$NF$60=O$1),0),$F259-1966)</f>
        <v>-961.49009999999998</v>
      </c>
      <c r="P259" s="4" cm="1">
        <f t="array" ref="P259">INDEX(GMW!$A$2:$NF$60,MATCH(1,(GMW!$NE$2:$NE$60=P$3)*(GMW!$ND$2:$ND$60=P$4)*(GMW!$NF$2:$NF$60=P$1),0),$F259-1966)</f>
        <v>-1689.6020000000001</v>
      </c>
      <c r="Q259" s="4" cm="1">
        <f t="array" ref="Q259">INDEX(GMW!$A$2:$NF$60,MATCH(1,(GMW!$NE$2:$NE$60=Q$3)*(GMW!$ND$2:$ND$60=Q$4)*(GMW!$NF$2:$NF$60=Q$1),0),$F259-1966)</f>
        <v>-22.747129999999999</v>
      </c>
      <c r="R259" s="4" cm="1">
        <f t="array" ref="R259">INDEX(GMW!$A$2:$NF$60,MATCH(1,(GMW!$NE$2:$NE$60=R$3)*(GMW!$ND$2:$ND$60=R$4)*(GMW!$NF$2:$NF$60=R$1),0),$F259-1966)</f>
        <v>-34.198610000000002</v>
      </c>
      <c r="S259" s="4" cm="1">
        <f t="array" ref="S259">INDEX(GMW!$A$2:$NF$60,MATCH(1,(GMW!$NE$2:$NE$60=S$3)*(GMW!$ND$2:$ND$60=S$4)*(GMW!$NF$2:$NF$60=S$1),0),$F259-1966)</f>
        <v>-12.69345</v>
      </c>
      <c r="T259" s="4" cm="1">
        <f t="array" ref="T259">INDEX(GMW!$A$2:$NF$60,MATCH(1,(GMW!$NE$2:$NE$60=T$3)*(GMW!$ND$2:$ND$60=T$4)*(GMW!$NF$2:$NF$60=T$1),0),$F259-1966)</f>
        <v>-27963.75</v>
      </c>
      <c r="U259" s="4" cm="1">
        <f t="array" ref="U259">INDEX(GMW!$A$2:$NF$60,MATCH(1,(GMW!$NE$2:$NE$60=U$3)*(GMW!$ND$2:$ND$60=U$4)*(GMW!$NF$2:$NF$60=U$1),0),$F259-1966)</f>
        <v>4176024</v>
      </c>
      <c r="V259" s="4" cm="1">
        <f t="array" ref="V259">INDEX(GMW!$A$2:$NF$60,MATCH(1,(GMW!$NE$2:$NE$60=V$3)*(GMW!$ND$2:$ND$60=V$4)*(GMW!$NF$2:$NF$60=V$1),0),$F259-1966)</f>
        <v>74250.02</v>
      </c>
      <c r="W259" s="4" cm="1">
        <f t="array" ref="W259">INDEX(GMW!$A$2:$NF$60,MATCH(1,(GMW!$NE$2:$NE$60=W$3)*(GMW!$ND$2:$ND$60=W$4)*(GMW!$NF$2:$NF$60=W$1),0),$F259-1966)</f>
        <v>1540994</v>
      </c>
      <c r="X259" s="4" cm="1">
        <f t="array" ref="X259">INDEX(GMW!$A$2:$NF$60,MATCH(1,(GMW!$NE$2:$NE$60=X$3)*(GMW!$ND$2:$ND$60=X$4)*(GMW!$NF$2:$NF$60=X$1),0),$F259-1966)</f>
        <v>4016.6030000000001</v>
      </c>
      <c r="Y259" s="4" cm="1">
        <f t="array" ref="Y259">INDEX(GMW!$A$2:$NF$60,MATCH(1,(GMW!$NE$2:$NE$60=Y$3)*(GMW!$ND$2:$ND$60=Y$4)*(GMW!$NF$2:$NF$60=Y$1),0),$F259-1966)</f>
        <v>5334.6880000000001</v>
      </c>
      <c r="Z259" s="4" cm="1">
        <f t="array" ref="Z259">INDEX(GMW!$A$2:$NF$60,MATCH(1,(GMW!$NE$2:$NE$60=Z$3)*(GMW!$ND$2:$ND$60=Z$4)*(GMW!$NF$2:$NF$60=Z$1),0),$F259-1966)</f>
        <v>4080.5990000000002</v>
      </c>
      <c r="AA259" s="4" cm="1">
        <f t="array" ref="AA259">INDEX(GMW!$A$2:$NF$60,MATCH(1,(GMW!$NE$2:$NE$60=AA$3)*(GMW!$ND$2:$ND$60=AA$4)*(GMW!$NF$2:$NF$60=AA$1),0),$F259-1966)</f>
        <v>4559991</v>
      </c>
      <c r="AB259" s="4" cm="1">
        <f t="array" ref="AB259">INDEX(GMW!$A$2:$NF$60,MATCH(1,(GMW!$NE$2:$NE$60=AB$3)*(GMW!$ND$2:$ND$60=AB$4)*(GMW!$NF$2:$NF$60=AB$1),0),$F259-1966)</f>
        <v>1099626</v>
      </c>
      <c r="AC259" s="4" cm="1">
        <f t="array" ref="AC259">INDEX(GMW!$A$2:$NF$60,MATCH(1,(GMW!$NE$2:$NE$60=AC$3)*(GMW!$ND$2:$ND$60=AC$4)*(GMW!$NF$2:$NF$60=AC$1),0),$F259-1966)</f>
        <v>11459.47</v>
      </c>
      <c r="AD259" s="4" cm="1">
        <f t="array" ref="AD259">INDEX(GMW!$A$2:$NF$60,MATCH(1,(GMW!$NE$2:$NE$60=AD$3)*(GMW!$ND$2:$ND$60=AD$4)*(GMW!$NF$2:$NF$60=AD$1),0),$F259-1966)</f>
        <v>181211.8</v>
      </c>
      <c r="AE259" s="4" cm="1">
        <f t="array" ref="AE259">INDEX(GMW!$A$2:$NF$60,MATCH(1,(GMW!$NE$2:$NE$60=AE$3)*(GMW!$ND$2:$ND$60=AE$4)*(GMW!$NF$2:$NF$60=AE$1),0),$F259-1966)</f>
        <v>1589.6469999999999</v>
      </c>
      <c r="AF259" s="4" cm="1">
        <f t="array" ref="AF259">INDEX(GMW!$A$2:$NF$60,MATCH(1,(GMW!$NE$2:$NE$60=AF$3)*(GMW!$ND$2:$ND$60=AF$4)*(GMW!$NF$2:$NF$60=AF$1),0),$F259-1966)</f>
        <v>1036.3240000000001</v>
      </c>
      <c r="AG259" s="4" cm="1">
        <f t="array" ref="AG259">INDEX(GMW!$A$2:$NF$60,MATCH(1,(GMW!$NE$2:$NE$60=AG$3)*(GMW!$ND$2:$ND$60=AG$4)*(GMW!$NF$2:$NF$60=AG$1),0),$F259-1966)</f>
        <v>715.40250000000003</v>
      </c>
      <c r="AH259" s="4" cm="1">
        <f t="array" ref="AH259">INDEX(GMW!$A$2:$NF$60,MATCH(1,(GMW!$NE$2:$NE$60=AH$3)*(GMW!$ND$2:$ND$60=AH$4)*(GMW!$NF$2:$NF$60=AH$1),0),$F259-1966)</f>
        <v>1180037</v>
      </c>
    </row>
    <row r="260" spans="1:34" x14ac:dyDescent="0.25">
      <c r="B260" s="4">
        <f t="shared" si="84"/>
        <v>2036</v>
      </c>
      <c r="C260" s="4">
        <f t="shared" si="84"/>
        <v>2036</v>
      </c>
      <c r="F260" s="4">
        <f t="shared" si="80"/>
        <v>2226</v>
      </c>
      <c r="G260" s="4" cm="1">
        <f t="array" ref="G260">INDEX(GMW!$A$2:$NF$60,MATCH(1,(GMW!$NE$2:$NE$60=G$3)*(GMW!$ND$2:$ND$60=G$4)*(GMW!$NF$2:$NF$60=G$1),0),$F260-1966)</f>
        <v>763012.3</v>
      </c>
      <c r="H260" s="4" cm="1">
        <f t="array" ref="H260">INDEX(GMW!$A$2:$NF$60,MATCH(1,(GMW!$NE$2:$NE$60=H$3)*(GMW!$ND$2:$ND$60=H$4)*(GMW!$NF$2:$NF$60=H$1),0),$F260-1966)</f>
        <v>7360.5460000000003</v>
      </c>
      <c r="I260" s="4" cm="1">
        <f t="array" ref="I260">INDEX(GMW!$A$2:$NF$60,MATCH(1,(GMW!$NE$2:$NE$60=I$3)*(GMW!$ND$2:$ND$60=I$4)*(GMW!$NF$2:$NF$60=I$1),0),$F260-1966)</f>
        <v>141758.20000000001</v>
      </c>
      <c r="J260" s="4" cm="1">
        <f t="array" ref="J260">INDEX(GMW!$A$2:$NF$60,MATCH(1,(GMW!$NE$2:$NE$60=J$3)*(GMW!$ND$2:$ND$60=J$4)*(GMW!$NF$2:$NF$60=J$1),0),$F260-1966)</f>
        <v>1014.957</v>
      </c>
      <c r="K260" s="4" cm="1">
        <f t="array" ref="K260">INDEX(GMW!$A$2:$NF$60,MATCH(1,(GMW!$NE$2:$NE$60=K$3)*(GMW!$ND$2:$ND$60=K$4)*(GMW!$NF$2:$NF$60=K$1),0),$F260-1966)</f>
        <v>735.68489999999997</v>
      </c>
      <c r="L260" s="4" cm="1">
        <f t="array" ref="L260">INDEX(GMW!$A$2:$NF$60,MATCH(1,(GMW!$NE$2:$NE$60=L$3)*(GMW!$ND$2:$ND$60=L$4)*(GMW!$NF$2:$NF$60=L$1),0),$F260-1966)</f>
        <v>511.4803</v>
      </c>
      <c r="M260" s="4" cm="1">
        <f t="array" ref="M260">INDEX(GMW!$A$2:$NF$60,MATCH(1,(GMW!$NE$2:$NE$60=M$3)*(GMW!$ND$2:$ND$60=M$4)*(GMW!$NF$2:$NF$60=M$1),0),$F260-1966)</f>
        <v>752763.6</v>
      </c>
      <c r="N260" s="4" cm="1">
        <f t="array" ref="N260">INDEX(GMW!$A$2:$NF$60,MATCH(1,(GMW!$NE$2:$NE$60=N$3)*(GMW!$ND$2:$ND$60=N$4)*(GMW!$NF$2:$NF$60=N$1),0),$F260-1966)</f>
        <v>-66523.09</v>
      </c>
      <c r="O260" s="4" cm="1">
        <f t="array" ref="O260">INDEX(GMW!$A$2:$NF$60,MATCH(1,(GMW!$NE$2:$NE$60=O$3)*(GMW!$ND$2:$ND$60=O$4)*(GMW!$NF$2:$NF$60=O$1),0),$F260-1966)</f>
        <v>-966.47550000000001</v>
      </c>
      <c r="P260" s="4" cm="1">
        <f t="array" ref="P260">INDEX(GMW!$A$2:$NF$60,MATCH(1,(GMW!$NE$2:$NE$60=P$3)*(GMW!$ND$2:$ND$60=P$4)*(GMW!$NF$2:$NF$60=P$1),0),$F260-1966)</f>
        <v>-1694.7729999999999</v>
      </c>
      <c r="Q260" s="4" cm="1">
        <f t="array" ref="Q260">INDEX(GMW!$A$2:$NF$60,MATCH(1,(GMW!$NE$2:$NE$60=Q$3)*(GMW!$ND$2:$ND$60=Q$4)*(GMW!$NF$2:$NF$60=Q$1),0),$F260-1966)</f>
        <v>-22.90607</v>
      </c>
      <c r="R260" s="4" cm="1">
        <f t="array" ref="R260">INDEX(GMW!$A$2:$NF$60,MATCH(1,(GMW!$NE$2:$NE$60=R$3)*(GMW!$ND$2:$ND$60=R$4)*(GMW!$NF$2:$NF$60=R$1),0),$F260-1966)</f>
        <v>-34.422789999999999</v>
      </c>
      <c r="S260" s="4" cm="1">
        <f t="array" ref="S260">INDEX(GMW!$A$2:$NF$60,MATCH(1,(GMW!$NE$2:$NE$60=S$3)*(GMW!$ND$2:$ND$60=S$4)*(GMW!$NF$2:$NF$60=S$1),0),$F260-1966)</f>
        <v>-12.7638</v>
      </c>
      <c r="T260" s="4" cm="1">
        <f t="array" ref="T260">INDEX(GMW!$A$2:$NF$60,MATCH(1,(GMW!$NE$2:$NE$60=T$3)*(GMW!$ND$2:$ND$60=T$4)*(GMW!$NF$2:$NF$60=T$1),0),$F260-1966)</f>
        <v>-28168.59</v>
      </c>
      <c r="U260" s="4" cm="1">
        <f t="array" ref="U260">INDEX(GMW!$A$2:$NF$60,MATCH(1,(GMW!$NE$2:$NE$60=U$3)*(GMW!$ND$2:$ND$60=U$4)*(GMW!$NF$2:$NF$60=U$1),0),$F260-1966)</f>
        <v>4242547</v>
      </c>
      <c r="V260" s="4" cm="1">
        <f t="array" ref="V260">INDEX(GMW!$A$2:$NF$60,MATCH(1,(GMW!$NE$2:$NE$60=V$3)*(GMW!$ND$2:$ND$60=V$4)*(GMW!$NF$2:$NF$60=V$1),0),$F260-1966)</f>
        <v>75216.490000000005</v>
      </c>
      <c r="W260" s="4" cm="1">
        <f t="array" ref="W260">INDEX(GMW!$A$2:$NF$60,MATCH(1,(GMW!$NE$2:$NE$60=W$3)*(GMW!$ND$2:$ND$60=W$4)*(GMW!$NF$2:$NF$60=W$1),0),$F260-1966)</f>
        <v>1542688</v>
      </c>
      <c r="X260" s="4" cm="1">
        <f t="array" ref="X260">INDEX(GMW!$A$2:$NF$60,MATCH(1,(GMW!$NE$2:$NE$60=X$3)*(GMW!$ND$2:$ND$60=X$4)*(GMW!$NF$2:$NF$60=X$1),0),$F260-1966)</f>
        <v>4039.509</v>
      </c>
      <c r="Y260" s="4" cm="1">
        <f t="array" ref="Y260">INDEX(GMW!$A$2:$NF$60,MATCH(1,(GMW!$NE$2:$NE$60=Y$3)*(GMW!$ND$2:$ND$60=Y$4)*(GMW!$NF$2:$NF$60=Y$1),0),$F260-1966)</f>
        <v>5369.11</v>
      </c>
      <c r="Z260" s="4" cm="1">
        <f t="array" ref="Z260">INDEX(GMW!$A$2:$NF$60,MATCH(1,(GMW!$NE$2:$NE$60=Z$3)*(GMW!$ND$2:$ND$60=Z$4)*(GMW!$NF$2:$NF$60=Z$1),0),$F260-1966)</f>
        <v>4093.3629999999998</v>
      </c>
      <c r="AA260" s="4" cm="1">
        <f t="array" ref="AA260">INDEX(GMW!$A$2:$NF$60,MATCH(1,(GMW!$NE$2:$NE$60=AA$3)*(GMW!$ND$2:$ND$60=AA$4)*(GMW!$NF$2:$NF$60=AA$1),0),$F260-1966)</f>
        <v>4588160</v>
      </c>
      <c r="AB260" s="4" cm="1">
        <f t="array" ref="AB260">INDEX(GMW!$A$2:$NF$60,MATCH(1,(GMW!$NE$2:$NE$60=AB$3)*(GMW!$ND$2:$ND$60=AB$4)*(GMW!$NF$2:$NF$60=AB$1),0),$F260-1966)</f>
        <v>1109776</v>
      </c>
      <c r="AC260" s="4" cm="1">
        <f t="array" ref="AC260">INDEX(GMW!$A$2:$NF$60,MATCH(1,(GMW!$NE$2:$NE$60=AC$3)*(GMW!$ND$2:$ND$60=AC$4)*(GMW!$NF$2:$NF$60=AC$1),0),$F260-1966)</f>
        <v>11563.46</v>
      </c>
      <c r="AD260" s="4" cm="1">
        <f t="array" ref="AD260">INDEX(GMW!$A$2:$NF$60,MATCH(1,(GMW!$NE$2:$NE$60=AD$3)*(GMW!$ND$2:$ND$60=AD$4)*(GMW!$NF$2:$NF$60=AD$1),0),$F260-1966)</f>
        <v>181764.9</v>
      </c>
      <c r="AE260" s="4" cm="1">
        <f t="array" ref="AE260">INDEX(GMW!$A$2:$NF$60,MATCH(1,(GMW!$NE$2:$NE$60=AE$3)*(GMW!$ND$2:$ND$60=AE$4)*(GMW!$NF$2:$NF$60=AE$1),0),$F260-1966)</f>
        <v>1600.607</v>
      </c>
      <c r="AF260" s="4" cm="1">
        <f t="array" ref="AF260">INDEX(GMW!$A$2:$NF$60,MATCH(1,(GMW!$NE$2:$NE$60=AF$3)*(GMW!$ND$2:$ND$60=AF$4)*(GMW!$NF$2:$NF$60=AF$1),0),$F260-1966)</f>
        <v>1043.222</v>
      </c>
      <c r="AG260" s="4" cm="1">
        <f t="array" ref="AG260">INDEX(GMW!$A$2:$NF$60,MATCH(1,(GMW!$NE$2:$NE$60=AG$3)*(GMW!$ND$2:$ND$60=AG$4)*(GMW!$NF$2:$NF$60=AG$1),0),$F260-1966)</f>
        <v>719.38930000000005</v>
      </c>
      <c r="AH260" s="4" cm="1">
        <f t="array" ref="AH260">INDEX(GMW!$A$2:$NF$60,MATCH(1,(GMW!$NE$2:$NE$60=AH$3)*(GMW!$ND$2:$ND$60=AH$4)*(GMW!$NF$2:$NF$60=AH$1),0),$F260-1966)</f>
        <v>1191548</v>
      </c>
    </row>
    <row r="261" spans="1:34" x14ac:dyDescent="0.25">
      <c r="B261" s="4">
        <f t="shared" si="84"/>
        <v>2036</v>
      </c>
      <c r="C261" s="4">
        <f t="shared" si="84"/>
        <v>2036</v>
      </c>
      <c r="F261" s="4">
        <f t="shared" si="80"/>
        <v>2227</v>
      </c>
      <c r="G261" s="4" cm="1">
        <f t="array" ref="G261">INDEX(GMW!$A$2:$NF$60,MATCH(1,(GMW!$NE$2:$NE$60=G$3)*(GMW!$ND$2:$ND$60=G$4)*(GMW!$NF$2:$NF$60=G$1),0),$F261-1966)</f>
        <v>765976.1</v>
      </c>
      <c r="H261" s="4" cm="1">
        <f t="array" ref="H261">INDEX(GMW!$A$2:$NF$60,MATCH(1,(GMW!$NE$2:$NE$60=H$3)*(GMW!$ND$2:$ND$60=H$4)*(GMW!$NF$2:$NF$60=H$1),0),$F261-1966)</f>
        <v>7393.3389999999999</v>
      </c>
      <c r="I261" s="4" cm="1">
        <f t="array" ref="I261">INDEX(GMW!$A$2:$NF$60,MATCH(1,(GMW!$NE$2:$NE$60=I$3)*(GMW!$ND$2:$ND$60=I$4)*(GMW!$NF$2:$NF$60=I$1),0),$F261-1966)</f>
        <v>141672.6</v>
      </c>
      <c r="J261" s="4" cm="1">
        <f t="array" ref="J261">INDEX(GMW!$A$2:$NF$60,MATCH(1,(GMW!$NE$2:$NE$60=J$3)*(GMW!$ND$2:$ND$60=J$4)*(GMW!$NF$2:$NF$60=J$1),0),$F261-1966)</f>
        <v>1016.9059999999999</v>
      </c>
      <c r="K261" s="4" cm="1">
        <f t="array" ref="K261">INDEX(GMW!$A$2:$NF$60,MATCH(1,(GMW!$NE$2:$NE$60=K$3)*(GMW!$ND$2:$ND$60=K$4)*(GMW!$NF$2:$NF$60=K$1),0),$F261-1966)</f>
        <v>737.06129999999996</v>
      </c>
      <c r="L261" s="4" cm="1">
        <f t="array" ref="L261">INDEX(GMW!$A$2:$NF$60,MATCH(1,(GMW!$NE$2:$NE$60=L$3)*(GMW!$ND$2:$ND$60=L$4)*(GMW!$NF$2:$NF$60=L$1),0),$F261-1966)</f>
        <v>511.77350000000001</v>
      </c>
      <c r="M261" s="4" cm="1">
        <f t="array" ref="M261">INDEX(GMW!$A$2:$NF$60,MATCH(1,(GMW!$NE$2:$NE$60=M$3)*(GMW!$ND$2:$ND$60=M$4)*(GMW!$NF$2:$NF$60=M$1),0),$F261-1966)</f>
        <v>756496.7</v>
      </c>
      <c r="N261" s="4" cm="1">
        <f t="array" ref="N261">INDEX(GMW!$A$2:$NF$60,MATCH(1,(GMW!$NE$2:$NE$60=N$3)*(GMW!$ND$2:$ND$60=N$4)*(GMW!$NF$2:$NF$60=N$1),0),$F261-1966)</f>
        <v>-33768.160000000003</v>
      </c>
      <c r="O261" s="4" cm="1">
        <f t="array" ref="O261">INDEX(GMW!$A$2:$NF$60,MATCH(1,(GMW!$NE$2:$NE$60=O$3)*(GMW!$ND$2:$ND$60=O$4)*(GMW!$NF$2:$NF$60=O$1),0),$F261-1966)</f>
        <v>-971.39829999999995</v>
      </c>
      <c r="P261" s="4" cm="1">
        <f t="array" ref="P261">INDEX(GMW!$A$2:$NF$60,MATCH(1,(GMW!$NE$2:$NE$60=P$3)*(GMW!$ND$2:$ND$60=P$4)*(GMW!$NF$2:$NF$60=P$1),0),$F261-1966)</f>
        <v>-1699.953</v>
      </c>
      <c r="Q261" s="4" cm="1">
        <f t="array" ref="Q261">INDEX(GMW!$A$2:$NF$60,MATCH(1,(GMW!$NE$2:$NE$60=Q$3)*(GMW!$ND$2:$ND$60=Q$4)*(GMW!$NF$2:$NF$60=Q$1),0),$F261-1966)</f>
        <v>-23.065799999999999</v>
      </c>
      <c r="R261" s="4" cm="1">
        <f t="array" ref="R261">INDEX(GMW!$A$2:$NF$60,MATCH(1,(GMW!$NE$2:$NE$60=R$3)*(GMW!$ND$2:$ND$60=R$4)*(GMW!$NF$2:$NF$60=R$1),0),$F261-1966)</f>
        <v>-34.655270000000002</v>
      </c>
      <c r="S261" s="4" cm="1">
        <f t="array" ref="S261">INDEX(GMW!$A$2:$NF$60,MATCH(1,(GMW!$NE$2:$NE$60=S$3)*(GMW!$ND$2:$ND$60=S$4)*(GMW!$NF$2:$NF$60=S$1),0),$F261-1966)</f>
        <v>-12.834899999999999</v>
      </c>
      <c r="T261" s="4" cm="1">
        <f t="array" ref="T261">INDEX(GMW!$A$2:$NF$60,MATCH(1,(GMW!$NE$2:$NE$60=T$3)*(GMW!$ND$2:$ND$60=T$4)*(GMW!$NF$2:$NF$60=T$1),0),$F261-1966)</f>
        <v>-28288.94</v>
      </c>
      <c r="U261" s="4" cm="1">
        <f t="array" ref="U261">INDEX(GMW!$A$2:$NF$60,MATCH(1,(GMW!$NE$2:$NE$60=U$3)*(GMW!$ND$2:$ND$60=U$4)*(GMW!$NF$2:$NF$60=U$1),0),$F261-1966)</f>
        <v>4276315</v>
      </c>
      <c r="V261" s="4" cm="1">
        <f t="array" ref="V261">INDEX(GMW!$A$2:$NF$60,MATCH(1,(GMW!$NE$2:$NE$60=V$3)*(GMW!$ND$2:$ND$60=V$4)*(GMW!$NF$2:$NF$60=V$1),0),$F261-1966)</f>
        <v>76187.89</v>
      </c>
      <c r="W261" s="4" cm="1">
        <f t="array" ref="W261">INDEX(GMW!$A$2:$NF$60,MATCH(1,(GMW!$NE$2:$NE$60=W$3)*(GMW!$ND$2:$ND$60=W$4)*(GMW!$NF$2:$NF$60=W$1),0),$F261-1966)</f>
        <v>1544388</v>
      </c>
      <c r="X261" s="4" cm="1">
        <f t="array" ref="X261">INDEX(GMW!$A$2:$NF$60,MATCH(1,(GMW!$NE$2:$NE$60=X$3)*(GMW!$ND$2:$ND$60=X$4)*(GMW!$NF$2:$NF$60=X$1),0),$F261-1966)</f>
        <v>4062.5749999999998</v>
      </c>
      <c r="Y261" s="4" cm="1">
        <f t="array" ref="Y261">INDEX(GMW!$A$2:$NF$60,MATCH(1,(GMW!$NE$2:$NE$60=Y$3)*(GMW!$ND$2:$ND$60=Y$4)*(GMW!$NF$2:$NF$60=Y$1),0),$F261-1966)</f>
        <v>5403.7659999999996</v>
      </c>
      <c r="Z261" s="4" cm="1">
        <f t="array" ref="Z261">INDEX(GMW!$A$2:$NF$60,MATCH(1,(GMW!$NE$2:$NE$60=Z$3)*(GMW!$ND$2:$ND$60=Z$4)*(GMW!$NF$2:$NF$60=Z$1),0),$F261-1966)</f>
        <v>4106.1980000000003</v>
      </c>
      <c r="AA261" s="4" cm="1">
        <f t="array" ref="AA261">INDEX(GMW!$A$2:$NF$60,MATCH(1,(GMW!$NE$2:$NE$60=AA$3)*(GMW!$ND$2:$ND$60=AA$4)*(GMW!$NF$2:$NF$60=AA$1),0),$F261-1966)</f>
        <v>4616449</v>
      </c>
      <c r="AB261" s="4" cm="1">
        <f t="array" ref="AB261">INDEX(GMW!$A$2:$NF$60,MATCH(1,(GMW!$NE$2:$NE$60=AB$3)*(GMW!$ND$2:$ND$60=AB$4)*(GMW!$NF$2:$NF$60=AB$1),0),$F261-1966)</f>
        <v>1120025</v>
      </c>
      <c r="AC261" s="4" cm="1">
        <f t="array" ref="AC261">INDEX(GMW!$A$2:$NF$60,MATCH(1,(GMW!$NE$2:$NE$60=AC$3)*(GMW!$ND$2:$ND$60=AC$4)*(GMW!$NF$2:$NF$60=AC$1),0),$F261-1966)</f>
        <v>11668.14</v>
      </c>
      <c r="AD261" s="4" cm="1">
        <f t="array" ref="AD261">INDEX(GMW!$A$2:$NF$60,MATCH(1,(GMW!$NE$2:$NE$60=AD$3)*(GMW!$ND$2:$ND$60=AD$4)*(GMW!$NF$2:$NF$60=AD$1),0),$F261-1966)</f>
        <v>182312</v>
      </c>
      <c r="AE261" s="4" cm="1">
        <f t="array" ref="AE261">INDEX(GMW!$A$2:$NF$60,MATCH(1,(GMW!$NE$2:$NE$60=AE$3)*(GMW!$ND$2:$ND$60=AE$4)*(GMW!$NF$2:$NF$60=AE$1),0),$F261-1966)</f>
        <v>1611.635</v>
      </c>
      <c r="AF261" s="4" cm="1">
        <f t="array" ref="AF261">INDEX(GMW!$A$2:$NF$60,MATCH(1,(GMW!$NE$2:$NE$60=AF$3)*(GMW!$ND$2:$ND$60=AF$4)*(GMW!$NF$2:$NF$60=AF$1),0),$F261-1966)</f>
        <v>1050.251</v>
      </c>
      <c r="AG261" s="4" cm="1">
        <f t="array" ref="AG261">INDEX(GMW!$A$2:$NF$60,MATCH(1,(GMW!$NE$2:$NE$60=AG$3)*(GMW!$ND$2:$ND$60=AG$4)*(GMW!$NF$2:$NF$60=AG$1),0),$F261-1966)</f>
        <v>723.4067</v>
      </c>
      <c r="AH261" s="4" cm="1">
        <f t="array" ref="AH261">INDEX(GMW!$A$2:$NF$60,MATCH(1,(GMW!$NE$2:$NE$60=AH$3)*(GMW!$ND$2:$ND$60=AH$4)*(GMW!$NF$2:$NF$60=AH$1),0),$F261-1966)</f>
        <v>1203194</v>
      </c>
    </row>
    <row r="262" spans="1:34" x14ac:dyDescent="0.25">
      <c r="B262" s="4">
        <f t="shared" si="84"/>
        <v>2036</v>
      </c>
      <c r="C262" s="4">
        <f t="shared" si="84"/>
        <v>2036</v>
      </c>
      <c r="E262" s="4">
        <f t="shared" ref="E262" si="87">+E258+1</f>
        <v>2036</v>
      </c>
      <c r="F262" s="4">
        <f t="shared" si="80"/>
        <v>2228</v>
      </c>
      <c r="G262" s="4" cm="1">
        <f t="array" ref="G262">INDEX(GMW!$A$2:$NF$60,MATCH(1,(GMW!$NE$2:$NE$60=G$3)*(GMW!$ND$2:$ND$60=G$4)*(GMW!$NF$2:$NF$60=G$1),0),$F262-1966)</f>
        <v>768955.1</v>
      </c>
      <c r="H262" s="4" cm="1">
        <f t="array" ref="H262">INDEX(GMW!$A$2:$NF$60,MATCH(1,(GMW!$NE$2:$NE$60=H$3)*(GMW!$ND$2:$ND$60=H$4)*(GMW!$NF$2:$NF$60=H$1),0),$F262-1966)</f>
        <v>7426.2889999999998</v>
      </c>
      <c r="I262" s="4" cm="1">
        <f t="array" ref="I262">INDEX(GMW!$A$2:$NF$60,MATCH(1,(GMW!$NE$2:$NE$60=I$3)*(GMW!$ND$2:$ND$60=I$4)*(GMW!$NF$2:$NF$60=I$1),0),$F262-1966)</f>
        <v>141585</v>
      </c>
      <c r="J262" s="4" cm="1">
        <f t="array" ref="J262">INDEX(GMW!$A$2:$NF$60,MATCH(1,(GMW!$NE$2:$NE$60=J$3)*(GMW!$ND$2:$ND$60=J$4)*(GMW!$NF$2:$NF$60=J$1),0),$F262-1966)</f>
        <v>1018.852</v>
      </c>
      <c r="K262" s="4" cm="1">
        <f t="array" ref="K262">INDEX(GMW!$A$2:$NF$60,MATCH(1,(GMW!$NE$2:$NE$60=K$3)*(GMW!$ND$2:$ND$60=K$4)*(GMW!$NF$2:$NF$60=K$1),0),$F262-1966)</f>
        <v>738.24620000000004</v>
      </c>
      <c r="L262" s="4" cm="1">
        <f t="array" ref="L262">INDEX(GMW!$A$2:$NF$60,MATCH(1,(GMW!$NE$2:$NE$60=L$3)*(GMW!$ND$2:$ND$60=L$4)*(GMW!$NF$2:$NF$60=L$1),0),$F262-1966)</f>
        <v>512.06529999999998</v>
      </c>
      <c r="M262" s="4" cm="1">
        <f t="array" ref="M262">INDEX(GMW!$A$2:$NF$60,MATCH(1,(GMW!$NE$2:$NE$60=M$3)*(GMW!$ND$2:$ND$60=M$4)*(GMW!$NF$2:$NF$60=M$1),0),$F262-1966)</f>
        <v>760257.2</v>
      </c>
      <c r="N262" s="4" cm="1">
        <f t="array" ref="N262">INDEX(GMW!$A$2:$NF$60,MATCH(1,(GMW!$NE$2:$NE$60=N$3)*(GMW!$ND$2:$ND$60=N$4)*(GMW!$NF$2:$NF$60=N$1),0),$F262-1966)</f>
        <v>-62842.31</v>
      </c>
      <c r="O262" s="4" cm="1">
        <f t="array" ref="O262">INDEX(GMW!$A$2:$NF$60,MATCH(1,(GMW!$NE$2:$NE$60=O$3)*(GMW!$ND$2:$ND$60=O$4)*(GMW!$NF$2:$NF$60=O$1),0),$F262-1966)</f>
        <v>-976.26279999999997</v>
      </c>
      <c r="P262" s="4" cm="1">
        <f t="array" ref="P262">INDEX(GMW!$A$2:$NF$60,MATCH(1,(GMW!$NE$2:$NE$60=P$3)*(GMW!$ND$2:$ND$60=P$4)*(GMW!$NF$2:$NF$60=P$1),0),$F262-1966)</f>
        <v>-1705.07</v>
      </c>
      <c r="Q262" s="4" cm="1">
        <f t="array" ref="Q262">INDEX(GMW!$A$2:$NF$60,MATCH(1,(GMW!$NE$2:$NE$60=Q$3)*(GMW!$ND$2:$ND$60=Q$4)*(GMW!$NF$2:$NF$60=Q$1),0),$F262-1966)</f>
        <v>-23.22644</v>
      </c>
      <c r="R262" s="4" cm="1">
        <f t="array" ref="R262">INDEX(GMW!$A$2:$NF$60,MATCH(1,(GMW!$NE$2:$NE$60=R$3)*(GMW!$ND$2:$ND$60=R$4)*(GMW!$NF$2:$NF$60=R$1),0),$F262-1966)</f>
        <v>-34.874510000000001</v>
      </c>
      <c r="S262" s="4" cm="1">
        <f t="array" ref="S262">INDEX(GMW!$A$2:$NF$60,MATCH(1,(GMW!$NE$2:$NE$60=S$3)*(GMW!$ND$2:$ND$60=S$4)*(GMW!$NF$2:$NF$60=S$1),0),$F262-1966)</f>
        <v>-12.90659</v>
      </c>
      <c r="T262" s="4" cm="1">
        <f t="array" ref="T262">INDEX(GMW!$A$2:$NF$60,MATCH(1,(GMW!$NE$2:$NE$60=T$3)*(GMW!$ND$2:$ND$60=T$4)*(GMW!$NF$2:$NF$60=T$1),0),$F262-1966)</f>
        <v>-28478.880000000001</v>
      </c>
      <c r="U262" s="4" cm="1">
        <f t="array" ref="U262">INDEX(GMW!$A$2:$NF$60,MATCH(1,(GMW!$NE$2:$NE$60=U$3)*(GMW!$ND$2:$ND$60=U$4)*(GMW!$NF$2:$NF$60=U$1),0),$F262-1966)</f>
        <v>4339157</v>
      </c>
      <c r="V262" s="4" cm="1">
        <f t="array" ref="V262">INDEX(GMW!$A$2:$NF$60,MATCH(1,(GMW!$NE$2:$NE$60=V$3)*(GMW!$ND$2:$ND$60=V$4)*(GMW!$NF$2:$NF$60=V$1),0),$F262-1966)</f>
        <v>77164.160000000003</v>
      </c>
      <c r="W262" s="4" cm="1">
        <f t="array" ref="W262">INDEX(GMW!$A$2:$NF$60,MATCH(1,(GMW!$NE$2:$NE$60=W$3)*(GMW!$ND$2:$ND$60=W$4)*(GMW!$NF$2:$NF$60=W$1),0),$F262-1966)</f>
        <v>1546094</v>
      </c>
      <c r="X262" s="4" cm="1">
        <f t="array" ref="X262">INDEX(GMW!$A$2:$NF$60,MATCH(1,(GMW!$NE$2:$NE$60=X$3)*(GMW!$ND$2:$ND$60=X$4)*(GMW!$NF$2:$NF$60=X$1),0),$F262-1966)</f>
        <v>4085.8020000000001</v>
      </c>
      <c r="Y262" s="4" cm="1">
        <f t="array" ref="Y262">INDEX(GMW!$A$2:$NF$60,MATCH(1,(GMW!$NE$2:$NE$60=Y$3)*(GMW!$ND$2:$ND$60=Y$4)*(GMW!$NF$2:$NF$60=Y$1),0),$F262-1966)</f>
        <v>5438.64</v>
      </c>
      <c r="Z262" s="4" cm="1">
        <f t="array" ref="Z262">INDEX(GMW!$A$2:$NF$60,MATCH(1,(GMW!$NE$2:$NE$60=Z$3)*(GMW!$ND$2:$ND$60=Z$4)*(GMW!$NF$2:$NF$60=Z$1),0),$F262-1966)</f>
        <v>4119.1049999999996</v>
      </c>
      <c r="AA262" s="4" cm="1">
        <f t="array" ref="AA262">INDEX(GMW!$A$2:$NF$60,MATCH(1,(GMW!$NE$2:$NE$60=AA$3)*(GMW!$ND$2:$ND$60=AA$4)*(GMW!$NF$2:$NF$60=AA$1),0),$F262-1966)</f>
        <v>4644928</v>
      </c>
      <c r="AB262" s="4" cm="1">
        <f t="array" ref="AB262">INDEX(GMW!$A$2:$NF$60,MATCH(1,(GMW!$NE$2:$NE$60=AB$3)*(GMW!$ND$2:$ND$60=AB$4)*(GMW!$NF$2:$NF$60=AB$1),0),$F262-1966)</f>
        <v>1130374</v>
      </c>
      <c r="AC262" s="4" cm="1">
        <f t="array" ref="AC262">INDEX(GMW!$A$2:$NF$60,MATCH(1,(GMW!$NE$2:$NE$60=AC$3)*(GMW!$ND$2:$ND$60=AC$4)*(GMW!$NF$2:$NF$60=AC$1),0),$F262-1966)</f>
        <v>11773.8</v>
      </c>
      <c r="AD262" s="4" cm="1">
        <f t="array" ref="AD262">INDEX(GMW!$A$2:$NF$60,MATCH(1,(GMW!$NE$2:$NE$60=AD$3)*(GMW!$ND$2:$ND$60=AD$4)*(GMW!$NF$2:$NF$60=AD$1),0),$F262-1966)</f>
        <v>182854.8</v>
      </c>
      <c r="AE262" s="4" cm="1">
        <f t="array" ref="AE262">INDEX(GMW!$A$2:$NF$60,MATCH(1,(GMW!$NE$2:$NE$60=AE$3)*(GMW!$ND$2:$ND$60=AE$4)*(GMW!$NF$2:$NF$60=AE$1),0),$F262-1966)</f>
        <v>1622.731</v>
      </c>
      <c r="AF262" s="4" cm="1">
        <f t="array" ref="AF262">INDEX(GMW!$A$2:$NF$60,MATCH(1,(GMW!$NE$2:$NE$60=AF$3)*(GMW!$ND$2:$ND$60=AF$4)*(GMW!$NF$2:$NF$60=AF$1),0),$F262-1966)</f>
        <v>1056.9960000000001</v>
      </c>
      <c r="AG262" s="4" cm="1">
        <f t="array" ref="AG262">INDEX(GMW!$A$2:$NF$60,MATCH(1,(GMW!$NE$2:$NE$60=AG$3)*(GMW!$ND$2:$ND$60=AG$4)*(GMW!$NF$2:$NF$60=AG$1),0),$F262-1966)</f>
        <v>727.43349999999998</v>
      </c>
      <c r="AH262" s="4" cm="1">
        <f t="array" ref="AH262">INDEX(GMW!$A$2:$NF$60,MATCH(1,(GMW!$NE$2:$NE$60=AH$3)*(GMW!$ND$2:$ND$60=AH$4)*(GMW!$NF$2:$NF$60=AH$1),0),$F262-1966)</f>
        <v>1214976</v>
      </c>
    </row>
    <row r="263" spans="1:34" x14ac:dyDescent="0.25">
      <c r="A263" s="4">
        <v>2037</v>
      </c>
      <c r="B263" s="4">
        <f t="shared" si="84"/>
        <v>2037</v>
      </c>
      <c r="C263" s="4">
        <f t="shared" si="84"/>
        <v>2036</v>
      </c>
      <c r="D263" s="4">
        <f t="shared" si="84"/>
        <v>2036</v>
      </c>
      <c r="F263" s="4">
        <f t="shared" si="80"/>
        <v>2229</v>
      </c>
      <c r="G263" s="4" cm="1">
        <f t="array" ref="G263">INDEX(GMW!$A$2:$NF$60,MATCH(1,(GMW!$NE$2:$NE$60=G$3)*(GMW!$ND$2:$ND$60=G$4)*(GMW!$NF$2:$NF$60=G$1),0),$F263-1966)</f>
        <v>771949.1</v>
      </c>
      <c r="H263" s="4" cm="1">
        <f t="array" ref="H263">INDEX(GMW!$A$2:$NF$60,MATCH(1,(GMW!$NE$2:$NE$60=H$3)*(GMW!$ND$2:$ND$60=H$4)*(GMW!$NF$2:$NF$60=H$1),0),$F263-1966)</f>
        <v>7459.1109999999999</v>
      </c>
      <c r="I263" s="4" cm="1">
        <f t="array" ref="I263">INDEX(GMW!$A$2:$NF$60,MATCH(1,(GMW!$NE$2:$NE$60=I$3)*(GMW!$ND$2:$ND$60=I$4)*(GMW!$NF$2:$NF$60=I$1),0),$F263-1966)</f>
        <v>141496.79999999999</v>
      </c>
      <c r="J263" s="4" cm="1">
        <f t="array" ref="J263">INDEX(GMW!$A$2:$NF$60,MATCH(1,(GMW!$NE$2:$NE$60=J$3)*(GMW!$ND$2:$ND$60=J$4)*(GMW!$NF$2:$NF$60=J$1),0),$F263-1966)</f>
        <v>1020.899</v>
      </c>
      <c r="K263" s="4" cm="1">
        <f t="array" ref="K263">INDEX(GMW!$A$2:$NF$60,MATCH(1,(GMW!$NE$2:$NE$60=K$3)*(GMW!$ND$2:$ND$60=K$4)*(GMW!$NF$2:$NF$60=K$1),0),$F263-1966)</f>
        <v>739.54679999999996</v>
      </c>
      <c r="L263" s="4" cm="1">
        <f t="array" ref="L263">INDEX(GMW!$A$2:$NF$60,MATCH(1,(GMW!$NE$2:$NE$60=L$3)*(GMW!$ND$2:$ND$60=L$4)*(GMW!$NF$2:$NF$60=L$1),0),$F263-1966)</f>
        <v>512.34280000000001</v>
      </c>
      <c r="M263" s="4" cm="1">
        <f t="array" ref="M263">INDEX(GMW!$A$2:$NF$60,MATCH(1,(GMW!$NE$2:$NE$60=M$3)*(GMW!$ND$2:$ND$60=M$4)*(GMW!$NF$2:$NF$60=M$1),0),$F263-1966)</f>
        <v>764053.3</v>
      </c>
      <c r="N263" s="4" cm="1">
        <f t="array" ref="N263">INDEX(GMW!$A$2:$NF$60,MATCH(1,(GMW!$NE$2:$NE$60=N$3)*(GMW!$ND$2:$ND$60=N$4)*(GMW!$NF$2:$NF$60=N$1),0),$F263-1966)</f>
        <v>744.375</v>
      </c>
      <c r="O263" s="4" cm="1">
        <f t="array" ref="O263">INDEX(GMW!$A$2:$NF$60,MATCH(1,(GMW!$NE$2:$NE$60=O$3)*(GMW!$ND$2:$ND$60=O$4)*(GMW!$NF$2:$NF$60=O$1),0),$F263-1966)</f>
        <v>-981.08889999999997</v>
      </c>
      <c r="P263" s="4" cm="1">
        <f t="array" ref="P263">INDEX(GMW!$A$2:$NF$60,MATCH(1,(GMW!$NE$2:$NE$60=P$3)*(GMW!$ND$2:$ND$60=P$4)*(GMW!$NF$2:$NF$60=P$1),0),$F263-1966)</f>
        <v>-1710.1479999999999</v>
      </c>
      <c r="Q263" s="4" cm="1">
        <f t="array" ref="Q263">INDEX(GMW!$A$2:$NF$60,MATCH(1,(GMW!$NE$2:$NE$60=Q$3)*(GMW!$ND$2:$ND$60=Q$4)*(GMW!$NF$2:$NF$60=Q$1),0),$F263-1966)</f>
        <v>-23.39001</v>
      </c>
      <c r="R263" s="4" cm="1">
        <f t="array" ref="R263">INDEX(GMW!$A$2:$NF$60,MATCH(1,(GMW!$NE$2:$NE$60=R$3)*(GMW!$ND$2:$ND$60=R$4)*(GMW!$NF$2:$NF$60=R$1),0),$F263-1966)</f>
        <v>-35.114930000000001</v>
      </c>
      <c r="S263" s="4" cm="1">
        <f t="array" ref="S263">INDEX(GMW!$A$2:$NF$60,MATCH(1,(GMW!$NE$2:$NE$60=S$3)*(GMW!$ND$2:$ND$60=S$4)*(GMW!$NF$2:$NF$60=S$1),0),$F263-1966)</f>
        <v>-12.97846</v>
      </c>
      <c r="T263" s="4" cm="1">
        <f t="array" ref="T263">INDEX(GMW!$A$2:$NF$60,MATCH(1,(GMW!$NE$2:$NE$60=T$3)*(GMW!$ND$2:$ND$60=T$4)*(GMW!$NF$2:$NF$60=T$1),0),$F263-1966)</f>
        <v>-28757.63</v>
      </c>
      <c r="U263" s="4" cm="1">
        <f t="array" ref="U263">INDEX(GMW!$A$2:$NF$60,MATCH(1,(GMW!$NE$2:$NE$60=U$3)*(GMW!$ND$2:$ND$60=U$4)*(GMW!$NF$2:$NF$60=U$1),0),$F263-1966)</f>
        <v>4338413</v>
      </c>
      <c r="V263" s="4" cm="1">
        <f t="array" ref="V263">INDEX(GMW!$A$2:$NF$60,MATCH(1,(GMW!$NE$2:$NE$60=V$3)*(GMW!$ND$2:$ND$60=V$4)*(GMW!$NF$2:$NF$60=V$1),0),$F263-1966)</f>
        <v>78145.240000000005</v>
      </c>
      <c r="W263" s="4" cm="1">
        <f t="array" ref="W263">INDEX(GMW!$A$2:$NF$60,MATCH(1,(GMW!$NE$2:$NE$60=W$3)*(GMW!$ND$2:$ND$60=W$4)*(GMW!$NF$2:$NF$60=W$1),0),$F263-1966)</f>
        <v>1547804</v>
      </c>
      <c r="X263" s="4" cm="1">
        <f t="array" ref="X263">INDEX(GMW!$A$2:$NF$60,MATCH(1,(GMW!$NE$2:$NE$60=X$3)*(GMW!$ND$2:$ND$60=X$4)*(GMW!$NF$2:$NF$60=X$1),0),$F263-1966)</f>
        <v>4109.192</v>
      </c>
      <c r="Y263" s="4" cm="1">
        <f t="array" ref="Y263">INDEX(GMW!$A$2:$NF$60,MATCH(1,(GMW!$NE$2:$NE$60=Y$3)*(GMW!$ND$2:$ND$60=Y$4)*(GMW!$NF$2:$NF$60=Y$1),0),$F263-1966)</f>
        <v>5473.7550000000001</v>
      </c>
      <c r="Z263" s="4" cm="1">
        <f t="array" ref="Z263">INDEX(GMW!$A$2:$NF$60,MATCH(1,(GMW!$NE$2:$NE$60=Z$3)*(GMW!$ND$2:$ND$60=Z$4)*(GMW!$NF$2:$NF$60=Z$1),0),$F263-1966)</f>
        <v>4132.0829999999996</v>
      </c>
      <c r="AA263" s="4" cm="1">
        <f t="array" ref="AA263">INDEX(GMW!$A$2:$NF$60,MATCH(1,(GMW!$NE$2:$NE$60=AA$3)*(GMW!$ND$2:$ND$60=AA$4)*(GMW!$NF$2:$NF$60=AA$1),0),$F263-1966)</f>
        <v>4673685</v>
      </c>
      <c r="AB263" s="4" cm="1">
        <f t="array" ref="AB263">INDEX(GMW!$A$2:$NF$60,MATCH(1,(GMW!$NE$2:$NE$60=AB$3)*(GMW!$ND$2:$ND$60=AB$4)*(GMW!$NF$2:$NF$60=AB$1),0),$F263-1966)</f>
        <v>1140823</v>
      </c>
      <c r="AC263" s="4" cm="1">
        <f t="array" ref="AC263">INDEX(GMW!$A$2:$NF$60,MATCH(1,(GMW!$NE$2:$NE$60=AC$3)*(GMW!$ND$2:$ND$60=AC$4)*(GMW!$NF$2:$NF$60=AC$1),0),$F263-1966)</f>
        <v>11880.05</v>
      </c>
      <c r="AD263" s="4" cm="1">
        <f t="array" ref="AD263">INDEX(GMW!$A$2:$NF$60,MATCH(1,(GMW!$NE$2:$NE$60=AD$3)*(GMW!$ND$2:$ND$60=AD$4)*(GMW!$NF$2:$NF$60=AD$1),0),$F263-1966)</f>
        <v>183410.3</v>
      </c>
      <c r="AE263" s="4" cm="1">
        <f t="array" ref="AE263">INDEX(GMW!$A$2:$NF$60,MATCH(1,(GMW!$NE$2:$NE$60=AE$3)*(GMW!$ND$2:$ND$60=AE$4)*(GMW!$NF$2:$NF$60=AE$1),0),$F263-1966)</f>
        <v>1634.058</v>
      </c>
      <c r="AF263" s="4" cm="1">
        <f t="array" ref="AF263">INDEX(GMW!$A$2:$NF$60,MATCH(1,(GMW!$NE$2:$NE$60=AF$3)*(GMW!$ND$2:$ND$60=AF$4)*(GMW!$NF$2:$NF$60=AF$1),0),$F263-1966)</f>
        <v>1064.039</v>
      </c>
      <c r="AG263" s="4" cm="1">
        <f t="array" ref="AG263">INDEX(GMW!$A$2:$NF$60,MATCH(1,(GMW!$NE$2:$NE$60=AG$3)*(GMW!$ND$2:$ND$60=AG$4)*(GMW!$NF$2:$NF$60=AG$1),0),$F263-1966)</f>
        <v>731.44290000000001</v>
      </c>
      <c r="AH263" s="4" cm="1">
        <f t="array" ref="AH263">INDEX(GMW!$A$2:$NF$60,MATCH(1,(GMW!$NE$2:$NE$60=AH$3)*(GMW!$ND$2:$ND$60=AH$4)*(GMW!$NF$2:$NF$60=AH$1),0),$F263-1966)</f>
        <v>1226907</v>
      </c>
    </row>
    <row r="264" spans="1:34" x14ac:dyDescent="0.25">
      <c r="B264" s="4">
        <f t="shared" si="84"/>
        <v>2037</v>
      </c>
      <c r="C264" s="4">
        <f t="shared" si="84"/>
        <v>2037</v>
      </c>
      <c r="F264" s="4">
        <f t="shared" si="80"/>
        <v>2230</v>
      </c>
      <c r="G264" s="4" cm="1">
        <f t="array" ref="G264">INDEX(GMW!$A$2:$NF$60,MATCH(1,(GMW!$NE$2:$NE$60=G$3)*(GMW!$ND$2:$ND$60=G$4)*(GMW!$NF$2:$NF$60=G$1),0),$F264-1966)</f>
        <v>774958</v>
      </c>
      <c r="H264" s="4" cm="1">
        <f t="array" ref="H264">INDEX(GMW!$A$2:$NF$60,MATCH(1,(GMW!$NE$2:$NE$60=H$3)*(GMW!$ND$2:$ND$60=H$4)*(GMW!$NF$2:$NF$60=H$1),0),$F264-1966)</f>
        <v>7492.0110000000004</v>
      </c>
      <c r="I264" s="4" cm="1">
        <f t="array" ref="I264">INDEX(GMW!$A$2:$NF$60,MATCH(1,(GMW!$NE$2:$NE$60=I$3)*(GMW!$ND$2:$ND$60=I$4)*(GMW!$NF$2:$NF$60=I$1),0),$F264-1966)</f>
        <v>141407.70000000001</v>
      </c>
      <c r="J264" s="4" cm="1">
        <f t="array" ref="J264">INDEX(GMW!$A$2:$NF$60,MATCH(1,(GMW!$NE$2:$NE$60=J$3)*(GMW!$ND$2:$ND$60=J$4)*(GMW!$NF$2:$NF$60=J$1),0),$F264-1966)</f>
        <v>1022.947</v>
      </c>
      <c r="K264" s="4" cm="1">
        <f t="array" ref="K264">INDEX(GMW!$A$2:$NF$60,MATCH(1,(GMW!$NE$2:$NE$60=K$3)*(GMW!$ND$2:$ND$60=K$4)*(GMW!$NF$2:$NF$60=K$1),0),$F264-1966)</f>
        <v>740.71529999999996</v>
      </c>
      <c r="L264" s="4" cm="1">
        <f t="array" ref="L264">INDEX(GMW!$A$2:$NF$60,MATCH(1,(GMW!$NE$2:$NE$60=L$3)*(GMW!$ND$2:$ND$60=L$4)*(GMW!$NF$2:$NF$60=L$1),0),$F264-1966)</f>
        <v>512.61800000000005</v>
      </c>
      <c r="M264" s="4" cm="1">
        <f t="array" ref="M264">INDEX(GMW!$A$2:$NF$60,MATCH(1,(GMW!$NE$2:$NE$60=M$3)*(GMW!$ND$2:$ND$60=M$4)*(GMW!$NF$2:$NF$60=M$1),0),$F264-1966)</f>
        <v>767846.1</v>
      </c>
      <c r="N264" s="4" cm="1">
        <f t="array" ref="N264">INDEX(GMW!$A$2:$NF$60,MATCH(1,(GMW!$NE$2:$NE$60=N$3)*(GMW!$ND$2:$ND$60=N$4)*(GMW!$NF$2:$NF$60=N$1),0),$F264-1966)</f>
        <v>-70248.03</v>
      </c>
      <c r="O264" s="4" cm="1">
        <f t="array" ref="O264">INDEX(GMW!$A$2:$NF$60,MATCH(1,(GMW!$NE$2:$NE$60=O$3)*(GMW!$ND$2:$ND$60=O$4)*(GMW!$NF$2:$NF$60=O$1),0),$F264-1966)</f>
        <v>-985.84389999999996</v>
      </c>
      <c r="P264" s="4" cm="1">
        <f t="array" ref="P264">INDEX(GMW!$A$2:$NF$60,MATCH(1,(GMW!$NE$2:$NE$60=P$3)*(GMW!$ND$2:$ND$60=P$4)*(GMW!$NF$2:$NF$60=P$1),0),$F264-1966)</f>
        <v>-1715.3440000000001</v>
      </c>
      <c r="Q264" s="4" cm="1">
        <f t="array" ref="Q264">INDEX(GMW!$A$2:$NF$60,MATCH(1,(GMW!$NE$2:$NE$60=Q$3)*(GMW!$ND$2:$ND$60=Q$4)*(GMW!$NF$2:$NF$60=Q$1),0),$F264-1966)</f>
        <v>-23.554379999999998</v>
      </c>
      <c r="R264" s="4" cm="1">
        <f t="array" ref="R264">INDEX(GMW!$A$2:$NF$60,MATCH(1,(GMW!$NE$2:$NE$60=R$3)*(GMW!$ND$2:$ND$60=R$4)*(GMW!$NF$2:$NF$60=R$1),0),$F264-1966)</f>
        <v>-35.335999999999999</v>
      </c>
      <c r="S264" s="4" cm="1">
        <f t="array" ref="S264">INDEX(GMW!$A$2:$NF$60,MATCH(1,(GMW!$NE$2:$NE$60=S$3)*(GMW!$ND$2:$ND$60=S$4)*(GMW!$NF$2:$NF$60=S$1),0),$F264-1966)</f>
        <v>-13.049989999999999</v>
      </c>
      <c r="T264" s="4" cm="1">
        <f t="array" ref="T264">INDEX(GMW!$A$2:$NF$60,MATCH(1,(GMW!$NE$2:$NE$60=T$3)*(GMW!$ND$2:$ND$60=T$4)*(GMW!$NF$2:$NF$60=T$1),0),$F264-1966)</f>
        <v>-28994.22</v>
      </c>
      <c r="U264" s="4" cm="1">
        <f t="array" ref="U264">INDEX(GMW!$A$2:$NF$60,MATCH(1,(GMW!$NE$2:$NE$60=U$3)*(GMW!$ND$2:$ND$60=U$4)*(GMW!$NF$2:$NF$60=U$1),0),$F264-1966)</f>
        <v>4408661</v>
      </c>
      <c r="V264" s="4" cm="1">
        <f t="array" ref="V264">INDEX(GMW!$A$2:$NF$60,MATCH(1,(GMW!$NE$2:$NE$60=V$3)*(GMW!$ND$2:$ND$60=V$4)*(GMW!$NF$2:$NF$60=V$1),0),$F264-1966)</f>
        <v>79131.09</v>
      </c>
      <c r="W264" s="4" cm="1">
        <f t="array" ref="W264">INDEX(GMW!$A$2:$NF$60,MATCH(1,(GMW!$NE$2:$NE$60=W$3)*(GMW!$ND$2:$ND$60=W$4)*(GMW!$NF$2:$NF$60=W$1),0),$F264-1966)</f>
        <v>1549519</v>
      </c>
      <c r="X264" s="4" cm="1">
        <f t="array" ref="X264">INDEX(GMW!$A$2:$NF$60,MATCH(1,(GMW!$NE$2:$NE$60=X$3)*(GMW!$ND$2:$ND$60=X$4)*(GMW!$NF$2:$NF$60=X$1),0),$F264-1966)</f>
        <v>4132.7460000000001</v>
      </c>
      <c r="Y264" s="4" cm="1">
        <f t="array" ref="Y264">INDEX(GMW!$A$2:$NF$60,MATCH(1,(GMW!$NE$2:$NE$60=Y$3)*(GMW!$ND$2:$ND$60=Y$4)*(GMW!$NF$2:$NF$60=Y$1),0),$F264-1966)</f>
        <v>5509.0910000000003</v>
      </c>
      <c r="Z264" s="4" cm="1">
        <f t="array" ref="Z264">INDEX(GMW!$A$2:$NF$60,MATCH(1,(GMW!$NE$2:$NE$60=Z$3)*(GMW!$ND$2:$ND$60=Z$4)*(GMW!$NF$2:$NF$60=Z$1),0),$F264-1966)</f>
        <v>4145.1329999999998</v>
      </c>
      <c r="AA264" s="4" cm="1">
        <f t="array" ref="AA264">INDEX(GMW!$A$2:$NF$60,MATCH(1,(GMW!$NE$2:$NE$60=AA$3)*(GMW!$ND$2:$ND$60=AA$4)*(GMW!$NF$2:$NF$60=AA$1),0),$F264-1966)</f>
        <v>4702679</v>
      </c>
      <c r="AB264" s="4" cm="1">
        <f t="array" ref="AB264">INDEX(GMW!$A$2:$NF$60,MATCH(1,(GMW!$NE$2:$NE$60=AB$3)*(GMW!$ND$2:$ND$60=AB$4)*(GMW!$NF$2:$NF$60=AB$1),0),$F264-1966)</f>
        <v>1151374</v>
      </c>
      <c r="AC264" s="4" cm="1">
        <f t="array" ref="AC264">INDEX(GMW!$A$2:$NF$60,MATCH(1,(GMW!$NE$2:$NE$60=AC$3)*(GMW!$ND$2:$ND$60=AC$4)*(GMW!$NF$2:$NF$60=AC$1),0),$F264-1966)</f>
        <v>11987.18</v>
      </c>
      <c r="AD264" s="4" cm="1">
        <f t="array" ref="AD264">INDEX(GMW!$A$2:$NF$60,MATCH(1,(GMW!$NE$2:$NE$60=AD$3)*(GMW!$ND$2:$ND$60=AD$4)*(GMW!$NF$2:$NF$60=AD$1),0),$F264-1966)</f>
        <v>183959</v>
      </c>
      <c r="AE264" s="4" cm="1">
        <f t="array" ref="AE264">INDEX(GMW!$A$2:$NF$60,MATCH(1,(GMW!$NE$2:$NE$60=AE$3)*(GMW!$ND$2:$ND$60=AE$4)*(GMW!$NF$2:$NF$60=AE$1),0),$F264-1966)</f>
        <v>1645.4580000000001</v>
      </c>
      <c r="AF264" s="4" cm="1">
        <f t="array" ref="AF264">INDEX(GMW!$A$2:$NF$60,MATCH(1,(GMW!$NE$2:$NE$60=AF$3)*(GMW!$ND$2:$ND$60=AF$4)*(GMW!$NF$2:$NF$60=AF$1),0),$F264-1966)</f>
        <v>1070.963</v>
      </c>
      <c r="AG264" s="4" cm="1">
        <f t="array" ref="AG264">INDEX(GMW!$A$2:$NF$60,MATCH(1,(GMW!$NE$2:$NE$60=AG$3)*(GMW!$ND$2:$ND$60=AG$4)*(GMW!$NF$2:$NF$60=AG$1),0),$F264-1966)</f>
        <v>735.49620000000004</v>
      </c>
      <c r="AH264" s="4" cm="1">
        <f t="array" ref="AH264">INDEX(GMW!$A$2:$NF$60,MATCH(1,(GMW!$NE$2:$NE$60=AH$3)*(GMW!$ND$2:$ND$60=AH$4)*(GMW!$NF$2:$NF$60=AH$1),0),$F264-1966)</f>
        <v>1238925</v>
      </c>
    </row>
    <row r="265" spans="1:34" x14ac:dyDescent="0.25">
      <c r="B265" s="4">
        <f t="shared" si="84"/>
        <v>2037</v>
      </c>
      <c r="C265" s="4">
        <f t="shared" si="84"/>
        <v>2037</v>
      </c>
      <c r="F265" s="4">
        <f t="shared" si="80"/>
        <v>2231</v>
      </c>
      <c r="G265" s="4" cm="1">
        <f t="array" ref="G265">INDEX(GMW!$A$2:$NF$60,MATCH(1,(GMW!$NE$2:$NE$60=G$3)*(GMW!$ND$2:$ND$60=G$4)*(GMW!$NF$2:$NF$60=G$1),0),$F265-1966)</f>
        <v>777982.3</v>
      </c>
      <c r="H265" s="4" cm="1">
        <f t="array" ref="H265">INDEX(GMW!$A$2:$NF$60,MATCH(1,(GMW!$NE$2:$NE$60=H$3)*(GMW!$ND$2:$ND$60=H$4)*(GMW!$NF$2:$NF$60=H$1),0),$F265-1966)</f>
        <v>7525.2629999999999</v>
      </c>
      <c r="I265" s="4" cm="1">
        <f t="array" ref="I265">INDEX(GMW!$A$2:$NF$60,MATCH(1,(GMW!$NE$2:$NE$60=I$3)*(GMW!$ND$2:$ND$60=I$4)*(GMW!$NF$2:$NF$60=I$1),0),$F265-1966)</f>
        <v>141316.29999999999</v>
      </c>
      <c r="J265" s="4" cm="1">
        <f t="array" ref="J265">INDEX(GMW!$A$2:$NF$60,MATCH(1,(GMW!$NE$2:$NE$60=J$3)*(GMW!$ND$2:$ND$60=J$4)*(GMW!$NF$2:$NF$60=J$1),0),$F265-1966)</f>
        <v>1024.9949999999999</v>
      </c>
      <c r="K265" s="4" cm="1">
        <f t="array" ref="K265">INDEX(GMW!$A$2:$NF$60,MATCH(1,(GMW!$NE$2:$NE$60=K$3)*(GMW!$ND$2:$ND$60=K$4)*(GMW!$NF$2:$NF$60=K$1),0),$F265-1966)</f>
        <v>742.07479999999998</v>
      </c>
      <c r="L265" s="4" cm="1">
        <f t="array" ref="L265">INDEX(GMW!$A$2:$NF$60,MATCH(1,(GMW!$NE$2:$NE$60=L$3)*(GMW!$ND$2:$ND$60=L$4)*(GMW!$NF$2:$NF$60=L$1),0),$F265-1966)</f>
        <v>512.89319999999998</v>
      </c>
      <c r="M265" s="4" cm="1">
        <f t="array" ref="M265">INDEX(GMW!$A$2:$NF$60,MATCH(1,(GMW!$NE$2:$NE$60=M$3)*(GMW!$ND$2:$ND$60=M$4)*(GMW!$NF$2:$NF$60=M$1),0),$F265-1966)</f>
        <v>771600.4</v>
      </c>
      <c r="N265" s="4" cm="1">
        <f t="array" ref="N265">INDEX(GMW!$A$2:$NF$60,MATCH(1,(GMW!$NE$2:$NE$60=N$3)*(GMW!$ND$2:$ND$60=N$4)*(GMW!$NF$2:$NF$60=N$1),0),$F265-1966)</f>
        <v>-36250.81</v>
      </c>
      <c r="O265" s="4" cm="1">
        <f t="array" ref="O265">INDEX(GMW!$A$2:$NF$60,MATCH(1,(GMW!$NE$2:$NE$60=O$3)*(GMW!$ND$2:$ND$60=O$4)*(GMW!$NF$2:$NF$60=O$1),0),$F265-1966)</f>
        <v>-990.50369999999998</v>
      </c>
      <c r="P265" s="4" cm="1">
        <f t="array" ref="P265">INDEX(GMW!$A$2:$NF$60,MATCH(1,(GMW!$NE$2:$NE$60=P$3)*(GMW!$ND$2:$ND$60=P$4)*(GMW!$NF$2:$NF$60=P$1),0),$F265-1966)</f>
        <v>-1720.4690000000001</v>
      </c>
      <c r="Q265" s="4" cm="1">
        <f t="array" ref="Q265">INDEX(GMW!$A$2:$NF$60,MATCH(1,(GMW!$NE$2:$NE$60=Q$3)*(GMW!$ND$2:$ND$60=Q$4)*(GMW!$NF$2:$NF$60=Q$1),0),$F265-1966)</f>
        <v>-23.7196</v>
      </c>
      <c r="R265" s="4" cm="1">
        <f t="array" ref="R265">INDEX(GMW!$A$2:$NF$60,MATCH(1,(GMW!$NE$2:$NE$60=R$3)*(GMW!$ND$2:$ND$60=R$4)*(GMW!$NF$2:$NF$60=R$1),0),$F265-1966)</f>
        <v>-35.581910000000001</v>
      </c>
      <c r="S265" s="4" cm="1">
        <f t="array" ref="S265">INDEX(GMW!$A$2:$NF$60,MATCH(1,(GMW!$NE$2:$NE$60=S$3)*(GMW!$ND$2:$ND$60=S$4)*(GMW!$NF$2:$NF$60=S$1),0),$F265-1966)</f>
        <v>-13.12229</v>
      </c>
      <c r="T265" s="4" cm="1">
        <f t="array" ref="T265">INDEX(GMW!$A$2:$NF$60,MATCH(1,(GMW!$NE$2:$NE$60=T$3)*(GMW!$ND$2:$ND$60=T$4)*(GMW!$NF$2:$NF$60=T$1),0),$F265-1966)</f>
        <v>-29163.88</v>
      </c>
      <c r="U265" s="4" cm="1">
        <f t="array" ref="U265">INDEX(GMW!$A$2:$NF$60,MATCH(1,(GMW!$NE$2:$NE$60=U$3)*(GMW!$ND$2:$ND$60=U$4)*(GMW!$NF$2:$NF$60=U$1),0),$F265-1966)</f>
        <v>4444912</v>
      </c>
      <c r="V265" s="4" cm="1">
        <f t="array" ref="V265">INDEX(GMW!$A$2:$NF$60,MATCH(1,(GMW!$NE$2:$NE$60=V$3)*(GMW!$ND$2:$ND$60=V$4)*(GMW!$NF$2:$NF$60=V$1),0),$F265-1966)</f>
        <v>80121.59</v>
      </c>
      <c r="W265" s="4" cm="1">
        <f t="array" ref="W265">INDEX(GMW!$A$2:$NF$60,MATCH(1,(GMW!$NE$2:$NE$60=W$3)*(GMW!$ND$2:$ND$60=W$4)*(GMW!$NF$2:$NF$60=W$1),0),$F265-1966)</f>
        <v>1551240</v>
      </c>
      <c r="X265" s="4" cm="1">
        <f t="array" ref="X265">INDEX(GMW!$A$2:$NF$60,MATCH(1,(GMW!$NE$2:$NE$60=X$3)*(GMW!$ND$2:$ND$60=X$4)*(GMW!$NF$2:$NF$60=X$1),0),$F265-1966)</f>
        <v>4156.4660000000003</v>
      </c>
      <c r="Y265" s="4" cm="1">
        <f t="array" ref="Y265">INDEX(GMW!$A$2:$NF$60,MATCH(1,(GMW!$NE$2:$NE$60=Y$3)*(GMW!$ND$2:$ND$60=Y$4)*(GMW!$NF$2:$NF$60=Y$1),0),$F265-1966)</f>
        <v>5544.6729999999998</v>
      </c>
      <c r="Z265" s="4" cm="1">
        <f t="array" ref="Z265">INDEX(GMW!$A$2:$NF$60,MATCH(1,(GMW!$NE$2:$NE$60=Z$3)*(GMW!$ND$2:$ND$60=Z$4)*(GMW!$NF$2:$NF$60=Z$1),0),$F265-1966)</f>
        <v>4158.2550000000001</v>
      </c>
      <c r="AA265" s="4" cm="1">
        <f t="array" ref="AA265">INDEX(GMW!$A$2:$NF$60,MATCH(1,(GMW!$NE$2:$NE$60=AA$3)*(GMW!$ND$2:$ND$60=AA$4)*(GMW!$NF$2:$NF$60=AA$1),0),$F265-1966)</f>
        <v>4731843</v>
      </c>
      <c r="AB265" s="4" cm="1">
        <f t="array" ref="AB265">INDEX(GMW!$A$2:$NF$60,MATCH(1,(GMW!$NE$2:$NE$60=AB$3)*(GMW!$ND$2:$ND$60=AB$4)*(GMW!$NF$2:$NF$60=AB$1),0),$F265-1966)</f>
        <v>1162028</v>
      </c>
      <c r="AC265" s="4" cm="1">
        <f t="array" ref="AC265">INDEX(GMW!$A$2:$NF$60,MATCH(1,(GMW!$NE$2:$NE$60=AC$3)*(GMW!$ND$2:$ND$60=AC$4)*(GMW!$NF$2:$NF$60=AC$1),0),$F265-1966)</f>
        <v>12095.58</v>
      </c>
      <c r="AD265" s="4" cm="1">
        <f t="array" ref="AD265">INDEX(GMW!$A$2:$NF$60,MATCH(1,(GMW!$NE$2:$NE$60=AD$3)*(GMW!$ND$2:$ND$60=AD$4)*(GMW!$NF$2:$NF$60=AD$1),0),$F265-1966)</f>
        <v>184503</v>
      </c>
      <c r="AE265" s="4" cm="1">
        <f t="array" ref="AE265">INDEX(GMW!$A$2:$NF$60,MATCH(1,(GMW!$NE$2:$NE$60=AE$3)*(GMW!$ND$2:$ND$60=AE$4)*(GMW!$NF$2:$NF$60=AE$1),0),$F265-1966)</f>
        <v>1656.932</v>
      </c>
      <c r="AF265" s="4" cm="1">
        <f t="array" ref="AF265">INDEX(GMW!$A$2:$NF$60,MATCH(1,(GMW!$NE$2:$NE$60=AF$3)*(GMW!$ND$2:$ND$60=AF$4)*(GMW!$NF$2:$NF$60=AF$1),0),$F265-1966)</f>
        <v>1078.2080000000001</v>
      </c>
      <c r="AG265" s="4" cm="1">
        <f t="array" ref="AG265">INDEX(GMW!$A$2:$NF$60,MATCH(1,(GMW!$NE$2:$NE$60=AG$3)*(GMW!$ND$2:$ND$60=AG$4)*(GMW!$NF$2:$NF$60=AG$1),0),$F265-1966)</f>
        <v>739.57709999999997</v>
      </c>
      <c r="AH265" s="4" cm="1">
        <f t="array" ref="AH265">INDEX(GMW!$A$2:$NF$60,MATCH(1,(GMW!$NE$2:$NE$60=AH$3)*(GMW!$ND$2:$ND$60=AH$4)*(GMW!$NF$2:$NF$60=AH$1),0),$F265-1966)</f>
        <v>1250971</v>
      </c>
    </row>
    <row r="266" spans="1:34" x14ac:dyDescent="0.25">
      <c r="B266" s="4">
        <f t="shared" si="84"/>
        <v>2037</v>
      </c>
      <c r="C266" s="4">
        <f t="shared" si="84"/>
        <v>2037</v>
      </c>
      <c r="E266" s="4">
        <f t="shared" ref="E266" si="88">+E262+1</f>
        <v>2037</v>
      </c>
      <c r="F266" s="4">
        <f t="shared" si="80"/>
        <v>2232</v>
      </c>
      <c r="G266" s="4" cm="1">
        <f t="array" ref="G266">INDEX(GMW!$A$2:$NF$60,MATCH(1,(GMW!$NE$2:$NE$60=G$3)*(GMW!$ND$2:$ND$60=G$4)*(GMW!$NF$2:$NF$60=G$1),0),$F266-1966)</f>
        <v>781021.9</v>
      </c>
      <c r="H266" s="4" cm="1">
        <f t="array" ref="H266">INDEX(GMW!$A$2:$NF$60,MATCH(1,(GMW!$NE$2:$NE$60=H$3)*(GMW!$ND$2:$ND$60=H$4)*(GMW!$NF$2:$NF$60=H$1),0),$F266-1966)</f>
        <v>7558.1639999999998</v>
      </c>
      <c r="I266" s="4" cm="1">
        <f t="array" ref="I266">INDEX(GMW!$A$2:$NF$60,MATCH(1,(GMW!$NE$2:$NE$60=I$3)*(GMW!$ND$2:$ND$60=I$4)*(GMW!$NF$2:$NF$60=I$1),0),$F266-1966)</f>
        <v>141222.1</v>
      </c>
      <c r="J266" s="4" cm="1">
        <f t="array" ref="J266">INDEX(GMW!$A$2:$NF$60,MATCH(1,(GMW!$NE$2:$NE$60=J$3)*(GMW!$ND$2:$ND$60=J$4)*(GMW!$NF$2:$NF$60=J$1),0),$F266-1966)</f>
        <v>1027.0450000000001</v>
      </c>
      <c r="K266" s="4" cm="1">
        <f t="array" ref="K266">INDEX(GMW!$A$2:$NF$60,MATCH(1,(GMW!$NE$2:$NE$60=K$3)*(GMW!$ND$2:$ND$60=K$4)*(GMW!$NF$2:$NF$60=K$1),0),$F266-1966)</f>
        <v>743.25900000000001</v>
      </c>
      <c r="L266" s="4" cm="1">
        <f t="array" ref="L266">INDEX(GMW!$A$2:$NF$60,MATCH(1,(GMW!$NE$2:$NE$60=L$3)*(GMW!$ND$2:$ND$60=L$4)*(GMW!$NF$2:$NF$60=L$1),0),$F266-1966)</f>
        <v>513.16409999999996</v>
      </c>
      <c r="M266" s="4" cm="1">
        <f t="array" ref="M266">INDEX(GMW!$A$2:$NF$60,MATCH(1,(GMW!$NE$2:$NE$60=M$3)*(GMW!$ND$2:$ND$60=M$4)*(GMW!$NF$2:$NF$60=M$1),0),$F266-1966)</f>
        <v>775320.9</v>
      </c>
      <c r="N266" s="4" cm="1">
        <f t="array" ref="N266">INDEX(GMW!$A$2:$NF$60,MATCH(1,(GMW!$NE$2:$NE$60=N$3)*(GMW!$ND$2:$ND$60=N$4)*(GMW!$NF$2:$NF$60=N$1),0),$F266-1966)</f>
        <v>-66479.5</v>
      </c>
      <c r="O266" s="4" cm="1">
        <f t="array" ref="O266">INDEX(GMW!$A$2:$NF$60,MATCH(1,(GMW!$NE$2:$NE$60=O$3)*(GMW!$ND$2:$ND$60=O$4)*(GMW!$NF$2:$NF$60=O$1),0),$F266-1966)</f>
        <v>-995.09609999999998</v>
      </c>
      <c r="P266" s="4" cm="1">
        <f t="array" ref="P266">INDEX(GMW!$A$2:$NF$60,MATCH(1,(GMW!$NE$2:$NE$60=P$3)*(GMW!$ND$2:$ND$60=P$4)*(GMW!$NF$2:$NF$60=P$1),0),$F266-1966)</f>
        <v>-1725.5550000000001</v>
      </c>
      <c r="Q266" s="4" cm="1">
        <f t="array" ref="Q266">INDEX(GMW!$A$2:$NF$60,MATCH(1,(GMW!$NE$2:$NE$60=Q$3)*(GMW!$ND$2:$ND$60=Q$4)*(GMW!$NF$2:$NF$60=Q$1),0),$F266-1966)</f>
        <v>-23.885680000000001</v>
      </c>
      <c r="R266" s="4" cm="1">
        <f t="array" ref="R266">INDEX(GMW!$A$2:$NF$60,MATCH(1,(GMW!$NE$2:$NE$60=R$3)*(GMW!$ND$2:$ND$60=R$4)*(GMW!$NF$2:$NF$60=R$1),0),$F266-1966)</f>
        <v>-35.811399999999999</v>
      </c>
      <c r="S266" s="4" cm="1">
        <f t="array" ref="S266">INDEX(GMW!$A$2:$NF$60,MATCH(1,(GMW!$NE$2:$NE$60=S$3)*(GMW!$ND$2:$ND$60=S$4)*(GMW!$NF$2:$NF$60=S$1),0),$F266-1966)</f>
        <v>-13.1951</v>
      </c>
      <c r="T266" s="4" cm="1">
        <f t="array" ref="T266">INDEX(GMW!$A$2:$NF$60,MATCH(1,(GMW!$NE$2:$NE$60=T$3)*(GMW!$ND$2:$ND$60=T$4)*(GMW!$NF$2:$NF$60=T$1),0),$F266-1966)</f>
        <v>-29410.34</v>
      </c>
      <c r="U266" s="4" cm="1">
        <f t="array" ref="U266">INDEX(GMW!$A$2:$NF$60,MATCH(1,(GMW!$NE$2:$NE$60=U$3)*(GMW!$ND$2:$ND$60=U$4)*(GMW!$NF$2:$NF$60=U$1),0),$F266-1966)</f>
        <v>4511391</v>
      </c>
      <c r="V266" s="4" cm="1">
        <f t="array" ref="V266">INDEX(GMW!$A$2:$NF$60,MATCH(1,(GMW!$NE$2:$NE$60=V$3)*(GMW!$ND$2:$ND$60=V$4)*(GMW!$NF$2:$NF$60=V$1),0),$F266-1966)</f>
        <v>81116.679999999993</v>
      </c>
      <c r="W266" s="4" cm="1">
        <f t="array" ref="W266">INDEX(GMW!$A$2:$NF$60,MATCH(1,(GMW!$NE$2:$NE$60=W$3)*(GMW!$ND$2:$ND$60=W$4)*(GMW!$NF$2:$NF$60=W$1),0),$F266-1966)</f>
        <v>1552965</v>
      </c>
      <c r="X266" s="4" cm="1">
        <f t="array" ref="X266">INDEX(GMW!$A$2:$NF$60,MATCH(1,(GMW!$NE$2:$NE$60=X$3)*(GMW!$ND$2:$ND$60=X$4)*(GMW!$NF$2:$NF$60=X$1),0),$F266-1966)</f>
        <v>4180.3519999999999</v>
      </c>
      <c r="Y266" s="4" cm="1">
        <f t="array" ref="Y266">INDEX(GMW!$A$2:$NF$60,MATCH(1,(GMW!$NE$2:$NE$60=Y$3)*(GMW!$ND$2:$ND$60=Y$4)*(GMW!$NF$2:$NF$60=Y$1),0),$F266-1966)</f>
        <v>5580.4840000000004</v>
      </c>
      <c r="Z266" s="4" cm="1">
        <f t="array" ref="Z266">INDEX(GMW!$A$2:$NF$60,MATCH(1,(GMW!$NE$2:$NE$60=Z$3)*(GMW!$ND$2:$ND$60=Z$4)*(GMW!$NF$2:$NF$60=Z$1),0),$F266-1966)</f>
        <v>4171.451</v>
      </c>
      <c r="AA266" s="4" cm="1">
        <f t="array" ref="AA266">INDEX(GMW!$A$2:$NF$60,MATCH(1,(GMW!$NE$2:$NE$60=AA$3)*(GMW!$ND$2:$ND$60=AA$4)*(GMW!$NF$2:$NF$60=AA$1),0),$F266-1966)</f>
        <v>4761254</v>
      </c>
      <c r="AB266" s="4" cm="1">
        <f t="array" ref="AB266">INDEX(GMW!$A$2:$NF$60,MATCH(1,(GMW!$NE$2:$NE$60=AB$3)*(GMW!$ND$2:$ND$60=AB$4)*(GMW!$NF$2:$NF$60=AB$1),0),$F266-1966)</f>
        <v>1172786</v>
      </c>
      <c r="AC266" s="4" cm="1">
        <f t="array" ref="AC266">INDEX(GMW!$A$2:$NF$60,MATCH(1,(GMW!$NE$2:$NE$60=AC$3)*(GMW!$ND$2:$ND$60=AC$4)*(GMW!$NF$2:$NF$60=AC$1),0),$F266-1966)</f>
        <v>12204.28</v>
      </c>
      <c r="AD266" s="4" cm="1">
        <f t="array" ref="AD266">INDEX(GMW!$A$2:$NF$60,MATCH(1,(GMW!$NE$2:$NE$60=AD$3)*(GMW!$ND$2:$ND$60=AD$4)*(GMW!$NF$2:$NF$60=AD$1),0),$F266-1966)</f>
        <v>185042</v>
      </c>
      <c r="AE266" s="4" cm="1">
        <f t="array" ref="AE266">INDEX(GMW!$A$2:$NF$60,MATCH(1,(GMW!$NE$2:$NE$60=AE$3)*(GMW!$ND$2:$ND$60=AE$4)*(GMW!$NF$2:$NF$60=AE$1),0),$F266-1966)</f>
        <v>1668.482</v>
      </c>
      <c r="AF266" s="4" cm="1">
        <f t="array" ref="AF266">INDEX(GMW!$A$2:$NF$60,MATCH(1,(GMW!$NE$2:$NE$60=AF$3)*(GMW!$ND$2:$ND$60=AF$4)*(GMW!$NF$2:$NF$60=AF$1),0),$F266-1966)</f>
        <v>1085.2239999999999</v>
      </c>
      <c r="AG266" s="4" cm="1">
        <f t="array" ref="AG266">INDEX(GMW!$A$2:$NF$60,MATCH(1,(GMW!$NE$2:$NE$60=AG$3)*(GMW!$ND$2:$ND$60=AG$4)*(GMW!$NF$2:$NF$60=AG$1),0),$F266-1966)</f>
        <v>743.66369999999995</v>
      </c>
      <c r="AH266" s="4" cm="1">
        <f t="array" ref="AH266">INDEX(GMW!$A$2:$NF$60,MATCH(1,(GMW!$NE$2:$NE$60=AH$3)*(GMW!$ND$2:$ND$60=AH$4)*(GMW!$NF$2:$NF$60=AH$1),0),$F266-1966)</f>
        <v>1263052</v>
      </c>
    </row>
    <row r="267" spans="1:34" x14ac:dyDescent="0.25">
      <c r="A267" s="4">
        <v>2038</v>
      </c>
      <c r="B267" s="4">
        <f t="shared" si="84"/>
        <v>2038</v>
      </c>
      <c r="C267" s="4">
        <f t="shared" si="84"/>
        <v>2037</v>
      </c>
      <c r="D267" s="4">
        <f t="shared" si="84"/>
        <v>2037</v>
      </c>
      <c r="F267" s="4">
        <f t="shared" si="80"/>
        <v>2233</v>
      </c>
      <c r="G267" s="4" cm="1">
        <f t="array" ref="G267">INDEX(GMW!$A$2:$NF$60,MATCH(1,(GMW!$NE$2:$NE$60=G$3)*(GMW!$ND$2:$ND$60=G$4)*(GMW!$NF$2:$NF$60=G$1),0),$F267-1966)</f>
        <v>784076.80000000005</v>
      </c>
      <c r="H267" s="4" cm="1">
        <f t="array" ref="H267">INDEX(GMW!$A$2:$NF$60,MATCH(1,(GMW!$NE$2:$NE$60=H$3)*(GMW!$ND$2:$ND$60=H$4)*(GMW!$NF$2:$NF$60=H$1),0),$F267-1966)</f>
        <v>7591.2470000000003</v>
      </c>
      <c r="I267" s="4" cm="1">
        <f t="array" ref="I267">INDEX(GMW!$A$2:$NF$60,MATCH(1,(GMW!$NE$2:$NE$60=I$3)*(GMW!$ND$2:$ND$60=I$4)*(GMW!$NF$2:$NF$60=I$1),0),$F267-1966)</f>
        <v>141128.29999999999</v>
      </c>
      <c r="J267" s="4" cm="1">
        <f t="array" ref="J267">INDEX(GMW!$A$2:$NF$60,MATCH(1,(GMW!$NE$2:$NE$60=J$3)*(GMW!$ND$2:$ND$60=J$4)*(GMW!$NF$2:$NF$60=J$1),0),$F267-1966)</f>
        <v>1029.0709999999999</v>
      </c>
      <c r="K267" s="4" cm="1">
        <f t="array" ref="K267">INDEX(GMW!$A$2:$NF$60,MATCH(1,(GMW!$NE$2:$NE$60=K$3)*(GMW!$ND$2:$ND$60=K$4)*(GMW!$NF$2:$NF$60=K$1),0),$F267-1966)</f>
        <v>744.38570000000004</v>
      </c>
      <c r="L267" s="4" cm="1">
        <f t="array" ref="L267">INDEX(GMW!$A$2:$NF$60,MATCH(1,(GMW!$NE$2:$NE$60=L$3)*(GMW!$ND$2:$ND$60=L$4)*(GMW!$NF$2:$NF$60=L$1),0),$F267-1966)</f>
        <v>513.42100000000005</v>
      </c>
      <c r="M267" s="4" cm="1">
        <f t="array" ref="M267">INDEX(GMW!$A$2:$NF$60,MATCH(1,(GMW!$NE$2:$NE$60=M$3)*(GMW!$ND$2:$ND$60=M$4)*(GMW!$NF$2:$NF$60=M$1),0),$F267-1966)</f>
        <v>779032.1</v>
      </c>
      <c r="N267" s="4" cm="1">
        <f t="array" ref="N267">INDEX(GMW!$A$2:$NF$60,MATCH(1,(GMW!$NE$2:$NE$60=N$3)*(GMW!$ND$2:$ND$60=N$4)*(GMW!$NF$2:$NF$60=N$1),0),$F267-1966)</f>
        <v>-557.5625</v>
      </c>
      <c r="O267" s="4" cm="1">
        <f t="array" ref="O267">INDEX(GMW!$A$2:$NF$60,MATCH(1,(GMW!$NE$2:$NE$60=O$3)*(GMW!$ND$2:$ND$60=O$4)*(GMW!$NF$2:$NF$60=O$1),0),$F267-1966)</f>
        <v>-999.62339999999995</v>
      </c>
      <c r="P267" s="4" cm="1">
        <f t="array" ref="P267">INDEX(GMW!$A$2:$NF$60,MATCH(1,(GMW!$NE$2:$NE$60=P$3)*(GMW!$ND$2:$ND$60=P$4)*(GMW!$NF$2:$NF$60=P$1),0),$F267-1966)</f>
        <v>-1730.5940000000001</v>
      </c>
      <c r="Q267" s="4" cm="1">
        <f t="array" ref="Q267">INDEX(GMW!$A$2:$NF$60,MATCH(1,(GMW!$NE$2:$NE$60=Q$3)*(GMW!$ND$2:$ND$60=Q$4)*(GMW!$NF$2:$NF$60=Q$1),0),$F267-1966)</f>
        <v>-24.051880000000001</v>
      </c>
      <c r="R267" s="4" cm="1">
        <f t="array" ref="R267">INDEX(GMW!$A$2:$NF$60,MATCH(1,(GMW!$NE$2:$NE$60=R$3)*(GMW!$ND$2:$ND$60=R$4)*(GMW!$NF$2:$NF$60=R$1),0),$F267-1966)</f>
        <v>-36.042479999999998</v>
      </c>
      <c r="S267" s="4" cm="1">
        <f t="array" ref="S267">INDEX(GMW!$A$2:$NF$60,MATCH(1,(GMW!$NE$2:$NE$60=S$3)*(GMW!$ND$2:$ND$60=S$4)*(GMW!$NF$2:$NF$60=S$1),0),$F267-1966)</f>
        <v>-13.26801</v>
      </c>
      <c r="T267" s="4" cm="1">
        <f t="array" ref="T267">INDEX(GMW!$A$2:$NF$60,MATCH(1,(GMW!$NE$2:$NE$60=T$3)*(GMW!$ND$2:$ND$60=T$4)*(GMW!$NF$2:$NF$60=T$1),0),$F267-1966)</f>
        <v>-29729.31</v>
      </c>
      <c r="U267" s="4" cm="1">
        <f t="array" ref="U267">INDEX(GMW!$A$2:$NF$60,MATCH(1,(GMW!$NE$2:$NE$60=U$3)*(GMW!$ND$2:$ND$60=U$4)*(GMW!$NF$2:$NF$60=U$1),0),$F267-1966)</f>
        <v>4511949</v>
      </c>
      <c r="V267" s="4" cm="1">
        <f t="array" ref="V267">INDEX(GMW!$A$2:$NF$60,MATCH(1,(GMW!$NE$2:$NE$60=V$3)*(GMW!$ND$2:$ND$60=V$4)*(GMW!$NF$2:$NF$60=V$1),0),$F267-1966)</f>
        <v>82116.3</v>
      </c>
      <c r="W267" s="4" cm="1">
        <f t="array" ref="W267">INDEX(GMW!$A$2:$NF$60,MATCH(1,(GMW!$NE$2:$NE$60=W$3)*(GMW!$ND$2:$ND$60=W$4)*(GMW!$NF$2:$NF$60=W$1),0),$F267-1966)</f>
        <v>1554696</v>
      </c>
      <c r="X267" s="4" cm="1">
        <f t="array" ref="X267">INDEX(GMW!$A$2:$NF$60,MATCH(1,(GMW!$NE$2:$NE$60=X$3)*(GMW!$ND$2:$ND$60=X$4)*(GMW!$NF$2:$NF$60=X$1),0),$F267-1966)</f>
        <v>4204.4030000000002</v>
      </c>
      <c r="Y267" s="4" cm="1">
        <f t="array" ref="Y267">INDEX(GMW!$A$2:$NF$60,MATCH(1,(GMW!$NE$2:$NE$60=Y$3)*(GMW!$ND$2:$ND$60=Y$4)*(GMW!$NF$2:$NF$60=Y$1),0),$F267-1966)</f>
        <v>5616.527</v>
      </c>
      <c r="Z267" s="4" cm="1">
        <f t="array" ref="Z267">INDEX(GMW!$A$2:$NF$60,MATCH(1,(GMW!$NE$2:$NE$60=Z$3)*(GMW!$ND$2:$ND$60=Z$4)*(GMW!$NF$2:$NF$60=Z$1),0),$F267-1966)</f>
        <v>4184.7190000000001</v>
      </c>
      <c r="AA267" s="4" cm="1">
        <f t="array" ref="AA267">INDEX(GMW!$A$2:$NF$60,MATCH(1,(GMW!$NE$2:$NE$60=AA$3)*(GMW!$ND$2:$ND$60=AA$4)*(GMW!$NF$2:$NF$60=AA$1),0),$F267-1966)</f>
        <v>4790983</v>
      </c>
      <c r="AB267" s="4" cm="1">
        <f t="array" ref="AB267">INDEX(GMW!$A$2:$NF$60,MATCH(1,(GMW!$NE$2:$NE$60=AB$3)*(GMW!$ND$2:$ND$60=AB$4)*(GMW!$NF$2:$NF$60=AB$1),0),$F267-1966)</f>
        <v>1183649</v>
      </c>
      <c r="AC267" s="4" cm="1">
        <f t="array" ref="AC267">INDEX(GMW!$A$2:$NF$60,MATCH(1,(GMW!$NE$2:$NE$60=AC$3)*(GMW!$ND$2:$ND$60=AC$4)*(GMW!$NF$2:$NF$60=AC$1),0),$F267-1966)</f>
        <v>12314.01</v>
      </c>
      <c r="AD267" s="4" cm="1">
        <f t="array" ref="AD267">INDEX(GMW!$A$2:$NF$60,MATCH(1,(GMW!$NE$2:$NE$60=AD$3)*(GMW!$ND$2:$ND$60=AD$4)*(GMW!$NF$2:$NF$60=AD$1),0),$F267-1966)</f>
        <v>185596.5</v>
      </c>
      <c r="AE267" s="4" cm="1">
        <f t="array" ref="AE267">INDEX(GMW!$A$2:$NF$60,MATCH(1,(GMW!$NE$2:$NE$60=AE$3)*(GMW!$ND$2:$ND$60=AE$4)*(GMW!$NF$2:$NF$60=AE$1),0),$F267-1966)</f>
        <v>1680.067</v>
      </c>
      <c r="AF267" s="4" cm="1">
        <f t="array" ref="AF267">INDEX(GMW!$A$2:$NF$60,MATCH(1,(GMW!$NE$2:$NE$60=AF$3)*(GMW!$ND$2:$ND$60=AF$4)*(GMW!$NF$2:$NF$60=AF$1),0),$F267-1966)</f>
        <v>1092.163</v>
      </c>
      <c r="AG267" s="4" cm="1">
        <f t="array" ref="AG267">INDEX(GMW!$A$2:$NF$60,MATCH(1,(GMW!$NE$2:$NE$60=AG$3)*(GMW!$ND$2:$ND$60=AG$4)*(GMW!$NF$2:$NF$60=AG$1),0),$F267-1966)</f>
        <v>747.74680000000001</v>
      </c>
      <c r="AH267" s="4" cm="1">
        <f t="array" ref="AH267">INDEX(GMW!$A$2:$NF$60,MATCH(1,(GMW!$NE$2:$NE$60=AH$3)*(GMW!$ND$2:$ND$60=AH$4)*(GMW!$NF$2:$NF$60=AH$1),0),$F267-1966)</f>
        <v>1275211</v>
      </c>
    </row>
    <row r="268" spans="1:34" x14ac:dyDescent="0.25">
      <c r="B268" s="4">
        <f t="shared" ref="B268:D283" si="89">+B264+1</f>
        <v>2038</v>
      </c>
      <c r="C268" s="4">
        <f t="shared" si="89"/>
        <v>2038</v>
      </c>
      <c r="F268" s="4">
        <f t="shared" si="80"/>
        <v>2234</v>
      </c>
      <c r="G268" s="4" cm="1">
        <f t="array" ref="G268">INDEX(GMW!$A$2:$NF$60,MATCH(1,(GMW!$NE$2:$NE$60=G$3)*(GMW!$ND$2:$ND$60=G$4)*(GMW!$NF$2:$NF$60=G$1),0),$F268-1966)</f>
        <v>787146.6</v>
      </c>
      <c r="H268" s="4" cm="1">
        <f t="array" ref="H268">INDEX(GMW!$A$2:$NF$60,MATCH(1,(GMW!$NE$2:$NE$60=H$3)*(GMW!$ND$2:$ND$60=H$4)*(GMW!$NF$2:$NF$60=H$1),0),$F268-1966)</f>
        <v>7624.2470000000003</v>
      </c>
      <c r="I268" s="4" cm="1">
        <f t="array" ref="I268">INDEX(GMW!$A$2:$NF$60,MATCH(1,(GMW!$NE$2:$NE$60=I$3)*(GMW!$ND$2:$ND$60=I$4)*(GMW!$NF$2:$NF$60=I$1),0),$F268-1966)</f>
        <v>141033.4</v>
      </c>
      <c r="J268" s="4" cm="1">
        <f t="array" ref="J268">INDEX(GMW!$A$2:$NF$60,MATCH(1,(GMW!$NE$2:$NE$60=J$3)*(GMW!$ND$2:$ND$60=J$4)*(GMW!$NF$2:$NF$60=J$1),0),$F268-1966)</f>
        <v>1031.0999999999999</v>
      </c>
      <c r="K268" s="4" cm="1">
        <f t="array" ref="K268">INDEX(GMW!$A$2:$NF$60,MATCH(1,(GMW!$NE$2:$NE$60=K$3)*(GMW!$ND$2:$ND$60=K$4)*(GMW!$NF$2:$NF$60=K$1),0),$F268-1966)</f>
        <v>745.28880000000004</v>
      </c>
      <c r="L268" s="4" cm="1">
        <f t="array" ref="L268">INDEX(GMW!$A$2:$NF$60,MATCH(1,(GMW!$NE$2:$NE$60=L$3)*(GMW!$ND$2:$ND$60=L$4)*(GMW!$NF$2:$NF$60=L$1),0),$F268-1966)</f>
        <v>513.67470000000003</v>
      </c>
      <c r="M268" s="4" cm="1">
        <f t="array" ref="M268">INDEX(GMW!$A$2:$NF$60,MATCH(1,(GMW!$NE$2:$NE$60=M$3)*(GMW!$ND$2:$ND$60=M$4)*(GMW!$NF$2:$NF$60=M$1),0),$F268-1966)</f>
        <v>782783.1</v>
      </c>
      <c r="N268" s="4" cm="1">
        <f t="array" ref="N268">INDEX(GMW!$A$2:$NF$60,MATCH(1,(GMW!$NE$2:$NE$60=N$3)*(GMW!$ND$2:$ND$60=N$4)*(GMW!$NF$2:$NF$60=N$1),0),$F268-1966)</f>
        <v>-74166.880000000005</v>
      </c>
      <c r="O268" s="4" cm="1">
        <f t="array" ref="O268">INDEX(GMW!$A$2:$NF$60,MATCH(1,(GMW!$NE$2:$NE$60=O$3)*(GMW!$ND$2:$ND$60=O$4)*(GMW!$NF$2:$NF$60=O$1),0),$F268-1966)</f>
        <v>-1004.091</v>
      </c>
      <c r="P268" s="4" cm="1">
        <f t="array" ref="P268">INDEX(GMW!$A$2:$NF$60,MATCH(1,(GMW!$NE$2:$NE$60=P$3)*(GMW!$ND$2:$ND$60=P$4)*(GMW!$NF$2:$NF$60=P$1),0),$F268-1966)</f>
        <v>-1735.7809999999999</v>
      </c>
      <c r="Q268" s="4" cm="1">
        <f t="array" ref="Q268">INDEX(GMW!$A$2:$NF$60,MATCH(1,(GMW!$NE$2:$NE$60=Q$3)*(GMW!$ND$2:$ND$60=Q$4)*(GMW!$NF$2:$NF$60=Q$1),0),$F268-1966)</f>
        <v>-24.219059999999999</v>
      </c>
      <c r="R268" s="4" cm="1">
        <f t="array" ref="R268">INDEX(GMW!$A$2:$NF$60,MATCH(1,(GMW!$NE$2:$NE$60=R$3)*(GMW!$ND$2:$ND$60=R$4)*(GMW!$NF$2:$NF$60=R$1),0),$F268-1966)</f>
        <v>-36.266419999999997</v>
      </c>
      <c r="S268" s="4" cm="1">
        <f t="array" ref="S268">INDEX(GMW!$A$2:$NF$60,MATCH(1,(GMW!$NE$2:$NE$60=S$3)*(GMW!$ND$2:$ND$60=S$4)*(GMW!$NF$2:$NF$60=S$1),0),$F268-1966)</f>
        <v>-13.34085</v>
      </c>
      <c r="T268" s="4" cm="1">
        <f t="array" ref="T268">INDEX(GMW!$A$2:$NF$60,MATCH(1,(GMW!$NE$2:$NE$60=T$3)*(GMW!$ND$2:$ND$60=T$4)*(GMW!$NF$2:$NF$60=T$1),0),$F268-1966)</f>
        <v>-29974.13</v>
      </c>
      <c r="U268" s="4" cm="1">
        <f t="array" ref="U268">INDEX(GMW!$A$2:$NF$60,MATCH(1,(GMW!$NE$2:$NE$60=U$3)*(GMW!$ND$2:$ND$60=U$4)*(GMW!$NF$2:$NF$60=U$1),0),$F268-1966)</f>
        <v>4586116</v>
      </c>
      <c r="V268" s="4" cm="1">
        <f t="array" ref="V268">INDEX(GMW!$A$2:$NF$60,MATCH(1,(GMW!$NE$2:$NE$60=V$3)*(GMW!$ND$2:$ND$60=V$4)*(GMW!$NF$2:$NF$60=V$1),0),$F268-1966)</f>
        <v>83120.399999999994</v>
      </c>
      <c r="W268" s="4" cm="1">
        <f t="array" ref="W268">INDEX(GMW!$A$2:$NF$60,MATCH(1,(GMW!$NE$2:$NE$60=W$3)*(GMW!$ND$2:$ND$60=W$4)*(GMW!$NF$2:$NF$60=W$1),0),$F268-1966)</f>
        <v>1556431</v>
      </c>
      <c r="X268" s="4" cm="1">
        <f t="array" ref="X268">INDEX(GMW!$A$2:$NF$60,MATCH(1,(GMW!$NE$2:$NE$60=X$3)*(GMW!$ND$2:$ND$60=X$4)*(GMW!$NF$2:$NF$60=X$1),0),$F268-1966)</f>
        <v>4228.6229999999996</v>
      </c>
      <c r="Y268" s="4" cm="1">
        <f t="array" ref="Y268">INDEX(GMW!$A$2:$NF$60,MATCH(1,(GMW!$NE$2:$NE$60=Y$3)*(GMW!$ND$2:$ND$60=Y$4)*(GMW!$NF$2:$NF$60=Y$1),0),$F268-1966)</f>
        <v>5652.7929999999997</v>
      </c>
      <c r="Z268" s="4" cm="1">
        <f t="array" ref="Z268">INDEX(GMW!$A$2:$NF$60,MATCH(1,(GMW!$NE$2:$NE$60=Z$3)*(GMW!$ND$2:$ND$60=Z$4)*(GMW!$NF$2:$NF$60=Z$1),0),$F268-1966)</f>
        <v>4198.0600000000004</v>
      </c>
      <c r="AA268" s="4" cm="1">
        <f t="array" ref="AA268">INDEX(GMW!$A$2:$NF$60,MATCH(1,(GMW!$NE$2:$NE$60=AA$3)*(GMW!$ND$2:$ND$60=AA$4)*(GMW!$NF$2:$NF$60=AA$1),0),$F268-1966)</f>
        <v>4820957</v>
      </c>
      <c r="AB268" s="4" cm="1">
        <f t="array" ref="AB268">INDEX(GMW!$A$2:$NF$60,MATCH(1,(GMW!$NE$2:$NE$60=AB$3)*(GMW!$ND$2:$ND$60=AB$4)*(GMW!$NF$2:$NF$60=AB$1),0),$F268-1966)</f>
        <v>1194617</v>
      </c>
      <c r="AC268" s="4" cm="1">
        <f t="array" ref="AC268">INDEX(GMW!$A$2:$NF$60,MATCH(1,(GMW!$NE$2:$NE$60=AC$3)*(GMW!$ND$2:$ND$60=AC$4)*(GMW!$NF$2:$NF$60=AC$1),0),$F268-1966)</f>
        <v>12424.61</v>
      </c>
      <c r="AD268" s="4" cm="1">
        <f t="array" ref="AD268">INDEX(GMW!$A$2:$NF$60,MATCH(1,(GMW!$NE$2:$NE$60=AD$3)*(GMW!$ND$2:$ND$60=AD$4)*(GMW!$NF$2:$NF$60=AD$1),0),$F268-1966)</f>
        <v>186144.6</v>
      </c>
      <c r="AE268" s="4" cm="1">
        <f t="array" ref="AE268">INDEX(GMW!$A$2:$NF$60,MATCH(1,(GMW!$NE$2:$NE$60=AE$3)*(GMW!$ND$2:$ND$60=AE$4)*(GMW!$NF$2:$NF$60=AE$1),0),$F268-1966)</f>
        <v>1691.73</v>
      </c>
      <c r="AF268" s="4" cm="1">
        <f t="array" ref="AF268">INDEX(GMW!$A$2:$NF$60,MATCH(1,(GMW!$NE$2:$NE$60=AF$3)*(GMW!$ND$2:$ND$60=AF$4)*(GMW!$NF$2:$NF$60=AF$1),0),$F268-1966)</f>
        <v>1098.893</v>
      </c>
      <c r="AG268" s="4" cm="1">
        <f t="array" ref="AG268">INDEX(GMW!$A$2:$NF$60,MATCH(1,(GMW!$NE$2:$NE$60=AG$3)*(GMW!$ND$2:$ND$60=AG$4)*(GMW!$NF$2:$NF$60=AG$1),0),$F268-1966)</f>
        <v>751.87379999999996</v>
      </c>
      <c r="AH268" s="4" cm="1">
        <f t="array" ref="AH268">INDEX(GMW!$A$2:$NF$60,MATCH(1,(GMW!$NE$2:$NE$60=AH$3)*(GMW!$ND$2:$ND$60=AH$4)*(GMW!$NF$2:$NF$60=AH$1),0),$F268-1966)</f>
        <v>1287520</v>
      </c>
    </row>
    <row r="269" spans="1:34" x14ac:dyDescent="0.25">
      <c r="B269" s="4">
        <f t="shared" si="89"/>
        <v>2038</v>
      </c>
      <c r="C269" s="4">
        <f t="shared" si="89"/>
        <v>2038</v>
      </c>
      <c r="F269" s="4">
        <f t="shared" si="80"/>
        <v>2235</v>
      </c>
      <c r="G269" s="4" cm="1">
        <f t="array" ref="G269">INDEX(GMW!$A$2:$NF$60,MATCH(1,(GMW!$NE$2:$NE$60=G$3)*(GMW!$ND$2:$ND$60=G$4)*(GMW!$NF$2:$NF$60=G$1),0),$F269-1966)</f>
        <v>790232.4</v>
      </c>
      <c r="H269" s="4" cm="1">
        <f t="array" ref="H269">INDEX(GMW!$A$2:$NF$60,MATCH(1,(GMW!$NE$2:$NE$60=H$3)*(GMW!$ND$2:$ND$60=H$4)*(GMW!$NF$2:$NF$60=H$1),0),$F269-1966)</f>
        <v>7657.5230000000001</v>
      </c>
      <c r="I269" s="4" cm="1">
        <f t="array" ref="I269">INDEX(GMW!$A$2:$NF$60,MATCH(1,(GMW!$NE$2:$NE$60=I$3)*(GMW!$ND$2:$ND$60=I$4)*(GMW!$NF$2:$NF$60=I$1),0),$F269-1966)</f>
        <v>140934.9</v>
      </c>
      <c r="J269" s="4" cm="1">
        <f t="array" ref="J269">INDEX(GMW!$A$2:$NF$60,MATCH(1,(GMW!$NE$2:$NE$60=J$3)*(GMW!$ND$2:$ND$60=J$4)*(GMW!$NF$2:$NF$60=J$1),0),$F269-1966)</f>
        <v>1033.1300000000001</v>
      </c>
      <c r="K269" s="4" cm="1">
        <f t="array" ref="K269">INDEX(GMW!$A$2:$NF$60,MATCH(1,(GMW!$NE$2:$NE$60=K$3)*(GMW!$ND$2:$ND$60=K$4)*(GMW!$NF$2:$NF$60=K$1),0),$F269-1966)</f>
        <v>746.20320000000004</v>
      </c>
      <c r="L269" s="4" cm="1">
        <f t="array" ref="L269">INDEX(GMW!$A$2:$NF$60,MATCH(1,(GMW!$NE$2:$NE$60=L$3)*(GMW!$ND$2:$ND$60=L$4)*(GMW!$NF$2:$NF$60=L$1),0),$F269-1966)</f>
        <v>513.92579999999998</v>
      </c>
      <c r="M269" s="4" cm="1">
        <f t="array" ref="M269">INDEX(GMW!$A$2:$NF$60,MATCH(1,(GMW!$NE$2:$NE$60=M$3)*(GMW!$ND$2:$ND$60=M$4)*(GMW!$NF$2:$NF$60=M$1),0),$F269-1966)</f>
        <v>786560.3</v>
      </c>
      <c r="N269" s="4" cm="1">
        <f t="array" ref="N269">INDEX(GMW!$A$2:$NF$60,MATCH(1,(GMW!$NE$2:$NE$60=N$3)*(GMW!$ND$2:$ND$60=N$4)*(GMW!$NF$2:$NF$60=N$1),0),$F269-1966)</f>
        <v>-38877.839999999997</v>
      </c>
      <c r="O269" s="4" cm="1">
        <f t="array" ref="O269">INDEX(GMW!$A$2:$NF$60,MATCH(1,(GMW!$NE$2:$NE$60=O$3)*(GMW!$ND$2:$ND$60=O$4)*(GMW!$NF$2:$NF$60=O$1),0),$F269-1966)</f>
        <v>-1008.482</v>
      </c>
      <c r="P269" s="4" cm="1">
        <f t="array" ref="P269">INDEX(GMW!$A$2:$NF$60,MATCH(1,(GMW!$NE$2:$NE$60=P$3)*(GMW!$ND$2:$ND$60=P$4)*(GMW!$NF$2:$NF$60=P$1),0),$F269-1966)</f>
        <v>-1740.9059999999999</v>
      </c>
      <c r="Q269" s="4" cm="1">
        <f t="array" ref="Q269">INDEX(GMW!$A$2:$NF$60,MATCH(1,(GMW!$NE$2:$NE$60=Q$3)*(GMW!$ND$2:$ND$60=Q$4)*(GMW!$NF$2:$NF$60=Q$1),0),$F269-1966)</f>
        <v>-24.38721</v>
      </c>
      <c r="R269" s="4" cm="1">
        <f t="array" ref="R269">INDEX(GMW!$A$2:$NF$60,MATCH(1,(GMW!$NE$2:$NE$60=R$3)*(GMW!$ND$2:$ND$60=R$4)*(GMW!$NF$2:$NF$60=R$1),0),$F269-1966)</f>
        <v>-36.481319999999997</v>
      </c>
      <c r="S269" s="4" cm="1">
        <f t="array" ref="S269">INDEX(GMW!$A$2:$NF$60,MATCH(1,(GMW!$NE$2:$NE$60=S$3)*(GMW!$ND$2:$ND$60=S$4)*(GMW!$NF$2:$NF$60=S$1),0),$F269-1966)</f>
        <v>-13.414490000000001</v>
      </c>
      <c r="T269" s="4" cm="1">
        <f t="array" ref="T269">INDEX(GMW!$A$2:$NF$60,MATCH(1,(GMW!$NE$2:$NE$60=T$3)*(GMW!$ND$2:$ND$60=T$4)*(GMW!$NF$2:$NF$60=T$1),0),$F269-1966)</f>
        <v>-30138.09</v>
      </c>
      <c r="U269" s="4" cm="1">
        <f t="array" ref="U269">INDEX(GMW!$A$2:$NF$60,MATCH(1,(GMW!$NE$2:$NE$60=U$3)*(GMW!$ND$2:$ND$60=U$4)*(GMW!$NF$2:$NF$60=U$1),0),$F269-1966)</f>
        <v>4624994</v>
      </c>
      <c r="V269" s="4" cm="1">
        <f t="array" ref="V269">INDEX(GMW!$A$2:$NF$60,MATCH(1,(GMW!$NE$2:$NE$60=V$3)*(GMW!$ND$2:$ND$60=V$4)*(GMW!$NF$2:$NF$60=V$1),0),$F269-1966)</f>
        <v>84128.88</v>
      </c>
      <c r="W269" s="4" cm="1">
        <f t="array" ref="W269">INDEX(GMW!$A$2:$NF$60,MATCH(1,(GMW!$NE$2:$NE$60=W$3)*(GMW!$ND$2:$ND$60=W$4)*(GMW!$NF$2:$NF$60=W$1),0),$F269-1966)</f>
        <v>1558172</v>
      </c>
      <c r="X269" s="4" cm="1">
        <f t="array" ref="X269">INDEX(GMW!$A$2:$NF$60,MATCH(1,(GMW!$NE$2:$NE$60=X$3)*(GMW!$ND$2:$ND$60=X$4)*(GMW!$NF$2:$NF$60=X$1),0),$F269-1966)</f>
        <v>4253.01</v>
      </c>
      <c r="Y269" s="4" cm="1">
        <f t="array" ref="Y269">INDEX(GMW!$A$2:$NF$60,MATCH(1,(GMW!$NE$2:$NE$60=Y$3)*(GMW!$ND$2:$ND$60=Y$4)*(GMW!$NF$2:$NF$60=Y$1),0),$F269-1966)</f>
        <v>5689.2749999999996</v>
      </c>
      <c r="Z269" s="4" cm="1">
        <f t="array" ref="Z269">INDEX(GMW!$A$2:$NF$60,MATCH(1,(GMW!$NE$2:$NE$60=Z$3)*(GMW!$ND$2:$ND$60=Z$4)*(GMW!$NF$2:$NF$60=Z$1),0),$F269-1966)</f>
        <v>4211.4740000000002</v>
      </c>
      <c r="AA269" s="4" cm="1">
        <f t="array" ref="AA269">INDEX(GMW!$A$2:$NF$60,MATCH(1,(GMW!$NE$2:$NE$60=AA$3)*(GMW!$ND$2:$ND$60=AA$4)*(GMW!$NF$2:$NF$60=AA$1),0),$F269-1966)</f>
        <v>4851095</v>
      </c>
      <c r="AB269" s="4" cm="1">
        <f t="array" ref="AB269">INDEX(GMW!$A$2:$NF$60,MATCH(1,(GMW!$NE$2:$NE$60=AB$3)*(GMW!$ND$2:$ND$60=AB$4)*(GMW!$NF$2:$NF$60=AB$1),0),$F269-1966)</f>
        <v>1205692</v>
      </c>
      <c r="AC269" s="4" cm="1">
        <f t="array" ref="AC269">INDEX(GMW!$A$2:$NF$60,MATCH(1,(GMW!$NE$2:$NE$60=AC$3)*(GMW!$ND$2:$ND$60=AC$4)*(GMW!$NF$2:$NF$60=AC$1),0),$F269-1966)</f>
        <v>12536.33</v>
      </c>
      <c r="AD269" s="4" cm="1">
        <f t="array" ref="AD269">INDEX(GMW!$A$2:$NF$60,MATCH(1,(GMW!$NE$2:$NE$60=AD$3)*(GMW!$ND$2:$ND$60=AD$4)*(GMW!$NF$2:$NF$60=AD$1),0),$F269-1966)</f>
        <v>186686.7</v>
      </c>
      <c r="AE269" s="4" cm="1">
        <f t="array" ref="AE269">INDEX(GMW!$A$2:$NF$60,MATCH(1,(GMW!$NE$2:$NE$60=AE$3)*(GMW!$ND$2:$ND$60=AE$4)*(GMW!$NF$2:$NF$60=AE$1),0),$F269-1966)</f>
        <v>1703.47</v>
      </c>
      <c r="AF269" s="4" cm="1">
        <f t="array" ref="AF269">INDEX(GMW!$A$2:$NF$60,MATCH(1,(GMW!$NE$2:$NE$60=AF$3)*(GMW!$ND$2:$ND$60=AF$4)*(GMW!$NF$2:$NF$60=AF$1),0),$F269-1966)</f>
        <v>1105.52</v>
      </c>
      <c r="AG269" s="4" cm="1">
        <f t="array" ref="AG269">INDEX(GMW!$A$2:$NF$60,MATCH(1,(GMW!$NE$2:$NE$60=AG$3)*(GMW!$ND$2:$ND$60=AG$4)*(GMW!$NF$2:$NF$60=AG$1),0),$F269-1966)</f>
        <v>756.01509999999996</v>
      </c>
      <c r="AH269" s="4" cm="1">
        <f t="array" ref="AH269">INDEX(GMW!$A$2:$NF$60,MATCH(1,(GMW!$NE$2:$NE$60=AH$3)*(GMW!$ND$2:$ND$60=AH$4)*(GMW!$NF$2:$NF$60=AH$1),0),$F269-1966)</f>
        <v>1299965</v>
      </c>
    </row>
    <row r="270" spans="1:34" x14ac:dyDescent="0.25">
      <c r="B270" s="4">
        <f t="shared" si="89"/>
        <v>2038</v>
      </c>
      <c r="C270" s="4">
        <f t="shared" si="89"/>
        <v>2038</v>
      </c>
      <c r="E270" s="4">
        <f t="shared" ref="E270" si="90">+E266+1</f>
        <v>2038</v>
      </c>
      <c r="F270" s="4">
        <f t="shared" si="80"/>
        <v>2236</v>
      </c>
      <c r="G270" s="4" cm="1">
        <f t="array" ref="G270">INDEX(GMW!$A$2:$NF$60,MATCH(1,(GMW!$NE$2:$NE$60=G$3)*(GMW!$ND$2:$ND$60=G$4)*(GMW!$NF$2:$NF$60=G$1),0),$F270-1966)</f>
        <v>793334.1</v>
      </c>
      <c r="H270" s="4" cm="1">
        <f t="array" ref="H270">INDEX(GMW!$A$2:$NF$60,MATCH(1,(GMW!$NE$2:$NE$60=H$3)*(GMW!$ND$2:$ND$60=H$4)*(GMW!$NF$2:$NF$60=H$1),0),$F270-1966)</f>
        <v>7690.7870000000003</v>
      </c>
      <c r="I270" s="4" cm="1">
        <f t="array" ref="I270">INDEX(GMW!$A$2:$NF$60,MATCH(1,(GMW!$NE$2:$NE$60=I$3)*(GMW!$ND$2:$ND$60=I$4)*(GMW!$NF$2:$NF$60=I$1),0),$F270-1966)</f>
        <v>140832.20000000001</v>
      </c>
      <c r="J270" s="4" cm="1">
        <f t="array" ref="J270">INDEX(GMW!$A$2:$NF$60,MATCH(1,(GMW!$NE$2:$NE$60=J$3)*(GMW!$ND$2:$ND$60=J$4)*(GMW!$NF$2:$NF$60=J$1),0),$F270-1966)</f>
        <v>1035.162</v>
      </c>
      <c r="K270" s="4" cm="1">
        <f t="array" ref="K270">INDEX(GMW!$A$2:$NF$60,MATCH(1,(GMW!$NE$2:$NE$60=K$3)*(GMW!$ND$2:$ND$60=K$4)*(GMW!$NF$2:$NF$60=K$1),0),$F270-1966)</f>
        <v>747.04579999999999</v>
      </c>
      <c r="L270" s="4" cm="1">
        <f t="array" ref="L270">INDEX(GMW!$A$2:$NF$60,MATCH(1,(GMW!$NE$2:$NE$60=L$3)*(GMW!$ND$2:$ND$60=L$4)*(GMW!$NF$2:$NF$60=L$1),0),$F270-1966)</f>
        <v>514.17430000000002</v>
      </c>
      <c r="M270" s="4" cm="1">
        <f t="array" ref="M270">INDEX(GMW!$A$2:$NF$60,MATCH(1,(GMW!$NE$2:$NE$60=M$3)*(GMW!$ND$2:$ND$60=M$4)*(GMW!$NF$2:$NF$60=M$1),0),$F270-1966)</f>
        <v>790365.3</v>
      </c>
      <c r="N270" s="4" cm="1">
        <f t="array" ref="N270">INDEX(GMW!$A$2:$NF$60,MATCH(1,(GMW!$NE$2:$NE$60=N$3)*(GMW!$ND$2:$ND$60=N$4)*(GMW!$NF$2:$NF$60=N$1),0),$F270-1966)</f>
        <v>-70309.22</v>
      </c>
      <c r="O270" s="4" cm="1">
        <f t="array" ref="O270">INDEX(GMW!$A$2:$NF$60,MATCH(1,(GMW!$NE$2:$NE$60=O$3)*(GMW!$ND$2:$ND$60=O$4)*(GMW!$NF$2:$NF$60=O$1),0),$F270-1966)</f>
        <v>-1012.799</v>
      </c>
      <c r="P270" s="4" cm="1">
        <f t="array" ref="P270">INDEX(GMW!$A$2:$NF$60,MATCH(1,(GMW!$NE$2:$NE$60=P$3)*(GMW!$ND$2:$ND$60=P$4)*(GMW!$NF$2:$NF$60=P$1),0),$F270-1966)</f>
        <v>-1745.9770000000001</v>
      </c>
      <c r="Q270" s="4" cm="1">
        <f t="array" ref="Q270">INDEX(GMW!$A$2:$NF$60,MATCH(1,(GMW!$NE$2:$NE$60=Q$3)*(GMW!$ND$2:$ND$60=Q$4)*(GMW!$NF$2:$NF$60=Q$1),0),$F270-1966)</f>
        <v>-24.55603</v>
      </c>
      <c r="R270" s="4" cm="1">
        <f t="array" ref="R270">INDEX(GMW!$A$2:$NF$60,MATCH(1,(GMW!$NE$2:$NE$60=R$3)*(GMW!$ND$2:$ND$60=R$4)*(GMW!$NF$2:$NF$60=R$1),0),$F270-1966)</f>
        <v>-36.697809999999997</v>
      </c>
      <c r="S270" s="4" cm="1">
        <f t="array" ref="S270">INDEX(GMW!$A$2:$NF$60,MATCH(1,(GMW!$NE$2:$NE$60=S$3)*(GMW!$ND$2:$ND$60=S$4)*(GMW!$NF$2:$NF$60=S$1),0),$F270-1966)</f>
        <v>-13.48837</v>
      </c>
      <c r="T270" s="4" cm="1">
        <f t="array" ref="T270">INDEX(GMW!$A$2:$NF$60,MATCH(1,(GMW!$NE$2:$NE$60=T$3)*(GMW!$ND$2:$ND$60=T$4)*(GMW!$NF$2:$NF$60=T$1),0),$F270-1966)</f>
        <v>-30394.94</v>
      </c>
      <c r="U270" s="4" cm="1">
        <f t="array" ref="U270">INDEX(GMW!$A$2:$NF$60,MATCH(1,(GMW!$NE$2:$NE$60=U$3)*(GMW!$ND$2:$ND$60=U$4)*(GMW!$NF$2:$NF$60=U$1),0),$F270-1966)</f>
        <v>4695303</v>
      </c>
      <c r="V270" s="4" cm="1">
        <f t="array" ref="V270">INDEX(GMW!$A$2:$NF$60,MATCH(1,(GMW!$NE$2:$NE$60=V$3)*(GMW!$ND$2:$ND$60=V$4)*(GMW!$NF$2:$NF$60=V$1),0),$F270-1966)</f>
        <v>85141.68</v>
      </c>
      <c r="W270" s="4" cm="1">
        <f t="array" ref="W270">INDEX(GMW!$A$2:$NF$60,MATCH(1,(GMW!$NE$2:$NE$60=W$3)*(GMW!$ND$2:$ND$60=W$4)*(GMW!$NF$2:$NF$60=W$1),0),$F270-1966)</f>
        <v>1559918</v>
      </c>
      <c r="X270" s="4" cm="1">
        <f t="array" ref="X270">INDEX(GMW!$A$2:$NF$60,MATCH(1,(GMW!$NE$2:$NE$60=X$3)*(GMW!$ND$2:$ND$60=X$4)*(GMW!$NF$2:$NF$60=X$1),0),$F270-1966)</f>
        <v>4277.5659999999998</v>
      </c>
      <c r="Y270" s="4" cm="1">
        <f t="array" ref="Y270">INDEX(GMW!$A$2:$NF$60,MATCH(1,(GMW!$NE$2:$NE$60=Y$3)*(GMW!$ND$2:$ND$60=Y$4)*(GMW!$NF$2:$NF$60=Y$1),0),$F270-1966)</f>
        <v>5725.973</v>
      </c>
      <c r="Z270" s="4" cm="1">
        <f t="array" ref="Z270">INDEX(GMW!$A$2:$NF$60,MATCH(1,(GMW!$NE$2:$NE$60=Z$3)*(GMW!$ND$2:$ND$60=Z$4)*(GMW!$NF$2:$NF$60=Z$1),0),$F270-1966)</f>
        <v>4224.9620000000004</v>
      </c>
      <c r="AA270" s="4" cm="1">
        <f t="array" ref="AA270">INDEX(GMW!$A$2:$NF$60,MATCH(1,(GMW!$NE$2:$NE$60=AA$3)*(GMW!$ND$2:$ND$60=AA$4)*(GMW!$NF$2:$NF$60=AA$1),0),$F270-1966)</f>
        <v>4881490</v>
      </c>
      <c r="AB270" s="4" cm="1">
        <f t="array" ref="AB270">INDEX(GMW!$A$2:$NF$60,MATCH(1,(GMW!$NE$2:$NE$60=AB$3)*(GMW!$ND$2:$ND$60=AB$4)*(GMW!$NF$2:$NF$60=AB$1),0),$F270-1966)</f>
        <v>1216876</v>
      </c>
      <c r="AC270" s="4" cm="1">
        <f t="array" ref="AC270">INDEX(GMW!$A$2:$NF$60,MATCH(1,(GMW!$NE$2:$NE$60=AC$3)*(GMW!$ND$2:$ND$60=AC$4)*(GMW!$NF$2:$NF$60=AC$1),0),$F270-1966)</f>
        <v>12648.92</v>
      </c>
      <c r="AD270" s="4" cm="1">
        <f t="array" ref="AD270">INDEX(GMW!$A$2:$NF$60,MATCH(1,(GMW!$NE$2:$NE$60=AD$3)*(GMW!$ND$2:$ND$60=AD$4)*(GMW!$NF$2:$NF$60=AD$1),0),$F270-1966)</f>
        <v>187221.6</v>
      </c>
      <c r="AE270" s="4" cm="1">
        <f t="array" ref="AE270">INDEX(GMW!$A$2:$NF$60,MATCH(1,(GMW!$NE$2:$NE$60=AE$3)*(GMW!$ND$2:$ND$60=AE$4)*(GMW!$NF$2:$NF$60=AE$1),0),$F270-1966)</f>
        <v>1715.287</v>
      </c>
      <c r="AF270" s="4" cm="1">
        <f t="array" ref="AF270">INDEX(GMW!$A$2:$NF$60,MATCH(1,(GMW!$NE$2:$NE$60=AF$3)*(GMW!$ND$2:$ND$60=AF$4)*(GMW!$NF$2:$NF$60=AF$1),0),$F270-1966)</f>
        <v>1112.1690000000001</v>
      </c>
      <c r="AG270" s="4" cm="1">
        <f t="array" ref="AG270">INDEX(GMW!$A$2:$NF$60,MATCH(1,(GMW!$NE$2:$NE$60=AG$3)*(GMW!$ND$2:$ND$60=AG$4)*(GMW!$NF$2:$NF$60=AG$1),0),$F270-1966)</f>
        <v>760.15689999999995</v>
      </c>
      <c r="AH270" s="4" cm="1">
        <f t="array" ref="AH270">INDEX(GMW!$A$2:$NF$60,MATCH(1,(GMW!$NE$2:$NE$60=AH$3)*(GMW!$ND$2:$ND$60=AH$4)*(GMW!$NF$2:$NF$60=AH$1),0),$F270-1966)</f>
        <v>1312550</v>
      </c>
    </row>
    <row r="271" spans="1:34" x14ac:dyDescent="0.25">
      <c r="A271" s="4">
        <v>2039</v>
      </c>
      <c r="B271" s="4">
        <f t="shared" si="89"/>
        <v>2039</v>
      </c>
      <c r="C271" s="4">
        <f t="shared" si="89"/>
        <v>2038</v>
      </c>
      <c r="D271" s="4">
        <f t="shared" si="89"/>
        <v>2038</v>
      </c>
      <c r="F271" s="4">
        <f t="shared" si="80"/>
        <v>2237</v>
      </c>
      <c r="G271" s="4" cm="1">
        <f t="array" ref="G271">INDEX(GMW!$A$2:$NF$60,MATCH(1,(GMW!$NE$2:$NE$60=G$3)*(GMW!$ND$2:$ND$60=G$4)*(GMW!$NF$2:$NF$60=G$1),0),$F271-1966)</f>
        <v>796451.6</v>
      </c>
      <c r="H271" s="4" cm="1">
        <f t="array" ref="H271">INDEX(GMW!$A$2:$NF$60,MATCH(1,(GMW!$NE$2:$NE$60=H$3)*(GMW!$ND$2:$ND$60=H$4)*(GMW!$NF$2:$NF$60=H$1),0),$F271-1966)</f>
        <v>7724.1639999999998</v>
      </c>
      <c r="I271" s="4" cm="1">
        <f t="array" ref="I271">INDEX(GMW!$A$2:$NF$60,MATCH(1,(GMW!$NE$2:$NE$60=I$3)*(GMW!$ND$2:$ND$60=I$4)*(GMW!$NF$2:$NF$60=I$1),0),$F271-1966)</f>
        <v>140727.5</v>
      </c>
      <c r="J271" s="4" cm="1">
        <f t="array" ref="J271">INDEX(GMW!$A$2:$NF$60,MATCH(1,(GMW!$NE$2:$NE$60=J$3)*(GMW!$ND$2:$ND$60=J$4)*(GMW!$NF$2:$NF$60=J$1),0),$F271-1966)</f>
        <v>1037.48</v>
      </c>
      <c r="K271" s="4" cm="1">
        <f t="array" ref="K271">INDEX(GMW!$A$2:$NF$60,MATCH(1,(GMW!$NE$2:$NE$60=K$3)*(GMW!$ND$2:$ND$60=K$4)*(GMW!$NF$2:$NF$60=K$1),0),$F271-1966)</f>
        <v>748.08969999999999</v>
      </c>
      <c r="L271" s="4" cm="1">
        <f t="array" ref="L271">INDEX(GMW!$A$2:$NF$60,MATCH(1,(GMW!$NE$2:$NE$60=L$3)*(GMW!$ND$2:$ND$60=L$4)*(GMW!$NF$2:$NF$60=L$1),0),$F271-1966)</f>
        <v>514.3877</v>
      </c>
      <c r="M271" s="4" cm="1">
        <f t="array" ref="M271">INDEX(GMW!$A$2:$NF$60,MATCH(1,(GMW!$NE$2:$NE$60=M$3)*(GMW!$ND$2:$ND$60=M$4)*(GMW!$NF$2:$NF$60=M$1),0),$F271-1966)</f>
        <v>794153.3</v>
      </c>
      <c r="N271" s="4" cm="1">
        <f t="array" ref="N271">INDEX(GMW!$A$2:$NF$60,MATCH(1,(GMW!$NE$2:$NE$60=N$3)*(GMW!$ND$2:$ND$60=N$4)*(GMW!$NF$2:$NF$60=N$1),0),$F271-1966)</f>
        <v>-1961.5630000000001</v>
      </c>
      <c r="O271" s="4" cm="1">
        <f t="array" ref="O271">INDEX(GMW!$A$2:$NF$60,MATCH(1,(GMW!$NE$2:$NE$60=O$3)*(GMW!$ND$2:$ND$60=O$4)*(GMW!$NF$2:$NF$60=O$1),0),$F271-1966)</f>
        <v>-1017.056</v>
      </c>
      <c r="P271" s="4" cm="1">
        <f t="array" ref="P271">INDEX(GMW!$A$2:$NF$60,MATCH(1,(GMW!$NE$2:$NE$60=P$3)*(GMW!$ND$2:$ND$60=P$4)*(GMW!$NF$2:$NF$60=P$1),0),$F271-1966)</f>
        <v>-1750.9770000000001</v>
      </c>
      <c r="Q271" s="4" cm="1">
        <f t="array" ref="Q271">INDEX(GMW!$A$2:$NF$60,MATCH(1,(GMW!$NE$2:$NE$60=Q$3)*(GMW!$ND$2:$ND$60=Q$4)*(GMW!$NF$2:$NF$60=Q$1),0),$F271-1966)</f>
        <v>-24.732600000000001</v>
      </c>
      <c r="R271" s="4" cm="1">
        <f t="array" ref="R271">INDEX(GMW!$A$2:$NF$60,MATCH(1,(GMW!$NE$2:$NE$60=R$3)*(GMW!$ND$2:$ND$60=R$4)*(GMW!$NF$2:$NF$60=R$1),0),$F271-1966)</f>
        <v>-36.92944</v>
      </c>
      <c r="S271" s="4" cm="1">
        <f t="array" ref="S271">INDEX(GMW!$A$2:$NF$60,MATCH(1,(GMW!$NE$2:$NE$60=S$3)*(GMW!$ND$2:$ND$60=S$4)*(GMW!$NF$2:$NF$60=S$1),0),$F271-1966)</f>
        <v>-13.56226</v>
      </c>
      <c r="T271" s="4" cm="1">
        <f t="array" ref="T271">INDEX(GMW!$A$2:$NF$60,MATCH(1,(GMW!$NE$2:$NE$60=T$3)*(GMW!$ND$2:$ND$60=T$4)*(GMW!$NF$2:$NF$60=T$1),0),$F271-1966)</f>
        <v>-30748.69</v>
      </c>
      <c r="U271" s="4" cm="1">
        <f t="array" ref="U271">INDEX(GMW!$A$2:$NF$60,MATCH(1,(GMW!$NE$2:$NE$60=U$3)*(GMW!$ND$2:$ND$60=U$4)*(GMW!$NF$2:$NF$60=U$1),0),$F271-1966)</f>
        <v>4697264</v>
      </c>
      <c r="V271" s="4" cm="1">
        <f t="array" ref="V271">INDEX(GMW!$A$2:$NF$60,MATCH(1,(GMW!$NE$2:$NE$60=V$3)*(GMW!$ND$2:$ND$60=V$4)*(GMW!$NF$2:$NF$60=V$1),0),$F271-1966)</f>
        <v>86158.73</v>
      </c>
      <c r="W271" s="4" cm="1">
        <f t="array" ref="W271">INDEX(GMW!$A$2:$NF$60,MATCH(1,(GMW!$NE$2:$NE$60=W$3)*(GMW!$ND$2:$ND$60=W$4)*(GMW!$NF$2:$NF$60=W$1),0),$F271-1966)</f>
        <v>1561669</v>
      </c>
      <c r="X271" s="4" cm="1">
        <f t="array" ref="X271">INDEX(GMW!$A$2:$NF$60,MATCH(1,(GMW!$NE$2:$NE$60=X$3)*(GMW!$ND$2:$ND$60=X$4)*(GMW!$NF$2:$NF$60=X$1),0),$F271-1966)</f>
        <v>4302.2979999999998</v>
      </c>
      <c r="Y271" s="4" cm="1">
        <f t="array" ref="Y271">INDEX(GMW!$A$2:$NF$60,MATCH(1,(GMW!$NE$2:$NE$60=Y$3)*(GMW!$ND$2:$ND$60=Y$4)*(GMW!$NF$2:$NF$60=Y$1),0),$F271-1966)</f>
        <v>5762.902</v>
      </c>
      <c r="Z271" s="4" cm="1">
        <f t="array" ref="Z271">INDEX(GMW!$A$2:$NF$60,MATCH(1,(GMW!$NE$2:$NE$60=Z$3)*(GMW!$ND$2:$ND$60=Z$4)*(GMW!$NF$2:$NF$60=Z$1),0),$F271-1966)</f>
        <v>4238.5249999999996</v>
      </c>
      <c r="AA271" s="4" cm="1">
        <f t="array" ref="AA271">INDEX(GMW!$A$2:$NF$60,MATCH(1,(GMW!$NE$2:$NE$60=AA$3)*(GMW!$ND$2:$ND$60=AA$4)*(GMW!$NF$2:$NF$60=AA$1),0),$F271-1966)</f>
        <v>4912239</v>
      </c>
      <c r="AB271" s="4" cm="1">
        <f t="array" ref="AB271">INDEX(GMW!$A$2:$NF$60,MATCH(1,(GMW!$NE$2:$NE$60=AB$3)*(GMW!$ND$2:$ND$60=AB$4)*(GMW!$NF$2:$NF$60=AB$1),0),$F271-1966)</f>
        <v>1228182</v>
      </c>
      <c r="AC271" s="4" cm="1">
        <f t="array" ref="AC271">INDEX(GMW!$A$2:$NF$60,MATCH(1,(GMW!$NE$2:$NE$60=AC$3)*(GMW!$ND$2:$ND$60=AC$4)*(GMW!$NF$2:$NF$60=AC$1),0),$F271-1966)</f>
        <v>12762.45</v>
      </c>
      <c r="AD271" s="4" cm="1">
        <f t="array" ref="AD271">INDEX(GMW!$A$2:$NF$60,MATCH(1,(GMW!$NE$2:$NE$60=AD$3)*(GMW!$ND$2:$ND$60=AD$4)*(GMW!$NF$2:$NF$60=AD$1),0),$F271-1966)</f>
        <v>187769.2</v>
      </c>
      <c r="AE271" s="4" cm="1">
        <f t="array" ref="AE271">INDEX(GMW!$A$2:$NF$60,MATCH(1,(GMW!$NE$2:$NE$60=AE$3)*(GMW!$ND$2:$ND$60=AE$4)*(GMW!$NF$2:$NF$60=AE$1),0),$F271-1966)</f>
        <v>1727.6579999999999</v>
      </c>
      <c r="AF271" s="4" cm="1">
        <f t="array" ref="AF271">INDEX(GMW!$A$2:$NF$60,MATCH(1,(GMW!$NE$2:$NE$60=AF$3)*(GMW!$ND$2:$ND$60=AF$4)*(GMW!$NF$2:$NF$60=AF$1),0),$F271-1966)</f>
        <v>1119.059</v>
      </c>
      <c r="AG271" s="4" cm="1">
        <f t="array" ref="AG271">INDEX(GMW!$A$2:$NF$60,MATCH(1,(GMW!$NE$2:$NE$60=AG$3)*(GMW!$ND$2:$ND$60=AG$4)*(GMW!$NF$2:$NF$60=AG$1),0),$F271-1966)</f>
        <v>764.24990000000003</v>
      </c>
      <c r="AH271" s="4" cm="1">
        <f t="array" ref="AH271">INDEX(GMW!$A$2:$NF$60,MATCH(1,(GMW!$NE$2:$NE$60=AH$3)*(GMW!$ND$2:$ND$60=AH$4)*(GMW!$NF$2:$NF$60=AH$1),0),$F271-1966)</f>
        <v>1325201</v>
      </c>
    </row>
    <row r="272" spans="1:34" x14ac:dyDescent="0.25">
      <c r="B272" s="4">
        <f t="shared" si="89"/>
        <v>2039</v>
      </c>
      <c r="C272" s="4">
        <f t="shared" si="89"/>
        <v>2039</v>
      </c>
      <c r="F272" s="4">
        <f t="shared" si="80"/>
        <v>2238</v>
      </c>
      <c r="G272" s="4" cm="1">
        <f t="array" ref="G272">INDEX(GMW!$A$2:$NF$60,MATCH(1,(GMW!$NE$2:$NE$60=G$3)*(GMW!$ND$2:$ND$60=G$4)*(GMW!$NF$2:$NF$60=G$1),0),$F272-1966)</f>
        <v>799584.6</v>
      </c>
      <c r="H272" s="4" cm="1">
        <f t="array" ref="H272">INDEX(GMW!$A$2:$NF$60,MATCH(1,(GMW!$NE$2:$NE$60=H$3)*(GMW!$ND$2:$ND$60=H$4)*(GMW!$NF$2:$NF$60=H$1),0),$F272-1966)</f>
        <v>7757.7039999999997</v>
      </c>
      <c r="I272" s="4" cm="1">
        <f t="array" ref="I272">INDEX(GMW!$A$2:$NF$60,MATCH(1,(GMW!$NE$2:$NE$60=I$3)*(GMW!$ND$2:$ND$60=I$4)*(GMW!$NF$2:$NF$60=I$1),0),$F272-1966)</f>
        <v>140622.1</v>
      </c>
      <c r="J272" s="4" cm="1">
        <f t="array" ref="J272">INDEX(GMW!$A$2:$NF$60,MATCH(1,(GMW!$NE$2:$NE$60=J$3)*(GMW!$ND$2:$ND$60=J$4)*(GMW!$NF$2:$NF$60=J$1),0),$F272-1966)</f>
        <v>1039.752</v>
      </c>
      <c r="K272" s="4" cm="1">
        <f t="array" ref="K272">INDEX(GMW!$A$2:$NF$60,MATCH(1,(GMW!$NE$2:$NE$60=K$3)*(GMW!$ND$2:$ND$60=K$4)*(GMW!$NF$2:$NF$60=K$1),0),$F272-1966)</f>
        <v>749.07569999999998</v>
      </c>
      <c r="L272" s="4" cm="1">
        <f t="array" ref="L272">INDEX(GMW!$A$2:$NF$60,MATCH(1,(GMW!$NE$2:$NE$60=L$3)*(GMW!$ND$2:$ND$60=L$4)*(GMW!$NF$2:$NF$60=L$1),0),$F272-1966)</f>
        <v>514.59839999999997</v>
      </c>
      <c r="M272" s="4" cm="1">
        <f t="array" ref="M272">INDEX(GMW!$A$2:$NF$60,MATCH(1,(GMW!$NE$2:$NE$60=M$3)*(GMW!$ND$2:$ND$60=M$4)*(GMW!$NF$2:$NF$60=M$1),0),$F272-1966)</f>
        <v>797952.2</v>
      </c>
      <c r="N272" s="4" cm="1">
        <f t="array" ref="N272">INDEX(GMW!$A$2:$NF$60,MATCH(1,(GMW!$NE$2:$NE$60=N$3)*(GMW!$ND$2:$ND$60=N$4)*(GMW!$NF$2:$NF$60=N$1),0),$F272-1966)</f>
        <v>-78291.47</v>
      </c>
      <c r="O272" s="4" cm="1">
        <f t="array" ref="O272">INDEX(GMW!$A$2:$NF$60,MATCH(1,(GMW!$NE$2:$NE$60=O$3)*(GMW!$ND$2:$ND$60=O$4)*(GMW!$NF$2:$NF$60=O$1),0),$F272-1966)</f>
        <v>-1021.252</v>
      </c>
      <c r="P272" s="4" cm="1">
        <f t="array" ref="P272">INDEX(GMW!$A$2:$NF$60,MATCH(1,(GMW!$NE$2:$NE$60=P$3)*(GMW!$ND$2:$ND$60=P$4)*(GMW!$NF$2:$NF$60=P$1),0),$F272-1966)</f>
        <v>-1756.1020000000001</v>
      </c>
      <c r="Q272" s="4" cm="1">
        <f t="array" ref="Q272">INDEX(GMW!$A$2:$NF$60,MATCH(1,(GMW!$NE$2:$NE$60=Q$3)*(GMW!$ND$2:$ND$60=Q$4)*(GMW!$NF$2:$NF$60=Q$1),0),$F272-1966)</f>
        <v>-24.90887</v>
      </c>
      <c r="R272" s="4" cm="1">
        <f t="array" ref="R272">INDEX(GMW!$A$2:$NF$60,MATCH(1,(GMW!$NE$2:$NE$60=R$3)*(GMW!$ND$2:$ND$60=R$4)*(GMW!$NF$2:$NF$60=R$1),0),$F272-1966)</f>
        <v>-37.159790000000001</v>
      </c>
      <c r="S272" s="4" cm="1">
        <f t="array" ref="S272">INDEX(GMW!$A$2:$NF$60,MATCH(1,(GMW!$NE$2:$NE$60=S$3)*(GMW!$ND$2:$ND$60=S$4)*(GMW!$NF$2:$NF$60=S$1),0),$F272-1966)</f>
        <v>-13.635289999999999</v>
      </c>
      <c r="T272" s="4" cm="1">
        <f t="array" ref="T272">INDEX(GMW!$A$2:$NF$60,MATCH(1,(GMW!$NE$2:$NE$60=T$3)*(GMW!$ND$2:$ND$60=T$4)*(GMW!$NF$2:$NF$60=T$1),0),$F272-1966)</f>
        <v>-31041</v>
      </c>
      <c r="U272" s="4" cm="1">
        <f t="array" ref="U272">INDEX(GMW!$A$2:$NF$60,MATCH(1,(GMW!$NE$2:$NE$60=U$3)*(GMW!$ND$2:$ND$60=U$4)*(GMW!$NF$2:$NF$60=U$1),0),$F272-1966)</f>
        <v>4775556</v>
      </c>
      <c r="V272" s="4" cm="1">
        <f t="array" ref="V272">INDEX(GMW!$A$2:$NF$60,MATCH(1,(GMW!$NE$2:$NE$60=V$3)*(GMW!$ND$2:$ND$60=V$4)*(GMW!$NF$2:$NF$60=V$1),0),$F272-1966)</f>
        <v>87179.98</v>
      </c>
      <c r="W272" s="4" cm="1">
        <f t="array" ref="W272">INDEX(GMW!$A$2:$NF$60,MATCH(1,(GMW!$NE$2:$NE$60=W$3)*(GMW!$ND$2:$ND$60=W$4)*(GMW!$NF$2:$NF$60=W$1),0),$F272-1966)</f>
        <v>1563425</v>
      </c>
      <c r="X272" s="4" cm="1">
        <f t="array" ref="X272">INDEX(GMW!$A$2:$NF$60,MATCH(1,(GMW!$NE$2:$NE$60=X$3)*(GMW!$ND$2:$ND$60=X$4)*(GMW!$NF$2:$NF$60=X$1),0),$F272-1966)</f>
        <v>4327.2070000000003</v>
      </c>
      <c r="Y272" s="4" cm="1">
        <f t="array" ref="Y272">INDEX(GMW!$A$2:$NF$60,MATCH(1,(GMW!$NE$2:$NE$60=Y$3)*(GMW!$ND$2:$ND$60=Y$4)*(GMW!$NF$2:$NF$60=Y$1),0),$F272-1966)</f>
        <v>5800.0619999999999</v>
      </c>
      <c r="Z272" s="4" cm="1">
        <f t="array" ref="Z272">INDEX(GMW!$A$2:$NF$60,MATCH(1,(GMW!$NE$2:$NE$60=Z$3)*(GMW!$ND$2:$ND$60=Z$4)*(GMW!$NF$2:$NF$60=Z$1),0),$F272-1966)</f>
        <v>4252.16</v>
      </c>
      <c r="AA272" s="4" cm="1">
        <f t="array" ref="AA272">INDEX(GMW!$A$2:$NF$60,MATCH(1,(GMW!$NE$2:$NE$60=AA$3)*(GMW!$ND$2:$ND$60=AA$4)*(GMW!$NF$2:$NF$60=AA$1),0),$F272-1966)</f>
        <v>4943280</v>
      </c>
      <c r="AB272" s="4" cm="1">
        <f t="array" ref="AB272">INDEX(GMW!$A$2:$NF$60,MATCH(1,(GMW!$NE$2:$NE$60=AB$3)*(GMW!$ND$2:$ND$60=AB$4)*(GMW!$NF$2:$NF$60=AB$1),0),$F272-1966)</f>
        <v>1239597</v>
      </c>
      <c r="AC272" s="4" cm="1">
        <f t="array" ref="AC272">INDEX(GMW!$A$2:$NF$60,MATCH(1,(GMW!$NE$2:$NE$60=AC$3)*(GMW!$ND$2:$ND$60=AC$4)*(GMW!$NF$2:$NF$60=AC$1),0),$F272-1966)</f>
        <v>12877.01</v>
      </c>
      <c r="AD272" s="4" cm="1">
        <f t="array" ref="AD272">INDEX(GMW!$A$2:$NF$60,MATCH(1,(GMW!$NE$2:$NE$60=AD$3)*(GMW!$ND$2:$ND$60=AD$4)*(GMW!$NF$2:$NF$60=AD$1),0),$F272-1966)</f>
        <v>188310.9</v>
      </c>
      <c r="AE272" s="4" cm="1">
        <f t="array" ref="AE272">INDEX(GMW!$A$2:$NF$60,MATCH(1,(GMW!$NE$2:$NE$60=AE$3)*(GMW!$ND$2:$ND$60=AE$4)*(GMW!$NF$2:$NF$60=AE$1),0),$F272-1966)</f>
        <v>1740.0309999999999</v>
      </c>
      <c r="AF272" s="4" cm="1">
        <f t="array" ref="AF272">INDEX(GMW!$A$2:$NF$60,MATCH(1,(GMW!$NE$2:$NE$60=AF$3)*(GMW!$ND$2:$ND$60=AF$4)*(GMW!$NF$2:$NF$60=AF$1),0),$F272-1966)</f>
        <v>1126.057</v>
      </c>
      <c r="AG272" s="4" cm="1">
        <f t="array" ref="AG272">INDEX(GMW!$A$2:$NF$60,MATCH(1,(GMW!$NE$2:$NE$60=AG$3)*(GMW!$ND$2:$ND$60=AG$4)*(GMW!$NF$2:$NF$60=AG$1),0),$F272-1966)</f>
        <v>768.38779999999997</v>
      </c>
      <c r="AH272" s="4" cm="1">
        <f t="array" ref="AH272">INDEX(GMW!$A$2:$NF$60,MATCH(1,(GMW!$NE$2:$NE$60=AH$3)*(GMW!$ND$2:$ND$60=AH$4)*(GMW!$NF$2:$NF$60=AH$1),0),$F272-1966)</f>
        <v>1337958</v>
      </c>
    </row>
    <row r="273" spans="1:34" x14ac:dyDescent="0.25">
      <c r="B273" s="4">
        <f t="shared" si="89"/>
        <v>2039</v>
      </c>
      <c r="C273" s="4">
        <f t="shared" si="89"/>
        <v>2039</v>
      </c>
      <c r="F273" s="4">
        <f t="shared" si="80"/>
        <v>2239</v>
      </c>
      <c r="G273" s="4" cm="1">
        <f t="array" ref="G273">INDEX(GMW!$A$2:$NF$60,MATCH(1,(GMW!$NE$2:$NE$60=G$3)*(GMW!$ND$2:$ND$60=G$4)*(GMW!$NF$2:$NF$60=G$1),0),$F273-1966)</f>
        <v>802733.8</v>
      </c>
      <c r="H273" s="4" cm="1">
        <f t="array" ref="H273">INDEX(GMW!$A$2:$NF$60,MATCH(1,(GMW!$NE$2:$NE$60=H$3)*(GMW!$ND$2:$ND$60=H$4)*(GMW!$NF$2:$NF$60=H$1),0),$F273-1966)</f>
        <v>7790.8689999999997</v>
      </c>
      <c r="I273" s="4" cm="1">
        <f t="array" ref="I273">INDEX(GMW!$A$2:$NF$60,MATCH(1,(GMW!$NE$2:$NE$60=I$3)*(GMW!$ND$2:$ND$60=I$4)*(GMW!$NF$2:$NF$60=I$1),0),$F273-1966)</f>
        <v>140520.6</v>
      </c>
      <c r="J273" s="4" cm="1">
        <f t="array" ref="J273">INDEX(GMW!$A$2:$NF$60,MATCH(1,(GMW!$NE$2:$NE$60=J$3)*(GMW!$ND$2:$ND$60=J$4)*(GMW!$NF$2:$NF$60=J$1),0),$F273-1966)</f>
        <v>1042.028</v>
      </c>
      <c r="K273" s="4" cm="1">
        <f t="array" ref="K273">INDEX(GMW!$A$2:$NF$60,MATCH(1,(GMW!$NE$2:$NE$60=K$3)*(GMW!$ND$2:$ND$60=K$4)*(GMW!$NF$2:$NF$60=K$1),0),$F273-1966)</f>
        <v>750.16700000000003</v>
      </c>
      <c r="L273" s="4" cm="1">
        <f t="array" ref="L273">INDEX(GMW!$A$2:$NF$60,MATCH(1,(GMW!$NE$2:$NE$60=L$3)*(GMW!$ND$2:$ND$60=L$4)*(GMW!$NF$2:$NF$60=L$1),0),$F273-1966)</f>
        <v>514.80600000000004</v>
      </c>
      <c r="M273" s="4" cm="1">
        <f t="array" ref="M273">INDEX(GMW!$A$2:$NF$60,MATCH(1,(GMW!$NE$2:$NE$60=M$3)*(GMW!$ND$2:$ND$60=M$4)*(GMW!$NF$2:$NF$60=M$1),0),$F273-1966)</f>
        <v>801844</v>
      </c>
      <c r="N273" s="4" cm="1">
        <f t="array" ref="N273">INDEX(GMW!$A$2:$NF$60,MATCH(1,(GMW!$NE$2:$NE$60=N$3)*(GMW!$ND$2:$ND$60=N$4)*(GMW!$NF$2:$NF$60=N$1),0),$F273-1966)</f>
        <v>-41658.559999999998</v>
      </c>
      <c r="O273" s="4" cm="1">
        <f t="array" ref="O273">INDEX(GMW!$A$2:$NF$60,MATCH(1,(GMW!$NE$2:$NE$60=O$3)*(GMW!$ND$2:$ND$60=O$4)*(GMW!$NF$2:$NF$60=O$1),0),$F273-1966)</f>
        <v>-1025.3679999999999</v>
      </c>
      <c r="P273" s="4" cm="1">
        <f t="array" ref="P273">INDEX(GMW!$A$2:$NF$60,MATCH(1,(GMW!$NE$2:$NE$60=P$3)*(GMW!$ND$2:$ND$60=P$4)*(GMW!$NF$2:$NF$60=P$1),0),$F273-1966)</f>
        <v>-1761.172</v>
      </c>
      <c r="Q273" s="4" cm="1">
        <f t="array" ref="Q273">INDEX(GMW!$A$2:$NF$60,MATCH(1,(GMW!$NE$2:$NE$60=Q$3)*(GMW!$ND$2:$ND$60=Q$4)*(GMW!$NF$2:$NF$60=Q$1),0),$F273-1966)</f>
        <v>-25.086179999999999</v>
      </c>
      <c r="R273" s="4" cm="1">
        <f t="array" ref="R273">INDEX(GMW!$A$2:$NF$60,MATCH(1,(GMW!$NE$2:$NE$60=R$3)*(GMW!$ND$2:$ND$60=R$4)*(GMW!$NF$2:$NF$60=R$1),0),$F273-1966)</f>
        <v>-37.395319999999998</v>
      </c>
      <c r="S273" s="4" cm="1">
        <f t="array" ref="S273">INDEX(GMW!$A$2:$NF$60,MATCH(1,(GMW!$NE$2:$NE$60=S$3)*(GMW!$ND$2:$ND$60=S$4)*(GMW!$NF$2:$NF$60=S$1),0),$F273-1966)</f>
        <v>-13.709110000000001</v>
      </c>
      <c r="T273" s="4" cm="1">
        <f t="array" ref="T273">INDEX(GMW!$A$2:$NF$60,MATCH(1,(GMW!$NE$2:$NE$60=T$3)*(GMW!$ND$2:$ND$60=T$4)*(GMW!$NF$2:$NF$60=T$1),0),$F273-1966)</f>
        <v>-31211.19</v>
      </c>
      <c r="U273" s="4" cm="1">
        <f t="array" ref="U273">INDEX(GMW!$A$2:$NF$60,MATCH(1,(GMW!$NE$2:$NE$60=U$3)*(GMW!$ND$2:$ND$60=U$4)*(GMW!$NF$2:$NF$60=U$1),0),$F273-1966)</f>
        <v>4817214</v>
      </c>
      <c r="V273" s="4" cm="1">
        <f t="array" ref="V273">INDEX(GMW!$A$2:$NF$60,MATCH(1,(GMW!$NE$2:$NE$60=V$3)*(GMW!$ND$2:$ND$60=V$4)*(GMW!$NF$2:$NF$60=V$1),0),$F273-1966)</f>
        <v>88205.35</v>
      </c>
      <c r="W273" s="4" cm="1">
        <f t="array" ref="W273">INDEX(GMW!$A$2:$NF$60,MATCH(1,(GMW!$NE$2:$NE$60=W$3)*(GMW!$ND$2:$ND$60=W$4)*(GMW!$NF$2:$NF$60=W$1),0),$F273-1966)</f>
        <v>1565187</v>
      </c>
      <c r="X273" s="4" cm="1">
        <f t="array" ref="X273">INDEX(GMW!$A$2:$NF$60,MATCH(1,(GMW!$NE$2:$NE$60=X$3)*(GMW!$ND$2:$ND$60=X$4)*(GMW!$NF$2:$NF$60=X$1),0),$F273-1966)</f>
        <v>4352.2929999999997</v>
      </c>
      <c r="Y273" s="4" cm="1">
        <f t="array" ref="Y273">INDEX(GMW!$A$2:$NF$60,MATCH(1,(GMW!$NE$2:$NE$60=Y$3)*(GMW!$ND$2:$ND$60=Y$4)*(GMW!$NF$2:$NF$60=Y$1),0),$F273-1966)</f>
        <v>5837.4579999999996</v>
      </c>
      <c r="Z273" s="4" cm="1">
        <f t="array" ref="Z273">INDEX(GMW!$A$2:$NF$60,MATCH(1,(GMW!$NE$2:$NE$60=Z$3)*(GMW!$ND$2:$ND$60=Z$4)*(GMW!$NF$2:$NF$60=Z$1),0),$F273-1966)</f>
        <v>4265.8689999999997</v>
      </c>
      <c r="AA273" s="4" cm="1">
        <f t="array" ref="AA273">INDEX(GMW!$A$2:$NF$60,MATCH(1,(GMW!$NE$2:$NE$60=AA$3)*(GMW!$ND$2:$ND$60=AA$4)*(GMW!$NF$2:$NF$60=AA$1),0),$F273-1966)</f>
        <v>4974491</v>
      </c>
      <c r="AB273" s="4" cm="1">
        <f t="array" ref="AB273">INDEX(GMW!$A$2:$NF$60,MATCH(1,(GMW!$NE$2:$NE$60=AB$3)*(GMW!$ND$2:$ND$60=AB$4)*(GMW!$NF$2:$NF$60=AB$1),0),$F273-1966)</f>
        <v>1251125</v>
      </c>
      <c r="AC273" s="4" cm="1">
        <f t="array" ref="AC273">INDEX(GMW!$A$2:$NF$60,MATCH(1,(GMW!$NE$2:$NE$60=AC$3)*(GMW!$ND$2:$ND$60=AC$4)*(GMW!$NF$2:$NF$60=AC$1),0),$F273-1966)</f>
        <v>12991.83</v>
      </c>
      <c r="AD273" s="4" cm="1">
        <f t="array" ref="AD273">INDEX(GMW!$A$2:$NF$60,MATCH(1,(GMW!$NE$2:$NE$60=AD$3)*(GMW!$ND$2:$ND$60=AD$4)*(GMW!$NF$2:$NF$60=AD$1),0),$F273-1966)</f>
        <v>188858.1</v>
      </c>
      <c r="AE273" s="4" cm="1">
        <f t="array" ref="AE273">INDEX(GMW!$A$2:$NF$60,MATCH(1,(GMW!$NE$2:$NE$60=AE$3)*(GMW!$ND$2:$ND$60=AE$4)*(GMW!$NF$2:$NF$60=AE$1),0),$F273-1966)</f>
        <v>1752.49</v>
      </c>
      <c r="AF273" s="4" cm="1">
        <f t="array" ref="AF273">INDEX(GMW!$A$2:$NF$60,MATCH(1,(GMW!$NE$2:$NE$60=AF$3)*(GMW!$ND$2:$ND$60=AF$4)*(GMW!$NF$2:$NF$60=AF$1),0),$F273-1966)</f>
        <v>1133.2460000000001</v>
      </c>
      <c r="AG273" s="4" cm="1">
        <f t="array" ref="AG273">INDEX(GMW!$A$2:$NF$60,MATCH(1,(GMW!$NE$2:$NE$60=AG$3)*(GMW!$ND$2:$ND$60=AG$4)*(GMW!$NF$2:$NF$60=AG$1),0),$F273-1966)</f>
        <v>772.54269999999997</v>
      </c>
      <c r="AH273" s="4" cm="1">
        <f t="array" ref="AH273">INDEX(GMW!$A$2:$NF$60,MATCH(1,(GMW!$NE$2:$NE$60=AH$3)*(GMW!$ND$2:$ND$60=AH$4)*(GMW!$NF$2:$NF$60=AH$1),0),$F273-1966)</f>
        <v>1350964</v>
      </c>
    </row>
    <row r="274" spans="1:34" x14ac:dyDescent="0.25">
      <c r="B274" s="4">
        <f t="shared" si="89"/>
        <v>2039</v>
      </c>
      <c r="C274" s="4">
        <f t="shared" si="89"/>
        <v>2039</v>
      </c>
      <c r="E274" s="4">
        <f t="shared" ref="E274" si="91">+E270+1</f>
        <v>2039</v>
      </c>
      <c r="F274" s="4">
        <f t="shared" si="80"/>
        <v>2240</v>
      </c>
      <c r="G274" s="4" cm="1">
        <f t="array" ref="G274">INDEX(GMW!$A$2:$NF$60,MATCH(1,(GMW!$NE$2:$NE$60=G$3)*(GMW!$ND$2:$ND$60=G$4)*(GMW!$NF$2:$NF$60=G$1),0),$F274-1966)</f>
        <v>805899.1</v>
      </c>
      <c r="H274" s="4" cm="1">
        <f t="array" ref="H274">INDEX(GMW!$A$2:$NF$60,MATCH(1,(GMW!$NE$2:$NE$60=H$3)*(GMW!$ND$2:$ND$60=H$4)*(GMW!$NF$2:$NF$60=H$1),0),$F274-1966)</f>
        <v>7824.518</v>
      </c>
      <c r="I274" s="4" cm="1">
        <f t="array" ref="I274">INDEX(GMW!$A$2:$NF$60,MATCH(1,(GMW!$NE$2:$NE$60=I$3)*(GMW!$ND$2:$ND$60=I$4)*(GMW!$NF$2:$NF$60=I$1),0),$F274-1966)</f>
        <v>140423.29999999999</v>
      </c>
      <c r="J274" s="4" cm="1">
        <f t="array" ref="J274">INDEX(GMW!$A$2:$NF$60,MATCH(1,(GMW!$NE$2:$NE$60=J$3)*(GMW!$ND$2:$ND$60=J$4)*(GMW!$NF$2:$NF$60=J$1),0),$F274-1966)</f>
        <v>1044.2360000000001</v>
      </c>
      <c r="K274" s="4" cm="1">
        <f t="array" ref="K274">INDEX(GMW!$A$2:$NF$60,MATCH(1,(GMW!$NE$2:$NE$60=K$3)*(GMW!$ND$2:$ND$60=K$4)*(GMW!$NF$2:$NF$60=K$1),0),$F274-1966)</f>
        <v>751.23860000000002</v>
      </c>
      <c r="L274" s="4" cm="1">
        <f t="array" ref="L274">INDEX(GMW!$A$2:$NF$60,MATCH(1,(GMW!$NE$2:$NE$60=L$3)*(GMW!$ND$2:$ND$60=L$4)*(GMW!$NF$2:$NF$60=L$1),0),$F274-1966)</f>
        <v>515.00890000000004</v>
      </c>
      <c r="M274" s="4" cm="1">
        <f t="array" ref="M274">INDEX(GMW!$A$2:$NF$60,MATCH(1,(GMW!$NE$2:$NE$60=M$3)*(GMW!$ND$2:$ND$60=M$4)*(GMW!$NF$2:$NF$60=M$1),0),$F274-1966)</f>
        <v>805831.4</v>
      </c>
      <c r="N274" s="4" cm="1">
        <f t="array" ref="N274">INDEX(GMW!$A$2:$NF$60,MATCH(1,(GMW!$NE$2:$NE$60=N$3)*(GMW!$ND$2:$ND$60=N$4)*(GMW!$NF$2:$NF$60=N$1),0),$F274-1966)</f>
        <v>-74344.53</v>
      </c>
      <c r="O274" s="4" cm="1">
        <f t="array" ref="O274">INDEX(GMW!$A$2:$NF$60,MATCH(1,(GMW!$NE$2:$NE$60=O$3)*(GMW!$ND$2:$ND$60=O$4)*(GMW!$NF$2:$NF$60=O$1),0),$F274-1966)</f>
        <v>-1029.43</v>
      </c>
      <c r="P274" s="4" cm="1">
        <f t="array" ref="P274">INDEX(GMW!$A$2:$NF$60,MATCH(1,(GMW!$NE$2:$NE$60=P$3)*(GMW!$ND$2:$ND$60=P$4)*(GMW!$NF$2:$NF$60=P$1),0),$F274-1966)</f>
        <v>-1766.289</v>
      </c>
      <c r="Q274" s="4" cm="1">
        <f t="array" ref="Q274">INDEX(GMW!$A$2:$NF$60,MATCH(1,(GMW!$NE$2:$NE$60=Q$3)*(GMW!$ND$2:$ND$60=Q$4)*(GMW!$NF$2:$NF$60=Q$1),0),$F274-1966)</f>
        <v>-25.262699999999999</v>
      </c>
      <c r="R274" s="4" cm="1">
        <f t="array" ref="R274">INDEX(GMW!$A$2:$NF$60,MATCH(1,(GMW!$NE$2:$NE$60=R$3)*(GMW!$ND$2:$ND$60=R$4)*(GMW!$NF$2:$NF$60=R$1),0),$F274-1966)</f>
        <v>-37.636229999999998</v>
      </c>
      <c r="S274" s="4" cm="1">
        <f t="array" ref="S274">INDEX(GMW!$A$2:$NF$60,MATCH(1,(GMW!$NE$2:$NE$60=S$3)*(GMW!$ND$2:$ND$60=S$4)*(GMW!$NF$2:$NF$60=S$1),0),$F274-1966)</f>
        <v>-13.783239999999999</v>
      </c>
      <c r="T274" s="4" cm="1">
        <f t="array" ref="T274">INDEX(GMW!$A$2:$NF$60,MATCH(1,(GMW!$NE$2:$NE$60=T$3)*(GMW!$ND$2:$ND$60=T$4)*(GMW!$NF$2:$NF$60=T$1),0),$F274-1966)</f>
        <v>-31497.94</v>
      </c>
      <c r="U274" s="4" cm="1">
        <f t="array" ref="U274">INDEX(GMW!$A$2:$NF$60,MATCH(1,(GMW!$NE$2:$NE$60=U$3)*(GMW!$ND$2:$ND$60=U$4)*(GMW!$NF$2:$NF$60=U$1),0),$F274-1966)</f>
        <v>4891559</v>
      </c>
      <c r="V274" s="4" cm="1">
        <f t="array" ref="V274">INDEX(GMW!$A$2:$NF$60,MATCH(1,(GMW!$NE$2:$NE$60=V$3)*(GMW!$ND$2:$ND$60=V$4)*(GMW!$NF$2:$NF$60=V$1),0),$F274-1966)</f>
        <v>89234.78</v>
      </c>
      <c r="W274" s="4" cm="1">
        <f t="array" ref="W274">INDEX(GMW!$A$2:$NF$60,MATCH(1,(GMW!$NE$2:$NE$60=W$3)*(GMW!$ND$2:$ND$60=W$4)*(GMW!$NF$2:$NF$60=W$1),0),$F274-1966)</f>
        <v>1566953</v>
      </c>
      <c r="X274" s="4" cm="1">
        <f t="array" ref="X274">INDEX(GMW!$A$2:$NF$60,MATCH(1,(GMW!$NE$2:$NE$60=X$3)*(GMW!$ND$2:$ND$60=X$4)*(GMW!$NF$2:$NF$60=X$1),0),$F274-1966)</f>
        <v>4377.5559999999996</v>
      </c>
      <c r="Y274" s="4" cm="1">
        <f t="array" ref="Y274">INDEX(GMW!$A$2:$NF$60,MATCH(1,(GMW!$NE$2:$NE$60=Y$3)*(GMW!$ND$2:$ND$60=Y$4)*(GMW!$NF$2:$NF$60=Y$1),0),$F274-1966)</f>
        <v>5875.0940000000001</v>
      </c>
      <c r="Z274" s="4" cm="1">
        <f t="array" ref="Z274">INDEX(GMW!$A$2:$NF$60,MATCH(1,(GMW!$NE$2:$NE$60=Z$3)*(GMW!$ND$2:$ND$60=Z$4)*(GMW!$NF$2:$NF$60=Z$1),0),$F274-1966)</f>
        <v>4279.652</v>
      </c>
      <c r="AA274" s="4" cm="1">
        <f t="array" ref="AA274">INDEX(GMW!$A$2:$NF$60,MATCH(1,(GMW!$NE$2:$NE$60=AA$3)*(GMW!$ND$2:$ND$60=AA$4)*(GMW!$NF$2:$NF$60=AA$1),0),$F274-1966)</f>
        <v>5005989</v>
      </c>
      <c r="AB274" s="4" cm="1">
        <f t="array" ref="AB274">INDEX(GMW!$A$2:$NF$60,MATCH(1,(GMW!$NE$2:$NE$60=AB$3)*(GMW!$ND$2:$ND$60=AB$4)*(GMW!$NF$2:$NF$60=AB$1),0),$F274-1966)</f>
        <v>1262766</v>
      </c>
      <c r="AC274" s="4" cm="1">
        <f t="array" ref="AC274">INDEX(GMW!$A$2:$NF$60,MATCH(1,(GMW!$NE$2:$NE$60=AC$3)*(GMW!$ND$2:$ND$60=AC$4)*(GMW!$NF$2:$NF$60=AC$1),0),$F274-1966)</f>
        <v>13108.26</v>
      </c>
      <c r="AD274" s="4" cm="1">
        <f t="array" ref="AD274">INDEX(GMW!$A$2:$NF$60,MATCH(1,(GMW!$NE$2:$NE$60=AD$3)*(GMW!$ND$2:$ND$60=AD$4)*(GMW!$NF$2:$NF$60=AD$1),0),$F274-1966)</f>
        <v>189410.2</v>
      </c>
      <c r="AE274" s="4" cm="1">
        <f t="array" ref="AE274">INDEX(GMW!$A$2:$NF$60,MATCH(1,(GMW!$NE$2:$NE$60=AE$3)*(GMW!$ND$2:$ND$60=AE$4)*(GMW!$NF$2:$NF$60=AE$1),0),$F274-1966)</f>
        <v>1764.9159999999999</v>
      </c>
      <c r="AF274" s="4" cm="1">
        <f t="array" ref="AF274">INDEX(GMW!$A$2:$NF$60,MATCH(1,(GMW!$NE$2:$NE$60=AF$3)*(GMW!$ND$2:$ND$60=AF$4)*(GMW!$NF$2:$NF$60=AF$1),0),$F274-1966)</f>
        <v>1140.576</v>
      </c>
      <c r="AG274" s="4" cm="1">
        <f t="array" ref="AG274">INDEX(GMW!$A$2:$NF$60,MATCH(1,(GMW!$NE$2:$NE$60=AG$3)*(GMW!$ND$2:$ND$60=AG$4)*(GMW!$NF$2:$NF$60=AG$1),0),$F274-1966)</f>
        <v>776.69449999999995</v>
      </c>
      <c r="AH274" s="4" cm="1">
        <f t="array" ref="AH274">INDEX(GMW!$A$2:$NF$60,MATCH(1,(GMW!$NE$2:$NE$60=AH$3)*(GMW!$ND$2:$ND$60=AH$4)*(GMW!$NF$2:$NF$60=AH$1),0),$F274-1966)</f>
        <v>1364228</v>
      </c>
    </row>
    <row r="275" spans="1:34" x14ac:dyDescent="0.25">
      <c r="A275" s="4">
        <v>2040</v>
      </c>
      <c r="B275" s="4">
        <f t="shared" si="89"/>
        <v>2040</v>
      </c>
      <c r="C275" s="4">
        <f t="shared" si="89"/>
        <v>2039</v>
      </c>
      <c r="D275" s="4">
        <f t="shared" si="89"/>
        <v>2039</v>
      </c>
      <c r="F275" s="4">
        <f t="shared" si="80"/>
        <v>2241</v>
      </c>
      <c r="G275" s="4" cm="1">
        <f t="array" ref="G275">INDEX(GMW!$A$2:$NF$60,MATCH(1,(GMW!$NE$2:$NE$60=G$3)*(GMW!$ND$2:$ND$60=G$4)*(GMW!$NF$2:$NF$60=G$1),0),$F275-1966)</f>
        <v>809080.5</v>
      </c>
      <c r="H275" s="4" cm="1">
        <f t="array" ref="H275">INDEX(GMW!$A$2:$NF$60,MATCH(1,(GMW!$NE$2:$NE$60=H$3)*(GMW!$ND$2:$ND$60=H$4)*(GMW!$NF$2:$NF$60=H$1),0),$F275-1966)</f>
        <v>7858.1019999999999</v>
      </c>
      <c r="I275" s="4" cm="1">
        <f t="array" ref="I275">INDEX(GMW!$A$2:$NF$60,MATCH(1,(GMW!$NE$2:$NE$60=I$3)*(GMW!$ND$2:$ND$60=I$4)*(GMW!$NF$2:$NF$60=I$1),0),$F275-1966)</f>
        <v>140327.6</v>
      </c>
      <c r="J275" s="4" cm="1">
        <f t="array" ref="J275">INDEX(GMW!$A$2:$NF$60,MATCH(1,(GMW!$NE$2:$NE$60=J$3)*(GMW!$ND$2:$ND$60=J$4)*(GMW!$NF$2:$NF$60=J$1),0),$F275-1966)</f>
        <v>1046.7049999999999</v>
      </c>
      <c r="K275" s="4" cm="1">
        <f t="array" ref="K275">INDEX(GMW!$A$2:$NF$60,MATCH(1,(GMW!$NE$2:$NE$60=K$3)*(GMW!$ND$2:$ND$60=K$4)*(GMW!$NF$2:$NF$60=K$1),0),$F275-1966)</f>
        <v>752.15539999999999</v>
      </c>
      <c r="L275" s="4" cm="1">
        <f t="array" ref="L275">INDEX(GMW!$A$2:$NF$60,MATCH(1,(GMW!$NE$2:$NE$60=L$3)*(GMW!$ND$2:$ND$60=L$4)*(GMW!$NF$2:$NF$60=L$1),0),$F275-1966)</f>
        <v>515.2296</v>
      </c>
      <c r="M275" s="4" cm="1">
        <f t="array" ref="M275">INDEX(GMW!$A$2:$NF$60,MATCH(1,(GMW!$NE$2:$NE$60=M$3)*(GMW!$ND$2:$ND$60=M$4)*(GMW!$NF$2:$NF$60=M$1),0),$F275-1966)</f>
        <v>809819.8</v>
      </c>
      <c r="N275" s="4" cm="1">
        <f t="array" ref="N275">INDEX(GMW!$A$2:$NF$60,MATCH(1,(GMW!$NE$2:$NE$60=N$3)*(GMW!$ND$2:$ND$60=N$4)*(GMW!$NF$2:$NF$60=N$1),0),$F275-1966)</f>
        <v>-3474.1880000000001</v>
      </c>
      <c r="O275" s="4" cm="1">
        <f t="array" ref="O275">INDEX(GMW!$A$2:$NF$60,MATCH(1,(GMW!$NE$2:$NE$60=O$3)*(GMW!$ND$2:$ND$60=O$4)*(GMW!$NF$2:$NF$60=O$1),0),$F275-1966)</f>
        <v>-1033.415</v>
      </c>
      <c r="P275" s="4" cm="1">
        <f t="array" ref="P275">INDEX(GMW!$A$2:$NF$60,MATCH(1,(GMW!$NE$2:$NE$60=P$3)*(GMW!$ND$2:$ND$60=P$4)*(GMW!$NF$2:$NF$60=P$1),0),$F275-1966)</f>
        <v>-1771.453</v>
      </c>
      <c r="Q275" s="4" cm="1">
        <f t="array" ref="Q275">INDEX(GMW!$A$2:$NF$60,MATCH(1,(GMW!$NE$2:$NE$60=Q$3)*(GMW!$ND$2:$ND$60=Q$4)*(GMW!$NF$2:$NF$60=Q$1),0),$F275-1966)</f>
        <v>-25.446529999999999</v>
      </c>
      <c r="R275" s="4" cm="1">
        <f t="array" ref="R275">INDEX(GMW!$A$2:$NF$60,MATCH(1,(GMW!$NE$2:$NE$60=R$3)*(GMW!$ND$2:$ND$60=R$4)*(GMW!$NF$2:$NF$60=R$1),0),$F275-1966)</f>
        <v>-37.870420000000003</v>
      </c>
      <c r="S275" s="4" cm="1">
        <f t="array" ref="S275">INDEX(GMW!$A$2:$NF$60,MATCH(1,(GMW!$NE$2:$NE$60=S$3)*(GMW!$ND$2:$ND$60=S$4)*(GMW!$NF$2:$NF$60=S$1),0),$F275-1966)</f>
        <v>-13.8573</v>
      </c>
      <c r="T275" s="4" cm="1">
        <f t="array" ref="T275">INDEX(GMW!$A$2:$NF$60,MATCH(1,(GMW!$NE$2:$NE$60=T$3)*(GMW!$ND$2:$ND$60=T$4)*(GMW!$NF$2:$NF$60=T$1),0),$F275-1966)</f>
        <v>-31898.13</v>
      </c>
      <c r="U275" s="4" cm="1">
        <f t="array" ref="U275">INDEX(GMW!$A$2:$NF$60,MATCH(1,(GMW!$NE$2:$NE$60=U$3)*(GMW!$ND$2:$ND$60=U$4)*(GMW!$NF$2:$NF$60=U$1),0),$F275-1966)</f>
        <v>4895033</v>
      </c>
      <c r="V275" s="4" cm="1">
        <f t="array" ref="V275">INDEX(GMW!$A$2:$NF$60,MATCH(1,(GMW!$NE$2:$NE$60=V$3)*(GMW!$ND$2:$ND$60=V$4)*(GMW!$NF$2:$NF$60=V$1),0),$F275-1966)</f>
        <v>90268.2</v>
      </c>
      <c r="W275" s="4" cm="1">
        <f t="array" ref="W275">INDEX(GMW!$A$2:$NF$60,MATCH(1,(GMW!$NE$2:$NE$60=W$3)*(GMW!$ND$2:$ND$60=W$4)*(GMW!$NF$2:$NF$60=W$1),0),$F275-1966)</f>
        <v>1568724</v>
      </c>
      <c r="X275" s="4" cm="1">
        <f t="array" ref="X275">INDEX(GMW!$A$2:$NF$60,MATCH(1,(GMW!$NE$2:$NE$60=X$3)*(GMW!$ND$2:$ND$60=X$4)*(GMW!$NF$2:$NF$60=X$1),0),$F275-1966)</f>
        <v>4403.0020000000004</v>
      </c>
      <c r="Y275" s="4" cm="1">
        <f t="array" ref="Y275">INDEX(GMW!$A$2:$NF$60,MATCH(1,(GMW!$NE$2:$NE$60=Y$3)*(GMW!$ND$2:$ND$60=Y$4)*(GMW!$NF$2:$NF$60=Y$1),0),$F275-1966)</f>
        <v>5912.9639999999999</v>
      </c>
      <c r="Z275" s="4" cm="1">
        <f t="array" ref="Z275">INDEX(GMW!$A$2:$NF$60,MATCH(1,(GMW!$NE$2:$NE$60=Z$3)*(GMW!$ND$2:$ND$60=Z$4)*(GMW!$NF$2:$NF$60=Z$1),0),$F275-1966)</f>
        <v>4293.51</v>
      </c>
      <c r="AA275" s="4" cm="1">
        <f t="array" ref="AA275">INDEX(GMW!$A$2:$NF$60,MATCH(1,(GMW!$NE$2:$NE$60=AA$3)*(GMW!$ND$2:$ND$60=AA$4)*(GMW!$NF$2:$NF$60=AA$1),0),$F275-1966)</f>
        <v>5037887</v>
      </c>
      <c r="AB275" s="4" cm="1">
        <f t="array" ref="AB275">INDEX(GMW!$A$2:$NF$60,MATCH(1,(GMW!$NE$2:$NE$60=AB$3)*(GMW!$ND$2:$ND$60=AB$4)*(GMW!$NF$2:$NF$60=AB$1),0),$F275-1966)</f>
        <v>1274520</v>
      </c>
      <c r="AC275" s="4" cm="1">
        <f t="array" ref="AC275">INDEX(GMW!$A$2:$NF$60,MATCH(1,(GMW!$NE$2:$NE$60=AC$3)*(GMW!$ND$2:$ND$60=AC$4)*(GMW!$NF$2:$NF$60=AC$1),0),$F275-1966)</f>
        <v>13225.36</v>
      </c>
      <c r="AD275" s="4" cm="1">
        <f t="array" ref="AD275">INDEX(GMW!$A$2:$NF$60,MATCH(1,(GMW!$NE$2:$NE$60=AD$3)*(GMW!$ND$2:$ND$60=AD$4)*(GMW!$NF$2:$NF$60=AD$1),0),$F275-1966)</f>
        <v>189978.7</v>
      </c>
      <c r="AE275" s="4" cm="1">
        <f t="array" ref="AE275">INDEX(GMW!$A$2:$NF$60,MATCH(1,(GMW!$NE$2:$NE$60=AE$3)*(GMW!$ND$2:$ND$60=AE$4)*(GMW!$NF$2:$NF$60=AE$1),0),$F275-1966)</f>
        <v>1777.864</v>
      </c>
      <c r="AF275" s="4" cm="1">
        <f t="array" ref="AF275">INDEX(GMW!$A$2:$NF$60,MATCH(1,(GMW!$NE$2:$NE$60=AF$3)*(GMW!$ND$2:$ND$60=AF$4)*(GMW!$NF$2:$NF$60=AF$1),0),$F275-1966)</f>
        <v>1147.6610000000001</v>
      </c>
      <c r="AG275" s="4" cm="1">
        <f t="array" ref="AG275">INDEX(GMW!$A$2:$NF$60,MATCH(1,(GMW!$NE$2:$NE$60=AG$3)*(GMW!$ND$2:$ND$60=AG$4)*(GMW!$NF$2:$NF$60=AG$1),0),$F275-1966)</f>
        <v>780.87819999999999</v>
      </c>
      <c r="AH275" s="4" cm="1">
        <f t="array" ref="AH275">INDEX(GMW!$A$2:$NF$60,MATCH(1,(GMW!$NE$2:$NE$60=AH$3)*(GMW!$ND$2:$ND$60=AH$4)*(GMW!$NF$2:$NF$60=AH$1),0),$F275-1966)</f>
        <v>1377604</v>
      </c>
    </row>
    <row r="276" spans="1:34" x14ac:dyDescent="0.25">
      <c r="B276" s="4">
        <f t="shared" si="89"/>
        <v>2040</v>
      </c>
      <c r="C276" s="4">
        <f t="shared" si="89"/>
        <v>2040</v>
      </c>
      <c r="F276" s="4">
        <f t="shared" si="80"/>
        <v>2242</v>
      </c>
      <c r="G276" s="4" cm="1">
        <f t="array" ref="G276">INDEX(GMW!$A$2:$NF$60,MATCH(1,(GMW!$NE$2:$NE$60=G$3)*(GMW!$ND$2:$ND$60=G$4)*(GMW!$NF$2:$NF$60=G$1),0),$F276-1966)</f>
        <v>812276.5</v>
      </c>
      <c r="H276" s="4" cm="1">
        <f t="array" ref="H276">INDEX(GMW!$A$2:$NF$60,MATCH(1,(GMW!$NE$2:$NE$60=H$3)*(GMW!$ND$2:$ND$60=H$4)*(GMW!$NF$2:$NF$60=H$1),0),$F276-1966)</f>
        <v>7891.6949999999997</v>
      </c>
      <c r="I276" s="4" cm="1">
        <f t="array" ref="I276">INDEX(GMW!$A$2:$NF$60,MATCH(1,(GMW!$NE$2:$NE$60=I$3)*(GMW!$ND$2:$ND$60=I$4)*(GMW!$NF$2:$NF$60=I$1),0),$F276-1966)</f>
        <v>140231</v>
      </c>
      <c r="J276" s="4" cm="1">
        <f t="array" ref="J276">INDEX(GMW!$A$2:$NF$60,MATCH(1,(GMW!$NE$2:$NE$60=J$3)*(GMW!$ND$2:$ND$60=J$4)*(GMW!$NF$2:$NF$60=J$1),0),$F276-1966)</f>
        <v>1049.181</v>
      </c>
      <c r="K276" s="4" cm="1">
        <f t="array" ref="K276">INDEX(GMW!$A$2:$NF$60,MATCH(1,(GMW!$NE$2:$NE$60=K$3)*(GMW!$ND$2:$ND$60=K$4)*(GMW!$NF$2:$NF$60=K$1),0),$F276-1966)</f>
        <v>753.13239999999996</v>
      </c>
      <c r="L276" s="4" cm="1">
        <f t="array" ref="L276">INDEX(GMW!$A$2:$NF$60,MATCH(1,(GMW!$NE$2:$NE$60=L$3)*(GMW!$ND$2:$ND$60=L$4)*(GMW!$NF$2:$NF$60=L$1),0),$F276-1966)</f>
        <v>515.44579999999996</v>
      </c>
      <c r="M276" s="4" cm="1">
        <f t="array" ref="M276">INDEX(GMW!$A$2:$NF$60,MATCH(1,(GMW!$NE$2:$NE$60=M$3)*(GMW!$ND$2:$ND$60=M$4)*(GMW!$NF$2:$NF$60=M$1),0),$F276-1966)</f>
        <v>813788.3</v>
      </c>
      <c r="N276" s="4" cm="1">
        <f t="array" ref="N276">INDEX(GMW!$A$2:$NF$60,MATCH(1,(GMW!$NE$2:$NE$60=N$3)*(GMW!$ND$2:$ND$60=N$4)*(GMW!$NF$2:$NF$60=N$1),0),$F276-1966)</f>
        <v>-82632.03</v>
      </c>
      <c r="O276" s="4" cm="1">
        <f t="array" ref="O276">INDEX(GMW!$A$2:$NF$60,MATCH(1,(GMW!$NE$2:$NE$60=O$3)*(GMW!$ND$2:$ND$60=O$4)*(GMW!$NF$2:$NF$60=O$1),0),$F276-1966)</f>
        <v>-1037.336</v>
      </c>
      <c r="P276" s="4" cm="1">
        <f t="array" ref="P276">INDEX(GMW!$A$2:$NF$60,MATCH(1,(GMW!$NE$2:$NE$60=P$3)*(GMW!$ND$2:$ND$60=P$4)*(GMW!$NF$2:$NF$60=P$1),0),$F276-1966)</f>
        <v>-1776.7729999999999</v>
      </c>
      <c r="Q276" s="4" cm="1">
        <f t="array" ref="Q276">INDEX(GMW!$A$2:$NF$60,MATCH(1,(GMW!$NE$2:$NE$60=Q$3)*(GMW!$ND$2:$ND$60=Q$4)*(GMW!$NF$2:$NF$60=Q$1),0),$F276-1966)</f>
        <v>-25.631350000000001</v>
      </c>
      <c r="R276" s="4" cm="1">
        <f t="array" ref="R276">INDEX(GMW!$A$2:$NF$60,MATCH(1,(GMW!$NE$2:$NE$60=R$3)*(GMW!$ND$2:$ND$60=R$4)*(GMW!$NF$2:$NF$60=R$1),0),$F276-1966)</f>
        <v>-38.106990000000003</v>
      </c>
      <c r="S276" s="4" cm="1">
        <f t="array" ref="S276">INDEX(GMW!$A$2:$NF$60,MATCH(1,(GMW!$NE$2:$NE$60=S$3)*(GMW!$ND$2:$ND$60=S$4)*(GMW!$NF$2:$NF$60=S$1),0),$F276-1966)</f>
        <v>-13.931950000000001</v>
      </c>
      <c r="T276" s="4" cm="1">
        <f t="array" ref="T276">INDEX(GMW!$A$2:$NF$60,MATCH(1,(GMW!$NE$2:$NE$60=T$3)*(GMW!$ND$2:$ND$60=T$4)*(GMW!$NF$2:$NF$60=T$1),0),$F276-1966)</f>
        <v>-32257.19</v>
      </c>
      <c r="U276" s="4" cm="1">
        <f t="array" ref="U276">INDEX(GMW!$A$2:$NF$60,MATCH(1,(GMW!$NE$2:$NE$60=U$3)*(GMW!$ND$2:$ND$60=U$4)*(GMW!$NF$2:$NF$60=U$1),0),$F276-1966)</f>
        <v>4977665</v>
      </c>
      <c r="V276" s="4" cm="1">
        <f t="array" ref="V276">INDEX(GMW!$A$2:$NF$60,MATCH(1,(GMW!$NE$2:$NE$60=V$3)*(GMW!$ND$2:$ND$60=V$4)*(GMW!$NF$2:$NF$60=V$1),0),$F276-1966)</f>
        <v>91305.53</v>
      </c>
      <c r="W276" s="4" cm="1">
        <f t="array" ref="W276">INDEX(GMW!$A$2:$NF$60,MATCH(1,(GMW!$NE$2:$NE$60=W$3)*(GMW!$ND$2:$ND$60=W$4)*(GMW!$NF$2:$NF$60=W$1),0),$F276-1966)</f>
        <v>1570501</v>
      </c>
      <c r="X276" s="4" cm="1">
        <f t="array" ref="X276">INDEX(GMW!$A$2:$NF$60,MATCH(1,(GMW!$NE$2:$NE$60=X$3)*(GMW!$ND$2:$ND$60=X$4)*(GMW!$NF$2:$NF$60=X$1),0),$F276-1966)</f>
        <v>4428.6329999999998</v>
      </c>
      <c r="Y276" s="4" cm="1">
        <f t="array" ref="Y276">INDEX(GMW!$A$2:$NF$60,MATCH(1,(GMW!$NE$2:$NE$60=Y$3)*(GMW!$ND$2:$ND$60=Y$4)*(GMW!$NF$2:$NF$60=Y$1),0),$F276-1966)</f>
        <v>5951.0709999999999</v>
      </c>
      <c r="Z276" s="4" cm="1">
        <f t="array" ref="Z276">INDEX(GMW!$A$2:$NF$60,MATCH(1,(GMW!$NE$2:$NE$60=Z$3)*(GMW!$ND$2:$ND$60=Z$4)*(GMW!$NF$2:$NF$60=Z$1),0),$F276-1966)</f>
        <v>4307.442</v>
      </c>
      <c r="AA276" s="4" cm="1">
        <f t="array" ref="AA276">INDEX(GMW!$A$2:$NF$60,MATCH(1,(GMW!$NE$2:$NE$60=AA$3)*(GMW!$ND$2:$ND$60=AA$4)*(GMW!$NF$2:$NF$60=AA$1),0),$F276-1966)</f>
        <v>5070144</v>
      </c>
      <c r="AB276" s="4" cm="1">
        <f t="array" ref="AB276">INDEX(GMW!$A$2:$NF$60,MATCH(1,(GMW!$NE$2:$NE$60=AB$3)*(GMW!$ND$2:$ND$60=AB$4)*(GMW!$NF$2:$NF$60=AB$1),0),$F276-1966)</f>
        <v>1286388</v>
      </c>
      <c r="AC276" s="4" cm="1">
        <f t="array" ref="AC276">INDEX(GMW!$A$2:$NF$60,MATCH(1,(GMW!$NE$2:$NE$60=AC$3)*(GMW!$ND$2:$ND$60=AC$4)*(GMW!$NF$2:$NF$60=AC$1),0),$F276-1966)</f>
        <v>13343.3</v>
      </c>
      <c r="AD276" s="4" cm="1">
        <f t="array" ref="AD276">INDEX(GMW!$A$2:$NF$60,MATCH(1,(GMW!$NE$2:$NE$60=AD$3)*(GMW!$ND$2:$ND$60=AD$4)*(GMW!$NF$2:$NF$60=AD$1),0),$F276-1966)</f>
        <v>190540.3</v>
      </c>
      <c r="AE276" s="4" cm="1">
        <f t="array" ref="AE276">INDEX(GMW!$A$2:$NF$60,MATCH(1,(GMW!$NE$2:$NE$60=AE$3)*(GMW!$ND$2:$ND$60=AE$4)*(GMW!$NF$2:$NF$60=AE$1),0),$F276-1966)</f>
        <v>1790.9110000000001</v>
      </c>
      <c r="AF276" s="4" cm="1">
        <f t="array" ref="AF276">INDEX(GMW!$A$2:$NF$60,MATCH(1,(GMW!$NE$2:$NE$60=AF$3)*(GMW!$ND$2:$ND$60=AF$4)*(GMW!$NF$2:$NF$60=AF$1),0),$F276-1966)</f>
        <v>1154.8340000000001</v>
      </c>
      <c r="AG276" s="4" cm="1">
        <f t="array" ref="AG276">INDEX(GMW!$A$2:$NF$60,MATCH(1,(GMW!$NE$2:$NE$60=AG$3)*(GMW!$ND$2:$ND$60=AG$4)*(GMW!$NF$2:$NF$60=AG$1),0),$F276-1966)</f>
        <v>785.10410000000002</v>
      </c>
      <c r="AH276" s="4" cm="1">
        <f t="array" ref="AH276">INDEX(GMW!$A$2:$NF$60,MATCH(1,(GMW!$NE$2:$NE$60=AH$3)*(GMW!$ND$2:$ND$60=AH$4)*(GMW!$NF$2:$NF$60=AH$1),0),$F276-1966)</f>
        <v>1391046</v>
      </c>
    </row>
    <row r="277" spans="1:34" x14ac:dyDescent="0.25">
      <c r="B277" s="4">
        <f t="shared" si="89"/>
        <v>2040</v>
      </c>
      <c r="C277" s="4">
        <f t="shared" si="89"/>
        <v>2040</v>
      </c>
      <c r="F277" s="4">
        <f t="shared" si="80"/>
        <v>2243</v>
      </c>
      <c r="G277" s="4" cm="1">
        <f t="array" ref="G277">INDEX(GMW!$A$2:$NF$60,MATCH(1,(GMW!$NE$2:$NE$60=G$3)*(GMW!$ND$2:$ND$60=G$4)*(GMW!$NF$2:$NF$60=G$1),0),$F277-1966)</f>
        <v>815487.6</v>
      </c>
      <c r="H277" s="4" cm="1">
        <f t="array" ref="H277">INDEX(GMW!$A$2:$NF$60,MATCH(1,(GMW!$NE$2:$NE$60=H$3)*(GMW!$ND$2:$ND$60=H$4)*(GMW!$NF$2:$NF$60=H$1),0),$F277-1966)</f>
        <v>7925.3559999999998</v>
      </c>
      <c r="I277" s="4" cm="1">
        <f t="array" ref="I277">INDEX(GMW!$A$2:$NF$60,MATCH(1,(GMW!$NE$2:$NE$60=I$3)*(GMW!$ND$2:$ND$60=I$4)*(GMW!$NF$2:$NF$60=I$1),0),$F277-1966)</f>
        <v>140139.1</v>
      </c>
      <c r="J277" s="4" cm="1">
        <f t="array" ref="J277">INDEX(GMW!$A$2:$NF$60,MATCH(1,(GMW!$NE$2:$NE$60=J$3)*(GMW!$ND$2:$ND$60=J$4)*(GMW!$NF$2:$NF$60=J$1),0),$F277-1966)</f>
        <v>1051.665</v>
      </c>
      <c r="K277" s="4" cm="1">
        <f t="array" ref="K277">INDEX(GMW!$A$2:$NF$60,MATCH(1,(GMW!$NE$2:$NE$60=K$3)*(GMW!$ND$2:$ND$60=K$4)*(GMW!$NF$2:$NF$60=K$1),0),$F277-1966)</f>
        <v>753.95830000000001</v>
      </c>
      <c r="L277" s="4" cm="1">
        <f t="array" ref="L277">INDEX(GMW!$A$2:$NF$60,MATCH(1,(GMW!$NE$2:$NE$60=L$3)*(GMW!$ND$2:$ND$60=L$4)*(GMW!$NF$2:$NF$60=L$1),0),$F277-1966)</f>
        <v>515.65949999999998</v>
      </c>
      <c r="M277" s="4" cm="1">
        <f t="array" ref="M277">INDEX(GMW!$A$2:$NF$60,MATCH(1,(GMW!$NE$2:$NE$60=M$3)*(GMW!$ND$2:$ND$60=M$4)*(GMW!$NF$2:$NF$60=M$1),0),$F277-1966)</f>
        <v>817823.1</v>
      </c>
      <c r="N277" s="4" cm="1">
        <f t="array" ref="N277">INDEX(GMW!$A$2:$NF$60,MATCH(1,(GMW!$NE$2:$NE$60=N$3)*(GMW!$ND$2:$ND$60=N$4)*(GMW!$NF$2:$NF$60=N$1),0),$F277-1966)</f>
        <v>-44600</v>
      </c>
      <c r="O277" s="4" cm="1">
        <f t="array" ref="O277">INDEX(GMW!$A$2:$NF$60,MATCH(1,(GMW!$NE$2:$NE$60=O$3)*(GMW!$ND$2:$ND$60=O$4)*(GMW!$NF$2:$NF$60=O$1),0),$F277-1966)</f>
        <v>-1041.1859999999999</v>
      </c>
      <c r="P277" s="4" cm="1">
        <f t="array" ref="P277">INDEX(GMW!$A$2:$NF$60,MATCH(1,(GMW!$NE$2:$NE$60=P$3)*(GMW!$ND$2:$ND$60=P$4)*(GMW!$NF$2:$NF$60=P$1),0),$F277-1966)</f>
        <v>-1782.0229999999999</v>
      </c>
      <c r="Q277" s="4" cm="1">
        <f t="array" ref="Q277">INDEX(GMW!$A$2:$NF$60,MATCH(1,(GMW!$NE$2:$NE$60=Q$3)*(GMW!$ND$2:$ND$60=Q$4)*(GMW!$NF$2:$NF$60=Q$1),0),$F277-1966)</f>
        <v>-25.81738</v>
      </c>
      <c r="R277" s="4" cm="1">
        <f t="array" ref="R277">INDEX(GMW!$A$2:$NF$60,MATCH(1,(GMW!$NE$2:$NE$60=R$3)*(GMW!$ND$2:$ND$60=R$4)*(GMW!$NF$2:$NF$60=R$1),0),$F277-1966)</f>
        <v>-38.34534</v>
      </c>
      <c r="S277" s="4" cm="1">
        <f t="array" ref="S277">INDEX(GMW!$A$2:$NF$60,MATCH(1,(GMW!$NE$2:$NE$60=S$3)*(GMW!$ND$2:$ND$60=S$4)*(GMW!$NF$2:$NF$60=S$1),0),$F277-1966)</f>
        <v>-14.00733</v>
      </c>
      <c r="T277" s="4" cm="1">
        <f t="array" ref="T277">INDEX(GMW!$A$2:$NF$60,MATCH(1,(GMW!$NE$2:$NE$60=T$3)*(GMW!$ND$2:$ND$60=T$4)*(GMW!$NF$2:$NF$60=T$1),0),$F277-1966)</f>
        <v>-32491.06</v>
      </c>
      <c r="U277" s="4" cm="1">
        <f t="array" ref="U277">INDEX(GMW!$A$2:$NF$60,MATCH(1,(GMW!$NE$2:$NE$60=U$3)*(GMW!$ND$2:$ND$60=U$4)*(GMW!$NF$2:$NF$60=U$1),0),$F277-1966)</f>
        <v>5022265</v>
      </c>
      <c r="V277" s="4" cm="1">
        <f t="array" ref="V277">INDEX(GMW!$A$2:$NF$60,MATCH(1,(GMW!$NE$2:$NE$60=V$3)*(GMW!$ND$2:$ND$60=V$4)*(GMW!$NF$2:$NF$60=V$1),0),$F277-1966)</f>
        <v>92346.72</v>
      </c>
      <c r="W277" s="4" cm="1">
        <f t="array" ref="W277">INDEX(GMW!$A$2:$NF$60,MATCH(1,(GMW!$NE$2:$NE$60=W$3)*(GMW!$ND$2:$ND$60=W$4)*(GMW!$NF$2:$NF$60=W$1),0),$F277-1966)</f>
        <v>1572283</v>
      </c>
      <c r="X277" s="4" cm="1">
        <f t="array" ref="X277">INDEX(GMW!$A$2:$NF$60,MATCH(1,(GMW!$NE$2:$NE$60=X$3)*(GMW!$ND$2:$ND$60=X$4)*(GMW!$NF$2:$NF$60=X$1),0),$F277-1966)</f>
        <v>4454.451</v>
      </c>
      <c r="Y277" s="4" cm="1">
        <f t="array" ref="Y277">INDEX(GMW!$A$2:$NF$60,MATCH(1,(GMW!$NE$2:$NE$60=Y$3)*(GMW!$ND$2:$ND$60=Y$4)*(GMW!$NF$2:$NF$60=Y$1),0),$F277-1966)</f>
        <v>5989.4170000000004</v>
      </c>
      <c r="Z277" s="4" cm="1">
        <f t="array" ref="Z277">INDEX(GMW!$A$2:$NF$60,MATCH(1,(GMW!$NE$2:$NE$60=Z$3)*(GMW!$ND$2:$ND$60=Z$4)*(GMW!$NF$2:$NF$60=Z$1),0),$F277-1966)</f>
        <v>4321.4489999999996</v>
      </c>
      <c r="AA277" s="4" cm="1">
        <f t="array" ref="AA277">INDEX(GMW!$A$2:$NF$60,MATCH(1,(GMW!$NE$2:$NE$60=AA$3)*(GMW!$ND$2:$ND$60=AA$4)*(GMW!$NF$2:$NF$60=AA$1),0),$F277-1966)</f>
        <v>5102635</v>
      </c>
      <c r="AB277" s="4" cm="1">
        <f t="array" ref="AB277">INDEX(GMW!$A$2:$NF$60,MATCH(1,(GMW!$NE$2:$NE$60=AB$3)*(GMW!$ND$2:$ND$60=AB$4)*(GMW!$NF$2:$NF$60=AB$1),0),$F277-1966)</f>
        <v>1298370</v>
      </c>
      <c r="AC277" s="4" cm="1">
        <f t="array" ref="AC277">INDEX(GMW!$A$2:$NF$60,MATCH(1,(GMW!$NE$2:$NE$60=AC$3)*(GMW!$ND$2:$ND$60=AC$4)*(GMW!$NF$2:$NF$60=AC$1),0),$F277-1966)</f>
        <v>13462.21</v>
      </c>
      <c r="AD277" s="4" cm="1">
        <f t="array" ref="AD277">INDEX(GMW!$A$2:$NF$60,MATCH(1,(GMW!$NE$2:$NE$60=AD$3)*(GMW!$ND$2:$ND$60=AD$4)*(GMW!$NF$2:$NF$60=AD$1),0),$F277-1966)</f>
        <v>191109</v>
      </c>
      <c r="AE277" s="4" cm="1">
        <f t="array" ref="AE277">INDEX(GMW!$A$2:$NF$60,MATCH(1,(GMW!$NE$2:$NE$60=AE$3)*(GMW!$ND$2:$ND$60=AE$4)*(GMW!$NF$2:$NF$60=AE$1),0),$F277-1966)</f>
        <v>1804.0550000000001</v>
      </c>
      <c r="AF277" s="4" cm="1">
        <f t="array" ref="AF277">INDEX(GMW!$A$2:$NF$60,MATCH(1,(GMW!$NE$2:$NE$60=AF$3)*(GMW!$ND$2:$ND$60=AF$4)*(GMW!$NF$2:$NF$60=AF$1),0),$F277-1966)</f>
        <v>1161.953</v>
      </c>
      <c r="AG277" s="4" cm="1">
        <f t="array" ref="AG277">INDEX(GMW!$A$2:$NF$60,MATCH(1,(GMW!$NE$2:$NE$60=AG$3)*(GMW!$ND$2:$ND$60=AG$4)*(GMW!$NF$2:$NF$60=AG$1),0),$F277-1966)</f>
        <v>789.3519</v>
      </c>
      <c r="AH277" s="4" cm="1">
        <f t="array" ref="AH277">INDEX(GMW!$A$2:$NF$60,MATCH(1,(GMW!$NE$2:$NE$60=AH$3)*(GMW!$ND$2:$ND$60=AH$4)*(GMW!$NF$2:$NF$60=AH$1),0),$F277-1966)</f>
        <v>1404697</v>
      </c>
    </row>
    <row r="278" spans="1:34" x14ac:dyDescent="0.25">
      <c r="B278" s="4">
        <f t="shared" si="89"/>
        <v>2040</v>
      </c>
      <c r="C278" s="4">
        <f t="shared" si="89"/>
        <v>2040</v>
      </c>
      <c r="E278" s="4">
        <f t="shared" ref="E278" si="92">+E274+1</f>
        <v>2040</v>
      </c>
      <c r="F278" s="4">
        <f t="shared" si="80"/>
        <v>2244</v>
      </c>
      <c r="G278" s="4" cm="1">
        <f t="array" ref="G278">INDEX(GMW!$A$2:$NF$60,MATCH(1,(GMW!$NE$2:$NE$60=G$3)*(GMW!$ND$2:$ND$60=G$4)*(GMW!$NF$2:$NF$60=G$1),0),$F278-1966)</f>
        <v>818713.59999999998</v>
      </c>
      <c r="H278" s="4" cm="1">
        <f t="array" ref="H278">INDEX(GMW!$A$2:$NF$60,MATCH(1,(GMW!$NE$2:$NE$60=H$3)*(GMW!$ND$2:$ND$60=H$4)*(GMW!$NF$2:$NF$60=H$1),0),$F278-1966)</f>
        <v>7959.1769999999997</v>
      </c>
      <c r="I278" s="4" cm="1">
        <f t="array" ref="I278">INDEX(GMW!$A$2:$NF$60,MATCH(1,(GMW!$NE$2:$NE$60=I$3)*(GMW!$ND$2:$ND$60=I$4)*(GMW!$NF$2:$NF$60=I$1),0),$F278-1966)</f>
        <v>140051.6</v>
      </c>
      <c r="J278" s="4" cm="1">
        <f t="array" ref="J278">INDEX(GMW!$A$2:$NF$60,MATCH(1,(GMW!$NE$2:$NE$60=J$3)*(GMW!$ND$2:$ND$60=J$4)*(GMW!$NF$2:$NF$60=J$1),0),$F278-1966)</f>
        <v>1054.1559999999999</v>
      </c>
      <c r="K278" s="4" cm="1">
        <f t="array" ref="K278">INDEX(GMW!$A$2:$NF$60,MATCH(1,(GMW!$NE$2:$NE$60=K$3)*(GMW!$ND$2:$ND$60=K$4)*(GMW!$NF$2:$NF$60=K$1),0),$F278-1966)</f>
        <v>754.95249999999999</v>
      </c>
      <c r="L278" s="4" cm="1">
        <f t="array" ref="L278">INDEX(GMW!$A$2:$NF$60,MATCH(1,(GMW!$NE$2:$NE$60=L$3)*(GMW!$ND$2:$ND$60=L$4)*(GMW!$NF$2:$NF$60=L$1),0),$F278-1966)</f>
        <v>515.86580000000004</v>
      </c>
      <c r="M278" s="4" cm="1">
        <f t="array" ref="M278">INDEX(GMW!$A$2:$NF$60,MATCH(1,(GMW!$NE$2:$NE$60=M$3)*(GMW!$ND$2:$ND$60=M$4)*(GMW!$NF$2:$NF$60=M$1),0),$F278-1966)</f>
        <v>821928.9</v>
      </c>
      <c r="N278" s="4" cm="1">
        <f t="array" ref="N278">INDEX(GMW!$A$2:$NF$60,MATCH(1,(GMW!$NE$2:$NE$60=N$3)*(GMW!$ND$2:$ND$60=N$4)*(GMW!$NF$2:$NF$60=N$1),0),$F278-1966)</f>
        <v>-78592.53</v>
      </c>
      <c r="O278" s="4" cm="1">
        <f t="array" ref="O278">INDEX(GMW!$A$2:$NF$60,MATCH(1,(GMW!$NE$2:$NE$60=O$3)*(GMW!$ND$2:$ND$60=O$4)*(GMW!$NF$2:$NF$60=O$1),0),$F278-1966)</f>
        <v>-1044.9670000000001</v>
      </c>
      <c r="P278" s="4" cm="1">
        <f t="array" ref="P278">INDEX(GMW!$A$2:$NF$60,MATCH(1,(GMW!$NE$2:$NE$60=P$3)*(GMW!$ND$2:$ND$60=P$4)*(GMW!$NF$2:$NF$60=P$1),0),$F278-1966)</f>
        <v>-1787.3440000000001</v>
      </c>
      <c r="Q278" s="4" cm="1">
        <f t="array" ref="Q278">INDEX(GMW!$A$2:$NF$60,MATCH(1,(GMW!$NE$2:$NE$60=Q$3)*(GMW!$ND$2:$ND$60=Q$4)*(GMW!$NF$2:$NF$60=Q$1),0),$F278-1966)</f>
        <v>-26.0047</v>
      </c>
      <c r="R278" s="4" cm="1">
        <f t="array" ref="R278">INDEX(GMW!$A$2:$NF$60,MATCH(1,(GMW!$NE$2:$NE$60=R$3)*(GMW!$ND$2:$ND$60=R$4)*(GMW!$NF$2:$NF$60=R$1),0),$F278-1966)</f>
        <v>-38.575809999999997</v>
      </c>
      <c r="S278" s="4" cm="1">
        <f t="array" ref="S278">INDEX(GMW!$A$2:$NF$60,MATCH(1,(GMW!$NE$2:$NE$60=S$3)*(GMW!$ND$2:$ND$60=S$4)*(GMW!$NF$2:$NF$60=S$1),0),$F278-1966)</f>
        <v>-14.0831</v>
      </c>
      <c r="T278" s="4" cm="1">
        <f t="array" ref="T278">INDEX(GMW!$A$2:$NF$60,MATCH(1,(GMW!$NE$2:$NE$60=T$3)*(GMW!$ND$2:$ND$60=T$4)*(GMW!$NF$2:$NF$60=T$1),0),$F278-1966)</f>
        <v>-32838.69</v>
      </c>
      <c r="U278" s="4" cm="1">
        <f t="array" ref="U278">INDEX(GMW!$A$2:$NF$60,MATCH(1,(GMW!$NE$2:$NE$60=U$3)*(GMW!$ND$2:$ND$60=U$4)*(GMW!$NF$2:$NF$60=U$1),0),$F278-1966)</f>
        <v>5100857</v>
      </c>
      <c r="V278" s="4" cm="1">
        <f t="array" ref="V278">INDEX(GMW!$A$2:$NF$60,MATCH(1,(GMW!$NE$2:$NE$60=V$3)*(GMW!$ND$2:$ND$60=V$4)*(GMW!$NF$2:$NF$60=V$1),0),$F278-1966)</f>
        <v>93391.69</v>
      </c>
      <c r="W278" s="4" cm="1">
        <f t="array" ref="W278">INDEX(GMW!$A$2:$NF$60,MATCH(1,(GMW!$NE$2:$NE$60=W$3)*(GMW!$ND$2:$ND$60=W$4)*(GMW!$NF$2:$NF$60=W$1),0),$F278-1966)</f>
        <v>1574070</v>
      </c>
      <c r="X278" s="4" cm="1">
        <f t="array" ref="X278">INDEX(GMW!$A$2:$NF$60,MATCH(1,(GMW!$NE$2:$NE$60=X$3)*(GMW!$ND$2:$ND$60=X$4)*(GMW!$NF$2:$NF$60=X$1),0),$F278-1966)</f>
        <v>4480.4560000000001</v>
      </c>
      <c r="Y278" s="4" cm="1">
        <f t="array" ref="Y278">INDEX(GMW!$A$2:$NF$60,MATCH(1,(GMW!$NE$2:$NE$60=Y$3)*(GMW!$ND$2:$ND$60=Y$4)*(GMW!$NF$2:$NF$60=Y$1),0),$F278-1966)</f>
        <v>6027.9920000000002</v>
      </c>
      <c r="Z278" s="4" cm="1">
        <f t="array" ref="Z278">INDEX(GMW!$A$2:$NF$60,MATCH(1,(GMW!$NE$2:$NE$60=Z$3)*(GMW!$ND$2:$ND$60=Z$4)*(GMW!$NF$2:$NF$60=Z$1),0),$F278-1966)</f>
        <v>4335.5320000000002</v>
      </c>
      <c r="AA278" s="4" cm="1">
        <f t="array" ref="AA278">INDEX(GMW!$A$2:$NF$60,MATCH(1,(GMW!$NE$2:$NE$60=AA$3)*(GMW!$ND$2:$ND$60=AA$4)*(GMW!$NF$2:$NF$60=AA$1),0),$F278-1966)</f>
        <v>5135473</v>
      </c>
      <c r="AB278" s="4" cm="1">
        <f t="array" ref="AB278">INDEX(GMW!$A$2:$NF$60,MATCH(1,(GMW!$NE$2:$NE$60=AB$3)*(GMW!$ND$2:$ND$60=AB$4)*(GMW!$NF$2:$NF$60=AB$1),0),$F278-1966)</f>
        <v>1310466</v>
      </c>
      <c r="AC278" s="4" cm="1">
        <f t="array" ref="AC278">INDEX(GMW!$A$2:$NF$60,MATCH(1,(GMW!$NE$2:$NE$60=AC$3)*(GMW!$ND$2:$ND$60=AC$4)*(GMW!$NF$2:$NF$60=AC$1),0),$F278-1966)</f>
        <v>13582.22</v>
      </c>
      <c r="AD278" s="4" cm="1">
        <f t="array" ref="AD278">INDEX(GMW!$A$2:$NF$60,MATCH(1,(GMW!$NE$2:$NE$60=AD$3)*(GMW!$ND$2:$ND$60=AD$4)*(GMW!$NF$2:$NF$60=AD$1),0),$F278-1966)</f>
        <v>191682.3</v>
      </c>
      <c r="AE278" s="4" cm="1">
        <f t="array" ref="AE278">INDEX(GMW!$A$2:$NF$60,MATCH(1,(GMW!$NE$2:$NE$60=AE$3)*(GMW!$ND$2:$ND$60=AE$4)*(GMW!$NF$2:$NF$60=AE$1),0),$F278-1966)</f>
        <v>1817.299</v>
      </c>
      <c r="AF278" s="4" cm="1">
        <f t="array" ref="AF278">INDEX(GMW!$A$2:$NF$60,MATCH(1,(GMW!$NE$2:$NE$60=AF$3)*(GMW!$ND$2:$ND$60=AF$4)*(GMW!$NF$2:$NF$60=AF$1),0),$F278-1966)</f>
        <v>1169.152</v>
      </c>
      <c r="AG278" s="4" cm="1">
        <f t="array" ref="AG278">INDEX(GMW!$A$2:$NF$60,MATCH(1,(GMW!$NE$2:$NE$60=AG$3)*(GMW!$ND$2:$ND$60=AG$4)*(GMW!$NF$2:$NF$60=AG$1),0),$F278-1966)</f>
        <v>793.59439999999995</v>
      </c>
      <c r="AH278" s="4" cm="1">
        <f t="array" ref="AH278">INDEX(GMW!$A$2:$NF$60,MATCH(1,(GMW!$NE$2:$NE$60=AH$3)*(GMW!$ND$2:$ND$60=AH$4)*(GMW!$NF$2:$NF$60=AH$1),0),$F278-1966)</f>
        <v>1418577</v>
      </c>
    </row>
    <row r="279" spans="1:34" x14ac:dyDescent="0.25">
      <c r="A279" s="4">
        <v>2041</v>
      </c>
      <c r="B279" s="4">
        <f t="shared" si="89"/>
        <v>2041</v>
      </c>
      <c r="C279" s="4">
        <f t="shared" si="89"/>
        <v>2040</v>
      </c>
      <c r="D279" s="4">
        <f t="shared" si="89"/>
        <v>2040</v>
      </c>
      <c r="F279" s="4">
        <f t="shared" si="80"/>
        <v>2245</v>
      </c>
      <c r="G279" s="4" cm="1">
        <f t="array" ref="G279">INDEX(GMW!$A$2:$NF$60,MATCH(1,(GMW!$NE$2:$NE$60=G$3)*(GMW!$ND$2:$ND$60=G$4)*(GMW!$NF$2:$NF$60=G$1),0),$F279-1966)</f>
        <v>822031</v>
      </c>
      <c r="H279" s="4" cm="1">
        <f t="array" ref="H279">INDEX(GMW!$A$2:$NF$60,MATCH(1,(GMW!$NE$2:$NE$60=H$3)*(GMW!$ND$2:$ND$60=H$4)*(GMW!$NF$2:$NF$60=H$1),0),$F279-1966)</f>
        <v>7992.982</v>
      </c>
      <c r="I279" s="4" cm="1">
        <f t="array" ref="I279">INDEX(GMW!$A$2:$NF$60,MATCH(1,(GMW!$NE$2:$NE$60=I$3)*(GMW!$ND$2:$ND$60=I$4)*(GMW!$NF$2:$NF$60=I$1),0),$F279-1966)</f>
        <v>139965.70000000001</v>
      </c>
      <c r="J279" s="4" cm="1">
        <f t="array" ref="J279">INDEX(GMW!$A$2:$NF$60,MATCH(1,(GMW!$NE$2:$NE$60=J$3)*(GMW!$ND$2:$ND$60=J$4)*(GMW!$NF$2:$NF$60=J$1),0),$F279-1966)</f>
        <v>1056.69</v>
      </c>
      <c r="K279" s="4" cm="1">
        <f t="array" ref="K279">INDEX(GMW!$A$2:$NF$60,MATCH(1,(GMW!$NE$2:$NE$60=K$3)*(GMW!$ND$2:$ND$60=K$4)*(GMW!$NF$2:$NF$60=K$1),0),$F279-1966)</f>
        <v>755.86300000000006</v>
      </c>
      <c r="L279" s="4" cm="1">
        <f t="array" ref="L279">INDEX(GMW!$A$2:$NF$60,MATCH(1,(GMW!$NE$2:$NE$60=L$3)*(GMW!$ND$2:$ND$60=L$4)*(GMW!$NF$2:$NF$60=L$1),0),$F279-1966)</f>
        <v>516.06590000000006</v>
      </c>
      <c r="M279" s="4" cm="1">
        <f t="array" ref="M279">INDEX(GMW!$A$2:$NF$60,MATCH(1,(GMW!$NE$2:$NE$60=M$3)*(GMW!$ND$2:$ND$60=M$4)*(GMW!$NF$2:$NF$60=M$1),0),$F279-1966)</f>
        <v>826049.1</v>
      </c>
      <c r="N279" s="4" cm="1">
        <f t="array" ref="N279">INDEX(GMW!$A$2:$NF$60,MATCH(1,(GMW!$NE$2:$NE$60=N$3)*(GMW!$ND$2:$ND$60=N$4)*(GMW!$NF$2:$NF$60=N$1),0),$F279-1966)</f>
        <v>-3748.5</v>
      </c>
      <c r="O279" s="4" cm="1">
        <f t="array" ref="O279">INDEX(GMW!$A$2:$NF$60,MATCH(1,(GMW!$NE$2:$NE$60=O$3)*(GMW!$ND$2:$ND$60=O$4)*(GMW!$NF$2:$NF$60=O$1),0),$F279-1966)</f>
        <v>-1048.6790000000001</v>
      </c>
      <c r="P279" s="4" cm="1">
        <f t="array" ref="P279">INDEX(GMW!$A$2:$NF$60,MATCH(1,(GMW!$NE$2:$NE$60=P$3)*(GMW!$ND$2:$ND$60=P$4)*(GMW!$NF$2:$NF$60=P$1),0),$F279-1966)</f>
        <v>-1792.703</v>
      </c>
      <c r="Q279" s="4" cm="1">
        <f t="array" ref="Q279">INDEX(GMW!$A$2:$NF$60,MATCH(1,(GMW!$NE$2:$NE$60=Q$3)*(GMW!$ND$2:$ND$60=Q$4)*(GMW!$NF$2:$NF$60=Q$1),0),$F279-1966)</f>
        <v>-26.193909999999999</v>
      </c>
      <c r="R279" s="4" cm="1">
        <f t="array" ref="R279">INDEX(GMW!$A$2:$NF$60,MATCH(1,(GMW!$NE$2:$NE$60=R$3)*(GMW!$ND$2:$ND$60=R$4)*(GMW!$NF$2:$NF$60=R$1),0),$F279-1966)</f>
        <v>-38.820070000000001</v>
      </c>
      <c r="S279" s="4" cm="1">
        <f t="array" ref="S279">INDEX(GMW!$A$2:$NF$60,MATCH(1,(GMW!$NE$2:$NE$60=S$3)*(GMW!$ND$2:$ND$60=S$4)*(GMW!$NF$2:$NF$60=S$1),0),$F279-1966)</f>
        <v>-14.15878</v>
      </c>
      <c r="T279" s="4" cm="1">
        <f t="array" ref="T279">INDEX(GMW!$A$2:$NF$60,MATCH(1,(GMW!$NE$2:$NE$60=T$3)*(GMW!$ND$2:$ND$60=T$4)*(GMW!$NF$2:$NF$60=T$1),0),$F279-1966)</f>
        <v>-33282.559999999998</v>
      </c>
      <c r="U279" s="4" cm="1">
        <f t="array" ref="U279">INDEX(GMW!$A$2:$NF$60,MATCH(1,(GMW!$NE$2:$NE$60=U$3)*(GMW!$ND$2:$ND$60=U$4)*(GMW!$NF$2:$NF$60=U$1),0),$F279-1966)</f>
        <v>5104606</v>
      </c>
      <c r="V279" s="4" cm="1">
        <f t="array" ref="V279">INDEX(GMW!$A$2:$NF$60,MATCH(1,(GMW!$NE$2:$NE$60=V$3)*(GMW!$ND$2:$ND$60=V$4)*(GMW!$NF$2:$NF$60=V$1),0),$F279-1966)</f>
        <v>94440.37</v>
      </c>
      <c r="W279" s="4" cm="1">
        <f t="array" ref="W279">INDEX(GMW!$A$2:$NF$60,MATCH(1,(GMW!$NE$2:$NE$60=W$3)*(GMW!$ND$2:$ND$60=W$4)*(GMW!$NF$2:$NF$60=W$1),0),$F279-1966)</f>
        <v>1575863</v>
      </c>
      <c r="X279" s="4" cm="1">
        <f t="array" ref="X279">INDEX(GMW!$A$2:$NF$60,MATCH(1,(GMW!$NE$2:$NE$60=X$3)*(GMW!$ND$2:$ND$60=X$4)*(GMW!$NF$2:$NF$60=X$1),0),$F279-1966)</f>
        <v>4506.6490000000003</v>
      </c>
      <c r="Y279" s="4" cm="1">
        <f t="array" ref="Y279">INDEX(GMW!$A$2:$NF$60,MATCH(1,(GMW!$NE$2:$NE$60=Y$3)*(GMW!$ND$2:$ND$60=Y$4)*(GMW!$NF$2:$NF$60=Y$1),0),$F279-1966)</f>
        <v>6066.8130000000001</v>
      </c>
      <c r="Z279" s="4" cm="1">
        <f t="array" ref="Z279">INDEX(GMW!$A$2:$NF$60,MATCH(1,(GMW!$NE$2:$NE$60=Z$3)*(GMW!$ND$2:$ND$60=Z$4)*(GMW!$NF$2:$NF$60=Z$1),0),$F279-1966)</f>
        <v>4349.6909999999998</v>
      </c>
      <c r="AA279" s="4" cm="1">
        <f t="array" ref="AA279">INDEX(GMW!$A$2:$NF$60,MATCH(1,(GMW!$NE$2:$NE$60=AA$3)*(GMW!$ND$2:$ND$60=AA$4)*(GMW!$NF$2:$NF$60=AA$1),0),$F279-1966)</f>
        <v>5168756</v>
      </c>
      <c r="AB279" s="4" cm="1">
        <f t="array" ref="AB279">INDEX(GMW!$A$2:$NF$60,MATCH(1,(GMW!$NE$2:$NE$60=AB$3)*(GMW!$ND$2:$ND$60=AB$4)*(GMW!$NF$2:$NF$60=AB$1),0),$F279-1966)</f>
        <v>1322816</v>
      </c>
      <c r="AC279" s="4" cm="1">
        <f t="array" ref="AC279">INDEX(GMW!$A$2:$NF$60,MATCH(1,(GMW!$NE$2:$NE$60=AC$3)*(GMW!$ND$2:$ND$60=AC$4)*(GMW!$NF$2:$NF$60=AC$1),0),$F279-1966)</f>
        <v>13703.12</v>
      </c>
      <c r="AD279" s="4" cm="1">
        <f t="array" ref="AD279">INDEX(GMW!$A$2:$NF$60,MATCH(1,(GMW!$NE$2:$NE$60=AD$3)*(GMW!$ND$2:$ND$60=AD$4)*(GMW!$NF$2:$NF$60=AD$1),0),$F279-1966)</f>
        <v>192273.2</v>
      </c>
      <c r="AE279" s="4" cm="1">
        <f t="array" ref="AE279">INDEX(GMW!$A$2:$NF$60,MATCH(1,(GMW!$NE$2:$NE$60=AE$3)*(GMW!$ND$2:$ND$60=AE$4)*(GMW!$NF$2:$NF$60=AE$1),0),$F279-1966)</f>
        <v>1830.7049999999999</v>
      </c>
      <c r="AF279" s="4" cm="1">
        <f t="array" ref="AF279">INDEX(GMW!$A$2:$NF$60,MATCH(1,(GMW!$NE$2:$NE$60=AF$3)*(GMW!$ND$2:$ND$60=AF$4)*(GMW!$NF$2:$NF$60=AF$1),0),$F279-1966)</f>
        <v>1176.3610000000001</v>
      </c>
      <c r="AG279" s="4" cm="1">
        <f t="array" ref="AG279">INDEX(GMW!$A$2:$NF$60,MATCH(1,(GMW!$NE$2:$NE$60=AG$3)*(GMW!$ND$2:$ND$60=AG$4)*(GMW!$NF$2:$NF$60=AG$1),0),$F279-1966)</f>
        <v>797.82730000000004</v>
      </c>
      <c r="AH279" s="4" cm="1">
        <f t="array" ref="AH279">INDEX(GMW!$A$2:$NF$60,MATCH(1,(GMW!$NE$2:$NE$60=AH$3)*(GMW!$ND$2:$ND$60=AH$4)*(GMW!$NF$2:$NF$60=AH$1),0),$F279-1966)</f>
        <v>1432601</v>
      </c>
    </row>
    <row r="280" spans="1:34" x14ac:dyDescent="0.25">
      <c r="B280" s="4">
        <f t="shared" si="89"/>
        <v>2041</v>
      </c>
      <c r="C280" s="4">
        <f t="shared" si="89"/>
        <v>2041</v>
      </c>
      <c r="F280" s="4">
        <f t="shared" si="80"/>
        <v>2246</v>
      </c>
      <c r="G280" s="4" cm="1">
        <f t="array" ref="G280">INDEX(GMW!$A$2:$NF$60,MATCH(1,(GMW!$NE$2:$NE$60=G$3)*(GMW!$ND$2:$ND$60=G$4)*(GMW!$NF$2:$NF$60=G$1),0),$F280-1966)</f>
        <v>825364.4</v>
      </c>
      <c r="H280" s="4" cm="1">
        <f t="array" ref="H280">INDEX(GMW!$A$2:$NF$60,MATCH(1,(GMW!$NE$2:$NE$60=H$3)*(GMW!$ND$2:$ND$60=H$4)*(GMW!$NF$2:$NF$60=H$1),0),$F280-1966)</f>
        <v>8026.9120000000003</v>
      </c>
      <c r="I280" s="4" cm="1">
        <f t="array" ref="I280">INDEX(GMW!$A$2:$NF$60,MATCH(1,(GMW!$NE$2:$NE$60=I$3)*(GMW!$ND$2:$ND$60=I$4)*(GMW!$NF$2:$NF$60=I$1),0),$F280-1966)</f>
        <v>139880</v>
      </c>
      <c r="J280" s="4" cm="1">
        <f t="array" ref="J280">INDEX(GMW!$A$2:$NF$60,MATCH(1,(GMW!$NE$2:$NE$60=J$3)*(GMW!$ND$2:$ND$60=J$4)*(GMW!$NF$2:$NF$60=J$1),0),$F280-1966)</f>
        <v>1059.232</v>
      </c>
      <c r="K280" s="4" cm="1">
        <f t="array" ref="K280">INDEX(GMW!$A$2:$NF$60,MATCH(1,(GMW!$NE$2:$NE$60=K$3)*(GMW!$ND$2:$ND$60=K$4)*(GMW!$NF$2:$NF$60=K$1),0),$F280-1966)</f>
        <v>756.84969999999998</v>
      </c>
      <c r="L280" s="4" cm="1">
        <f t="array" ref="L280">INDEX(GMW!$A$2:$NF$60,MATCH(1,(GMW!$NE$2:$NE$60=L$3)*(GMW!$ND$2:$ND$60=L$4)*(GMW!$NF$2:$NF$60=L$1),0),$F280-1966)</f>
        <v>516.26279999999997</v>
      </c>
      <c r="M280" s="4" cm="1">
        <f t="array" ref="M280">INDEX(GMW!$A$2:$NF$60,MATCH(1,(GMW!$NE$2:$NE$60=M$3)*(GMW!$ND$2:$ND$60=M$4)*(GMW!$NF$2:$NF$60=M$1),0),$F280-1966)</f>
        <v>830164.9</v>
      </c>
      <c r="N280" s="4" cm="1">
        <f t="array" ref="N280">INDEX(GMW!$A$2:$NF$60,MATCH(1,(GMW!$NE$2:$NE$60=N$3)*(GMW!$ND$2:$ND$60=N$4)*(GMW!$NF$2:$NF$60=N$1),0),$F280-1966)</f>
        <v>-85773.06</v>
      </c>
      <c r="O280" s="4" cm="1">
        <f t="array" ref="O280">INDEX(GMW!$A$2:$NF$60,MATCH(1,(GMW!$NE$2:$NE$60=O$3)*(GMW!$ND$2:$ND$60=O$4)*(GMW!$NF$2:$NF$60=O$1),0),$F280-1966)</f>
        <v>-1052.3040000000001</v>
      </c>
      <c r="P280" s="4" cm="1">
        <f t="array" ref="P280">INDEX(GMW!$A$2:$NF$60,MATCH(1,(GMW!$NE$2:$NE$60=P$3)*(GMW!$ND$2:$ND$60=P$4)*(GMW!$NF$2:$NF$60=P$1),0),$F280-1966)</f>
        <v>-1798.2270000000001</v>
      </c>
      <c r="Q280" s="4" cm="1">
        <f t="array" ref="Q280">INDEX(GMW!$A$2:$NF$60,MATCH(1,(GMW!$NE$2:$NE$60=Q$3)*(GMW!$ND$2:$ND$60=Q$4)*(GMW!$NF$2:$NF$60=Q$1),0),$F280-1966)</f>
        <v>-26.384340000000002</v>
      </c>
      <c r="R280" s="4" cm="1">
        <f t="array" ref="R280">INDEX(GMW!$A$2:$NF$60,MATCH(1,(GMW!$NE$2:$NE$60=R$3)*(GMW!$ND$2:$ND$60=R$4)*(GMW!$NF$2:$NF$60=R$1),0),$F280-1966)</f>
        <v>-39.059750000000001</v>
      </c>
      <c r="S280" s="4" cm="1">
        <f t="array" ref="S280">INDEX(GMW!$A$2:$NF$60,MATCH(1,(GMW!$NE$2:$NE$60=S$3)*(GMW!$ND$2:$ND$60=S$4)*(GMW!$NF$2:$NF$60=S$1),0),$F280-1966)</f>
        <v>-14.23432</v>
      </c>
      <c r="T280" s="4" cm="1">
        <f t="array" ref="T280">INDEX(GMW!$A$2:$NF$60,MATCH(1,(GMW!$NE$2:$NE$60=T$3)*(GMW!$ND$2:$ND$60=T$4)*(GMW!$NF$2:$NF$60=T$1),0),$F280-1966)</f>
        <v>-33669.129999999997</v>
      </c>
      <c r="U280" s="4" cm="1">
        <f t="array" ref="U280">INDEX(GMW!$A$2:$NF$60,MATCH(1,(GMW!$NE$2:$NE$60=U$3)*(GMW!$ND$2:$ND$60=U$4)*(GMW!$NF$2:$NF$60=U$1),0),$F280-1966)</f>
        <v>5190379</v>
      </c>
      <c r="V280" s="4" cm="1">
        <f t="array" ref="V280">INDEX(GMW!$A$2:$NF$60,MATCH(1,(GMW!$NE$2:$NE$60=V$3)*(GMW!$ND$2:$ND$60=V$4)*(GMW!$NF$2:$NF$60=V$1),0),$F280-1966)</f>
        <v>95492.67</v>
      </c>
      <c r="W280" s="4" cm="1">
        <f t="array" ref="W280">INDEX(GMW!$A$2:$NF$60,MATCH(1,(GMW!$NE$2:$NE$60=W$3)*(GMW!$ND$2:$ND$60=W$4)*(GMW!$NF$2:$NF$60=W$1),0),$F280-1966)</f>
        <v>1577661</v>
      </c>
      <c r="X280" s="4" cm="1">
        <f t="array" ref="X280">INDEX(GMW!$A$2:$NF$60,MATCH(1,(GMW!$NE$2:$NE$60=X$3)*(GMW!$ND$2:$ND$60=X$4)*(GMW!$NF$2:$NF$60=X$1),0),$F280-1966)</f>
        <v>4533.0339999999997</v>
      </c>
      <c r="Y280" s="4" cm="1">
        <f t="array" ref="Y280">INDEX(GMW!$A$2:$NF$60,MATCH(1,(GMW!$NE$2:$NE$60=Y$3)*(GMW!$ND$2:$ND$60=Y$4)*(GMW!$NF$2:$NF$60=Y$1),0),$F280-1966)</f>
        <v>6105.8720000000003</v>
      </c>
      <c r="Z280" s="4" cm="1">
        <f t="array" ref="Z280">INDEX(GMW!$A$2:$NF$60,MATCH(1,(GMW!$NE$2:$NE$60=Z$3)*(GMW!$ND$2:$ND$60=Z$4)*(GMW!$NF$2:$NF$60=Z$1),0),$F280-1966)</f>
        <v>4363.9250000000002</v>
      </c>
      <c r="AA280" s="4" cm="1">
        <f t="array" ref="AA280">INDEX(GMW!$A$2:$NF$60,MATCH(1,(GMW!$NE$2:$NE$60=AA$3)*(GMW!$ND$2:$ND$60=AA$4)*(GMW!$NF$2:$NF$60=AA$1),0),$F280-1966)</f>
        <v>5202425</v>
      </c>
      <c r="AB280" s="4" cm="1">
        <f t="array" ref="AB280">INDEX(GMW!$A$2:$NF$60,MATCH(1,(GMW!$NE$2:$NE$60=AB$3)*(GMW!$ND$2:$ND$60=AB$4)*(GMW!$NF$2:$NF$60=AB$1),0),$F280-1966)</f>
        <v>1335286</v>
      </c>
      <c r="AC280" s="4" cm="1">
        <f t="array" ref="AC280">INDEX(GMW!$A$2:$NF$60,MATCH(1,(GMW!$NE$2:$NE$60=AC$3)*(GMW!$ND$2:$ND$60=AC$4)*(GMW!$NF$2:$NF$60=AC$1),0),$F280-1966)</f>
        <v>13825.09</v>
      </c>
      <c r="AD280" s="4" cm="1">
        <f t="array" ref="AD280">INDEX(GMW!$A$2:$NF$60,MATCH(1,(GMW!$NE$2:$NE$60=AD$3)*(GMW!$ND$2:$ND$60=AD$4)*(GMW!$NF$2:$NF$60=AD$1),0),$F280-1966)</f>
        <v>192858.3</v>
      </c>
      <c r="AE280" s="4" cm="1">
        <f t="array" ref="AE280">INDEX(GMW!$A$2:$NF$60,MATCH(1,(GMW!$NE$2:$NE$60=AE$3)*(GMW!$ND$2:$ND$60=AE$4)*(GMW!$NF$2:$NF$60=AE$1),0),$F280-1966)</f>
        <v>1844.212</v>
      </c>
      <c r="AF280" s="4" cm="1">
        <f t="array" ref="AF280">INDEX(GMW!$A$2:$NF$60,MATCH(1,(GMW!$NE$2:$NE$60=AF$3)*(GMW!$ND$2:$ND$60=AF$4)*(GMW!$NF$2:$NF$60=AF$1),0),$F280-1966)</f>
        <v>1183.7080000000001</v>
      </c>
      <c r="AG280" s="4" cm="1">
        <f t="array" ref="AG280">INDEX(GMW!$A$2:$NF$60,MATCH(1,(GMW!$NE$2:$NE$60=AG$3)*(GMW!$ND$2:$ND$60=AG$4)*(GMW!$NF$2:$NF$60=AG$1),0),$F280-1966)</f>
        <v>802.10739999999998</v>
      </c>
      <c r="AH280" s="4" cm="1">
        <f t="array" ref="AH280">INDEX(GMW!$A$2:$NF$60,MATCH(1,(GMW!$NE$2:$NE$60=AH$3)*(GMW!$ND$2:$ND$60=AH$4)*(GMW!$NF$2:$NF$60=AH$1),0),$F280-1966)</f>
        <v>1446726</v>
      </c>
    </row>
    <row r="281" spans="1:34" x14ac:dyDescent="0.25">
      <c r="B281" s="4">
        <f t="shared" si="89"/>
        <v>2041</v>
      </c>
      <c r="C281" s="4">
        <f t="shared" si="89"/>
        <v>2041</v>
      </c>
      <c r="F281" s="4">
        <f t="shared" si="80"/>
        <v>2247</v>
      </c>
      <c r="G281" s="4" cm="1">
        <f t="array" ref="G281">INDEX(GMW!$A$2:$NF$60,MATCH(1,(GMW!$NE$2:$NE$60=G$3)*(GMW!$ND$2:$ND$60=G$4)*(GMW!$NF$2:$NF$60=G$1),0),$F281-1966)</f>
        <v>828724.3</v>
      </c>
      <c r="H281" s="4" cm="1">
        <f t="array" ref="H281">INDEX(GMW!$A$2:$NF$60,MATCH(1,(GMW!$NE$2:$NE$60=H$3)*(GMW!$ND$2:$ND$60=H$4)*(GMW!$NF$2:$NF$60=H$1),0),$F281-1966)</f>
        <v>8060.9719999999998</v>
      </c>
      <c r="I281" s="4" cm="1">
        <f t="array" ref="I281">INDEX(GMW!$A$2:$NF$60,MATCH(1,(GMW!$NE$2:$NE$60=I$3)*(GMW!$ND$2:$ND$60=I$4)*(GMW!$NF$2:$NF$60=I$1),0),$F281-1966)</f>
        <v>139798.29999999999</v>
      </c>
      <c r="J281" s="4" cm="1">
        <f t="array" ref="J281">INDEX(GMW!$A$2:$NF$60,MATCH(1,(GMW!$NE$2:$NE$60=J$3)*(GMW!$ND$2:$ND$60=J$4)*(GMW!$NF$2:$NF$60=J$1),0),$F281-1966)</f>
        <v>1061.7809999999999</v>
      </c>
      <c r="K281" s="4" cm="1">
        <f t="array" ref="K281">INDEX(GMW!$A$2:$NF$60,MATCH(1,(GMW!$NE$2:$NE$60=K$3)*(GMW!$ND$2:$ND$60=K$4)*(GMW!$NF$2:$NF$60=K$1),0),$F281-1966)</f>
        <v>757.75310000000002</v>
      </c>
      <c r="L281" s="4" cm="1">
        <f t="array" ref="L281">INDEX(GMW!$A$2:$NF$60,MATCH(1,(GMW!$NE$2:$NE$60=L$3)*(GMW!$ND$2:$ND$60=L$4)*(GMW!$NF$2:$NF$60=L$1),0),$F281-1966)</f>
        <v>516.45460000000003</v>
      </c>
      <c r="M281" s="4" cm="1">
        <f t="array" ref="M281">INDEX(GMW!$A$2:$NF$60,MATCH(1,(GMW!$NE$2:$NE$60=M$3)*(GMW!$ND$2:$ND$60=M$4)*(GMW!$NF$2:$NF$60=M$1),0),$F281-1966)</f>
        <v>834298.6</v>
      </c>
      <c r="N281" s="4" cm="1">
        <f t="array" ref="N281">INDEX(GMW!$A$2:$NF$60,MATCH(1,(GMW!$NE$2:$NE$60=N$3)*(GMW!$ND$2:$ND$60=N$4)*(GMW!$NF$2:$NF$60=N$1),0),$F281-1966)</f>
        <v>-46283.19</v>
      </c>
      <c r="O281" s="4" cm="1">
        <f t="array" ref="O281">INDEX(GMW!$A$2:$NF$60,MATCH(1,(GMW!$NE$2:$NE$60=O$3)*(GMW!$ND$2:$ND$60=O$4)*(GMW!$NF$2:$NF$60=O$1),0),$F281-1966)</f>
        <v>-1055.845</v>
      </c>
      <c r="P281" s="4" cm="1">
        <f t="array" ref="P281">INDEX(GMW!$A$2:$NF$60,MATCH(1,(GMW!$NE$2:$NE$60=P$3)*(GMW!$ND$2:$ND$60=P$4)*(GMW!$NF$2:$NF$60=P$1),0),$F281-1966)</f>
        <v>-1803.6949999999999</v>
      </c>
      <c r="Q281" s="4" cm="1">
        <f t="array" ref="Q281">INDEX(GMW!$A$2:$NF$60,MATCH(1,(GMW!$NE$2:$NE$60=Q$3)*(GMW!$ND$2:$ND$60=Q$4)*(GMW!$NF$2:$NF$60=Q$1),0),$F281-1966)</f>
        <v>-26.575810000000001</v>
      </c>
      <c r="R281" s="4" cm="1">
        <f t="array" ref="R281">INDEX(GMW!$A$2:$NF$60,MATCH(1,(GMW!$NE$2:$NE$60=R$3)*(GMW!$ND$2:$ND$60=R$4)*(GMW!$NF$2:$NF$60=R$1),0),$F281-1966)</f>
        <v>-39.302610000000001</v>
      </c>
      <c r="S281" s="4" cm="1">
        <f t="array" ref="S281">INDEX(GMW!$A$2:$NF$60,MATCH(1,(GMW!$NE$2:$NE$60=S$3)*(GMW!$ND$2:$ND$60=S$4)*(GMW!$NF$2:$NF$60=S$1),0),$F281-1966)</f>
        <v>-14.31067</v>
      </c>
      <c r="T281" s="4" cm="1">
        <f t="array" ref="T281">INDEX(GMW!$A$2:$NF$60,MATCH(1,(GMW!$NE$2:$NE$60=T$3)*(GMW!$ND$2:$ND$60=T$4)*(GMW!$NF$2:$NF$60=T$1),0),$F281-1966)</f>
        <v>-33964.69</v>
      </c>
      <c r="U281" s="4" cm="1">
        <f t="array" ref="U281">INDEX(GMW!$A$2:$NF$60,MATCH(1,(GMW!$NE$2:$NE$60=U$3)*(GMW!$ND$2:$ND$60=U$4)*(GMW!$NF$2:$NF$60=U$1),0),$F281-1966)</f>
        <v>5236662</v>
      </c>
      <c r="V281" s="4" cm="1">
        <f t="array" ref="V281">INDEX(GMW!$A$2:$NF$60,MATCH(1,(GMW!$NE$2:$NE$60=V$3)*(GMW!$ND$2:$ND$60=V$4)*(GMW!$NF$2:$NF$60=V$1),0),$F281-1966)</f>
        <v>96548.52</v>
      </c>
      <c r="W281" s="4" cm="1">
        <f t="array" ref="W281">INDEX(GMW!$A$2:$NF$60,MATCH(1,(GMW!$NE$2:$NE$60=W$3)*(GMW!$ND$2:$ND$60=W$4)*(GMW!$NF$2:$NF$60=W$1),0),$F281-1966)</f>
        <v>1579465</v>
      </c>
      <c r="X281" s="4" cm="1">
        <f t="array" ref="X281">INDEX(GMW!$A$2:$NF$60,MATCH(1,(GMW!$NE$2:$NE$60=X$3)*(GMW!$ND$2:$ND$60=X$4)*(GMW!$NF$2:$NF$60=X$1),0),$F281-1966)</f>
        <v>4559.6090000000004</v>
      </c>
      <c r="Y281" s="4" cm="1">
        <f t="array" ref="Y281">INDEX(GMW!$A$2:$NF$60,MATCH(1,(GMW!$NE$2:$NE$60=Y$3)*(GMW!$ND$2:$ND$60=Y$4)*(GMW!$NF$2:$NF$60=Y$1),0),$F281-1966)</f>
        <v>6145.1750000000002</v>
      </c>
      <c r="Z281" s="4" cm="1">
        <f t="array" ref="Z281">INDEX(GMW!$A$2:$NF$60,MATCH(1,(GMW!$NE$2:$NE$60=Z$3)*(GMW!$ND$2:$ND$60=Z$4)*(GMW!$NF$2:$NF$60=Z$1),0),$F281-1966)</f>
        <v>4378.2359999999999</v>
      </c>
      <c r="AA281" s="4" cm="1">
        <f t="array" ref="AA281">INDEX(GMW!$A$2:$NF$60,MATCH(1,(GMW!$NE$2:$NE$60=AA$3)*(GMW!$ND$2:$ND$60=AA$4)*(GMW!$NF$2:$NF$60=AA$1),0),$F281-1966)</f>
        <v>5236389</v>
      </c>
      <c r="AB281" s="4" cm="1">
        <f t="array" ref="AB281">INDEX(GMW!$A$2:$NF$60,MATCH(1,(GMW!$NE$2:$NE$60=AB$3)*(GMW!$ND$2:$ND$60=AB$4)*(GMW!$NF$2:$NF$60=AB$1),0),$F281-1966)</f>
        <v>1347894</v>
      </c>
      <c r="AC281" s="4" cm="1">
        <f t="array" ref="AC281">INDEX(GMW!$A$2:$NF$60,MATCH(1,(GMW!$NE$2:$NE$60=AC$3)*(GMW!$ND$2:$ND$60=AC$4)*(GMW!$NF$2:$NF$60=AC$1),0),$F281-1966)</f>
        <v>13948.18</v>
      </c>
      <c r="AD281" s="4" cm="1">
        <f t="array" ref="AD281">INDEX(GMW!$A$2:$NF$60,MATCH(1,(GMW!$NE$2:$NE$60=AD$3)*(GMW!$ND$2:$ND$60=AD$4)*(GMW!$NF$2:$NF$60=AD$1),0),$F281-1966)</f>
        <v>193449.8</v>
      </c>
      <c r="AE281" s="4" cm="1">
        <f t="array" ref="AE281">INDEX(GMW!$A$2:$NF$60,MATCH(1,(GMW!$NE$2:$NE$60=AE$3)*(GMW!$ND$2:$ND$60=AE$4)*(GMW!$NF$2:$NF$60=AE$1),0),$F281-1966)</f>
        <v>1857.8209999999999</v>
      </c>
      <c r="AF281" s="4" cm="1">
        <f t="array" ref="AF281">INDEX(GMW!$A$2:$NF$60,MATCH(1,(GMW!$NE$2:$NE$60=AF$3)*(GMW!$ND$2:$ND$60=AF$4)*(GMW!$NF$2:$NF$60=AF$1),0),$F281-1966)</f>
        <v>1191.1320000000001</v>
      </c>
      <c r="AG281" s="4" cm="1">
        <f t="array" ref="AG281">INDEX(GMW!$A$2:$NF$60,MATCH(1,(GMW!$NE$2:$NE$60=AG$3)*(GMW!$ND$2:$ND$60=AG$4)*(GMW!$NF$2:$NF$60=AG$1),0),$F281-1966)</f>
        <v>806.40480000000002</v>
      </c>
      <c r="AH281" s="4" cm="1">
        <f t="array" ref="AH281">INDEX(GMW!$A$2:$NF$60,MATCH(1,(GMW!$NE$2:$NE$60=AH$3)*(GMW!$ND$2:$ND$60=AH$4)*(GMW!$NF$2:$NF$60=AH$1),0),$F281-1966)</f>
        <v>1460983</v>
      </c>
    </row>
    <row r="282" spans="1:34" x14ac:dyDescent="0.25">
      <c r="B282" s="4">
        <f t="shared" si="89"/>
        <v>2041</v>
      </c>
      <c r="C282" s="4">
        <f t="shared" si="89"/>
        <v>2041</v>
      </c>
      <c r="E282" s="4">
        <f t="shared" ref="E282" si="93">+E278+1</f>
        <v>2041</v>
      </c>
      <c r="F282" s="4">
        <f t="shared" si="80"/>
        <v>2248</v>
      </c>
      <c r="G282" s="4" cm="1">
        <f t="array" ref="G282">INDEX(GMW!$A$2:$NF$60,MATCH(1,(GMW!$NE$2:$NE$60=G$3)*(GMW!$ND$2:$ND$60=G$4)*(GMW!$NF$2:$NF$60=G$1),0),$F282-1966)</f>
        <v>832100.3</v>
      </c>
      <c r="H282" s="4" cm="1">
        <f t="array" ref="H282">INDEX(GMW!$A$2:$NF$60,MATCH(1,(GMW!$NE$2:$NE$60=H$3)*(GMW!$ND$2:$ND$60=H$4)*(GMW!$NF$2:$NF$60=H$1),0),$F282-1966)</f>
        <v>8095.0770000000002</v>
      </c>
      <c r="I282" s="4" cm="1">
        <f t="array" ref="I282">INDEX(GMW!$A$2:$NF$60,MATCH(1,(GMW!$NE$2:$NE$60=I$3)*(GMW!$ND$2:$ND$60=I$4)*(GMW!$NF$2:$NF$60=I$1),0),$F282-1966)</f>
        <v>139719.79999999999</v>
      </c>
      <c r="J282" s="4" cm="1">
        <f t="array" ref="J282">INDEX(GMW!$A$2:$NF$60,MATCH(1,(GMW!$NE$2:$NE$60=J$3)*(GMW!$ND$2:$ND$60=J$4)*(GMW!$NF$2:$NF$60=J$1),0),$F282-1966)</f>
        <v>1064.3389999999999</v>
      </c>
      <c r="K282" s="4" cm="1">
        <f t="array" ref="K282">INDEX(GMW!$A$2:$NF$60,MATCH(1,(GMW!$NE$2:$NE$60=K$3)*(GMW!$ND$2:$ND$60=K$4)*(GMW!$NF$2:$NF$60=K$1),0),$F282-1966)</f>
        <v>758.77940000000001</v>
      </c>
      <c r="L282" s="4" cm="1">
        <f t="array" ref="L282">INDEX(GMW!$A$2:$NF$60,MATCH(1,(GMW!$NE$2:$NE$60=L$3)*(GMW!$ND$2:$ND$60=L$4)*(GMW!$NF$2:$NF$60=L$1),0),$F282-1966)</f>
        <v>516.64120000000003</v>
      </c>
      <c r="M282" s="4" cm="1">
        <f t="array" ref="M282">INDEX(GMW!$A$2:$NF$60,MATCH(1,(GMW!$NE$2:$NE$60=M$3)*(GMW!$ND$2:$ND$60=M$4)*(GMW!$NF$2:$NF$60=M$1),0),$F282-1966)</f>
        <v>838446.8</v>
      </c>
      <c r="N282" s="4" cm="1">
        <f t="array" ref="N282">INDEX(GMW!$A$2:$NF$60,MATCH(1,(GMW!$NE$2:$NE$60=N$3)*(GMW!$ND$2:$ND$60=N$4)*(GMW!$NF$2:$NF$60=N$1),0),$F282-1966)</f>
        <v>-81571.75</v>
      </c>
      <c r="O282" s="4" cm="1">
        <f t="array" ref="O282">INDEX(GMW!$A$2:$NF$60,MATCH(1,(GMW!$NE$2:$NE$60=O$3)*(GMW!$ND$2:$ND$60=O$4)*(GMW!$NF$2:$NF$60=O$1),0),$F282-1966)</f>
        <v>-1059.2819999999999</v>
      </c>
      <c r="P282" s="4" cm="1">
        <f t="array" ref="P282">INDEX(GMW!$A$2:$NF$60,MATCH(1,(GMW!$NE$2:$NE$60=P$3)*(GMW!$ND$2:$ND$60=P$4)*(GMW!$NF$2:$NF$60=P$1),0),$F282-1966)</f>
        <v>-1809.2270000000001</v>
      </c>
      <c r="Q282" s="4" cm="1">
        <f t="array" ref="Q282">INDEX(GMW!$A$2:$NF$60,MATCH(1,(GMW!$NE$2:$NE$60=Q$3)*(GMW!$ND$2:$ND$60=Q$4)*(GMW!$NF$2:$NF$60=Q$1),0),$F282-1966)</f>
        <v>-26.768740000000001</v>
      </c>
      <c r="R282" s="4" cm="1">
        <f t="array" ref="R282">INDEX(GMW!$A$2:$NF$60,MATCH(1,(GMW!$NE$2:$NE$60=R$3)*(GMW!$ND$2:$ND$60=R$4)*(GMW!$NF$2:$NF$60=R$1),0),$F282-1966)</f>
        <v>-39.559629999999999</v>
      </c>
      <c r="S282" s="4" cm="1">
        <f t="array" ref="S282">INDEX(GMW!$A$2:$NF$60,MATCH(1,(GMW!$NE$2:$NE$60=S$3)*(GMW!$ND$2:$ND$60=S$4)*(GMW!$NF$2:$NF$60=S$1),0),$F282-1966)</f>
        <v>-14.38733</v>
      </c>
      <c r="T282" s="4" cm="1">
        <f t="array" ref="T282">INDEX(GMW!$A$2:$NF$60,MATCH(1,(GMW!$NE$2:$NE$60=T$3)*(GMW!$ND$2:$ND$60=T$4)*(GMW!$NF$2:$NF$60=T$1),0),$F282-1966)</f>
        <v>-34365.81</v>
      </c>
      <c r="U282" s="4" cm="1">
        <f t="array" ref="U282">INDEX(GMW!$A$2:$NF$60,MATCH(1,(GMW!$NE$2:$NE$60=U$3)*(GMW!$ND$2:$ND$60=U$4)*(GMW!$NF$2:$NF$60=U$1),0),$F282-1966)</f>
        <v>5318233</v>
      </c>
      <c r="V282" s="4" cm="1">
        <f t="array" ref="V282">INDEX(GMW!$A$2:$NF$60,MATCH(1,(GMW!$NE$2:$NE$60=V$3)*(GMW!$ND$2:$ND$60=V$4)*(GMW!$NF$2:$NF$60=V$1),0),$F282-1966)</f>
        <v>97607.8</v>
      </c>
      <c r="W282" s="4" cm="1">
        <f t="array" ref="W282">INDEX(GMW!$A$2:$NF$60,MATCH(1,(GMW!$NE$2:$NE$60=W$3)*(GMW!$ND$2:$ND$60=W$4)*(GMW!$NF$2:$NF$60=W$1),0),$F282-1966)</f>
        <v>1581274</v>
      </c>
      <c r="X282" s="4" cm="1">
        <f t="array" ref="X282">INDEX(GMW!$A$2:$NF$60,MATCH(1,(GMW!$NE$2:$NE$60=X$3)*(GMW!$ND$2:$ND$60=X$4)*(GMW!$NF$2:$NF$60=X$1),0),$F282-1966)</f>
        <v>4586.3779999999997</v>
      </c>
      <c r="Y282" s="4" cm="1">
        <f t="array" ref="Y282">INDEX(GMW!$A$2:$NF$60,MATCH(1,(GMW!$NE$2:$NE$60=Y$3)*(GMW!$ND$2:$ND$60=Y$4)*(GMW!$NF$2:$NF$60=Y$1),0),$F282-1966)</f>
        <v>6184.7340000000004</v>
      </c>
      <c r="Z282" s="4" cm="1">
        <f t="array" ref="Z282">INDEX(GMW!$A$2:$NF$60,MATCH(1,(GMW!$NE$2:$NE$60=Z$3)*(GMW!$ND$2:$ND$60=Z$4)*(GMW!$NF$2:$NF$60=Z$1),0),$F282-1966)</f>
        <v>4392.6229999999996</v>
      </c>
      <c r="AA282" s="4" cm="1">
        <f t="array" ref="AA282">INDEX(GMW!$A$2:$NF$60,MATCH(1,(GMW!$NE$2:$NE$60=AA$3)*(GMW!$ND$2:$ND$60=AA$4)*(GMW!$NF$2:$NF$60=AA$1),0),$F282-1966)</f>
        <v>5270755</v>
      </c>
      <c r="AB282" s="4" cm="1">
        <f t="array" ref="AB282">INDEX(GMW!$A$2:$NF$60,MATCH(1,(GMW!$NE$2:$NE$60=AB$3)*(GMW!$ND$2:$ND$60=AB$4)*(GMW!$NF$2:$NF$60=AB$1),0),$F282-1966)</f>
        <v>1360626</v>
      </c>
      <c r="AC282" s="4" cm="1">
        <f t="array" ref="AC282">INDEX(GMW!$A$2:$NF$60,MATCH(1,(GMW!$NE$2:$NE$60=AC$3)*(GMW!$ND$2:$ND$60=AC$4)*(GMW!$NF$2:$NF$60=AC$1),0),$F282-1966)</f>
        <v>14072.23</v>
      </c>
      <c r="AD282" s="4" cm="1">
        <f t="array" ref="AD282">INDEX(GMW!$A$2:$NF$60,MATCH(1,(GMW!$NE$2:$NE$60=AD$3)*(GMW!$ND$2:$ND$60=AD$4)*(GMW!$NF$2:$NF$60=AD$1),0),$F282-1966)</f>
        <v>194044.1</v>
      </c>
      <c r="AE282" s="4" cm="1">
        <f t="array" ref="AE282">INDEX(GMW!$A$2:$NF$60,MATCH(1,(GMW!$NE$2:$NE$60=AE$3)*(GMW!$ND$2:$ND$60=AE$4)*(GMW!$NF$2:$NF$60=AE$1),0),$F282-1966)</f>
        <v>1871.5360000000001</v>
      </c>
      <c r="AF282" s="4" cm="1">
        <f t="array" ref="AF282">INDEX(GMW!$A$2:$NF$60,MATCH(1,(GMW!$NE$2:$NE$60=AF$3)*(GMW!$ND$2:$ND$60=AF$4)*(GMW!$NF$2:$NF$60=AF$1),0),$F282-1966)</f>
        <v>1198.655</v>
      </c>
      <c r="AG282" s="4" cm="1">
        <f t="array" ref="AG282">INDEX(GMW!$A$2:$NF$60,MATCH(1,(GMW!$NE$2:$NE$60=AG$3)*(GMW!$ND$2:$ND$60=AG$4)*(GMW!$NF$2:$NF$60=AG$1),0),$F282-1966)</f>
        <v>810.70529999999997</v>
      </c>
      <c r="AH282" s="4" cm="1">
        <f t="array" ref="AH282">INDEX(GMW!$A$2:$NF$60,MATCH(1,(GMW!$NE$2:$NE$60=AH$3)*(GMW!$ND$2:$ND$60=AH$4)*(GMW!$NF$2:$NF$60=AH$1),0),$F282-1966)</f>
        <v>1475371</v>
      </c>
    </row>
    <row r="283" spans="1:34" x14ac:dyDescent="0.25">
      <c r="A283" s="4">
        <v>2042</v>
      </c>
      <c r="B283" s="4">
        <f t="shared" si="89"/>
        <v>2042</v>
      </c>
      <c r="C283" s="4">
        <f t="shared" si="89"/>
        <v>2041</v>
      </c>
      <c r="D283" s="4">
        <f t="shared" si="89"/>
        <v>2041</v>
      </c>
      <c r="F283" s="4">
        <f t="shared" si="80"/>
        <v>2249</v>
      </c>
      <c r="G283" s="4" cm="1">
        <f t="array" ref="G283">INDEX(GMW!$A$2:$NF$60,MATCH(1,(GMW!$NE$2:$NE$60=G$3)*(GMW!$ND$2:$ND$60=G$4)*(GMW!$NF$2:$NF$60=G$1),0),$F283-1966)</f>
        <v>835492.6</v>
      </c>
      <c r="H283" s="4" cm="1">
        <f t="array" ref="H283">INDEX(GMW!$A$2:$NF$60,MATCH(1,(GMW!$NE$2:$NE$60=H$3)*(GMW!$ND$2:$ND$60=H$4)*(GMW!$NF$2:$NF$60=H$1),0),$F283-1966)</f>
        <v>8129.2359999999999</v>
      </c>
      <c r="I283" s="4" cm="1">
        <f t="array" ref="I283">INDEX(GMW!$A$2:$NF$60,MATCH(1,(GMW!$NE$2:$NE$60=I$3)*(GMW!$ND$2:$ND$60=I$4)*(GMW!$NF$2:$NF$60=I$1),0),$F283-1966)</f>
        <v>139643.9</v>
      </c>
      <c r="J283" s="4" cm="1">
        <f t="array" ref="J283">INDEX(GMW!$A$2:$NF$60,MATCH(1,(GMW!$NE$2:$NE$60=J$3)*(GMW!$ND$2:$ND$60=J$4)*(GMW!$NF$2:$NF$60=J$1),0),$F283-1966)</f>
        <v>1066.961</v>
      </c>
      <c r="K283" s="4" cm="1">
        <f t="array" ref="K283">INDEX(GMW!$A$2:$NF$60,MATCH(1,(GMW!$NE$2:$NE$60=K$3)*(GMW!$ND$2:$ND$60=K$4)*(GMW!$NF$2:$NF$60=K$1),0),$F283-1966)</f>
        <v>759.81230000000005</v>
      </c>
      <c r="L283" s="4" cm="1">
        <f t="array" ref="L283">INDEX(GMW!$A$2:$NF$60,MATCH(1,(GMW!$NE$2:$NE$60=L$3)*(GMW!$ND$2:$ND$60=L$4)*(GMW!$NF$2:$NF$60=L$1),0),$F283-1966)</f>
        <v>516.83960000000002</v>
      </c>
      <c r="M283" s="4" cm="1">
        <f t="array" ref="M283">INDEX(GMW!$A$2:$NF$60,MATCH(1,(GMW!$NE$2:$NE$60=M$3)*(GMW!$ND$2:$ND$60=M$4)*(GMW!$NF$2:$NF$60=M$1),0),$F283-1966)</f>
        <v>842624.8</v>
      </c>
      <c r="N283" s="4" cm="1">
        <f t="array" ref="N283">INDEX(GMW!$A$2:$NF$60,MATCH(1,(GMW!$NE$2:$NE$60=N$3)*(GMW!$ND$2:$ND$60=N$4)*(GMW!$NF$2:$NF$60=N$1),0),$F283-1966)</f>
        <v>-3862.375</v>
      </c>
      <c r="O283" s="4" cm="1">
        <f t="array" ref="O283">INDEX(GMW!$A$2:$NF$60,MATCH(1,(GMW!$NE$2:$NE$60=O$3)*(GMW!$ND$2:$ND$60=O$4)*(GMW!$NF$2:$NF$60=O$1),0),$F283-1966)</f>
        <v>-1062.6489999999999</v>
      </c>
      <c r="P283" s="4" cm="1">
        <f t="array" ref="P283">INDEX(GMW!$A$2:$NF$60,MATCH(1,(GMW!$NE$2:$NE$60=P$3)*(GMW!$ND$2:$ND$60=P$4)*(GMW!$NF$2:$NF$60=P$1),0),$F283-1966)</f>
        <v>-1814.7809999999999</v>
      </c>
      <c r="Q283" s="4" cm="1">
        <f t="array" ref="Q283">INDEX(GMW!$A$2:$NF$60,MATCH(1,(GMW!$NE$2:$NE$60=Q$3)*(GMW!$ND$2:$ND$60=Q$4)*(GMW!$NF$2:$NF$60=Q$1),0),$F283-1966)</f>
        <v>-26.964230000000001</v>
      </c>
      <c r="R283" s="4" cm="1">
        <f t="array" ref="R283">INDEX(GMW!$A$2:$NF$60,MATCH(1,(GMW!$NE$2:$NE$60=R$3)*(GMW!$ND$2:$ND$60=R$4)*(GMW!$NF$2:$NF$60=R$1),0),$F283-1966)</f>
        <v>-39.809269999999998</v>
      </c>
      <c r="S283" s="4" cm="1">
        <f t="array" ref="S283">INDEX(GMW!$A$2:$NF$60,MATCH(1,(GMW!$NE$2:$NE$60=S$3)*(GMW!$ND$2:$ND$60=S$4)*(GMW!$NF$2:$NF$60=S$1),0),$F283-1966)</f>
        <v>-14.46405</v>
      </c>
      <c r="T283" s="4" cm="1">
        <f t="array" ref="T283">INDEX(GMW!$A$2:$NF$60,MATCH(1,(GMW!$NE$2:$NE$60=T$3)*(GMW!$ND$2:$ND$60=T$4)*(GMW!$NF$2:$NF$60=T$1),0),$F283-1966)</f>
        <v>-34819.440000000002</v>
      </c>
      <c r="U283" s="4" cm="1">
        <f t="array" ref="U283">INDEX(GMW!$A$2:$NF$60,MATCH(1,(GMW!$NE$2:$NE$60=U$3)*(GMW!$ND$2:$ND$60=U$4)*(GMW!$NF$2:$NF$60=U$1),0),$F283-1966)</f>
        <v>5322096</v>
      </c>
      <c r="V283" s="4" cm="1">
        <f t="array" ref="V283">INDEX(GMW!$A$2:$NF$60,MATCH(1,(GMW!$NE$2:$NE$60=V$3)*(GMW!$ND$2:$ND$60=V$4)*(GMW!$NF$2:$NF$60=V$1),0),$F283-1966)</f>
        <v>98670.45</v>
      </c>
      <c r="W283" s="4" cm="1">
        <f t="array" ref="W283">INDEX(GMW!$A$2:$NF$60,MATCH(1,(GMW!$NE$2:$NE$60=W$3)*(GMW!$ND$2:$ND$60=W$4)*(GMW!$NF$2:$NF$60=W$1),0),$F283-1966)</f>
        <v>1583089</v>
      </c>
      <c r="X283" s="4" cm="1">
        <f t="array" ref="X283">INDEX(GMW!$A$2:$NF$60,MATCH(1,(GMW!$NE$2:$NE$60=X$3)*(GMW!$ND$2:$ND$60=X$4)*(GMW!$NF$2:$NF$60=X$1),0),$F283-1966)</f>
        <v>4613.3419999999996</v>
      </c>
      <c r="Y283" s="4" cm="1">
        <f t="array" ref="Y283">INDEX(GMW!$A$2:$NF$60,MATCH(1,(GMW!$NE$2:$NE$60=Y$3)*(GMW!$ND$2:$ND$60=Y$4)*(GMW!$NF$2:$NF$60=Y$1),0),$F283-1966)</f>
        <v>6224.5429999999997</v>
      </c>
      <c r="Z283" s="4" cm="1">
        <f t="array" ref="Z283">INDEX(GMW!$A$2:$NF$60,MATCH(1,(GMW!$NE$2:$NE$60=Z$3)*(GMW!$ND$2:$ND$60=Z$4)*(GMW!$NF$2:$NF$60=Z$1),0),$F283-1966)</f>
        <v>4407.0870000000004</v>
      </c>
      <c r="AA283" s="4" cm="1">
        <f t="array" ref="AA283">INDEX(GMW!$A$2:$NF$60,MATCH(1,(GMW!$NE$2:$NE$60=AA$3)*(GMW!$ND$2:$ND$60=AA$4)*(GMW!$NF$2:$NF$60=AA$1),0),$F283-1966)</f>
        <v>5305575</v>
      </c>
      <c r="AB283" s="4" cm="1">
        <f t="array" ref="AB283">INDEX(GMW!$A$2:$NF$60,MATCH(1,(GMW!$NE$2:$NE$60=AB$3)*(GMW!$ND$2:$ND$60=AB$4)*(GMW!$NF$2:$NF$60=AB$1),0),$F283-1966)</f>
        <v>1373482</v>
      </c>
      <c r="AC283" s="4" cm="1">
        <f t="array" ref="AC283">INDEX(GMW!$A$2:$NF$60,MATCH(1,(GMW!$NE$2:$NE$60=AC$3)*(GMW!$ND$2:$ND$60=AC$4)*(GMW!$NF$2:$NF$60=AC$1),0),$F283-1966)</f>
        <v>14197.29</v>
      </c>
      <c r="AD283" s="4" cm="1">
        <f t="array" ref="AD283">INDEX(GMW!$A$2:$NF$60,MATCH(1,(GMW!$NE$2:$NE$60=AD$3)*(GMW!$ND$2:$ND$60=AD$4)*(GMW!$NF$2:$NF$60=AD$1),0),$F283-1966)</f>
        <v>194658.1</v>
      </c>
      <c r="AE283" s="4" cm="1">
        <f t="array" ref="AE283">INDEX(GMW!$A$2:$NF$60,MATCH(1,(GMW!$NE$2:$NE$60=AE$3)*(GMW!$ND$2:$ND$60=AE$4)*(GMW!$NF$2:$NF$60=AE$1),0),$F283-1966)</f>
        <v>1885.454</v>
      </c>
      <c r="AF283" s="4" cm="1">
        <f t="array" ref="AF283">INDEX(GMW!$A$2:$NF$60,MATCH(1,(GMW!$NE$2:$NE$60=AF$3)*(GMW!$ND$2:$ND$60=AF$4)*(GMW!$NF$2:$NF$60=AF$1),0),$F283-1966)</f>
        <v>1206.203</v>
      </c>
      <c r="AG283" s="4" cm="1">
        <f t="array" ref="AG283">INDEX(GMW!$A$2:$NF$60,MATCH(1,(GMW!$NE$2:$NE$60=AG$3)*(GMW!$ND$2:$ND$60=AG$4)*(GMW!$NF$2:$NF$60=AG$1),0),$F283-1966)</f>
        <v>815.02980000000002</v>
      </c>
      <c r="AH283" s="4" cm="1">
        <f t="array" ref="AH283">INDEX(GMW!$A$2:$NF$60,MATCH(1,(GMW!$NE$2:$NE$60=AH$3)*(GMW!$ND$2:$ND$60=AH$4)*(GMW!$NF$2:$NF$60=AH$1),0),$F283-1966)</f>
        <v>1489912</v>
      </c>
    </row>
    <row r="284" spans="1:34" x14ac:dyDescent="0.25">
      <c r="B284" s="4">
        <f t="shared" ref="B284:D299" si="94">+B280+1</f>
        <v>2042</v>
      </c>
      <c r="C284" s="4">
        <f t="shared" si="94"/>
        <v>2042</v>
      </c>
      <c r="F284" s="4">
        <f t="shared" si="80"/>
        <v>2250</v>
      </c>
      <c r="G284" s="4" cm="1">
        <f t="array" ref="G284">INDEX(GMW!$A$2:$NF$60,MATCH(1,(GMW!$NE$2:$NE$60=G$3)*(GMW!$ND$2:$ND$60=G$4)*(GMW!$NF$2:$NF$60=G$1),0),$F284-1966)</f>
        <v>838901.1</v>
      </c>
      <c r="H284" s="4" cm="1">
        <f t="array" ref="H284">INDEX(GMW!$A$2:$NF$60,MATCH(1,(GMW!$NE$2:$NE$60=H$3)*(GMW!$ND$2:$ND$60=H$4)*(GMW!$NF$2:$NF$60=H$1),0),$F284-1966)</f>
        <v>8163.5129999999999</v>
      </c>
      <c r="I284" s="4" cm="1">
        <f t="array" ref="I284">INDEX(GMW!$A$2:$NF$60,MATCH(1,(GMW!$NE$2:$NE$60=I$3)*(GMW!$ND$2:$ND$60=I$4)*(GMW!$NF$2:$NF$60=I$1),0),$F284-1966)</f>
        <v>139568.79999999999</v>
      </c>
      <c r="J284" s="4" cm="1">
        <f t="array" ref="J284">INDEX(GMW!$A$2:$NF$60,MATCH(1,(GMW!$NE$2:$NE$60=J$3)*(GMW!$ND$2:$ND$60=J$4)*(GMW!$NF$2:$NF$60=J$1),0),$F284-1966)</f>
        <v>1069.5930000000001</v>
      </c>
      <c r="K284" s="4" cm="1">
        <f t="array" ref="K284">INDEX(GMW!$A$2:$NF$60,MATCH(1,(GMW!$NE$2:$NE$60=K$3)*(GMW!$ND$2:$ND$60=K$4)*(GMW!$NF$2:$NF$60=K$1),0),$F284-1966)</f>
        <v>760.91520000000003</v>
      </c>
      <c r="L284" s="4" cm="1">
        <f t="array" ref="L284">INDEX(GMW!$A$2:$NF$60,MATCH(1,(GMW!$NE$2:$NE$60=L$3)*(GMW!$ND$2:$ND$60=L$4)*(GMW!$NF$2:$NF$60=L$1),0),$F284-1966)</f>
        <v>517.03369999999995</v>
      </c>
      <c r="M284" s="4" cm="1">
        <f t="array" ref="M284">INDEX(GMW!$A$2:$NF$60,MATCH(1,(GMW!$NE$2:$NE$60=M$3)*(GMW!$ND$2:$ND$60=M$4)*(GMW!$NF$2:$NF$60=M$1),0),$F284-1966)</f>
        <v>846818.6</v>
      </c>
      <c r="N284" s="4" cm="1">
        <f t="array" ref="N284">INDEX(GMW!$A$2:$NF$60,MATCH(1,(GMW!$NE$2:$NE$60=N$3)*(GMW!$ND$2:$ND$60=N$4)*(GMW!$NF$2:$NF$60=N$1),0),$F284-1966)</f>
        <v>-89060.31</v>
      </c>
      <c r="O284" s="4" cm="1">
        <f t="array" ref="O284">INDEX(GMW!$A$2:$NF$60,MATCH(1,(GMW!$NE$2:$NE$60=O$3)*(GMW!$ND$2:$ND$60=O$4)*(GMW!$NF$2:$NF$60=O$1),0),$F284-1966)</f>
        <v>-1065.933</v>
      </c>
      <c r="P284" s="4" cm="1">
        <f t="array" ref="P284">INDEX(GMW!$A$2:$NF$60,MATCH(1,(GMW!$NE$2:$NE$60=P$3)*(GMW!$ND$2:$ND$60=P$4)*(GMW!$NF$2:$NF$60=P$1),0),$F284-1966)</f>
        <v>-1820.5229999999999</v>
      </c>
      <c r="Q284" s="4" cm="1">
        <f t="array" ref="Q284">INDEX(GMW!$A$2:$NF$60,MATCH(1,(GMW!$NE$2:$NE$60=Q$3)*(GMW!$ND$2:$ND$60=Q$4)*(GMW!$NF$2:$NF$60=Q$1),0),$F284-1966)</f>
        <v>-27.160889999999998</v>
      </c>
      <c r="R284" s="4" cm="1">
        <f t="array" ref="R284">INDEX(GMW!$A$2:$NF$60,MATCH(1,(GMW!$NE$2:$NE$60=R$3)*(GMW!$ND$2:$ND$60=R$4)*(GMW!$NF$2:$NF$60=R$1),0),$F284-1966)</f>
        <v>-40.0578</v>
      </c>
      <c r="S284" s="4" cm="1">
        <f t="array" ref="S284">INDEX(GMW!$A$2:$NF$60,MATCH(1,(GMW!$NE$2:$NE$60=S$3)*(GMW!$ND$2:$ND$60=S$4)*(GMW!$NF$2:$NF$60=S$1),0),$F284-1966)</f>
        <v>-14.541230000000001</v>
      </c>
      <c r="T284" s="4" cm="1">
        <f t="array" ref="T284">INDEX(GMW!$A$2:$NF$60,MATCH(1,(GMW!$NE$2:$NE$60=T$3)*(GMW!$ND$2:$ND$60=T$4)*(GMW!$NF$2:$NF$60=T$1),0),$F284-1966)</f>
        <v>-35226.44</v>
      </c>
      <c r="U284" s="4" cm="1">
        <f t="array" ref="U284">INDEX(GMW!$A$2:$NF$60,MATCH(1,(GMW!$NE$2:$NE$60=U$3)*(GMW!$ND$2:$ND$60=U$4)*(GMW!$NF$2:$NF$60=U$1),0),$F284-1966)</f>
        <v>5411156</v>
      </c>
      <c r="V284" s="4" cm="1">
        <f t="array" ref="V284">INDEX(GMW!$A$2:$NF$60,MATCH(1,(GMW!$NE$2:$NE$60=V$3)*(GMW!$ND$2:$ND$60=V$4)*(GMW!$NF$2:$NF$60=V$1),0),$F284-1966)</f>
        <v>99736.38</v>
      </c>
      <c r="W284" s="4" cm="1">
        <f t="array" ref="W284">INDEX(GMW!$A$2:$NF$60,MATCH(1,(GMW!$NE$2:$NE$60=W$3)*(GMW!$ND$2:$ND$60=W$4)*(GMW!$NF$2:$NF$60=W$1),0),$F284-1966)</f>
        <v>1584910</v>
      </c>
      <c r="X284" s="4" cm="1">
        <f t="array" ref="X284">INDEX(GMW!$A$2:$NF$60,MATCH(1,(GMW!$NE$2:$NE$60=X$3)*(GMW!$ND$2:$ND$60=X$4)*(GMW!$NF$2:$NF$60=X$1),0),$F284-1966)</f>
        <v>4640.5029999999997</v>
      </c>
      <c r="Y284" s="4" cm="1">
        <f t="array" ref="Y284">INDEX(GMW!$A$2:$NF$60,MATCH(1,(GMW!$NE$2:$NE$60=Y$3)*(GMW!$ND$2:$ND$60=Y$4)*(GMW!$NF$2:$NF$60=Y$1),0),$F284-1966)</f>
        <v>6264.6009999999997</v>
      </c>
      <c r="Z284" s="4" cm="1">
        <f t="array" ref="Z284">INDEX(GMW!$A$2:$NF$60,MATCH(1,(GMW!$NE$2:$NE$60=Z$3)*(GMW!$ND$2:$ND$60=Z$4)*(GMW!$NF$2:$NF$60=Z$1),0),$F284-1966)</f>
        <v>4421.6279999999997</v>
      </c>
      <c r="AA284" s="4" cm="1">
        <f t="array" ref="AA284">INDEX(GMW!$A$2:$NF$60,MATCH(1,(GMW!$NE$2:$NE$60=AA$3)*(GMW!$ND$2:$ND$60=AA$4)*(GMW!$NF$2:$NF$60=AA$1),0),$F284-1966)</f>
        <v>5340801</v>
      </c>
      <c r="AB284" s="4" cm="1">
        <f t="array" ref="AB284">INDEX(GMW!$A$2:$NF$60,MATCH(1,(GMW!$NE$2:$NE$60=AB$3)*(GMW!$ND$2:$ND$60=AB$4)*(GMW!$NF$2:$NF$60=AB$1),0),$F284-1966)</f>
        <v>1386463</v>
      </c>
      <c r="AC284" s="4" cm="1">
        <f t="array" ref="AC284">INDEX(GMW!$A$2:$NF$60,MATCH(1,(GMW!$NE$2:$NE$60=AC$3)*(GMW!$ND$2:$ND$60=AC$4)*(GMW!$NF$2:$NF$60=AC$1),0),$F284-1966)</f>
        <v>14323.47</v>
      </c>
      <c r="AD284" s="4" cm="1">
        <f t="array" ref="AD284">INDEX(GMW!$A$2:$NF$60,MATCH(1,(GMW!$NE$2:$NE$60=AD$3)*(GMW!$ND$2:$ND$60=AD$4)*(GMW!$NF$2:$NF$60=AD$1),0),$F284-1966)</f>
        <v>195288</v>
      </c>
      <c r="AE284" s="4" cm="1">
        <f t="array" ref="AE284">INDEX(GMW!$A$2:$NF$60,MATCH(1,(GMW!$NE$2:$NE$60=AE$3)*(GMW!$ND$2:$ND$60=AE$4)*(GMW!$NF$2:$NF$60=AE$1),0),$F284-1966)</f>
        <v>1899.48</v>
      </c>
      <c r="AF284" s="4" cm="1">
        <f t="array" ref="AF284">INDEX(GMW!$A$2:$NF$60,MATCH(1,(GMW!$NE$2:$NE$60=AF$3)*(GMW!$ND$2:$ND$60=AF$4)*(GMW!$NF$2:$NF$60=AF$1),0),$F284-1966)</f>
        <v>1213.9690000000001</v>
      </c>
      <c r="AG284" s="4" cm="1">
        <f t="array" ref="AG284">INDEX(GMW!$A$2:$NF$60,MATCH(1,(GMW!$NE$2:$NE$60=AG$3)*(GMW!$ND$2:$ND$60=AG$4)*(GMW!$NF$2:$NF$60=AG$1),0),$F284-1966)</f>
        <v>819.40049999999997</v>
      </c>
      <c r="AH284" s="4" cm="1">
        <f t="array" ref="AH284">INDEX(GMW!$A$2:$NF$60,MATCH(1,(GMW!$NE$2:$NE$60=AH$3)*(GMW!$ND$2:$ND$60=AH$4)*(GMW!$NF$2:$NF$60=AH$1),0),$F284-1966)</f>
        <v>1504587</v>
      </c>
    </row>
    <row r="285" spans="1:34" x14ac:dyDescent="0.25">
      <c r="B285" s="4">
        <f t="shared" si="94"/>
        <v>2042</v>
      </c>
      <c r="C285" s="4">
        <f t="shared" si="94"/>
        <v>2042</v>
      </c>
      <c r="F285" s="4">
        <f t="shared" si="80"/>
        <v>2251</v>
      </c>
      <c r="G285" s="4" cm="1">
        <f t="array" ref="G285">INDEX(GMW!$A$2:$NF$60,MATCH(1,(GMW!$NE$2:$NE$60=G$3)*(GMW!$ND$2:$ND$60=G$4)*(GMW!$NF$2:$NF$60=G$1),0),$F285-1966)</f>
        <v>842256.2</v>
      </c>
      <c r="H285" s="4" cm="1">
        <f t="array" ref="H285">INDEX(GMW!$A$2:$NF$60,MATCH(1,(GMW!$NE$2:$NE$60=H$3)*(GMW!$ND$2:$ND$60=H$4)*(GMW!$NF$2:$NF$60=H$1),0),$F285-1966)</f>
        <v>8197.81</v>
      </c>
      <c r="I285" s="4" cm="1">
        <f t="array" ref="I285">INDEX(GMW!$A$2:$NF$60,MATCH(1,(GMW!$NE$2:$NE$60=I$3)*(GMW!$ND$2:$ND$60=I$4)*(GMW!$NF$2:$NF$60=I$1),0),$F285-1966)</f>
        <v>139498.4</v>
      </c>
      <c r="J285" s="4" cm="1">
        <f t="array" ref="J285">INDEX(GMW!$A$2:$NF$60,MATCH(1,(GMW!$NE$2:$NE$60=J$3)*(GMW!$ND$2:$ND$60=J$4)*(GMW!$NF$2:$NF$60=J$1),0),$F285-1966)</f>
        <v>1072.232</v>
      </c>
      <c r="K285" s="4" cm="1">
        <f t="array" ref="K285">INDEX(GMW!$A$2:$NF$60,MATCH(1,(GMW!$NE$2:$NE$60=K$3)*(GMW!$ND$2:$ND$60=K$4)*(GMW!$NF$2:$NF$60=K$1),0),$F285-1966)</f>
        <v>761.86670000000004</v>
      </c>
      <c r="L285" s="4" cm="1">
        <f t="array" ref="L285">INDEX(GMW!$A$2:$NF$60,MATCH(1,(GMW!$NE$2:$NE$60=L$3)*(GMW!$ND$2:$ND$60=L$4)*(GMW!$NF$2:$NF$60=L$1),0),$F285-1966)</f>
        <v>517.22559999999999</v>
      </c>
      <c r="M285" s="4" cm="1">
        <f t="array" ref="M285">INDEX(GMW!$A$2:$NF$60,MATCH(1,(GMW!$NE$2:$NE$60=M$3)*(GMW!$ND$2:$ND$60=M$4)*(GMW!$NF$2:$NF$60=M$1),0),$F285-1966)</f>
        <v>850994.8</v>
      </c>
      <c r="N285" s="4" cm="1">
        <f t="array" ref="N285">INDEX(GMW!$A$2:$NF$60,MATCH(1,(GMW!$NE$2:$NE$60=N$3)*(GMW!$ND$2:$ND$60=N$4)*(GMW!$NF$2:$NF$60=N$1),0),$F285-1966)</f>
        <v>-48056.19</v>
      </c>
      <c r="O285" s="4" cm="1">
        <f t="array" ref="O285">INDEX(GMW!$A$2:$NF$60,MATCH(1,(GMW!$NE$2:$NE$60=O$3)*(GMW!$ND$2:$ND$60=O$4)*(GMW!$NF$2:$NF$60=O$1),0),$F285-1966)</f>
        <v>-1069.143</v>
      </c>
      <c r="P285" s="4" cm="1">
        <f t="array" ref="P285">INDEX(GMW!$A$2:$NF$60,MATCH(1,(GMW!$NE$2:$NE$60=P$3)*(GMW!$ND$2:$ND$60=P$4)*(GMW!$NF$2:$NF$60=P$1),0),$F285-1966)</f>
        <v>-1826.414</v>
      </c>
      <c r="Q285" s="4" cm="1">
        <f t="array" ref="Q285">INDEX(GMW!$A$2:$NF$60,MATCH(1,(GMW!$NE$2:$NE$60=Q$3)*(GMW!$ND$2:$ND$60=Q$4)*(GMW!$NF$2:$NF$60=Q$1),0),$F285-1966)</f>
        <v>-27.35895</v>
      </c>
      <c r="R285" s="4" cm="1">
        <f t="array" ref="R285">INDEX(GMW!$A$2:$NF$60,MATCH(1,(GMW!$NE$2:$NE$60=R$3)*(GMW!$ND$2:$ND$60=R$4)*(GMW!$NF$2:$NF$60=R$1),0),$F285-1966)</f>
        <v>-40.313720000000004</v>
      </c>
      <c r="S285" s="4" cm="1">
        <f t="array" ref="S285">INDEX(GMW!$A$2:$NF$60,MATCH(1,(GMW!$NE$2:$NE$60=S$3)*(GMW!$ND$2:$ND$60=S$4)*(GMW!$NF$2:$NF$60=S$1),0),$F285-1966)</f>
        <v>-14.619199999999999</v>
      </c>
      <c r="T285" s="4" cm="1">
        <f t="array" ref="T285">INDEX(GMW!$A$2:$NF$60,MATCH(1,(GMW!$NE$2:$NE$60=T$3)*(GMW!$ND$2:$ND$60=T$4)*(GMW!$NF$2:$NF$60=T$1),0),$F285-1966)</f>
        <v>-35541.440000000002</v>
      </c>
      <c r="U285" s="4" cm="1">
        <f t="array" ref="U285">INDEX(GMW!$A$2:$NF$60,MATCH(1,(GMW!$NE$2:$NE$60=U$3)*(GMW!$ND$2:$ND$60=U$4)*(GMW!$NF$2:$NF$60=U$1),0),$F285-1966)</f>
        <v>5459212</v>
      </c>
      <c r="V285" s="4" cm="1">
        <f t="array" ref="V285">INDEX(GMW!$A$2:$NF$60,MATCH(1,(GMW!$NE$2:$NE$60=V$3)*(GMW!$ND$2:$ND$60=V$4)*(GMW!$NF$2:$NF$60=V$1),0),$F285-1966)</f>
        <v>100805.5</v>
      </c>
      <c r="W285" s="4" cm="1">
        <f t="array" ref="W285">INDEX(GMW!$A$2:$NF$60,MATCH(1,(GMW!$NE$2:$NE$60=W$3)*(GMW!$ND$2:$ND$60=W$4)*(GMW!$NF$2:$NF$60=W$1),0),$F285-1966)</f>
        <v>1586736</v>
      </c>
      <c r="X285" s="4" cm="1">
        <f t="array" ref="X285">INDEX(GMW!$A$2:$NF$60,MATCH(1,(GMW!$NE$2:$NE$60=X$3)*(GMW!$ND$2:$ND$60=X$4)*(GMW!$NF$2:$NF$60=X$1),0),$F285-1966)</f>
        <v>4667.8620000000001</v>
      </c>
      <c r="Y285" s="4" cm="1">
        <f t="array" ref="Y285">INDEX(GMW!$A$2:$NF$60,MATCH(1,(GMW!$NE$2:$NE$60=Y$3)*(GMW!$ND$2:$ND$60=Y$4)*(GMW!$NF$2:$NF$60=Y$1),0),$F285-1966)</f>
        <v>6304.915</v>
      </c>
      <c r="Z285" s="4" cm="1">
        <f t="array" ref="Z285">INDEX(GMW!$A$2:$NF$60,MATCH(1,(GMW!$NE$2:$NE$60=Z$3)*(GMW!$ND$2:$ND$60=Z$4)*(GMW!$NF$2:$NF$60=Z$1),0),$F285-1966)</f>
        <v>4436.2470000000003</v>
      </c>
      <c r="AA285" s="4" cm="1">
        <f t="array" ref="AA285">INDEX(GMW!$A$2:$NF$60,MATCH(1,(GMW!$NE$2:$NE$60=AA$3)*(GMW!$ND$2:$ND$60=AA$4)*(GMW!$NF$2:$NF$60=AA$1),0),$F285-1966)</f>
        <v>5376343</v>
      </c>
      <c r="AB285" s="4" cm="1">
        <f t="array" ref="AB285">INDEX(GMW!$A$2:$NF$60,MATCH(1,(GMW!$NE$2:$NE$60=AB$3)*(GMW!$ND$2:$ND$60=AB$4)*(GMW!$NF$2:$NF$60=AB$1),0),$F285-1966)</f>
        <v>1399456</v>
      </c>
      <c r="AC285" s="4" cm="1">
        <f t="array" ref="AC285">INDEX(GMW!$A$2:$NF$60,MATCH(1,(GMW!$NE$2:$NE$60=AC$3)*(GMW!$ND$2:$ND$60=AC$4)*(GMW!$NF$2:$NF$60=AC$1),0),$F285-1966)</f>
        <v>14450.61</v>
      </c>
      <c r="AD285" s="4" cm="1">
        <f t="array" ref="AD285">INDEX(GMW!$A$2:$NF$60,MATCH(1,(GMW!$NE$2:$NE$60=AD$3)*(GMW!$ND$2:$ND$60=AD$4)*(GMW!$NF$2:$NF$60=AD$1),0),$F285-1966)</f>
        <v>195897.2</v>
      </c>
      <c r="AE285" s="4" cm="1">
        <f t="array" ref="AE285">INDEX(GMW!$A$2:$NF$60,MATCH(1,(GMW!$NE$2:$NE$60=AE$3)*(GMW!$ND$2:$ND$60=AE$4)*(GMW!$NF$2:$NF$60=AE$1),0),$F285-1966)</f>
        <v>1913.614</v>
      </c>
      <c r="AF285" s="4" cm="1">
        <f t="array" ref="AF285">INDEX(GMW!$A$2:$NF$60,MATCH(1,(GMW!$NE$2:$NE$60=AF$3)*(GMW!$ND$2:$ND$60=AF$4)*(GMW!$NF$2:$NF$60=AF$1),0),$F285-1966)</f>
        <v>1221.6669999999999</v>
      </c>
      <c r="AG285" s="4" cm="1">
        <f t="array" ref="AG285">INDEX(GMW!$A$2:$NF$60,MATCH(1,(GMW!$NE$2:$NE$60=AG$3)*(GMW!$ND$2:$ND$60=AG$4)*(GMW!$NF$2:$NF$60=AG$1),0),$F285-1966)</f>
        <v>823.79309999999998</v>
      </c>
      <c r="AH285" s="4" cm="1">
        <f t="array" ref="AH285">INDEX(GMW!$A$2:$NF$60,MATCH(1,(GMW!$NE$2:$NE$60=AH$3)*(GMW!$ND$2:$ND$60=AH$4)*(GMW!$NF$2:$NF$60=AH$1),0),$F285-1966)</f>
        <v>1519348</v>
      </c>
    </row>
    <row r="286" spans="1:34" x14ac:dyDescent="0.25">
      <c r="B286" s="4">
        <f t="shared" si="94"/>
        <v>2042</v>
      </c>
      <c r="C286" s="4">
        <f t="shared" si="94"/>
        <v>2042</v>
      </c>
      <c r="E286" s="4">
        <f t="shared" ref="E286" si="95">+E282+1</f>
        <v>2042</v>
      </c>
      <c r="F286" s="4">
        <f t="shared" si="80"/>
        <v>2252</v>
      </c>
      <c r="G286" s="4" cm="1">
        <f t="array" ref="G286">INDEX(GMW!$A$2:$NF$60,MATCH(1,(GMW!$NE$2:$NE$60=G$3)*(GMW!$ND$2:$ND$60=G$4)*(GMW!$NF$2:$NF$60=G$1),0),$F286-1966)</f>
        <v>845626.2</v>
      </c>
      <c r="H286" s="4" cm="1">
        <f t="array" ref="H286">INDEX(GMW!$A$2:$NF$60,MATCH(1,(GMW!$NE$2:$NE$60=H$3)*(GMW!$ND$2:$ND$60=H$4)*(GMW!$NF$2:$NF$60=H$1),0),$F286-1966)</f>
        <v>8232.1880000000001</v>
      </c>
      <c r="I286" s="4" cm="1">
        <f t="array" ref="I286">INDEX(GMW!$A$2:$NF$60,MATCH(1,(GMW!$NE$2:$NE$60=I$3)*(GMW!$ND$2:$ND$60=I$4)*(GMW!$NF$2:$NF$60=I$1),0),$F286-1966)</f>
        <v>139432.5</v>
      </c>
      <c r="J286" s="4" cm="1">
        <f t="array" ref="J286">INDEX(GMW!$A$2:$NF$60,MATCH(1,(GMW!$NE$2:$NE$60=J$3)*(GMW!$ND$2:$ND$60=J$4)*(GMW!$NF$2:$NF$60=J$1),0),$F286-1966)</f>
        <v>1074.8800000000001</v>
      </c>
      <c r="K286" s="4" cm="1">
        <f t="array" ref="K286">INDEX(GMW!$A$2:$NF$60,MATCH(1,(GMW!$NE$2:$NE$60=K$3)*(GMW!$ND$2:$ND$60=K$4)*(GMW!$NF$2:$NF$60=K$1),0),$F286-1966)</f>
        <v>763.05650000000003</v>
      </c>
      <c r="L286" s="4" cm="1">
        <f t="array" ref="L286">INDEX(GMW!$A$2:$NF$60,MATCH(1,(GMW!$NE$2:$NE$60=L$3)*(GMW!$ND$2:$ND$60=L$4)*(GMW!$NF$2:$NF$60=L$1),0),$F286-1966)</f>
        <v>517.41089999999997</v>
      </c>
      <c r="M286" s="4" cm="1">
        <f t="array" ref="M286">INDEX(GMW!$A$2:$NF$60,MATCH(1,(GMW!$NE$2:$NE$60=M$3)*(GMW!$ND$2:$ND$60=M$4)*(GMW!$NF$2:$NF$60=M$1),0),$F286-1966)</f>
        <v>855160.1</v>
      </c>
      <c r="N286" s="4" cm="1">
        <f t="array" ref="N286">INDEX(GMW!$A$2:$NF$60,MATCH(1,(GMW!$NE$2:$NE$60=N$3)*(GMW!$ND$2:$ND$60=N$4)*(GMW!$NF$2:$NF$60=N$1),0),$F286-1966)</f>
        <v>-84691</v>
      </c>
      <c r="O286" s="4" cm="1">
        <f t="array" ref="O286">INDEX(GMW!$A$2:$NF$60,MATCH(1,(GMW!$NE$2:$NE$60=O$3)*(GMW!$ND$2:$ND$60=O$4)*(GMW!$NF$2:$NF$60=O$1),0),$F286-1966)</f>
        <v>-1072.252</v>
      </c>
      <c r="P286" s="4" cm="1">
        <f t="array" ref="P286">INDEX(GMW!$A$2:$NF$60,MATCH(1,(GMW!$NE$2:$NE$60=P$3)*(GMW!$ND$2:$ND$60=P$4)*(GMW!$NF$2:$NF$60=P$1),0),$F286-1966)</f>
        <v>-1832.1089999999999</v>
      </c>
      <c r="Q286" s="4" cm="1">
        <f t="array" ref="Q286">INDEX(GMW!$A$2:$NF$60,MATCH(1,(GMW!$NE$2:$NE$60=Q$3)*(GMW!$ND$2:$ND$60=Q$4)*(GMW!$NF$2:$NF$60=Q$1),0),$F286-1966)</f>
        <v>-27.558039999999998</v>
      </c>
      <c r="R286" s="4" cm="1">
        <f t="array" ref="R286">INDEX(GMW!$A$2:$NF$60,MATCH(1,(GMW!$NE$2:$NE$60=R$3)*(GMW!$ND$2:$ND$60=R$4)*(GMW!$NF$2:$NF$60=R$1),0),$F286-1966)</f>
        <v>-40.572200000000002</v>
      </c>
      <c r="S286" s="4" cm="1">
        <f t="array" ref="S286">INDEX(GMW!$A$2:$NF$60,MATCH(1,(GMW!$NE$2:$NE$60=S$3)*(GMW!$ND$2:$ND$60=S$4)*(GMW!$NF$2:$NF$60=S$1),0),$F286-1966)</f>
        <v>-14.697570000000001</v>
      </c>
      <c r="T286" s="4" cm="1">
        <f t="array" ref="T286">INDEX(GMW!$A$2:$NF$60,MATCH(1,(GMW!$NE$2:$NE$60=T$3)*(GMW!$ND$2:$ND$60=T$4)*(GMW!$NF$2:$NF$60=T$1),0),$F286-1966)</f>
        <v>-35982.44</v>
      </c>
      <c r="U286" s="4" cm="1">
        <f t="array" ref="U286">INDEX(GMW!$A$2:$NF$60,MATCH(1,(GMW!$NE$2:$NE$60=U$3)*(GMW!$ND$2:$ND$60=U$4)*(GMW!$NF$2:$NF$60=U$1),0),$F286-1966)</f>
        <v>5543903</v>
      </c>
      <c r="V286" s="4" cm="1">
        <f t="array" ref="V286">INDEX(GMW!$A$2:$NF$60,MATCH(1,(GMW!$NE$2:$NE$60=V$3)*(GMW!$ND$2:$ND$60=V$4)*(GMW!$NF$2:$NF$60=V$1),0),$F286-1966)</f>
        <v>101877.8</v>
      </c>
      <c r="W286" s="4" cm="1">
        <f t="array" ref="W286">INDEX(GMW!$A$2:$NF$60,MATCH(1,(GMW!$NE$2:$NE$60=W$3)*(GMW!$ND$2:$ND$60=W$4)*(GMW!$NF$2:$NF$60=W$1),0),$F286-1966)</f>
        <v>1588568</v>
      </c>
      <c r="X286" s="4" cm="1">
        <f t="array" ref="X286">INDEX(GMW!$A$2:$NF$60,MATCH(1,(GMW!$NE$2:$NE$60=X$3)*(GMW!$ND$2:$ND$60=X$4)*(GMW!$NF$2:$NF$60=X$1),0),$F286-1966)</f>
        <v>4695.42</v>
      </c>
      <c r="Y286" s="4" cm="1">
        <f t="array" ref="Y286">INDEX(GMW!$A$2:$NF$60,MATCH(1,(GMW!$NE$2:$NE$60=Y$3)*(GMW!$ND$2:$ND$60=Y$4)*(GMW!$NF$2:$NF$60=Y$1),0),$F286-1966)</f>
        <v>6345.4870000000001</v>
      </c>
      <c r="Z286" s="4" cm="1">
        <f t="array" ref="Z286">INDEX(GMW!$A$2:$NF$60,MATCH(1,(GMW!$NE$2:$NE$60=Z$3)*(GMW!$ND$2:$ND$60=Z$4)*(GMW!$NF$2:$NF$60=Z$1),0),$F286-1966)</f>
        <v>4450.9449999999997</v>
      </c>
      <c r="AA286" s="4" cm="1">
        <f t="array" ref="AA286">INDEX(GMW!$A$2:$NF$60,MATCH(1,(GMW!$NE$2:$NE$60=AA$3)*(GMW!$ND$2:$ND$60=AA$4)*(GMW!$NF$2:$NF$60=AA$1),0),$F286-1966)</f>
        <v>5412325</v>
      </c>
      <c r="AB286" s="4" cm="1">
        <f t="array" ref="AB286">INDEX(GMW!$A$2:$NF$60,MATCH(1,(GMW!$NE$2:$NE$60=AB$3)*(GMW!$ND$2:$ND$60=AB$4)*(GMW!$NF$2:$NF$60=AB$1),0),$F286-1966)</f>
        <v>1412572</v>
      </c>
      <c r="AC286" s="4" cm="1">
        <f t="array" ref="AC286">INDEX(GMW!$A$2:$NF$60,MATCH(1,(GMW!$NE$2:$NE$60=AC$3)*(GMW!$ND$2:$ND$60=AC$4)*(GMW!$NF$2:$NF$60=AC$1),0),$F286-1966)</f>
        <v>14578.81</v>
      </c>
      <c r="AD286" s="4" cm="1">
        <f t="array" ref="AD286">INDEX(GMW!$A$2:$NF$60,MATCH(1,(GMW!$NE$2:$NE$60=AD$3)*(GMW!$ND$2:$ND$60=AD$4)*(GMW!$NF$2:$NF$60=AD$1),0),$F286-1966)</f>
        <v>196512.4</v>
      </c>
      <c r="AE286" s="4" cm="1">
        <f t="array" ref="AE286">INDEX(GMW!$A$2:$NF$60,MATCH(1,(GMW!$NE$2:$NE$60=AE$3)*(GMW!$ND$2:$ND$60=AE$4)*(GMW!$NF$2:$NF$60=AE$1),0),$F286-1966)</f>
        <v>1927.857</v>
      </c>
      <c r="AF286" s="4" cm="1">
        <f t="array" ref="AF286">INDEX(GMW!$A$2:$NF$60,MATCH(1,(GMW!$NE$2:$NE$60=AF$3)*(GMW!$ND$2:$ND$60=AF$4)*(GMW!$NF$2:$NF$60=AF$1),0),$F286-1966)</f>
        <v>1229.578</v>
      </c>
      <c r="AG286" s="4" cm="1">
        <f t="array" ref="AG286">INDEX(GMW!$A$2:$NF$60,MATCH(1,(GMW!$NE$2:$NE$60=AG$3)*(GMW!$ND$2:$ND$60=AG$4)*(GMW!$NF$2:$NF$60=AG$1),0),$F286-1966)</f>
        <v>828.18740000000003</v>
      </c>
      <c r="AH286" s="4" cm="1">
        <f t="array" ref="AH286">INDEX(GMW!$A$2:$NF$60,MATCH(1,(GMW!$NE$2:$NE$60=AH$3)*(GMW!$ND$2:$ND$60=AH$4)*(GMW!$NF$2:$NF$60=AH$1),0),$F286-1966)</f>
        <v>1534213</v>
      </c>
    </row>
    <row r="287" spans="1:34" x14ac:dyDescent="0.25">
      <c r="A287" s="4">
        <v>2043</v>
      </c>
      <c r="B287" s="4">
        <f t="shared" si="94"/>
        <v>2043</v>
      </c>
      <c r="C287" s="4">
        <f t="shared" si="94"/>
        <v>2042</v>
      </c>
      <c r="D287" s="4">
        <f t="shared" si="94"/>
        <v>2042</v>
      </c>
      <c r="F287" s="4">
        <f t="shared" si="80"/>
        <v>2253</v>
      </c>
      <c r="G287" s="4" cm="1">
        <f t="array" ref="G287">INDEX(GMW!$A$2:$NF$60,MATCH(1,(GMW!$NE$2:$NE$60=G$3)*(GMW!$ND$2:$ND$60=G$4)*(GMW!$NF$2:$NF$60=G$1),0),$F287-1966)</f>
        <v>849011.3</v>
      </c>
      <c r="H287" s="4" cm="1">
        <f t="array" ref="H287">INDEX(GMW!$A$2:$NF$60,MATCH(1,(GMW!$NE$2:$NE$60=H$3)*(GMW!$ND$2:$ND$60=H$4)*(GMW!$NF$2:$NF$60=H$1),0),$F287-1966)</f>
        <v>8266.8050000000003</v>
      </c>
      <c r="I287" s="4" cm="1">
        <f t="array" ref="I287">INDEX(GMW!$A$2:$NF$60,MATCH(1,(GMW!$NE$2:$NE$60=I$3)*(GMW!$ND$2:$ND$60=I$4)*(GMW!$NF$2:$NF$60=I$1),0),$F287-1966)</f>
        <v>139369.1</v>
      </c>
      <c r="J287" s="4" cm="1">
        <f t="array" ref="J287">INDEX(GMW!$A$2:$NF$60,MATCH(1,(GMW!$NE$2:$NE$60=J$3)*(GMW!$ND$2:$ND$60=J$4)*(GMW!$NF$2:$NF$60=J$1),0),$F287-1966)</f>
        <v>1077.454</v>
      </c>
      <c r="K287" s="4" cm="1">
        <f t="array" ref="K287">INDEX(GMW!$A$2:$NF$60,MATCH(1,(GMW!$NE$2:$NE$60=K$3)*(GMW!$ND$2:$ND$60=K$4)*(GMW!$NF$2:$NF$60=K$1),0),$F287-1966)</f>
        <v>764.01</v>
      </c>
      <c r="L287" s="4" cm="1">
        <f t="array" ref="L287">INDEX(GMW!$A$2:$NF$60,MATCH(1,(GMW!$NE$2:$NE$60=L$3)*(GMW!$ND$2:$ND$60=L$4)*(GMW!$NF$2:$NF$60=L$1),0),$F287-1966)</f>
        <v>517.62509999999997</v>
      </c>
      <c r="M287" s="4" cm="1">
        <f t="array" ref="M287">INDEX(GMW!$A$2:$NF$60,MATCH(1,(GMW!$NE$2:$NE$60=M$3)*(GMW!$ND$2:$ND$60=M$4)*(GMW!$NF$2:$NF$60=M$1),0),$F287-1966)</f>
        <v>859343.2</v>
      </c>
      <c r="N287" s="4" cm="1">
        <f t="array" ref="N287">INDEX(GMW!$A$2:$NF$60,MATCH(1,(GMW!$NE$2:$NE$60=N$3)*(GMW!$ND$2:$ND$60=N$4)*(GMW!$NF$2:$NF$60=N$1),0),$F287-1966)</f>
        <v>-4017.1880000000001</v>
      </c>
      <c r="O287" s="4" cm="1">
        <f t="array" ref="O287">INDEX(GMW!$A$2:$NF$60,MATCH(1,(GMW!$NE$2:$NE$60=O$3)*(GMW!$ND$2:$ND$60=O$4)*(GMW!$NF$2:$NF$60=O$1),0),$F287-1966)</f>
        <v>-1075.2840000000001</v>
      </c>
      <c r="P287" s="4" cm="1">
        <f t="array" ref="P287">INDEX(GMW!$A$2:$NF$60,MATCH(1,(GMW!$NE$2:$NE$60=P$3)*(GMW!$ND$2:$ND$60=P$4)*(GMW!$NF$2:$NF$60=P$1),0),$F287-1966)</f>
        <v>-1837.8589999999999</v>
      </c>
      <c r="Q287" s="4" cm="1">
        <f t="array" ref="Q287">INDEX(GMW!$A$2:$NF$60,MATCH(1,(GMW!$NE$2:$NE$60=Q$3)*(GMW!$ND$2:$ND$60=Q$4)*(GMW!$NF$2:$NF$60=Q$1),0),$F287-1966)</f>
        <v>-27.756350000000001</v>
      </c>
      <c r="R287" s="4" cm="1">
        <f t="array" ref="R287">INDEX(GMW!$A$2:$NF$60,MATCH(1,(GMW!$NE$2:$NE$60=R$3)*(GMW!$ND$2:$ND$60=R$4)*(GMW!$NF$2:$NF$60=R$1),0),$F287-1966)</f>
        <v>-40.829830000000001</v>
      </c>
      <c r="S287" s="4" cm="1">
        <f t="array" ref="S287">INDEX(GMW!$A$2:$NF$60,MATCH(1,(GMW!$NE$2:$NE$60=S$3)*(GMW!$ND$2:$ND$60=S$4)*(GMW!$NF$2:$NF$60=S$1),0),$F287-1966)</f>
        <v>-14.775969999999999</v>
      </c>
      <c r="T287" s="4" cm="1">
        <f t="array" ref="T287">INDEX(GMW!$A$2:$NF$60,MATCH(1,(GMW!$NE$2:$NE$60=T$3)*(GMW!$ND$2:$ND$60=T$4)*(GMW!$NF$2:$NF$60=T$1),0),$F287-1966)</f>
        <v>-36446.879999999997</v>
      </c>
      <c r="U287" s="4" cm="1">
        <f t="array" ref="U287">INDEX(GMW!$A$2:$NF$60,MATCH(1,(GMW!$NE$2:$NE$60=U$3)*(GMW!$ND$2:$ND$60=U$4)*(GMW!$NF$2:$NF$60=U$1),0),$F287-1966)</f>
        <v>5547920</v>
      </c>
      <c r="V287" s="4" cm="1">
        <f t="array" ref="V287">INDEX(GMW!$A$2:$NF$60,MATCH(1,(GMW!$NE$2:$NE$60=V$3)*(GMW!$ND$2:$ND$60=V$4)*(GMW!$NF$2:$NF$60=V$1),0),$F287-1966)</f>
        <v>102953</v>
      </c>
      <c r="W287" s="4" cm="1">
        <f t="array" ref="W287">INDEX(GMW!$A$2:$NF$60,MATCH(1,(GMW!$NE$2:$NE$60=W$3)*(GMW!$ND$2:$ND$60=W$4)*(GMW!$NF$2:$NF$60=W$1),0),$F287-1966)</f>
        <v>1590406</v>
      </c>
      <c r="X287" s="4" cm="1">
        <f t="array" ref="X287">INDEX(GMW!$A$2:$NF$60,MATCH(1,(GMW!$NE$2:$NE$60=X$3)*(GMW!$ND$2:$ND$60=X$4)*(GMW!$NF$2:$NF$60=X$1),0),$F287-1966)</f>
        <v>4723.1760000000004</v>
      </c>
      <c r="Y287" s="4" cm="1">
        <f t="array" ref="Y287">INDEX(GMW!$A$2:$NF$60,MATCH(1,(GMW!$NE$2:$NE$60=Y$3)*(GMW!$ND$2:$ND$60=Y$4)*(GMW!$NF$2:$NF$60=Y$1),0),$F287-1966)</f>
        <v>6386.317</v>
      </c>
      <c r="Z287" s="4" cm="1">
        <f t="array" ref="Z287">INDEX(GMW!$A$2:$NF$60,MATCH(1,(GMW!$NE$2:$NE$60=Z$3)*(GMW!$ND$2:$ND$60=Z$4)*(GMW!$NF$2:$NF$60=Z$1),0),$F287-1966)</f>
        <v>4465.7209999999995</v>
      </c>
      <c r="AA287" s="4" cm="1">
        <f t="array" ref="AA287">INDEX(GMW!$A$2:$NF$60,MATCH(1,(GMW!$NE$2:$NE$60=AA$3)*(GMW!$ND$2:$ND$60=AA$4)*(GMW!$NF$2:$NF$60=AA$1),0),$F287-1966)</f>
        <v>5448772</v>
      </c>
      <c r="AB287" s="4" cm="1">
        <f t="array" ref="AB287">INDEX(GMW!$A$2:$NF$60,MATCH(1,(GMW!$NE$2:$NE$60=AB$3)*(GMW!$ND$2:$ND$60=AB$4)*(GMW!$NF$2:$NF$60=AB$1),0),$F287-1966)</f>
        <v>1425814</v>
      </c>
      <c r="AC287" s="4" cm="1">
        <f t="array" ref="AC287">INDEX(GMW!$A$2:$NF$60,MATCH(1,(GMW!$NE$2:$NE$60=AC$3)*(GMW!$ND$2:$ND$60=AC$4)*(GMW!$NF$2:$NF$60=AC$1),0),$F287-1966)</f>
        <v>14708.36</v>
      </c>
      <c r="AD287" s="4" cm="1">
        <f t="array" ref="AD287">INDEX(GMW!$A$2:$NF$60,MATCH(1,(GMW!$NE$2:$NE$60=AD$3)*(GMW!$ND$2:$ND$60=AD$4)*(GMW!$NF$2:$NF$60=AD$1),0),$F287-1966)</f>
        <v>197148.3</v>
      </c>
      <c r="AE287" s="4" cm="1">
        <f t="array" ref="AE287">INDEX(GMW!$A$2:$NF$60,MATCH(1,(GMW!$NE$2:$NE$60=AE$3)*(GMW!$ND$2:$ND$60=AE$4)*(GMW!$NF$2:$NF$60=AE$1),0),$F287-1966)</f>
        <v>1942.059</v>
      </c>
      <c r="AF287" s="4" cm="1">
        <f t="array" ref="AF287">INDEX(GMW!$A$2:$NF$60,MATCH(1,(GMW!$NE$2:$NE$60=AF$3)*(GMW!$ND$2:$ND$60=AF$4)*(GMW!$NF$2:$NF$60=AF$1),0),$F287-1966)</f>
        <v>1237.278</v>
      </c>
      <c r="AG287" s="4" cm="1">
        <f t="array" ref="AG287">INDEX(GMW!$A$2:$NF$60,MATCH(1,(GMW!$NE$2:$NE$60=AG$3)*(GMW!$ND$2:$ND$60=AG$4)*(GMW!$NF$2:$NF$60=AG$1),0),$F287-1966)</f>
        <v>832.62760000000003</v>
      </c>
      <c r="AH287" s="4" cm="1">
        <f t="array" ref="AH287">INDEX(GMW!$A$2:$NF$60,MATCH(1,(GMW!$NE$2:$NE$60=AH$3)*(GMW!$ND$2:$ND$60=AH$4)*(GMW!$NF$2:$NF$60=AH$1),0),$F287-1966)</f>
        <v>1549254</v>
      </c>
    </row>
    <row r="288" spans="1:34" x14ac:dyDescent="0.25">
      <c r="B288" s="4">
        <f t="shared" si="94"/>
        <v>2043</v>
      </c>
      <c r="C288" s="4">
        <f t="shared" si="94"/>
        <v>2043</v>
      </c>
      <c r="F288" s="4">
        <f t="shared" si="80"/>
        <v>2254</v>
      </c>
      <c r="G288" s="4" cm="1">
        <f t="array" ref="G288">INDEX(GMW!$A$2:$NF$60,MATCH(1,(GMW!$NE$2:$NE$60=G$3)*(GMW!$ND$2:$ND$60=G$4)*(GMW!$NF$2:$NF$60=G$1),0),$F288-1966)</f>
        <v>852411.2</v>
      </c>
      <c r="H288" s="4" cm="1">
        <f t="array" ref="H288">INDEX(GMW!$A$2:$NF$60,MATCH(1,(GMW!$NE$2:$NE$60=H$3)*(GMW!$ND$2:$ND$60=H$4)*(GMW!$NF$2:$NF$60=H$1),0),$F288-1966)</f>
        <v>8301.5810000000001</v>
      </c>
      <c r="I288" s="4" cm="1">
        <f t="array" ref="I288">INDEX(GMW!$A$2:$NF$60,MATCH(1,(GMW!$NE$2:$NE$60=I$3)*(GMW!$ND$2:$ND$60=I$4)*(GMW!$NF$2:$NF$60=I$1),0),$F288-1966)</f>
        <v>139306.6</v>
      </c>
      <c r="J288" s="4" cm="1">
        <f t="array" ref="J288">INDEX(GMW!$A$2:$NF$60,MATCH(1,(GMW!$NE$2:$NE$60=J$3)*(GMW!$ND$2:$ND$60=J$4)*(GMW!$NF$2:$NF$60=J$1),0),$F288-1966)</f>
        <v>1080.0350000000001</v>
      </c>
      <c r="K288" s="4" cm="1">
        <f t="array" ref="K288">INDEX(GMW!$A$2:$NF$60,MATCH(1,(GMW!$NE$2:$NE$60=K$3)*(GMW!$ND$2:$ND$60=K$4)*(GMW!$NF$2:$NF$60=K$1),0),$F288-1966)</f>
        <v>765.12120000000004</v>
      </c>
      <c r="L288" s="4" cm="1">
        <f t="array" ref="L288">INDEX(GMW!$A$2:$NF$60,MATCH(1,(GMW!$NE$2:$NE$60=L$3)*(GMW!$ND$2:$ND$60=L$4)*(GMW!$NF$2:$NF$60=L$1),0),$F288-1966)</f>
        <v>517.83550000000002</v>
      </c>
      <c r="M288" s="4" cm="1">
        <f t="array" ref="M288">INDEX(GMW!$A$2:$NF$60,MATCH(1,(GMW!$NE$2:$NE$60=M$3)*(GMW!$ND$2:$ND$60=M$4)*(GMW!$NF$2:$NF$60=M$1),0),$F288-1966)</f>
        <v>863551.8</v>
      </c>
      <c r="N288" s="4" cm="1">
        <f t="array" ref="N288">INDEX(GMW!$A$2:$NF$60,MATCH(1,(GMW!$NE$2:$NE$60=N$3)*(GMW!$ND$2:$ND$60=N$4)*(GMW!$NF$2:$NF$60=N$1),0),$F288-1966)</f>
        <v>-92446.94</v>
      </c>
      <c r="O288" s="4" cm="1">
        <f t="array" ref="O288">INDEX(GMW!$A$2:$NF$60,MATCH(1,(GMW!$NE$2:$NE$60=O$3)*(GMW!$ND$2:$ND$60=O$4)*(GMW!$NF$2:$NF$60=O$1),0),$F288-1966)</f>
        <v>-1078.2760000000001</v>
      </c>
      <c r="P288" s="4" cm="1">
        <f t="array" ref="P288">INDEX(GMW!$A$2:$NF$60,MATCH(1,(GMW!$NE$2:$NE$60=P$3)*(GMW!$ND$2:$ND$60=P$4)*(GMW!$NF$2:$NF$60=P$1),0),$F288-1966)</f>
        <v>-1843.8050000000001</v>
      </c>
      <c r="Q288" s="4" cm="1">
        <f t="array" ref="Q288">INDEX(GMW!$A$2:$NF$60,MATCH(1,(GMW!$NE$2:$NE$60=Q$3)*(GMW!$ND$2:$ND$60=Q$4)*(GMW!$NF$2:$NF$60=Q$1),0),$F288-1966)</f>
        <v>-27.95599</v>
      </c>
      <c r="R288" s="4" cm="1">
        <f t="array" ref="R288">INDEX(GMW!$A$2:$NF$60,MATCH(1,(GMW!$NE$2:$NE$60=R$3)*(GMW!$ND$2:$ND$60=R$4)*(GMW!$NF$2:$NF$60=R$1),0),$F288-1966)</f>
        <v>-41.09149</v>
      </c>
      <c r="S288" s="4" cm="1">
        <f t="array" ref="S288">INDEX(GMW!$A$2:$NF$60,MATCH(1,(GMW!$NE$2:$NE$60=S$3)*(GMW!$ND$2:$ND$60=S$4)*(GMW!$NF$2:$NF$60=S$1),0),$F288-1966)</f>
        <v>-14.8552</v>
      </c>
      <c r="T288" s="4" cm="1">
        <f t="array" ref="T288">INDEX(GMW!$A$2:$NF$60,MATCH(1,(GMW!$NE$2:$NE$60=T$3)*(GMW!$ND$2:$ND$60=T$4)*(GMW!$NF$2:$NF$60=T$1),0),$F288-1966)</f>
        <v>-36853.06</v>
      </c>
      <c r="U288" s="4" cm="1">
        <f t="array" ref="U288">INDEX(GMW!$A$2:$NF$60,MATCH(1,(GMW!$NE$2:$NE$60=U$3)*(GMW!$ND$2:$ND$60=U$4)*(GMW!$NF$2:$NF$60=U$1),0),$F288-1966)</f>
        <v>5640367</v>
      </c>
      <c r="V288" s="4" cm="1">
        <f t="array" ref="V288">INDEX(GMW!$A$2:$NF$60,MATCH(1,(GMW!$NE$2:$NE$60=V$3)*(GMW!$ND$2:$ND$60=V$4)*(GMW!$NF$2:$NF$60=V$1),0),$F288-1966)</f>
        <v>104031.3</v>
      </c>
      <c r="W288" s="4" cm="1">
        <f t="array" ref="W288">INDEX(GMW!$A$2:$NF$60,MATCH(1,(GMW!$NE$2:$NE$60=W$3)*(GMW!$ND$2:$ND$60=W$4)*(GMW!$NF$2:$NF$60=W$1),0),$F288-1966)</f>
        <v>1592250</v>
      </c>
      <c r="X288" s="4" cm="1">
        <f t="array" ref="X288">INDEX(GMW!$A$2:$NF$60,MATCH(1,(GMW!$NE$2:$NE$60=X$3)*(GMW!$ND$2:$ND$60=X$4)*(GMW!$NF$2:$NF$60=X$1),0),$F288-1966)</f>
        <v>4751.1319999999996</v>
      </c>
      <c r="Y288" s="4" cm="1">
        <f t="array" ref="Y288">INDEX(GMW!$A$2:$NF$60,MATCH(1,(GMW!$NE$2:$NE$60=Y$3)*(GMW!$ND$2:$ND$60=Y$4)*(GMW!$NF$2:$NF$60=Y$1),0),$F288-1966)</f>
        <v>6427.4089999999997</v>
      </c>
      <c r="Z288" s="4" cm="1">
        <f t="array" ref="Z288">INDEX(GMW!$A$2:$NF$60,MATCH(1,(GMW!$NE$2:$NE$60=Z$3)*(GMW!$ND$2:$ND$60=Z$4)*(GMW!$NF$2:$NF$60=Z$1),0),$F288-1966)</f>
        <v>4480.576</v>
      </c>
      <c r="AA288" s="4" cm="1">
        <f t="array" ref="AA288">INDEX(GMW!$A$2:$NF$60,MATCH(1,(GMW!$NE$2:$NE$60=AA$3)*(GMW!$ND$2:$ND$60=AA$4)*(GMW!$NF$2:$NF$60=AA$1),0),$F288-1966)</f>
        <v>5485625</v>
      </c>
      <c r="AB288" s="4" cm="1">
        <f t="array" ref="AB288">INDEX(GMW!$A$2:$NF$60,MATCH(1,(GMW!$NE$2:$NE$60=AB$3)*(GMW!$ND$2:$ND$60=AB$4)*(GMW!$NF$2:$NF$60=AB$1),0),$F288-1966)</f>
        <v>1439182</v>
      </c>
      <c r="AC288" s="4" cm="1">
        <f t="array" ref="AC288">INDEX(GMW!$A$2:$NF$60,MATCH(1,(GMW!$NE$2:$NE$60=AC$3)*(GMW!$ND$2:$ND$60=AC$4)*(GMW!$NF$2:$NF$60=AC$1),0),$F288-1966)</f>
        <v>14839.13</v>
      </c>
      <c r="AD288" s="4" cm="1">
        <f t="array" ref="AD288">INDEX(GMW!$A$2:$NF$60,MATCH(1,(GMW!$NE$2:$NE$60=AD$3)*(GMW!$ND$2:$ND$60=AD$4)*(GMW!$NF$2:$NF$60=AD$1),0),$F288-1966)</f>
        <v>197780.4</v>
      </c>
      <c r="AE288" s="4" cm="1">
        <f t="array" ref="AE288">INDEX(GMW!$A$2:$NF$60,MATCH(1,(GMW!$NE$2:$NE$60=AE$3)*(GMW!$ND$2:$ND$60=AE$4)*(GMW!$NF$2:$NF$60=AE$1),0),$F288-1966)</f>
        <v>1956.3689999999999</v>
      </c>
      <c r="AF288" s="4" cm="1">
        <f t="array" ref="AF288">INDEX(GMW!$A$2:$NF$60,MATCH(1,(GMW!$NE$2:$NE$60=AF$3)*(GMW!$ND$2:$ND$60=AF$4)*(GMW!$NF$2:$NF$60=AF$1),0),$F288-1966)</f>
        <v>1245.23</v>
      </c>
      <c r="AG288" s="4" cm="1">
        <f t="array" ref="AG288">INDEX(GMW!$A$2:$NF$60,MATCH(1,(GMW!$NE$2:$NE$60=AG$3)*(GMW!$ND$2:$ND$60=AG$4)*(GMW!$NF$2:$NF$60=AG$1),0),$F288-1966)</f>
        <v>837.11120000000005</v>
      </c>
      <c r="AH288" s="4" cm="1">
        <f t="array" ref="AH288">INDEX(GMW!$A$2:$NF$60,MATCH(1,(GMW!$NE$2:$NE$60=AH$3)*(GMW!$ND$2:$ND$60=AH$4)*(GMW!$NF$2:$NF$60=AH$1),0),$F288-1966)</f>
        <v>1564447</v>
      </c>
    </row>
    <row r="289" spans="1:34" x14ac:dyDescent="0.25">
      <c r="B289" s="4">
        <f t="shared" si="94"/>
        <v>2043</v>
      </c>
      <c r="C289" s="4">
        <f t="shared" si="94"/>
        <v>2043</v>
      </c>
      <c r="F289" s="4">
        <f t="shared" si="80"/>
        <v>2255</v>
      </c>
      <c r="G289" s="4" cm="1">
        <f t="array" ref="G289">INDEX(GMW!$A$2:$NF$60,MATCH(1,(GMW!$NE$2:$NE$60=G$3)*(GMW!$ND$2:$ND$60=G$4)*(GMW!$NF$2:$NF$60=G$1),0),$F289-1966)</f>
        <v>855736.1</v>
      </c>
      <c r="H289" s="4" cm="1">
        <f t="array" ref="H289">INDEX(GMW!$A$2:$NF$60,MATCH(1,(GMW!$NE$2:$NE$60=H$3)*(GMW!$ND$2:$ND$60=H$4)*(GMW!$NF$2:$NF$60=H$1),0),$F289-1966)</f>
        <v>8336.2739999999994</v>
      </c>
      <c r="I289" s="4" cm="1">
        <f t="array" ref="I289">INDEX(GMW!$A$2:$NF$60,MATCH(1,(GMW!$NE$2:$NE$60=I$3)*(GMW!$ND$2:$ND$60=I$4)*(GMW!$NF$2:$NF$60=I$1),0),$F289-1966)</f>
        <v>139247.29999999999</v>
      </c>
      <c r="J289" s="4" cm="1">
        <f t="array" ref="J289">INDEX(GMW!$A$2:$NF$60,MATCH(1,(GMW!$NE$2:$NE$60=J$3)*(GMW!$ND$2:$ND$60=J$4)*(GMW!$NF$2:$NF$60=J$1),0),$F289-1966)</f>
        <v>1082.624</v>
      </c>
      <c r="K289" s="4" cm="1">
        <f t="array" ref="K289">INDEX(GMW!$A$2:$NF$60,MATCH(1,(GMW!$NE$2:$NE$60=K$3)*(GMW!$ND$2:$ND$60=K$4)*(GMW!$NF$2:$NF$60=K$1),0),$F289-1966)</f>
        <v>766.22029999999995</v>
      </c>
      <c r="L289" s="4" cm="1">
        <f t="array" ref="L289">INDEX(GMW!$A$2:$NF$60,MATCH(1,(GMW!$NE$2:$NE$60=L$3)*(GMW!$ND$2:$ND$60=L$4)*(GMW!$NF$2:$NF$60=L$1),0),$F289-1966)</f>
        <v>517.97469999999998</v>
      </c>
      <c r="M289" s="4" cm="1">
        <f t="array" ref="M289">INDEX(GMW!$A$2:$NF$60,MATCH(1,(GMW!$NE$2:$NE$60=M$3)*(GMW!$ND$2:$ND$60=M$4)*(GMW!$NF$2:$NF$60=M$1),0),$F289-1966)</f>
        <v>867772.9</v>
      </c>
      <c r="N289" s="4" cm="1">
        <f t="array" ref="N289">INDEX(GMW!$A$2:$NF$60,MATCH(1,(GMW!$NE$2:$NE$60=N$3)*(GMW!$ND$2:$ND$60=N$4)*(GMW!$NF$2:$NF$60=N$1),0),$F289-1966)</f>
        <v>-49882.31</v>
      </c>
      <c r="O289" s="4" cm="1">
        <f t="array" ref="O289">INDEX(GMW!$A$2:$NF$60,MATCH(1,(GMW!$NE$2:$NE$60=O$3)*(GMW!$ND$2:$ND$60=O$4)*(GMW!$NF$2:$NF$60=O$1),0),$F289-1966)</f>
        <v>-1081.2180000000001</v>
      </c>
      <c r="P289" s="4" cm="1">
        <f t="array" ref="P289">INDEX(GMW!$A$2:$NF$60,MATCH(1,(GMW!$NE$2:$NE$60=P$3)*(GMW!$ND$2:$ND$60=P$4)*(GMW!$NF$2:$NF$60=P$1),0),$F289-1966)</f>
        <v>-1849.711</v>
      </c>
      <c r="Q289" s="4" cm="1">
        <f t="array" ref="Q289">INDEX(GMW!$A$2:$NF$60,MATCH(1,(GMW!$NE$2:$NE$60=Q$3)*(GMW!$ND$2:$ND$60=Q$4)*(GMW!$NF$2:$NF$60=Q$1),0),$F289-1966)</f>
        <v>-28.1568</v>
      </c>
      <c r="R289" s="4" cm="1">
        <f t="array" ref="R289">INDEX(GMW!$A$2:$NF$60,MATCH(1,(GMW!$NE$2:$NE$60=R$3)*(GMW!$ND$2:$ND$60=R$4)*(GMW!$NF$2:$NF$60=R$1),0),$F289-1966)</f>
        <v>-41.353580000000001</v>
      </c>
      <c r="S289" s="4" cm="1">
        <f t="array" ref="S289">INDEX(GMW!$A$2:$NF$60,MATCH(1,(GMW!$NE$2:$NE$60=S$3)*(GMW!$ND$2:$ND$60=S$4)*(GMW!$NF$2:$NF$60=S$1),0),$F289-1966)</f>
        <v>-14.935180000000001</v>
      </c>
      <c r="T289" s="4" cm="1">
        <f t="array" ref="T289">INDEX(GMW!$A$2:$NF$60,MATCH(1,(GMW!$NE$2:$NE$60=T$3)*(GMW!$ND$2:$ND$60=T$4)*(GMW!$NF$2:$NF$60=T$1),0),$F289-1966)</f>
        <v>-37141.19</v>
      </c>
      <c r="U289" s="4" cm="1">
        <f t="array" ref="U289">INDEX(GMW!$A$2:$NF$60,MATCH(1,(GMW!$NE$2:$NE$60=U$3)*(GMW!$ND$2:$ND$60=U$4)*(GMW!$NF$2:$NF$60=U$1),0),$F289-1966)</f>
        <v>5690250</v>
      </c>
      <c r="V289" s="4" cm="1">
        <f t="array" ref="V289">INDEX(GMW!$A$2:$NF$60,MATCH(1,(GMW!$NE$2:$NE$60=V$3)*(GMW!$ND$2:$ND$60=V$4)*(GMW!$NF$2:$NF$60=V$1),0),$F289-1966)</f>
        <v>105112.5</v>
      </c>
      <c r="W289" s="4" cm="1">
        <f t="array" ref="W289">INDEX(GMW!$A$2:$NF$60,MATCH(1,(GMW!$NE$2:$NE$60=W$3)*(GMW!$ND$2:$ND$60=W$4)*(GMW!$NF$2:$NF$60=W$1),0),$F289-1966)</f>
        <v>1594100</v>
      </c>
      <c r="X289" s="4" cm="1">
        <f t="array" ref="X289">INDEX(GMW!$A$2:$NF$60,MATCH(1,(GMW!$NE$2:$NE$60=X$3)*(GMW!$ND$2:$ND$60=X$4)*(GMW!$NF$2:$NF$60=X$1),0),$F289-1966)</f>
        <v>4779.2889999999998</v>
      </c>
      <c r="Y289" s="4" cm="1">
        <f t="array" ref="Y289">INDEX(GMW!$A$2:$NF$60,MATCH(1,(GMW!$NE$2:$NE$60=Y$3)*(GMW!$ND$2:$ND$60=Y$4)*(GMW!$NF$2:$NF$60=Y$1),0),$F289-1966)</f>
        <v>6468.7619999999997</v>
      </c>
      <c r="Z289" s="4" cm="1">
        <f t="array" ref="Z289">INDEX(GMW!$A$2:$NF$60,MATCH(1,(GMW!$NE$2:$NE$60=Z$3)*(GMW!$ND$2:$ND$60=Z$4)*(GMW!$NF$2:$NF$60=Z$1),0),$F289-1966)</f>
        <v>4495.5110000000004</v>
      </c>
      <c r="AA289" s="4" cm="1">
        <f t="array" ref="AA289">INDEX(GMW!$A$2:$NF$60,MATCH(1,(GMW!$NE$2:$NE$60=AA$3)*(GMW!$ND$2:$ND$60=AA$4)*(GMW!$NF$2:$NF$60=AA$1),0),$F289-1966)</f>
        <v>5522766</v>
      </c>
      <c r="AB289" s="4" cm="1">
        <f t="array" ref="AB289">INDEX(GMW!$A$2:$NF$60,MATCH(1,(GMW!$NE$2:$NE$60=AB$3)*(GMW!$ND$2:$ND$60=AB$4)*(GMW!$NF$2:$NF$60=AB$1),0),$F289-1966)</f>
        <v>1452526</v>
      </c>
      <c r="AC289" s="4" cm="1">
        <f t="array" ref="AC289">INDEX(GMW!$A$2:$NF$60,MATCH(1,(GMW!$NE$2:$NE$60=AC$3)*(GMW!$ND$2:$ND$60=AC$4)*(GMW!$NF$2:$NF$60=AC$1),0),$F289-1966)</f>
        <v>14970.73</v>
      </c>
      <c r="AD289" s="4" cm="1">
        <f t="array" ref="AD289">INDEX(GMW!$A$2:$NF$60,MATCH(1,(GMW!$NE$2:$NE$60=AD$3)*(GMW!$ND$2:$ND$60=AD$4)*(GMW!$NF$2:$NF$60=AD$1),0),$F289-1966)</f>
        <v>198417.7</v>
      </c>
      <c r="AE289" s="4" cm="1">
        <f t="array" ref="AE289">INDEX(GMW!$A$2:$NF$60,MATCH(1,(GMW!$NE$2:$NE$60=AE$3)*(GMW!$ND$2:$ND$60=AE$4)*(GMW!$NF$2:$NF$60=AE$1),0),$F289-1966)</f>
        <v>1970.7860000000001</v>
      </c>
      <c r="AF289" s="4" cm="1">
        <f t="array" ref="AF289">INDEX(GMW!$A$2:$NF$60,MATCH(1,(GMW!$NE$2:$NE$60=AF$3)*(GMW!$ND$2:$ND$60=AF$4)*(GMW!$NF$2:$NF$60=AF$1),0),$F289-1966)</f>
        <v>1253.364</v>
      </c>
      <c r="AG289" s="4" cm="1">
        <f t="array" ref="AG289">INDEX(GMW!$A$2:$NF$60,MATCH(1,(GMW!$NE$2:$NE$60=AG$3)*(GMW!$ND$2:$ND$60=AG$4)*(GMW!$NF$2:$NF$60=AG$1),0),$F289-1966)</f>
        <v>841.50319999999999</v>
      </c>
      <c r="AH289" s="4" cm="1">
        <f t="array" ref="AH289">INDEX(GMW!$A$2:$NF$60,MATCH(1,(GMW!$NE$2:$NE$60=AH$3)*(GMW!$ND$2:$ND$60=AH$4)*(GMW!$NF$2:$NF$60=AH$1),0),$F289-1966)</f>
        <v>1579766</v>
      </c>
    </row>
    <row r="290" spans="1:34" x14ac:dyDescent="0.25">
      <c r="B290" s="4">
        <f t="shared" si="94"/>
        <v>2043</v>
      </c>
      <c r="C290" s="4">
        <f t="shared" si="94"/>
        <v>2043</v>
      </c>
      <c r="E290" s="4">
        <f t="shared" ref="E290" si="96">+E286+1</f>
        <v>2043</v>
      </c>
      <c r="F290" s="4">
        <f t="shared" si="80"/>
        <v>2256</v>
      </c>
      <c r="G290" s="4" cm="1">
        <f t="array" ref="G290">INDEX(GMW!$A$2:$NF$60,MATCH(1,(GMW!$NE$2:$NE$60=G$3)*(GMW!$ND$2:$ND$60=G$4)*(GMW!$NF$2:$NF$60=G$1),0),$F290-1966)</f>
        <v>859074.1</v>
      </c>
      <c r="H290" s="4" cm="1">
        <f t="array" ref="H290">INDEX(GMW!$A$2:$NF$60,MATCH(1,(GMW!$NE$2:$NE$60=H$3)*(GMW!$ND$2:$ND$60=H$4)*(GMW!$NF$2:$NF$60=H$1),0),$F290-1966)</f>
        <v>8371.2710000000006</v>
      </c>
      <c r="I290" s="4" cm="1">
        <f t="array" ref="I290">INDEX(GMW!$A$2:$NF$60,MATCH(1,(GMW!$NE$2:$NE$60=I$3)*(GMW!$ND$2:$ND$60=I$4)*(GMW!$NF$2:$NF$60=I$1),0),$F290-1966)</f>
        <v>139191.5</v>
      </c>
      <c r="J290" s="4" cm="1">
        <f t="array" ref="J290">INDEX(GMW!$A$2:$NF$60,MATCH(1,(GMW!$NE$2:$NE$60=J$3)*(GMW!$ND$2:$ND$60=J$4)*(GMW!$NF$2:$NF$60=J$1),0),$F290-1966)</f>
        <v>1085.221</v>
      </c>
      <c r="K290" s="4" cm="1">
        <f t="array" ref="K290">INDEX(GMW!$A$2:$NF$60,MATCH(1,(GMW!$NE$2:$NE$60=K$3)*(GMW!$ND$2:$ND$60=K$4)*(GMW!$NF$2:$NF$60=K$1),0),$F290-1966)</f>
        <v>767.29719999999998</v>
      </c>
      <c r="L290" s="4" cm="1">
        <f t="array" ref="L290">INDEX(GMW!$A$2:$NF$60,MATCH(1,(GMW!$NE$2:$NE$60=L$3)*(GMW!$ND$2:$ND$60=L$4)*(GMW!$NF$2:$NF$60=L$1),0),$F290-1966)</f>
        <v>518.1105</v>
      </c>
      <c r="M290" s="4" cm="1">
        <f t="array" ref="M290">INDEX(GMW!$A$2:$NF$60,MATCH(1,(GMW!$NE$2:$NE$60=M$3)*(GMW!$ND$2:$ND$60=M$4)*(GMW!$NF$2:$NF$60=M$1),0),$F290-1966)</f>
        <v>871995.6</v>
      </c>
      <c r="N290" s="4" cm="1">
        <f t="array" ref="N290">INDEX(GMW!$A$2:$NF$60,MATCH(1,(GMW!$NE$2:$NE$60=N$3)*(GMW!$ND$2:$ND$60=N$4)*(GMW!$NF$2:$NF$60=N$1),0),$F290-1966)</f>
        <v>-87901.06</v>
      </c>
      <c r="O290" s="4" cm="1">
        <f t="array" ref="O290">INDEX(GMW!$A$2:$NF$60,MATCH(1,(GMW!$NE$2:$NE$60=O$3)*(GMW!$ND$2:$ND$60=O$4)*(GMW!$NF$2:$NF$60=O$1),0),$F290-1966)</f>
        <v>-1084.104</v>
      </c>
      <c r="P290" s="4" cm="1">
        <f t="array" ref="P290">INDEX(GMW!$A$2:$NF$60,MATCH(1,(GMW!$NE$2:$NE$60=P$3)*(GMW!$ND$2:$ND$60=P$4)*(GMW!$NF$2:$NF$60=P$1),0),$F290-1966)</f>
        <v>-1855.672</v>
      </c>
      <c r="Q290" s="4" cm="1">
        <f t="array" ref="Q290">INDEX(GMW!$A$2:$NF$60,MATCH(1,(GMW!$NE$2:$NE$60=Q$3)*(GMW!$ND$2:$ND$60=Q$4)*(GMW!$NF$2:$NF$60=Q$1),0),$F290-1966)</f>
        <v>-28.359069999999999</v>
      </c>
      <c r="R290" s="4" cm="1">
        <f t="array" ref="R290">INDEX(GMW!$A$2:$NF$60,MATCH(1,(GMW!$NE$2:$NE$60=R$3)*(GMW!$ND$2:$ND$60=R$4)*(GMW!$NF$2:$NF$60=R$1),0),$F290-1966)</f>
        <v>-41.617980000000003</v>
      </c>
      <c r="S290" s="4" cm="1">
        <f t="array" ref="S290">INDEX(GMW!$A$2:$NF$60,MATCH(1,(GMW!$NE$2:$NE$60=S$3)*(GMW!$ND$2:$ND$60=S$4)*(GMW!$NF$2:$NF$60=S$1),0),$F290-1966)</f>
        <v>-15.01355</v>
      </c>
      <c r="T290" s="4" cm="1">
        <f t="array" ref="T290">INDEX(GMW!$A$2:$NF$60,MATCH(1,(GMW!$NE$2:$NE$60=T$3)*(GMW!$ND$2:$ND$60=T$4)*(GMW!$NF$2:$NF$60=T$1),0),$F290-1966)</f>
        <v>-37582.94</v>
      </c>
      <c r="U290" s="4" cm="1">
        <f t="array" ref="U290">INDEX(GMW!$A$2:$NF$60,MATCH(1,(GMW!$NE$2:$NE$60=U$3)*(GMW!$ND$2:$ND$60=U$4)*(GMW!$NF$2:$NF$60=U$1),0),$F290-1966)</f>
        <v>5778151</v>
      </c>
      <c r="V290" s="4" cm="1">
        <f t="array" ref="V290">INDEX(GMW!$A$2:$NF$60,MATCH(1,(GMW!$NE$2:$NE$60=V$3)*(GMW!$ND$2:$ND$60=V$4)*(GMW!$NF$2:$NF$60=V$1),0),$F290-1966)</f>
        <v>106196.6</v>
      </c>
      <c r="W290" s="4" cm="1">
        <f t="array" ref="W290">INDEX(GMW!$A$2:$NF$60,MATCH(1,(GMW!$NE$2:$NE$60=W$3)*(GMW!$ND$2:$ND$60=W$4)*(GMW!$NF$2:$NF$60=W$1),0),$F290-1966)</f>
        <v>1595955</v>
      </c>
      <c r="X290" s="4" cm="1">
        <f t="array" ref="X290">INDEX(GMW!$A$2:$NF$60,MATCH(1,(GMW!$NE$2:$NE$60=X$3)*(GMW!$ND$2:$ND$60=X$4)*(GMW!$NF$2:$NF$60=X$1),0),$F290-1966)</f>
        <v>4807.6480000000001</v>
      </c>
      <c r="Y290" s="4" cm="1">
        <f t="array" ref="Y290">INDEX(GMW!$A$2:$NF$60,MATCH(1,(GMW!$NE$2:$NE$60=Y$3)*(GMW!$ND$2:$ND$60=Y$4)*(GMW!$NF$2:$NF$60=Y$1),0),$F290-1966)</f>
        <v>6510.38</v>
      </c>
      <c r="Z290" s="4" cm="1">
        <f t="array" ref="Z290">INDEX(GMW!$A$2:$NF$60,MATCH(1,(GMW!$NE$2:$NE$60=Z$3)*(GMW!$ND$2:$ND$60=Z$4)*(GMW!$NF$2:$NF$60=Z$1),0),$F290-1966)</f>
        <v>4510.5240000000003</v>
      </c>
      <c r="AA290" s="4" cm="1">
        <f t="array" ref="AA290">INDEX(GMW!$A$2:$NF$60,MATCH(1,(GMW!$NE$2:$NE$60=AA$3)*(GMW!$ND$2:$ND$60=AA$4)*(GMW!$NF$2:$NF$60=AA$1),0),$F290-1966)</f>
        <v>5560349</v>
      </c>
      <c r="AB290" s="4" cm="1">
        <f t="array" ref="AB290">INDEX(GMW!$A$2:$NF$60,MATCH(1,(GMW!$NE$2:$NE$60=AB$3)*(GMW!$ND$2:$ND$60=AB$4)*(GMW!$NF$2:$NF$60=AB$1),0),$F290-1966)</f>
        <v>1465993</v>
      </c>
      <c r="AC290" s="4" cm="1">
        <f t="array" ref="AC290">INDEX(GMW!$A$2:$NF$60,MATCH(1,(GMW!$NE$2:$NE$60=AC$3)*(GMW!$ND$2:$ND$60=AC$4)*(GMW!$NF$2:$NF$60=AC$1),0),$F290-1966)</f>
        <v>15103.79</v>
      </c>
      <c r="AD290" s="4" cm="1">
        <f t="array" ref="AD290">INDEX(GMW!$A$2:$NF$60,MATCH(1,(GMW!$NE$2:$NE$60=AD$3)*(GMW!$ND$2:$ND$60=AD$4)*(GMW!$NF$2:$NF$60=AD$1),0),$F290-1966)</f>
        <v>199059.5</v>
      </c>
      <c r="AE290" s="4" cm="1">
        <f t="array" ref="AE290">INDEX(GMW!$A$2:$NF$60,MATCH(1,(GMW!$NE$2:$NE$60=AE$3)*(GMW!$ND$2:$ND$60=AE$4)*(GMW!$NF$2:$NF$60=AE$1),0),$F290-1966)</f>
        <v>1985.3140000000001</v>
      </c>
      <c r="AF290" s="4" cm="1">
        <f t="array" ref="AF290">INDEX(GMW!$A$2:$NF$60,MATCH(1,(GMW!$NE$2:$NE$60=AF$3)*(GMW!$ND$2:$ND$60=AF$4)*(GMW!$NF$2:$NF$60=AF$1),0),$F290-1966)</f>
        <v>1261.3440000000001</v>
      </c>
      <c r="AG290" s="4" cm="1">
        <f t="array" ref="AG290">INDEX(GMW!$A$2:$NF$60,MATCH(1,(GMW!$NE$2:$NE$60=AG$3)*(GMW!$ND$2:$ND$60=AG$4)*(GMW!$NF$2:$NF$60=AG$1),0),$F290-1966)</f>
        <v>845.90189999999996</v>
      </c>
      <c r="AH290" s="4" cm="1">
        <f t="array" ref="AH290">INDEX(GMW!$A$2:$NF$60,MATCH(1,(GMW!$NE$2:$NE$60=AH$3)*(GMW!$ND$2:$ND$60=AH$4)*(GMW!$NF$2:$NF$60=AH$1),0),$F290-1966)</f>
        <v>1595184</v>
      </c>
    </row>
    <row r="291" spans="1:34" x14ac:dyDescent="0.25">
      <c r="A291" s="4">
        <v>2044</v>
      </c>
      <c r="B291" s="4">
        <f t="shared" si="94"/>
        <v>2044</v>
      </c>
      <c r="C291" s="4">
        <f t="shared" si="94"/>
        <v>2043</v>
      </c>
      <c r="D291" s="4">
        <f t="shared" si="94"/>
        <v>2043</v>
      </c>
      <c r="F291" s="4">
        <f t="shared" si="80"/>
        <v>2257</v>
      </c>
      <c r="G291" s="4" cm="1">
        <f t="array" ref="G291">INDEX(GMW!$A$2:$NF$60,MATCH(1,(GMW!$NE$2:$NE$60=G$3)*(GMW!$ND$2:$ND$60=G$4)*(GMW!$NF$2:$NF$60=G$1),0),$F291-1966)</f>
        <v>862425.1</v>
      </c>
      <c r="H291" s="4" cm="1">
        <f t="array" ref="H291">INDEX(GMW!$A$2:$NF$60,MATCH(1,(GMW!$NE$2:$NE$60=H$3)*(GMW!$ND$2:$ND$60=H$4)*(GMW!$NF$2:$NF$60=H$1),0),$F291-1966)</f>
        <v>8406.2649999999994</v>
      </c>
      <c r="I291" s="4" cm="1">
        <f t="array" ref="I291">INDEX(GMW!$A$2:$NF$60,MATCH(1,(GMW!$NE$2:$NE$60=I$3)*(GMW!$ND$2:$ND$60=I$4)*(GMW!$NF$2:$NF$60=I$1),0),$F291-1966)</f>
        <v>139139.9</v>
      </c>
      <c r="J291" s="4" cm="1">
        <f t="array" ref="J291">INDEX(GMW!$A$2:$NF$60,MATCH(1,(GMW!$NE$2:$NE$60=J$3)*(GMW!$ND$2:$ND$60=J$4)*(GMW!$NF$2:$NF$60=J$1),0),$F291-1966)</f>
        <v>1087.7460000000001</v>
      </c>
      <c r="K291" s="4" cm="1">
        <f t="array" ref="K291">INDEX(GMW!$A$2:$NF$60,MATCH(1,(GMW!$NE$2:$NE$60=K$3)*(GMW!$ND$2:$ND$60=K$4)*(GMW!$NF$2:$NF$60=K$1),0),$F291-1966)</f>
        <v>768.28229999999996</v>
      </c>
      <c r="L291" s="4" cm="1">
        <f t="array" ref="L291">INDEX(GMW!$A$2:$NF$60,MATCH(1,(GMW!$NE$2:$NE$60=L$3)*(GMW!$ND$2:$ND$60=L$4)*(GMW!$NF$2:$NF$60=L$1),0),$F291-1966)</f>
        <v>518.26239999999996</v>
      </c>
      <c r="M291" s="4" cm="1">
        <f t="array" ref="M291">INDEX(GMW!$A$2:$NF$60,MATCH(1,(GMW!$NE$2:$NE$60=M$3)*(GMW!$ND$2:$ND$60=M$4)*(GMW!$NF$2:$NF$60=M$1),0),$F291-1966)</f>
        <v>876239.5</v>
      </c>
      <c r="N291" s="4" cm="1">
        <f t="array" ref="N291">INDEX(GMW!$A$2:$NF$60,MATCH(1,(GMW!$NE$2:$NE$60=N$3)*(GMW!$ND$2:$ND$60=N$4)*(GMW!$NF$2:$NF$60=N$1),0),$F291-1966)</f>
        <v>-4179.625</v>
      </c>
      <c r="O291" s="4" cm="1">
        <f t="array" ref="O291">INDEX(GMW!$A$2:$NF$60,MATCH(1,(GMW!$NE$2:$NE$60=O$3)*(GMW!$ND$2:$ND$60=O$4)*(GMW!$NF$2:$NF$60=O$1),0),$F291-1966)</f>
        <v>-1086.9480000000001</v>
      </c>
      <c r="P291" s="4" cm="1">
        <f t="array" ref="P291">INDEX(GMW!$A$2:$NF$60,MATCH(1,(GMW!$NE$2:$NE$60=P$3)*(GMW!$ND$2:$ND$60=P$4)*(GMW!$NF$2:$NF$60=P$1),0),$F291-1966)</f>
        <v>-1861.664</v>
      </c>
      <c r="Q291" s="4" cm="1">
        <f t="array" ref="Q291">INDEX(GMW!$A$2:$NF$60,MATCH(1,(GMW!$NE$2:$NE$60=Q$3)*(GMW!$ND$2:$ND$60=Q$4)*(GMW!$NF$2:$NF$60=Q$1),0),$F291-1966)</f>
        <v>-28.560420000000001</v>
      </c>
      <c r="R291" s="4" cm="1">
        <f t="array" ref="R291">INDEX(GMW!$A$2:$NF$60,MATCH(1,(GMW!$NE$2:$NE$60=R$3)*(GMW!$ND$2:$ND$60=R$4)*(GMW!$NF$2:$NF$60=R$1),0),$F291-1966)</f>
        <v>-41.884219999999999</v>
      </c>
      <c r="S291" s="4" cm="1">
        <f t="array" ref="S291">INDEX(GMW!$A$2:$NF$60,MATCH(1,(GMW!$NE$2:$NE$60=S$3)*(GMW!$ND$2:$ND$60=S$4)*(GMW!$NF$2:$NF$60=S$1),0),$F291-1966)</f>
        <v>-15.09201</v>
      </c>
      <c r="T291" s="4" cm="1">
        <f t="array" ref="T291">INDEX(GMW!$A$2:$NF$60,MATCH(1,(GMW!$NE$2:$NE$60=T$3)*(GMW!$ND$2:$ND$60=T$4)*(GMW!$NF$2:$NF$60=T$1),0),$F291-1966)</f>
        <v>-38052.81</v>
      </c>
      <c r="U291" s="4" cm="1">
        <f t="array" ref="U291">INDEX(GMW!$A$2:$NF$60,MATCH(1,(GMW!$NE$2:$NE$60=U$3)*(GMW!$ND$2:$ND$60=U$4)*(GMW!$NF$2:$NF$60=U$1),0),$F291-1966)</f>
        <v>5782330</v>
      </c>
      <c r="V291" s="4" cm="1">
        <f t="array" ref="V291">INDEX(GMW!$A$2:$NF$60,MATCH(1,(GMW!$NE$2:$NE$60=V$3)*(GMW!$ND$2:$ND$60=V$4)*(GMW!$NF$2:$NF$60=V$1),0),$F291-1966)</f>
        <v>107283.6</v>
      </c>
      <c r="W291" s="4" cm="1">
        <f t="array" ref="W291">INDEX(GMW!$A$2:$NF$60,MATCH(1,(GMW!$NE$2:$NE$60=W$3)*(GMW!$ND$2:$ND$60=W$4)*(GMW!$NF$2:$NF$60=W$1),0),$F291-1966)</f>
        <v>1597817</v>
      </c>
      <c r="X291" s="4" cm="1">
        <f t="array" ref="X291">INDEX(GMW!$A$2:$NF$60,MATCH(1,(GMW!$NE$2:$NE$60=X$3)*(GMW!$ND$2:$ND$60=X$4)*(GMW!$NF$2:$NF$60=X$1),0),$F291-1966)</f>
        <v>4836.2079999999996</v>
      </c>
      <c r="Y291" s="4" cm="1">
        <f t="array" ref="Y291">INDEX(GMW!$A$2:$NF$60,MATCH(1,(GMW!$NE$2:$NE$60=Y$3)*(GMW!$ND$2:$ND$60=Y$4)*(GMW!$NF$2:$NF$60=Y$1),0),$F291-1966)</f>
        <v>6552.2650000000003</v>
      </c>
      <c r="Z291" s="4" cm="1">
        <f t="array" ref="Z291">INDEX(GMW!$A$2:$NF$60,MATCH(1,(GMW!$NE$2:$NE$60=Z$3)*(GMW!$ND$2:$ND$60=Z$4)*(GMW!$NF$2:$NF$60=Z$1),0),$F291-1966)</f>
        <v>4525.616</v>
      </c>
      <c r="AA291" s="4" cm="1">
        <f t="array" ref="AA291">INDEX(GMW!$A$2:$NF$60,MATCH(1,(GMW!$NE$2:$NE$60=AA$3)*(GMW!$ND$2:$ND$60=AA$4)*(GMW!$NF$2:$NF$60=AA$1),0),$F291-1966)</f>
        <v>5598402</v>
      </c>
      <c r="AB291" s="4" cm="1">
        <f t="array" ref="AB291">INDEX(GMW!$A$2:$NF$60,MATCH(1,(GMW!$NE$2:$NE$60=AB$3)*(GMW!$ND$2:$ND$60=AB$4)*(GMW!$NF$2:$NF$60=AB$1),0),$F291-1966)</f>
        <v>1479585</v>
      </c>
      <c r="AC291" s="4" cm="1">
        <f t="array" ref="AC291">INDEX(GMW!$A$2:$NF$60,MATCH(1,(GMW!$NE$2:$NE$60=AC$3)*(GMW!$ND$2:$ND$60=AC$4)*(GMW!$NF$2:$NF$60=AC$1),0),$F291-1966)</f>
        <v>15237.83</v>
      </c>
      <c r="AD291" s="4" cm="1">
        <f t="array" ref="AD291">INDEX(GMW!$A$2:$NF$60,MATCH(1,(GMW!$NE$2:$NE$60=AD$3)*(GMW!$ND$2:$ND$60=AD$4)*(GMW!$NF$2:$NF$60=AD$1),0),$F291-1966)</f>
        <v>199726.3</v>
      </c>
      <c r="AE291" s="4" cm="1">
        <f t="array" ref="AE291">INDEX(GMW!$A$2:$NF$60,MATCH(1,(GMW!$NE$2:$NE$60=AE$3)*(GMW!$ND$2:$ND$60=AE$4)*(GMW!$NF$2:$NF$60=AE$1),0),$F291-1966)</f>
        <v>1999.806</v>
      </c>
      <c r="AF291" s="4" cm="1">
        <f t="array" ref="AF291">INDEX(GMW!$A$2:$NF$60,MATCH(1,(GMW!$NE$2:$NE$60=AF$3)*(GMW!$ND$2:$ND$60=AF$4)*(GMW!$NF$2:$NF$60=AF$1),0),$F291-1966)</f>
        <v>1269.212</v>
      </c>
      <c r="AG291" s="4" cm="1">
        <f t="array" ref="AG291">INDEX(GMW!$A$2:$NF$60,MATCH(1,(GMW!$NE$2:$NE$60=AG$3)*(GMW!$ND$2:$ND$60=AG$4)*(GMW!$NF$2:$NF$60=AG$1),0),$F291-1966)</f>
        <v>850.33190000000002</v>
      </c>
      <c r="AH291" s="4" cm="1">
        <f t="array" ref="AH291">INDEX(GMW!$A$2:$NF$60,MATCH(1,(GMW!$NE$2:$NE$60=AH$3)*(GMW!$ND$2:$ND$60=AH$4)*(GMW!$NF$2:$NF$60=AH$1),0),$F291-1966)</f>
        <v>1610735</v>
      </c>
    </row>
    <row r="292" spans="1:34" x14ac:dyDescent="0.25">
      <c r="B292" s="4">
        <f t="shared" si="94"/>
        <v>2044</v>
      </c>
      <c r="C292" s="4">
        <f t="shared" si="94"/>
        <v>2044</v>
      </c>
      <c r="F292" s="4">
        <f t="shared" si="80"/>
        <v>2258</v>
      </c>
      <c r="G292" s="4" cm="1">
        <f t="array" ref="G292">INDEX(GMW!$A$2:$NF$60,MATCH(1,(GMW!$NE$2:$NE$60=G$3)*(GMW!$ND$2:$ND$60=G$4)*(GMW!$NF$2:$NF$60=G$1),0),$F292-1966)</f>
        <v>865789.1</v>
      </c>
      <c r="H292" s="4" cm="1">
        <f t="array" ref="H292">INDEX(GMW!$A$2:$NF$60,MATCH(1,(GMW!$NE$2:$NE$60=H$3)*(GMW!$ND$2:$ND$60=H$4)*(GMW!$NF$2:$NF$60=H$1),0),$F292-1966)</f>
        <v>8441.3070000000007</v>
      </c>
      <c r="I292" s="4" cm="1">
        <f t="array" ref="I292">INDEX(GMW!$A$2:$NF$60,MATCH(1,(GMW!$NE$2:$NE$60=I$3)*(GMW!$ND$2:$ND$60=I$4)*(GMW!$NF$2:$NF$60=I$1),0),$F292-1966)</f>
        <v>139093.5</v>
      </c>
      <c r="J292" s="4" cm="1">
        <f t="array" ref="J292">INDEX(GMW!$A$2:$NF$60,MATCH(1,(GMW!$NE$2:$NE$60=J$3)*(GMW!$ND$2:$ND$60=J$4)*(GMW!$NF$2:$NF$60=J$1),0),$F292-1966)</f>
        <v>1090.279</v>
      </c>
      <c r="K292" s="4" cm="1">
        <f t="array" ref="K292">INDEX(GMW!$A$2:$NF$60,MATCH(1,(GMW!$NE$2:$NE$60=K$3)*(GMW!$ND$2:$ND$60=K$4)*(GMW!$NF$2:$NF$60=K$1),0),$F292-1966)</f>
        <v>769.16470000000004</v>
      </c>
      <c r="L292" s="4" cm="1">
        <f t="array" ref="L292">INDEX(GMW!$A$2:$NF$60,MATCH(1,(GMW!$NE$2:$NE$60=L$3)*(GMW!$ND$2:$ND$60=L$4)*(GMW!$NF$2:$NF$60=L$1),0),$F292-1966)</f>
        <v>518.41049999999996</v>
      </c>
      <c r="M292" s="4" cm="1">
        <f t="array" ref="M292">INDEX(GMW!$A$2:$NF$60,MATCH(1,(GMW!$NE$2:$NE$60=M$3)*(GMW!$ND$2:$ND$60=M$4)*(GMW!$NF$2:$NF$60=M$1),0),$F292-1966)</f>
        <v>880463.9</v>
      </c>
      <c r="N292" s="4" cm="1">
        <f t="array" ref="N292">INDEX(GMW!$A$2:$NF$60,MATCH(1,(GMW!$NE$2:$NE$60=N$3)*(GMW!$ND$2:$ND$60=N$4)*(GMW!$NF$2:$NF$60=N$1),0),$F292-1966)</f>
        <v>-95923.44</v>
      </c>
      <c r="O292" s="4" cm="1">
        <f t="array" ref="O292">INDEX(GMW!$A$2:$NF$60,MATCH(1,(GMW!$NE$2:$NE$60=O$3)*(GMW!$ND$2:$ND$60=O$4)*(GMW!$NF$2:$NF$60=O$1),0),$F292-1966)</f>
        <v>-1089.7329999999999</v>
      </c>
      <c r="P292" s="4" cm="1">
        <f t="array" ref="P292">INDEX(GMW!$A$2:$NF$60,MATCH(1,(GMW!$NE$2:$NE$60=P$3)*(GMW!$ND$2:$ND$60=P$4)*(GMW!$NF$2:$NF$60=P$1),0),$F292-1966)</f>
        <v>-1867.8979999999999</v>
      </c>
      <c r="Q292" s="4" cm="1">
        <f t="array" ref="Q292">INDEX(GMW!$A$2:$NF$60,MATCH(1,(GMW!$NE$2:$NE$60=Q$3)*(GMW!$ND$2:$ND$60=Q$4)*(GMW!$NF$2:$NF$60=Q$1),0),$F292-1966)</f>
        <v>-28.763000000000002</v>
      </c>
      <c r="R292" s="4" cm="1">
        <f t="array" ref="R292">INDEX(GMW!$A$2:$NF$60,MATCH(1,(GMW!$NE$2:$NE$60=R$3)*(GMW!$ND$2:$ND$60=R$4)*(GMW!$NF$2:$NF$60=R$1),0),$F292-1966)</f>
        <v>-42.142330000000001</v>
      </c>
      <c r="S292" s="4" cm="1">
        <f t="array" ref="S292">INDEX(GMW!$A$2:$NF$60,MATCH(1,(GMW!$NE$2:$NE$60=S$3)*(GMW!$ND$2:$ND$60=S$4)*(GMW!$NF$2:$NF$60=S$1),0),$F292-1966)</f>
        <v>-15.171049999999999</v>
      </c>
      <c r="T292" s="4" cm="1">
        <f t="array" ref="T292">INDEX(GMW!$A$2:$NF$60,MATCH(1,(GMW!$NE$2:$NE$60=T$3)*(GMW!$ND$2:$ND$60=T$4)*(GMW!$NF$2:$NF$60=T$1),0),$F292-1966)</f>
        <v>-38501.879999999997</v>
      </c>
      <c r="U292" s="4" cm="1">
        <f t="array" ref="U292">INDEX(GMW!$A$2:$NF$60,MATCH(1,(GMW!$NE$2:$NE$60=U$3)*(GMW!$ND$2:$ND$60=U$4)*(GMW!$NF$2:$NF$60=U$1),0),$F292-1966)</f>
        <v>5878254</v>
      </c>
      <c r="V292" s="4" cm="1">
        <f t="array" ref="V292">INDEX(GMW!$A$2:$NF$60,MATCH(1,(GMW!$NE$2:$NE$60=V$3)*(GMW!$ND$2:$ND$60=V$4)*(GMW!$NF$2:$NF$60=V$1),0),$F292-1966)</f>
        <v>108373.3</v>
      </c>
      <c r="W292" s="4" cm="1">
        <f t="array" ref="W292">INDEX(GMW!$A$2:$NF$60,MATCH(1,(GMW!$NE$2:$NE$60=W$3)*(GMW!$ND$2:$ND$60=W$4)*(GMW!$NF$2:$NF$60=W$1),0),$F292-1966)</f>
        <v>1599685</v>
      </c>
      <c r="X292" s="4" cm="1">
        <f t="array" ref="X292">INDEX(GMW!$A$2:$NF$60,MATCH(1,(GMW!$NE$2:$NE$60=X$3)*(GMW!$ND$2:$ND$60=X$4)*(GMW!$NF$2:$NF$60=X$1),0),$F292-1966)</f>
        <v>4864.9719999999998</v>
      </c>
      <c r="Y292" s="4" cm="1">
        <f t="array" ref="Y292">INDEX(GMW!$A$2:$NF$60,MATCH(1,(GMW!$NE$2:$NE$60=Y$3)*(GMW!$ND$2:$ND$60=Y$4)*(GMW!$NF$2:$NF$60=Y$1),0),$F292-1966)</f>
        <v>6594.4070000000002</v>
      </c>
      <c r="Z292" s="4" cm="1">
        <f t="array" ref="Z292">INDEX(GMW!$A$2:$NF$60,MATCH(1,(GMW!$NE$2:$NE$60=Z$3)*(GMW!$ND$2:$ND$60=Z$4)*(GMW!$NF$2:$NF$60=Z$1),0),$F292-1966)</f>
        <v>4540.7870000000003</v>
      </c>
      <c r="AA292" s="4" cm="1">
        <f t="array" ref="AA292">INDEX(GMW!$A$2:$NF$60,MATCH(1,(GMW!$NE$2:$NE$60=AA$3)*(GMW!$ND$2:$ND$60=AA$4)*(GMW!$NF$2:$NF$60=AA$1),0),$F292-1966)</f>
        <v>5636904</v>
      </c>
      <c r="AB292" s="4" cm="1">
        <f t="array" ref="AB292">INDEX(GMW!$A$2:$NF$60,MATCH(1,(GMW!$NE$2:$NE$60=AB$3)*(GMW!$ND$2:$ND$60=AB$4)*(GMW!$NF$2:$NF$60=AB$1),0),$F292-1966)</f>
        <v>1493303</v>
      </c>
      <c r="AC292" s="4" cm="1">
        <f t="array" ref="AC292">INDEX(GMW!$A$2:$NF$60,MATCH(1,(GMW!$NE$2:$NE$60=AC$3)*(GMW!$ND$2:$ND$60=AC$4)*(GMW!$NF$2:$NF$60=AC$1),0),$F292-1966)</f>
        <v>15372.92</v>
      </c>
      <c r="AD292" s="4" cm="1">
        <f t="array" ref="AD292">INDEX(GMW!$A$2:$NF$60,MATCH(1,(GMW!$NE$2:$NE$60=AD$3)*(GMW!$ND$2:$ND$60=AD$4)*(GMW!$NF$2:$NF$60=AD$1),0),$F292-1966)</f>
        <v>200396.4</v>
      </c>
      <c r="AE292" s="4" cm="1">
        <f t="array" ref="AE292">INDEX(GMW!$A$2:$NF$60,MATCH(1,(GMW!$NE$2:$NE$60=AE$3)*(GMW!$ND$2:$ND$60=AE$4)*(GMW!$NF$2:$NF$60=AE$1),0),$F292-1966)</f>
        <v>2014.4059999999999</v>
      </c>
      <c r="AF292" s="4" cm="1">
        <f t="array" ref="AF292">INDEX(GMW!$A$2:$NF$60,MATCH(1,(GMW!$NE$2:$NE$60=AF$3)*(GMW!$ND$2:$ND$60=AF$4)*(GMW!$NF$2:$NF$60=AF$1),0),$F292-1966)</f>
        <v>1277.001</v>
      </c>
      <c r="AG292" s="4" cm="1">
        <f t="array" ref="AG292">INDEX(GMW!$A$2:$NF$60,MATCH(1,(GMW!$NE$2:$NE$60=AG$3)*(GMW!$ND$2:$ND$60=AG$4)*(GMW!$NF$2:$NF$60=AG$1),0),$F292-1966)</f>
        <v>854.80989999999997</v>
      </c>
      <c r="AH292" s="4" cm="1">
        <f t="array" ref="AH292">INDEX(GMW!$A$2:$NF$60,MATCH(1,(GMW!$NE$2:$NE$60=AH$3)*(GMW!$ND$2:$ND$60=AH$4)*(GMW!$NF$2:$NF$60=AH$1),0),$F292-1966)</f>
        <v>1626356</v>
      </c>
    </row>
    <row r="293" spans="1:34" x14ac:dyDescent="0.25">
      <c r="B293" s="4">
        <f t="shared" si="94"/>
        <v>2044</v>
      </c>
      <c r="C293" s="4">
        <f t="shared" si="94"/>
        <v>2044</v>
      </c>
      <c r="F293" s="4">
        <f t="shared" si="80"/>
        <v>2259</v>
      </c>
      <c r="G293" s="4" cm="1">
        <f t="array" ref="G293">INDEX(GMW!$A$2:$NF$60,MATCH(1,(GMW!$NE$2:$NE$60=G$3)*(GMW!$ND$2:$ND$60=G$4)*(GMW!$NF$2:$NF$60=G$1),0),$F293-1966)</f>
        <v>869008.4</v>
      </c>
      <c r="H293" s="4" cm="1">
        <f t="array" ref="H293">INDEX(GMW!$A$2:$NF$60,MATCH(1,(GMW!$NE$2:$NE$60=H$3)*(GMW!$ND$2:$ND$60=H$4)*(GMW!$NF$2:$NF$60=H$1),0),$F293-1966)</f>
        <v>8476.375</v>
      </c>
      <c r="I293" s="4" cm="1">
        <f t="array" ref="I293">INDEX(GMW!$A$2:$NF$60,MATCH(1,(GMW!$NE$2:$NE$60=I$3)*(GMW!$ND$2:$ND$60=I$4)*(GMW!$NF$2:$NF$60=I$1),0),$F293-1966)</f>
        <v>139054</v>
      </c>
      <c r="J293" s="4" cm="1">
        <f t="array" ref="J293">INDEX(GMW!$A$2:$NF$60,MATCH(1,(GMW!$NE$2:$NE$60=J$3)*(GMW!$ND$2:$ND$60=J$4)*(GMW!$NF$2:$NF$60=J$1),0),$F293-1966)</f>
        <v>1092.82</v>
      </c>
      <c r="K293" s="4" cm="1">
        <f t="array" ref="K293">INDEX(GMW!$A$2:$NF$60,MATCH(1,(GMW!$NE$2:$NE$60=K$3)*(GMW!$ND$2:$ND$60=K$4)*(GMW!$NF$2:$NF$60=K$1),0),$F293-1966)</f>
        <v>770.16049999999996</v>
      </c>
      <c r="L293" s="4" cm="1">
        <f t="array" ref="L293">INDEX(GMW!$A$2:$NF$60,MATCH(1,(GMW!$NE$2:$NE$60=L$3)*(GMW!$ND$2:$ND$60=L$4)*(GMW!$NF$2:$NF$60=L$1),0),$F293-1966)</f>
        <v>518.55449999999996</v>
      </c>
      <c r="M293" s="4" cm="1">
        <f t="array" ref="M293">INDEX(GMW!$A$2:$NF$60,MATCH(1,(GMW!$NE$2:$NE$60=M$3)*(GMW!$ND$2:$ND$60=M$4)*(GMW!$NF$2:$NF$60=M$1),0),$F293-1966)</f>
        <v>884663.5</v>
      </c>
      <c r="N293" s="4" cm="1">
        <f t="array" ref="N293">INDEX(GMW!$A$2:$NF$60,MATCH(1,(GMW!$NE$2:$NE$60=N$3)*(GMW!$ND$2:$ND$60=N$4)*(GMW!$NF$2:$NF$60=N$1),0),$F293-1966)</f>
        <v>-51755.44</v>
      </c>
      <c r="O293" s="4" cm="1">
        <f t="array" ref="O293">INDEX(GMW!$A$2:$NF$60,MATCH(1,(GMW!$NE$2:$NE$60=O$3)*(GMW!$ND$2:$ND$60=O$4)*(GMW!$NF$2:$NF$60=O$1),0),$F293-1966)</f>
        <v>-1092.4580000000001</v>
      </c>
      <c r="P293" s="4" cm="1">
        <f t="array" ref="P293">INDEX(GMW!$A$2:$NF$60,MATCH(1,(GMW!$NE$2:$NE$60=P$3)*(GMW!$ND$2:$ND$60=P$4)*(GMW!$NF$2:$NF$60=P$1),0),$F293-1966)</f>
        <v>-1874.164</v>
      </c>
      <c r="Q293" s="4" cm="1">
        <f t="array" ref="Q293">INDEX(GMW!$A$2:$NF$60,MATCH(1,(GMW!$NE$2:$NE$60=Q$3)*(GMW!$ND$2:$ND$60=Q$4)*(GMW!$NF$2:$NF$60=Q$1),0),$F293-1966)</f>
        <v>-28.966799999999999</v>
      </c>
      <c r="R293" s="4" cm="1">
        <f t="array" ref="R293">INDEX(GMW!$A$2:$NF$60,MATCH(1,(GMW!$NE$2:$NE$60=R$3)*(GMW!$ND$2:$ND$60=R$4)*(GMW!$NF$2:$NF$60=R$1),0),$F293-1966)</f>
        <v>-42.403199999999998</v>
      </c>
      <c r="S293" s="4" cm="1">
        <f t="array" ref="S293">INDEX(GMW!$A$2:$NF$60,MATCH(1,(GMW!$NE$2:$NE$60=S$3)*(GMW!$ND$2:$ND$60=S$4)*(GMW!$NF$2:$NF$60=S$1),0),$F293-1966)</f>
        <v>-15.25095</v>
      </c>
      <c r="T293" s="4" cm="1">
        <f t="array" ref="T293">INDEX(GMW!$A$2:$NF$60,MATCH(1,(GMW!$NE$2:$NE$60=T$3)*(GMW!$ND$2:$ND$60=T$4)*(GMW!$NF$2:$NF$60=T$1),0),$F293-1966)</f>
        <v>-38823.06</v>
      </c>
      <c r="U293" s="4" cm="1">
        <f t="array" ref="U293">INDEX(GMW!$A$2:$NF$60,MATCH(1,(GMW!$NE$2:$NE$60=U$3)*(GMW!$ND$2:$ND$60=U$4)*(GMW!$NF$2:$NF$60=U$1),0),$F293-1966)</f>
        <v>5930009</v>
      </c>
      <c r="V293" s="4" cm="1">
        <f t="array" ref="V293">INDEX(GMW!$A$2:$NF$60,MATCH(1,(GMW!$NE$2:$NE$60=V$3)*(GMW!$ND$2:$ND$60=V$4)*(GMW!$NF$2:$NF$60=V$1),0),$F293-1966)</f>
        <v>109465.8</v>
      </c>
      <c r="W293" s="4" cm="1">
        <f t="array" ref="W293">INDEX(GMW!$A$2:$NF$60,MATCH(1,(GMW!$NE$2:$NE$60=W$3)*(GMW!$ND$2:$ND$60=W$4)*(GMW!$NF$2:$NF$60=W$1),0),$F293-1966)</f>
        <v>1601559</v>
      </c>
      <c r="X293" s="4" cm="1">
        <f t="array" ref="X293">INDEX(GMW!$A$2:$NF$60,MATCH(1,(GMW!$NE$2:$NE$60=X$3)*(GMW!$ND$2:$ND$60=X$4)*(GMW!$NF$2:$NF$60=X$1),0),$F293-1966)</f>
        <v>4893.9380000000001</v>
      </c>
      <c r="Y293" s="4" cm="1">
        <f t="array" ref="Y293">INDEX(GMW!$A$2:$NF$60,MATCH(1,(GMW!$NE$2:$NE$60=Y$3)*(GMW!$ND$2:$ND$60=Y$4)*(GMW!$NF$2:$NF$60=Y$1),0),$F293-1966)</f>
        <v>6636.8109999999997</v>
      </c>
      <c r="Z293" s="4" cm="1">
        <f t="array" ref="Z293">INDEX(GMW!$A$2:$NF$60,MATCH(1,(GMW!$NE$2:$NE$60=Z$3)*(GMW!$ND$2:$ND$60=Z$4)*(GMW!$NF$2:$NF$60=Z$1),0),$F293-1966)</f>
        <v>4556.0379999999996</v>
      </c>
      <c r="AA293" s="4" cm="1">
        <f t="array" ref="AA293">INDEX(GMW!$A$2:$NF$60,MATCH(1,(GMW!$NE$2:$NE$60=AA$3)*(GMW!$ND$2:$ND$60=AA$4)*(GMW!$NF$2:$NF$60=AA$1),0),$F293-1966)</f>
        <v>5675727</v>
      </c>
      <c r="AB293" s="4" cm="1">
        <f t="array" ref="AB293">INDEX(GMW!$A$2:$NF$60,MATCH(1,(GMW!$NE$2:$NE$60=AB$3)*(GMW!$ND$2:$ND$60=AB$4)*(GMW!$NF$2:$NF$60=AB$1),0),$F293-1966)</f>
        <v>1506875</v>
      </c>
      <c r="AC293" s="4" cm="1">
        <f t="array" ref="AC293">INDEX(GMW!$A$2:$NF$60,MATCH(1,(GMW!$NE$2:$NE$60=AC$3)*(GMW!$ND$2:$ND$60=AC$4)*(GMW!$NF$2:$NF$60=AC$1),0),$F293-1966)</f>
        <v>15509.01</v>
      </c>
      <c r="AD293" s="4" cm="1">
        <f t="array" ref="AD293">INDEX(GMW!$A$2:$NF$60,MATCH(1,(GMW!$NE$2:$NE$60=AD$3)*(GMW!$ND$2:$ND$60=AD$4)*(GMW!$NF$2:$NF$60=AD$1),0),$F293-1966)</f>
        <v>201077</v>
      </c>
      <c r="AE293" s="4" cm="1">
        <f t="array" ref="AE293">INDEX(GMW!$A$2:$NF$60,MATCH(1,(GMW!$NE$2:$NE$60=AE$3)*(GMW!$ND$2:$ND$60=AE$4)*(GMW!$NF$2:$NF$60=AE$1),0),$F293-1966)</f>
        <v>2029.117</v>
      </c>
      <c r="AF293" s="4" cm="1">
        <f t="array" ref="AF293">INDEX(GMW!$A$2:$NF$60,MATCH(1,(GMW!$NE$2:$NE$60=AF$3)*(GMW!$ND$2:$ND$60=AF$4)*(GMW!$NF$2:$NF$60=AF$1),0),$F293-1966)</f>
        <v>1285.027</v>
      </c>
      <c r="AG293" s="4" cm="1">
        <f t="array" ref="AG293">INDEX(GMW!$A$2:$NF$60,MATCH(1,(GMW!$NE$2:$NE$60=AG$3)*(GMW!$ND$2:$ND$60=AG$4)*(GMW!$NF$2:$NF$60=AG$1),0),$F293-1966)</f>
        <v>859.30920000000003</v>
      </c>
      <c r="AH293" s="4" cm="1">
        <f t="array" ref="AH293">INDEX(GMW!$A$2:$NF$60,MATCH(1,(GMW!$NE$2:$NE$60=AH$3)*(GMW!$ND$2:$ND$60=AH$4)*(GMW!$NF$2:$NF$60=AH$1),0),$F293-1966)</f>
        <v>1642045</v>
      </c>
    </row>
    <row r="294" spans="1:34" x14ac:dyDescent="0.25">
      <c r="B294" s="4">
        <f t="shared" si="94"/>
        <v>2044</v>
      </c>
      <c r="C294" s="4">
        <f t="shared" si="94"/>
        <v>2044</v>
      </c>
      <c r="E294" s="4">
        <f t="shared" ref="E294" si="97">+E290+1</f>
        <v>2044</v>
      </c>
      <c r="F294" s="4">
        <f t="shared" si="80"/>
        <v>2260</v>
      </c>
      <c r="G294" s="4" cm="1">
        <f t="array" ref="G294">INDEX(GMW!$A$2:$NF$60,MATCH(1,(GMW!$NE$2:$NE$60=G$3)*(GMW!$ND$2:$ND$60=G$4)*(GMW!$NF$2:$NF$60=G$1),0),$F294-1966)</f>
        <v>872238.2</v>
      </c>
      <c r="H294" s="4" cm="1">
        <f t="array" ref="H294">INDEX(GMW!$A$2:$NF$60,MATCH(1,(GMW!$NE$2:$NE$60=H$3)*(GMW!$ND$2:$ND$60=H$4)*(GMW!$NF$2:$NF$60=H$1),0),$F294-1966)</f>
        <v>8511.6990000000005</v>
      </c>
      <c r="I294" s="4" cm="1">
        <f t="array" ref="I294">INDEX(GMW!$A$2:$NF$60,MATCH(1,(GMW!$NE$2:$NE$60=I$3)*(GMW!$ND$2:$ND$60=I$4)*(GMW!$NF$2:$NF$60=I$1),0),$F294-1966)</f>
        <v>139021.4</v>
      </c>
      <c r="J294" s="4" cm="1">
        <f t="array" ref="J294">INDEX(GMW!$A$2:$NF$60,MATCH(1,(GMW!$NE$2:$NE$60=J$3)*(GMW!$ND$2:$ND$60=J$4)*(GMW!$NF$2:$NF$60=J$1),0),$F294-1966)</f>
        <v>1095.367</v>
      </c>
      <c r="K294" s="4" cm="1">
        <f t="array" ref="K294">INDEX(GMW!$A$2:$NF$60,MATCH(1,(GMW!$NE$2:$NE$60=K$3)*(GMW!$ND$2:$ND$60=K$4)*(GMW!$NF$2:$NF$60=K$1),0),$F294-1966)</f>
        <v>771.2364</v>
      </c>
      <c r="L294" s="4" cm="1">
        <f t="array" ref="L294">INDEX(GMW!$A$2:$NF$60,MATCH(1,(GMW!$NE$2:$NE$60=L$3)*(GMW!$ND$2:$ND$60=L$4)*(GMW!$NF$2:$NF$60=L$1),0),$F294-1966)</f>
        <v>518.69740000000002</v>
      </c>
      <c r="M294" s="4" cm="1">
        <f t="array" ref="M294">INDEX(GMW!$A$2:$NF$60,MATCH(1,(GMW!$NE$2:$NE$60=M$3)*(GMW!$ND$2:$ND$60=M$4)*(GMW!$NF$2:$NF$60=M$1),0),$F294-1966)</f>
        <v>888899.2</v>
      </c>
      <c r="N294" s="4" cm="1">
        <f t="array" ref="N294">INDEX(GMW!$A$2:$NF$60,MATCH(1,(GMW!$NE$2:$NE$60=N$3)*(GMW!$ND$2:$ND$60=N$4)*(GMW!$NF$2:$NF$60=N$1),0),$F294-1966)</f>
        <v>-91187</v>
      </c>
      <c r="O294" s="4" cm="1">
        <f t="array" ref="O294">INDEX(GMW!$A$2:$NF$60,MATCH(1,(GMW!$NE$2:$NE$60=O$3)*(GMW!$ND$2:$ND$60=O$4)*(GMW!$NF$2:$NF$60=O$1),0),$F294-1966)</f>
        <v>-1095.104</v>
      </c>
      <c r="P294" s="4" cm="1">
        <f t="array" ref="P294">INDEX(GMW!$A$2:$NF$60,MATCH(1,(GMW!$NE$2:$NE$60=P$3)*(GMW!$ND$2:$ND$60=P$4)*(GMW!$NF$2:$NF$60=P$1),0),$F294-1966)</f>
        <v>-1880.5309999999999</v>
      </c>
      <c r="Q294" s="4" cm="1">
        <f t="array" ref="Q294">INDEX(GMW!$A$2:$NF$60,MATCH(1,(GMW!$NE$2:$NE$60=Q$3)*(GMW!$ND$2:$ND$60=Q$4)*(GMW!$NF$2:$NF$60=Q$1),0),$F294-1966)</f>
        <v>-29.172419999999999</v>
      </c>
      <c r="R294" s="4" cm="1">
        <f t="array" ref="R294">INDEX(GMW!$A$2:$NF$60,MATCH(1,(GMW!$NE$2:$NE$60=R$3)*(GMW!$ND$2:$ND$60=R$4)*(GMW!$NF$2:$NF$60=R$1),0),$F294-1966)</f>
        <v>-42.67859</v>
      </c>
      <c r="S294" s="4" cm="1">
        <f t="array" ref="S294">INDEX(GMW!$A$2:$NF$60,MATCH(1,(GMW!$NE$2:$NE$60=S$3)*(GMW!$ND$2:$ND$60=S$4)*(GMW!$NF$2:$NF$60=S$1),0),$F294-1966)</f>
        <v>-15.331239999999999</v>
      </c>
      <c r="T294" s="4" cm="1">
        <f t="array" ref="T294">INDEX(GMW!$A$2:$NF$60,MATCH(1,(GMW!$NE$2:$NE$60=T$3)*(GMW!$ND$2:$ND$60=T$4)*(GMW!$NF$2:$NF$60=T$1),0),$F294-1966)</f>
        <v>-39278.69</v>
      </c>
      <c r="U294" s="4" cm="1">
        <f t="array" ref="U294">INDEX(GMW!$A$2:$NF$60,MATCH(1,(GMW!$NE$2:$NE$60=U$3)*(GMW!$ND$2:$ND$60=U$4)*(GMW!$NF$2:$NF$60=U$1),0),$F294-1966)</f>
        <v>6021196</v>
      </c>
      <c r="V294" s="4" cm="1">
        <f t="array" ref="V294">INDEX(GMW!$A$2:$NF$60,MATCH(1,(GMW!$NE$2:$NE$60=V$3)*(GMW!$ND$2:$ND$60=V$4)*(GMW!$NF$2:$NF$60=V$1),0),$F294-1966)</f>
        <v>110560.9</v>
      </c>
      <c r="W294" s="4" cm="1">
        <f t="array" ref="W294">INDEX(GMW!$A$2:$NF$60,MATCH(1,(GMW!$NE$2:$NE$60=W$3)*(GMW!$ND$2:$ND$60=W$4)*(GMW!$NF$2:$NF$60=W$1),0),$F294-1966)</f>
        <v>1603439</v>
      </c>
      <c r="X294" s="4" cm="1">
        <f t="array" ref="X294">INDEX(GMW!$A$2:$NF$60,MATCH(1,(GMW!$NE$2:$NE$60=X$3)*(GMW!$ND$2:$ND$60=X$4)*(GMW!$NF$2:$NF$60=X$1),0),$F294-1966)</f>
        <v>4923.1109999999999</v>
      </c>
      <c r="Y294" s="4" cm="1">
        <f t="array" ref="Y294">INDEX(GMW!$A$2:$NF$60,MATCH(1,(GMW!$NE$2:$NE$60=Y$3)*(GMW!$ND$2:$ND$60=Y$4)*(GMW!$NF$2:$NF$60=Y$1),0),$F294-1966)</f>
        <v>6679.4889999999996</v>
      </c>
      <c r="Z294" s="4" cm="1">
        <f t="array" ref="Z294">INDEX(GMW!$A$2:$NF$60,MATCH(1,(GMW!$NE$2:$NE$60=Z$3)*(GMW!$ND$2:$ND$60=Z$4)*(GMW!$NF$2:$NF$60=Z$1),0),$F294-1966)</f>
        <v>4571.3689999999997</v>
      </c>
      <c r="AA294" s="4" cm="1">
        <f t="array" ref="AA294">INDEX(GMW!$A$2:$NF$60,MATCH(1,(GMW!$NE$2:$NE$60=AA$3)*(GMW!$ND$2:$ND$60=AA$4)*(GMW!$NF$2:$NF$60=AA$1),0),$F294-1966)</f>
        <v>5715006</v>
      </c>
      <c r="AB294" s="4" cm="1">
        <f t="array" ref="AB294">INDEX(GMW!$A$2:$NF$60,MATCH(1,(GMW!$NE$2:$NE$60=AB$3)*(GMW!$ND$2:$ND$60=AB$4)*(GMW!$NF$2:$NF$60=AB$1),0),$F294-1966)</f>
        <v>1520567</v>
      </c>
      <c r="AC294" s="4" cm="1">
        <f t="array" ref="AC294">INDEX(GMW!$A$2:$NF$60,MATCH(1,(GMW!$NE$2:$NE$60=AC$3)*(GMW!$ND$2:$ND$60=AC$4)*(GMW!$NF$2:$NF$60=AC$1),0),$F294-1966)</f>
        <v>15646.49</v>
      </c>
      <c r="AD294" s="4" cm="1">
        <f t="array" ref="AD294">INDEX(GMW!$A$2:$NF$60,MATCH(1,(GMW!$NE$2:$NE$60=AD$3)*(GMW!$ND$2:$ND$60=AD$4)*(GMW!$NF$2:$NF$60=AD$1),0),$F294-1966)</f>
        <v>201767.5</v>
      </c>
      <c r="AE294" s="4" cm="1">
        <f t="array" ref="AE294">INDEX(GMW!$A$2:$NF$60,MATCH(1,(GMW!$NE$2:$NE$60=AE$3)*(GMW!$ND$2:$ND$60=AE$4)*(GMW!$NF$2:$NF$60=AE$1),0),$F294-1966)</f>
        <v>2043.9369999999999</v>
      </c>
      <c r="AF294" s="4" cm="1">
        <f t="array" ref="AF294">INDEX(GMW!$A$2:$NF$60,MATCH(1,(GMW!$NE$2:$NE$60=AF$3)*(GMW!$ND$2:$ND$60=AF$4)*(GMW!$NF$2:$NF$60=AF$1),0),$F294-1966)</f>
        <v>1293.259</v>
      </c>
      <c r="AG294" s="4" cm="1">
        <f t="array" ref="AG294">INDEX(GMW!$A$2:$NF$60,MATCH(1,(GMW!$NE$2:$NE$60=AG$3)*(GMW!$ND$2:$ND$60=AG$4)*(GMW!$NF$2:$NF$60=AG$1),0),$F294-1966)</f>
        <v>863.81590000000006</v>
      </c>
      <c r="AH294" s="4" cm="1">
        <f t="array" ref="AH294">INDEX(GMW!$A$2:$NF$60,MATCH(1,(GMW!$NE$2:$NE$60=AH$3)*(GMW!$ND$2:$ND$60=AH$4)*(GMW!$NF$2:$NF$60=AH$1),0),$F294-1966)</f>
        <v>1657923</v>
      </c>
    </row>
    <row r="295" spans="1:34" x14ac:dyDescent="0.25">
      <c r="A295" s="4">
        <v>2045</v>
      </c>
      <c r="B295" s="4">
        <f t="shared" si="94"/>
        <v>2045</v>
      </c>
      <c r="C295" s="4">
        <f t="shared" si="94"/>
        <v>2044</v>
      </c>
      <c r="D295" s="4">
        <f t="shared" si="94"/>
        <v>2044</v>
      </c>
      <c r="F295" s="4">
        <f t="shared" si="80"/>
        <v>2261</v>
      </c>
      <c r="G295" s="4" cm="1">
        <f t="array" ref="G295">INDEX(GMW!$A$2:$NF$60,MATCH(1,(GMW!$NE$2:$NE$60=G$3)*(GMW!$ND$2:$ND$60=G$4)*(GMW!$NF$2:$NF$60=G$1),0),$F295-1966)</f>
        <v>875478.5</v>
      </c>
      <c r="H295" s="4" cm="1">
        <f t="array" ref="H295">INDEX(GMW!$A$2:$NF$60,MATCH(1,(GMW!$NE$2:$NE$60=H$3)*(GMW!$ND$2:$ND$60=H$4)*(GMW!$NF$2:$NF$60=H$1),0),$F295-1966)</f>
        <v>8546.866</v>
      </c>
      <c r="I295" s="4" cm="1">
        <f t="array" ref="I295">INDEX(GMW!$A$2:$NF$60,MATCH(1,(GMW!$NE$2:$NE$60=I$3)*(GMW!$ND$2:$ND$60=I$4)*(GMW!$NF$2:$NF$60=I$1),0),$F295-1966)</f>
        <v>138994.4</v>
      </c>
      <c r="J295" s="4" cm="1">
        <f t="array" ref="J295">INDEX(GMW!$A$2:$NF$60,MATCH(1,(GMW!$NE$2:$NE$60=J$3)*(GMW!$ND$2:$ND$60=J$4)*(GMW!$NF$2:$NF$60=J$1),0),$F295-1966)</f>
        <v>1097.867</v>
      </c>
      <c r="K295" s="4" cm="1">
        <f t="array" ref="K295">INDEX(GMW!$A$2:$NF$60,MATCH(1,(GMW!$NE$2:$NE$60=K$3)*(GMW!$ND$2:$ND$60=K$4)*(GMW!$NF$2:$NF$60=K$1),0),$F295-1966)</f>
        <v>772.04589999999996</v>
      </c>
      <c r="L295" s="4" cm="1">
        <f t="array" ref="L295">INDEX(GMW!$A$2:$NF$60,MATCH(1,(GMW!$NE$2:$NE$60=L$3)*(GMW!$ND$2:$ND$60=L$4)*(GMW!$NF$2:$NF$60=L$1),0),$F295-1966)</f>
        <v>518.91049999999996</v>
      </c>
      <c r="M295" s="4" cm="1">
        <f t="array" ref="M295">INDEX(GMW!$A$2:$NF$60,MATCH(1,(GMW!$NE$2:$NE$60=M$3)*(GMW!$ND$2:$ND$60=M$4)*(GMW!$NF$2:$NF$60=M$1),0),$F295-1966)</f>
        <v>893105.2</v>
      </c>
      <c r="N295" s="4" cm="1">
        <f t="array" ref="N295">INDEX(GMW!$A$2:$NF$60,MATCH(1,(GMW!$NE$2:$NE$60=N$3)*(GMW!$ND$2:$ND$60=N$4)*(GMW!$NF$2:$NF$60=N$1),0),$F295-1966)</f>
        <v>-4355</v>
      </c>
      <c r="O295" s="4" cm="1">
        <f t="array" ref="O295">INDEX(GMW!$A$2:$NF$60,MATCH(1,(GMW!$NE$2:$NE$60=O$3)*(GMW!$ND$2:$ND$60=O$4)*(GMW!$NF$2:$NF$60=O$1),0),$F295-1966)</f>
        <v>-1097.6780000000001</v>
      </c>
      <c r="P295" s="4" cm="1">
        <f t="array" ref="P295">INDEX(GMW!$A$2:$NF$60,MATCH(1,(GMW!$NE$2:$NE$60=P$3)*(GMW!$ND$2:$ND$60=P$4)*(GMW!$NF$2:$NF$60=P$1),0),$F295-1966)</f>
        <v>-1886.9839999999999</v>
      </c>
      <c r="Q295" s="4" cm="1">
        <f t="array" ref="Q295">INDEX(GMW!$A$2:$NF$60,MATCH(1,(GMW!$NE$2:$NE$60=Q$3)*(GMW!$ND$2:$ND$60=Q$4)*(GMW!$NF$2:$NF$60=Q$1),0),$F295-1966)</f>
        <v>-29.37677</v>
      </c>
      <c r="R295" s="4" cm="1">
        <f t="array" ref="R295">INDEX(GMW!$A$2:$NF$60,MATCH(1,(GMW!$NE$2:$NE$60=R$3)*(GMW!$ND$2:$ND$60=R$4)*(GMW!$NF$2:$NF$60=R$1),0),$F295-1966)</f>
        <v>-42.929020000000001</v>
      </c>
      <c r="S295" s="4" cm="1">
        <f t="array" ref="S295">INDEX(GMW!$A$2:$NF$60,MATCH(1,(GMW!$NE$2:$NE$60=S$3)*(GMW!$ND$2:$ND$60=S$4)*(GMW!$NF$2:$NF$60=S$1),0),$F295-1966)</f>
        <v>-15.411619999999999</v>
      </c>
      <c r="T295" s="4" cm="1">
        <f t="array" ref="T295">INDEX(GMW!$A$2:$NF$60,MATCH(1,(GMW!$NE$2:$NE$60=T$3)*(GMW!$ND$2:$ND$60=T$4)*(GMW!$NF$2:$NF$60=T$1),0),$F295-1966)</f>
        <v>-39790.94</v>
      </c>
      <c r="U295" s="4" cm="1">
        <f t="array" ref="U295">INDEX(GMW!$A$2:$NF$60,MATCH(1,(GMW!$NE$2:$NE$60=U$3)*(GMW!$ND$2:$ND$60=U$4)*(GMW!$NF$2:$NF$60=U$1),0),$F295-1966)</f>
        <v>6025551</v>
      </c>
      <c r="V295" s="4" cm="1">
        <f t="array" ref="V295">INDEX(GMW!$A$2:$NF$60,MATCH(1,(GMW!$NE$2:$NE$60=V$3)*(GMW!$ND$2:$ND$60=V$4)*(GMW!$NF$2:$NF$60=V$1),0),$F295-1966)</f>
        <v>111658.6</v>
      </c>
      <c r="W295" s="4" cm="1">
        <f t="array" ref="W295">INDEX(GMW!$A$2:$NF$60,MATCH(1,(GMW!$NE$2:$NE$60=W$3)*(GMW!$ND$2:$ND$60=W$4)*(GMW!$NF$2:$NF$60=W$1),0),$F295-1966)</f>
        <v>1605326</v>
      </c>
      <c r="X295" s="4" cm="1">
        <f t="array" ref="X295">INDEX(GMW!$A$2:$NF$60,MATCH(1,(GMW!$NE$2:$NE$60=X$3)*(GMW!$ND$2:$ND$60=X$4)*(GMW!$NF$2:$NF$60=X$1),0),$F295-1966)</f>
        <v>4952.4880000000003</v>
      </c>
      <c r="Y295" s="4" cm="1">
        <f t="array" ref="Y295">INDEX(GMW!$A$2:$NF$60,MATCH(1,(GMW!$NE$2:$NE$60=Y$3)*(GMW!$ND$2:$ND$60=Y$4)*(GMW!$NF$2:$NF$60=Y$1),0),$F295-1966)</f>
        <v>6722.4179999999997</v>
      </c>
      <c r="Z295" s="4" cm="1">
        <f t="array" ref="Z295">INDEX(GMW!$A$2:$NF$60,MATCH(1,(GMW!$NE$2:$NE$60=Z$3)*(GMW!$ND$2:$ND$60=Z$4)*(GMW!$NF$2:$NF$60=Z$1),0),$F295-1966)</f>
        <v>4586.7809999999999</v>
      </c>
      <c r="AA295" s="4" cm="1">
        <f t="array" ref="AA295">INDEX(GMW!$A$2:$NF$60,MATCH(1,(GMW!$NE$2:$NE$60=AA$3)*(GMW!$ND$2:$ND$60=AA$4)*(GMW!$NF$2:$NF$60=AA$1),0),$F295-1966)</f>
        <v>5754797</v>
      </c>
      <c r="AB295" s="4" cm="1">
        <f t="array" ref="AB295">INDEX(GMW!$A$2:$NF$60,MATCH(1,(GMW!$NE$2:$NE$60=AB$3)*(GMW!$ND$2:$ND$60=AB$4)*(GMW!$NF$2:$NF$60=AB$1),0),$F295-1966)</f>
        <v>1534381</v>
      </c>
      <c r="AC295" s="4" cm="1">
        <f t="array" ref="AC295">INDEX(GMW!$A$2:$NF$60,MATCH(1,(GMW!$NE$2:$NE$60=AC$3)*(GMW!$ND$2:$ND$60=AC$4)*(GMW!$NF$2:$NF$60=AC$1),0),$F295-1966)</f>
        <v>15784.68</v>
      </c>
      <c r="AD295" s="4" cm="1">
        <f t="array" ref="AD295">INDEX(GMW!$A$2:$NF$60,MATCH(1,(GMW!$NE$2:$NE$60=AD$3)*(GMW!$ND$2:$ND$60=AD$4)*(GMW!$NF$2:$NF$60=AD$1),0),$F295-1966)</f>
        <v>202484.5</v>
      </c>
      <c r="AE295" s="4" cm="1">
        <f t="array" ref="AE295">INDEX(GMW!$A$2:$NF$60,MATCH(1,(GMW!$NE$2:$NE$60=AE$3)*(GMW!$ND$2:$ND$60=AE$4)*(GMW!$NF$2:$NF$60=AE$1),0),$F295-1966)</f>
        <v>2058.7640000000001</v>
      </c>
      <c r="AF295" s="4" cm="1">
        <f t="array" ref="AF295">INDEX(GMW!$A$2:$NF$60,MATCH(1,(GMW!$NE$2:$NE$60=AF$3)*(GMW!$ND$2:$ND$60=AF$4)*(GMW!$NF$2:$NF$60=AF$1),0),$F295-1966)</f>
        <v>1300.99</v>
      </c>
      <c r="AG295" s="4" cm="1">
        <f t="array" ref="AG295">INDEX(GMW!$A$2:$NF$60,MATCH(1,(GMW!$NE$2:$NE$60=AG$3)*(GMW!$ND$2:$ND$60=AG$4)*(GMW!$NF$2:$NF$60=AG$1),0),$F295-1966)</f>
        <v>868.44730000000004</v>
      </c>
      <c r="AH295" s="4" cm="1">
        <f t="array" ref="AH295">INDEX(GMW!$A$2:$NF$60,MATCH(1,(GMW!$NE$2:$NE$60=AH$3)*(GMW!$ND$2:$ND$60=AH$4)*(GMW!$NF$2:$NF$60=AH$1),0),$F295-1966)</f>
        <v>1673885</v>
      </c>
    </row>
    <row r="296" spans="1:34" x14ac:dyDescent="0.25">
      <c r="B296" s="4">
        <f t="shared" si="94"/>
        <v>2045</v>
      </c>
      <c r="C296" s="4">
        <f t="shared" si="94"/>
        <v>2045</v>
      </c>
      <c r="F296" s="4">
        <f t="shared" si="80"/>
        <v>2262</v>
      </c>
      <c r="G296" s="4" cm="1">
        <f t="array" ref="G296">INDEX(GMW!$A$2:$NF$60,MATCH(1,(GMW!$NE$2:$NE$60=G$3)*(GMW!$ND$2:$ND$60=G$4)*(GMW!$NF$2:$NF$60=G$1),0),$F296-1966)</f>
        <v>878729.1</v>
      </c>
      <c r="H296" s="4" cm="1">
        <f t="array" ref="H296">INDEX(GMW!$A$2:$NF$60,MATCH(1,(GMW!$NE$2:$NE$60=H$3)*(GMW!$ND$2:$ND$60=H$4)*(GMW!$NF$2:$NF$60=H$1),0),$F296-1966)</f>
        <v>8582.2170000000006</v>
      </c>
      <c r="I296" s="4" cm="1">
        <f t="array" ref="I296">INDEX(GMW!$A$2:$NF$60,MATCH(1,(GMW!$NE$2:$NE$60=I$3)*(GMW!$ND$2:$ND$60=I$4)*(GMW!$NF$2:$NF$60=I$1),0),$F296-1966)</f>
        <v>138971.4</v>
      </c>
      <c r="J296" s="4" cm="1">
        <f t="array" ref="J296">INDEX(GMW!$A$2:$NF$60,MATCH(1,(GMW!$NE$2:$NE$60=J$3)*(GMW!$ND$2:$ND$60=J$4)*(GMW!$NF$2:$NF$60=J$1),0),$F296-1966)</f>
        <v>1100.373</v>
      </c>
      <c r="K296" s="4" cm="1">
        <f t="array" ref="K296">INDEX(GMW!$A$2:$NF$60,MATCH(1,(GMW!$NE$2:$NE$60=K$3)*(GMW!$ND$2:$ND$60=K$4)*(GMW!$NF$2:$NF$60=K$1),0),$F296-1966)</f>
        <v>773.01170000000002</v>
      </c>
      <c r="L296" s="4" cm="1">
        <f t="array" ref="L296">INDEX(GMW!$A$2:$NF$60,MATCH(1,(GMW!$NE$2:$NE$60=L$3)*(GMW!$ND$2:$ND$60=L$4)*(GMW!$NF$2:$NF$60=L$1),0),$F296-1966)</f>
        <v>519.09590000000003</v>
      </c>
      <c r="M296" s="4" cm="1">
        <f t="array" ref="M296">INDEX(GMW!$A$2:$NF$60,MATCH(1,(GMW!$NE$2:$NE$60=M$3)*(GMW!$ND$2:$ND$60=M$4)*(GMW!$NF$2:$NF$60=M$1),0),$F296-1966)</f>
        <v>897313.7</v>
      </c>
      <c r="N296" s="4" cm="1">
        <f t="array" ref="N296">INDEX(GMW!$A$2:$NF$60,MATCH(1,(GMW!$NE$2:$NE$60=N$3)*(GMW!$ND$2:$ND$60=N$4)*(GMW!$NF$2:$NF$60=N$1),0),$F296-1966)</f>
        <v>-99457.31</v>
      </c>
      <c r="O296" s="4" cm="1">
        <f t="array" ref="O296">INDEX(GMW!$A$2:$NF$60,MATCH(1,(GMW!$NE$2:$NE$60=O$3)*(GMW!$ND$2:$ND$60=O$4)*(GMW!$NF$2:$NF$60=O$1),0),$F296-1966)</f>
        <v>-1100.1510000000001</v>
      </c>
      <c r="P296" s="4" cm="1">
        <f t="array" ref="P296">INDEX(GMW!$A$2:$NF$60,MATCH(1,(GMW!$NE$2:$NE$60=P$3)*(GMW!$ND$2:$ND$60=P$4)*(GMW!$NF$2:$NF$60=P$1),0),$F296-1966)</f>
        <v>-1893.6880000000001</v>
      </c>
      <c r="Q296" s="4" cm="1">
        <f t="array" ref="Q296">INDEX(GMW!$A$2:$NF$60,MATCH(1,(GMW!$NE$2:$NE$60=Q$3)*(GMW!$ND$2:$ND$60=Q$4)*(GMW!$NF$2:$NF$60=Q$1),0),$F296-1966)</f>
        <v>-29.582699999999999</v>
      </c>
      <c r="R296" s="4" cm="1">
        <f t="array" ref="R296">INDEX(GMW!$A$2:$NF$60,MATCH(1,(GMW!$NE$2:$NE$60=R$3)*(GMW!$ND$2:$ND$60=R$4)*(GMW!$NF$2:$NF$60=R$1),0),$F296-1966)</f>
        <v>-43.191099999999999</v>
      </c>
      <c r="S296" s="4" cm="1">
        <f t="array" ref="S296">INDEX(GMW!$A$2:$NF$60,MATCH(1,(GMW!$NE$2:$NE$60=S$3)*(GMW!$ND$2:$ND$60=S$4)*(GMW!$NF$2:$NF$60=S$1),0),$F296-1966)</f>
        <v>-15.49423</v>
      </c>
      <c r="T296" s="4" cm="1">
        <f t="array" ref="T296">INDEX(GMW!$A$2:$NF$60,MATCH(1,(GMW!$NE$2:$NE$60=T$3)*(GMW!$ND$2:$ND$60=T$4)*(GMW!$NF$2:$NF$60=T$1),0),$F296-1966)</f>
        <v>-40229.75</v>
      </c>
      <c r="U296" s="4" cm="1">
        <f t="array" ref="U296">INDEX(GMW!$A$2:$NF$60,MATCH(1,(GMW!$NE$2:$NE$60=U$3)*(GMW!$ND$2:$ND$60=U$4)*(GMW!$NF$2:$NF$60=U$1),0),$F296-1966)</f>
        <v>6125009</v>
      </c>
      <c r="V296" s="4" cm="1">
        <f t="array" ref="V296">INDEX(GMW!$A$2:$NF$60,MATCH(1,(GMW!$NE$2:$NE$60=V$3)*(GMW!$ND$2:$ND$60=V$4)*(GMW!$NF$2:$NF$60=V$1),0),$F296-1966)</f>
        <v>112758.7</v>
      </c>
      <c r="W296" s="4" cm="1">
        <f t="array" ref="W296">INDEX(GMW!$A$2:$NF$60,MATCH(1,(GMW!$NE$2:$NE$60=W$3)*(GMW!$ND$2:$ND$60=W$4)*(GMW!$NF$2:$NF$60=W$1),0),$F296-1966)</f>
        <v>1607220</v>
      </c>
      <c r="X296" s="4" cm="1">
        <f t="array" ref="X296">INDEX(GMW!$A$2:$NF$60,MATCH(1,(GMW!$NE$2:$NE$60=X$3)*(GMW!$ND$2:$ND$60=X$4)*(GMW!$NF$2:$NF$60=X$1),0),$F296-1966)</f>
        <v>4982.07</v>
      </c>
      <c r="Y296" s="4" cm="1">
        <f t="array" ref="Y296">INDEX(GMW!$A$2:$NF$60,MATCH(1,(GMW!$NE$2:$NE$60=Y$3)*(GMW!$ND$2:$ND$60=Y$4)*(GMW!$NF$2:$NF$60=Y$1),0),$F296-1966)</f>
        <v>6765.6090000000004</v>
      </c>
      <c r="Z296" s="4" cm="1">
        <f t="array" ref="Z296">INDEX(GMW!$A$2:$NF$60,MATCH(1,(GMW!$NE$2:$NE$60=Z$3)*(GMW!$ND$2:$ND$60=Z$4)*(GMW!$NF$2:$NF$60=Z$1),0),$F296-1966)</f>
        <v>4602.2749999999996</v>
      </c>
      <c r="AA296" s="4" cm="1">
        <f t="array" ref="AA296">INDEX(GMW!$A$2:$NF$60,MATCH(1,(GMW!$NE$2:$NE$60=AA$3)*(GMW!$ND$2:$ND$60=AA$4)*(GMW!$NF$2:$NF$60=AA$1),0),$F296-1966)</f>
        <v>5795026</v>
      </c>
      <c r="AB296" s="4" cm="1">
        <f t="array" ref="AB296">INDEX(GMW!$A$2:$NF$60,MATCH(1,(GMW!$NE$2:$NE$60=AB$3)*(GMW!$ND$2:$ND$60=AB$4)*(GMW!$NF$2:$NF$60=AB$1),0),$F296-1966)</f>
        <v>1548317</v>
      </c>
      <c r="AC296" s="4" cm="1">
        <f t="array" ref="AC296">INDEX(GMW!$A$2:$NF$60,MATCH(1,(GMW!$NE$2:$NE$60=AC$3)*(GMW!$ND$2:$ND$60=AC$4)*(GMW!$NF$2:$NF$60=AC$1),0),$F296-1966)</f>
        <v>15924.18</v>
      </c>
      <c r="AD296" s="4" cm="1">
        <f t="array" ref="AD296">INDEX(GMW!$A$2:$NF$60,MATCH(1,(GMW!$NE$2:$NE$60=AD$3)*(GMW!$ND$2:$ND$60=AD$4)*(GMW!$NF$2:$NF$60=AD$1),0),$F296-1966)</f>
        <v>203202.8</v>
      </c>
      <c r="AE296" s="4" cm="1">
        <f t="array" ref="AE296">INDEX(GMW!$A$2:$NF$60,MATCH(1,(GMW!$NE$2:$NE$60=AE$3)*(GMW!$ND$2:$ND$60=AE$4)*(GMW!$NF$2:$NF$60=AE$1),0),$F296-1966)</f>
        <v>2073.6990000000001</v>
      </c>
      <c r="AF296" s="4" cm="1">
        <f t="array" ref="AF296">INDEX(GMW!$A$2:$NF$60,MATCH(1,(GMW!$NE$2:$NE$60=AF$3)*(GMW!$ND$2:$ND$60=AF$4)*(GMW!$NF$2:$NF$60=AF$1),0),$F296-1966)</f>
        <v>1309.075</v>
      </c>
      <c r="AG296" s="4" cm="1">
        <f t="array" ref="AG296">INDEX(GMW!$A$2:$NF$60,MATCH(1,(GMW!$NE$2:$NE$60=AG$3)*(GMW!$ND$2:$ND$60=AG$4)*(GMW!$NF$2:$NF$60=AG$1),0),$F296-1966)</f>
        <v>873.08759999999995</v>
      </c>
      <c r="AH296" s="4" cm="1">
        <f t="array" ref="AH296">INDEX(GMW!$A$2:$NF$60,MATCH(1,(GMW!$NE$2:$NE$60=AH$3)*(GMW!$ND$2:$ND$60=AH$4)*(GMW!$NF$2:$NF$60=AH$1),0),$F296-1966)</f>
        <v>1689960</v>
      </c>
    </row>
    <row r="297" spans="1:34" x14ac:dyDescent="0.25">
      <c r="B297" s="4">
        <f t="shared" si="94"/>
        <v>2045</v>
      </c>
      <c r="C297" s="4">
        <f t="shared" si="94"/>
        <v>2045</v>
      </c>
      <c r="F297" s="4">
        <f t="shared" si="80"/>
        <v>2263</v>
      </c>
      <c r="G297" s="4" cm="1">
        <f t="array" ref="G297">INDEX(GMW!$A$2:$NF$60,MATCH(1,(GMW!$NE$2:$NE$60=G$3)*(GMW!$ND$2:$ND$60=G$4)*(GMW!$NF$2:$NF$60=G$1),0),$F297-1966)</f>
        <v>881916.9</v>
      </c>
      <c r="H297" s="4" cm="1">
        <f t="array" ref="H297">INDEX(GMW!$A$2:$NF$60,MATCH(1,(GMW!$NE$2:$NE$60=H$3)*(GMW!$ND$2:$ND$60=H$4)*(GMW!$NF$2:$NF$60=H$1),0),$F297-1966)</f>
        <v>8617.5210000000006</v>
      </c>
      <c r="I297" s="4" cm="1">
        <f t="array" ref="I297">INDEX(GMW!$A$2:$NF$60,MATCH(1,(GMW!$NE$2:$NE$60=I$3)*(GMW!$ND$2:$ND$60=I$4)*(GMW!$NF$2:$NF$60=I$1),0),$F297-1966)</f>
        <v>138954.29999999999</v>
      </c>
      <c r="J297" s="4" cm="1">
        <f t="array" ref="J297">INDEX(GMW!$A$2:$NF$60,MATCH(1,(GMW!$NE$2:$NE$60=J$3)*(GMW!$ND$2:$ND$60=J$4)*(GMW!$NF$2:$NF$60=J$1),0),$F297-1966)</f>
        <v>1102.885</v>
      </c>
      <c r="K297" s="4" cm="1">
        <f t="array" ref="K297">INDEX(GMW!$A$2:$NF$60,MATCH(1,(GMW!$NE$2:$NE$60=K$3)*(GMW!$ND$2:$ND$60=K$4)*(GMW!$NF$2:$NF$60=K$1),0),$F297-1966)</f>
        <v>773.95719999999994</v>
      </c>
      <c r="L297" s="4" cm="1">
        <f t="array" ref="L297">INDEX(GMW!$A$2:$NF$60,MATCH(1,(GMW!$NE$2:$NE$60=L$3)*(GMW!$ND$2:$ND$60=L$4)*(GMW!$NF$2:$NF$60=L$1),0),$F297-1966)</f>
        <v>519.27829999999994</v>
      </c>
      <c r="M297" s="4" cm="1">
        <f t="array" ref="M297">INDEX(GMW!$A$2:$NF$60,MATCH(1,(GMW!$NE$2:$NE$60=M$3)*(GMW!$ND$2:$ND$60=M$4)*(GMW!$NF$2:$NF$60=M$1),0),$F297-1966)</f>
        <v>901551.4</v>
      </c>
      <c r="N297" s="4" cm="1">
        <f t="array" ref="N297">INDEX(GMW!$A$2:$NF$60,MATCH(1,(GMW!$NE$2:$NE$60=N$3)*(GMW!$ND$2:$ND$60=N$4)*(GMW!$NF$2:$NF$60=N$1),0),$F297-1966)</f>
        <v>-53660.88</v>
      </c>
      <c r="O297" s="4" cm="1">
        <f t="array" ref="O297">INDEX(GMW!$A$2:$NF$60,MATCH(1,(GMW!$NE$2:$NE$60=O$3)*(GMW!$ND$2:$ND$60=O$4)*(GMW!$NF$2:$NF$60=O$1),0),$F297-1966)</f>
        <v>-1102.5409999999999</v>
      </c>
      <c r="P297" s="4" cm="1">
        <f t="array" ref="P297">INDEX(GMW!$A$2:$NF$60,MATCH(1,(GMW!$NE$2:$NE$60=P$3)*(GMW!$ND$2:$ND$60=P$4)*(GMW!$NF$2:$NF$60=P$1),0),$F297-1966)</f>
        <v>-1900.4059999999999</v>
      </c>
      <c r="Q297" s="4" cm="1">
        <f t="array" ref="Q297">INDEX(GMW!$A$2:$NF$60,MATCH(1,(GMW!$NE$2:$NE$60=Q$3)*(GMW!$ND$2:$ND$60=Q$4)*(GMW!$NF$2:$NF$60=Q$1),0),$F297-1966)</f>
        <v>-29.78998</v>
      </c>
      <c r="R297" s="4" cm="1">
        <f t="array" ref="R297">INDEX(GMW!$A$2:$NF$60,MATCH(1,(GMW!$NE$2:$NE$60=R$3)*(GMW!$ND$2:$ND$60=R$4)*(GMW!$NF$2:$NF$60=R$1),0),$F297-1966)</f>
        <v>-43.469119999999997</v>
      </c>
      <c r="S297" s="4" cm="1">
        <f t="array" ref="S297">INDEX(GMW!$A$2:$NF$60,MATCH(1,(GMW!$NE$2:$NE$60=S$3)*(GMW!$ND$2:$ND$60=S$4)*(GMW!$NF$2:$NF$60=S$1),0),$F297-1966)</f>
        <v>-15.577030000000001</v>
      </c>
      <c r="T297" s="4" cm="1">
        <f t="array" ref="T297">INDEX(GMW!$A$2:$NF$60,MATCH(1,(GMW!$NE$2:$NE$60=T$3)*(GMW!$ND$2:$ND$60=T$4)*(GMW!$NF$2:$NF$60=T$1),0),$F297-1966)</f>
        <v>-40524.19</v>
      </c>
      <c r="U297" s="4" cm="1">
        <f t="array" ref="U297">INDEX(GMW!$A$2:$NF$60,MATCH(1,(GMW!$NE$2:$NE$60=U$3)*(GMW!$ND$2:$ND$60=U$4)*(GMW!$NF$2:$NF$60=U$1),0),$F297-1966)</f>
        <v>6178670</v>
      </c>
      <c r="V297" s="4" cm="1">
        <f t="array" ref="V297">INDEX(GMW!$A$2:$NF$60,MATCH(1,(GMW!$NE$2:$NE$60=V$3)*(GMW!$ND$2:$ND$60=V$4)*(GMW!$NF$2:$NF$60=V$1),0),$F297-1966)</f>
        <v>113861.3</v>
      </c>
      <c r="W297" s="4" cm="1">
        <f t="array" ref="W297">INDEX(GMW!$A$2:$NF$60,MATCH(1,(GMW!$NE$2:$NE$60=W$3)*(GMW!$ND$2:$ND$60=W$4)*(GMW!$NF$2:$NF$60=W$1),0),$F297-1966)</f>
        <v>1609120</v>
      </c>
      <c r="X297" s="4" cm="1">
        <f t="array" ref="X297">INDEX(GMW!$A$2:$NF$60,MATCH(1,(GMW!$NE$2:$NE$60=X$3)*(GMW!$ND$2:$ND$60=X$4)*(GMW!$NF$2:$NF$60=X$1),0),$F297-1966)</f>
        <v>5011.8599999999997</v>
      </c>
      <c r="Y297" s="4" cm="1">
        <f t="array" ref="Y297">INDEX(GMW!$A$2:$NF$60,MATCH(1,(GMW!$NE$2:$NE$60=Y$3)*(GMW!$ND$2:$ND$60=Y$4)*(GMW!$NF$2:$NF$60=Y$1),0),$F297-1966)</f>
        <v>6809.0789999999997</v>
      </c>
      <c r="Z297" s="4" cm="1">
        <f t="array" ref="Z297">INDEX(GMW!$A$2:$NF$60,MATCH(1,(GMW!$NE$2:$NE$60=Z$3)*(GMW!$ND$2:$ND$60=Z$4)*(GMW!$NF$2:$NF$60=Z$1),0),$F297-1966)</f>
        <v>4617.8519999999999</v>
      </c>
      <c r="AA297" s="4" cm="1">
        <f t="array" ref="AA297">INDEX(GMW!$A$2:$NF$60,MATCH(1,(GMW!$NE$2:$NE$60=AA$3)*(GMW!$ND$2:$ND$60=AA$4)*(GMW!$NF$2:$NF$60=AA$1),0),$F297-1966)</f>
        <v>5835550</v>
      </c>
      <c r="AB297" s="4" cm="1">
        <f t="array" ref="AB297">INDEX(GMW!$A$2:$NF$60,MATCH(1,(GMW!$NE$2:$NE$60=AB$3)*(GMW!$ND$2:$ND$60=AB$4)*(GMW!$NF$2:$NF$60=AB$1),0),$F297-1966)</f>
        <v>1562248</v>
      </c>
      <c r="AC297" s="4" cm="1">
        <f t="array" ref="AC297">INDEX(GMW!$A$2:$NF$60,MATCH(1,(GMW!$NE$2:$NE$60=AC$3)*(GMW!$ND$2:$ND$60=AC$4)*(GMW!$NF$2:$NF$60=AC$1),0),$F297-1966)</f>
        <v>16064.58</v>
      </c>
      <c r="AD297" s="4" cm="1">
        <f t="array" ref="AD297">INDEX(GMW!$A$2:$NF$60,MATCH(1,(GMW!$NE$2:$NE$60=AD$3)*(GMW!$ND$2:$ND$60=AD$4)*(GMW!$NF$2:$NF$60=AD$1),0),$F297-1966)</f>
        <v>203930.6</v>
      </c>
      <c r="AE297" s="4" cm="1">
        <f t="array" ref="AE297">INDEX(GMW!$A$2:$NF$60,MATCH(1,(GMW!$NE$2:$NE$60=AE$3)*(GMW!$ND$2:$ND$60=AE$4)*(GMW!$NF$2:$NF$60=AE$1),0),$F297-1966)</f>
        <v>2088.7440000000001</v>
      </c>
      <c r="AF297" s="4" cm="1">
        <f t="array" ref="AF297">INDEX(GMW!$A$2:$NF$60,MATCH(1,(GMW!$NE$2:$NE$60=AF$3)*(GMW!$ND$2:$ND$60=AF$4)*(GMW!$NF$2:$NF$60=AF$1),0),$F297-1966)</f>
        <v>1317.3440000000001</v>
      </c>
      <c r="AG297" s="4" cm="1">
        <f t="array" ref="AG297">INDEX(GMW!$A$2:$NF$60,MATCH(1,(GMW!$NE$2:$NE$60=AG$3)*(GMW!$ND$2:$ND$60=AG$4)*(GMW!$NF$2:$NF$60=AG$1),0),$F297-1966)</f>
        <v>877.75210000000004</v>
      </c>
      <c r="AH297" s="4" cm="1">
        <f t="array" ref="AH297">INDEX(GMW!$A$2:$NF$60,MATCH(1,(GMW!$NE$2:$NE$60=AH$3)*(GMW!$ND$2:$ND$60=AH$4)*(GMW!$NF$2:$NF$60=AH$1),0),$F297-1966)</f>
        <v>1706206</v>
      </c>
    </row>
    <row r="298" spans="1:34" x14ac:dyDescent="0.25">
      <c r="B298" s="4">
        <f t="shared" si="94"/>
        <v>2045</v>
      </c>
      <c r="C298" s="4">
        <f t="shared" si="94"/>
        <v>2045</v>
      </c>
      <c r="E298" s="4">
        <f t="shared" ref="E298" si="98">+E294+1</f>
        <v>2045</v>
      </c>
      <c r="F298" s="4">
        <f t="shared" si="80"/>
        <v>2264</v>
      </c>
      <c r="G298" s="4" cm="1">
        <f t="array" ref="G298">INDEX(GMW!$A$2:$NF$60,MATCH(1,(GMW!$NE$2:$NE$60=G$3)*(GMW!$ND$2:$ND$60=G$4)*(GMW!$NF$2:$NF$60=G$1),0),$F298-1966)</f>
        <v>885113.8</v>
      </c>
      <c r="H298" s="4" cm="1">
        <f t="array" ref="H298">INDEX(GMW!$A$2:$NF$60,MATCH(1,(GMW!$NE$2:$NE$60=H$3)*(GMW!$ND$2:$ND$60=H$4)*(GMW!$NF$2:$NF$60=H$1),0),$F298-1966)</f>
        <v>8653.0069999999996</v>
      </c>
      <c r="I298" s="4" cm="1">
        <f t="array" ref="I298">INDEX(GMW!$A$2:$NF$60,MATCH(1,(GMW!$NE$2:$NE$60=I$3)*(GMW!$ND$2:$ND$60=I$4)*(GMW!$NF$2:$NF$60=I$1),0),$F298-1966)</f>
        <v>138943.20000000001</v>
      </c>
      <c r="J298" s="4" cm="1">
        <f t="array" ref="J298">INDEX(GMW!$A$2:$NF$60,MATCH(1,(GMW!$NE$2:$NE$60=J$3)*(GMW!$ND$2:$ND$60=J$4)*(GMW!$NF$2:$NF$60=J$1),0),$F298-1966)</f>
        <v>1105.404</v>
      </c>
      <c r="K298" s="4" cm="1">
        <f t="array" ref="K298">INDEX(GMW!$A$2:$NF$60,MATCH(1,(GMW!$NE$2:$NE$60=K$3)*(GMW!$ND$2:$ND$60=K$4)*(GMW!$NF$2:$NF$60=K$1),0),$F298-1966)</f>
        <v>774.8</v>
      </c>
      <c r="L298" s="4" cm="1">
        <f t="array" ref="L298">INDEX(GMW!$A$2:$NF$60,MATCH(1,(GMW!$NE$2:$NE$60=L$3)*(GMW!$ND$2:$ND$60=L$4)*(GMW!$NF$2:$NF$60=L$1),0),$F298-1966)</f>
        <v>519.45839999999998</v>
      </c>
      <c r="M298" s="4" cm="1">
        <f t="array" ref="M298">INDEX(GMW!$A$2:$NF$60,MATCH(1,(GMW!$NE$2:$NE$60=M$3)*(GMW!$ND$2:$ND$60=M$4)*(GMW!$NF$2:$NF$60=M$1),0),$F298-1966)</f>
        <v>905810.6</v>
      </c>
      <c r="N298" s="4" cm="1">
        <f t="array" ref="N298">INDEX(GMW!$A$2:$NF$60,MATCH(1,(GMW!$NE$2:$NE$60=N$3)*(GMW!$ND$2:$ND$60=N$4)*(GMW!$NF$2:$NF$60=N$1),0),$F298-1966)</f>
        <v>-94536.38</v>
      </c>
      <c r="O298" s="4" cm="1">
        <f t="array" ref="O298">INDEX(GMW!$A$2:$NF$60,MATCH(1,(GMW!$NE$2:$NE$60=O$3)*(GMW!$ND$2:$ND$60=O$4)*(GMW!$NF$2:$NF$60=O$1),0),$F298-1966)</f>
        <v>-1104.865</v>
      </c>
      <c r="P298" s="4" cm="1">
        <f t="array" ref="P298">INDEX(GMW!$A$2:$NF$60,MATCH(1,(GMW!$NE$2:$NE$60=P$3)*(GMW!$ND$2:$ND$60=P$4)*(GMW!$NF$2:$NF$60=P$1),0),$F298-1966)</f>
        <v>-1907.2190000000001</v>
      </c>
      <c r="Q298" s="4" cm="1">
        <f t="array" ref="Q298">INDEX(GMW!$A$2:$NF$60,MATCH(1,(GMW!$NE$2:$NE$60=Q$3)*(GMW!$ND$2:$ND$60=Q$4)*(GMW!$NF$2:$NF$60=Q$1),0),$F298-1966)</f>
        <v>-29.999020000000002</v>
      </c>
      <c r="R298" s="4" cm="1">
        <f t="array" ref="R298">INDEX(GMW!$A$2:$NF$60,MATCH(1,(GMW!$NE$2:$NE$60=R$3)*(GMW!$ND$2:$ND$60=R$4)*(GMW!$NF$2:$NF$60=R$1),0),$F298-1966)</f>
        <v>-43.73901</v>
      </c>
      <c r="S298" s="4" cm="1">
        <f t="array" ref="S298">INDEX(GMW!$A$2:$NF$60,MATCH(1,(GMW!$NE$2:$NE$60=S$3)*(GMW!$ND$2:$ND$60=S$4)*(GMW!$NF$2:$NF$60=S$1),0),$F298-1966)</f>
        <v>-15.66025</v>
      </c>
      <c r="T298" s="4" cm="1">
        <f t="array" ref="T298">INDEX(GMW!$A$2:$NF$60,MATCH(1,(GMW!$NE$2:$NE$60=T$3)*(GMW!$ND$2:$ND$60=T$4)*(GMW!$NF$2:$NF$60=T$1),0),$F298-1966)</f>
        <v>-41008.31</v>
      </c>
      <c r="U298" s="4" cm="1">
        <f t="array" ref="U298">INDEX(GMW!$A$2:$NF$60,MATCH(1,(GMW!$NE$2:$NE$60=U$3)*(GMW!$ND$2:$ND$60=U$4)*(GMW!$NF$2:$NF$60=U$1),0),$F298-1966)</f>
        <v>6273206</v>
      </c>
      <c r="V298" s="4" cm="1">
        <f t="array" ref="V298">INDEX(GMW!$A$2:$NF$60,MATCH(1,(GMW!$NE$2:$NE$60=V$3)*(GMW!$ND$2:$ND$60=V$4)*(GMW!$NF$2:$NF$60=V$1),0),$F298-1966)</f>
        <v>114966.1</v>
      </c>
      <c r="W298" s="4" cm="1">
        <f t="array" ref="W298">INDEX(GMW!$A$2:$NF$60,MATCH(1,(GMW!$NE$2:$NE$60=W$3)*(GMW!$ND$2:$ND$60=W$4)*(GMW!$NF$2:$NF$60=W$1),0),$F298-1966)</f>
        <v>1611028</v>
      </c>
      <c r="X298" s="4" cm="1">
        <f t="array" ref="X298">INDEX(GMW!$A$2:$NF$60,MATCH(1,(GMW!$NE$2:$NE$60=X$3)*(GMW!$ND$2:$ND$60=X$4)*(GMW!$NF$2:$NF$60=X$1),0),$F298-1966)</f>
        <v>5041.8590000000004</v>
      </c>
      <c r="Y298" s="4" cm="1">
        <f t="array" ref="Y298">INDEX(GMW!$A$2:$NF$60,MATCH(1,(GMW!$NE$2:$NE$60=Y$3)*(GMW!$ND$2:$ND$60=Y$4)*(GMW!$NF$2:$NF$60=Y$1),0),$F298-1966)</f>
        <v>6852.817</v>
      </c>
      <c r="Z298" s="4" cm="1">
        <f t="array" ref="Z298">INDEX(GMW!$A$2:$NF$60,MATCH(1,(GMW!$NE$2:$NE$60=Z$3)*(GMW!$ND$2:$ND$60=Z$4)*(GMW!$NF$2:$NF$60=Z$1),0),$F298-1966)</f>
        <v>4633.5119999999997</v>
      </c>
      <c r="AA298" s="4" cm="1">
        <f t="array" ref="AA298">INDEX(GMW!$A$2:$NF$60,MATCH(1,(GMW!$NE$2:$NE$60=AA$3)*(GMW!$ND$2:$ND$60=AA$4)*(GMW!$NF$2:$NF$60=AA$1),0),$F298-1966)</f>
        <v>5876559</v>
      </c>
      <c r="AB298" s="4" cm="1">
        <f t="array" ref="AB298">INDEX(GMW!$A$2:$NF$60,MATCH(1,(GMW!$NE$2:$NE$60=AB$3)*(GMW!$ND$2:$ND$60=AB$4)*(GMW!$NF$2:$NF$60=AB$1),0),$F298-1966)</f>
        <v>1576299</v>
      </c>
      <c r="AC298" s="4" cm="1">
        <f t="array" ref="AC298">INDEX(GMW!$A$2:$NF$60,MATCH(1,(GMW!$NE$2:$NE$60=AC$3)*(GMW!$ND$2:$ND$60=AC$4)*(GMW!$NF$2:$NF$60=AC$1),0),$F298-1966)</f>
        <v>16206.29</v>
      </c>
      <c r="AD298" s="4" cm="1">
        <f t="array" ref="AD298">INDEX(GMW!$A$2:$NF$60,MATCH(1,(GMW!$NE$2:$NE$60=AD$3)*(GMW!$ND$2:$ND$60=AD$4)*(GMW!$NF$2:$NF$60=AD$1),0),$F298-1966)</f>
        <v>204667.2</v>
      </c>
      <c r="AE298" s="4" cm="1">
        <f t="array" ref="AE298">INDEX(GMW!$A$2:$NF$60,MATCH(1,(GMW!$NE$2:$NE$60=AE$3)*(GMW!$ND$2:$ND$60=AE$4)*(GMW!$NF$2:$NF$60=AE$1),0),$F298-1966)</f>
        <v>2103.902</v>
      </c>
      <c r="AF298" s="4" cm="1">
        <f t="array" ref="AF298">INDEX(GMW!$A$2:$NF$60,MATCH(1,(GMW!$NE$2:$NE$60=AF$3)*(GMW!$ND$2:$ND$60=AF$4)*(GMW!$NF$2:$NF$60=AF$1),0),$F298-1966)</f>
        <v>1325.3320000000001</v>
      </c>
      <c r="AG298" s="4" cm="1">
        <f t="array" ref="AG298">INDEX(GMW!$A$2:$NF$60,MATCH(1,(GMW!$NE$2:$NE$60=AG$3)*(GMW!$ND$2:$ND$60=AG$4)*(GMW!$NF$2:$NF$60=AG$1),0),$F298-1966)</f>
        <v>882.42110000000002</v>
      </c>
      <c r="AH298" s="4" cm="1">
        <f t="array" ref="AH298">INDEX(GMW!$A$2:$NF$60,MATCH(1,(GMW!$NE$2:$NE$60=AH$3)*(GMW!$ND$2:$ND$60=AH$4)*(GMW!$NF$2:$NF$60=AH$1),0),$F298-1966)</f>
        <v>1722624</v>
      </c>
    </row>
    <row r="299" spans="1:34" x14ac:dyDescent="0.25">
      <c r="A299" s="4">
        <v>2046</v>
      </c>
      <c r="B299" s="4">
        <f t="shared" si="94"/>
        <v>2046</v>
      </c>
      <c r="C299" s="4">
        <f t="shared" si="94"/>
        <v>2045</v>
      </c>
      <c r="D299" s="4">
        <f t="shared" si="94"/>
        <v>2045</v>
      </c>
      <c r="F299" s="4">
        <f t="shared" si="80"/>
        <v>2265</v>
      </c>
      <c r="G299" s="4" cm="1">
        <f t="array" ref="G299">INDEX(GMW!$A$2:$NF$60,MATCH(1,(GMW!$NE$2:$NE$60=G$3)*(GMW!$ND$2:$ND$60=G$4)*(GMW!$NF$2:$NF$60=G$1),0),$F299-1966)</f>
        <v>888320.1</v>
      </c>
      <c r="H299" s="4" cm="1">
        <f t="array" ref="H299">INDEX(GMW!$A$2:$NF$60,MATCH(1,(GMW!$NE$2:$NE$60=H$3)*(GMW!$ND$2:$ND$60=H$4)*(GMW!$NF$2:$NF$60=H$1),0),$F299-1966)</f>
        <v>8688.6290000000008</v>
      </c>
      <c r="I299" s="4" cm="1">
        <f t="array" ref="I299">INDEX(GMW!$A$2:$NF$60,MATCH(1,(GMW!$NE$2:$NE$60=I$3)*(GMW!$ND$2:$ND$60=I$4)*(GMW!$NF$2:$NF$60=I$1),0),$F299-1966)</f>
        <v>138937</v>
      </c>
      <c r="J299" s="4" cm="1">
        <f t="array" ref="J299">INDEX(GMW!$A$2:$NF$60,MATCH(1,(GMW!$NE$2:$NE$60=J$3)*(GMW!$ND$2:$ND$60=J$4)*(GMW!$NF$2:$NF$60=J$1),0),$F299-1966)</f>
        <v>1107.8630000000001</v>
      </c>
      <c r="K299" s="4" cm="1">
        <f t="array" ref="K299">INDEX(GMW!$A$2:$NF$60,MATCH(1,(GMW!$NE$2:$NE$60=K$3)*(GMW!$ND$2:$ND$60=K$4)*(GMW!$NF$2:$NF$60=K$1),0),$F299-1966)</f>
        <v>775.74260000000004</v>
      </c>
      <c r="L299" s="4" cm="1">
        <f t="array" ref="L299">INDEX(GMW!$A$2:$NF$60,MATCH(1,(GMW!$NE$2:$NE$60=L$3)*(GMW!$ND$2:$ND$60=L$4)*(GMW!$NF$2:$NF$60=L$1),0),$F299-1966)</f>
        <v>519.7029</v>
      </c>
      <c r="M299" s="4" cm="1">
        <f t="array" ref="M299">INDEX(GMW!$A$2:$NF$60,MATCH(1,(GMW!$NE$2:$NE$60=M$3)*(GMW!$ND$2:$ND$60=M$4)*(GMW!$NF$2:$NF$60=M$1),0),$F299-1966)</f>
        <v>910096.7</v>
      </c>
      <c r="N299" s="4" cm="1">
        <f t="array" ref="N299">INDEX(GMW!$A$2:$NF$60,MATCH(1,(GMW!$NE$2:$NE$60=N$3)*(GMW!$ND$2:$ND$60=N$4)*(GMW!$NF$2:$NF$60=N$1),0),$F299-1966)</f>
        <v>-4525</v>
      </c>
      <c r="O299" s="4" cm="1">
        <f t="array" ref="O299">INDEX(GMW!$A$2:$NF$60,MATCH(1,(GMW!$NE$2:$NE$60=O$3)*(GMW!$ND$2:$ND$60=O$4)*(GMW!$NF$2:$NF$60=O$1),0),$F299-1966)</f>
        <v>-1107.0999999999999</v>
      </c>
      <c r="P299" s="4" cm="1">
        <f t="array" ref="P299">INDEX(GMW!$A$2:$NF$60,MATCH(1,(GMW!$NE$2:$NE$60=P$3)*(GMW!$ND$2:$ND$60=P$4)*(GMW!$NF$2:$NF$60=P$1),0),$F299-1966)</f>
        <v>-1914.1089999999999</v>
      </c>
      <c r="Q299" s="4" cm="1">
        <f t="array" ref="Q299">INDEX(GMW!$A$2:$NF$60,MATCH(1,(GMW!$NE$2:$NE$60=Q$3)*(GMW!$ND$2:$ND$60=Q$4)*(GMW!$NF$2:$NF$60=Q$1),0),$F299-1966)</f>
        <v>-30.208010000000002</v>
      </c>
      <c r="R299" s="4" cm="1">
        <f t="array" ref="R299">INDEX(GMW!$A$2:$NF$60,MATCH(1,(GMW!$NE$2:$NE$60=R$3)*(GMW!$ND$2:$ND$60=R$4)*(GMW!$NF$2:$NF$60=R$1),0),$F299-1966)</f>
        <v>-44.006900000000002</v>
      </c>
      <c r="S299" s="4" cm="1">
        <f t="array" ref="S299">INDEX(GMW!$A$2:$NF$60,MATCH(1,(GMW!$NE$2:$NE$60=S$3)*(GMW!$ND$2:$ND$60=S$4)*(GMW!$NF$2:$NF$60=S$1),0),$F299-1966)</f>
        <v>-15.74353</v>
      </c>
      <c r="T299" s="4" cm="1">
        <f t="array" ref="T299">INDEX(GMW!$A$2:$NF$60,MATCH(1,(GMW!$NE$2:$NE$60=T$3)*(GMW!$ND$2:$ND$60=T$4)*(GMW!$NF$2:$NF$60=T$1),0),$F299-1966)</f>
        <v>-41496.19</v>
      </c>
      <c r="U299" s="4" cm="1">
        <f t="array" ref="U299">INDEX(GMW!$A$2:$NF$60,MATCH(1,(GMW!$NE$2:$NE$60=U$3)*(GMW!$ND$2:$ND$60=U$4)*(GMW!$NF$2:$NF$60=U$1),0),$F299-1966)</f>
        <v>6277731</v>
      </c>
      <c r="V299" s="4" cm="1">
        <f t="array" ref="V299">INDEX(GMW!$A$2:$NF$60,MATCH(1,(GMW!$NE$2:$NE$60=V$3)*(GMW!$ND$2:$ND$60=V$4)*(GMW!$NF$2:$NF$60=V$1),0),$F299-1966)</f>
        <v>116073.2</v>
      </c>
      <c r="W299" s="4" cm="1">
        <f t="array" ref="W299">INDEX(GMW!$A$2:$NF$60,MATCH(1,(GMW!$NE$2:$NE$60=W$3)*(GMW!$ND$2:$ND$60=W$4)*(GMW!$NF$2:$NF$60=W$1),0),$F299-1966)</f>
        <v>1612942</v>
      </c>
      <c r="X299" s="4" cm="1">
        <f t="array" ref="X299">INDEX(GMW!$A$2:$NF$60,MATCH(1,(GMW!$NE$2:$NE$60=X$3)*(GMW!$ND$2:$ND$60=X$4)*(GMW!$NF$2:$NF$60=X$1),0),$F299-1966)</f>
        <v>5072.067</v>
      </c>
      <c r="Y299" s="4" cm="1">
        <f t="array" ref="Y299">INDEX(GMW!$A$2:$NF$60,MATCH(1,(GMW!$NE$2:$NE$60=Y$3)*(GMW!$ND$2:$ND$60=Y$4)*(GMW!$NF$2:$NF$60=Y$1),0),$F299-1966)</f>
        <v>6896.8239999999996</v>
      </c>
      <c r="Z299" s="4" cm="1">
        <f t="array" ref="Z299">INDEX(GMW!$A$2:$NF$60,MATCH(1,(GMW!$NE$2:$NE$60=Z$3)*(GMW!$ND$2:$ND$60=Z$4)*(GMW!$NF$2:$NF$60=Z$1),0),$F299-1966)</f>
        <v>4649.2560000000003</v>
      </c>
      <c r="AA299" s="4" cm="1">
        <f t="array" ref="AA299">INDEX(GMW!$A$2:$NF$60,MATCH(1,(GMW!$NE$2:$NE$60=AA$3)*(GMW!$ND$2:$ND$60=AA$4)*(GMW!$NF$2:$NF$60=AA$1),0),$F299-1966)</f>
        <v>5918055</v>
      </c>
      <c r="AB299" s="4" cm="1">
        <f t="array" ref="AB299">INDEX(GMW!$A$2:$NF$60,MATCH(1,(GMW!$NE$2:$NE$60=AB$3)*(GMW!$ND$2:$ND$60=AB$4)*(GMW!$NF$2:$NF$60=AB$1),0),$F299-1966)</f>
        <v>1590465</v>
      </c>
      <c r="AC299" s="4" cm="1">
        <f t="array" ref="AC299">INDEX(GMW!$A$2:$NF$60,MATCH(1,(GMW!$NE$2:$NE$60=AC$3)*(GMW!$ND$2:$ND$60=AC$4)*(GMW!$NF$2:$NF$60=AC$1),0),$F299-1966)</f>
        <v>16349.24</v>
      </c>
      <c r="AD299" s="4" cm="1">
        <f t="array" ref="AD299">INDEX(GMW!$A$2:$NF$60,MATCH(1,(GMW!$NE$2:$NE$60=AD$3)*(GMW!$ND$2:$ND$60=AD$4)*(GMW!$NF$2:$NF$60=AD$1),0),$F299-1966)</f>
        <v>205430.3</v>
      </c>
      <c r="AE299" s="4" cm="1">
        <f t="array" ref="AE299">INDEX(GMW!$A$2:$NF$60,MATCH(1,(GMW!$NE$2:$NE$60=AE$3)*(GMW!$ND$2:$ND$60=AE$4)*(GMW!$NF$2:$NF$60=AE$1),0),$F299-1966)</f>
        <v>2119.0419999999999</v>
      </c>
      <c r="AF299" s="4" cm="1">
        <f t="array" ref="AF299">INDEX(GMW!$A$2:$NF$60,MATCH(1,(GMW!$NE$2:$NE$60=AF$3)*(GMW!$ND$2:$ND$60=AF$4)*(GMW!$NF$2:$NF$60=AF$1),0),$F299-1966)</f>
        <v>1333.5509999999999</v>
      </c>
      <c r="AG299" s="4" cm="1">
        <f t="array" ref="AG299">INDEX(GMW!$A$2:$NF$60,MATCH(1,(GMW!$NE$2:$NE$60=AG$3)*(GMW!$ND$2:$ND$60=AG$4)*(GMW!$NF$2:$NF$60=AG$1),0),$F299-1966)</f>
        <v>887.20429999999999</v>
      </c>
      <c r="AH299" s="4" cm="1">
        <f t="array" ref="AH299">INDEX(GMW!$A$2:$NF$60,MATCH(1,(GMW!$NE$2:$NE$60=AH$3)*(GMW!$ND$2:$ND$60=AH$4)*(GMW!$NF$2:$NF$60=AH$1),0),$F299-1966)</f>
        <v>1739224</v>
      </c>
    </row>
    <row r="300" spans="1:34" x14ac:dyDescent="0.25">
      <c r="B300" s="4">
        <f t="shared" ref="B300:D315" si="99">+B296+1</f>
        <v>2046</v>
      </c>
      <c r="C300" s="4">
        <f t="shared" si="99"/>
        <v>2046</v>
      </c>
      <c r="F300" s="4">
        <f t="shared" si="80"/>
        <v>2266</v>
      </c>
      <c r="G300" s="4" cm="1">
        <f t="array" ref="G300">INDEX(GMW!$A$2:$NF$60,MATCH(1,(GMW!$NE$2:$NE$60=G$3)*(GMW!$ND$2:$ND$60=G$4)*(GMW!$NF$2:$NF$60=G$1),0),$F300-1966)</f>
        <v>891535.6</v>
      </c>
      <c r="H300" s="4" cm="1">
        <f t="array" ref="H300">INDEX(GMW!$A$2:$NF$60,MATCH(1,(GMW!$NE$2:$NE$60=H$3)*(GMW!$ND$2:$ND$60=H$4)*(GMW!$NF$2:$NF$60=H$1),0),$F300-1966)</f>
        <v>8724.1869999999999</v>
      </c>
      <c r="I300" s="4" cm="1">
        <f t="array" ref="I300">INDEX(GMW!$A$2:$NF$60,MATCH(1,(GMW!$NE$2:$NE$60=I$3)*(GMW!$ND$2:$ND$60=I$4)*(GMW!$NF$2:$NF$60=I$1),0),$F300-1966)</f>
        <v>138934.9</v>
      </c>
      <c r="J300" s="4" cm="1">
        <f t="array" ref="J300">INDEX(GMW!$A$2:$NF$60,MATCH(1,(GMW!$NE$2:$NE$60=J$3)*(GMW!$ND$2:$ND$60=J$4)*(GMW!$NF$2:$NF$60=J$1),0),$F300-1966)</f>
        <v>1110.328</v>
      </c>
      <c r="K300" s="4" cm="1">
        <f t="array" ref="K300">INDEX(GMW!$A$2:$NF$60,MATCH(1,(GMW!$NE$2:$NE$60=K$3)*(GMW!$ND$2:$ND$60=K$4)*(GMW!$NF$2:$NF$60=K$1),0),$F300-1966)</f>
        <v>776.59500000000003</v>
      </c>
      <c r="L300" s="4" cm="1">
        <f t="array" ref="L300">INDEX(GMW!$A$2:$NF$60,MATCH(1,(GMW!$NE$2:$NE$60=L$3)*(GMW!$ND$2:$ND$60=L$4)*(GMW!$NF$2:$NF$60=L$1),0),$F300-1966)</f>
        <v>519.947</v>
      </c>
      <c r="M300" s="4" cm="1">
        <f t="array" ref="M300">INDEX(GMW!$A$2:$NF$60,MATCH(1,(GMW!$NE$2:$NE$60=M$3)*(GMW!$ND$2:$ND$60=M$4)*(GMW!$NF$2:$NF$60=M$1),0),$F300-1966)</f>
        <v>914391.4</v>
      </c>
      <c r="N300" s="4" cm="1">
        <f t="array" ref="N300">INDEX(GMW!$A$2:$NF$60,MATCH(1,(GMW!$NE$2:$NE$60=N$3)*(GMW!$ND$2:$ND$60=N$4)*(GMW!$NF$2:$NF$60=N$1),0),$F300-1966)</f>
        <v>-103082.4</v>
      </c>
      <c r="O300" s="4" cm="1">
        <f t="array" ref="O300">INDEX(GMW!$A$2:$NF$60,MATCH(1,(GMW!$NE$2:$NE$60=O$3)*(GMW!$ND$2:$ND$60=O$4)*(GMW!$NF$2:$NF$60=O$1),0),$F300-1966)</f>
        <v>-1109.25</v>
      </c>
      <c r="P300" s="4" cm="1">
        <f t="array" ref="P300">INDEX(GMW!$A$2:$NF$60,MATCH(1,(GMW!$NE$2:$NE$60=P$3)*(GMW!$ND$2:$ND$60=P$4)*(GMW!$NF$2:$NF$60=P$1),0),$F300-1966)</f>
        <v>-1921.25</v>
      </c>
      <c r="Q300" s="4" cm="1">
        <f t="array" ref="Q300">INDEX(GMW!$A$2:$NF$60,MATCH(1,(GMW!$NE$2:$NE$60=Q$3)*(GMW!$ND$2:$ND$60=Q$4)*(GMW!$NF$2:$NF$60=Q$1),0),$F300-1966)</f>
        <v>-30.416989999999998</v>
      </c>
      <c r="R300" s="4" cm="1">
        <f t="array" ref="R300">INDEX(GMW!$A$2:$NF$60,MATCH(1,(GMW!$NE$2:$NE$60=R$3)*(GMW!$ND$2:$ND$60=R$4)*(GMW!$NF$2:$NF$60=R$1),0),$F300-1966)</f>
        <v>-44.277889999999999</v>
      </c>
      <c r="S300" s="4" cm="1">
        <f t="array" ref="S300">INDEX(GMW!$A$2:$NF$60,MATCH(1,(GMW!$NE$2:$NE$60=S$3)*(GMW!$ND$2:$ND$60=S$4)*(GMW!$NF$2:$NF$60=S$1),0),$F300-1966)</f>
        <v>-15.828889999999999</v>
      </c>
      <c r="T300" s="4" cm="1">
        <f t="array" ref="T300">INDEX(GMW!$A$2:$NF$60,MATCH(1,(GMW!$NE$2:$NE$60=T$3)*(GMW!$ND$2:$ND$60=T$4)*(GMW!$NF$2:$NF$60=T$1),0),$F300-1966)</f>
        <v>-41952.75</v>
      </c>
      <c r="U300" s="4" cm="1">
        <f t="array" ref="U300">INDEX(GMW!$A$2:$NF$60,MATCH(1,(GMW!$NE$2:$NE$60=U$3)*(GMW!$ND$2:$ND$60=U$4)*(GMW!$NF$2:$NF$60=U$1),0),$F300-1966)</f>
        <v>6380814</v>
      </c>
      <c r="V300" s="4" cm="1">
        <f t="array" ref="V300">INDEX(GMW!$A$2:$NF$60,MATCH(1,(GMW!$NE$2:$NE$60=V$3)*(GMW!$ND$2:$ND$60=V$4)*(GMW!$NF$2:$NF$60=V$1),0),$F300-1966)</f>
        <v>117182.5</v>
      </c>
      <c r="W300" s="4" cm="1">
        <f t="array" ref="W300">INDEX(GMW!$A$2:$NF$60,MATCH(1,(GMW!$NE$2:$NE$60=W$3)*(GMW!$ND$2:$ND$60=W$4)*(GMW!$NF$2:$NF$60=W$1),0),$F300-1966)</f>
        <v>1614863</v>
      </c>
      <c r="X300" s="4" cm="1">
        <f t="array" ref="X300">INDEX(GMW!$A$2:$NF$60,MATCH(1,(GMW!$NE$2:$NE$60=X$3)*(GMW!$ND$2:$ND$60=X$4)*(GMW!$NF$2:$NF$60=X$1),0),$F300-1966)</f>
        <v>5102.4840000000004</v>
      </c>
      <c r="Y300" s="4" cm="1">
        <f t="array" ref="Y300">INDEX(GMW!$A$2:$NF$60,MATCH(1,(GMW!$NE$2:$NE$60=Y$3)*(GMW!$ND$2:$ND$60=Y$4)*(GMW!$NF$2:$NF$60=Y$1),0),$F300-1966)</f>
        <v>6941.1019999999999</v>
      </c>
      <c r="Z300" s="4" cm="1">
        <f t="array" ref="Z300">INDEX(GMW!$A$2:$NF$60,MATCH(1,(GMW!$NE$2:$NE$60=Z$3)*(GMW!$ND$2:$ND$60=Z$4)*(GMW!$NF$2:$NF$60=Z$1),0),$F300-1966)</f>
        <v>4665.085</v>
      </c>
      <c r="AA300" s="4" cm="1">
        <f t="array" ref="AA300">INDEX(GMW!$A$2:$NF$60,MATCH(1,(GMW!$NE$2:$NE$60=AA$3)*(GMW!$ND$2:$ND$60=AA$4)*(GMW!$NF$2:$NF$60=AA$1),0),$F300-1966)</f>
        <v>5960007</v>
      </c>
      <c r="AB300" s="4" cm="1">
        <f t="array" ref="AB300">INDEX(GMW!$A$2:$NF$60,MATCH(1,(GMW!$NE$2:$NE$60=AB$3)*(GMW!$ND$2:$ND$60=AB$4)*(GMW!$NF$2:$NF$60=AB$1),0),$F300-1966)</f>
        <v>1604754</v>
      </c>
      <c r="AC300" s="4" cm="1">
        <f t="array" ref="AC300">INDEX(GMW!$A$2:$NF$60,MATCH(1,(GMW!$NE$2:$NE$60=AC$3)*(GMW!$ND$2:$ND$60=AC$4)*(GMW!$NF$2:$NF$60=AC$1),0),$F300-1966)</f>
        <v>16493.099999999999</v>
      </c>
      <c r="AD300" s="4" cm="1">
        <f t="array" ref="AD300">INDEX(GMW!$A$2:$NF$60,MATCH(1,(GMW!$NE$2:$NE$60=AD$3)*(GMW!$ND$2:$ND$60=AD$4)*(GMW!$NF$2:$NF$60=AD$1),0),$F300-1966)</f>
        <v>206195.3</v>
      </c>
      <c r="AE300" s="4" cm="1">
        <f t="array" ref="AE300">INDEX(GMW!$A$2:$NF$60,MATCH(1,(GMW!$NE$2:$NE$60=AE$3)*(GMW!$ND$2:$ND$60=AE$4)*(GMW!$NF$2:$NF$60=AE$1),0),$F300-1966)</f>
        <v>2134.2919999999999</v>
      </c>
      <c r="AF300" s="4" cm="1">
        <f t="array" ref="AF300">INDEX(GMW!$A$2:$NF$60,MATCH(1,(GMW!$NE$2:$NE$60=AF$3)*(GMW!$ND$2:$ND$60=AF$4)*(GMW!$NF$2:$NF$60=AF$1),0),$F300-1966)</f>
        <v>1341.644</v>
      </c>
      <c r="AG300" s="4" cm="1">
        <f t="array" ref="AG300">INDEX(GMW!$A$2:$NF$60,MATCH(1,(GMW!$NE$2:$NE$60=AG$3)*(GMW!$ND$2:$ND$60=AG$4)*(GMW!$NF$2:$NF$60=AG$1),0),$F300-1966)</f>
        <v>892.05169999999998</v>
      </c>
      <c r="AH300" s="4" cm="1">
        <f t="array" ref="AH300">INDEX(GMW!$A$2:$NF$60,MATCH(1,(GMW!$NE$2:$NE$60=AH$3)*(GMW!$ND$2:$ND$60=AH$4)*(GMW!$NF$2:$NF$60=AH$1),0),$F300-1966)</f>
        <v>1755967</v>
      </c>
    </row>
    <row r="301" spans="1:34" x14ac:dyDescent="0.25">
      <c r="B301" s="4">
        <f t="shared" si="99"/>
        <v>2046</v>
      </c>
      <c r="C301" s="4">
        <f t="shared" si="99"/>
        <v>2046</v>
      </c>
      <c r="F301" s="4">
        <f t="shared" si="80"/>
        <v>2267</v>
      </c>
      <c r="G301" s="4" cm="1">
        <f t="array" ref="G301">INDEX(GMW!$A$2:$NF$60,MATCH(1,(GMW!$NE$2:$NE$60=G$3)*(GMW!$ND$2:$ND$60=G$4)*(GMW!$NF$2:$NF$60=G$1),0),$F301-1966)</f>
        <v>894759.7</v>
      </c>
      <c r="H301" s="4" cm="1">
        <f t="array" ref="H301">INDEX(GMW!$A$2:$NF$60,MATCH(1,(GMW!$NE$2:$NE$60=H$3)*(GMW!$ND$2:$ND$60=H$4)*(GMW!$NF$2:$NF$60=H$1),0),$F301-1966)</f>
        <v>8759.8619999999992</v>
      </c>
      <c r="I301" s="4" cm="1">
        <f t="array" ref="I301">INDEX(GMW!$A$2:$NF$60,MATCH(1,(GMW!$NE$2:$NE$60=I$3)*(GMW!$ND$2:$ND$60=I$4)*(GMW!$NF$2:$NF$60=I$1),0),$F301-1966)</f>
        <v>138937.79999999999</v>
      </c>
      <c r="J301" s="4" cm="1">
        <f t="array" ref="J301">INDEX(GMW!$A$2:$NF$60,MATCH(1,(GMW!$NE$2:$NE$60=J$3)*(GMW!$ND$2:$ND$60=J$4)*(GMW!$NF$2:$NF$60=J$1),0),$F301-1966)</f>
        <v>1112.8</v>
      </c>
      <c r="K301" s="4" cm="1">
        <f t="array" ref="K301">INDEX(GMW!$A$2:$NF$60,MATCH(1,(GMW!$NE$2:$NE$60=K$3)*(GMW!$ND$2:$ND$60=K$4)*(GMW!$NF$2:$NF$60=K$1),0),$F301-1966)</f>
        <v>777.33349999999996</v>
      </c>
      <c r="L301" s="4" cm="1">
        <f t="array" ref="L301">INDEX(GMW!$A$2:$NF$60,MATCH(1,(GMW!$NE$2:$NE$60=L$3)*(GMW!$ND$2:$ND$60=L$4)*(GMW!$NF$2:$NF$60=L$1),0),$F301-1966)</f>
        <v>520.18730000000005</v>
      </c>
      <c r="M301" s="4" cm="1">
        <f t="array" ref="M301">INDEX(GMW!$A$2:$NF$60,MATCH(1,(GMW!$NE$2:$NE$60=M$3)*(GMW!$ND$2:$ND$60=M$4)*(GMW!$NF$2:$NF$60=M$1),0),$F301-1966)</f>
        <v>918696.6</v>
      </c>
      <c r="N301" s="4" cm="1">
        <f t="array" ref="N301">INDEX(GMW!$A$2:$NF$60,MATCH(1,(GMW!$NE$2:$NE$60=N$3)*(GMW!$ND$2:$ND$60=N$4)*(GMW!$NF$2:$NF$60=N$1),0),$F301-1966)</f>
        <v>-55616.69</v>
      </c>
      <c r="O301" s="4" cm="1">
        <f t="array" ref="O301">INDEX(GMW!$A$2:$NF$60,MATCH(1,(GMW!$NE$2:$NE$60=O$3)*(GMW!$ND$2:$ND$60=O$4)*(GMW!$NF$2:$NF$60=O$1),0),$F301-1966)</f>
        <v>-1111.32</v>
      </c>
      <c r="P301" s="4" cm="1">
        <f t="array" ref="P301">INDEX(GMW!$A$2:$NF$60,MATCH(1,(GMW!$NE$2:$NE$60=P$3)*(GMW!$ND$2:$ND$60=P$4)*(GMW!$NF$2:$NF$60=P$1),0),$F301-1966)</f>
        <v>-1928.4059999999999</v>
      </c>
      <c r="Q301" s="4" cm="1">
        <f t="array" ref="Q301">INDEX(GMW!$A$2:$NF$60,MATCH(1,(GMW!$NE$2:$NE$60=Q$3)*(GMW!$ND$2:$ND$60=Q$4)*(GMW!$NF$2:$NF$60=Q$1),0),$F301-1966)</f>
        <v>-30.626950000000001</v>
      </c>
      <c r="R301" s="4" cm="1">
        <f t="array" ref="R301">INDEX(GMW!$A$2:$NF$60,MATCH(1,(GMW!$NE$2:$NE$60=R$3)*(GMW!$ND$2:$ND$60=R$4)*(GMW!$NF$2:$NF$60=R$1),0),$F301-1966)</f>
        <v>-44.545229999999997</v>
      </c>
      <c r="S301" s="4" cm="1">
        <f t="array" ref="S301">INDEX(GMW!$A$2:$NF$60,MATCH(1,(GMW!$NE$2:$NE$60=S$3)*(GMW!$ND$2:$ND$60=S$4)*(GMW!$NF$2:$NF$60=S$1),0),$F301-1966)</f>
        <v>-15.915380000000001</v>
      </c>
      <c r="T301" s="4" cm="1">
        <f t="array" ref="T301">INDEX(GMW!$A$2:$NF$60,MATCH(1,(GMW!$NE$2:$NE$60=T$3)*(GMW!$ND$2:$ND$60=T$4)*(GMW!$NF$2:$NF$60=T$1),0),$F301-1966)</f>
        <v>-42259.06</v>
      </c>
      <c r="U301" s="4" cm="1">
        <f t="array" ref="U301">INDEX(GMW!$A$2:$NF$60,MATCH(1,(GMW!$NE$2:$NE$60=U$3)*(GMW!$ND$2:$ND$60=U$4)*(GMW!$NF$2:$NF$60=U$1),0),$F301-1966)</f>
        <v>6436430</v>
      </c>
      <c r="V301" s="4" cm="1">
        <f t="array" ref="V301">INDEX(GMW!$A$2:$NF$60,MATCH(1,(GMW!$NE$2:$NE$60=V$3)*(GMW!$ND$2:$ND$60=V$4)*(GMW!$NF$2:$NF$60=V$1),0),$F301-1966)</f>
        <v>118293.8</v>
      </c>
      <c r="W301" s="4" cm="1">
        <f t="array" ref="W301">INDEX(GMW!$A$2:$NF$60,MATCH(1,(GMW!$NE$2:$NE$60=W$3)*(GMW!$ND$2:$ND$60=W$4)*(GMW!$NF$2:$NF$60=W$1),0),$F301-1966)</f>
        <v>1616791</v>
      </c>
      <c r="X301" s="4" cm="1">
        <f t="array" ref="X301">INDEX(GMW!$A$2:$NF$60,MATCH(1,(GMW!$NE$2:$NE$60=X$3)*(GMW!$ND$2:$ND$60=X$4)*(GMW!$NF$2:$NF$60=X$1),0),$F301-1966)</f>
        <v>5133.1109999999999</v>
      </c>
      <c r="Y301" s="4" cm="1">
        <f t="array" ref="Y301">INDEX(GMW!$A$2:$NF$60,MATCH(1,(GMW!$NE$2:$NE$60=Y$3)*(GMW!$ND$2:$ND$60=Y$4)*(GMW!$NF$2:$NF$60=Y$1),0),$F301-1966)</f>
        <v>6985.6469999999999</v>
      </c>
      <c r="Z301" s="4" cm="1">
        <f t="array" ref="Z301">INDEX(GMW!$A$2:$NF$60,MATCH(1,(GMW!$NE$2:$NE$60=Z$3)*(GMW!$ND$2:$ND$60=Z$4)*(GMW!$NF$2:$NF$60=Z$1),0),$F301-1966)</f>
        <v>4681</v>
      </c>
      <c r="AA301" s="4" cm="1">
        <f t="array" ref="AA301">INDEX(GMW!$A$2:$NF$60,MATCH(1,(GMW!$NE$2:$NE$60=AA$3)*(GMW!$ND$2:$ND$60=AA$4)*(GMW!$NF$2:$NF$60=AA$1),0),$F301-1966)</f>
        <v>6002266</v>
      </c>
      <c r="AB301" s="4" cm="1">
        <f t="array" ref="AB301">INDEX(GMW!$A$2:$NF$60,MATCH(1,(GMW!$NE$2:$NE$60=AB$3)*(GMW!$ND$2:$ND$60=AB$4)*(GMW!$NF$2:$NF$60=AB$1),0),$F301-1966)</f>
        <v>1619166</v>
      </c>
      <c r="AC301" s="4" cm="1">
        <f t="array" ref="AC301">INDEX(GMW!$A$2:$NF$60,MATCH(1,(GMW!$NE$2:$NE$60=AC$3)*(GMW!$ND$2:$ND$60=AC$4)*(GMW!$NF$2:$NF$60=AC$1),0),$F301-1966)</f>
        <v>16638.22</v>
      </c>
      <c r="AD301" s="4" cm="1">
        <f t="array" ref="AD301">INDEX(GMW!$A$2:$NF$60,MATCH(1,(GMW!$NE$2:$NE$60=AD$3)*(GMW!$ND$2:$ND$60=AD$4)*(GMW!$NF$2:$NF$60=AD$1),0),$F301-1966)</f>
        <v>206968.5</v>
      </c>
      <c r="AE301" s="4" cm="1">
        <f t="array" ref="AE301">INDEX(GMW!$A$2:$NF$60,MATCH(1,(GMW!$NE$2:$NE$60=AE$3)*(GMW!$ND$2:$ND$60=AE$4)*(GMW!$NF$2:$NF$60=AE$1),0),$F301-1966)</f>
        <v>2149.6559999999999</v>
      </c>
      <c r="AF301" s="4" cm="1">
        <f t="array" ref="AF301">INDEX(GMW!$A$2:$NF$60,MATCH(1,(GMW!$NE$2:$NE$60=AF$3)*(GMW!$ND$2:$ND$60=AF$4)*(GMW!$NF$2:$NF$60=AF$1),0),$F301-1966)</f>
        <v>1349.7170000000001</v>
      </c>
      <c r="AG301" s="4" cm="1">
        <f t="array" ref="AG301">INDEX(GMW!$A$2:$NF$60,MATCH(1,(GMW!$NE$2:$NE$60=AG$3)*(GMW!$ND$2:$ND$60=AG$4)*(GMW!$NF$2:$NF$60=AG$1),0),$F301-1966)</f>
        <v>896.92110000000002</v>
      </c>
      <c r="AH301" s="4" cm="1">
        <f t="array" ref="AH301">INDEX(GMW!$A$2:$NF$60,MATCH(1,(GMW!$NE$2:$NE$60=AH$3)*(GMW!$ND$2:$ND$60=AH$4)*(GMW!$NF$2:$NF$60=AH$1),0),$F301-1966)</f>
        <v>1772852</v>
      </c>
    </row>
    <row r="302" spans="1:34" x14ac:dyDescent="0.25">
      <c r="B302" s="4">
        <f t="shared" si="99"/>
        <v>2046</v>
      </c>
      <c r="C302" s="4">
        <f t="shared" si="99"/>
        <v>2046</v>
      </c>
      <c r="E302" s="4">
        <f t="shared" ref="E302" si="100">+E298+1</f>
        <v>2046</v>
      </c>
      <c r="F302" s="4">
        <f t="shared" si="80"/>
        <v>2268</v>
      </c>
      <c r="G302" s="4" cm="1">
        <f t="array" ref="G302">INDEX(GMW!$A$2:$NF$60,MATCH(1,(GMW!$NE$2:$NE$60=G$3)*(GMW!$ND$2:$ND$60=G$4)*(GMW!$NF$2:$NF$60=G$1),0),$F302-1966)</f>
        <v>897993.3</v>
      </c>
      <c r="H302" s="4" cm="1">
        <f t="array" ref="H302">INDEX(GMW!$A$2:$NF$60,MATCH(1,(GMW!$NE$2:$NE$60=H$3)*(GMW!$ND$2:$ND$60=H$4)*(GMW!$NF$2:$NF$60=H$1),0),$F302-1966)</f>
        <v>8795.7209999999995</v>
      </c>
      <c r="I302" s="4" cm="1">
        <f t="array" ref="I302">INDEX(GMW!$A$2:$NF$60,MATCH(1,(GMW!$NE$2:$NE$60=I$3)*(GMW!$ND$2:$ND$60=I$4)*(GMW!$NF$2:$NF$60=I$1),0),$F302-1966)</f>
        <v>138944.9</v>
      </c>
      <c r="J302" s="4" cm="1">
        <f t="array" ref="J302">INDEX(GMW!$A$2:$NF$60,MATCH(1,(GMW!$NE$2:$NE$60=J$3)*(GMW!$ND$2:$ND$60=J$4)*(GMW!$NF$2:$NF$60=J$1),0),$F302-1966)</f>
        <v>1115.279</v>
      </c>
      <c r="K302" s="4" cm="1">
        <f t="array" ref="K302">INDEX(GMW!$A$2:$NF$60,MATCH(1,(GMW!$NE$2:$NE$60=K$3)*(GMW!$ND$2:$ND$60=K$4)*(GMW!$NF$2:$NF$60=K$1),0),$F302-1966)</f>
        <v>778.20119999999997</v>
      </c>
      <c r="L302" s="4" cm="1">
        <f t="array" ref="L302">INDEX(GMW!$A$2:$NF$60,MATCH(1,(GMW!$NE$2:$NE$60=L$3)*(GMW!$ND$2:$ND$60=L$4)*(GMW!$NF$2:$NF$60=L$1),0),$F302-1966)</f>
        <v>520.42409999999995</v>
      </c>
      <c r="M302" s="4" cm="1">
        <f t="array" ref="M302">INDEX(GMW!$A$2:$NF$60,MATCH(1,(GMW!$NE$2:$NE$60=M$3)*(GMW!$ND$2:$ND$60=M$4)*(GMW!$NF$2:$NF$60=M$1),0),$F302-1966)</f>
        <v>923011.5</v>
      </c>
      <c r="N302" s="4" cm="1">
        <f t="array" ref="N302">INDEX(GMW!$A$2:$NF$60,MATCH(1,(GMW!$NE$2:$NE$60=N$3)*(GMW!$ND$2:$ND$60=N$4)*(GMW!$NF$2:$NF$60=N$1),0),$F302-1966)</f>
        <v>-97980.5</v>
      </c>
      <c r="O302" s="4" cm="1">
        <f t="array" ref="O302">INDEX(GMW!$A$2:$NF$60,MATCH(1,(GMW!$NE$2:$NE$60=O$3)*(GMW!$ND$2:$ND$60=O$4)*(GMW!$NF$2:$NF$60=O$1),0),$F302-1966)</f>
        <v>-1113.3019999999999</v>
      </c>
      <c r="P302" s="4" cm="1">
        <f t="array" ref="P302">INDEX(GMW!$A$2:$NF$60,MATCH(1,(GMW!$NE$2:$NE$60=P$3)*(GMW!$ND$2:$ND$60=P$4)*(GMW!$NF$2:$NF$60=P$1),0),$F302-1966)</f>
        <v>-1935.6410000000001</v>
      </c>
      <c r="Q302" s="4" cm="1">
        <f t="array" ref="Q302">INDEX(GMW!$A$2:$NF$60,MATCH(1,(GMW!$NE$2:$NE$60=Q$3)*(GMW!$ND$2:$ND$60=Q$4)*(GMW!$NF$2:$NF$60=Q$1),0),$F302-1966)</f>
        <v>-30.839970000000001</v>
      </c>
      <c r="R302" s="4" cm="1">
        <f t="array" ref="R302">INDEX(GMW!$A$2:$NF$60,MATCH(1,(GMW!$NE$2:$NE$60=R$3)*(GMW!$ND$2:$ND$60=R$4)*(GMW!$NF$2:$NF$60=R$1),0),$F302-1966)</f>
        <v>-44.805909999999997</v>
      </c>
      <c r="S302" s="4" cm="1">
        <f t="array" ref="S302">INDEX(GMW!$A$2:$NF$60,MATCH(1,(GMW!$NE$2:$NE$60=S$3)*(GMW!$ND$2:$ND$60=S$4)*(GMW!$NF$2:$NF$60=S$1),0),$F302-1966)</f>
        <v>-16.00226</v>
      </c>
      <c r="T302" s="4" cm="1">
        <f t="array" ref="T302">INDEX(GMW!$A$2:$NF$60,MATCH(1,(GMW!$NE$2:$NE$60=T$3)*(GMW!$ND$2:$ND$60=T$4)*(GMW!$NF$2:$NF$60=T$1),0),$F302-1966)</f>
        <v>-42785.13</v>
      </c>
      <c r="U302" s="4" cm="1">
        <f t="array" ref="U302">INDEX(GMW!$A$2:$NF$60,MATCH(1,(GMW!$NE$2:$NE$60=U$3)*(GMW!$ND$2:$ND$60=U$4)*(GMW!$NF$2:$NF$60=U$1),0),$F302-1966)</f>
        <v>6534411</v>
      </c>
      <c r="V302" s="4" cm="1">
        <f t="array" ref="V302">INDEX(GMW!$A$2:$NF$60,MATCH(1,(GMW!$NE$2:$NE$60=V$3)*(GMW!$ND$2:$ND$60=V$4)*(GMW!$NF$2:$NF$60=V$1),0),$F302-1966)</f>
        <v>119407.1</v>
      </c>
      <c r="W302" s="4" cm="1">
        <f t="array" ref="W302">INDEX(GMW!$A$2:$NF$60,MATCH(1,(GMW!$NE$2:$NE$60=W$3)*(GMW!$ND$2:$ND$60=W$4)*(GMW!$NF$2:$NF$60=W$1),0),$F302-1966)</f>
        <v>1618727</v>
      </c>
      <c r="X302" s="4" cm="1">
        <f t="array" ref="X302">INDEX(GMW!$A$2:$NF$60,MATCH(1,(GMW!$NE$2:$NE$60=X$3)*(GMW!$ND$2:$ND$60=X$4)*(GMW!$NF$2:$NF$60=X$1),0),$F302-1966)</f>
        <v>5163.951</v>
      </c>
      <c r="Y302" s="4" cm="1">
        <f t="array" ref="Y302">INDEX(GMW!$A$2:$NF$60,MATCH(1,(GMW!$NE$2:$NE$60=Y$3)*(GMW!$ND$2:$ND$60=Y$4)*(GMW!$NF$2:$NF$60=Y$1),0),$F302-1966)</f>
        <v>7030.4530000000004</v>
      </c>
      <c r="Z302" s="4" cm="1">
        <f t="array" ref="Z302">INDEX(GMW!$A$2:$NF$60,MATCH(1,(GMW!$NE$2:$NE$60=Z$3)*(GMW!$ND$2:$ND$60=Z$4)*(GMW!$NF$2:$NF$60=Z$1),0),$F302-1966)</f>
        <v>4697.0029999999997</v>
      </c>
      <c r="AA302" s="4" cm="1">
        <f t="array" ref="AA302">INDEX(GMW!$A$2:$NF$60,MATCH(1,(GMW!$NE$2:$NE$60=AA$3)*(GMW!$ND$2:$ND$60=AA$4)*(GMW!$NF$2:$NF$60=AA$1),0),$F302-1966)</f>
        <v>6045051</v>
      </c>
      <c r="AB302" s="4" cm="1">
        <f t="array" ref="AB302">INDEX(GMW!$A$2:$NF$60,MATCH(1,(GMW!$NE$2:$NE$60=AB$3)*(GMW!$ND$2:$ND$60=AB$4)*(GMW!$NF$2:$NF$60=AB$1),0),$F302-1966)</f>
        <v>1633703</v>
      </c>
      <c r="AC302" s="4" cm="1">
        <f t="array" ref="AC302">INDEX(GMW!$A$2:$NF$60,MATCH(1,(GMW!$NE$2:$NE$60=AC$3)*(GMW!$ND$2:$ND$60=AC$4)*(GMW!$NF$2:$NF$60=AC$1),0),$F302-1966)</f>
        <v>16784.689999999999</v>
      </c>
      <c r="AD302" s="4" cm="1">
        <f t="array" ref="AD302">INDEX(GMW!$A$2:$NF$60,MATCH(1,(GMW!$NE$2:$NE$60=AD$3)*(GMW!$ND$2:$ND$60=AD$4)*(GMW!$NF$2:$NF$60=AD$1),0),$F302-1966)</f>
        <v>207748.4</v>
      </c>
      <c r="AE302" s="4" cm="1">
        <f t="array" ref="AE302">INDEX(GMW!$A$2:$NF$60,MATCH(1,(GMW!$NE$2:$NE$60=AE$3)*(GMW!$ND$2:$ND$60=AE$4)*(GMW!$NF$2:$NF$60=AE$1),0),$F302-1966)</f>
        <v>2165.1329999999998</v>
      </c>
      <c r="AF302" s="4" cm="1">
        <f t="array" ref="AF302">INDEX(GMW!$A$2:$NF$60,MATCH(1,(GMW!$NE$2:$NE$60=AF$3)*(GMW!$ND$2:$ND$60=AF$4)*(GMW!$NF$2:$NF$60=AF$1),0),$F302-1966)</f>
        <v>1357.8969999999999</v>
      </c>
      <c r="AG302" s="4" cm="1">
        <f t="array" ref="AG302">INDEX(GMW!$A$2:$NF$60,MATCH(1,(GMW!$NE$2:$NE$60=AG$3)*(GMW!$ND$2:$ND$60=AG$4)*(GMW!$NF$2:$NF$60=AG$1),0),$F302-1966)</f>
        <v>901.79359999999997</v>
      </c>
      <c r="AH302" s="4" cm="1">
        <f t="array" ref="AH302">INDEX(GMW!$A$2:$NF$60,MATCH(1,(GMW!$NE$2:$NE$60=AH$3)*(GMW!$ND$2:$ND$60=AH$4)*(GMW!$NF$2:$NF$60=AH$1),0),$F302-1966)</f>
        <v>1789887</v>
      </c>
    </row>
    <row r="303" spans="1:34" x14ac:dyDescent="0.25">
      <c r="A303" s="4">
        <v>2047</v>
      </c>
      <c r="B303" s="4">
        <f t="shared" si="99"/>
        <v>2047</v>
      </c>
      <c r="C303" s="4">
        <f t="shared" si="99"/>
        <v>2046</v>
      </c>
      <c r="D303" s="4">
        <f t="shared" si="99"/>
        <v>2046</v>
      </c>
      <c r="F303" s="4">
        <f t="shared" si="80"/>
        <v>2269</v>
      </c>
      <c r="G303" s="4" cm="1">
        <f t="array" ref="G303">INDEX(GMW!$A$2:$NF$60,MATCH(1,(GMW!$NE$2:$NE$60=G$3)*(GMW!$ND$2:$ND$60=G$4)*(GMW!$NF$2:$NF$60=G$1),0),$F303-1966)</f>
        <v>901236.2</v>
      </c>
      <c r="H303" s="4" cm="1">
        <f t="array" ref="H303">INDEX(GMW!$A$2:$NF$60,MATCH(1,(GMW!$NE$2:$NE$60=H$3)*(GMW!$ND$2:$ND$60=H$4)*(GMW!$NF$2:$NF$60=H$1),0),$F303-1966)</f>
        <v>8831.57</v>
      </c>
      <c r="I303" s="4" cm="1">
        <f t="array" ref="I303">INDEX(GMW!$A$2:$NF$60,MATCH(1,(GMW!$NE$2:$NE$60=I$3)*(GMW!$ND$2:$ND$60=I$4)*(GMW!$NF$2:$NF$60=I$1),0),$F303-1966)</f>
        <v>138953.20000000001</v>
      </c>
      <c r="J303" s="4" cm="1">
        <f t="array" ref="J303">INDEX(GMW!$A$2:$NF$60,MATCH(1,(GMW!$NE$2:$NE$60=J$3)*(GMW!$ND$2:$ND$60=J$4)*(GMW!$NF$2:$NF$60=J$1),0),$F303-1966)</f>
        <v>1117.579</v>
      </c>
      <c r="K303" s="4" cm="1">
        <f t="array" ref="K303">INDEX(GMW!$A$2:$NF$60,MATCH(1,(GMW!$NE$2:$NE$60=K$3)*(GMW!$ND$2:$ND$60=K$4)*(GMW!$NF$2:$NF$60=K$1),0),$F303-1966)</f>
        <v>778.90200000000004</v>
      </c>
      <c r="L303" s="4" cm="1">
        <f t="array" ref="L303">INDEX(GMW!$A$2:$NF$60,MATCH(1,(GMW!$NE$2:$NE$60=L$3)*(GMW!$ND$2:$ND$60=L$4)*(GMW!$NF$2:$NF$60=L$1),0),$F303-1966)</f>
        <v>520.71950000000004</v>
      </c>
      <c r="M303" s="4" cm="1">
        <f t="array" ref="M303">INDEX(GMW!$A$2:$NF$60,MATCH(1,(GMW!$NE$2:$NE$60=M$3)*(GMW!$ND$2:$ND$60=M$4)*(GMW!$NF$2:$NF$60=M$1),0),$F303-1966)</f>
        <v>927347</v>
      </c>
      <c r="N303" s="4" cm="1">
        <f t="array" ref="N303">INDEX(GMW!$A$2:$NF$60,MATCH(1,(GMW!$NE$2:$NE$60=N$3)*(GMW!$ND$2:$ND$60=N$4)*(GMW!$NF$2:$NF$60=N$1),0),$F303-1966)</f>
        <v>-4691.5630000000001</v>
      </c>
      <c r="O303" s="4" cm="1">
        <f t="array" ref="O303">INDEX(GMW!$A$2:$NF$60,MATCH(1,(GMW!$NE$2:$NE$60=O$3)*(GMW!$ND$2:$ND$60=O$4)*(GMW!$NF$2:$NF$60=O$1),0),$F303-1966)</f>
        <v>-1115.192</v>
      </c>
      <c r="P303" s="4" cm="1">
        <f t="array" ref="P303">INDEX(GMW!$A$2:$NF$60,MATCH(1,(GMW!$NE$2:$NE$60=P$3)*(GMW!$ND$2:$ND$60=P$4)*(GMW!$NF$2:$NF$60=P$1),0),$F303-1966)</f>
        <v>-1942.9380000000001</v>
      </c>
      <c r="Q303" s="4" cm="1">
        <f t="array" ref="Q303">INDEX(GMW!$A$2:$NF$60,MATCH(1,(GMW!$NE$2:$NE$60=Q$3)*(GMW!$ND$2:$ND$60=Q$4)*(GMW!$NF$2:$NF$60=Q$1),0),$F303-1966)</f>
        <v>-31.047969999999999</v>
      </c>
      <c r="R303" s="4" cm="1">
        <f t="array" ref="R303">INDEX(GMW!$A$2:$NF$60,MATCH(1,(GMW!$NE$2:$NE$60=R$3)*(GMW!$ND$2:$ND$60=R$4)*(GMW!$NF$2:$NF$60=R$1),0),$F303-1966)</f>
        <v>-45.07159</v>
      </c>
      <c r="S303" s="4" cm="1">
        <f t="array" ref="S303">INDEX(GMW!$A$2:$NF$60,MATCH(1,(GMW!$NE$2:$NE$60=S$3)*(GMW!$ND$2:$ND$60=S$4)*(GMW!$NF$2:$NF$60=S$1),0),$F303-1966)</f>
        <v>-16.089200000000002</v>
      </c>
      <c r="T303" s="4" cm="1">
        <f t="array" ref="T303">INDEX(GMW!$A$2:$NF$60,MATCH(1,(GMW!$NE$2:$NE$60=T$3)*(GMW!$ND$2:$ND$60=T$4)*(GMW!$NF$2:$NF$60=T$1),0),$F303-1966)</f>
        <v>-43277.94</v>
      </c>
      <c r="U303" s="4" cm="1">
        <f t="array" ref="U303">INDEX(GMW!$A$2:$NF$60,MATCH(1,(GMW!$NE$2:$NE$60=U$3)*(GMW!$ND$2:$ND$60=U$4)*(GMW!$NF$2:$NF$60=U$1),0),$F303-1966)</f>
        <v>6539102</v>
      </c>
      <c r="V303" s="4" cm="1">
        <f t="array" ref="V303">INDEX(GMW!$A$2:$NF$60,MATCH(1,(GMW!$NE$2:$NE$60=V$3)*(GMW!$ND$2:$ND$60=V$4)*(GMW!$NF$2:$NF$60=V$1),0),$F303-1966)</f>
        <v>120522.3</v>
      </c>
      <c r="W303" s="4" cm="1">
        <f t="array" ref="W303">INDEX(GMW!$A$2:$NF$60,MATCH(1,(GMW!$NE$2:$NE$60=W$3)*(GMW!$ND$2:$ND$60=W$4)*(GMW!$NF$2:$NF$60=W$1),0),$F303-1966)</f>
        <v>1620670</v>
      </c>
      <c r="X303" s="4" cm="1">
        <f t="array" ref="X303">INDEX(GMW!$A$2:$NF$60,MATCH(1,(GMW!$NE$2:$NE$60=X$3)*(GMW!$ND$2:$ND$60=X$4)*(GMW!$NF$2:$NF$60=X$1),0),$F303-1966)</f>
        <v>5194.9989999999998</v>
      </c>
      <c r="Y303" s="4" cm="1">
        <f t="array" ref="Y303">INDEX(GMW!$A$2:$NF$60,MATCH(1,(GMW!$NE$2:$NE$60=Y$3)*(GMW!$ND$2:$ND$60=Y$4)*(GMW!$NF$2:$NF$60=Y$1),0),$F303-1966)</f>
        <v>7075.5249999999996</v>
      </c>
      <c r="Z303" s="4" cm="1">
        <f t="array" ref="Z303">INDEX(GMW!$A$2:$NF$60,MATCH(1,(GMW!$NE$2:$NE$60=Z$3)*(GMW!$ND$2:$ND$60=Z$4)*(GMW!$NF$2:$NF$60=Z$1),0),$F303-1966)</f>
        <v>4713.0919999999996</v>
      </c>
      <c r="AA303" s="4" cm="1">
        <f t="array" ref="AA303">INDEX(GMW!$A$2:$NF$60,MATCH(1,(GMW!$NE$2:$NE$60=AA$3)*(GMW!$ND$2:$ND$60=AA$4)*(GMW!$NF$2:$NF$60=AA$1),0),$F303-1966)</f>
        <v>6088329</v>
      </c>
      <c r="AB303" s="4" cm="1">
        <f t="array" ref="AB303">INDEX(GMW!$A$2:$NF$60,MATCH(1,(GMW!$NE$2:$NE$60=AB$3)*(GMW!$ND$2:$ND$60=AB$4)*(GMW!$NF$2:$NF$60=AB$1),0),$F303-1966)</f>
        <v>1648366</v>
      </c>
      <c r="AC303" s="4" cm="1">
        <f t="array" ref="AC303">INDEX(GMW!$A$2:$NF$60,MATCH(1,(GMW!$NE$2:$NE$60=AC$3)*(GMW!$ND$2:$ND$60=AC$4)*(GMW!$NF$2:$NF$60=AC$1),0),$F303-1966)</f>
        <v>16932.25</v>
      </c>
      <c r="AD303" s="4" cm="1">
        <f t="array" ref="AD303">INDEX(GMW!$A$2:$NF$60,MATCH(1,(GMW!$NE$2:$NE$60=AD$3)*(GMW!$ND$2:$ND$60=AD$4)*(GMW!$NF$2:$NF$60=AD$1),0),$F303-1966)</f>
        <v>208549</v>
      </c>
      <c r="AE303" s="4" cm="1">
        <f t="array" ref="AE303">INDEX(GMW!$A$2:$NF$60,MATCH(1,(GMW!$NE$2:$NE$60=AE$3)*(GMW!$ND$2:$ND$60=AE$4)*(GMW!$NF$2:$NF$60=AE$1),0),$F303-1966)</f>
        <v>2180.3609999999999</v>
      </c>
      <c r="AF303" s="4" cm="1">
        <f t="array" ref="AF303">INDEX(GMW!$A$2:$NF$60,MATCH(1,(GMW!$NE$2:$NE$60=AF$3)*(GMW!$ND$2:$ND$60=AF$4)*(GMW!$NF$2:$NF$60=AF$1),0),$F303-1966)</f>
        <v>1365.749</v>
      </c>
      <c r="AG303" s="4" cm="1">
        <f t="array" ref="AG303">INDEX(GMW!$A$2:$NF$60,MATCH(1,(GMW!$NE$2:$NE$60=AG$3)*(GMW!$ND$2:$ND$60=AG$4)*(GMW!$NF$2:$NF$60=AG$1),0),$F303-1966)</f>
        <v>906.77229999999997</v>
      </c>
      <c r="AH303" s="4" cm="1">
        <f t="array" ref="AH303">INDEX(GMW!$A$2:$NF$60,MATCH(1,(GMW!$NE$2:$NE$60=AH$3)*(GMW!$ND$2:$ND$60=AH$4)*(GMW!$NF$2:$NF$60=AH$1),0),$F303-1966)</f>
        <v>1807086</v>
      </c>
    </row>
    <row r="304" spans="1:34" x14ac:dyDescent="0.25">
      <c r="B304" s="4">
        <f t="shared" si="99"/>
        <v>2047</v>
      </c>
      <c r="C304" s="4">
        <f t="shared" si="99"/>
        <v>2047</v>
      </c>
      <c r="F304" s="4">
        <f t="shared" si="80"/>
        <v>2270</v>
      </c>
      <c r="G304" s="4" cm="1">
        <f t="array" ref="G304">INDEX(GMW!$A$2:$NF$60,MATCH(1,(GMW!$NE$2:$NE$60=G$3)*(GMW!$ND$2:$ND$60=G$4)*(GMW!$NF$2:$NF$60=G$1),0),$F304-1966)</f>
        <v>904488.6</v>
      </c>
      <c r="H304" s="4" cm="1">
        <f t="array" ref="H304">INDEX(GMW!$A$2:$NF$60,MATCH(1,(GMW!$NE$2:$NE$60=H$3)*(GMW!$ND$2:$ND$60=H$4)*(GMW!$NF$2:$NF$60=H$1),0),$F304-1966)</f>
        <v>8867.4629999999997</v>
      </c>
      <c r="I304" s="4" cm="1">
        <f t="array" ref="I304">INDEX(GMW!$A$2:$NF$60,MATCH(1,(GMW!$NE$2:$NE$60=I$3)*(GMW!$ND$2:$ND$60=I$4)*(GMW!$NF$2:$NF$60=I$1),0),$F304-1966)</f>
        <v>138962.20000000001</v>
      </c>
      <c r="J304" s="4" cm="1">
        <f t="array" ref="J304">INDEX(GMW!$A$2:$NF$60,MATCH(1,(GMW!$NE$2:$NE$60=J$3)*(GMW!$ND$2:$ND$60=J$4)*(GMW!$NF$2:$NF$60=J$1),0),$F304-1966)</f>
        <v>1119.884</v>
      </c>
      <c r="K304" s="4" cm="1">
        <f t="array" ref="K304">INDEX(GMW!$A$2:$NF$60,MATCH(1,(GMW!$NE$2:$NE$60=K$3)*(GMW!$ND$2:$ND$60=K$4)*(GMW!$NF$2:$NF$60=K$1),0),$F304-1966)</f>
        <v>779.59839999999997</v>
      </c>
      <c r="L304" s="4" cm="1">
        <f t="array" ref="L304">INDEX(GMW!$A$2:$NF$60,MATCH(1,(GMW!$NE$2:$NE$60=L$3)*(GMW!$ND$2:$ND$60=L$4)*(GMW!$NF$2:$NF$60=L$1),0),$F304-1966)</f>
        <v>521.01260000000002</v>
      </c>
      <c r="M304" s="4" cm="1">
        <f t="array" ref="M304">INDEX(GMW!$A$2:$NF$60,MATCH(1,(GMW!$NE$2:$NE$60=M$3)*(GMW!$ND$2:$ND$60=M$4)*(GMW!$NF$2:$NF$60=M$1),0),$F304-1966)</f>
        <v>931683.1</v>
      </c>
      <c r="N304" s="4" cm="1">
        <f t="array" ref="N304">INDEX(GMW!$A$2:$NF$60,MATCH(1,(GMW!$NE$2:$NE$60=N$3)*(GMW!$ND$2:$ND$60=N$4)*(GMW!$NF$2:$NF$60=N$1),0),$F304-1966)</f>
        <v>-106834.1</v>
      </c>
      <c r="O304" s="4" cm="1">
        <f t="array" ref="O304">INDEX(GMW!$A$2:$NF$60,MATCH(1,(GMW!$NE$2:$NE$60=O$3)*(GMW!$ND$2:$ND$60=O$4)*(GMW!$NF$2:$NF$60=O$1),0),$F304-1966)</f>
        <v>-1116.981</v>
      </c>
      <c r="P304" s="4" cm="1">
        <f t="array" ref="P304">INDEX(GMW!$A$2:$NF$60,MATCH(1,(GMW!$NE$2:$NE$60=P$3)*(GMW!$ND$2:$ND$60=P$4)*(GMW!$NF$2:$NF$60=P$1),0),$F304-1966)</f>
        <v>-1950.43</v>
      </c>
      <c r="Q304" s="4" cm="1">
        <f t="array" ref="Q304">INDEX(GMW!$A$2:$NF$60,MATCH(1,(GMW!$NE$2:$NE$60=Q$3)*(GMW!$ND$2:$ND$60=Q$4)*(GMW!$NF$2:$NF$60=Q$1),0),$F304-1966)</f>
        <v>-31.256959999999999</v>
      </c>
      <c r="R304" s="4" cm="1">
        <f t="array" ref="R304">INDEX(GMW!$A$2:$NF$60,MATCH(1,(GMW!$NE$2:$NE$60=R$3)*(GMW!$ND$2:$ND$60=R$4)*(GMW!$NF$2:$NF$60=R$1),0),$F304-1966)</f>
        <v>-45.330199999999998</v>
      </c>
      <c r="S304" s="4" cm="1">
        <f t="array" ref="S304">INDEX(GMW!$A$2:$NF$60,MATCH(1,(GMW!$NE$2:$NE$60=S$3)*(GMW!$ND$2:$ND$60=S$4)*(GMW!$NF$2:$NF$60=S$1),0),$F304-1966)</f>
        <v>-16.178039999999999</v>
      </c>
      <c r="T304" s="4" cm="1">
        <f t="array" ref="T304">INDEX(GMW!$A$2:$NF$60,MATCH(1,(GMW!$NE$2:$NE$60=T$3)*(GMW!$ND$2:$ND$60=T$4)*(GMW!$NF$2:$NF$60=T$1),0),$F304-1966)</f>
        <v>-43726.06</v>
      </c>
      <c r="U304" s="4" cm="1">
        <f t="array" ref="U304">INDEX(GMW!$A$2:$NF$60,MATCH(1,(GMW!$NE$2:$NE$60=U$3)*(GMW!$ND$2:$ND$60=U$4)*(GMW!$NF$2:$NF$60=U$1),0),$F304-1966)</f>
        <v>6645936</v>
      </c>
      <c r="V304" s="4" cm="1">
        <f t="array" ref="V304">INDEX(GMW!$A$2:$NF$60,MATCH(1,(GMW!$NE$2:$NE$60=V$3)*(GMW!$ND$2:$ND$60=V$4)*(GMW!$NF$2:$NF$60=V$1),0),$F304-1966)</f>
        <v>121639.3</v>
      </c>
      <c r="W304" s="4" cm="1">
        <f t="array" ref="W304">INDEX(GMW!$A$2:$NF$60,MATCH(1,(GMW!$NE$2:$NE$60=W$3)*(GMW!$ND$2:$ND$60=W$4)*(GMW!$NF$2:$NF$60=W$1),0),$F304-1966)</f>
        <v>1622620</v>
      </c>
      <c r="X304" s="4" cm="1">
        <f t="array" ref="X304">INDEX(GMW!$A$2:$NF$60,MATCH(1,(GMW!$NE$2:$NE$60=X$3)*(GMW!$ND$2:$ND$60=X$4)*(GMW!$NF$2:$NF$60=X$1),0),$F304-1966)</f>
        <v>5226.2560000000003</v>
      </c>
      <c r="Y304" s="4" cm="1">
        <f t="array" ref="Y304">INDEX(GMW!$A$2:$NF$60,MATCH(1,(GMW!$NE$2:$NE$60=Y$3)*(GMW!$ND$2:$ND$60=Y$4)*(GMW!$NF$2:$NF$60=Y$1),0),$F304-1966)</f>
        <v>7120.8549999999996</v>
      </c>
      <c r="Z304" s="4" cm="1">
        <f t="array" ref="Z304">INDEX(GMW!$A$2:$NF$60,MATCH(1,(GMW!$NE$2:$NE$60=Z$3)*(GMW!$ND$2:$ND$60=Z$4)*(GMW!$NF$2:$NF$60=Z$1),0),$F304-1966)</f>
        <v>4729.2709999999997</v>
      </c>
      <c r="AA304" s="4" cm="1">
        <f t="array" ref="AA304">INDEX(GMW!$A$2:$NF$60,MATCH(1,(GMW!$NE$2:$NE$60=AA$3)*(GMW!$ND$2:$ND$60=AA$4)*(GMW!$NF$2:$NF$60=AA$1),0),$F304-1966)</f>
        <v>6132055</v>
      </c>
      <c r="AB304" s="4" cm="1">
        <f t="array" ref="AB304">INDEX(GMW!$A$2:$NF$60,MATCH(1,(GMW!$NE$2:$NE$60=AB$3)*(GMW!$ND$2:$ND$60=AB$4)*(GMW!$NF$2:$NF$60=AB$1),0),$F304-1966)</f>
        <v>1663157</v>
      </c>
      <c r="AC304" s="4" cm="1">
        <f t="array" ref="AC304">INDEX(GMW!$A$2:$NF$60,MATCH(1,(GMW!$NE$2:$NE$60=AC$3)*(GMW!$ND$2:$ND$60=AC$4)*(GMW!$NF$2:$NF$60=AC$1),0),$F304-1966)</f>
        <v>17080.96</v>
      </c>
      <c r="AD304" s="4" cm="1">
        <f t="array" ref="AD304">INDEX(GMW!$A$2:$NF$60,MATCH(1,(GMW!$NE$2:$NE$60=AD$3)*(GMW!$ND$2:$ND$60=AD$4)*(GMW!$NF$2:$NF$60=AD$1),0),$F304-1966)</f>
        <v>209346</v>
      </c>
      <c r="AE304" s="4" cm="1">
        <f t="array" ref="AE304">INDEX(GMW!$A$2:$NF$60,MATCH(1,(GMW!$NE$2:$NE$60=AE$3)*(GMW!$ND$2:$ND$60=AE$4)*(GMW!$NF$2:$NF$60=AE$1),0),$F304-1966)</f>
        <v>2195.6959999999999</v>
      </c>
      <c r="AF304" s="4" cm="1">
        <f t="array" ref="AF304">INDEX(GMW!$A$2:$NF$60,MATCH(1,(GMW!$NE$2:$NE$60=AF$3)*(GMW!$ND$2:$ND$60=AF$4)*(GMW!$NF$2:$NF$60=AF$1),0),$F304-1966)</f>
        <v>1373.7929999999999</v>
      </c>
      <c r="AG304" s="4" cm="1">
        <f t="array" ref="AG304">INDEX(GMW!$A$2:$NF$60,MATCH(1,(GMW!$NE$2:$NE$60=AG$3)*(GMW!$ND$2:$ND$60=AG$4)*(GMW!$NF$2:$NF$60=AG$1),0),$F304-1966)</f>
        <v>911.81510000000003</v>
      </c>
      <c r="AH304" s="4" cm="1">
        <f t="array" ref="AH304">INDEX(GMW!$A$2:$NF$60,MATCH(1,(GMW!$NE$2:$NE$60=AH$3)*(GMW!$ND$2:$ND$60=AH$4)*(GMW!$NF$2:$NF$60=AH$1),0),$F304-1966)</f>
        <v>1824411</v>
      </c>
    </row>
    <row r="305" spans="1:34" x14ac:dyDescent="0.25">
      <c r="B305" s="4">
        <f t="shared" si="99"/>
        <v>2047</v>
      </c>
      <c r="C305" s="4">
        <f t="shared" si="99"/>
        <v>2047</v>
      </c>
      <c r="F305" s="4">
        <f t="shared" ref="F305:F358" si="101">+F304+1</f>
        <v>2271</v>
      </c>
      <c r="G305" s="4" cm="1">
        <f t="array" ref="G305">INDEX(GMW!$A$2:$NF$60,MATCH(1,(GMW!$NE$2:$NE$60=G$3)*(GMW!$ND$2:$ND$60=G$4)*(GMW!$NF$2:$NF$60=G$1),0),$F305-1966)</f>
        <v>907697.1</v>
      </c>
      <c r="H305" s="4" cm="1">
        <f t="array" ref="H305">INDEX(GMW!$A$2:$NF$60,MATCH(1,(GMW!$NE$2:$NE$60=H$3)*(GMW!$ND$2:$ND$60=H$4)*(GMW!$NF$2:$NF$60=H$1),0),$F305-1966)</f>
        <v>8903.4770000000008</v>
      </c>
      <c r="I305" s="4" cm="1">
        <f t="array" ref="I305">INDEX(GMW!$A$2:$NF$60,MATCH(1,(GMW!$NE$2:$NE$60=I$3)*(GMW!$ND$2:$ND$60=I$4)*(GMW!$NF$2:$NF$60=I$1),0),$F305-1966)</f>
        <v>138976.6</v>
      </c>
      <c r="J305" s="4" cm="1">
        <f t="array" ref="J305">INDEX(GMW!$A$2:$NF$60,MATCH(1,(GMW!$NE$2:$NE$60=J$3)*(GMW!$ND$2:$ND$60=J$4)*(GMW!$NF$2:$NF$60=J$1),0),$F305-1966)</f>
        <v>1122.194</v>
      </c>
      <c r="K305" s="4" cm="1">
        <f t="array" ref="K305">INDEX(GMW!$A$2:$NF$60,MATCH(1,(GMW!$NE$2:$NE$60=K$3)*(GMW!$ND$2:$ND$60=K$4)*(GMW!$NF$2:$NF$60=K$1),0),$F305-1966)</f>
        <v>780.24609999999996</v>
      </c>
      <c r="L305" s="4" cm="1">
        <f t="array" ref="L305">INDEX(GMW!$A$2:$NF$60,MATCH(1,(GMW!$NE$2:$NE$60=L$3)*(GMW!$ND$2:$ND$60=L$4)*(GMW!$NF$2:$NF$60=L$1),0),$F305-1966)</f>
        <v>521.30460000000005</v>
      </c>
      <c r="M305" s="4" cm="1">
        <f t="array" ref="M305">INDEX(GMW!$A$2:$NF$60,MATCH(1,(GMW!$NE$2:$NE$60=M$3)*(GMW!$ND$2:$ND$60=M$4)*(GMW!$NF$2:$NF$60=M$1),0),$F305-1966)</f>
        <v>936015.4</v>
      </c>
      <c r="N305" s="4" cm="1">
        <f t="array" ref="N305">INDEX(GMW!$A$2:$NF$60,MATCH(1,(GMW!$NE$2:$NE$60=N$3)*(GMW!$ND$2:$ND$60=N$4)*(GMW!$NF$2:$NF$60=N$1),0),$F305-1966)</f>
        <v>-57639.5</v>
      </c>
      <c r="O305" s="4" cm="1">
        <f t="array" ref="O305">INDEX(GMW!$A$2:$NF$60,MATCH(1,(GMW!$NE$2:$NE$60=O$3)*(GMW!$ND$2:$ND$60=O$4)*(GMW!$NF$2:$NF$60=O$1),0),$F305-1966)</f>
        <v>-1118.672</v>
      </c>
      <c r="P305" s="4" cm="1">
        <f t="array" ref="P305">INDEX(GMW!$A$2:$NF$60,MATCH(1,(GMW!$NE$2:$NE$60=P$3)*(GMW!$ND$2:$ND$60=P$4)*(GMW!$NF$2:$NF$60=P$1),0),$F305-1966)</f>
        <v>-1957.875</v>
      </c>
      <c r="Q305" s="4" cm="1">
        <f t="array" ref="Q305">INDEX(GMW!$A$2:$NF$60,MATCH(1,(GMW!$NE$2:$NE$60=Q$3)*(GMW!$ND$2:$ND$60=Q$4)*(GMW!$NF$2:$NF$60=Q$1),0),$F305-1966)</f>
        <v>-31.468019999999999</v>
      </c>
      <c r="R305" s="4" cm="1">
        <f t="array" ref="R305">INDEX(GMW!$A$2:$NF$60,MATCH(1,(GMW!$NE$2:$NE$60=R$3)*(GMW!$ND$2:$ND$60=R$4)*(GMW!$NF$2:$NF$60=R$1),0),$F305-1966)</f>
        <v>-45.600650000000002</v>
      </c>
      <c r="S305" s="4" cm="1">
        <f t="array" ref="S305">INDEX(GMW!$A$2:$NF$60,MATCH(1,(GMW!$NE$2:$NE$60=S$3)*(GMW!$ND$2:$ND$60=S$4)*(GMW!$NF$2:$NF$60=S$1),0),$F305-1966)</f>
        <v>-16.26801</v>
      </c>
      <c r="T305" s="4" cm="1">
        <f t="array" ref="T305">INDEX(GMW!$A$2:$NF$60,MATCH(1,(GMW!$NE$2:$NE$60=T$3)*(GMW!$ND$2:$ND$60=T$4)*(GMW!$NF$2:$NF$60=T$1),0),$F305-1966)</f>
        <v>-44024.88</v>
      </c>
      <c r="U305" s="4" cm="1">
        <f t="array" ref="U305">INDEX(GMW!$A$2:$NF$60,MATCH(1,(GMW!$NE$2:$NE$60=U$3)*(GMW!$ND$2:$ND$60=U$4)*(GMW!$NF$2:$NF$60=U$1),0),$F305-1966)</f>
        <v>6703576</v>
      </c>
      <c r="V305" s="4" cm="1">
        <f t="array" ref="V305">INDEX(GMW!$A$2:$NF$60,MATCH(1,(GMW!$NE$2:$NE$60=V$3)*(GMW!$ND$2:$ND$60=V$4)*(GMW!$NF$2:$NF$60=V$1),0),$F305-1966)</f>
        <v>122757.9</v>
      </c>
      <c r="W305" s="4" cm="1">
        <f t="array" ref="W305">INDEX(GMW!$A$2:$NF$60,MATCH(1,(GMW!$NE$2:$NE$60=W$3)*(GMW!$ND$2:$ND$60=W$4)*(GMW!$NF$2:$NF$60=W$1),0),$F305-1966)</f>
        <v>1624578</v>
      </c>
      <c r="X305" s="4" cm="1">
        <f t="array" ref="X305">INDEX(GMW!$A$2:$NF$60,MATCH(1,(GMW!$NE$2:$NE$60=X$3)*(GMW!$ND$2:$ND$60=X$4)*(GMW!$NF$2:$NF$60=X$1),0),$F305-1966)</f>
        <v>5257.7240000000002</v>
      </c>
      <c r="Y305" s="4" cm="1">
        <f t="array" ref="Y305">INDEX(GMW!$A$2:$NF$60,MATCH(1,(GMW!$NE$2:$NE$60=Y$3)*(GMW!$ND$2:$ND$60=Y$4)*(GMW!$NF$2:$NF$60=Y$1),0),$F305-1966)</f>
        <v>7166.4560000000001</v>
      </c>
      <c r="Z305" s="4" cm="1">
        <f t="array" ref="Z305">INDEX(GMW!$A$2:$NF$60,MATCH(1,(GMW!$NE$2:$NE$60=Z$3)*(GMW!$ND$2:$ND$60=Z$4)*(GMW!$NF$2:$NF$60=Z$1),0),$F305-1966)</f>
        <v>4745.5389999999998</v>
      </c>
      <c r="AA305" s="4" cm="1">
        <f t="array" ref="AA305">INDEX(GMW!$A$2:$NF$60,MATCH(1,(GMW!$NE$2:$NE$60=AA$3)*(GMW!$ND$2:$ND$60=AA$4)*(GMW!$NF$2:$NF$60=AA$1),0),$F305-1966)</f>
        <v>6176080</v>
      </c>
      <c r="AB305" s="4" cm="1">
        <f t="array" ref="AB305">INDEX(GMW!$A$2:$NF$60,MATCH(1,(GMW!$NE$2:$NE$60=AB$3)*(GMW!$ND$2:$ND$60=AB$4)*(GMW!$NF$2:$NF$60=AB$1),0),$F305-1966)</f>
        <v>1677978</v>
      </c>
      <c r="AC305" s="4" cm="1">
        <f t="array" ref="AC305">INDEX(GMW!$A$2:$NF$60,MATCH(1,(GMW!$NE$2:$NE$60=AC$3)*(GMW!$ND$2:$ND$60=AC$4)*(GMW!$NF$2:$NF$60=AC$1),0),$F305-1966)</f>
        <v>17230.939999999999</v>
      </c>
      <c r="AD305" s="4" cm="1">
        <f t="array" ref="AD305">INDEX(GMW!$A$2:$NF$60,MATCH(1,(GMW!$NE$2:$NE$60=AD$3)*(GMW!$ND$2:$ND$60=AD$4)*(GMW!$NF$2:$NF$60=AD$1),0),$F305-1966)</f>
        <v>210153.3</v>
      </c>
      <c r="AE305" s="4" cm="1">
        <f t="array" ref="AE305">INDEX(GMW!$A$2:$NF$60,MATCH(1,(GMW!$NE$2:$NE$60=AE$3)*(GMW!$ND$2:$ND$60=AE$4)*(GMW!$NF$2:$NF$60=AE$1),0),$F305-1966)</f>
        <v>2211.1419999999998</v>
      </c>
      <c r="AF305" s="4" cm="1">
        <f t="array" ref="AF305">INDEX(GMW!$A$2:$NF$60,MATCH(1,(GMW!$NE$2:$NE$60=AF$3)*(GMW!$ND$2:$ND$60=AF$4)*(GMW!$NF$2:$NF$60=AF$1),0),$F305-1966)</f>
        <v>1381.723</v>
      </c>
      <c r="AG305" s="4" cm="1">
        <f t="array" ref="AG305">INDEX(GMW!$A$2:$NF$60,MATCH(1,(GMW!$NE$2:$NE$60=AG$3)*(GMW!$ND$2:$ND$60=AG$4)*(GMW!$NF$2:$NF$60=AG$1),0),$F305-1966)</f>
        <v>916.88490000000002</v>
      </c>
      <c r="AH305" s="4" cm="1">
        <f t="array" ref="AH305">INDEX(GMW!$A$2:$NF$60,MATCH(1,(GMW!$NE$2:$NE$60=AH$3)*(GMW!$ND$2:$ND$60=AH$4)*(GMW!$NF$2:$NF$60=AH$1),0),$F305-1966)</f>
        <v>1841851</v>
      </c>
    </row>
    <row r="306" spans="1:34" x14ac:dyDescent="0.25">
      <c r="B306" s="4">
        <f t="shared" si="99"/>
        <v>2047</v>
      </c>
      <c r="C306" s="4">
        <f t="shared" si="99"/>
        <v>2047</v>
      </c>
      <c r="E306" s="4">
        <f t="shared" ref="E306" si="102">+E302+1</f>
        <v>2047</v>
      </c>
      <c r="F306" s="4">
        <f t="shared" si="101"/>
        <v>2272</v>
      </c>
      <c r="G306" s="4" cm="1">
        <f t="array" ref="G306">INDEX(GMW!$A$2:$NF$60,MATCH(1,(GMW!$NE$2:$NE$60=G$3)*(GMW!$ND$2:$ND$60=G$4)*(GMW!$NF$2:$NF$60=G$1),0),$F306-1966)</f>
        <v>910914.5</v>
      </c>
      <c r="H306" s="4" cm="1">
        <f t="array" ref="H306">INDEX(GMW!$A$2:$NF$60,MATCH(1,(GMW!$NE$2:$NE$60=H$3)*(GMW!$ND$2:$ND$60=H$4)*(GMW!$NF$2:$NF$60=H$1),0),$F306-1966)</f>
        <v>8939.4879999999994</v>
      </c>
      <c r="I306" s="4" cm="1">
        <f t="array" ref="I306">INDEX(GMW!$A$2:$NF$60,MATCH(1,(GMW!$NE$2:$NE$60=I$3)*(GMW!$ND$2:$ND$60=I$4)*(GMW!$NF$2:$NF$60=I$1),0),$F306-1966)</f>
        <v>138995.6</v>
      </c>
      <c r="J306" s="4" cm="1">
        <f t="array" ref="J306">INDEX(GMW!$A$2:$NF$60,MATCH(1,(GMW!$NE$2:$NE$60=J$3)*(GMW!$ND$2:$ND$60=J$4)*(GMW!$NF$2:$NF$60=J$1),0),$F306-1966)</f>
        <v>1124.4760000000001</v>
      </c>
      <c r="K306" s="4" cm="1">
        <f t="array" ref="K306">INDEX(GMW!$A$2:$NF$60,MATCH(1,(GMW!$NE$2:$NE$60=K$3)*(GMW!$ND$2:$ND$60=K$4)*(GMW!$NF$2:$NF$60=K$1),0),$F306-1966)</f>
        <v>780.82240000000002</v>
      </c>
      <c r="L306" s="4" cm="1">
        <f t="array" ref="L306">INDEX(GMW!$A$2:$NF$60,MATCH(1,(GMW!$NE$2:$NE$60=L$3)*(GMW!$ND$2:$ND$60=L$4)*(GMW!$NF$2:$NF$60=L$1),0),$F306-1966)</f>
        <v>521.59270000000004</v>
      </c>
      <c r="M306" s="4" cm="1">
        <f t="array" ref="M306">INDEX(GMW!$A$2:$NF$60,MATCH(1,(GMW!$NE$2:$NE$60=M$3)*(GMW!$ND$2:$ND$60=M$4)*(GMW!$NF$2:$NF$60=M$1),0),$F306-1966)</f>
        <v>940334.8</v>
      </c>
      <c r="N306" s="4" cm="1">
        <f t="array" ref="N306">INDEX(GMW!$A$2:$NF$60,MATCH(1,(GMW!$NE$2:$NE$60=N$3)*(GMW!$ND$2:$ND$60=N$4)*(GMW!$NF$2:$NF$60=N$1),0),$F306-1966)</f>
        <v>-101538.1</v>
      </c>
      <c r="O306" s="4" cm="1">
        <f t="array" ref="O306">INDEX(GMW!$A$2:$NF$60,MATCH(1,(GMW!$NE$2:$NE$60=O$3)*(GMW!$ND$2:$ND$60=O$4)*(GMW!$NF$2:$NF$60=O$1),0),$F306-1966)</f>
        <v>-1120.27</v>
      </c>
      <c r="P306" s="4" cm="1">
        <f t="array" ref="P306">INDEX(GMW!$A$2:$NF$60,MATCH(1,(GMW!$NE$2:$NE$60=P$3)*(GMW!$ND$2:$ND$60=P$4)*(GMW!$NF$2:$NF$60=P$1),0),$F306-1966)</f>
        <v>-1965.422</v>
      </c>
      <c r="Q306" s="4" cm="1">
        <f t="array" ref="Q306">INDEX(GMW!$A$2:$NF$60,MATCH(1,(GMW!$NE$2:$NE$60=Q$3)*(GMW!$ND$2:$ND$60=Q$4)*(GMW!$NF$2:$NF$60=Q$1),0),$F306-1966)</f>
        <v>-31.67896</v>
      </c>
      <c r="R306" s="4" cm="1">
        <f t="array" ref="R306">INDEX(GMW!$A$2:$NF$60,MATCH(1,(GMW!$NE$2:$NE$60=R$3)*(GMW!$ND$2:$ND$60=R$4)*(GMW!$NF$2:$NF$60=R$1),0),$F306-1966)</f>
        <v>-45.853999999999999</v>
      </c>
      <c r="S306" s="4" cm="1">
        <f t="array" ref="S306">INDEX(GMW!$A$2:$NF$60,MATCH(1,(GMW!$NE$2:$NE$60=S$3)*(GMW!$ND$2:$ND$60=S$4)*(GMW!$NF$2:$NF$60=S$1),0),$F306-1966)</f>
        <v>-16.358460000000001</v>
      </c>
      <c r="T306" s="4" cm="1">
        <f t="array" ref="T306">INDEX(GMW!$A$2:$NF$60,MATCH(1,(GMW!$NE$2:$NE$60=T$3)*(GMW!$ND$2:$ND$60=T$4)*(GMW!$NF$2:$NF$60=T$1),0),$F306-1966)</f>
        <v>-44562.63</v>
      </c>
      <c r="U306" s="4" cm="1">
        <f t="array" ref="U306">INDEX(GMW!$A$2:$NF$60,MATCH(1,(GMW!$NE$2:$NE$60=U$3)*(GMW!$ND$2:$ND$60=U$4)*(GMW!$NF$2:$NF$60=U$1),0),$F306-1966)</f>
        <v>6805114</v>
      </c>
      <c r="V306" s="4" cm="1">
        <f t="array" ref="V306">INDEX(GMW!$A$2:$NF$60,MATCH(1,(GMW!$NE$2:$NE$60=V$3)*(GMW!$ND$2:$ND$60=V$4)*(GMW!$NF$2:$NF$60=V$1),0),$F306-1966)</f>
        <v>123878.2</v>
      </c>
      <c r="W306" s="4" cm="1">
        <f t="array" ref="W306">INDEX(GMW!$A$2:$NF$60,MATCH(1,(GMW!$NE$2:$NE$60=W$3)*(GMW!$ND$2:$ND$60=W$4)*(GMW!$NF$2:$NF$60=W$1),0),$F306-1966)</f>
        <v>1626544</v>
      </c>
      <c r="X306" s="4" cm="1">
        <f t="array" ref="X306">INDEX(GMW!$A$2:$NF$60,MATCH(1,(GMW!$NE$2:$NE$60=X$3)*(GMW!$ND$2:$ND$60=X$4)*(GMW!$NF$2:$NF$60=X$1),0),$F306-1966)</f>
        <v>5289.402</v>
      </c>
      <c r="Y306" s="4" cm="1">
        <f t="array" ref="Y306">INDEX(GMW!$A$2:$NF$60,MATCH(1,(GMW!$NE$2:$NE$60=Y$3)*(GMW!$ND$2:$ND$60=Y$4)*(GMW!$NF$2:$NF$60=Y$1),0),$F306-1966)</f>
        <v>7212.31</v>
      </c>
      <c r="Z306" s="4" cm="1">
        <f t="array" ref="Z306">INDEX(GMW!$A$2:$NF$60,MATCH(1,(GMW!$NE$2:$NE$60=Z$3)*(GMW!$ND$2:$ND$60=Z$4)*(GMW!$NF$2:$NF$60=Z$1),0),$F306-1966)</f>
        <v>4761.8969999999999</v>
      </c>
      <c r="AA306" s="4" cm="1">
        <f t="array" ref="AA306">INDEX(GMW!$A$2:$NF$60,MATCH(1,(GMW!$NE$2:$NE$60=AA$3)*(GMW!$ND$2:$ND$60=AA$4)*(GMW!$NF$2:$NF$60=AA$1),0),$F306-1966)</f>
        <v>6220643</v>
      </c>
      <c r="AB306" s="4" cm="1">
        <f t="array" ref="AB306">INDEX(GMW!$A$2:$NF$60,MATCH(1,(GMW!$NE$2:$NE$60=AB$3)*(GMW!$ND$2:$ND$60=AB$4)*(GMW!$NF$2:$NF$60=AB$1),0),$F306-1966)</f>
        <v>1692927</v>
      </c>
      <c r="AC306" s="4" cm="1">
        <f t="array" ref="AC306">INDEX(GMW!$A$2:$NF$60,MATCH(1,(GMW!$NE$2:$NE$60=AC$3)*(GMW!$ND$2:$ND$60=AC$4)*(GMW!$NF$2:$NF$60=AC$1),0),$F306-1966)</f>
        <v>17381.990000000002</v>
      </c>
      <c r="AD306" s="4" cm="1">
        <f t="array" ref="AD306">INDEX(GMW!$A$2:$NF$60,MATCH(1,(GMW!$NE$2:$NE$60=AD$3)*(GMW!$ND$2:$ND$60=AD$4)*(GMW!$NF$2:$NF$60=AD$1),0),$F306-1966)</f>
        <v>210967.6</v>
      </c>
      <c r="AE306" s="4" cm="1">
        <f t="array" ref="AE306">INDEX(GMW!$A$2:$NF$60,MATCH(1,(GMW!$NE$2:$NE$60=AE$3)*(GMW!$ND$2:$ND$60=AE$4)*(GMW!$NF$2:$NF$60=AE$1),0),$F306-1966)</f>
        <v>2226.6280000000002</v>
      </c>
      <c r="AF306" s="4" cm="1">
        <f t="array" ref="AF306">INDEX(GMW!$A$2:$NF$60,MATCH(1,(GMW!$NE$2:$NE$60=AF$3)*(GMW!$ND$2:$ND$60=AF$4)*(GMW!$NF$2:$NF$60=AF$1),0),$F306-1966)</f>
        <v>1389.5540000000001</v>
      </c>
      <c r="AG306" s="4" cm="1">
        <f t="array" ref="AG306">INDEX(GMW!$A$2:$NF$60,MATCH(1,(GMW!$NE$2:$NE$60=AG$3)*(GMW!$ND$2:$ND$60=AG$4)*(GMW!$NF$2:$NF$60=AG$1),0),$F306-1966)</f>
        <v>921.95820000000003</v>
      </c>
      <c r="AH306" s="4" cm="1">
        <f t="array" ref="AH306">INDEX(GMW!$A$2:$NF$60,MATCH(1,(GMW!$NE$2:$NE$60=AH$3)*(GMW!$ND$2:$ND$60=AH$4)*(GMW!$NF$2:$NF$60=AH$1),0),$F306-1966)</f>
        <v>1859402</v>
      </c>
    </row>
    <row r="307" spans="1:34" x14ac:dyDescent="0.25">
      <c r="A307" s="4">
        <v>2048</v>
      </c>
      <c r="B307" s="4">
        <f t="shared" si="99"/>
        <v>2048</v>
      </c>
      <c r="C307" s="4">
        <f t="shared" si="99"/>
        <v>2047</v>
      </c>
      <c r="D307" s="4">
        <f t="shared" si="99"/>
        <v>2047</v>
      </c>
      <c r="F307" s="4">
        <f t="shared" si="101"/>
        <v>2273</v>
      </c>
      <c r="G307" s="4" cm="1">
        <f t="array" ref="G307">INDEX(GMW!$A$2:$NF$60,MATCH(1,(GMW!$NE$2:$NE$60=G$3)*(GMW!$ND$2:$ND$60=G$4)*(GMW!$NF$2:$NF$60=G$1),0),$F307-1966)</f>
        <v>914140.7</v>
      </c>
      <c r="H307" s="4" cm="1">
        <f t="array" ref="H307">INDEX(GMW!$A$2:$NF$60,MATCH(1,(GMW!$NE$2:$NE$60=H$3)*(GMW!$ND$2:$ND$60=H$4)*(GMW!$NF$2:$NF$60=H$1),0),$F307-1966)</f>
        <v>8975.5859999999993</v>
      </c>
      <c r="I307" s="4" cm="1">
        <f t="array" ref="I307">INDEX(GMW!$A$2:$NF$60,MATCH(1,(GMW!$NE$2:$NE$60=I$3)*(GMW!$ND$2:$ND$60=I$4)*(GMW!$NF$2:$NF$60=I$1),0),$F307-1966)</f>
        <v>139013.5</v>
      </c>
      <c r="J307" s="4" cm="1">
        <f t="array" ref="J307">INDEX(GMW!$A$2:$NF$60,MATCH(1,(GMW!$NE$2:$NE$60=J$3)*(GMW!$ND$2:$ND$60=J$4)*(GMW!$NF$2:$NF$60=J$1),0),$F307-1966)</f>
        <v>1126.7619999999999</v>
      </c>
      <c r="K307" s="4" cm="1">
        <f t="array" ref="K307">INDEX(GMW!$A$2:$NF$60,MATCH(1,(GMW!$NE$2:$NE$60=K$3)*(GMW!$ND$2:$ND$60=K$4)*(GMW!$NF$2:$NF$60=K$1),0),$F307-1966)</f>
        <v>781.59410000000003</v>
      </c>
      <c r="L307" s="4" cm="1">
        <f t="array" ref="L307">INDEX(GMW!$A$2:$NF$60,MATCH(1,(GMW!$NE$2:$NE$60=L$3)*(GMW!$ND$2:$ND$60=L$4)*(GMW!$NF$2:$NF$60=L$1),0),$F307-1966)</f>
        <v>521.89149999999995</v>
      </c>
      <c r="M307" s="4" cm="1">
        <f t="array" ref="M307">INDEX(GMW!$A$2:$NF$60,MATCH(1,(GMW!$NE$2:$NE$60=M$3)*(GMW!$ND$2:$ND$60=M$4)*(GMW!$NF$2:$NF$60=M$1),0),$F307-1966)</f>
        <v>944667.7</v>
      </c>
      <c r="N307" s="4" cm="1">
        <f t="array" ref="N307">INDEX(GMW!$A$2:$NF$60,MATCH(1,(GMW!$NE$2:$NE$60=N$3)*(GMW!$ND$2:$ND$60=N$4)*(GMW!$NF$2:$NF$60=N$1),0),$F307-1966)</f>
        <v>-4869.875</v>
      </c>
      <c r="O307" s="4" cm="1">
        <f t="array" ref="O307">INDEX(GMW!$A$2:$NF$60,MATCH(1,(GMW!$NE$2:$NE$60=O$3)*(GMW!$ND$2:$ND$60=O$4)*(GMW!$NF$2:$NF$60=O$1),0),$F307-1966)</f>
        <v>-1121.75</v>
      </c>
      <c r="P307" s="4" cm="1">
        <f t="array" ref="P307">INDEX(GMW!$A$2:$NF$60,MATCH(1,(GMW!$NE$2:$NE$60=P$3)*(GMW!$ND$2:$ND$60=P$4)*(GMW!$NF$2:$NF$60=P$1),0),$F307-1966)</f>
        <v>-1973.047</v>
      </c>
      <c r="Q307" s="4" cm="1">
        <f t="array" ref="Q307">INDEX(GMW!$A$2:$NF$60,MATCH(1,(GMW!$NE$2:$NE$60=Q$3)*(GMW!$ND$2:$ND$60=Q$4)*(GMW!$NF$2:$NF$60=Q$1),0),$F307-1966)</f>
        <v>-31.890989999999999</v>
      </c>
      <c r="R307" s="4" cm="1">
        <f t="array" ref="R307">INDEX(GMW!$A$2:$NF$60,MATCH(1,(GMW!$NE$2:$NE$60=R$3)*(GMW!$ND$2:$ND$60=R$4)*(GMW!$NF$2:$NF$60=R$1),0),$F307-1966)</f>
        <v>-46.116819999999997</v>
      </c>
      <c r="S307" s="4" cm="1">
        <f t="array" ref="S307">INDEX(GMW!$A$2:$NF$60,MATCH(1,(GMW!$NE$2:$NE$60=S$3)*(GMW!$ND$2:$ND$60=S$4)*(GMW!$NF$2:$NF$60=S$1),0),$F307-1966)</f>
        <v>-16.448979999999999</v>
      </c>
      <c r="T307" s="4" cm="1">
        <f t="array" ref="T307">INDEX(GMW!$A$2:$NF$60,MATCH(1,(GMW!$NE$2:$NE$60=T$3)*(GMW!$ND$2:$ND$60=T$4)*(GMW!$NF$2:$NF$60=T$1),0),$F307-1966)</f>
        <v>-45084</v>
      </c>
      <c r="U307" s="4" cm="1">
        <f t="array" ref="U307">INDEX(GMW!$A$2:$NF$60,MATCH(1,(GMW!$NE$2:$NE$60=U$3)*(GMW!$ND$2:$ND$60=U$4)*(GMW!$NF$2:$NF$60=U$1),0),$F307-1966)</f>
        <v>6809984</v>
      </c>
      <c r="V307" s="4" cm="1">
        <f t="array" ref="V307">INDEX(GMW!$A$2:$NF$60,MATCH(1,(GMW!$NE$2:$NE$60=V$3)*(GMW!$ND$2:$ND$60=V$4)*(GMW!$NF$2:$NF$60=V$1),0),$F307-1966)</f>
        <v>125000</v>
      </c>
      <c r="W307" s="4" cm="1">
        <f t="array" ref="W307">INDEX(GMW!$A$2:$NF$60,MATCH(1,(GMW!$NE$2:$NE$60=W$3)*(GMW!$ND$2:$ND$60=W$4)*(GMW!$NF$2:$NF$60=W$1),0),$F307-1966)</f>
        <v>1628517</v>
      </c>
      <c r="X307" s="4" cm="1">
        <f t="array" ref="X307">INDEX(GMW!$A$2:$NF$60,MATCH(1,(GMW!$NE$2:$NE$60=X$3)*(GMW!$ND$2:$ND$60=X$4)*(GMW!$NF$2:$NF$60=X$1),0),$F307-1966)</f>
        <v>5321.2929999999997</v>
      </c>
      <c r="Y307" s="4" cm="1">
        <f t="array" ref="Y307">INDEX(GMW!$A$2:$NF$60,MATCH(1,(GMW!$NE$2:$NE$60=Y$3)*(GMW!$ND$2:$ND$60=Y$4)*(GMW!$NF$2:$NF$60=Y$1),0),$F307-1966)</f>
        <v>7258.4260000000004</v>
      </c>
      <c r="Z307" s="4" cm="1">
        <f t="array" ref="Z307">INDEX(GMW!$A$2:$NF$60,MATCH(1,(GMW!$NE$2:$NE$60=Z$3)*(GMW!$ND$2:$ND$60=Z$4)*(GMW!$NF$2:$NF$60=Z$1),0),$F307-1966)</f>
        <v>4778.3459999999995</v>
      </c>
      <c r="AA307" s="4" cm="1">
        <f t="array" ref="AA307">INDEX(GMW!$A$2:$NF$60,MATCH(1,(GMW!$NE$2:$NE$60=AA$3)*(GMW!$ND$2:$ND$60=AA$4)*(GMW!$NF$2:$NF$60=AA$1),0),$F307-1966)</f>
        <v>6265727</v>
      </c>
      <c r="AB307" s="4" cm="1">
        <f t="array" ref="AB307">INDEX(GMW!$A$2:$NF$60,MATCH(1,(GMW!$NE$2:$NE$60=AB$3)*(GMW!$ND$2:$ND$60=AB$4)*(GMW!$NF$2:$NF$60=AB$1),0),$F307-1966)</f>
        <v>1708004</v>
      </c>
      <c r="AC307" s="4" cm="1">
        <f t="array" ref="AC307">INDEX(GMW!$A$2:$NF$60,MATCH(1,(GMW!$NE$2:$NE$60=AC$3)*(GMW!$ND$2:$ND$60=AC$4)*(GMW!$NF$2:$NF$60=AC$1),0),$F307-1966)</f>
        <v>17534.36</v>
      </c>
      <c r="AD307" s="4" cm="1">
        <f t="array" ref="AD307">INDEX(GMW!$A$2:$NF$60,MATCH(1,(GMW!$NE$2:$NE$60=AD$3)*(GMW!$ND$2:$ND$60=AD$4)*(GMW!$NF$2:$NF$60=AD$1),0),$F307-1966)</f>
        <v>211798.39999999999</v>
      </c>
      <c r="AE307" s="4" cm="1">
        <f t="array" ref="AE307">INDEX(GMW!$A$2:$NF$60,MATCH(1,(GMW!$NE$2:$NE$60=AE$3)*(GMW!$ND$2:$ND$60=AE$4)*(GMW!$NF$2:$NF$60=AE$1),0),$F307-1966)</f>
        <v>2242.2240000000002</v>
      </c>
      <c r="AF307" s="4" cm="1">
        <f t="array" ref="AF307">INDEX(GMW!$A$2:$NF$60,MATCH(1,(GMW!$NE$2:$NE$60=AF$3)*(GMW!$ND$2:$ND$60=AF$4)*(GMW!$NF$2:$NF$60=AF$1),0),$F307-1966)</f>
        <v>1397.7860000000001</v>
      </c>
      <c r="AG307" s="4" cm="1">
        <f t="array" ref="AG307">INDEX(GMW!$A$2:$NF$60,MATCH(1,(GMW!$NE$2:$NE$60=AG$3)*(GMW!$ND$2:$ND$60=AG$4)*(GMW!$NF$2:$NF$60=AG$1),0),$F307-1966)</f>
        <v>927.05859999999996</v>
      </c>
      <c r="AH307" s="4" cm="1">
        <f t="array" ref="AH307">INDEX(GMW!$A$2:$NF$60,MATCH(1,(GMW!$NE$2:$NE$60=AH$3)*(GMW!$ND$2:$ND$60=AH$4)*(GMW!$NF$2:$NF$60=AH$1),0),$F307-1966)</f>
        <v>1877107</v>
      </c>
    </row>
    <row r="308" spans="1:34" x14ac:dyDescent="0.25">
      <c r="B308" s="4">
        <f t="shared" si="99"/>
        <v>2048</v>
      </c>
      <c r="C308" s="4">
        <f t="shared" si="99"/>
        <v>2048</v>
      </c>
      <c r="F308" s="4">
        <f t="shared" si="101"/>
        <v>2274</v>
      </c>
      <c r="G308" s="4" cm="1">
        <f t="array" ref="G308">INDEX(GMW!$A$2:$NF$60,MATCH(1,(GMW!$NE$2:$NE$60=G$3)*(GMW!$ND$2:$ND$60=G$4)*(GMW!$NF$2:$NF$60=G$1),0),$F308-1966)</f>
        <v>917375.6</v>
      </c>
      <c r="H308" s="4" cm="1">
        <f t="array" ref="H308">INDEX(GMW!$A$2:$NF$60,MATCH(1,(GMW!$NE$2:$NE$60=H$3)*(GMW!$ND$2:$ND$60=H$4)*(GMW!$NF$2:$NF$60=H$1),0),$F308-1966)</f>
        <v>9011.9879999999994</v>
      </c>
      <c r="I308" s="4" cm="1">
        <f t="array" ref="I308">INDEX(GMW!$A$2:$NF$60,MATCH(1,(GMW!$NE$2:$NE$60=I$3)*(GMW!$ND$2:$ND$60=I$4)*(GMW!$NF$2:$NF$60=I$1),0),$F308-1966)</f>
        <v>139030.6</v>
      </c>
      <c r="J308" s="4" cm="1">
        <f t="array" ref="J308">INDEX(GMW!$A$2:$NF$60,MATCH(1,(GMW!$NE$2:$NE$60=J$3)*(GMW!$ND$2:$ND$60=J$4)*(GMW!$NF$2:$NF$60=J$1),0),$F308-1966)</f>
        <v>1129.0530000000001</v>
      </c>
      <c r="K308" s="4" cm="1">
        <f t="array" ref="K308">INDEX(GMW!$A$2:$NF$60,MATCH(1,(GMW!$NE$2:$NE$60=K$3)*(GMW!$ND$2:$ND$60=K$4)*(GMW!$NF$2:$NF$60=K$1),0),$F308-1966)</f>
        <v>782.25429999999994</v>
      </c>
      <c r="L308" s="4" cm="1">
        <f t="array" ref="L308">INDEX(GMW!$A$2:$NF$60,MATCH(1,(GMW!$NE$2:$NE$60=L$3)*(GMW!$ND$2:$ND$60=L$4)*(GMW!$NF$2:$NF$60=L$1),0),$F308-1966)</f>
        <v>522.18910000000005</v>
      </c>
      <c r="M308" s="4" cm="1">
        <f t="array" ref="M308">INDEX(GMW!$A$2:$NF$60,MATCH(1,(GMW!$NE$2:$NE$60=M$3)*(GMW!$ND$2:$ND$60=M$4)*(GMW!$NF$2:$NF$60=M$1),0),$F308-1966)</f>
        <v>949001.9</v>
      </c>
      <c r="N308" s="4" cm="1">
        <f t="array" ref="N308">INDEX(GMW!$A$2:$NF$60,MATCH(1,(GMW!$NE$2:$NE$60=N$3)*(GMW!$ND$2:$ND$60=N$4)*(GMW!$NF$2:$NF$60=N$1),0),$F308-1966)</f>
        <v>-110691.6</v>
      </c>
      <c r="O308" s="4" cm="1">
        <f t="array" ref="O308">INDEX(GMW!$A$2:$NF$60,MATCH(1,(GMW!$NE$2:$NE$60=O$3)*(GMW!$ND$2:$ND$60=O$4)*(GMW!$NF$2:$NF$60=O$1),0),$F308-1966)</f>
        <v>-1123.1389999999999</v>
      </c>
      <c r="P308" s="4" cm="1">
        <f t="array" ref="P308">INDEX(GMW!$A$2:$NF$60,MATCH(1,(GMW!$NE$2:$NE$60=P$3)*(GMW!$ND$2:$ND$60=P$4)*(GMW!$NF$2:$NF$60=P$1),0),$F308-1966)</f>
        <v>-1980.82</v>
      </c>
      <c r="Q308" s="4" cm="1">
        <f t="array" ref="Q308">INDEX(GMW!$A$2:$NF$60,MATCH(1,(GMW!$NE$2:$NE$60=Q$3)*(GMW!$ND$2:$ND$60=Q$4)*(GMW!$NF$2:$NF$60=Q$1),0),$F308-1966)</f>
        <v>-32.1051</v>
      </c>
      <c r="R308" s="4" cm="1">
        <f t="array" ref="R308">INDEX(GMW!$A$2:$NF$60,MATCH(1,(GMW!$NE$2:$NE$60=R$3)*(GMW!$ND$2:$ND$60=R$4)*(GMW!$NF$2:$NF$60=R$1),0),$F308-1966)</f>
        <v>-46.397640000000003</v>
      </c>
      <c r="S308" s="4" cm="1">
        <f t="array" ref="S308">INDEX(GMW!$A$2:$NF$60,MATCH(1,(GMW!$NE$2:$NE$60=S$3)*(GMW!$ND$2:$ND$60=S$4)*(GMW!$NF$2:$NF$60=S$1),0),$F308-1966)</f>
        <v>-16.53998</v>
      </c>
      <c r="T308" s="4" cm="1">
        <f t="array" ref="T308">INDEX(GMW!$A$2:$NF$60,MATCH(1,(GMW!$NE$2:$NE$60=T$3)*(GMW!$ND$2:$ND$60=T$4)*(GMW!$NF$2:$NF$60=T$1),0),$F308-1966)</f>
        <v>-45461.88</v>
      </c>
      <c r="U308" s="4" cm="1">
        <f t="array" ref="U308">INDEX(GMW!$A$2:$NF$60,MATCH(1,(GMW!$NE$2:$NE$60=U$3)*(GMW!$ND$2:$ND$60=U$4)*(GMW!$NF$2:$NF$60=U$1),0),$F308-1966)</f>
        <v>6920675</v>
      </c>
      <c r="V308" s="4" cm="1">
        <f t="array" ref="V308">INDEX(GMW!$A$2:$NF$60,MATCH(1,(GMW!$NE$2:$NE$60=V$3)*(GMW!$ND$2:$ND$60=V$4)*(GMW!$NF$2:$NF$60=V$1),0),$F308-1966)</f>
        <v>126123.1</v>
      </c>
      <c r="W308" s="4" cm="1">
        <f t="array" ref="W308">INDEX(GMW!$A$2:$NF$60,MATCH(1,(GMW!$NE$2:$NE$60=W$3)*(GMW!$ND$2:$ND$60=W$4)*(GMW!$NF$2:$NF$60=W$1),0),$F308-1966)</f>
        <v>1630498</v>
      </c>
      <c r="X308" s="4" cm="1">
        <f t="array" ref="X308">INDEX(GMW!$A$2:$NF$60,MATCH(1,(GMW!$NE$2:$NE$60=X$3)*(GMW!$ND$2:$ND$60=X$4)*(GMW!$NF$2:$NF$60=X$1),0),$F308-1966)</f>
        <v>5353.3980000000001</v>
      </c>
      <c r="Y308" s="4" cm="1">
        <f t="array" ref="Y308">INDEX(GMW!$A$2:$NF$60,MATCH(1,(GMW!$NE$2:$NE$60=Y$3)*(GMW!$ND$2:$ND$60=Y$4)*(GMW!$NF$2:$NF$60=Y$1),0),$F308-1966)</f>
        <v>7304.8239999999996</v>
      </c>
      <c r="Z308" s="4" cm="1">
        <f t="array" ref="Z308">INDEX(GMW!$A$2:$NF$60,MATCH(1,(GMW!$NE$2:$NE$60=Z$3)*(GMW!$ND$2:$ND$60=Z$4)*(GMW!$NF$2:$NF$60=Z$1),0),$F308-1966)</f>
        <v>4794.8860000000004</v>
      </c>
      <c r="AA308" s="4" cm="1">
        <f t="array" ref="AA308">INDEX(GMW!$A$2:$NF$60,MATCH(1,(GMW!$NE$2:$NE$60=AA$3)*(GMW!$ND$2:$ND$60=AA$4)*(GMW!$NF$2:$NF$60=AA$1),0),$F308-1966)</f>
        <v>6311189</v>
      </c>
      <c r="AB308" s="4" cm="1">
        <f t="array" ref="AB308">INDEX(GMW!$A$2:$NF$60,MATCH(1,(GMW!$NE$2:$NE$60=AB$3)*(GMW!$ND$2:$ND$60=AB$4)*(GMW!$NF$2:$NF$60=AB$1),0),$F308-1966)</f>
        <v>1723209</v>
      </c>
      <c r="AC308" s="4" cm="1">
        <f t="array" ref="AC308">INDEX(GMW!$A$2:$NF$60,MATCH(1,(GMW!$NE$2:$NE$60=AC$3)*(GMW!$ND$2:$ND$60=AC$4)*(GMW!$NF$2:$NF$60=AC$1),0),$F308-1966)</f>
        <v>17688.349999999999</v>
      </c>
      <c r="AD308" s="4" cm="1">
        <f t="array" ref="AD308">INDEX(GMW!$A$2:$NF$60,MATCH(1,(GMW!$NE$2:$NE$60=AD$3)*(GMW!$ND$2:$ND$60=AD$4)*(GMW!$NF$2:$NF$60=AD$1),0),$F308-1966)</f>
        <v>212623.8</v>
      </c>
      <c r="AE308" s="4" cm="1">
        <f t="array" ref="AE308">INDEX(GMW!$A$2:$NF$60,MATCH(1,(GMW!$NE$2:$NE$60=AE$3)*(GMW!$ND$2:$ND$60=AE$4)*(GMW!$NF$2:$NF$60=AE$1),0),$F308-1966)</f>
        <v>2257.931</v>
      </c>
      <c r="AF308" s="4" cm="1">
        <f t="array" ref="AF308">INDEX(GMW!$A$2:$NF$60,MATCH(1,(GMW!$NE$2:$NE$60=AF$3)*(GMW!$ND$2:$ND$60=AF$4)*(GMW!$NF$2:$NF$60=AF$1),0),$F308-1966)</f>
        <v>1405.799</v>
      </c>
      <c r="AG308" s="4" cm="1">
        <f t="array" ref="AG308">INDEX(GMW!$A$2:$NF$60,MATCH(1,(GMW!$NE$2:$NE$60=AG$3)*(GMW!$ND$2:$ND$60=AG$4)*(GMW!$NF$2:$NF$60=AG$1),0),$F308-1966)</f>
        <v>932.22529999999995</v>
      </c>
      <c r="AH308" s="4" cm="1">
        <f t="array" ref="AH308">INDEX(GMW!$A$2:$NF$60,MATCH(1,(GMW!$NE$2:$NE$60=AH$3)*(GMW!$ND$2:$ND$60=AH$4)*(GMW!$NF$2:$NF$60=AH$1),0),$F308-1966)</f>
        <v>1894948</v>
      </c>
    </row>
    <row r="309" spans="1:34" x14ac:dyDescent="0.25">
      <c r="B309" s="4">
        <f t="shared" si="99"/>
        <v>2048</v>
      </c>
      <c r="C309" s="4">
        <f t="shared" si="99"/>
        <v>2048</v>
      </c>
      <c r="F309" s="4">
        <f t="shared" si="101"/>
        <v>2275</v>
      </c>
      <c r="G309" s="4" cm="1">
        <f t="array" ref="G309">INDEX(GMW!$A$2:$NF$60,MATCH(1,(GMW!$NE$2:$NE$60=G$3)*(GMW!$ND$2:$ND$60=G$4)*(GMW!$NF$2:$NF$60=G$1),0),$F309-1966)</f>
        <v>920596.6</v>
      </c>
      <c r="H309" s="4" cm="1">
        <f t="array" ref="H309">INDEX(GMW!$A$2:$NF$60,MATCH(1,(GMW!$NE$2:$NE$60=H$3)*(GMW!$ND$2:$ND$60=H$4)*(GMW!$NF$2:$NF$60=H$1),0),$F309-1966)</f>
        <v>9048.0949999999993</v>
      </c>
      <c r="I309" s="4" cm="1">
        <f t="array" ref="I309">INDEX(GMW!$A$2:$NF$60,MATCH(1,(GMW!$NE$2:$NE$60=I$3)*(GMW!$ND$2:$ND$60=I$4)*(GMW!$NF$2:$NF$60=I$1),0),$F309-1966)</f>
        <v>139050.4</v>
      </c>
      <c r="J309" s="4" cm="1">
        <f t="array" ref="J309">INDEX(GMW!$A$2:$NF$60,MATCH(1,(GMW!$NE$2:$NE$60=J$3)*(GMW!$ND$2:$ND$60=J$4)*(GMW!$NF$2:$NF$60=J$1),0),$F309-1966)</f>
        <v>1131.3510000000001</v>
      </c>
      <c r="K309" s="4" cm="1">
        <f t="array" ref="K309">INDEX(GMW!$A$2:$NF$60,MATCH(1,(GMW!$NE$2:$NE$60=K$3)*(GMW!$ND$2:$ND$60=K$4)*(GMW!$NF$2:$NF$60=K$1),0),$F309-1966)</f>
        <v>782.76649999999995</v>
      </c>
      <c r="L309" s="4" cm="1">
        <f t="array" ref="L309">INDEX(GMW!$A$2:$NF$60,MATCH(1,(GMW!$NE$2:$NE$60=L$3)*(GMW!$ND$2:$ND$60=L$4)*(GMW!$NF$2:$NF$60=L$1),0),$F309-1966)</f>
        <v>522.48509999999999</v>
      </c>
      <c r="M309" s="4" cm="1">
        <f t="array" ref="M309">INDEX(GMW!$A$2:$NF$60,MATCH(1,(GMW!$NE$2:$NE$60=M$3)*(GMW!$ND$2:$ND$60=M$4)*(GMW!$NF$2:$NF$60=M$1),0),$F309-1966)</f>
        <v>953325.8</v>
      </c>
      <c r="N309" s="4" cm="1">
        <f t="array" ref="N309">INDEX(GMW!$A$2:$NF$60,MATCH(1,(GMW!$NE$2:$NE$60=N$3)*(GMW!$ND$2:$ND$60=N$4)*(GMW!$NF$2:$NF$60=N$1),0),$F309-1966)</f>
        <v>-59720.19</v>
      </c>
      <c r="O309" s="4" cm="1">
        <f t="array" ref="O309">INDEX(GMW!$A$2:$NF$60,MATCH(1,(GMW!$NE$2:$NE$60=O$3)*(GMW!$ND$2:$ND$60=O$4)*(GMW!$NF$2:$NF$60=O$1),0),$F309-1966)</f>
        <v>-1124.394</v>
      </c>
      <c r="P309" s="4" cm="1">
        <f t="array" ref="P309">INDEX(GMW!$A$2:$NF$60,MATCH(1,(GMW!$NE$2:$NE$60=P$3)*(GMW!$ND$2:$ND$60=P$4)*(GMW!$NF$2:$NF$60=P$1),0),$F309-1966)</f>
        <v>-1988.539</v>
      </c>
      <c r="Q309" s="4" cm="1">
        <f t="array" ref="Q309">INDEX(GMW!$A$2:$NF$60,MATCH(1,(GMW!$NE$2:$NE$60=Q$3)*(GMW!$ND$2:$ND$60=Q$4)*(GMW!$NF$2:$NF$60=Q$1),0),$F309-1966)</f>
        <v>-32.320070000000001</v>
      </c>
      <c r="R309" s="4" cm="1">
        <f t="array" ref="R309">INDEX(GMW!$A$2:$NF$60,MATCH(1,(GMW!$NE$2:$NE$60=R$3)*(GMW!$ND$2:$ND$60=R$4)*(GMW!$NF$2:$NF$60=R$1),0),$F309-1966)</f>
        <v>-46.65399</v>
      </c>
      <c r="S309" s="4" cm="1">
        <f t="array" ref="S309">INDEX(GMW!$A$2:$NF$60,MATCH(1,(GMW!$NE$2:$NE$60=S$3)*(GMW!$ND$2:$ND$60=S$4)*(GMW!$NF$2:$NF$60=S$1),0),$F309-1966)</f>
        <v>-16.632169999999999</v>
      </c>
      <c r="T309" s="4" cm="1">
        <f t="array" ref="T309">INDEX(GMW!$A$2:$NF$60,MATCH(1,(GMW!$NE$2:$NE$60=T$3)*(GMW!$ND$2:$ND$60=T$4)*(GMW!$NF$2:$NF$60=T$1),0),$F309-1966)</f>
        <v>-45715.94</v>
      </c>
      <c r="U309" s="4" cm="1">
        <f t="array" ref="U309">INDEX(GMW!$A$2:$NF$60,MATCH(1,(GMW!$NE$2:$NE$60=U$3)*(GMW!$ND$2:$ND$60=U$4)*(GMW!$NF$2:$NF$60=U$1),0),$F309-1966)</f>
        <v>6980395</v>
      </c>
      <c r="V309" s="4" cm="1">
        <f t="array" ref="V309">INDEX(GMW!$A$2:$NF$60,MATCH(1,(GMW!$NE$2:$NE$60=V$3)*(GMW!$ND$2:$ND$60=V$4)*(GMW!$NF$2:$NF$60=V$1),0),$F309-1966)</f>
        <v>127247.5</v>
      </c>
      <c r="W309" s="4" cm="1">
        <f t="array" ref="W309">INDEX(GMW!$A$2:$NF$60,MATCH(1,(GMW!$NE$2:$NE$60=W$3)*(GMW!$ND$2:$ND$60=W$4)*(GMW!$NF$2:$NF$60=W$1),0),$F309-1966)</f>
        <v>1632486</v>
      </c>
      <c r="X309" s="4" cm="1">
        <f t="array" ref="X309">INDEX(GMW!$A$2:$NF$60,MATCH(1,(GMW!$NE$2:$NE$60=X$3)*(GMW!$ND$2:$ND$60=X$4)*(GMW!$NF$2:$NF$60=X$1),0),$F309-1966)</f>
        <v>5385.7190000000001</v>
      </c>
      <c r="Y309" s="4" cm="1">
        <f t="array" ref="Y309">INDEX(GMW!$A$2:$NF$60,MATCH(1,(GMW!$NE$2:$NE$60=Y$3)*(GMW!$ND$2:$ND$60=Y$4)*(GMW!$NF$2:$NF$60=Y$1),0),$F309-1966)</f>
        <v>7351.4780000000001</v>
      </c>
      <c r="Z309" s="4" cm="1">
        <f t="array" ref="Z309">INDEX(GMW!$A$2:$NF$60,MATCH(1,(GMW!$NE$2:$NE$60=Z$3)*(GMW!$ND$2:$ND$60=Z$4)*(GMW!$NF$2:$NF$60=Z$1),0),$F309-1966)</f>
        <v>4811.5190000000002</v>
      </c>
      <c r="AA309" s="4" cm="1">
        <f t="array" ref="AA309">INDEX(GMW!$A$2:$NF$60,MATCH(1,(GMW!$NE$2:$NE$60=AA$3)*(GMW!$ND$2:$ND$60=AA$4)*(GMW!$NF$2:$NF$60=AA$1),0),$F309-1966)</f>
        <v>6356905</v>
      </c>
      <c r="AB309" s="4" cm="1">
        <f t="array" ref="AB309">INDEX(GMW!$A$2:$NF$60,MATCH(1,(GMW!$NE$2:$NE$60=AB$3)*(GMW!$ND$2:$ND$60=AB$4)*(GMW!$NF$2:$NF$60=AB$1),0),$F309-1966)</f>
        <v>1738502</v>
      </c>
      <c r="AC309" s="4" cm="1">
        <f t="array" ref="AC309">INDEX(GMW!$A$2:$NF$60,MATCH(1,(GMW!$NE$2:$NE$60=AC$3)*(GMW!$ND$2:$ND$60=AC$4)*(GMW!$NF$2:$NF$60=AC$1),0),$F309-1966)</f>
        <v>17842.93</v>
      </c>
      <c r="AD309" s="4" cm="1">
        <f t="array" ref="AD309">INDEX(GMW!$A$2:$NF$60,MATCH(1,(GMW!$NE$2:$NE$60=AD$3)*(GMW!$ND$2:$ND$60=AD$4)*(GMW!$NF$2:$NF$60=AD$1),0),$F309-1966)</f>
        <v>213455.4</v>
      </c>
      <c r="AE309" s="4" cm="1">
        <f t="array" ref="AE309">INDEX(GMW!$A$2:$NF$60,MATCH(1,(GMW!$NE$2:$NE$60=AE$3)*(GMW!$ND$2:$ND$60=AE$4)*(GMW!$NF$2:$NF$60=AE$1),0),$F309-1966)</f>
        <v>2273.75</v>
      </c>
      <c r="AF309" s="4" cm="1">
        <f t="array" ref="AF309">INDEX(GMW!$A$2:$NF$60,MATCH(1,(GMW!$NE$2:$NE$60=AF$3)*(GMW!$ND$2:$ND$60=AF$4)*(GMW!$NF$2:$NF$60=AF$1),0),$F309-1966)</f>
        <v>1413.7349999999999</v>
      </c>
      <c r="AG309" s="4" cm="1">
        <f t="array" ref="AG309">INDEX(GMW!$A$2:$NF$60,MATCH(1,(GMW!$NE$2:$NE$60=AG$3)*(GMW!$ND$2:$ND$60=AG$4)*(GMW!$NF$2:$NF$60=AG$1),0),$F309-1966)</f>
        <v>937.41909999999996</v>
      </c>
      <c r="AH309" s="4" cm="1">
        <f t="array" ref="AH309">INDEX(GMW!$A$2:$NF$60,MATCH(1,(GMW!$NE$2:$NE$60=AH$3)*(GMW!$ND$2:$ND$60=AH$4)*(GMW!$NF$2:$NF$60=AH$1),0),$F309-1966)</f>
        <v>1912898</v>
      </c>
    </row>
    <row r="310" spans="1:34" x14ac:dyDescent="0.25">
      <c r="B310" s="4">
        <f t="shared" si="99"/>
        <v>2048</v>
      </c>
      <c r="C310" s="4">
        <f t="shared" si="99"/>
        <v>2048</v>
      </c>
      <c r="E310" s="4">
        <f t="shared" ref="E310" si="103">+E306+1</f>
        <v>2048</v>
      </c>
      <c r="F310" s="4">
        <f t="shared" si="101"/>
        <v>2276</v>
      </c>
      <c r="G310" s="4" cm="1">
        <f t="array" ref="G310">INDEX(GMW!$A$2:$NF$60,MATCH(1,(GMW!$NE$2:$NE$60=G$3)*(GMW!$ND$2:$ND$60=G$4)*(GMW!$NF$2:$NF$60=G$1),0),$F310-1966)</f>
        <v>923826.1</v>
      </c>
      <c r="H310" s="4" cm="1">
        <f t="array" ref="H310">INDEX(GMW!$A$2:$NF$60,MATCH(1,(GMW!$NE$2:$NE$60=H$3)*(GMW!$ND$2:$ND$60=H$4)*(GMW!$NF$2:$NF$60=H$1),0),$F310-1966)</f>
        <v>9084.7180000000008</v>
      </c>
      <c r="I310" s="4" cm="1">
        <f t="array" ref="I310">INDEX(GMW!$A$2:$NF$60,MATCH(1,(GMW!$NE$2:$NE$60=I$3)*(GMW!$ND$2:$ND$60=I$4)*(GMW!$NF$2:$NF$60=I$1),0),$F310-1966)</f>
        <v>139073.60000000001</v>
      </c>
      <c r="J310" s="4" cm="1">
        <f t="array" ref="J310">INDEX(GMW!$A$2:$NF$60,MATCH(1,(GMW!$NE$2:$NE$60=J$3)*(GMW!$ND$2:$ND$60=J$4)*(GMW!$NF$2:$NF$60=J$1),0),$F310-1966)</f>
        <v>1133.655</v>
      </c>
      <c r="K310" s="4" cm="1">
        <f t="array" ref="K310">INDEX(GMW!$A$2:$NF$60,MATCH(1,(GMW!$NE$2:$NE$60=K$3)*(GMW!$ND$2:$ND$60=K$4)*(GMW!$NF$2:$NF$60=K$1),0),$F310-1966)</f>
        <v>783.44719999999995</v>
      </c>
      <c r="L310" s="4" cm="1">
        <f t="array" ref="L310">INDEX(GMW!$A$2:$NF$60,MATCH(1,(GMW!$NE$2:$NE$60=L$3)*(GMW!$ND$2:$ND$60=L$4)*(GMW!$NF$2:$NF$60=L$1),0),$F310-1966)</f>
        <v>522.77880000000005</v>
      </c>
      <c r="M310" s="4" cm="1">
        <f t="array" ref="M310">INDEX(GMW!$A$2:$NF$60,MATCH(1,(GMW!$NE$2:$NE$60=M$3)*(GMW!$ND$2:$ND$60=M$4)*(GMW!$NF$2:$NF$60=M$1),0),$F310-1966)</f>
        <v>957644.3</v>
      </c>
      <c r="N310" s="4" cm="1">
        <f t="array" ref="N310">INDEX(GMW!$A$2:$NF$60,MATCH(1,(GMW!$NE$2:$NE$60=N$3)*(GMW!$ND$2:$ND$60=N$4)*(GMW!$NF$2:$NF$60=N$1),0),$F310-1966)</f>
        <v>-105199.8</v>
      </c>
      <c r="O310" s="4" cm="1">
        <f t="array" ref="O310">INDEX(GMW!$A$2:$NF$60,MATCH(1,(GMW!$NE$2:$NE$60=O$3)*(GMW!$ND$2:$ND$60=O$4)*(GMW!$NF$2:$NF$60=O$1),0),$F310-1966)</f>
        <v>-1125.5730000000001</v>
      </c>
      <c r="P310" s="4" cm="1">
        <f t="array" ref="P310">INDEX(GMW!$A$2:$NF$60,MATCH(1,(GMW!$NE$2:$NE$60=P$3)*(GMW!$ND$2:$ND$60=P$4)*(GMW!$NF$2:$NF$60=P$1),0),$F310-1966)</f>
        <v>-1996.3130000000001</v>
      </c>
      <c r="Q310" s="4" cm="1">
        <f t="array" ref="Q310">INDEX(GMW!$A$2:$NF$60,MATCH(1,(GMW!$NE$2:$NE$60=Q$3)*(GMW!$ND$2:$ND$60=Q$4)*(GMW!$NF$2:$NF$60=Q$1),0),$F310-1966)</f>
        <v>-32.536009999999997</v>
      </c>
      <c r="R310" s="4" cm="1">
        <f t="array" ref="R310">INDEX(GMW!$A$2:$NF$60,MATCH(1,(GMW!$NE$2:$NE$60=R$3)*(GMW!$ND$2:$ND$60=R$4)*(GMW!$NF$2:$NF$60=R$1),0),$F310-1966)</f>
        <v>-46.914670000000001</v>
      </c>
      <c r="S310" s="4" cm="1">
        <f t="array" ref="S310">INDEX(GMW!$A$2:$NF$60,MATCH(1,(GMW!$NE$2:$NE$60=S$3)*(GMW!$ND$2:$ND$60=S$4)*(GMW!$NF$2:$NF$60=S$1),0),$F310-1966)</f>
        <v>-16.724820000000001</v>
      </c>
      <c r="T310" s="4" cm="1">
        <f t="array" ref="T310">INDEX(GMW!$A$2:$NF$60,MATCH(1,(GMW!$NE$2:$NE$60=T$3)*(GMW!$ND$2:$ND$60=T$4)*(GMW!$NF$2:$NF$60=T$1),0),$F310-1966)</f>
        <v>-46257.19</v>
      </c>
      <c r="U310" s="4" cm="1">
        <f t="array" ref="U310">INDEX(GMW!$A$2:$NF$60,MATCH(1,(GMW!$NE$2:$NE$60=U$3)*(GMW!$ND$2:$ND$60=U$4)*(GMW!$NF$2:$NF$60=U$1),0),$F310-1966)</f>
        <v>7085595</v>
      </c>
      <c r="V310" s="4" cm="1">
        <f t="array" ref="V310">INDEX(GMW!$A$2:$NF$60,MATCH(1,(GMW!$NE$2:$NE$60=V$3)*(GMW!$ND$2:$ND$60=V$4)*(GMW!$NF$2:$NF$60=V$1),0),$F310-1966)</f>
        <v>128373.1</v>
      </c>
      <c r="W310" s="4" cm="1">
        <f t="array" ref="W310">INDEX(GMW!$A$2:$NF$60,MATCH(1,(GMW!$NE$2:$NE$60=W$3)*(GMW!$ND$2:$ND$60=W$4)*(GMW!$NF$2:$NF$60=W$1),0),$F310-1966)</f>
        <v>1634482</v>
      </c>
      <c r="X310" s="4" cm="1">
        <f t="array" ref="X310">INDEX(GMW!$A$2:$NF$60,MATCH(1,(GMW!$NE$2:$NE$60=X$3)*(GMW!$ND$2:$ND$60=X$4)*(GMW!$NF$2:$NF$60=X$1),0),$F310-1966)</f>
        <v>5418.2550000000001</v>
      </c>
      <c r="Y310" s="4" cm="1">
        <f t="array" ref="Y310">INDEX(GMW!$A$2:$NF$60,MATCH(1,(GMW!$NE$2:$NE$60=Y$3)*(GMW!$ND$2:$ND$60=Y$4)*(GMW!$NF$2:$NF$60=Y$1),0),$F310-1966)</f>
        <v>7398.3919999999998</v>
      </c>
      <c r="Z310" s="4" cm="1">
        <f t="array" ref="Z310">INDEX(GMW!$A$2:$NF$60,MATCH(1,(GMW!$NE$2:$NE$60=Z$3)*(GMW!$ND$2:$ND$60=Z$4)*(GMW!$NF$2:$NF$60=Z$1),0),$F310-1966)</f>
        <v>4828.2430000000004</v>
      </c>
      <c r="AA310" s="4" cm="1">
        <f t="array" ref="AA310">INDEX(GMW!$A$2:$NF$60,MATCH(1,(GMW!$NE$2:$NE$60=AA$3)*(GMW!$ND$2:$ND$60=AA$4)*(GMW!$NF$2:$NF$60=AA$1),0),$F310-1966)</f>
        <v>6403162</v>
      </c>
      <c r="AB310" s="4" cm="1">
        <f t="array" ref="AB310">INDEX(GMW!$A$2:$NF$60,MATCH(1,(GMW!$NE$2:$NE$60=AB$3)*(GMW!$ND$2:$ND$60=AB$4)*(GMW!$NF$2:$NF$60=AB$1),0),$F310-1966)</f>
        <v>1753926</v>
      </c>
      <c r="AC310" s="4" cm="1">
        <f t="array" ref="AC310">INDEX(GMW!$A$2:$NF$60,MATCH(1,(GMW!$NE$2:$NE$60=AC$3)*(GMW!$ND$2:$ND$60=AC$4)*(GMW!$NF$2:$NF$60=AC$1),0),$F310-1966)</f>
        <v>17999.54</v>
      </c>
      <c r="AD310" s="4" cm="1">
        <f t="array" ref="AD310">INDEX(GMW!$A$2:$NF$60,MATCH(1,(GMW!$NE$2:$NE$60=AD$3)*(GMW!$ND$2:$ND$60=AD$4)*(GMW!$NF$2:$NF$60=AD$1),0),$F310-1966)</f>
        <v>214292.4</v>
      </c>
      <c r="AE310" s="4" cm="1">
        <f t="array" ref="AE310">INDEX(GMW!$A$2:$NF$60,MATCH(1,(GMW!$NE$2:$NE$60=AE$3)*(GMW!$ND$2:$ND$60=AE$4)*(GMW!$NF$2:$NF$60=AE$1),0),$F310-1966)</f>
        <v>2289.6840000000002</v>
      </c>
      <c r="AF310" s="4" cm="1">
        <f t="array" ref="AF310">INDEX(GMW!$A$2:$NF$60,MATCH(1,(GMW!$NE$2:$NE$60=AF$3)*(GMW!$ND$2:$ND$60=AF$4)*(GMW!$NF$2:$NF$60=AF$1),0),$F310-1966)</f>
        <v>1421.894</v>
      </c>
      <c r="AG310" s="4" cm="1">
        <f t="array" ref="AG310">INDEX(GMW!$A$2:$NF$60,MATCH(1,(GMW!$NE$2:$NE$60=AG$3)*(GMW!$ND$2:$ND$60=AG$4)*(GMW!$NF$2:$NF$60=AG$1),0),$F310-1966)</f>
        <v>942.61779999999999</v>
      </c>
      <c r="AH310" s="4" cm="1">
        <f t="array" ref="AH310">INDEX(GMW!$A$2:$NF$60,MATCH(1,(GMW!$NE$2:$NE$60=AH$3)*(GMW!$ND$2:$ND$60=AH$4)*(GMW!$NF$2:$NF$60=AH$1),0),$F310-1966)</f>
        <v>1930975</v>
      </c>
    </row>
    <row r="311" spans="1:34" x14ac:dyDescent="0.25">
      <c r="A311" s="4">
        <v>2049</v>
      </c>
      <c r="B311" s="4">
        <f t="shared" si="99"/>
        <v>2049</v>
      </c>
      <c r="C311" s="4">
        <f t="shared" si="99"/>
        <v>2048</v>
      </c>
      <c r="D311" s="4">
        <f t="shared" si="99"/>
        <v>2048</v>
      </c>
      <c r="F311" s="4">
        <f t="shared" si="101"/>
        <v>2277</v>
      </c>
      <c r="G311" s="4" cm="1">
        <f t="array" ref="G311">INDEX(GMW!$A$2:$NF$60,MATCH(1,(GMW!$NE$2:$NE$60=G$3)*(GMW!$ND$2:$ND$60=G$4)*(GMW!$NF$2:$NF$60=G$1),0),$F311-1966)</f>
        <v>927063.9</v>
      </c>
      <c r="H311" s="4" cm="1">
        <f t="array" ref="H311">INDEX(GMW!$A$2:$NF$60,MATCH(1,(GMW!$NE$2:$NE$60=H$3)*(GMW!$ND$2:$ND$60=H$4)*(GMW!$NF$2:$NF$60=H$1),0),$F311-1966)</f>
        <v>9121.2049999999999</v>
      </c>
      <c r="I311" s="4" cm="1">
        <f t="array" ref="I311">INDEX(GMW!$A$2:$NF$60,MATCH(1,(GMW!$NE$2:$NE$60=I$3)*(GMW!$ND$2:$ND$60=I$4)*(GMW!$NF$2:$NF$60=I$1),0),$F311-1966)</f>
        <v>139093.29999999999</v>
      </c>
      <c r="J311" s="4" cm="1">
        <f t="array" ref="J311">INDEX(GMW!$A$2:$NF$60,MATCH(1,(GMW!$NE$2:$NE$60=J$3)*(GMW!$ND$2:$ND$60=J$4)*(GMW!$NF$2:$NF$60=J$1),0),$F311-1966)</f>
        <v>1135.903</v>
      </c>
      <c r="K311" s="4" cm="1">
        <f t="array" ref="K311">INDEX(GMW!$A$2:$NF$60,MATCH(1,(GMW!$NE$2:$NE$60=K$3)*(GMW!$ND$2:$ND$60=K$4)*(GMW!$NF$2:$NF$60=K$1),0),$F311-1966)</f>
        <v>784.12660000000005</v>
      </c>
      <c r="L311" s="4" cm="1">
        <f t="array" ref="L311">INDEX(GMW!$A$2:$NF$60,MATCH(1,(GMW!$NE$2:$NE$60=L$3)*(GMW!$ND$2:$ND$60=L$4)*(GMW!$NF$2:$NF$60=L$1),0),$F311-1966)</f>
        <v>523.13819999999998</v>
      </c>
      <c r="M311" s="4" cm="1">
        <f t="array" ref="M311">INDEX(GMW!$A$2:$NF$60,MATCH(1,(GMW!$NE$2:$NE$60=M$3)*(GMW!$ND$2:$ND$60=M$4)*(GMW!$NF$2:$NF$60=M$1),0),$F311-1966)</f>
        <v>961979</v>
      </c>
      <c r="N311" s="4" cm="1">
        <f t="array" ref="N311">INDEX(GMW!$A$2:$NF$60,MATCH(1,(GMW!$NE$2:$NE$60=N$3)*(GMW!$ND$2:$ND$60=N$4)*(GMW!$NF$2:$NF$60=N$1),0),$F311-1966)</f>
        <v>-5050.0630000000001</v>
      </c>
      <c r="O311" s="4" cm="1">
        <f t="array" ref="O311">INDEX(GMW!$A$2:$NF$60,MATCH(1,(GMW!$NE$2:$NE$60=O$3)*(GMW!$ND$2:$ND$60=O$4)*(GMW!$NF$2:$NF$60=O$1),0),$F311-1966)</f>
        <v>-1126.693</v>
      </c>
      <c r="P311" s="4" cm="1">
        <f t="array" ref="P311">INDEX(GMW!$A$2:$NF$60,MATCH(1,(GMW!$NE$2:$NE$60=P$3)*(GMW!$ND$2:$ND$60=P$4)*(GMW!$NF$2:$NF$60=P$1),0),$F311-1966)</f>
        <v>-2004.1410000000001</v>
      </c>
      <c r="Q311" s="4" cm="1">
        <f t="array" ref="Q311">INDEX(GMW!$A$2:$NF$60,MATCH(1,(GMW!$NE$2:$NE$60=Q$3)*(GMW!$ND$2:$ND$60=Q$4)*(GMW!$NF$2:$NF$60=Q$1),0),$F311-1966)</f>
        <v>-32.752079999999999</v>
      </c>
      <c r="R311" s="4" cm="1">
        <f t="array" ref="R311">INDEX(GMW!$A$2:$NF$60,MATCH(1,(GMW!$NE$2:$NE$60=R$3)*(GMW!$ND$2:$ND$60=R$4)*(GMW!$NF$2:$NF$60=R$1),0),$F311-1966)</f>
        <v>-47.19397</v>
      </c>
      <c r="S311" s="4" cm="1">
        <f t="array" ref="S311">INDEX(GMW!$A$2:$NF$60,MATCH(1,(GMW!$NE$2:$NE$60=S$3)*(GMW!$ND$2:$ND$60=S$4)*(GMW!$NF$2:$NF$60=S$1),0),$F311-1966)</f>
        <v>-16.81757</v>
      </c>
      <c r="T311" s="4" cm="1">
        <f t="array" ref="T311">INDEX(GMW!$A$2:$NF$60,MATCH(1,(GMW!$NE$2:$NE$60=T$3)*(GMW!$ND$2:$ND$60=T$4)*(GMW!$NF$2:$NF$60=T$1),0),$F311-1966)</f>
        <v>-46783.19</v>
      </c>
      <c r="U311" s="4" cm="1">
        <f t="array" ref="U311">INDEX(GMW!$A$2:$NF$60,MATCH(1,(GMW!$NE$2:$NE$60=U$3)*(GMW!$ND$2:$ND$60=U$4)*(GMW!$NF$2:$NF$60=U$1),0),$F311-1966)</f>
        <v>7090645</v>
      </c>
      <c r="V311" s="4" cm="1">
        <f t="array" ref="V311">INDEX(GMW!$A$2:$NF$60,MATCH(1,(GMW!$NE$2:$NE$60=V$3)*(GMW!$ND$2:$ND$60=V$4)*(GMW!$NF$2:$NF$60=V$1),0),$F311-1966)</f>
        <v>129499.8</v>
      </c>
      <c r="W311" s="4" cm="1">
        <f t="array" ref="W311">INDEX(GMW!$A$2:$NF$60,MATCH(1,(GMW!$NE$2:$NE$60=W$3)*(GMW!$ND$2:$ND$60=W$4)*(GMW!$NF$2:$NF$60=W$1),0),$F311-1966)</f>
        <v>1636486</v>
      </c>
      <c r="X311" s="4" cm="1">
        <f t="array" ref="X311">INDEX(GMW!$A$2:$NF$60,MATCH(1,(GMW!$NE$2:$NE$60=X$3)*(GMW!$ND$2:$ND$60=X$4)*(GMW!$NF$2:$NF$60=X$1),0),$F311-1966)</f>
        <v>5451.0069999999996</v>
      </c>
      <c r="Y311" s="4" cm="1">
        <f t="array" ref="Y311">INDEX(GMW!$A$2:$NF$60,MATCH(1,(GMW!$NE$2:$NE$60=Y$3)*(GMW!$ND$2:$ND$60=Y$4)*(GMW!$NF$2:$NF$60=Y$1),0),$F311-1966)</f>
        <v>7445.5860000000002</v>
      </c>
      <c r="Z311" s="4" cm="1">
        <f t="array" ref="Z311">INDEX(GMW!$A$2:$NF$60,MATCH(1,(GMW!$NE$2:$NE$60=Z$3)*(GMW!$ND$2:$ND$60=Z$4)*(GMW!$NF$2:$NF$60=Z$1),0),$F311-1966)</f>
        <v>4845.0609999999997</v>
      </c>
      <c r="AA311" s="4" cm="1">
        <f t="array" ref="AA311">INDEX(GMW!$A$2:$NF$60,MATCH(1,(GMW!$NE$2:$NE$60=AA$3)*(GMW!$ND$2:$ND$60=AA$4)*(GMW!$NF$2:$NF$60=AA$1),0),$F311-1966)</f>
        <v>6449945</v>
      </c>
      <c r="AB311" s="4" cm="1">
        <f t="array" ref="AB311">INDEX(GMW!$A$2:$NF$60,MATCH(1,(GMW!$NE$2:$NE$60=AB$3)*(GMW!$ND$2:$ND$60=AB$4)*(GMW!$NF$2:$NF$60=AB$1),0),$F311-1966)</f>
        <v>1769481</v>
      </c>
      <c r="AC311" s="4" cm="1">
        <f t="array" ref="AC311">INDEX(GMW!$A$2:$NF$60,MATCH(1,(GMW!$NE$2:$NE$60=AC$3)*(GMW!$ND$2:$ND$60=AC$4)*(GMW!$NF$2:$NF$60=AC$1),0),$F311-1966)</f>
        <v>18157.09</v>
      </c>
      <c r="AD311" s="4" cm="1">
        <f t="array" ref="AD311">INDEX(GMW!$A$2:$NF$60,MATCH(1,(GMW!$NE$2:$NE$60=AD$3)*(GMW!$ND$2:$ND$60=AD$4)*(GMW!$NF$2:$NF$60=AD$1),0),$F311-1966)</f>
        <v>215141.7</v>
      </c>
      <c r="AE311" s="4" cm="1">
        <f t="array" ref="AE311">INDEX(GMW!$A$2:$NF$60,MATCH(1,(GMW!$NE$2:$NE$60=AE$3)*(GMW!$ND$2:$ND$60=AE$4)*(GMW!$NF$2:$NF$60=AE$1),0),$F311-1966)</f>
        <v>2305.607</v>
      </c>
      <c r="AF311" s="4" cm="1">
        <f t="array" ref="AF311">INDEX(GMW!$A$2:$NF$60,MATCH(1,(GMW!$NE$2:$NE$60=AF$3)*(GMW!$ND$2:$ND$60=AF$4)*(GMW!$NF$2:$NF$60=AF$1),0),$F311-1966)</f>
        <v>1430.021</v>
      </c>
      <c r="AG311" s="4" cm="1">
        <f t="array" ref="AG311">INDEX(GMW!$A$2:$NF$60,MATCH(1,(GMW!$NE$2:$NE$60=AG$3)*(GMW!$ND$2:$ND$60=AG$4)*(GMW!$NF$2:$NF$60=AG$1),0),$F311-1966)</f>
        <v>947.94179999999994</v>
      </c>
      <c r="AH311" s="4" cm="1">
        <f t="array" ref="AH311">INDEX(GMW!$A$2:$NF$60,MATCH(1,(GMW!$NE$2:$NE$60=AH$3)*(GMW!$ND$2:$ND$60=AH$4)*(GMW!$NF$2:$NF$60=AH$1),0),$F311-1966)</f>
        <v>1949220</v>
      </c>
    </row>
    <row r="312" spans="1:34" x14ac:dyDescent="0.25">
      <c r="B312" s="4">
        <f t="shared" si="99"/>
        <v>2049</v>
      </c>
      <c r="C312" s="4">
        <f t="shared" si="99"/>
        <v>2049</v>
      </c>
      <c r="F312" s="4">
        <f t="shared" si="101"/>
        <v>2278</v>
      </c>
      <c r="G312" s="4" cm="1">
        <f t="array" ref="G312">INDEX(GMW!$A$2:$NF$60,MATCH(1,(GMW!$NE$2:$NE$60=G$3)*(GMW!$ND$2:$ND$60=G$4)*(GMW!$NF$2:$NF$60=G$1),0),$F312-1966)</f>
        <v>930310.1</v>
      </c>
      <c r="H312" s="4" cm="1">
        <f t="array" ref="H312">INDEX(GMW!$A$2:$NF$60,MATCH(1,(GMW!$NE$2:$NE$60=H$3)*(GMW!$ND$2:$ND$60=H$4)*(GMW!$NF$2:$NF$60=H$1),0),$F312-1966)</f>
        <v>9157.4449999999997</v>
      </c>
      <c r="I312" s="4" cm="1">
        <f t="array" ref="I312">INDEX(GMW!$A$2:$NF$60,MATCH(1,(GMW!$NE$2:$NE$60=I$3)*(GMW!$ND$2:$ND$60=I$4)*(GMW!$NF$2:$NF$60=I$1),0),$F312-1966)</f>
        <v>139112.9</v>
      </c>
      <c r="J312" s="4" cm="1">
        <f t="array" ref="J312">INDEX(GMW!$A$2:$NF$60,MATCH(1,(GMW!$NE$2:$NE$60=J$3)*(GMW!$ND$2:$ND$60=J$4)*(GMW!$NF$2:$NF$60=J$1),0),$F312-1966)</f>
        <v>1138.1569999999999</v>
      </c>
      <c r="K312" s="4" cm="1">
        <f t="array" ref="K312">INDEX(GMW!$A$2:$NF$60,MATCH(1,(GMW!$NE$2:$NE$60=K$3)*(GMW!$ND$2:$ND$60=K$4)*(GMW!$NF$2:$NF$60=K$1),0),$F312-1966)</f>
        <v>784.798</v>
      </c>
      <c r="L312" s="4" cm="1">
        <f t="array" ref="L312">INDEX(GMW!$A$2:$NF$60,MATCH(1,(GMW!$NE$2:$NE$60=L$3)*(GMW!$ND$2:$ND$60=L$4)*(GMW!$NF$2:$NF$60=L$1),0),$F312-1966)</f>
        <v>523.49549999999999</v>
      </c>
      <c r="M312" s="4" cm="1">
        <f t="array" ref="M312">INDEX(GMW!$A$2:$NF$60,MATCH(1,(GMW!$NE$2:$NE$60=M$3)*(GMW!$ND$2:$ND$60=M$4)*(GMW!$NF$2:$NF$60=M$1),0),$F312-1966)</f>
        <v>966348.3</v>
      </c>
      <c r="N312" s="4" cm="1">
        <f t="array" ref="N312">INDEX(GMW!$A$2:$NF$60,MATCH(1,(GMW!$NE$2:$NE$60=N$3)*(GMW!$ND$2:$ND$60=N$4)*(GMW!$NF$2:$NF$60=N$1),0),$F312-1966)</f>
        <v>-114671.6</v>
      </c>
      <c r="O312" s="4" cm="1">
        <f t="array" ref="O312">INDEX(GMW!$A$2:$NF$60,MATCH(1,(GMW!$NE$2:$NE$60=O$3)*(GMW!$ND$2:$ND$60=O$4)*(GMW!$NF$2:$NF$60=O$1),0),$F312-1966)</f>
        <v>-1127.73</v>
      </c>
      <c r="P312" s="4" cm="1">
        <f t="array" ref="P312">INDEX(GMW!$A$2:$NF$60,MATCH(1,(GMW!$NE$2:$NE$60=P$3)*(GMW!$ND$2:$ND$60=P$4)*(GMW!$NF$2:$NF$60=P$1),0),$F312-1966)</f>
        <v>-2012.086</v>
      </c>
      <c r="Q312" s="4" cm="1">
        <f t="array" ref="Q312">INDEX(GMW!$A$2:$NF$60,MATCH(1,(GMW!$NE$2:$NE$60=Q$3)*(GMW!$ND$2:$ND$60=Q$4)*(GMW!$NF$2:$NF$60=Q$1),0),$F312-1966)</f>
        <v>-32.968989999999998</v>
      </c>
      <c r="R312" s="4" cm="1">
        <f t="array" ref="R312">INDEX(GMW!$A$2:$NF$60,MATCH(1,(GMW!$NE$2:$NE$60=R$3)*(GMW!$ND$2:$ND$60=R$4)*(GMW!$NF$2:$NF$60=R$1),0),$F312-1966)</f>
        <v>-47.462829999999997</v>
      </c>
      <c r="S312" s="4" cm="1">
        <f t="array" ref="S312">INDEX(GMW!$A$2:$NF$60,MATCH(1,(GMW!$NE$2:$NE$60=S$3)*(GMW!$ND$2:$ND$60=S$4)*(GMW!$NF$2:$NF$60=S$1),0),$F312-1966)</f>
        <v>-16.912569999999999</v>
      </c>
      <c r="T312" s="4" cm="1">
        <f t="array" ref="T312">INDEX(GMW!$A$2:$NF$60,MATCH(1,(GMW!$NE$2:$NE$60=T$3)*(GMW!$ND$2:$ND$60=T$4)*(GMW!$NF$2:$NF$60=T$1),0),$F312-1966)</f>
        <v>-47191.81</v>
      </c>
      <c r="U312" s="4" cm="1">
        <f t="array" ref="U312">INDEX(GMW!$A$2:$NF$60,MATCH(1,(GMW!$NE$2:$NE$60=U$3)*(GMW!$ND$2:$ND$60=U$4)*(GMW!$NF$2:$NF$60=U$1),0),$F312-1966)</f>
        <v>7205317</v>
      </c>
      <c r="V312" s="4" cm="1">
        <f t="array" ref="V312">INDEX(GMW!$A$2:$NF$60,MATCH(1,(GMW!$NE$2:$NE$60=V$3)*(GMW!$ND$2:$ND$60=V$4)*(GMW!$NF$2:$NF$60=V$1),0),$F312-1966)</f>
        <v>130627.5</v>
      </c>
      <c r="W312" s="4" cm="1">
        <f t="array" ref="W312">INDEX(GMW!$A$2:$NF$60,MATCH(1,(GMW!$NE$2:$NE$60=W$3)*(GMW!$ND$2:$ND$60=W$4)*(GMW!$NF$2:$NF$60=W$1),0),$F312-1966)</f>
        <v>1638499</v>
      </c>
      <c r="X312" s="4" cm="1">
        <f t="array" ref="X312">INDEX(GMW!$A$2:$NF$60,MATCH(1,(GMW!$NE$2:$NE$60=X$3)*(GMW!$ND$2:$ND$60=X$4)*(GMW!$NF$2:$NF$60=X$1),0),$F312-1966)</f>
        <v>5483.9759999999997</v>
      </c>
      <c r="Y312" s="4" cm="1">
        <f t="array" ref="Y312">INDEX(GMW!$A$2:$NF$60,MATCH(1,(GMW!$NE$2:$NE$60=Y$3)*(GMW!$ND$2:$ND$60=Y$4)*(GMW!$NF$2:$NF$60=Y$1),0),$F312-1966)</f>
        <v>7493.049</v>
      </c>
      <c r="Z312" s="4" cm="1">
        <f t="array" ref="Z312">INDEX(GMW!$A$2:$NF$60,MATCH(1,(GMW!$NE$2:$NE$60=Z$3)*(GMW!$ND$2:$ND$60=Z$4)*(GMW!$NF$2:$NF$60=Z$1),0),$F312-1966)</f>
        <v>4861.973</v>
      </c>
      <c r="AA312" s="4" cm="1">
        <f t="array" ref="AA312">INDEX(GMW!$A$2:$NF$60,MATCH(1,(GMW!$NE$2:$NE$60=AA$3)*(GMW!$ND$2:$ND$60=AA$4)*(GMW!$NF$2:$NF$60=AA$1),0),$F312-1966)</f>
        <v>6497137</v>
      </c>
      <c r="AB312" s="4" cm="1">
        <f t="array" ref="AB312">INDEX(GMW!$A$2:$NF$60,MATCH(1,(GMW!$NE$2:$NE$60=AB$3)*(GMW!$ND$2:$ND$60=AB$4)*(GMW!$NF$2:$NF$60=AB$1),0),$F312-1966)</f>
        <v>1785168</v>
      </c>
      <c r="AC312" s="4" cm="1">
        <f t="array" ref="AC312">INDEX(GMW!$A$2:$NF$60,MATCH(1,(GMW!$NE$2:$NE$60=AC$3)*(GMW!$ND$2:$ND$60=AC$4)*(GMW!$NF$2:$NF$60=AC$1),0),$F312-1966)</f>
        <v>18315.310000000001</v>
      </c>
      <c r="AD312" s="4" cm="1">
        <f t="array" ref="AD312">INDEX(GMW!$A$2:$NF$60,MATCH(1,(GMW!$NE$2:$NE$60=AD$3)*(GMW!$ND$2:$ND$60=AD$4)*(GMW!$NF$2:$NF$60=AD$1),0),$F312-1966)</f>
        <v>215986.7</v>
      </c>
      <c r="AE312" s="4" cm="1">
        <f t="array" ref="AE312">INDEX(GMW!$A$2:$NF$60,MATCH(1,(GMW!$NE$2:$NE$60=AE$3)*(GMW!$ND$2:$ND$60=AE$4)*(GMW!$NF$2:$NF$60=AE$1),0),$F312-1966)</f>
        <v>2321.6419999999998</v>
      </c>
      <c r="AF312" s="4" cm="1">
        <f t="array" ref="AF312">INDEX(GMW!$A$2:$NF$60,MATCH(1,(GMW!$NE$2:$NE$60=AF$3)*(GMW!$ND$2:$ND$60=AF$4)*(GMW!$NF$2:$NF$60=AF$1),0),$F312-1966)</f>
        <v>1438.3</v>
      </c>
      <c r="AG312" s="4" cm="1">
        <f t="array" ref="AG312">INDEX(GMW!$A$2:$NF$60,MATCH(1,(GMW!$NE$2:$NE$60=AG$3)*(GMW!$ND$2:$ND$60=AG$4)*(GMW!$NF$2:$NF$60=AG$1),0),$F312-1966)</f>
        <v>953.33609999999999</v>
      </c>
      <c r="AH312" s="4" cm="1">
        <f t="array" ref="AH312">INDEX(GMW!$A$2:$NF$60,MATCH(1,(GMW!$NE$2:$NE$60=AH$3)*(GMW!$ND$2:$ND$60=AH$4)*(GMW!$NF$2:$NF$60=AH$1),0),$F312-1966)</f>
        <v>1967667</v>
      </c>
    </row>
    <row r="313" spans="1:34" x14ac:dyDescent="0.25">
      <c r="B313" s="4">
        <f t="shared" si="99"/>
        <v>2049</v>
      </c>
      <c r="C313" s="4">
        <f t="shared" si="99"/>
        <v>2049</v>
      </c>
      <c r="F313" s="4">
        <f t="shared" si="101"/>
        <v>2279</v>
      </c>
      <c r="G313" s="4" cm="1">
        <f t="array" ref="G313">INDEX(GMW!$A$2:$NF$60,MATCH(1,(GMW!$NE$2:$NE$60=G$3)*(GMW!$ND$2:$ND$60=G$4)*(GMW!$NF$2:$NF$60=G$1),0),$F313-1966)</f>
        <v>933491.5</v>
      </c>
      <c r="H313" s="4" cm="1">
        <f t="array" ref="H313">INDEX(GMW!$A$2:$NF$60,MATCH(1,(GMW!$NE$2:$NE$60=H$3)*(GMW!$ND$2:$ND$60=H$4)*(GMW!$NF$2:$NF$60=H$1),0),$F313-1966)</f>
        <v>9194.0759999999991</v>
      </c>
      <c r="I313" s="4" cm="1">
        <f t="array" ref="I313">INDEX(GMW!$A$2:$NF$60,MATCH(1,(GMW!$NE$2:$NE$60=I$3)*(GMW!$ND$2:$ND$60=I$4)*(GMW!$NF$2:$NF$60=I$1),0),$F313-1966)</f>
        <v>139140.20000000001</v>
      </c>
      <c r="J313" s="4" cm="1">
        <f t="array" ref="J313">INDEX(GMW!$A$2:$NF$60,MATCH(1,(GMW!$NE$2:$NE$60=J$3)*(GMW!$ND$2:$ND$60=J$4)*(GMW!$NF$2:$NF$60=J$1),0),$F313-1966)</f>
        <v>1140.4159999999999</v>
      </c>
      <c r="K313" s="4" cm="1">
        <f t="array" ref="K313">INDEX(GMW!$A$2:$NF$60,MATCH(1,(GMW!$NE$2:$NE$60=K$3)*(GMW!$ND$2:$ND$60=K$4)*(GMW!$NF$2:$NF$60=K$1),0),$F313-1966)</f>
        <v>785.45830000000001</v>
      </c>
      <c r="L313" s="4" cm="1">
        <f t="array" ref="L313">INDEX(GMW!$A$2:$NF$60,MATCH(1,(GMW!$NE$2:$NE$60=L$3)*(GMW!$ND$2:$ND$60=L$4)*(GMW!$NF$2:$NF$60=L$1),0),$F313-1966)</f>
        <v>523.85180000000003</v>
      </c>
      <c r="M313" s="4" cm="1">
        <f t="array" ref="M313">INDEX(GMW!$A$2:$NF$60,MATCH(1,(GMW!$NE$2:$NE$60=M$3)*(GMW!$ND$2:$ND$60=M$4)*(GMW!$NF$2:$NF$60=M$1),0),$F313-1966)</f>
        <v>970732.6</v>
      </c>
      <c r="N313" s="4" cm="1">
        <f t="array" ref="N313">INDEX(GMW!$A$2:$NF$60,MATCH(1,(GMW!$NE$2:$NE$60=N$3)*(GMW!$ND$2:$ND$60=N$4)*(GMW!$NF$2:$NF$60=N$1),0),$F313-1966)</f>
        <v>-61865.88</v>
      </c>
      <c r="O313" s="4" cm="1">
        <f t="array" ref="O313">INDEX(GMW!$A$2:$NF$60,MATCH(1,(GMW!$NE$2:$NE$60=O$3)*(GMW!$ND$2:$ND$60=O$4)*(GMW!$NF$2:$NF$60=O$1),0),$F313-1966)</f>
        <v>-1128.6410000000001</v>
      </c>
      <c r="P313" s="4" cm="1">
        <f t="array" ref="P313">INDEX(GMW!$A$2:$NF$60,MATCH(1,(GMW!$NE$2:$NE$60=P$3)*(GMW!$ND$2:$ND$60=P$4)*(GMW!$NF$2:$NF$60=P$1),0),$F313-1966)</f>
        <v>-2019.992</v>
      </c>
      <c r="Q313" s="4" cm="1">
        <f t="array" ref="Q313">INDEX(GMW!$A$2:$NF$60,MATCH(1,(GMW!$NE$2:$NE$60=Q$3)*(GMW!$ND$2:$ND$60=Q$4)*(GMW!$NF$2:$NF$60=Q$1),0),$F313-1966)</f>
        <v>-33.187010000000001</v>
      </c>
      <c r="R313" s="4" cm="1">
        <f t="array" ref="R313">INDEX(GMW!$A$2:$NF$60,MATCH(1,(GMW!$NE$2:$NE$60=R$3)*(GMW!$ND$2:$ND$60=R$4)*(GMW!$NF$2:$NF$60=R$1),0),$F313-1966)</f>
        <v>-47.735109999999999</v>
      </c>
      <c r="S313" s="4" cm="1">
        <f t="array" ref="S313">INDEX(GMW!$A$2:$NF$60,MATCH(1,(GMW!$NE$2:$NE$60=S$3)*(GMW!$ND$2:$ND$60=S$4)*(GMW!$NF$2:$NF$60=S$1),0),$F313-1966)</f>
        <v>-17.008790000000001</v>
      </c>
      <c r="T313" s="4" cm="1">
        <f t="array" ref="T313">INDEX(GMW!$A$2:$NF$60,MATCH(1,(GMW!$NE$2:$NE$60=T$3)*(GMW!$ND$2:$ND$60=T$4)*(GMW!$NF$2:$NF$60=T$1),0),$F313-1966)</f>
        <v>-47462.38</v>
      </c>
      <c r="U313" s="4" cm="1">
        <f t="array" ref="U313">INDEX(GMW!$A$2:$NF$60,MATCH(1,(GMW!$NE$2:$NE$60=U$3)*(GMW!$ND$2:$ND$60=U$4)*(GMW!$NF$2:$NF$60=U$1),0),$F313-1966)</f>
        <v>7267183</v>
      </c>
      <c r="V313" s="4" cm="1">
        <f t="array" ref="V313">INDEX(GMW!$A$2:$NF$60,MATCH(1,(GMW!$NE$2:$NE$60=V$3)*(GMW!$ND$2:$ND$60=V$4)*(GMW!$NF$2:$NF$60=V$1),0),$F313-1966)</f>
        <v>131756.1</v>
      </c>
      <c r="W313" s="4" cm="1">
        <f t="array" ref="W313">INDEX(GMW!$A$2:$NF$60,MATCH(1,(GMW!$NE$2:$NE$60=W$3)*(GMW!$ND$2:$ND$60=W$4)*(GMW!$NF$2:$NF$60=W$1),0),$F313-1966)</f>
        <v>1640519</v>
      </c>
      <c r="X313" s="4" cm="1">
        <f t="array" ref="X313">INDEX(GMW!$A$2:$NF$60,MATCH(1,(GMW!$NE$2:$NE$60=X$3)*(GMW!$ND$2:$ND$60=X$4)*(GMW!$NF$2:$NF$60=X$1),0),$F313-1966)</f>
        <v>5517.1629999999996</v>
      </c>
      <c r="Y313" s="4" cm="1">
        <f t="array" ref="Y313">INDEX(GMW!$A$2:$NF$60,MATCH(1,(GMW!$NE$2:$NE$60=Y$3)*(GMW!$ND$2:$ND$60=Y$4)*(GMW!$NF$2:$NF$60=Y$1),0),$F313-1966)</f>
        <v>7540.7839999999997</v>
      </c>
      <c r="Z313" s="4" cm="1">
        <f t="array" ref="Z313">INDEX(GMW!$A$2:$NF$60,MATCH(1,(GMW!$NE$2:$NE$60=Z$3)*(GMW!$ND$2:$ND$60=Z$4)*(GMW!$NF$2:$NF$60=Z$1),0),$F313-1966)</f>
        <v>4878.982</v>
      </c>
      <c r="AA313" s="4" cm="1">
        <f t="array" ref="AA313">INDEX(GMW!$A$2:$NF$60,MATCH(1,(GMW!$NE$2:$NE$60=AA$3)*(GMW!$ND$2:$ND$60=AA$4)*(GMW!$NF$2:$NF$60=AA$1),0),$F313-1966)</f>
        <v>6544599</v>
      </c>
      <c r="AB313" s="4" cm="1">
        <f t="array" ref="AB313">INDEX(GMW!$A$2:$NF$60,MATCH(1,(GMW!$NE$2:$NE$60=AB$3)*(GMW!$ND$2:$ND$60=AB$4)*(GMW!$NF$2:$NF$60=AB$1),0),$F313-1966)</f>
        <v>1800847</v>
      </c>
      <c r="AC313" s="4" cm="1">
        <f t="array" ref="AC313">INDEX(GMW!$A$2:$NF$60,MATCH(1,(GMW!$NE$2:$NE$60=AC$3)*(GMW!$ND$2:$ND$60=AC$4)*(GMW!$NF$2:$NF$60=AC$1),0),$F313-1966)</f>
        <v>18475.400000000001</v>
      </c>
      <c r="AD313" s="4" cm="1">
        <f t="array" ref="AD313">INDEX(GMW!$A$2:$NF$60,MATCH(1,(GMW!$NE$2:$NE$60=AD$3)*(GMW!$ND$2:$ND$60=AD$4)*(GMW!$NF$2:$NF$60=AD$1),0),$F313-1966)</f>
        <v>216847.2</v>
      </c>
      <c r="AE313" s="4" cm="1">
        <f t="array" ref="AE313">INDEX(GMW!$A$2:$NF$60,MATCH(1,(GMW!$NE$2:$NE$60=AE$3)*(GMW!$ND$2:$ND$60=AE$4)*(GMW!$NF$2:$NF$60=AE$1),0),$F313-1966)</f>
        <v>2337.7919999999999</v>
      </c>
      <c r="AF313" s="4" cm="1">
        <f t="array" ref="AF313">INDEX(GMW!$A$2:$NF$60,MATCH(1,(GMW!$NE$2:$NE$60=AF$3)*(GMW!$ND$2:$ND$60=AF$4)*(GMW!$NF$2:$NF$60=AF$1),0),$F313-1966)</f>
        <v>1446.6890000000001</v>
      </c>
      <c r="AG313" s="4" cm="1">
        <f t="array" ref="AG313">INDEX(GMW!$A$2:$NF$60,MATCH(1,(GMW!$NE$2:$NE$60=AG$3)*(GMW!$ND$2:$ND$60=AG$4)*(GMW!$NF$2:$NF$60=AG$1),0),$F313-1966)</f>
        <v>958.76080000000002</v>
      </c>
      <c r="AH313" s="4" cm="1">
        <f t="array" ref="AH313">INDEX(GMW!$A$2:$NF$60,MATCH(1,(GMW!$NE$2:$NE$60=AH$3)*(GMW!$ND$2:$ND$60=AH$4)*(GMW!$NF$2:$NF$60=AH$1),0),$F313-1966)</f>
        <v>1986279</v>
      </c>
    </row>
    <row r="314" spans="1:34" x14ac:dyDescent="0.25">
      <c r="B314" s="4">
        <f t="shared" si="99"/>
        <v>2049</v>
      </c>
      <c r="C314" s="4">
        <f t="shared" si="99"/>
        <v>2049</v>
      </c>
      <c r="E314" s="4">
        <f t="shared" ref="E314" si="104">+E310+1</f>
        <v>2049</v>
      </c>
      <c r="F314" s="4">
        <f t="shared" si="101"/>
        <v>2280</v>
      </c>
      <c r="G314" s="4" cm="1">
        <f t="array" ref="G314">INDEX(GMW!$A$2:$NF$60,MATCH(1,(GMW!$NE$2:$NE$60=G$3)*(GMW!$ND$2:$ND$60=G$4)*(GMW!$NF$2:$NF$60=G$1),0),$F314-1966)</f>
        <v>936680.1</v>
      </c>
      <c r="H314" s="4" cm="1">
        <f t="array" ref="H314">INDEX(GMW!$A$2:$NF$60,MATCH(1,(GMW!$NE$2:$NE$60=H$3)*(GMW!$ND$2:$ND$60=H$4)*(GMW!$NF$2:$NF$60=H$1),0),$F314-1966)</f>
        <v>9230.6010000000006</v>
      </c>
      <c r="I314" s="4" cm="1">
        <f t="array" ref="I314">INDEX(GMW!$A$2:$NF$60,MATCH(1,(GMW!$NE$2:$NE$60=I$3)*(GMW!$ND$2:$ND$60=I$4)*(GMW!$NF$2:$NF$60=I$1),0),$F314-1966)</f>
        <v>139177.5</v>
      </c>
      <c r="J314" s="4" cm="1">
        <f t="array" ref="J314">INDEX(GMW!$A$2:$NF$60,MATCH(1,(GMW!$NE$2:$NE$60=J$3)*(GMW!$ND$2:$ND$60=J$4)*(GMW!$NF$2:$NF$60=J$1),0),$F314-1966)</f>
        <v>1142.68</v>
      </c>
      <c r="K314" s="4" cm="1">
        <f t="array" ref="K314">INDEX(GMW!$A$2:$NF$60,MATCH(1,(GMW!$NE$2:$NE$60=K$3)*(GMW!$ND$2:$ND$60=K$4)*(GMW!$NF$2:$NF$60=K$1),0),$F314-1966)</f>
        <v>785.99710000000005</v>
      </c>
      <c r="L314" s="4" cm="1">
        <f t="array" ref="L314">INDEX(GMW!$A$2:$NF$60,MATCH(1,(GMW!$NE$2:$NE$60=L$3)*(GMW!$ND$2:$ND$60=L$4)*(GMW!$NF$2:$NF$60=L$1),0),$F314-1966)</f>
        <v>524.20640000000003</v>
      </c>
      <c r="M314" s="4" cm="1">
        <f t="array" ref="M314">INDEX(GMW!$A$2:$NF$60,MATCH(1,(GMW!$NE$2:$NE$60=M$3)*(GMW!$ND$2:$ND$60=M$4)*(GMW!$NF$2:$NF$60=M$1),0),$F314-1966)</f>
        <v>975126.9</v>
      </c>
      <c r="N314" s="4" cm="1">
        <f t="array" ref="N314">INDEX(GMW!$A$2:$NF$60,MATCH(1,(GMW!$NE$2:$NE$60=N$3)*(GMW!$ND$2:$ND$60=N$4)*(GMW!$NF$2:$NF$60=N$1),0),$F314-1966)</f>
        <v>-108970.5</v>
      </c>
      <c r="O314" s="4" cm="1">
        <f t="array" ref="O314">INDEX(GMW!$A$2:$NF$60,MATCH(1,(GMW!$NE$2:$NE$60=O$3)*(GMW!$ND$2:$ND$60=O$4)*(GMW!$NF$2:$NF$60=O$1),0),$F314-1966)</f>
        <v>-1129.4169999999999</v>
      </c>
      <c r="P314" s="4" cm="1">
        <f t="array" ref="P314">INDEX(GMW!$A$2:$NF$60,MATCH(1,(GMW!$NE$2:$NE$60=P$3)*(GMW!$ND$2:$ND$60=P$4)*(GMW!$NF$2:$NF$60=P$1),0),$F314-1966)</f>
        <v>-2028.039</v>
      </c>
      <c r="Q314" s="4" cm="1">
        <f t="array" ref="Q314">INDEX(GMW!$A$2:$NF$60,MATCH(1,(GMW!$NE$2:$NE$60=Q$3)*(GMW!$ND$2:$ND$60=Q$4)*(GMW!$NF$2:$NF$60=Q$1),0),$F314-1966)</f>
        <v>-33.406979999999997</v>
      </c>
      <c r="R314" s="4" cm="1">
        <f t="array" ref="R314">INDEX(GMW!$A$2:$NF$60,MATCH(1,(GMW!$NE$2:$NE$60=R$3)*(GMW!$ND$2:$ND$60=R$4)*(GMW!$NF$2:$NF$60=R$1),0),$F314-1966)</f>
        <v>-48.00262</v>
      </c>
      <c r="S314" s="4" cm="1">
        <f t="array" ref="S314">INDEX(GMW!$A$2:$NF$60,MATCH(1,(GMW!$NE$2:$NE$60=S$3)*(GMW!$ND$2:$ND$60=S$4)*(GMW!$NF$2:$NF$60=S$1),0),$F314-1966)</f>
        <v>-17.105589999999999</v>
      </c>
      <c r="T314" s="4" cm="1">
        <f t="array" ref="T314">INDEX(GMW!$A$2:$NF$60,MATCH(1,(GMW!$NE$2:$NE$60=T$3)*(GMW!$ND$2:$ND$60=T$4)*(GMW!$NF$2:$NF$60=T$1),0),$F314-1966)</f>
        <v>-48033.75</v>
      </c>
      <c r="U314" s="4" cm="1">
        <f t="array" ref="U314">INDEX(GMW!$A$2:$NF$60,MATCH(1,(GMW!$NE$2:$NE$60=U$3)*(GMW!$ND$2:$ND$60=U$4)*(GMW!$NF$2:$NF$60=U$1),0),$F314-1966)</f>
        <v>7376153</v>
      </c>
      <c r="V314" s="4" cm="1">
        <f t="array" ref="V314">INDEX(GMW!$A$2:$NF$60,MATCH(1,(GMW!$NE$2:$NE$60=V$3)*(GMW!$ND$2:$ND$60=V$4)*(GMW!$NF$2:$NF$60=V$1),0),$F314-1966)</f>
        <v>132885.6</v>
      </c>
      <c r="W314" s="4" cm="1">
        <f t="array" ref="W314">INDEX(GMW!$A$2:$NF$60,MATCH(1,(GMW!$NE$2:$NE$60=W$3)*(GMW!$ND$2:$ND$60=W$4)*(GMW!$NF$2:$NF$60=W$1),0),$F314-1966)</f>
        <v>1642547</v>
      </c>
      <c r="X314" s="4" cm="1">
        <f t="array" ref="X314">INDEX(GMW!$A$2:$NF$60,MATCH(1,(GMW!$NE$2:$NE$60=X$3)*(GMW!$ND$2:$ND$60=X$4)*(GMW!$NF$2:$NF$60=X$1),0),$F314-1966)</f>
        <v>5550.5690000000004</v>
      </c>
      <c r="Y314" s="4" cm="1">
        <f t="array" ref="Y314">INDEX(GMW!$A$2:$NF$60,MATCH(1,(GMW!$NE$2:$NE$60=Y$3)*(GMW!$ND$2:$ND$60=Y$4)*(GMW!$NF$2:$NF$60=Y$1),0),$F314-1966)</f>
        <v>7588.7870000000003</v>
      </c>
      <c r="Z314" s="4" cm="1">
        <f t="array" ref="Z314">INDEX(GMW!$A$2:$NF$60,MATCH(1,(GMW!$NE$2:$NE$60=Z$3)*(GMW!$ND$2:$ND$60=Z$4)*(GMW!$NF$2:$NF$60=Z$1),0),$F314-1966)</f>
        <v>4896.0870000000004</v>
      </c>
      <c r="AA314" s="4" cm="1">
        <f t="array" ref="AA314">INDEX(GMW!$A$2:$NF$60,MATCH(1,(GMW!$NE$2:$NE$60=AA$3)*(GMW!$ND$2:$ND$60=AA$4)*(GMW!$NF$2:$NF$60=AA$1),0),$F314-1966)</f>
        <v>6592633</v>
      </c>
      <c r="AB314" s="4" cm="1">
        <f t="array" ref="AB314">INDEX(GMW!$A$2:$NF$60,MATCH(1,(GMW!$NE$2:$NE$60=AB$3)*(GMW!$ND$2:$ND$60=AB$4)*(GMW!$NF$2:$NF$60=AB$1),0),$F314-1966)</f>
        <v>1816656</v>
      </c>
      <c r="AC314" s="4" cm="1">
        <f t="array" ref="AC314">INDEX(GMW!$A$2:$NF$60,MATCH(1,(GMW!$NE$2:$NE$60=AC$3)*(GMW!$ND$2:$ND$60=AC$4)*(GMW!$NF$2:$NF$60=AC$1),0),$F314-1966)</f>
        <v>18636.39</v>
      </c>
      <c r="AD314" s="4" cm="1">
        <f t="array" ref="AD314">INDEX(GMW!$A$2:$NF$60,MATCH(1,(GMW!$NE$2:$NE$60=AD$3)*(GMW!$ND$2:$ND$60=AD$4)*(GMW!$NF$2:$NF$60=AD$1),0),$F314-1966)</f>
        <v>217724.5</v>
      </c>
      <c r="AE314" s="4" cm="1">
        <f t="array" ref="AE314">INDEX(GMW!$A$2:$NF$60,MATCH(1,(GMW!$NE$2:$NE$60=AE$3)*(GMW!$ND$2:$ND$60=AE$4)*(GMW!$NF$2:$NF$60=AE$1),0),$F314-1966)</f>
        <v>2354.0529999999999</v>
      </c>
      <c r="AF314" s="4" cm="1">
        <f t="array" ref="AF314">INDEX(GMW!$A$2:$NF$60,MATCH(1,(GMW!$NE$2:$NE$60=AF$3)*(GMW!$ND$2:$ND$60=AF$4)*(GMW!$NF$2:$NF$60=AF$1),0),$F314-1966)</f>
        <v>1454.7449999999999</v>
      </c>
      <c r="AG314" s="4" cm="1">
        <f t="array" ref="AG314">INDEX(GMW!$A$2:$NF$60,MATCH(1,(GMW!$NE$2:$NE$60=AG$3)*(GMW!$ND$2:$ND$60=AG$4)*(GMW!$NF$2:$NF$60=AG$1),0),$F314-1966)</f>
        <v>964.19179999999994</v>
      </c>
      <c r="AH314" s="4" cm="1">
        <f t="array" ref="AH314">INDEX(GMW!$A$2:$NF$60,MATCH(1,(GMW!$NE$2:$NE$60=AH$3)*(GMW!$ND$2:$ND$60=AH$4)*(GMW!$NF$2:$NF$60=AH$1),0),$F314-1966)</f>
        <v>2005051</v>
      </c>
    </row>
    <row r="315" spans="1:34" x14ac:dyDescent="0.25">
      <c r="A315" s="4">
        <v>2050</v>
      </c>
      <c r="B315" s="4">
        <f t="shared" si="99"/>
        <v>2050</v>
      </c>
      <c r="C315" s="4">
        <f t="shared" si="99"/>
        <v>2049</v>
      </c>
      <c r="D315" s="4">
        <f t="shared" si="99"/>
        <v>2049</v>
      </c>
      <c r="F315" s="4">
        <f t="shared" si="101"/>
        <v>2281</v>
      </c>
      <c r="G315" s="4" cm="1">
        <f t="array" ref="G315">INDEX(GMW!$A$2:$NF$60,MATCH(1,(GMW!$NE$2:$NE$60=G$3)*(GMW!$ND$2:$ND$60=G$4)*(GMW!$NF$2:$NF$60=G$1),0),$F315-1966)</f>
        <v>939875.5</v>
      </c>
      <c r="H315" s="4" cm="1">
        <f t="array" ref="H315">INDEX(GMW!$A$2:$NF$60,MATCH(1,(GMW!$NE$2:$NE$60=H$3)*(GMW!$ND$2:$ND$60=H$4)*(GMW!$NF$2:$NF$60=H$1),0),$F315-1966)</f>
        <v>9267.5759999999991</v>
      </c>
      <c r="I315" s="4" cm="1">
        <f t="array" ref="I315">INDEX(GMW!$A$2:$NF$60,MATCH(1,(GMW!$NE$2:$NE$60=I$3)*(GMW!$ND$2:$ND$60=I$4)*(GMW!$NF$2:$NF$60=I$1),0),$F315-1966)</f>
        <v>139215.6</v>
      </c>
      <c r="J315" s="4" cm="1">
        <f t="array" ref="J315">INDEX(GMW!$A$2:$NF$60,MATCH(1,(GMW!$NE$2:$NE$60=J$3)*(GMW!$ND$2:$ND$60=J$4)*(GMW!$NF$2:$NF$60=J$1),0),$F315-1966)</f>
        <v>1144.9870000000001</v>
      </c>
      <c r="K315" s="4" cm="1">
        <f t="array" ref="K315">INDEX(GMW!$A$2:$NF$60,MATCH(1,(GMW!$NE$2:$NE$60=K$3)*(GMW!$ND$2:$ND$60=K$4)*(GMW!$NF$2:$NF$60=K$1),0),$F315-1966)</f>
        <v>786.77120000000002</v>
      </c>
      <c r="L315" s="4" cm="1">
        <f t="array" ref="L315">INDEX(GMW!$A$2:$NF$60,MATCH(1,(GMW!$NE$2:$NE$60=L$3)*(GMW!$ND$2:$ND$60=L$4)*(GMW!$NF$2:$NF$60=L$1),0),$F315-1966)</f>
        <v>524.60050000000001</v>
      </c>
      <c r="M315" s="4" cm="1">
        <f t="array" ref="M315">INDEX(GMW!$A$2:$NF$60,MATCH(1,(GMW!$NE$2:$NE$60=M$3)*(GMW!$ND$2:$ND$60=M$4)*(GMW!$NF$2:$NF$60=M$1),0),$F315-1966)</f>
        <v>979531.8</v>
      </c>
      <c r="N315" s="4" cm="1">
        <f t="array" ref="N315">INDEX(GMW!$A$2:$NF$60,MATCH(1,(GMW!$NE$2:$NE$60=N$3)*(GMW!$ND$2:$ND$60=N$4)*(GMW!$NF$2:$NF$60=N$1),0),$F315-1966)</f>
        <v>-5242.5630000000001</v>
      </c>
      <c r="O315" s="4" cm="1">
        <f t="array" ref="O315">INDEX(GMW!$A$2:$NF$60,MATCH(1,(GMW!$NE$2:$NE$60=O$3)*(GMW!$ND$2:$ND$60=O$4)*(GMW!$NF$2:$NF$60=O$1),0),$F315-1966)</f>
        <v>-1130.0630000000001</v>
      </c>
      <c r="P315" s="4" cm="1">
        <f t="array" ref="P315">INDEX(GMW!$A$2:$NF$60,MATCH(1,(GMW!$NE$2:$NE$60=P$3)*(GMW!$ND$2:$ND$60=P$4)*(GMW!$NF$2:$NF$60=P$1),0),$F315-1966)</f>
        <v>-2036.242</v>
      </c>
      <c r="Q315" s="4" cm="1">
        <f t="array" ref="Q315">INDEX(GMW!$A$2:$NF$60,MATCH(1,(GMW!$NE$2:$NE$60=Q$3)*(GMW!$ND$2:$ND$60=Q$4)*(GMW!$NF$2:$NF$60=Q$1),0),$F315-1966)</f>
        <v>-33.62903</v>
      </c>
      <c r="R315" s="4" cm="1">
        <f t="array" ref="R315">INDEX(GMW!$A$2:$NF$60,MATCH(1,(GMW!$NE$2:$NE$60=R$3)*(GMW!$ND$2:$ND$60=R$4)*(GMW!$NF$2:$NF$60=R$1),0),$F315-1966)</f>
        <v>-48.281979999999997</v>
      </c>
      <c r="S315" s="4" cm="1">
        <f t="array" ref="S315">INDEX(GMW!$A$2:$NF$60,MATCH(1,(GMW!$NE$2:$NE$60=S$3)*(GMW!$ND$2:$ND$60=S$4)*(GMW!$NF$2:$NF$60=S$1),0),$F315-1966)</f>
        <v>-17.202490000000001</v>
      </c>
      <c r="T315" s="4" cm="1">
        <f t="array" ref="T315">INDEX(GMW!$A$2:$NF$60,MATCH(1,(GMW!$NE$2:$NE$60=T$3)*(GMW!$ND$2:$ND$60=T$4)*(GMW!$NF$2:$NF$60=T$1),0),$F315-1966)</f>
        <v>-48571.44</v>
      </c>
      <c r="U315" s="4" cm="1">
        <f t="array" ref="U315">INDEX(GMW!$A$2:$NF$60,MATCH(1,(GMW!$NE$2:$NE$60=U$3)*(GMW!$ND$2:$ND$60=U$4)*(GMW!$NF$2:$NF$60=U$1),0),$F315-1966)</f>
        <v>7381396</v>
      </c>
      <c r="V315" s="4" cm="1">
        <f t="array" ref="V315">INDEX(GMW!$A$2:$NF$60,MATCH(1,(GMW!$NE$2:$NE$60=V$3)*(GMW!$ND$2:$ND$60=V$4)*(GMW!$NF$2:$NF$60=V$1),0),$F315-1966)</f>
        <v>134015.6</v>
      </c>
      <c r="W315" s="4" cm="1">
        <f t="array" ref="W315">INDEX(GMW!$A$2:$NF$60,MATCH(1,(GMW!$NE$2:$NE$60=W$3)*(GMW!$ND$2:$ND$60=W$4)*(GMW!$NF$2:$NF$60=W$1),0),$F315-1966)</f>
        <v>1644583</v>
      </c>
      <c r="X315" s="4" cm="1">
        <f t="array" ref="X315">INDEX(GMW!$A$2:$NF$60,MATCH(1,(GMW!$NE$2:$NE$60=X$3)*(GMW!$ND$2:$ND$60=X$4)*(GMW!$NF$2:$NF$60=X$1),0),$F315-1966)</f>
        <v>5584.1980000000003</v>
      </c>
      <c r="Y315" s="4" cm="1">
        <f t="array" ref="Y315">INDEX(GMW!$A$2:$NF$60,MATCH(1,(GMW!$NE$2:$NE$60=Y$3)*(GMW!$ND$2:$ND$60=Y$4)*(GMW!$NF$2:$NF$60=Y$1),0),$F315-1966)</f>
        <v>7637.0680000000002</v>
      </c>
      <c r="Z315" s="4" cm="1">
        <f t="array" ref="Z315">INDEX(GMW!$A$2:$NF$60,MATCH(1,(GMW!$NE$2:$NE$60=Z$3)*(GMW!$ND$2:$ND$60=Z$4)*(GMW!$NF$2:$NF$60=Z$1),0),$F315-1966)</f>
        <v>4913.29</v>
      </c>
      <c r="AA315" s="4" cm="1">
        <f t="array" ref="AA315">INDEX(GMW!$A$2:$NF$60,MATCH(1,(GMW!$NE$2:$NE$60=AA$3)*(GMW!$ND$2:$ND$60=AA$4)*(GMW!$NF$2:$NF$60=AA$1),0),$F315-1966)</f>
        <v>6641205</v>
      </c>
      <c r="AB315" s="4" cm="1">
        <f t="array" ref="AB315">INDEX(GMW!$A$2:$NF$60,MATCH(1,(GMW!$NE$2:$NE$60=AB$3)*(GMW!$ND$2:$ND$60=AB$4)*(GMW!$NF$2:$NF$60=AB$1),0),$F315-1966)</f>
        <v>1832597</v>
      </c>
      <c r="AC315" s="4" cm="1">
        <f t="array" ref="AC315">INDEX(GMW!$A$2:$NF$60,MATCH(1,(GMW!$NE$2:$NE$60=AC$3)*(GMW!$ND$2:$ND$60=AC$4)*(GMW!$NF$2:$NF$60=AC$1),0),$F315-1966)</f>
        <v>18799.439999999999</v>
      </c>
      <c r="AD315" s="4" cm="1">
        <f t="array" ref="AD315">INDEX(GMW!$A$2:$NF$60,MATCH(1,(GMW!$NE$2:$NE$60=AD$3)*(GMW!$ND$2:$ND$60=AD$4)*(GMW!$NF$2:$NF$60=AD$1),0),$F315-1966)</f>
        <v>218620.7</v>
      </c>
      <c r="AE315" s="4" cm="1">
        <f t="array" ref="AE315">INDEX(GMW!$A$2:$NF$60,MATCH(1,(GMW!$NE$2:$NE$60=AE$3)*(GMW!$ND$2:$ND$60=AE$4)*(GMW!$NF$2:$NF$60=AE$1),0),$F315-1966)</f>
        <v>2370.5079999999998</v>
      </c>
      <c r="AF315" s="4" cm="1">
        <f t="array" ref="AF315">INDEX(GMW!$A$2:$NF$60,MATCH(1,(GMW!$NE$2:$NE$60=AF$3)*(GMW!$ND$2:$ND$60=AF$4)*(GMW!$NF$2:$NF$60=AF$1),0),$F315-1966)</f>
        <v>1463.3009999999999</v>
      </c>
      <c r="AG315" s="4" cm="1">
        <f t="array" ref="AG315">INDEX(GMW!$A$2:$NF$60,MATCH(1,(GMW!$NE$2:$NE$60=AG$3)*(GMW!$ND$2:$ND$60=AG$4)*(GMW!$NF$2:$NF$60=AG$1),0),$F315-1966)</f>
        <v>969.70590000000004</v>
      </c>
      <c r="AH315" s="4" cm="1">
        <f t="array" ref="AH315">INDEX(GMW!$A$2:$NF$60,MATCH(1,(GMW!$NE$2:$NE$60=AH$3)*(GMW!$ND$2:$ND$60=AH$4)*(GMW!$NF$2:$NF$60=AH$1),0),$F315-1966)</f>
        <v>2023987</v>
      </c>
    </row>
    <row r="316" spans="1:34" x14ac:dyDescent="0.25">
      <c r="B316" s="4">
        <f t="shared" ref="B316:D331" si="105">+B312+1</f>
        <v>2050</v>
      </c>
      <c r="C316" s="4">
        <f t="shared" si="105"/>
        <v>2050</v>
      </c>
      <c r="F316" s="4">
        <f t="shared" si="101"/>
        <v>2282</v>
      </c>
      <c r="G316" s="4" cm="1">
        <f t="array" ref="G316">INDEX(GMW!$A$2:$NF$60,MATCH(1,(GMW!$NE$2:$NE$60=G$3)*(GMW!$ND$2:$ND$60=G$4)*(GMW!$NF$2:$NF$60=G$1),0),$F316-1966)</f>
        <v>943076.8</v>
      </c>
      <c r="H316" s="4" cm="1">
        <f t="array" ref="H316">INDEX(GMW!$A$2:$NF$60,MATCH(1,(GMW!$NE$2:$NE$60=H$3)*(GMW!$ND$2:$ND$60=H$4)*(GMW!$NF$2:$NF$60=H$1),0),$F316-1966)</f>
        <v>9304.3960000000006</v>
      </c>
      <c r="I316" s="4" cm="1">
        <f t="array" ref="I316">INDEX(GMW!$A$2:$NF$60,MATCH(1,(GMW!$NE$2:$NE$60=I$3)*(GMW!$ND$2:$ND$60=I$4)*(GMW!$NF$2:$NF$60=I$1),0),$F316-1966)</f>
        <v>139252.70000000001</v>
      </c>
      <c r="J316" s="4" cm="1">
        <f t="array" ref="J316">INDEX(GMW!$A$2:$NF$60,MATCH(1,(GMW!$NE$2:$NE$60=J$3)*(GMW!$ND$2:$ND$60=J$4)*(GMW!$NF$2:$NF$60=J$1),0),$F316-1966)</f>
        <v>1147.3</v>
      </c>
      <c r="K316" s="4" cm="1">
        <f t="array" ref="K316">INDEX(GMW!$A$2:$NF$60,MATCH(1,(GMW!$NE$2:$NE$60=K$3)*(GMW!$ND$2:$ND$60=K$4)*(GMW!$NF$2:$NF$60=K$1),0),$F316-1966)</f>
        <v>787.59339999999997</v>
      </c>
      <c r="L316" s="4" cm="1">
        <f t="array" ref="L316">INDEX(GMW!$A$2:$NF$60,MATCH(1,(GMW!$NE$2:$NE$60=L$3)*(GMW!$ND$2:$ND$60=L$4)*(GMW!$NF$2:$NF$60=L$1),0),$F316-1966)</f>
        <v>524.99289999999996</v>
      </c>
      <c r="M316" s="4" cm="1">
        <f t="array" ref="M316">INDEX(GMW!$A$2:$NF$60,MATCH(1,(GMW!$NE$2:$NE$60=M$3)*(GMW!$ND$2:$ND$60=M$4)*(GMW!$NF$2:$NF$60=M$1),0),$F316-1966)</f>
        <v>983950.4</v>
      </c>
      <c r="N316" s="4" cm="1">
        <f t="array" ref="N316">INDEX(GMW!$A$2:$NF$60,MATCH(1,(GMW!$NE$2:$NE$60=N$3)*(GMW!$ND$2:$ND$60=N$4)*(GMW!$NF$2:$NF$60=N$1),0),$F316-1966)</f>
        <v>-118750.39999999999</v>
      </c>
      <c r="O316" s="4" cm="1">
        <f t="array" ref="O316">INDEX(GMW!$A$2:$NF$60,MATCH(1,(GMW!$NE$2:$NE$60=O$3)*(GMW!$ND$2:$ND$60=O$4)*(GMW!$NF$2:$NF$60=O$1),0),$F316-1966)</f>
        <v>-1130.596</v>
      </c>
      <c r="P316" s="4" cm="1">
        <f t="array" ref="P316">INDEX(GMW!$A$2:$NF$60,MATCH(1,(GMW!$NE$2:$NE$60=P$3)*(GMW!$ND$2:$ND$60=P$4)*(GMW!$NF$2:$NF$60=P$1),0),$F316-1966)</f>
        <v>-2044.625</v>
      </c>
      <c r="Q316" s="4" cm="1">
        <f t="array" ref="Q316">INDEX(GMW!$A$2:$NF$60,MATCH(1,(GMW!$NE$2:$NE$60=Q$3)*(GMW!$ND$2:$ND$60=Q$4)*(GMW!$NF$2:$NF$60=Q$1),0),$F316-1966)</f>
        <v>-33.851930000000003</v>
      </c>
      <c r="R316" s="4" cm="1">
        <f t="array" ref="R316">INDEX(GMW!$A$2:$NF$60,MATCH(1,(GMW!$NE$2:$NE$60=R$3)*(GMW!$ND$2:$ND$60=R$4)*(GMW!$NF$2:$NF$60=R$1),0),$F316-1966)</f>
        <v>-48.56635</v>
      </c>
      <c r="S316" s="4" cm="1">
        <f t="array" ref="S316">INDEX(GMW!$A$2:$NF$60,MATCH(1,(GMW!$NE$2:$NE$60=S$3)*(GMW!$ND$2:$ND$60=S$4)*(GMW!$NF$2:$NF$60=S$1),0),$F316-1966)</f>
        <v>-17.300840000000001</v>
      </c>
      <c r="T316" s="4" cm="1">
        <f t="array" ref="T316">INDEX(GMW!$A$2:$NF$60,MATCH(1,(GMW!$NE$2:$NE$60=T$3)*(GMW!$ND$2:$ND$60=T$4)*(GMW!$NF$2:$NF$60=T$1),0),$F316-1966)</f>
        <v>-49015.88</v>
      </c>
      <c r="U316" s="4" cm="1">
        <f t="array" ref="U316">INDEX(GMW!$A$2:$NF$60,MATCH(1,(GMW!$NE$2:$NE$60=U$3)*(GMW!$ND$2:$ND$60=U$4)*(GMW!$NF$2:$NF$60=U$1),0),$F316-1966)</f>
        <v>7500146</v>
      </c>
      <c r="V316" s="4" cm="1">
        <f t="array" ref="V316">INDEX(GMW!$A$2:$NF$60,MATCH(1,(GMW!$NE$2:$NE$60=V$3)*(GMW!$ND$2:$ND$60=V$4)*(GMW!$NF$2:$NF$60=V$1),0),$F316-1966)</f>
        <v>135146.20000000001</v>
      </c>
      <c r="W316" s="4" cm="1">
        <f t="array" ref="W316">INDEX(GMW!$A$2:$NF$60,MATCH(1,(GMW!$NE$2:$NE$60=W$3)*(GMW!$ND$2:$ND$60=W$4)*(GMW!$NF$2:$NF$60=W$1),0),$F316-1966)</f>
        <v>1646627</v>
      </c>
      <c r="X316" s="4" cm="1">
        <f t="array" ref="X316">INDEX(GMW!$A$2:$NF$60,MATCH(1,(GMW!$NE$2:$NE$60=X$3)*(GMW!$ND$2:$ND$60=X$4)*(GMW!$NF$2:$NF$60=X$1),0),$F316-1966)</f>
        <v>5618.05</v>
      </c>
      <c r="Y316" s="4" cm="1">
        <f t="array" ref="Y316">INDEX(GMW!$A$2:$NF$60,MATCH(1,(GMW!$NE$2:$NE$60=Y$3)*(GMW!$ND$2:$ND$60=Y$4)*(GMW!$NF$2:$NF$60=Y$1),0),$F316-1966)</f>
        <v>7685.6350000000002</v>
      </c>
      <c r="Z316" s="4" cm="1">
        <f t="array" ref="Z316">INDEX(GMW!$A$2:$NF$60,MATCH(1,(GMW!$NE$2:$NE$60=Z$3)*(GMW!$ND$2:$ND$60=Z$4)*(GMW!$NF$2:$NF$60=Z$1),0),$F316-1966)</f>
        <v>4930.5910000000003</v>
      </c>
      <c r="AA316" s="4" cm="1">
        <f t="array" ref="AA316">INDEX(GMW!$A$2:$NF$60,MATCH(1,(GMW!$NE$2:$NE$60=AA$3)*(GMW!$ND$2:$ND$60=AA$4)*(GMW!$NF$2:$NF$60=AA$1),0),$F316-1966)</f>
        <v>6690221</v>
      </c>
      <c r="AB316" s="4" cm="1">
        <f t="array" ref="AB316">INDEX(GMW!$A$2:$NF$60,MATCH(1,(GMW!$NE$2:$NE$60=AB$3)*(GMW!$ND$2:$ND$60=AB$4)*(GMW!$NF$2:$NF$60=AB$1),0),$F316-1966)</f>
        <v>1848668</v>
      </c>
      <c r="AC316" s="4" cm="1">
        <f t="array" ref="AC316">INDEX(GMW!$A$2:$NF$60,MATCH(1,(GMW!$NE$2:$NE$60=AC$3)*(GMW!$ND$2:$ND$60=AC$4)*(GMW!$NF$2:$NF$60=AC$1),0),$F316-1966)</f>
        <v>18963.36</v>
      </c>
      <c r="AD316" s="4" cm="1">
        <f t="array" ref="AD316">INDEX(GMW!$A$2:$NF$60,MATCH(1,(GMW!$NE$2:$NE$60=AD$3)*(GMW!$ND$2:$ND$60=AD$4)*(GMW!$NF$2:$NF$60=AD$1),0),$F316-1966)</f>
        <v>219510.1</v>
      </c>
      <c r="AE316" s="4" cm="1">
        <f t="array" ref="AE316">INDEX(GMW!$A$2:$NF$60,MATCH(1,(GMW!$NE$2:$NE$60=AE$3)*(GMW!$ND$2:$ND$60=AE$4)*(GMW!$NF$2:$NF$60=AE$1),0),$F316-1966)</f>
        <v>2387.08</v>
      </c>
      <c r="AF316" s="4" cm="1">
        <f t="array" ref="AF316">INDEX(GMW!$A$2:$NF$60,MATCH(1,(GMW!$NE$2:$NE$60=AF$3)*(GMW!$ND$2:$ND$60=AF$4)*(GMW!$NF$2:$NF$60=AF$1),0),$F316-1966)</f>
        <v>1472.02</v>
      </c>
      <c r="AG316" s="4" cm="1">
        <f t="array" ref="AG316">INDEX(GMW!$A$2:$NF$60,MATCH(1,(GMW!$NE$2:$NE$60=AG$3)*(GMW!$ND$2:$ND$60=AG$4)*(GMW!$NF$2:$NF$60=AG$1),0),$F316-1966)</f>
        <v>975.29060000000004</v>
      </c>
      <c r="AH316" s="4" cm="1">
        <f t="array" ref="AH316">INDEX(GMW!$A$2:$NF$60,MATCH(1,(GMW!$NE$2:$NE$60=AH$3)*(GMW!$ND$2:$ND$60=AH$4)*(GMW!$NF$2:$NF$60=AH$1),0),$F316-1966)</f>
        <v>2043087</v>
      </c>
    </row>
    <row r="317" spans="1:34" x14ac:dyDescent="0.25">
      <c r="B317" s="4">
        <f t="shared" si="105"/>
        <v>2050</v>
      </c>
      <c r="C317" s="4">
        <f t="shared" si="105"/>
        <v>2050</v>
      </c>
      <c r="F317" s="4">
        <f t="shared" si="101"/>
        <v>2283</v>
      </c>
      <c r="G317" s="4" cm="1">
        <f t="array" ref="G317">INDEX(GMW!$A$2:$NF$60,MATCH(1,(GMW!$NE$2:$NE$60=G$3)*(GMW!$ND$2:$ND$60=G$4)*(GMW!$NF$2:$NF$60=G$1),0),$F317-1966)</f>
        <v>946260.4</v>
      </c>
      <c r="H317" s="4" cm="1">
        <f t="array" ref="H317">INDEX(GMW!$A$2:$NF$60,MATCH(1,(GMW!$NE$2:$NE$60=H$3)*(GMW!$ND$2:$ND$60=H$4)*(GMW!$NF$2:$NF$60=H$1),0),$F317-1966)</f>
        <v>9341.0869999999995</v>
      </c>
      <c r="I317" s="4" cm="1">
        <f t="array" ref="I317">INDEX(GMW!$A$2:$NF$60,MATCH(1,(GMW!$NE$2:$NE$60=I$3)*(GMW!$ND$2:$ND$60=I$4)*(GMW!$NF$2:$NF$60=I$1),0),$F317-1966)</f>
        <v>139299.29999999999</v>
      </c>
      <c r="J317" s="4" cm="1">
        <f t="array" ref="J317">INDEX(GMW!$A$2:$NF$60,MATCH(1,(GMW!$NE$2:$NE$60=J$3)*(GMW!$ND$2:$ND$60=J$4)*(GMW!$NF$2:$NF$60=J$1),0),$F317-1966)</f>
        <v>1149.6189999999999</v>
      </c>
      <c r="K317" s="4" cm="1">
        <f t="array" ref="K317">INDEX(GMW!$A$2:$NF$60,MATCH(1,(GMW!$NE$2:$NE$60=K$3)*(GMW!$ND$2:$ND$60=K$4)*(GMW!$NF$2:$NF$60=K$1),0),$F317-1966)</f>
        <v>788.30790000000002</v>
      </c>
      <c r="L317" s="4" cm="1">
        <f t="array" ref="L317">INDEX(GMW!$A$2:$NF$60,MATCH(1,(GMW!$NE$2:$NE$60=L$3)*(GMW!$ND$2:$ND$60=L$4)*(GMW!$NF$2:$NF$60=L$1),0),$F317-1966)</f>
        <v>525.38530000000003</v>
      </c>
      <c r="M317" s="4" cm="1">
        <f t="array" ref="M317">INDEX(GMW!$A$2:$NF$60,MATCH(1,(GMW!$NE$2:$NE$60=M$3)*(GMW!$ND$2:$ND$60=M$4)*(GMW!$NF$2:$NF$60=M$1),0),$F317-1966)</f>
        <v>988377.7</v>
      </c>
      <c r="N317" s="4" cm="1">
        <f t="array" ref="N317">INDEX(GMW!$A$2:$NF$60,MATCH(1,(GMW!$NE$2:$NE$60=N$3)*(GMW!$ND$2:$ND$60=N$4)*(GMW!$NF$2:$NF$60=N$1),0),$F317-1966)</f>
        <v>-64065.75</v>
      </c>
      <c r="O317" s="4" cm="1">
        <f t="array" ref="O317">INDEX(GMW!$A$2:$NF$60,MATCH(1,(GMW!$NE$2:$NE$60=O$3)*(GMW!$ND$2:$ND$60=O$4)*(GMW!$NF$2:$NF$60=O$1),0),$F317-1966)</f>
        <v>-1131.01</v>
      </c>
      <c r="P317" s="4" cm="1">
        <f t="array" ref="P317">INDEX(GMW!$A$2:$NF$60,MATCH(1,(GMW!$NE$2:$NE$60=P$3)*(GMW!$ND$2:$ND$60=P$4)*(GMW!$NF$2:$NF$60=P$1),0),$F317-1966)</f>
        <v>-2052.9450000000002</v>
      </c>
      <c r="Q317" s="4" cm="1">
        <f t="array" ref="Q317">INDEX(GMW!$A$2:$NF$60,MATCH(1,(GMW!$NE$2:$NE$60=Q$3)*(GMW!$ND$2:$ND$60=Q$4)*(GMW!$NF$2:$NF$60=Q$1),0),$F317-1966)</f>
        <v>-34.077030000000001</v>
      </c>
      <c r="R317" s="4" cm="1">
        <f t="array" ref="R317">INDEX(GMW!$A$2:$NF$60,MATCH(1,(GMW!$NE$2:$NE$60=R$3)*(GMW!$ND$2:$ND$60=R$4)*(GMW!$NF$2:$NF$60=R$1),0),$F317-1966)</f>
        <v>-48.859439999999999</v>
      </c>
      <c r="S317" s="4" cm="1">
        <f t="array" ref="S317">INDEX(GMW!$A$2:$NF$60,MATCH(1,(GMW!$NE$2:$NE$60=S$3)*(GMW!$ND$2:$ND$60=S$4)*(GMW!$NF$2:$NF$60=S$1),0),$F317-1966)</f>
        <v>-17.400480000000002</v>
      </c>
      <c r="T317" s="4" cm="1">
        <f t="array" ref="T317">INDEX(GMW!$A$2:$NF$60,MATCH(1,(GMW!$NE$2:$NE$60=T$3)*(GMW!$ND$2:$ND$60=T$4)*(GMW!$NF$2:$NF$60=T$1),0),$F317-1966)</f>
        <v>-49308.25</v>
      </c>
      <c r="U317" s="4" cm="1">
        <f t="array" ref="U317">INDEX(GMW!$A$2:$NF$60,MATCH(1,(GMW!$NE$2:$NE$60=U$3)*(GMW!$ND$2:$ND$60=U$4)*(GMW!$NF$2:$NF$60=U$1),0),$F317-1966)</f>
        <v>7564212</v>
      </c>
      <c r="V317" s="4" cm="1">
        <f t="array" ref="V317">INDEX(GMW!$A$2:$NF$60,MATCH(1,(GMW!$NE$2:$NE$60=V$3)*(GMW!$ND$2:$ND$60=V$4)*(GMW!$NF$2:$NF$60=V$1),0),$F317-1966)</f>
        <v>136277.20000000001</v>
      </c>
      <c r="W317" s="4" cm="1">
        <f t="array" ref="W317">INDEX(GMW!$A$2:$NF$60,MATCH(1,(GMW!$NE$2:$NE$60=W$3)*(GMW!$ND$2:$ND$60=W$4)*(GMW!$NF$2:$NF$60=W$1),0),$F317-1966)</f>
        <v>1648680</v>
      </c>
      <c r="X317" s="4" cm="1">
        <f t="array" ref="X317">INDEX(GMW!$A$2:$NF$60,MATCH(1,(GMW!$NE$2:$NE$60=X$3)*(GMW!$ND$2:$ND$60=X$4)*(GMW!$NF$2:$NF$60=X$1),0),$F317-1966)</f>
        <v>5652.1270000000004</v>
      </c>
      <c r="Y317" s="4" cm="1">
        <f t="array" ref="Y317">INDEX(GMW!$A$2:$NF$60,MATCH(1,(GMW!$NE$2:$NE$60=Y$3)*(GMW!$ND$2:$ND$60=Y$4)*(GMW!$NF$2:$NF$60=Y$1),0),$F317-1966)</f>
        <v>7734.4939999999997</v>
      </c>
      <c r="Z317" s="4" cm="1">
        <f t="array" ref="Z317">INDEX(GMW!$A$2:$NF$60,MATCH(1,(GMW!$NE$2:$NE$60=Z$3)*(GMW!$ND$2:$ND$60=Z$4)*(GMW!$NF$2:$NF$60=Z$1),0),$F317-1966)</f>
        <v>4947.991</v>
      </c>
      <c r="AA317" s="4" cm="1">
        <f t="array" ref="AA317">INDEX(GMW!$A$2:$NF$60,MATCH(1,(GMW!$NE$2:$NE$60=AA$3)*(GMW!$ND$2:$ND$60=AA$4)*(GMW!$NF$2:$NF$60=AA$1),0),$F317-1966)</f>
        <v>6739529</v>
      </c>
      <c r="AB317" s="4" cm="1">
        <f t="array" ref="AB317">INDEX(GMW!$A$2:$NF$60,MATCH(1,(GMW!$NE$2:$NE$60=AB$3)*(GMW!$ND$2:$ND$60=AB$4)*(GMW!$NF$2:$NF$60=AB$1),0),$F317-1966)</f>
        <v>1864823</v>
      </c>
      <c r="AC317" s="4" cm="1">
        <f t="array" ref="AC317">INDEX(GMW!$A$2:$NF$60,MATCH(1,(GMW!$NE$2:$NE$60=AC$3)*(GMW!$ND$2:$ND$60=AC$4)*(GMW!$NF$2:$NF$60=AC$1),0),$F317-1966)</f>
        <v>19128.23</v>
      </c>
      <c r="AD317" s="4" cm="1">
        <f t="array" ref="AD317">INDEX(GMW!$A$2:$NF$60,MATCH(1,(GMW!$NE$2:$NE$60=AD$3)*(GMW!$ND$2:$ND$60=AD$4)*(GMW!$NF$2:$NF$60=AD$1),0),$F317-1966)</f>
        <v>220418.3</v>
      </c>
      <c r="AE317" s="4" cm="1">
        <f t="array" ref="AE317">INDEX(GMW!$A$2:$NF$60,MATCH(1,(GMW!$NE$2:$NE$60=AE$3)*(GMW!$ND$2:$ND$60=AE$4)*(GMW!$NF$2:$NF$60=AE$1),0),$F317-1966)</f>
        <v>2403.7710000000002</v>
      </c>
      <c r="AF317" s="4" cm="1">
        <f t="array" ref="AF317">INDEX(GMW!$A$2:$NF$60,MATCH(1,(GMW!$NE$2:$NE$60=AF$3)*(GMW!$ND$2:$ND$60=AF$4)*(GMW!$NF$2:$NF$60=AF$1),0),$F317-1966)</f>
        <v>1480.6369999999999</v>
      </c>
      <c r="AG317" s="4" cm="1">
        <f t="array" ref="AG317">INDEX(GMW!$A$2:$NF$60,MATCH(1,(GMW!$NE$2:$NE$60=AG$3)*(GMW!$ND$2:$ND$60=AG$4)*(GMW!$NF$2:$NF$60=AG$1),0),$F317-1966)</f>
        <v>980.90949999999998</v>
      </c>
      <c r="AH317" s="4" cm="1">
        <f t="array" ref="AH317">INDEX(GMW!$A$2:$NF$60,MATCH(1,(GMW!$NE$2:$NE$60=AH$3)*(GMW!$ND$2:$ND$60=AH$4)*(GMW!$NF$2:$NF$60=AH$1),0),$F317-1966)</f>
        <v>2062337</v>
      </c>
    </row>
    <row r="318" spans="1:34" x14ac:dyDescent="0.25">
      <c r="B318" s="4">
        <f t="shared" si="105"/>
        <v>2050</v>
      </c>
      <c r="C318" s="4">
        <f t="shared" si="105"/>
        <v>2050</v>
      </c>
      <c r="E318" s="4">
        <f t="shared" ref="E318" si="106">+E314+1</f>
        <v>2050</v>
      </c>
      <c r="F318" s="4">
        <f t="shared" si="101"/>
        <v>2284</v>
      </c>
      <c r="G318" s="4" cm="1">
        <f t="array" ref="G318">INDEX(GMW!$A$2:$NF$60,MATCH(1,(GMW!$NE$2:$NE$60=G$3)*(GMW!$ND$2:$ND$60=G$4)*(GMW!$NF$2:$NF$60=G$1),0),$F318-1966)</f>
        <v>949449.4</v>
      </c>
      <c r="H318" s="4" cm="1">
        <f t="array" ref="H318">INDEX(GMW!$A$2:$NF$60,MATCH(1,(GMW!$NE$2:$NE$60=H$3)*(GMW!$ND$2:$ND$60=H$4)*(GMW!$NF$2:$NF$60=H$1),0),$F318-1966)</f>
        <v>9378.1679999999997</v>
      </c>
      <c r="I318" s="4" cm="1">
        <f t="array" ref="I318">INDEX(GMW!$A$2:$NF$60,MATCH(1,(GMW!$NE$2:$NE$60=I$3)*(GMW!$ND$2:$ND$60=I$4)*(GMW!$NF$2:$NF$60=I$1),0),$F318-1966)</f>
        <v>139355.4</v>
      </c>
      <c r="J318" s="4" cm="1">
        <f t="array" ref="J318">INDEX(GMW!$A$2:$NF$60,MATCH(1,(GMW!$NE$2:$NE$60=J$3)*(GMW!$ND$2:$ND$60=J$4)*(GMW!$NF$2:$NF$60=J$1),0),$F318-1966)</f>
        <v>1151.943</v>
      </c>
      <c r="K318" s="4" cm="1">
        <f t="array" ref="K318">INDEX(GMW!$A$2:$NF$60,MATCH(1,(GMW!$NE$2:$NE$60=K$3)*(GMW!$ND$2:$ND$60=K$4)*(GMW!$NF$2:$NF$60=K$1),0),$F318-1966)</f>
        <v>788.9588</v>
      </c>
      <c r="L318" s="4" cm="1">
        <f t="array" ref="L318">INDEX(GMW!$A$2:$NF$60,MATCH(1,(GMW!$NE$2:$NE$60=L$3)*(GMW!$ND$2:$ND$60=L$4)*(GMW!$NF$2:$NF$60=L$1),0),$F318-1966)</f>
        <v>525.77589999999998</v>
      </c>
      <c r="M318" s="4" cm="1">
        <f t="array" ref="M318">INDEX(GMW!$A$2:$NF$60,MATCH(1,(GMW!$NE$2:$NE$60=M$3)*(GMW!$ND$2:$ND$60=M$4)*(GMW!$NF$2:$NF$60=M$1),0),$F318-1966)</f>
        <v>992814.8</v>
      </c>
      <c r="N318" s="4" cm="1">
        <f t="array" ref="N318">INDEX(GMW!$A$2:$NF$60,MATCH(1,(GMW!$NE$2:$NE$60=N$3)*(GMW!$ND$2:$ND$60=N$4)*(GMW!$NF$2:$NF$60=N$1),0),$F318-1966)</f>
        <v>-112840.8</v>
      </c>
      <c r="O318" s="4" cm="1">
        <f t="array" ref="O318">INDEX(GMW!$A$2:$NF$60,MATCH(1,(GMW!$NE$2:$NE$60=O$3)*(GMW!$ND$2:$ND$60=O$4)*(GMW!$NF$2:$NF$60=O$1),0),$F318-1966)</f>
        <v>-1131.271</v>
      </c>
      <c r="P318" s="4" cm="1">
        <f t="array" ref="P318">INDEX(GMW!$A$2:$NF$60,MATCH(1,(GMW!$NE$2:$NE$60=P$3)*(GMW!$ND$2:$ND$60=P$4)*(GMW!$NF$2:$NF$60=P$1),0),$F318-1966)</f>
        <v>-2061.4450000000002</v>
      </c>
      <c r="Q318" s="4" cm="1">
        <f t="array" ref="Q318">INDEX(GMW!$A$2:$NF$60,MATCH(1,(GMW!$NE$2:$NE$60=Q$3)*(GMW!$ND$2:$ND$60=Q$4)*(GMW!$NF$2:$NF$60=Q$1),0),$F318-1966)</f>
        <v>-34.302979999999998</v>
      </c>
      <c r="R318" s="4" cm="1">
        <f t="array" ref="R318">INDEX(GMW!$A$2:$NF$60,MATCH(1,(GMW!$NE$2:$NE$60=R$3)*(GMW!$ND$2:$ND$60=R$4)*(GMW!$NF$2:$NF$60=R$1),0),$F318-1966)</f>
        <v>-49.14331</v>
      </c>
      <c r="S318" s="4" cm="1">
        <f t="array" ref="S318">INDEX(GMW!$A$2:$NF$60,MATCH(1,(GMW!$NE$2:$NE$60=S$3)*(GMW!$ND$2:$ND$60=S$4)*(GMW!$NF$2:$NF$60=S$1),0),$F318-1966)</f>
        <v>-17.500730000000001</v>
      </c>
      <c r="T318" s="4" cm="1">
        <f t="array" ref="T318">INDEX(GMW!$A$2:$NF$60,MATCH(1,(GMW!$NE$2:$NE$60=T$3)*(GMW!$ND$2:$ND$60=T$4)*(GMW!$NF$2:$NF$60=T$1),0),$F318-1966)</f>
        <v>-49925.31</v>
      </c>
      <c r="U318" s="4" cm="1">
        <f t="array" ref="U318">INDEX(GMW!$A$2:$NF$60,MATCH(1,(GMW!$NE$2:$NE$60=U$3)*(GMW!$ND$2:$ND$60=U$4)*(GMW!$NF$2:$NF$60=U$1),0),$F318-1966)</f>
        <v>7677053</v>
      </c>
      <c r="V318" s="4" cm="1">
        <f t="array" ref="V318">INDEX(GMW!$A$2:$NF$60,MATCH(1,(GMW!$NE$2:$NE$60=V$3)*(GMW!$ND$2:$ND$60=V$4)*(GMW!$NF$2:$NF$60=V$1),0),$F318-1966)</f>
        <v>137408.5</v>
      </c>
      <c r="W318" s="4" cm="1">
        <f t="array" ref="W318">INDEX(GMW!$A$2:$NF$60,MATCH(1,(GMW!$NE$2:$NE$60=W$3)*(GMW!$ND$2:$ND$60=W$4)*(GMW!$NF$2:$NF$60=W$1),0),$F318-1966)</f>
        <v>1650742</v>
      </c>
      <c r="X318" s="4" cm="1">
        <f t="array" ref="X318">INDEX(GMW!$A$2:$NF$60,MATCH(1,(GMW!$NE$2:$NE$60=X$3)*(GMW!$ND$2:$ND$60=X$4)*(GMW!$NF$2:$NF$60=X$1),0),$F318-1966)</f>
        <v>5686.4309999999996</v>
      </c>
      <c r="Y318" s="4" cm="1">
        <f t="array" ref="Y318">INDEX(GMW!$A$2:$NF$60,MATCH(1,(GMW!$NE$2:$NE$60=Y$3)*(GMW!$ND$2:$ND$60=Y$4)*(GMW!$NF$2:$NF$60=Y$1),0),$F318-1966)</f>
        <v>7783.6379999999999</v>
      </c>
      <c r="Z318" s="4" cm="1">
        <f t="array" ref="Z318">INDEX(GMW!$A$2:$NF$60,MATCH(1,(GMW!$NE$2:$NE$60=Z$3)*(GMW!$ND$2:$ND$60=Z$4)*(GMW!$NF$2:$NF$60=Z$1),0),$F318-1966)</f>
        <v>4965.4920000000002</v>
      </c>
      <c r="AA318" s="4" cm="1">
        <f t="array" ref="AA318">INDEX(GMW!$A$2:$NF$60,MATCH(1,(GMW!$NE$2:$NE$60=AA$3)*(GMW!$ND$2:$ND$60=AA$4)*(GMW!$NF$2:$NF$60=AA$1),0),$F318-1966)</f>
        <v>6789455</v>
      </c>
      <c r="AB318" s="4" cm="1">
        <f t="array" ref="AB318">INDEX(GMW!$A$2:$NF$60,MATCH(1,(GMW!$NE$2:$NE$60=AB$3)*(GMW!$ND$2:$ND$60=AB$4)*(GMW!$NF$2:$NF$60=AB$1),0),$F318-1966)</f>
        <v>1881108</v>
      </c>
      <c r="AC318" s="4" cm="1">
        <f t="array" ref="AC318">INDEX(GMW!$A$2:$NF$60,MATCH(1,(GMW!$NE$2:$NE$60=AC$3)*(GMW!$ND$2:$ND$60=AC$4)*(GMW!$NF$2:$NF$60=AC$1),0),$F318-1966)</f>
        <v>19295.07</v>
      </c>
      <c r="AD318" s="4" cm="1">
        <f t="array" ref="AD318">INDEX(GMW!$A$2:$NF$60,MATCH(1,(GMW!$NE$2:$NE$60=AD$3)*(GMW!$ND$2:$ND$60=AD$4)*(GMW!$NF$2:$NF$60=AD$1),0),$F318-1966)</f>
        <v>221341.8</v>
      </c>
      <c r="AE318" s="4" cm="1">
        <f t="array" ref="AE318">INDEX(GMW!$A$2:$NF$60,MATCH(1,(GMW!$NE$2:$NE$60=AE$3)*(GMW!$ND$2:$ND$60=AE$4)*(GMW!$NF$2:$NF$60=AE$1),0),$F318-1966)</f>
        <v>2420.5810000000001</v>
      </c>
      <c r="AF318" s="4" cm="1">
        <f t="array" ref="AF318">INDEX(GMW!$A$2:$NF$60,MATCH(1,(GMW!$NE$2:$NE$60=AF$3)*(GMW!$ND$2:$ND$60=AF$4)*(GMW!$NF$2:$NF$60=AF$1),0),$F318-1966)</f>
        <v>1489.271</v>
      </c>
      <c r="AG318" s="4" cm="1">
        <f t="array" ref="AG318">INDEX(GMW!$A$2:$NF$60,MATCH(1,(GMW!$NE$2:$NE$60=AG$3)*(GMW!$ND$2:$ND$60=AG$4)*(GMW!$NF$2:$NF$60=AG$1),0),$F318-1966)</f>
        <v>986.53560000000004</v>
      </c>
      <c r="AH318" s="4" cm="1">
        <f t="array" ref="AH318">INDEX(GMW!$A$2:$NF$60,MATCH(1,(GMW!$NE$2:$NE$60=AH$3)*(GMW!$ND$2:$ND$60=AH$4)*(GMW!$NF$2:$NF$60=AH$1),0),$F318-1966)</f>
        <v>2081765</v>
      </c>
    </row>
    <row r="319" spans="1:34" x14ac:dyDescent="0.25">
      <c r="A319" s="4">
        <v>2051</v>
      </c>
      <c r="B319" s="4">
        <f t="shared" si="105"/>
        <v>2051</v>
      </c>
      <c r="C319" s="4">
        <f t="shared" si="105"/>
        <v>2050</v>
      </c>
      <c r="D319" s="4">
        <f t="shared" si="105"/>
        <v>2050</v>
      </c>
      <c r="F319" s="4">
        <f t="shared" si="101"/>
        <v>2285</v>
      </c>
      <c r="G319" s="4" cm="1">
        <f t="array" ref="G319">INDEX(GMW!$A$2:$NF$60,MATCH(1,(GMW!$NE$2:$NE$60=G$3)*(GMW!$ND$2:$ND$60=G$4)*(GMW!$NF$2:$NF$60=G$1),0),$F319-1966)</f>
        <v>952644.9</v>
      </c>
      <c r="H319" s="4" cm="1">
        <f t="array" ref="H319">INDEX(GMW!$A$2:$NF$60,MATCH(1,(GMW!$NE$2:$NE$60=H$3)*(GMW!$ND$2:$ND$60=H$4)*(GMW!$NF$2:$NF$60=H$1),0),$F319-1966)</f>
        <v>9415.25</v>
      </c>
      <c r="I319" s="4" cm="1">
        <f t="array" ref="I319">INDEX(GMW!$A$2:$NF$60,MATCH(1,(GMW!$NE$2:$NE$60=I$3)*(GMW!$ND$2:$ND$60=I$4)*(GMW!$NF$2:$NF$60=I$1),0),$F319-1966)</f>
        <v>139411.9</v>
      </c>
      <c r="J319" s="4" cm="1">
        <f t="array" ref="J319">INDEX(GMW!$A$2:$NF$60,MATCH(1,(GMW!$NE$2:$NE$60=J$3)*(GMW!$ND$2:$ND$60=J$4)*(GMW!$NF$2:$NF$60=J$1),0),$F319-1966)</f>
        <v>1154.2529999999999</v>
      </c>
      <c r="K319" s="4" cm="1">
        <f t="array" ref="K319">INDEX(GMW!$A$2:$NF$60,MATCH(1,(GMW!$NE$2:$NE$60=K$3)*(GMW!$ND$2:$ND$60=K$4)*(GMW!$NF$2:$NF$60=K$1),0),$F319-1966)</f>
        <v>789.67529999999999</v>
      </c>
      <c r="L319" s="4" cm="1">
        <f t="array" ref="L319">INDEX(GMW!$A$2:$NF$60,MATCH(1,(GMW!$NE$2:$NE$60=L$3)*(GMW!$ND$2:$ND$60=L$4)*(GMW!$NF$2:$NF$60=L$1),0),$F319-1966)</f>
        <v>526.18979999999999</v>
      </c>
      <c r="M319" s="4" cm="1">
        <f t="array" ref="M319">INDEX(GMW!$A$2:$NF$60,MATCH(1,(GMW!$NE$2:$NE$60=M$3)*(GMW!$ND$2:$ND$60=M$4)*(GMW!$NF$2:$NF$60=M$1),0),$F319-1966)</f>
        <v>997261.9</v>
      </c>
      <c r="N319" s="4" cm="1">
        <f t="array" ref="N319">INDEX(GMW!$A$2:$NF$60,MATCH(1,(GMW!$NE$2:$NE$60=N$3)*(GMW!$ND$2:$ND$60=N$4)*(GMW!$NF$2:$NF$60=N$1),0),$F319-1966)</f>
        <v>-5434.5630000000001</v>
      </c>
      <c r="O319" s="4" cm="1">
        <f t="array" ref="O319">INDEX(GMW!$A$2:$NF$60,MATCH(1,(GMW!$NE$2:$NE$60=O$3)*(GMW!$ND$2:$ND$60=O$4)*(GMW!$NF$2:$NF$60=O$1),0),$F319-1966)</f>
        <v>-1131.335</v>
      </c>
      <c r="P319" s="4" cm="1">
        <f t="array" ref="P319">INDEX(GMW!$A$2:$NF$60,MATCH(1,(GMW!$NE$2:$NE$60=P$3)*(GMW!$ND$2:$ND$60=P$4)*(GMW!$NF$2:$NF$60=P$1),0),$F319-1966)</f>
        <v>-2070.0700000000002</v>
      </c>
      <c r="Q319" s="4" cm="1">
        <f t="array" ref="Q319">INDEX(GMW!$A$2:$NF$60,MATCH(1,(GMW!$NE$2:$NE$60=Q$3)*(GMW!$ND$2:$ND$60=Q$4)*(GMW!$NF$2:$NF$60=Q$1),0),$F319-1966)</f>
        <v>-34.530030000000004</v>
      </c>
      <c r="R319" s="4" cm="1">
        <f t="array" ref="R319">INDEX(GMW!$A$2:$NF$60,MATCH(1,(GMW!$NE$2:$NE$60=R$3)*(GMW!$ND$2:$ND$60=R$4)*(GMW!$NF$2:$NF$60=R$1),0),$F319-1966)</f>
        <v>-49.440919999999998</v>
      </c>
      <c r="S319" s="4" cm="1">
        <f t="array" ref="S319">INDEX(GMW!$A$2:$NF$60,MATCH(1,(GMW!$NE$2:$NE$60=S$3)*(GMW!$ND$2:$ND$60=S$4)*(GMW!$NF$2:$NF$60=S$1),0),$F319-1966)</f>
        <v>-17.601109999999998</v>
      </c>
      <c r="T319" s="4" cm="1">
        <f t="array" ref="T319">INDEX(GMW!$A$2:$NF$60,MATCH(1,(GMW!$NE$2:$NE$60=T$3)*(GMW!$ND$2:$ND$60=T$4)*(GMW!$NF$2:$NF$60=T$1),0),$F319-1966)</f>
        <v>-50488.88</v>
      </c>
      <c r="U319" s="4" cm="1">
        <f t="array" ref="U319">INDEX(GMW!$A$2:$NF$60,MATCH(1,(GMW!$NE$2:$NE$60=U$3)*(GMW!$ND$2:$ND$60=U$4)*(GMW!$NF$2:$NF$60=U$1),0),$F319-1966)</f>
        <v>7682488</v>
      </c>
      <c r="V319" s="4" cm="1">
        <f t="array" ref="V319">INDEX(GMW!$A$2:$NF$60,MATCH(1,(GMW!$NE$2:$NE$60=V$3)*(GMW!$ND$2:$ND$60=V$4)*(GMW!$NF$2:$NF$60=V$1),0),$F319-1966)</f>
        <v>138539.79999999999</v>
      </c>
      <c r="W319" s="4" cm="1">
        <f t="array" ref="W319">INDEX(GMW!$A$2:$NF$60,MATCH(1,(GMW!$NE$2:$NE$60=W$3)*(GMW!$ND$2:$ND$60=W$4)*(GMW!$NF$2:$NF$60=W$1),0),$F319-1966)</f>
        <v>1652812</v>
      </c>
      <c r="X319" s="4" cm="1">
        <f t="array" ref="X319">INDEX(GMW!$A$2:$NF$60,MATCH(1,(GMW!$NE$2:$NE$60=X$3)*(GMW!$ND$2:$ND$60=X$4)*(GMW!$NF$2:$NF$60=X$1),0),$F319-1966)</f>
        <v>5720.9610000000002</v>
      </c>
      <c r="Y319" s="4" cm="1">
        <f t="array" ref="Y319">INDEX(GMW!$A$2:$NF$60,MATCH(1,(GMW!$NE$2:$NE$60=Y$3)*(GMW!$ND$2:$ND$60=Y$4)*(GMW!$NF$2:$NF$60=Y$1),0),$F319-1966)</f>
        <v>7833.0789999999997</v>
      </c>
      <c r="Z319" s="4" cm="1">
        <f t="array" ref="Z319">INDEX(GMW!$A$2:$NF$60,MATCH(1,(GMW!$NE$2:$NE$60=Z$3)*(GMW!$ND$2:$ND$60=Z$4)*(GMW!$NF$2:$NF$60=Z$1),0),$F319-1966)</f>
        <v>4983.0929999999998</v>
      </c>
      <c r="AA319" s="4" cm="1">
        <f t="array" ref="AA319">INDEX(GMW!$A$2:$NF$60,MATCH(1,(GMW!$NE$2:$NE$60=AA$3)*(GMW!$ND$2:$ND$60=AA$4)*(GMW!$NF$2:$NF$60=AA$1),0),$F319-1966)</f>
        <v>6839944</v>
      </c>
      <c r="AB319" s="4" cm="1">
        <f t="array" ref="AB319">INDEX(GMW!$A$2:$NF$60,MATCH(1,(GMW!$NE$2:$NE$60=AB$3)*(GMW!$ND$2:$ND$60=AB$4)*(GMW!$NF$2:$NF$60=AB$1),0),$F319-1966)</f>
        <v>1897528</v>
      </c>
      <c r="AC319" s="4" cm="1">
        <f t="array" ref="AC319">INDEX(GMW!$A$2:$NF$60,MATCH(1,(GMW!$NE$2:$NE$60=AC$3)*(GMW!$ND$2:$ND$60=AC$4)*(GMW!$NF$2:$NF$60=AC$1),0),$F319-1966)</f>
        <v>19463.099999999999</v>
      </c>
      <c r="AD319" s="4" cm="1">
        <f t="array" ref="AD319">INDEX(GMW!$A$2:$NF$60,MATCH(1,(GMW!$NE$2:$NE$60=AD$3)*(GMW!$ND$2:$ND$60=AD$4)*(GMW!$NF$2:$NF$60=AD$1),0),$F319-1966)</f>
        <v>222273.4</v>
      </c>
      <c r="AE319" s="4" cm="1">
        <f t="array" ref="AE319">INDEX(GMW!$A$2:$NF$60,MATCH(1,(GMW!$NE$2:$NE$60=AE$3)*(GMW!$ND$2:$ND$60=AE$4)*(GMW!$NF$2:$NF$60=AE$1),0),$F319-1966)</f>
        <v>2437.4670000000001</v>
      </c>
      <c r="AF319" s="4" cm="1">
        <f t="array" ref="AF319">INDEX(GMW!$A$2:$NF$60,MATCH(1,(GMW!$NE$2:$NE$60=AF$3)*(GMW!$ND$2:$ND$60=AF$4)*(GMW!$NF$2:$NF$60=AF$1),0),$F319-1966)</f>
        <v>1498.059</v>
      </c>
      <c r="AG319" s="4" cm="1">
        <f t="array" ref="AG319">INDEX(GMW!$A$2:$NF$60,MATCH(1,(GMW!$NE$2:$NE$60=AG$3)*(GMW!$ND$2:$ND$60=AG$4)*(GMW!$NF$2:$NF$60=AG$1),0),$F319-1966)</f>
        <v>992.21040000000005</v>
      </c>
      <c r="AH319" s="4" cm="1">
        <f t="array" ref="AH319">INDEX(GMW!$A$2:$NF$60,MATCH(1,(GMW!$NE$2:$NE$60=AH$3)*(GMW!$ND$2:$ND$60=AH$4)*(GMW!$NF$2:$NF$60=AH$1),0),$F319-1966)</f>
        <v>2101348</v>
      </c>
    </row>
    <row r="320" spans="1:34" x14ac:dyDescent="0.25">
      <c r="B320" s="4">
        <f t="shared" si="105"/>
        <v>2051</v>
      </c>
      <c r="C320" s="4">
        <f t="shared" si="105"/>
        <v>2051</v>
      </c>
      <c r="F320" s="4">
        <f t="shared" si="101"/>
        <v>2286</v>
      </c>
      <c r="G320" s="4" cm="1">
        <f t="array" ref="G320">INDEX(GMW!$A$2:$NF$60,MATCH(1,(GMW!$NE$2:$NE$60=G$3)*(GMW!$ND$2:$ND$60=G$4)*(GMW!$NF$2:$NF$60=G$1),0),$F320-1966)</f>
        <v>955846.6</v>
      </c>
      <c r="H320" s="4" cm="1">
        <f t="array" ref="H320">INDEX(GMW!$A$2:$NF$60,MATCH(1,(GMW!$NE$2:$NE$60=H$3)*(GMW!$ND$2:$ND$60=H$4)*(GMW!$NF$2:$NF$60=H$1),0),$F320-1966)</f>
        <v>9452.4969999999994</v>
      </c>
      <c r="I320" s="4" cm="1">
        <f t="array" ref="I320">INDEX(GMW!$A$2:$NF$60,MATCH(1,(GMW!$NE$2:$NE$60=I$3)*(GMW!$ND$2:$ND$60=I$4)*(GMW!$NF$2:$NF$60=I$1),0),$F320-1966)</f>
        <v>139468.20000000001</v>
      </c>
      <c r="J320" s="4" cm="1">
        <f t="array" ref="J320">INDEX(GMW!$A$2:$NF$60,MATCH(1,(GMW!$NE$2:$NE$60=J$3)*(GMW!$ND$2:$ND$60=J$4)*(GMW!$NF$2:$NF$60=J$1),0),$F320-1966)</f>
        <v>1156.567</v>
      </c>
      <c r="K320" s="4" cm="1">
        <f t="array" ref="K320">INDEX(GMW!$A$2:$NF$60,MATCH(1,(GMW!$NE$2:$NE$60=K$3)*(GMW!$ND$2:$ND$60=K$4)*(GMW!$NF$2:$NF$60=K$1),0),$F320-1966)</f>
        <v>790.39890000000003</v>
      </c>
      <c r="L320" s="4" cm="1">
        <f t="array" ref="L320">INDEX(GMW!$A$2:$NF$60,MATCH(1,(GMW!$NE$2:$NE$60=L$3)*(GMW!$ND$2:$ND$60=L$4)*(GMW!$NF$2:$NF$60=L$1),0),$F320-1966)</f>
        <v>526.60289999999998</v>
      </c>
      <c r="M320" s="4" cm="1">
        <f t="array" ref="M320">INDEX(GMW!$A$2:$NF$60,MATCH(1,(GMW!$NE$2:$NE$60=M$3)*(GMW!$ND$2:$ND$60=M$4)*(GMW!$NF$2:$NF$60=M$1),0),$F320-1966)</f>
        <v>1001709</v>
      </c>
      <c r="N320" s="4" cm="1">
        <f t="array" ref="N320">INDEX(GMW!$A$2:$NF$60,MATCH(1,(GMW!$NE$2:$NE$60=N$3)*(GMW!$ND$2:$ND$60=N$4)*(GMW!$NF$2:$NF$60=N$1),0),$F320-1966)</f>
        <v>-122952.4</v>
      </c>
      <c r="O320" s="4" cm="1">
        <f t="array" ref="O320">INDEX(GMW!$A$2:$NF$60,MATCH(1,(GMW!$NE$2:$NE$60=O$3)*(GMW!$ND$2:$ND$60=O$4)*(GMW!$NF$2:$NF$60=O$1),0),$F320-1966)</f>
        <v>-1131.2449999999999</v>
      </c>
      <c r="P320" s="4" cm="1">
        <f t="array" ref="P320">INDEX(GMW!$A$2:$NF$60,MATCH(1,(GMW!$NE$2:$NE$60=P$3)*(GMW!$ND$2:$ND$60=P$4)*(GMW!$NF$2:$NF$60=P$1),0),$F320-1966)</f>
        <v>-2078.7809999999999</v>
      </c>
      <c r="Q320" s="4" cm="1">
        <f t="array" ref="Q320">INDEX(GMW!$A$2:$NF$60,MATCH(1,(GMW!$NE$2:$NE$60=Q$3)*(GMW!$ND$2:$ND$60=Q$4)*(GMW!$NF$2:$NF$60=Q$1),0),$F320-1966)</f>
        <v>-34.757930000000002</v>
      </c>
      <c r="R320" s="4" cm="1">
        <f t="array" ref="R320">INDEX(GMW!$A$2:$NF$60,MATCH(1,(GMW!$NE$2:$NE$60=R$3)*(GMW!$ND$2:$ND$60=R$4)*(GMW!$NF$2:$NF$60=R$1),0),$F320-1966)</f>
        <v>-49.719119999999997</v>
      </c>
      <c r="S320" s="4" cm="1">
        <f t="array" ref="S320">INDEX(GMW!$A$2:$NF$60,MATCH(1,(GMW!$NE$2:$NE$60=S$3)*(GMW!$ND$2:$ND$60=S$4)*(GMW!$NF$2:$NF$60=S$1),0),$F320-1966)</f>
        <v>-17.70233</v>
      </c>
      <c r="T320" s="4" cm="1">
        <f t="array" ref="T320">INDEX(GMW!$A$2:$NF$60,MATCH(1,(GMW!$NE$2:$NE$60=T$3)*(GMW!$ND$2:$ND$60=T$4)*(GMW!$NF$2:$NF$60=T$1),0),$F320-1966)</f>
        <v>-50968</v>
      </c>
      <c r="U320" s="4" cm="1">
        <f t="array" ref="U320">INDEX(GMW!$A$2:$NF$60,MATCH(1,(GMW!$NE$2:$NE$60=U$3)*(GMW!$ND$2:$ND$60=U$4)*(GMW!$NF$2:$NF$60=U$1),0),$F320-1966)</f>
        <v>7805440</v>
      </c>
      <c r="V320" s="4" cm="1">
        <f t="array" ref="V320">INDEX(GMW!$A$2:$NF$60,MATCH(1,(GMW!$NE$2:$NE$60=V$3)*(GMW!$ND$2:$ND$60=V$4)*(GMW!$NF$2:$NF$60=V$1),0),$F320-1966)</f>
        <v>139671.1</v>
      </c>
      <c r="W320" s="4" cm="1">
        <f t="array" ref="W320">INDEX(GMW!$A$2:$NF$60,MATCH(1,(GMW!$NE$2:$NE$60=W$3)*(GMW!$ND$2:$ND$60=W$4)*(GMW!$NF$2:$NF$60=W$1),0),$F320-1966)</f>
        <v>1654891</v>
      </c>
      <c r="X320" s="4" cm="1">
        <f t="array" ref="X320">INDEX(GMW!$A$2:$NF$60,MATCH(1,(GMW!$NE$2:$NE$60=X$3)*(GMW!$ND$2:$ND$60=X$4)*(GMW!$NF$2:$NF$60=X$1),0),$F320-1966)</f>
        <v>5755.7190000000001</v>
      </c>
      <c r="Y320" s="4" cm="1">
        <f t="array" ref="Y320">INDEX(GMW!$A$2:$NF$60,MATCH(1,(GMW!$NE$2:$NE$60=Y$3)*(GMW!$ND$2:$ND$60=Y$4)*(GMW!$NF$2:$NF$60=Y$1),0),$F320-1966)</f>
        <v>7882.7979999999998</v>
      </c>
      <c r="Z320" s="4" cm="1">
        <f t="array" ref="Z320">INDEX(GMW!$A$2:$NF$60,MATCH(1,(GMW!$NE$2:$NE$60=Z$3)*(GMW!$ND$2:$ND$60=Z$4)*(GMW!$NF$2:$NF$60=Z$1),0),$F320-1966)</f>
        <v>5000.7950000000001</v>
      </c>
      <c r="AA320" s="4" cm="1">
        <f t="array" ref="AA320">INDEX(GMW!$A$2:$NF$60,MATCH(1,(GMW!$NE$2:$NE$60=AA$3)*(GMW!$ND$2:$ND$60=AA$4)*(GMW!$NF$2:$NF$60=AA$1),0),$F320-1966)</f>
        <v>6890912</v>
      </c>
      <c r="AB320" s="4" cm="1">
        <f t="array" ref="AB320">INDEX(GMW!$A$2:$NF$60,MATCH(1,(GMW!$NE$2:$NE$60=AB$3)*(GMW!$ND$2:$ND$60=AB$4)*(GMW!$NF$2:$NF$60=AB$1),0),$F320-1966)</f>
        <v>1914082</v>
      </c>
      <c r="AC320" s="4" cm="1">
        <f t="array" ref="AC320">INDEX(GMW!$A$2:$NF$60,MATCH(1,(GMW!$NE$2:$NE$60=AC$3)*(GMW!$ND$2:$ND$60=AC$4)*(GMW!$NF$2:$NF$60=AC$1),0),$F320-1966)</f>
        <v>19632.759999999998</v>
      </c>
      <c r="AD320" s="4" cm="1">
        <f t="array" ref="AD320">INDEX(GMW!$A$2:$NF$60,MATCH(1,(GMW!$NE$2:$NE$60=AD$3)*(GMW!$ND$2:$ND$60=AD$4)*(GMW!$NF$2:$NF$60=AD$1),0),$F320-1966)</f>
        <v>223208.5</v>
      </c>
      <c r="AE320" s="4" cm="1">
        <f t="array" ref="AE320">INDEX(GMW!$A$2:$NF$60,MATCH(1,(GMW!$NE$2:$NE$60=AE$3)*(GMW!$ND$2:$ND$60=AE$4)*(GMW!$NF$2:$NF$60=AE$1),0),$F320-1966)</f>
        <v>2454.4699999999998</v>
      </c>
      <c r="AF320" s="4" cm="1">
        <f t="array" ref="AF320">INDEX(GMW!$A$2:$NF$60,MATCH(1,(GMW!$NE$2:$NE$60=AF$3)*(GMW!$ND$2:$ND$60=AF$4)*(GMW!$NF$2:$NF$60=AF$1),0),$F320-1966)</f>
        <v>1506.8309999999999</v>
      </c>
      <c r="AG320" s="4" cm="1">
        <f t="array" ref="AG320">INDEX(GMW!$A$2:$NF$60,MATCH(1,(GMW!$NE$2:$NE$60=AG$3)*(GMW!$ND$2:$ND$60=AG$4)*(GMW!$NF$2:$NF$60=AG$1),0),$F320-1966)</f>
        <v>997.95569999999998</v>
      </c>
      <c r="AH320" s="4" cm="1">
        <f t="array" ref="AH320">INDEX(GMW!$A$2:$NF$60,MATCH(1,(GMW!$NE$2:$NE$60=AH$3)*(GMW!$ND$2:$ND$60=AH$4)*(GMW!$NF$2:$NF$60=AH$1),0),$F320-1966)</f>
        <v>2121060</v>
      </c>
    </row>
    <row r="321" spans="1:34" x14ac:dyDescent="0.25">
      <c r="B321" s="4">
        <f t="shared" si="105"/>
        <v>2051</v>
      </c>
      <c r="C321" s="4">
        <f t="shared" si="105"/>
        <v>2051</v>
      </c>
      <c r="F321" s="4">
        <f t="shared" si="101"/>
        <v>2287</v>
      </c>
      <c r="G321" s="4" cm="1">
        <f t="array" ref="G321">INDEX(GMW!$A$2:$NF$60,MATCH(1,(GMW!$NE$2:$NE$60=G$3)*(GMW!$ND$2:$ND$60=G$4)*(GMW!$NF$2:$NF$60=G$1),0),$F321-1966)</f>
        <v>959017.3</v>
      </c>
      <c r="H321" s="4" cm="1">
        <f t="array" ref="H321">INDEX(GMW!$A$2:$NF$60,MATCH(1,(GMW!$NE$2:$NE$60=H$3)*(GMW!$ND$2:$ND$60=H$4)*(GMW!$NF$2:$NF$60=H$1),0),$F321-1966)</f>
        <v>9489.8909999999996</v>
      </c>
      <c r="I321" s="4" cm="1">
        <f t="array" ref="I321">INDEX(GMW!$A$2:$NF$60,MATCH(1,(GMW!$NE$2:$NE$60=I$3)*(GMW!$ND$2:$ND$60=I$4)*(GMW!$NF$2:$NF$60=I$1),0),$F321-1966)</f>
        <v>139533.6</v>
      </c>
      <c r="J321" s="4" cm="1">
        <f t="array" ref="J321">INDEX(GMW!$A$2:$NF$60,MATCH(1,(GMW!$NE$2:$NE$60=J$3)*(GMW!$ND$2:$ND$60=J$4)*(GMW!$NF$2:$NF$60=J$1),0),$F321-1966)</f>
        <v>1158.884</v>
      </c>
      <c r="K321" s="4" cm="1">
        <f t="array" ref="K321">INDEX(GMW!$A$2:$NF$60,MATCH(1,(GMW!$NE$2:$NE$60=K$3)*(GMW!$ND$2:$ND$60=K$4)*(GMW!$NF$2:$NF$60=K$1),0),$F321-1966)</f>
        <v>791.10159999999996</v>
      </c>
      <c r="L321" s="4" cm="1">
        <f t="array" ref="L321">INDEX(GMW!$A$2:$NF$60,MATCH(1,(GMW!$NE$2:$NE$60=L$3)*(GMW!$ND$2:$ND$60=L$4)*(GMW!$NF$2:$NF$60=L$1),0),$F321-1966)</f>
        <v>527.01589999999999</v>
      </c>
      <c r="M321" s="4" cm="1">
        <f t="array" ref="M321">INDEX(GMW!$A$2:$NF$60,MATCH(1,(GMW!$NE$2:$NE$60=M$3)*(GMW!$ND$2:$ND$60=M$4)*(GMW!$NF$2:$NF$60=M$1),0),$F321-1966)</f>
        <v>1006165</v>
      </c>
      <c r="N321" s="4" cm="1">
        <f t="array" ref="N321">INDEX(GMW!$A$2:$NF$60,MATCH(1,(GMW!$NE$2:$NE$60=N$3)*(GMW!$ND$2:$ND$60=N$4)*(GMW!$NF$2:$NF$60=N$1),0),$F321-1966)</f>
        <v>-66331.63</v>
      </c>
      <c r="O321" s="4" cm="1">
        <f t="array" ref="O321">INDEX(GMW!$A$2:$NF$60,MATCH(1,(GMW!$NE$2:$NE$60=O$3)*(GMW!$ND$2:$ND$60=O$4)*(GMW!$NF$2:$NF$60=O$1),0),$F321-1966)</f>
        <v>-1130.998</v>
      </c>
      <c r="P321" s="4" cm="1">
        <f t="array" ref="P321">INDEX(GMW!$A$2:$NF$60,MATCH(1,(GMW!$NE$2:$NE$60=P$3)*(GMW!$ND$2:$ND$60=P$4)*(GMW!$NF$2:$NF$60=P$1),0),$F321-1966)</f>
        <v>-2087.5309999999999</v>
      </c>
      <c r="Q321" s="4" cm="1">
        <f t="array" ref="Q321">INDEX(GMW!$A$2:$NF$60,MATCH(1,(GMW!$NE$2:$NE$60=Q$3)*(GMW!$ND$2:$ND$60=Q$4)*(GMW!$NF$2:$NF$60=Q$1),0),$F321-1966)</f>
        <v>-34.987920000000003</v>
      </c>
      <c r="R321" s="4" cm="1">
        <f t="array" ref="R321">INDEX(GMW!$A$2:$NF$60,MATCH(1,(GMW!$NE$2:$NE$60=R$3)*(GMW!$ND$2:$ND$60=R$4)*(GMW!$NF$2:$NF$60=R$1),0),$F321-1966)</f>
        <v>-50.019100000000002</v>
      </c>
      <c r="S321" s="4" cm="1">
        <f t="array" ref="S321">INDEX(GMW!$A$2:$NF$60,MATCH(1,(GMW!$NE$2:$NE$60=S$3)*(GMW!$ND$2:$ND$60=S$4)*(GMW!$NF$2:$NF$60=S$1),0),$F321-1966)</f>
        <v>-17.804839999999999</v>
      </c>
      <c r="T321" s="4" cm="1">
        <f t="array" ref="T321">INDEX(GMW!$A$2:$NF$60,MATCH(1,(GMW!$NE$2:$NE$60=T$3)*(GMW!$ND$2:$ND$60=T$4)*(GMW!$NF$2:$NF$60=T$1),0),$F321-1966)</f>
        <v>-51288.88</v>
      </c>
      <c r="U321" s="4" cm="1">
        <f t="array" ref="U321">INDEX(GMW!$A$2:$NF$60,MATCH(1,(GMW!$NE$2:$NE$60=U$3)*(GMW!$ND$2:$ND$60=U$4)*(GMW!$NF$2:$NF$60=U$1),0),$F321-1966)</f>
        <v>7871772</v>
      </c>
      <c r="V321" s="4" cm="1">
        <f t="array" ref="V321">INDEX(GMW!$A$2:$NF$60,MATCH(1,(GMW!$NE$2:$NE$60=V$3)*(GMW!$ND$2:$ND$60=V$4)*(GMW!$NF$2:$NF$60=V$1),0),$F321-1966)</f>
        <v>140802.1</v>
      </c>
      <c r="W321" s="4" cm="1">
        <f t="array" ref="W321">INDEX(GMW!$A$2:$NF$60,MATCH(1,(GMW!$NE$2:$NE$60=W$3)*(GMW!$ND$2:$ND$60=W$4)*(GMW!$NF$2:$NF$60=W$1),0),$F321-1966)</f>
        <v>1656978</v>
      </c>
      <c r="X321" s="4" cm="1">
        <f t="array" ref="X321">INDEX(GMW!$A$2:$NF$60,MATCH(1,(GMW!$NE$2:$NE$60=X$3)*(GMW!$ND$2:$ND$60=X$4)*(GMW!$NF$2:$NF$60=X$1),0),$F321-1966)</f>
        <v>5790.7070000000003</v>
      </c>
      <c r="Y321" s="4" cm="1">
        <f t="array" ref="Y321">INDEX(GMW!$A$2:$NF$60,MATCH(1,(GMW!$NE$2:$NE$60=Y$3)*(GMW!$ND$2:$ND$60=Y$4)*(GMW!$NF$2:$NF$60=Y$1),0),$F321-1966)</f>
        <v>7932.817</v>
      </c>
      <c r="Z321" s="4" cm="1">
        <f t="array" ref="Z321">INDEX(GMW!$A$2:$NF$60,MATCH(1,(GMW!$NE$2:$NE$60=Z$3)*(GMW!$ND$2:$ND$60=Z$4)*(GMW!$NF$2:$NF$60=Z$1),0),$F321-1966)</f>
        <v>5018.6000000000004</v>
      </c>
      <c r="AA321" s="4" cm="1">
        <f t="array" ref="AA321">INDEX(GMW!$A$2:$NF$60,MATCH(1,(GMW!$NE$2:$NE$60=AA$3)*(GMW!$ND$2:$ND$60=AA$4)*(GMW!$NF$2:$NF$60=AA$1),0),$F321-1966)</f>
        <v>6942201</v>
      </c>
      <c r="AB321" s="4" cm="1">
        <f t="array" ref="AB321">INDEX(GMW!$A$2:$NF$60,MATCH(1,(GMW!$NE$2:$NE$60=AB$3)*(GMW!$ND$2:$ND$60=AB$4)*(GMW!$NF$2:$NF$60=AB$1),0),$F321-1966)</f>
        <v>1930696</v>
      </c>
      <c r="AC321" s="4" cm="1">
        <f t="array" ref="AC321">INDEX(GMW!$A$2:$NF$60,MATCH(1,(GMW!$NE$2:$NE$60=AC$3)*(GMW!$ND$2:$ND$60=AC$4)*(GMW!$NF$2:$NF$60=AC$1),0),$F321-1966)</f>
        <v>19803.939999999999</v>
      </c>
      <c r="AD321" s="4" cm="1">
        <f t="array" ref="AD321">INDEX(GMW!$A$2:$NF$60,MATCH(1,(GMW!$NE$2:$NE$60=AD$3)*(GMW!$ND$2:$ND$60=AD$4)*(GMW!$NF$2:$NF$60=AD$1),0),$F321-1966)</f>
        <v>224165.6</v>
      </c>
      <c r="AE321" s="4" cm="1">
        <f t="array" ref="AE321">INDEX(GMW!$A$2:$NF$60,MATCH(1,(GMW!$NE$2:$NE$60=AE$3)*(GMW!$ND$2:$ND$60=AE$4)*(GMW!$NF$2:$NF$60=AE$1),0),$F321-1966)</f>
        <v>2471.5909999999999</v>
      </c>
      <c r="AF321" s="4" cm="1">
        <f t="array" ref="AF321">INDEX(GMW!$A$2:$NF$60,MATCH(1,(GMW!$NE$2:$NE$60=AF$3)*(GMW!$ND$2:$ND$60=AF$4)*(GMW!$NF$2:$NF$60=AF$1),0),$F321-1966)</f>
        <v>1515.6489999999999</v>
      </c>
      <c r="AG321" s="4" cm="1">
        <f t="array" ref="AG321">INDEX(GMW!$A$2:$NF$60,MATCH(1,(GMW!$NE$2:$NE$60=AG$3)*(GMW!$ND$2:$ND$60=AG$4)*(GMW!$NF$2:$NF$60=AG$1),0),$F321-1966)</f>
        <v>1003.7380000000001</v>
      </c>
      <c r="AH321" s="4" cm="1">
        <f t="array" ref="AH321">INDEX(GMW!$A$2:$NF$60,MATCH(1,(GMW!$NE$2:$NE$60=AH$3)*(GMW!$ND$2:$ND$60=AH$4)*(GMW!$NF$2:$NF$60=AH$1),0),$F321-1966)</f>
        <v>2140938</v>
      </c>
    </row>
    <row r="322" spans="1:34" x14ac:dyDescent="0.25">
      <c r="B322" s="4">
        <f t="shared" si="105"/>
        <v>2051</v>
      </c>
      <c r="C322" s="4">
        <f t="shared" si="105"/>
        <v>2051</v>
      </c>
      <c r="E322" s="4">
        <f t="shared" ref="E322" si="107">+E318+1</f>
        <v>2051</v>
      </c>
      <c r="F322" s="4">
        <f t="shared" si="101"/>
        <v>2288</v>
      </c>
      <c r="G322" s="4" cm="1">
        <f t="array" ref="G322">INDEX(GMW!$A$2:$NF$60,MATCH(1,(GMW!$NE$2:$NE$60=G$3)*(GMW!$ND$2:$ND$60=G$4)*(GMW!$NF$2:$NF$60=G$1),0),$F322-1966)</f>
        <v>962193.6</v>
      </c>
      <c r="H322" s="4" cm="1">
        <f t="array" ref="H322">INDEX(GMW!$A$2:$NF$60,MATCH(1,(GMW!$NE$2:$NE$60=H$3)*(GMW!$ND$2:$ND$60=H$4)*(GMW!$NF$2:$NF$60=H$1),0),$F322-1966)</f>
        <v>9527.3060000000005</v>
      </c>
      <c r="I322" s="4" cm="1">
        <f t="array" ref="I322">INDEX(GMW!$A$2:$NF$60,MATCH(1,(GMW!$NE$2:$NE$60=I$3)*(GMW!$ND$2:$ND$60=I$4)*(GMW!$NF$2:$NF$60=I$1),0),$F322-1966)</f>
        <v>139607.29999999999</v>
      </c>
      <c r="J322" s="4" cm="1">
        <f t="array" ref="J322">INDEX(GMW!$A$2:$NF$60,MATCH(1,(GMW!$NE$2:$NE$60=J$3)*(GMW!$ND$2:$ND$60=J$4)*(GMW!$NF$2:$NF$60=J$1),0),$F322-1966)</f>
        <v>1161.125</v>
      </c>
      <c r="K322" s="4" cm="1">
        <f t="array" ref="K322">INDEX(GMW!$A$2:$NF$60,MATCH(1,(GMW!$NE$2:$NE$60=K$3)*(GMW!$ND$2:$ND$60=K$4)*(GMW!$NF$2:$NF$60=K$1),0),$F322-1966)</f>
        <v>791.69500000000005</v>
      </c>
      <c r="L322" s="4" cm="1">
        <f t="array" ref="L322">INDEX(GMW!$A$2:$NF$60,MATCH(1,(GMW!$NE$2:$NE$60=L$3)*(GMW!$ND$2:$ND$60=L$4)*(GMW!$NF$2:$NF$60=L$1),0),$F322-1966)</f>
        <v>527.42750000000001</v>
      </c>
      <c r="M322" s="4" cm="1">
        <f t="array" ref="M322">INDEX(GMW!$A$2:$NF$60,MATCH(1,(GMW!$NE$2:$NE$60=M$3)*(GMW!$ND$2:$ND$60=M$4)*(GMW!$NF$2:$NF$60=M$1),0),$F322-1966)</f>
        <v>1010618</v>
      </c>
      <c r="N322" s="4" cm="1">
        <f t="array" ref="N322">INDEX(GMW!$A$2:$NF$60,MATCH(1,(GMW!$NE$2:$NE$60=N$3)*(GMW!$ND$2:$ND$60=N$4)*(GMW!$NF$2:$NF$60=N$1),0),$F322-1966)</f>
        <v>-116825.8</v>
      </c>
      <c r="O322" s="4" cm="1">
        <f t="array" ref="O322">INDEX(GMW!$A$2:$NF$60,MATCH(1,(GMW!$NE$2:$NE$60=O$3)*(GMW!$ND$2:$ND$60=O$4)*(GMW!$NF$2:$NF$60=O$1),0),$F322-1966)</f>
        <v>-1130.5940000000001</v>
      </c>
      <c r="P322" s="4" cm="1">
        <f t="array" ref="P322">INDEX(GMW!$A$2:$NF$60,MATCH(1,(GMW!$NE$2:$NE$60=P$3)*(GMW!$ND$2:$ND$60=P$4)*(GMW!$NF$2:$NF$60=P$1),0),$F322-1966)</f>
        <v>-2096.4839999999999</v>
      </c>
      <c r="Q322" s="4" cm="1">
        <f t="array" ref="Q322">INDEX(GMW!$A$2:$NF$60,MATCH(1,(GMW!$NE$2:$NE$60=Q$3)*(GMW!$ND$2:$ND$60=Q$4)*(GMW!$NF$2:$NF$60=Q$1),0),$F322-1966)</f>
        <v>-35.216920000000002</v>
      </c>
      <c r="R322" s="4" cm="1">
        <f t="array" ref="R322">INDEX(GMW!$A$2:$NF$60,MATCH(1,(GMW!$NE$2:$NE$60=R$3)*(GMW!$ND$2:$ND$60=R$4)*(GMW!$NF$2:$NF$60=R$1),0),$F322-1966)</f>
        <v>-50.295720000000003</v>
      </c>
      <c r="S322" s="4" cm="1">
        <f t="array" ref="S322">INDEX(GMW!$A$2:$NF$60,MATCH(1,(GMW!$NE$2:$NE$60=S$3)*(GMW!$ND$2:$ND$60=S$4)*(GMW!$NF$2:$NF$60=S$1),0),$F322-1966)</f>
        <v>-17.90802</v>
      </c>
      <c r="T322" s="4" cm="1">
        <f t="array" ref="T322">INDEX(GMW!$A$2:$NF$60,MATCH(1,(GMW!$NE$2:$NE$60=T$3)*(GMW!$ND$2:$ND$60=T$4)*(GMW!$NF$2:$NF$60=T$1),0),$F322-1966)</f>
        <v>-51943.69</v>
      </c>
      <c r="U322" s="4" cm="1">
        <f t="array" ref="U322">INDEX(GMW!$A$2:$NF$60,MATCH(1,(GMW!$NE$2:$NE$60=U$3)*(GMW!$ND$2:$ND$60=U$4)*(GMW!$NF$2:$NF$60=U$1),0),$F322-1966)</f>
        <v>7988597</v>
      </c>
      <c r="V322" s="4" cm="1">
        <f t="array" ref="V322">INDEX(GMW!$A$2:$NF$60,MATCH(1,(GMW!$NE$2:$NE$60=V$3)*(GMW!$ND$2:$ND$60=V$4)*(GMW!$NF$2:$NF$60=V$1),0),$F322-1966)</f>
        <v>141932.70000000001</v>
      </c>
      <c r="W322" s="4" cm="1">
        <f t="array" ref="W322">INDEX(GMW!$A$2:$NF$60,MATCH(1,(GMW!$NE$2:$NE$60=W$3)*(GMW!$ND$2:$ND$60=W$4)*(GMW!$NF$2:$NF$60=W$1),0),$F322-1966)</f>
        <v>1659075</v>
      </c>
      <c r="X322" s="4" cm="1">
        <f t="array" ref="X322">INDEX(GMW!$A$2:$NF$60,MATCH(1,(GMW!$NE$2:$NE$60=X$3)*(GMW!$ND$2:$ND$60=X$4)*(GMW!$NF$2:$NF$60=X$1),0),$F322-1966)</f>
        <v>5825.9229999999998</v>
      </c>
      <c r="Y322" s="4" cm="1">
        <f t="array" ref="Y322">INDEX(GMW!$A$2:$NF$60,MATCH(1,(GMW!$NE$2:$NE$60=Y$3)*(GMW!$ND$2:$ND$60=Y$4)*(GMW!$NF$2:$NF$60=Y$1),0),$F322-1966)</f>
        <v>7983.1130000000003</v>
      </c>
      <c r="Z322" s="4" cm="1">
        <f t="array" ref="Z322">INDEX(GMW!$A$2:$NF$60,MATCH(1,(GMW!$NE$2:$NE$60=Z$3)*(GMW!$ND$2:$ND$60=Z$4)*(GMW!$NF$2:$NF$60=Z$1),0),$F322-1966)</f>
        <v>5036.5079999999998</v>
      </c>
      <c r="AA322" s="4" cm="1">
        <f t="array" ref="AA322">INDEX(GMW!$A$2:$NF$60,MATCH(1,(GMW!$NE$2:$NE$60=AA$3)*(GMW!$ND$2:$ND$60=AA$4)*(GMW!$NF$2:$NF$60=AA$1),0),$F322-1966)</f>
        <v>6994144</v>
      </c>
      <c r="AB322" s="4" cm="1">
        <f t="array" ref="AB322">INDEX(GMW!$A$2:$NF$60,MATCH(1,(GMW!$NE$2:$NE$60=AB$3)*(GMW!$ND$2:$ND$60=AB$4)*(GMW!$NF$2:$NF$60=AB$1),0),$F322-1966)</f>
        <v>1947444</v>
      </c>
      <c r="AC322" s="4" cm="1">
        <f t="array" ref="AC322">INDEX(GMW!$A$2:$NF$60,MATCH(1,(GMW!$NE$2:$NE$60=AC$3)*(GMW!$ND$2:$ND$60=AC$4)*(GMW!$NF$2:$NF$60=AC$1),0),$F322-1966)</f>
        <v>19976.419999999998</v>
      </c>
      <c r="AD322" s="4" cm="1">
        <f t="array" ref="AD322">INDEX(GMW!$A$2:$NF$60,MATCH(1,(GMW!$NE$2:$NE$60=AD$3)*(GMW!$ND$2:$ND$60=AD$4)*(GMW!$NF$2:$NF$60=AD$1),0),$F322-1966)</f>
        <v>225140</v>
      </c>
      <c r="AE322" s="4" cm="1">
        <f t="array" ref="AE322">INDEX(GMW!$A$2:$NF$60,MATCH(1,(GMW!$NE$2:$NE$60=AE$3)*(GMW!$ND$2:$ND$60=AE$4)*(GMW!$NF$2:$NF$60=AE$1),0),$F322-1966)</f>
        <v>2488.654</v>
      </c>
      <c r="AF322" s="4" cm="1">
        <f t="array" ref="AF322">INDEX(GMW!$A$2:$NF$60,MATCH(1,(GMW!$NE$2:$NE$60=AF$3)*(GMW!$ND$2:$ND$60=AF$4)*(GMW!$NF$2:$NF$60=AF$1),0),$F322-1966)</f>
        <v>1524.271</v>
      </c>
      <c r="AG322" s="4" cm="1">
        <f t="array" ref="AG322">INDEX(GMW!$A$2:$NF$60,MATCH(1,(GMW!$NE$2:$NE$60=AG$3)*(GMW!$ND$2:$ND$60=AG$4)*(GMW!$NF$2:$NF$60=AG$1),0),$F322-1966)</f>
        <v>1009.528</v>
      </c>
      <c r="AH322" s="4" cm="1">
        <f t="array" ref="AH322">INDEX(GMW!$A$2:$NF$60,MATCH(1,(GMW!$NE$2:$NE$60=AH$3)*(GMW!$ND$2:$ND$60=AH$4)*(GMW!$NF$2:$NF$60=AH$1),0),$F322-1966)</f>
        <v>2160953</v>
      </c>
    </row>
    <row r="323" spans="1:34" x14ac:dyDescent="0.25">
      <c r="A323" s="4">
        <v>2052</v>
      </c>
      <c r="B323" s="4">
        <f t="shared" si="105"/>
        <v>2052</v>
      </c>
      <c r="C323" s="4">
        <f t="shared" si="105"/>
        <v>2051</v>
      </c>
      <c r="D323" s="4">
        <f t="shared" si="105"/>
        <v>2051</v>
      </c>
      <c r="F323" s="4">
        <f t="shared" si="101"/>
        <v>2289</v>
      </c>
      <c r="G323" s="4" cm="1">
        <f t="array" ref="G323">INDEX(GMW!$A$2:$NF$60,MATCH(1,(GMW!$NE$2:$NE$60=G$3)*(GMW!$ND$2:$ND$60=G$4)*(GMW!$NF$2:$NF$60=G$1),0),$F323-1966)</f>
        <v>965375.7</v>
      </c>
      <c r="H323" s="4" cm="1">
        <f t="array" ref="H323">INDEX(GMW!$A$2:$NF$60,MATCH(1,(GMW!$NE$2:$NE$60=H$3)*(GMW!$ND$2:$ND$60=H$4)*(GMW!$NF$2:$NF$60=H$1),0),$F323-1966)</f>
        <v>9565.0139999999992</v>
      </c>
      <c r="I323" s="4" cm="1">
        <f t="array" ref="I323">INDEX(GMW!$A$2:$NF$60,MATCH(1,(GMW!$NE$2:$NE$60=I$3)*(GMW!$ND$2:$ND$60=I$4)*(GMW!$NF$2:$NF$60=I$1),0),$F323-1966)</f>
        <v>139679</v>
      </c>
      <c r="J323" s="4" cm="1">
        <f t="array" ref="J323">INDEX(GMW!$A$2:$NF$60,MATCH(1,(GMW!$NE$2:$NE$60=J$3)*(GMW!$ND$2:$ND$60=J$4)*(GMW!$NF$2:$NF$60=J$1),0),$F323-1966)</f>
        <v>1163.326</v>
      </c>
      <c r="K323" s="4" cm="1">
        <f t="array" ref="K323">INDEX(GMW!$A$2:$NF$60,MATCH(1,(GMW!$NE$2:$NE$60=K$3)*(GMW!$ND$2:$ND$60=K$4)*(GMW!$NF$2:$NF$60=K$1),0),$F323-1966)</f>
        <v>792.37900000000002</v>
      </c>
      <c r="L323" s="4" cm="1">
        <f t="array" ref="L323">INDEX(GMW!$A$2:$NF$60,MATCH(1,(GMW!$NE$2:$NE$60=L$3)*(GMW!$ND$2:$ND$60=L$4)*(GMW!$NF$2:$NF$60=L$1),0),$F323-1966)</f>
        <v>527.86180000000002</v>
      </c>
      <c r="M323" s="4" cm="1">
        <f t="array" ref="M323">INDEX(GMW!$A$2:$NF$60,MATCH(1,(GMW!$NE$2:$NE$60=M$3)*(GMW!$ND$2:$ND$60=M$4)*(GMW!$NF$2:$NF$60=M$1),0),$F323-1966)</f>
        <v>1015086</v>
      </c>
      <c r="N323" s="4" cm="1">
        <f t="array" ref="N323">INDEX(GMW!$A$2:$NF$60,MATCH(1,(GMW!$NE$2:$NE$60=N$3)*(GMW!$ND$2:$ND$60=N$4)*(GMW!$NF$2:$NF$60=N$1),0),$F323-1966)</f>
        <v>-5634.3130000000001</v>
      </c>
      <c r="O323" s="4" cm="1">
        <f t="array" ref="O323">INDEX(GMW!$A$2:$NF$60,MATCH(1,(GMW!$NE$2:$NE$60=O$3)*(GMW!$ND$2:$ND$60=O$4)*(GMW!$NF$2:$NF$60=O$1),0),$F323-1966)</f>
        <v>-1130.0930000000001</v>
      </c>
      <c r="P323" s="4" cm="1">
        <f t="array" ref="P323">INDEX(GMW!$A$2:$NF$60,MATCH(1,(GMW!$NE$2:$NE$60=P$3)*(GMW!$ND$2:$ND$60=P$4)*(GMW!$NF$2:$NF$60=P$1),0),$F323-1966)</f>
        <v>-2105.5940000000001</v>
      </c>
      <c r="Q323" s="4" cm="1">
        <f t="array" ref="Q323">INDEX(GMW!$A$2:$NF$60,MATCH(1,(GMW!$NE$2:$NE$60=Q$3)*(GMW!$ND$2:$ND$60=Q$4)*(GMW!$NF$2:$NF$60=Q$1),0),$F323-1966)</f>
        <v>-35.444949999999999</v>
      </c>
      <c r="R323" s="4" cm="1">
        <f t="array" ref="R323">INDEX(GMW!$A$2:$NF$60,MATCH(1,(GMW!$NE$2:$NE$60=R$3)*(GMW!$ND$2:$ND$60=R$4)*(GMW!$NF$2:$NF$60=R$1),0),$F323-1966)</f>
        <v>-50.583979999999997</v>
      </c>
      <c r="S323" s="4" cm="1">
        <f t="array" ref="S323">INDEX(GMW!$A$2:$NF$60,MATCH(1,(GMW!$NE$2:$NE$60=S$3)*(GMW!$ND$2:$ND$60=S$4)*(GMW!$NF$2:$NF$60=S$1),0),$F323-1966)</f>
        <v>-18.011320000000001</v>
      </c>
      <c r="T323" s="4" cm="1">
        <f t="array" ref="T323">INDEX(GMW!$A$2:$NF$60,MATCH(1,(GMW!$NE$2:$NE$60=T$3)*(GMW!$ND$2:$ND$60=T$4)*(GMW!$NF$2:$NF$60=T$1),0),$F323-1966)</f>
        <v>-52513.06</v>
      </c>
      <c r="U323" s="4" cm="1">
        <f t="array" ref="U323">INDEX(GMW!$A$2:$NF$60,MATCH(1,(GMW!$NE$2:$NE$60=U$3)*(GMW!$ND$2:$ND$60=U$4)*(GMW!$NF$2:$NF$60=U$1),0),$F323-1966)</f>
        <v>7994232</v>
      </c>
      <c r="V323" s="4" cm="1">
        <f t="array" ref="V323">INDEX(GMW!$A$2:$NF$60,MATCH(1,(GMW!$NE$2:$NE$60=V$3)*(GMW!$ND$2:$ND$60=V$4)*(GMW!$NF$2:$NF$60=V$1),0),$F323-1966)</f>
        <v>143062.79999999999</v>
      </c>
      <c r="W323" s="4" cm="1">
        <f t="array" ref="W323">INDEX(GMW!$A$2:$NF$60,MATCH(1,(GMW!$NE$2:$NE$60=W$3)*(GMW!$ND$2:$ND$60=W$4)*(GMW!$NF$2:$NF$60=W$1),0),$F323-1966)</f>
        <v>1661180</v>
      </c>
      <c r="X323" s="4" cm="1">
        <f t="array" ref="X323">INDEX(GMW!$A$2:$NF$60,MATCH(1,(GMW!$NE$2:$NE$60=X$3)*(GMW!$ND$2:$ND$60=X$4)*(GMW!$NF$2:$NF$60=X$1),0),$F323-1966)</f>
        <v>5861.3680000000004</v>
      </c>
      <c r="Y323" s="4" cm="1">
        <f t="array" ref="Y323">INDEX(GMW!$A$2:$NF$60,MATCH(1,(GMW!$NE$2:$NE$60=Y$3)*(GMW!$ND$2:$ND$60=Y$4)*(GMW!$NF$2:$NF$60=Y$1),0),$F323-1966)</f>
        <v>8033.6970000000001</v>
      </c>
      <c r="Z323" s="4" cm="1">
        <f t="array" ref="Z323">INDEX(GMW!$A$2:$NF$60,MATCH(1,(GMW!$NE$2:$NE$60=Z$3)*(GMW!$ND$2:$ND$60=Z$4)*(GMW!$NF$2:$NF$60=Z$1),0),$F323-1966)</f>
        <v>5054.5200000000004</v>
      </c>
      <c r="AA323" s="4" cm="1">
        <f t="array" ref="AA323">INDEX(GMW!$A$2:$NF$60,MATCH(1,(GMW!$NE$2:$NE$60=AA$3)*(GMW!$ND$2:$ND$60=AA$4)*(GMW!$NF$2:$NF$60=AA$1),0),$F323-1966)</f>
        <v>7046657</v>
      </c>
      <c r="AB323" s="4" cm="1">
        <f t="array" ref="AB323">INDEX(GMW!$A$2:$NF$60,MATCH(1,(GMW!$NE$2:$NE$60=AB$3)*(GMW!$ND$2:$ND$60=AB$4)*(GMW!$NF$2:$NF$60=AB$1),0),$F323-1966)</f>
        <v>1964328</v>
      </c>
      <c r="AC323" s="4" cm="1">
        <f t="array" ref="AC323">INDEX(GMW!$A$2:$NF$60,MATCH(1,(GMW!$NE$2:$NE$60=AC$3)*(GMW!$ND$2:$ND$60=AC$4)*(GMW!$NF$2:$NF$60=AC$1),0),$F323-1966)</f>
        <v>20150.71</v>
      </c>
      <c r="AD323" s="4" cm="1">
        <f t="array" ref="AD323">INDEX(GMW!$A$2:$NF$60,MATCH(1,(GMW!$NE$2:$NE$60=AD$3)*(GMW!$ND$2:$ND$60=AD$4)*(GMW!$NF$2:$NF$60=AD$1),0),$F323-1966)</f>
        <v>226111.8</v>
      </c>
      <c r="AE323" s="4" cm="1">
        <f t="array" ref="AE323">INDEX(GMW!$A$2:$NF$60,MATCH(1,(GMW!$NE$2:$NE$60=AE$3)*(GMW!$ND$2:$ND$60=AE$4)*(GMW!$NF$2:$NF$60=AE$1),0),$F323-1966)</f>
        <v>2505.741</v>
      </c>
      <c r="AF323" s="4" cm="1">
        <f t="array" ref="AF323">INDEX(GMW!$A$2:$NF$60,MATCH(1,(GMW!$NE$2:$NE$60=AF$3)*(GMW!$ND$2:$ND$60=AF$4)*(GMW!$NF$2:$NF$60=AF$1),0),$F323-1966)</f>
        <v>1533.1289999999999</v>
      </c>
      <c r="AG323" s="4" cm="1">
        <f t="array" ref="AG323">INDEX(GMW!$A$2:$NF$60,MATCH(1,(GMW!$NE$2:$NE$60=AG$3)*(GMW!$ND$2:$ND$60=AG$4)*(GMW!$NF$2:$NF$60=AG$1),0),$F323-1966)</f>
        <v>1015.376</v>
      </c>
      <c r="AH323" s="4" cm="1">
        <f t="array" ref="AH323">INDEX(GMW!$A$2:$NF$60,MATCH(1,(GMW!$NE$2:$NE$60=AH$3)*(GMW!$ND$2:$ND$60=AH$4)*(GMW!$NF$2:$NF$60=AH$1),0),$F323-1966)</f>
        <v>2181140</v>
      </c>
    </row>
    <row r="324" spans="1:34" x14ac:dyDescent="0.25">
      <c r="B324" s="4">
        <f t="shared" si="105"/>
        <v>2052</v>
      </c>
      <c r="C324" s="4">
        <f t="shared" si="105"/>
        <v>2052</v>
      </c>
      <c r="F324" s="4">
        <f t="shared" si="101"/>
        <v>2290</v>
      </c>
      <c r="G324" s="4" cm="1">
        <f t="array" ref="G324">INDEX(GMW!$A$2:$NF$60,MATCH(1,(GMW!$NE$2:$NE$60=G$3)*(GMW!$ND$2:$ND$60=G$4)*(GMW!$NF$2:$NF$60=G$1),0),$F324-1966)</f>
        <v>968563.6</v>
      </c>
      <c r="H324" s="4" cm="1">
        <f t="array" ref="H324">INDEX(GMW!$A$2:$NF$60,MATCH(1,(GMW!$NE$2:$NE$60=H$3)*(GMW!$ND$2:$ND$60=H$4)*(GMW!$NF$2:$NF$60=H$1),0),$F324-1966)</f>
        <v>9602.7330000000002</v>
      </c>
      <c r="I324" s="4" cm="1">
        <f t="array" ref="I324">INDEX(GMW!$A$2:$NF$60,MATCH(1,(GMW!$NE$2:$NE$60=I$3)*(GMW!$ND$2:$ND$60=I$4)*(GMW!$NF$2:$NF$60=I$1),0),$F324-1966)</f>
        <v>139749.6</v>
      </c>
      <c r="J324" s="4" cm="1">
        <f t="array" ref="J324">INDEX(GMW!$A$2:$NF$60,MATCH(1,(GMW!$NE$2:$NE$60=J$3)*(GMW!$ND$2:$ND$60=J$4)*(GMW!$NF$2:$NF$60=J$1),0),$F324-1966)</f>
        <v>1165.529</v>
      </c>
      <c r="K324" s="4" cm="1">
        <f t="array" ref="K324">INDEX(GMW!$A$2:$NF$60,MATCH(1,(GMW!$NE$2:$NE$60=K$3)*(GMW!$ND$2:$ND$60=K$4)*(GMW!$NF$2:$NF$60=K$1),0),$F324-1966)</f>
        <v>793.01969999999994</v>
      </c>
      <c r="L324" s="4" cm="1">
        <f t="array" ref="L324">INDEX(GMW!$A$2:$NF$60,MATCH(1,(GMW!$NE$2:$NE$60=L$3)*(GMW!$ND$2:$ND$60=L$4)*(GMW!$NF$2:$NF$60=L$1),0),$F324-1966)</f>
        <v>528.29499999999996</v>
      </c>
      <c r="M324" s="4" cm="1">
        <f t="array" ref="M324">INDEX(GMW!$A$2:$NF$60,MATCH(1,(GMW!$NE$2:$NE$60=M$3)*(GMW!$ND$2:$ND$60=M$4)*(GMW!$NF$2:$NF$60=M$1),0),$F324-1966)</f>
        <v>1019568</v>
      </c>
      <c r="N324" s="4" cm="1">
        <f t="array" ref="N324">INDEX(GMW!$A$2:$NF$60,MATCH(1,(GMW!$NE$2:$NE$60=N$3)*(GMW!$ND$2:$ND$60=N$4)*(GMW!$NF$2:$NF$60=N$1),0),$F324-1966)</f>
        <v>-127273.3</v>
      </c>
      <c r="O324" s="4" cm="1">
        <f t="array" ref="O324">INDEX(GMW!$A$2:$NF$60,MATCH(1,(GMW!$NE$2:$NE$60=O$3)*(GMW!$ND$2:$ND$60=O$4)*(GMW!$NF$2:$NF$60=O$1),0),$F324-1966)</f>
        <v>-1129.4169999999999</v>
      </c>
      <c r="P324" s="4" cm="1">
        <f t="array" ref="P324">INDEX(GMW!$A$2:$NF$60,MATCH(1,(GMW!$NE$2:$NE$60=P$3)*(GMW!$ND$2:$ND$60=P$4)*(GMW!$NF$2:$NF$60=P$1),0),$F324-1966)</f>
        <v>-2114.6880000000001</v>
      </c>
      <c r="Q324" s="4" cm="1">
        <f t="array" ref="Q324">INDEX(GMW!$A$2:$NF$60,MATCH(1,(GMW!$NE$2:$NE$60=Q$3)*(GMW!$ND$2:$ND$60=Q$4)*(GMW!$NF$2:$NF$60=Q$1),0),$F324-1966)</f>
        <v>-35.674930000000003</v>
      </c>
      <c r="R324" s="4" cm="1">
        <f t="array" ref="R324">INDEX(GMW!$A$2:$NF$60,MATCH(1,(GMW!$NE$2:$NE$60=R$3)*(GMW!$ND$2:$ND$60=R$4)*(GMW!$NF$2:$NF$60=R$1),0),$F324-1966)</f>
        <v>-50.888120000000001</v>
      </c>
      <c r="S324" s="4" cm="1">
        <f t="array" ref="S324">INDEX(GMW!$A$2:$NF$60,MATCH(1,(GMW!$NE$2:$NE$60=S$3)*(GMW!$ND$2:$ND$60=S$4)*(GMW!$NF$2:$NF$60=S$1),0),$F324-1966)</f>
        <v>-18.115659999999998</v>
      </c>
      <c r="T324" s="4" cm="1">
        <f t="array" ref="T324">INDEX(GMW!$A$2:$NF$60,MATCH(1,(GMW!$NE$2:$NE$60=T$3)*(GMW!$ND$2:$ND$60=T$4)*(GMW!$NF$2:$NF$60=T$1),0),$F324-1966)</f>
        <v>-52993.25</v>
      </c>
      <c r="U324" s="4" cm="1">
        <f t="array" ref="U324">INDEX(GMW!$A$2:$NF$60,MATCH(1,(GMW!$NE$2:$NE$60=U$3)*(GMW!$ND$2:$ND$60=U$4)*(GMW!$NF$2:$NF$60=U$1),0),$F324-1966)</f>
        <v>8121505</v>
      </c>
      <c r="V324" s="4" cm="1">
        <f t="array" ref="V324">INDEX(GMW!$A$2:$NF$60,MATCH(1,(GMW!$NE$2:$NE$60=V$3)*(GMW!$ND$2:$ND$60=V$4)*(GMW!$NF$2:$NF$60=V$1),0),$F324-1966)</f>
        <v>144192.20000000001</v>
      </c>
      <c r="W324" s="4" cm="1">
        <f t="array" ref="W324">INDEX(GMW!$A$2:$NF$60,MATCH(1,(GMW!$NE$2:$NE$60=W$3)*(GMW!$ND$2:$ND$60=W$4)*(GMW!$NF$2:$NF$60=W$1),0),$F324-1966)</f>
        <v>1663295</v>
      </c>
      <c r="X324" s="4" cm="1">
        <f t="array" ref="X324">INDEX(GMW!$A$2:$NF$60,MATCH(1,(GMW!$NE$2:$NE$60=X$3)*(GMW!$ND$2:$ND$60=X$4)*(GMW!$NF$2:$NF$60=X$1),0),$F324-1966)</f>
        <v>5897.0429999999997</v>
      </c>
      <c r="Y324" s="4" cm="1">
        <f t="array" ref="Y324">INDEX(GMW!$A$2:$NF$60,MATCH(1,(GMW!$NE$2:$NE$60=Y$3)*(GMW!$ND$2:$ND$60=Y$4)*(GMW!$NF$2:$NF$60=Y$1),0),$F324-1966)</f>
        <v>8084.585</v>
      </c>
      <c r="Z324" s="4" cm="1">
        <f t="array" ref="Z324">INDEX(GMW!$A$2:$NF$60,MATCH(1,(GMW!$NE$2:$NE$60=Z$3)*(GMW!$ND$2:$ND$60=Z$4)*(GMW!$NF$2:$NF$60=Z$1),0),$F324-1966)</f>
        <v>5072.6350000000002</v>
      </c>
      <c r="AA324" s="4" cm="1">
        <f t="array" ref="AA324">INDEX(GMW!$A$2:$NF$60,MATCH(1,(GMW!$NE$2:$NE$60=AA$3)*(GMW!$ND$2:$ND$60=AA$4)*(GMW!$NF$2:$NF$60=AA$1),0),$F324-1966)</f>
        <v>7099650</v>
      </c>
      <c r="AB324" s="4" cm="1">
        <f t="array" ref="AB324">INDEX(GMW!$A$2:$NF$60,MATCH(1,(GMW!$NE$2:$NE$60=AB$3)*(GMW!$ND$2:$ND$60=AB$4)*(GMW!$NF$2:$NF$60=AB$1),0),$F324-1966)</f>
        <v>1981349</v>
      </c>
      <c r="AC324" s="4" cm="1">
        <f t="array" ref="AC324">INDEX(GMW!$A$2:$NF$60,MATCH(1,(GMW!$NE$2:$NE$60=AC$3)*(GMW!$ND$2:$ND$60=AC$4)*(GMW!$NF$2:$NF$60=AC$1),0),$F324-1966)</f>
        <v>20326.34</v>
      </c>
      <c r="AD324" s="4" cm="1">
        <f t="array" ref="AD324">INDEX(GMW!$A$2:$NF$60,MATCH(1,(GMW!$NE$2:$NE$60=AD$3)*(GMW!$ND$2:$ND$60=AD$4)*(GMW!$NF$2:$NF$60=AD$1),0),$F324-1966)</f>
        <v>227086.3</v>
      </c>
      <c r="AE324" s="4" cm="1">
        <f t="array" ref="AE324">INDEX(GMW!$A$2:$NF$60,MATCH(1,(GMW!$NE$2:$NE$60=AE$3)*(GMW!$ND$2:$ND$60=AE$4)*(GMW!$NF$2:$NF$60=AE$1),0),$F324-1966)</f>
        <v>2522.942</v>
      </c>
      <c r="AF324" s="4" cm="1">
        <f t="array" ref="AF324">INDEX(GMW!$A$2:$NF$60,MATCH(1,(GMW!$NE$2:$NE$60=AF$3)*(GMW!$ND$2:$ND$60=AF$4)*(GMW!$NF$2:$NF$60=AF$1),0),$F324-1966)</f>
        <v>1541.952</v>
      </c>
      <c r="AG324" s="4" cm="1">
        <f t="array" ref="AG324">INDEX(GMW!$A$2:$NF$60,MATCH(1,(GMW!$NE$2:$NE$60=AG$3)*(GMW!$ND$2:$ND$60=AG$4)*(GMW!$NF$2:$NF$60=AG$1),0),$F324-1966)</f>
        <v>1021.297</v>
      </c>
      <c r="AH324" s="4" cm="1">
        <f t="array" ref="AH324">INDEX(GMW!$A$2:$NF$60,MATCH(1,(GMW!$NE$2:$NE$60=AH$3)*(GMW!$ND$2:$ND$60=AH$4)*(GMW!$NF$2:$NF$60=AH$1),0),$F324-1966)</f>
        <v>2201507</v>
      </c>
    </row>
    <row r="325" spans="1:34" x14ac:dyDescent="0.25">
      <c r="B325" s="4">
        <f t="shared" si="105"/>
        <v>2052</v>
      </c>
      <c r="C325" s="4">
        <f t="shared" si="105"/>
        <v>2052</v>
      </c>
      <c r="F325" s="4">
        <f t="shared" si="101"/>
        <v>2291</v>
      </c>
      <c r="G325" s="4" cm="1">
        <f t="array" ref="G325">INDEX(GMW!$A$2:$NF$60,MATCH(1,(GMW!$NE$2:$NE$60=G$3)*(GMW!$ND$2:$ND$60=G$4)*(GMW!$NF$2:$NF$60=G$1),0),$F325-1966)</f>
        <v>971680.8</v>
      </c>
      <c r="H325" s="4" cm="1">
        <f t="array" ref="H325">INDEX(GMW!$A$2:$NF$60,MATCH(1,(GMW!$NE$2:$NE$60=H$3)*(GMW!$ND$2:$ND$60=H$4)*(GMW!$NF$2:$NF$60=H$1),0),$F325-1966)</f>
        <v>9640.6409999999996</v>
      </c>
      <c r="I325" s="4" cm="1">
        <f t="array" ref="I325">INDEX(GMW!$A$2:$NF$60,MATCH(1,(GMW!$NE$2:$NE$60=I$3)*(GMW!$ND$2:$ND$60=I$4)*(GMW!$NF$2:$NF$60=I$1),0),$F325-1966)</f>
        <v>139833</v>
      </c>
      <c r="J325" s="4" cm="1">
        <f t="array" ref="J325">INDEX(GMW!$A$2:$NF$60,MATCH(1,(GMW!$NE$2:$NE$60=J$3)*(GMW!$ND$2:$ND$60=J$4)*(GMW!$NF$2:$NF$60=J$1),0),$F325-1966)</f>
        <v>1167.7349999999999</v>
      </c>
      <c r="K325" s="4" cm="1">
        <f t="array" ref="K325">INDEX(GMW!$A$2:$NF$60,MATCH(1,(GMW!$NE$2:$NE$60=K$3)*(GMW!$ND$2:$ND$60=K$4)*(GMW!$NF$2:$NF$60=K$1),0),$F325-1966)</f>
        <v>793.62159999999994</v>
      </c>
      <c r="L325" s="4" cm="1">
        <f t="array" ref="L325">INDEX(GMW!$A$2:$NF$60,MATCH(1,(GMW!$NE$2:$NE$60=L$3)*(GMW!$ND$2:$ND$60=L$4)*(GMW!$NF$2:$NF$60=L$1),0),$F325-1966)</f>
        <v>528.72739999999999</v>
      </c>
      <c r="M325" s="4" cm="1">
        <f t="array" ref="M325">INDEX(GMW!$A$2:$NF$60,MATCH(1,(GMW!$NE$2:$NE$60=M$3)*(GMW!$ND$2:$ND$60=M$4)*(GMW!$NF$2:$NF$60=M$1),0),$F325-1966)</f>
        <v>1024061</v>
      </c>
      <c r="N325" s="4" cm="1">
        <f t="array" ref="N325">INDEX(GMW!$A$2:$NF$60,MATCH(1,(GMW!$NE$2:$NE$60=N$3)*(GMW!$ND$2:$ND$60=N$4)*(GMW!$NF$2:$NF$60=N$1),0),$F325-1966)</f>
        <v>-68661.06</v>
      </c>
      <c r="O325" s="4" cm="1">
        <f t="array" ref="O325">INDEX(GMW!$A$2:$NF$60,MATCH(1,(GMW!$NE$2:$NE$60=O$3)*(GMW!$ND$2:$ND$60=O$4)*(GMW!$NF$2:$NF$60=O$1),0),$F325-1966)</f>
        <v>-1128.576</v>
      </c>
      <c r="P325" s="4" cm="1">
        <f t="array" ref="P325">INDEX(GMW!$A$2:$NF$60,MATCH(1,(GMW!$NE$2:$NE$60=P$3)*(GMW!$ND$2:$ND$60=P$4)*(GMW!$NF$2:$NF$60=P$1),0),$F325-1966)</f>
        <v>-2123.8049999999998</v>
      </c>
      <c r="Q325" s="4" cm="1">
        <f t="array" ref="Q325">INDEX(GMW!$A$2:$NF$60,MATCH(1,(GMW!$NE$2:$NE$60=Q$3)*(GMW!$ND$2:$ND$60=Q$4)*(GMW!$NF$2:$NF$60=Q$1),0),$F325-1966)</f>
        <v>-35.906010000000002</v>
      </c>
      <c r="R325" s="4" cm="1">
        <f t="array" ref="R325">INDEX(GMW!$A$2:$NF$60,MATCH(1,(GMW!$NE$2:$NE$60=R$3)*(GMW!$ND$2:$ND$60=R$4)*(GMW!$NF$2:$NF$60=R$1),0),$F325-1966)</f>
        <v>-51.176699999999997</v>
      </c>
      <c r="S325" s="4" cm="1">
        <f t="array" ref="S325">INDEX(GMW!$A$2:$NF$60,MATCH(1,(GMW!$NE$2:$NE$60=S$3)*(GMW!$ND$2:$ND$60=S$4)*(GMW!$NF$2:$NF$60=S$1),0),$F325-1966)</f>
        <v>-18.221319999999999</v>
      </c>
      <c r="T325" s="4" cm="1">
        <f t="array" ref="T325">INDEX(GMW!$A$2:$NF$60,MATCH(1,(GMW!$NE$2:$NE$60=T$3)*(GMW!$ND$2:$ND$60=T$4)*(GMW!$NF$2:$NF$60=T$1),0),$F325-1966)</f>
        <v>-53316.5</v>
      </c>
      <c r="U325" s="4" cm="1">
        <f t="array" ref="U325">INDEX(GMW!$A$2:$NF$60,MATCH(1,(GMW!$NE$2:$NE$60=U$3)*(GMW!$ND$2:$ND$60=U$4)*(GMW!$NF$2:$NF$60=U$1),0),$F325-1966)</f>
        <v>8190166</v>
      </c>
      <c r="V325" s="4" cm="1">
        <f t="array" ref="V325">INDEX(GMW!$A$2:$NF$60,MATCH(1,(GMW!$NE$2:$NE$60=V$3)*(GMW!$ND$2:$ND$60=V$4)*(GMW!$NF$2:$NF$60=V$1),0),$F325-1966)</f>
        <v>145320.79999999999</v>
      </c>
      <c r="W325" s="4" cm="1">
        <f t="array" ref="W325">INDEX(GMW!$A$2:$NF$60,MATCH(1,(GMW!$NE$2:$NE$60=W$3)*(GMW!$ND$2:$ND$60=W$4)*(GMW!$NF$2:$NF$60=W$1),0),$F325-1966)</f>
        <v>1665419</v>
      </c>
      <c r="X325" s="4" cm="1">
        <f t="array" ref="X325">INDEX(GMW!$A$2:$NF$60,MATCH(1,(GMW!$NE$2:$NE$60=X$3)*(GMW!$ND$2:$ND$60=X$4)*(GMW!$NF$2:$NF$60=X$1),0),$F325-1966)</f>
        <v>5932.9489999999996</v>
      </c>
      <c r="Y325" s="4" cm="1">
        <f t="array" ref="Y325">INDEX(GMW!$A$2:$NF$60,MATCH(1,(GMW!$NE$2:$NE$60=Y$3)*(GMW!$ND$2:$ND$60=Y$4)*(GMW!$NF$2:$NF$60=Y$1),0),$F325-1966)</f>
        <v>8135.7619999999997</v>
      </c>
      <c r="Z325" s="4" cm="1">
        <f t="array" ref="Z325">INDEX(GMW!$A$2:$NF$60,MATCH(1,(GMW!$NE$2:$NE$60=Z$3)*(GMW!$ND$2:$ND$60=Z$4)*(GMW!$NF$2:$NF$60=Z$1),0),$F325-1966)</f>
        <v>5090.8559999999998</v>
      </c>
      <c r="AA325" s="4" cm="1">
        <f t="array" ref="AA325">INDEX(GMW!$A$2:$NF$60,MATCH(1,(GMW!$NE$2:$NE$60=AA$3)*(GMW!$ND$2:$ND$60=AA$4)*(GMW!$NF$2:$NF$60=AA$1),0),$F325-1966)</f>
        <v>7152967</v>
      </c>
      <c r="AB325" s="4" cm="1">
        <f t="array" ref="AB325">INDEX(GMW!$A$2:$NF$60,MATCH(1,(GMW!$NE$2:$NE$60=AB$3)*(GMW!$ND$2:$ND$60=AB$4)*(GMW!$NF$2:$NF$60=AB$1),0),$F325-1966)</f>
        <v>1998360</v>
      </c>
      <c r="AC325" s="4" cm="1">
        <f t="array" ref="AC325">INDEX(GMW!$A$2:$NF$60,MATCH(1,(GMW!$NE$2:$NE$60=AC$3)*(GMW!$ND$2:$ND$60=AC$4)*(GMW!$NF$2:$NF$60=AC$1),0),$F325-1966)</f>
        <v>20503.62</v>
      </c>
      <c r="AD325" s="4" cm="1">
        <f t="array" ref="AD325">INDEX(GMW!$A$2:$NF$60,MATCH(1,(GMW!$NE$2:$NE$60=AD$3)*(GMW!$ND$2:$ND$60=AD$4)*(GMW!$NF$2:$NF$60=AD$1),0),$F325-1966)</f>
        <v>228091.4</v>
      </c>
      <c r="AE325" s="4" cm="1">
        <f t="array" ref="AE325">INDEX(GMW!$A$2:$NF$60,MATCH(1,(GMW!$NE$2:$NE$60=AE$3)*(GMW!$ND$2:$ND$60=AE$4)*(GMW!$NF$2:$NF$60=AE$1),0),$F325-1966)</f>
        <v>2540.2579999999998</v>
      </c>
      <c r="AF325" s="4" cm="1">
        <f t="array" ref="AF325">INDEX(GMW!$A$2:$NF$60,MATCH(1,(GMW!$NE$2:$NE$60=AF$3)*(GMW!$ND$2:$ND$60=AF$4)*(GMW!$NF$2:$NF$60=AF$1),0),$F325-1966)</f>
        <v>1550.7750000000001</v>
      </c>
      <c r="AG325" s="4" cm="1">
        <f t="array" ref="AG325">INDEX(GMW!$A$2:$NF$60,MATCH(1,(GMW!$NE$2:$NE$60=AG$3)*(GMW!$ND$2:$ND$60=AG$4)*(GMW!$NF$2:$NF$60=AG$1),0),$F325-1966)</f>
        <v>1027.252</v>
      </c>
      <c r="AH325" s="4" cm="1">
        <f t="array" ref="AH325">INDEX(GMW!$A$2:$NF$60,MATCH(1,(GMW!$NE$2:$NE$60=AH$3)*(GMW!$ND$2:$ND$60=AH$4)*(GMW!$NF$2:$NF$60=AH$1),0),$F325-1966)</f>
        <v>2222053</v>
      </c>
    </row>
    <row r="326" spans="1:34" x14ac:dyDescent="0.25">
      <c r="B326" s="4">
        <f t="shared" si="105"/>
        <v>2052</v>
      </c>
      <c r="C326" s="4">
        <f t="shared" si="105"/>
        <v>2052</v>
      </c>
      <c r="E326" s="4">
        <f t="shared" ref="E326" si="108">+E322+1</f>
        <v>2052</v>
      </c>
      <c r="F326" s="4">
        <f t="shared" si="101"/>
        <v>2292</v>
      </c>
      <c r="G326" s="4" cm="1">
        <f t="array" ref="G326">INDEX(GMW!$A$2:$NF$60,MATCH(1,(GMW!$NE$2:$NE$60=G$3)*(GMW!$ND$2:$ND$60=G$4)*(GMW!$NF$2:$NF$60=G$1),0),$F326-1966)</f>
        <v>974802</v>
      </c>
      <c r="H326" s="4" cm="1">
        <f t="array" ref="H326">INDEX(GMW!$A$2:$NF$60,MATCH(1,(GMW!$NE$2:$NE$60=H$3)*(GMW!$ND$2:$ND$60=H$4)*(GMW!$NF$2:$NF$60=H$1),0),$F326-1966)</f>
        <v>9678.6489999999994</v>
      </c>
      <c r="I326" s="4" cm="1">
        <f t="array" ref="I326">INDEX(GMW!$A$2:$NF$60,MATCH(1,(GMW!$NE$2:$NE$60=I$3)*(GMW!$ND$2:$ND$60=I$4)*(GMW!$NF$2:$NF$60=I$1),0),$F326-1966)</f>
        <v>139930.29999999999</v>
      </c>
      <c r="J326" s="4" cm="1">
        <f t="array" ref="J326">INDEX(GMW!$A$2:$NF$60,MATCH(1,(GMW!$NE$2:$NE$60=J$3)*(GMW!$ND$2:$ND$60=J$4)*(GMW!$NF$2:$NF$60=J$1),0),$F326-1966)</f>
        <v>1169.944</v>
      </c>
      <c r="K326" s="4" cm="1">
        <f t="array" ref="K326">INDEX(GMW!$A$2:$NF$60,MATCH(1,(GMW!$NE$2:$NE$60=K$3)*(GMW!$ND$2:$ND$60=K$4)*(GMW!$NF$2:$NF$60=K$1),0),$F326-1966)</f>
        <v>794.15150000000006</v>
      </c>
      <c r="L326" s="4" cm="1">
        <f t="array" ref="L326">INDEX(GMW!$A$2:$NF$60,MATCH(1,(GMW!$NE$2:$NE$60=L$3)*(GMW!$ND$2:$ND$60=L$4)*(GMW!$NF$2:$NF$60=L$1),0),$F326-1966)</f>
        <v>529.16060000000004</v>
      </c>
      <c r="M326" s="4" cm="1">
        <f t="array" ref="M326">INDEX(GMW!$A$2:$NF$60,MATCH(1,(GMW!$NE$2:$NE$60=M$3)*(GMW!$ND$2:$ND$60=M$4)*(GMW!$NF$2:$NF$60=M$1),0),$F326-1966)</f>
        <v>1028561</v>
      </c>
      <c r="N326" s="4" cm="1">
        <f t="array" ref="N326">INDEX(GMW!$A$2:$NF$60,MATCH(1,(GMW!$NE$2:$NE$60=N$3)*(GMW!$ND$2:$ND$60=N$4)*(GMW!$NF$2:$NF$60=N$1),0),$F326-1966)</f>
        <v>-120917.9</v>
      </c>
      <c r="O326" s="4" cm="1">
        <f t="array" ref="O326">INDEX(GMW!$A$2:$NF$60,MATCH(1,(GMW!$NE$2:$NE$60=O$3)*(GMW!$ND$2:$ND$60=O$4)*(GMW!$NF$2:$NF$60=O$1),0),$F326-1966)</f>
        <v>-1127.548</v>
      </c>
      <c r="P326" s="4" cm="1">
        <f t="array" ref="P326">INDEX(GMW!$A$2:$NF$60,MATCH(1,(GMW!$NE$2:$NE$60=P$3)*(GMW!$ND$2:$ND$60=P$4)*(GMW!$NF$2:$NF$60=P$1),0),$F326-1966)</f>
        <v>-2133.203</v>
      </c>
      <c r="Q326" s="4" cm="1">
        <f t="array" ref="Q326">INDEX(GMW!$A$2:$NF$60,MATCH(1,(GMW!$NE$2:$NE$60=Q$3)*(GMW!$ND$2:$ND$60=Q$4)*(GMW!$NF$2:$NF$60=Q$1),0),$F326-1966)</f>
        <v>-36.140009999999997</v>
      </c>
      <c r="R326" s="4" cm="1">
        <f t="array" ref="R326">INDEX(GMW!$A$2:$NF$60,MATCH(1,(GMW!$NE$2:$NE$60=R$3)*(GMW!$ND$2:$ND$60=R$4)*(GMW!$NF$2:$NF$60=R$1),0),$F326-1966)</f>
        <v>-51.469790000000003</v>
      </c>
      <c r="S326" s="4" cm="1">
        <f t="array" ref="S326">INDEX(GMW!$A$2:$NF$60,MATCH(1,(GMW!$NE$2:$NE$60=S$3)*(GMW!$ND$2:$ND$60=S$4)*(GMW!$NF$2:$NF$60=S$1),0),$F326-1966)</f>
        <v>-18.327580000000001</v>
      </c>
      <c r="T326" s="4" cm="1">
        <f t="array" ref="T326">INDEX(GMW!$A$2:$NF$60,MATCH(1,(GMW!$NE$2:$NE$60=T$3)*(GMW!$ND$2:$ND$60=T$4)*(GMW!$NF$2:$NF$60=T$1),0),$F326-1966)</f>
        <v>-53984.63</v>
      </c>
      <c r="U326" s="4" cm="1">
        <f t="array" ref="U326">INDEX(GMW!$A$2:$NF$60,MATCH(1,(GMW!$NE$2:$NE$60=U$3)*(GMW!$ND$2:$ND$60=U$4)*(GMW!$NF$2:$NF$60=U$1),0),$F326-1966)</f>
        <v>8311084</v>
      </c>
      <c r="V326" s="4" cm="1">
        <f t="array" ref="V326">INDEX(GMW!$A$2:$NF$60,MATCH(1,(GMW!$NE$2:$NE$60=V$3)*(GMW!$ND$2:$ND$60=V$4)*(GMW!$NF$2:$NF$60=V$1),0),$F326-1966)</f>
        <v>146448.29999999999</v>
      </c>
      <c r="W326" s="4" cm="1">
        <f t="array" ref="W326">INDEX(GMW!$A$2:$NF$60,MATCH(1,(GMW!$NE$2:$NE$60=W$3)*(GMW!$ND$2:$ND$60=W$4)*(GMW!$NF$2:$NF$60=W$1),0),$F326-1966)</f>
        <v>1667552</v>
      </c>
      <c r="X326" s="4" cm="1">
        <f t="array" ref="X326">INDEX(GMW!$A$2:$NF$60,MATCH(1,(GMW!$NE$2:$NE$60=X$3)*(GMW!$ND$2:$ND$60=X$4)*(GMW!$NF$2:$NF$60=X$1),0),$F326-1966)</f>
        <v>5969.0889999999999</v>
      </c>
      <c r="Y326" s="4" cm="1">
        <f t="array" ref="Y326">INDEX(GMW!$A$2:$NF$60,MATCH(1,(GMW!$NE$2:$NE$60=Y$3)*(GMW!$ND$2:$ND$60=Y$4)*(GMW!$NF$2:$NF$60=Y$1),0),$F326-1966)</f>
        <v>8187.2309999999998</v>
      </c>
      <c r="Z326" s="4" cm="1">
        <f t="array" ref="Z326">INDEX(GMW!$A$2:$NF$60,MATCH(1,(GMW!$NE$2:$NE$60=Z$3)*(GMW!$ND$2:$ND$60=Z$4)*(GMW!$NF$2:$NF$60=Z$1),0),$F326-1966)</f>
        <v>5109.1840000000002</v>
      </c>
      <c r="AA326" s="4" cm="1">
        <f t="array" ref="AA326">INDEX(GMW!$A$2:$NF$60,MATCH(1,(GMW!$NE$2:$NE$60=AA$3)*(GMW!$ND$2:$ND$60=AA$4)*(GMW!$NF$2:$NF$60=AA$1),0),$F326-1966)</f>
        <v>7206951</v>
      </c>
      <c r="AB326" s="4" cm="1">
        <f t="array" ref="AB326">INDEX(GMW!$A$2:$NF$60,MATCH(1,(GMW!$NE$2:$NE$60=AB$3)*(GMW!$ND$2:$ND$60=AB$4)*(GMW!$NF$2:$NF$60=AB$1),0),$F326-1966)</f>
        <v>2015505</v>
      </c>
      <c r="AC326" s="4" cm="1">
        <f t="array" ref="AC326">INDEX(GMW!$A$2:$NF$60,MATCH(1,(GMW!$NE$2:$NE$60=AC$3)*(GMW!$ND$2:$ND$60=AC$4)*(GMW!$NF$2:$NF$60=AC$1),0),$F326-1966)</f>
        <v>20682.419999999998</v>
      </c>
      <c r="AD326" s="4" cm="1">
        <f t="array" ref="AD326">INDEX(GMW!$A$2:$NF$60,MATCH(1,(GMW!$NE$2:$NE$60=AD$3)*(GMW!$ND$2:$ND$60=AD$4)*(GMW!$NF$2:$NF$60=AD$1),0),$F326-1966)</f>
        <v>229124.2</v>
      </c>
      <c r="AE326" s="4" cm="1">
        <f t="array" ref="AE326">INDEX(GMW!$A$2:$NF$60,MATCH(1,(GMW!$NE$2:$NE$60=AE$3)*(GMW!$ND$2:$ND$60=AE$4)*(GMW!$NF$2:$NF$60=AE$1),0),$F326-1966)</f>
        <v>2557.6869999999999</v>
      </c>
      <c r="AF326" s="4" cm="1">
        <f t="array" ref="AF326">INDEX(GMW!$A$2:$NF$60,MATCH(1,(GMW!$NE$2:$NE$60=AF$3)*(GMW!$ND$2:$ND$60=AF$4)*(GMW!$NF$2:$NF$60=AF$1),0),$F326-1966)</f>
        <v>1559.5070000000001</v>
      </c>
      <c r="AG326" s="4" cm="1">
        <f t="array" ref="AG326">INDEX(GMW!$A$2:$NF$60,MATCH(1,(GMW!$NE$2:$NE$60=AG$3)*(GMW!$ND$2:$ND$60=AG$4)*(GMW!$NF$2:$NF$60=AG$1),0),$F326-1966)</f>
        <v>1033.2159999999999</v>
      </c>
      <c r="AH326" s="4" cm="1">
        <f t="array" ref="AH326">INDEX(GMW!$A$2:$NF$60,MATCH(1,(GMW!$NE$2:$NE$60=AH$3)*(GMW!$ND$2:$ND$60=AH$4)*(GMW!$NF$2:$NF$60=AH$1),0),$F326-1966)</f>
        <v>2242767</v>
      </c>
    </row>
    <row r="327" spans="1:34" x14ac:dyDescent="0.25">
      <c r="A327" s="4">
        <v>2053</v>
      </c>
      <c r="B327" s="4">
        <f t="shared" si="105"/>
        <v>2053</v>
      </c>
      <c r="C327" s="4">
        <f t="shared" si="105"/>
        <v>2052</v>
      </c>
      <c r="D327" s="4">
        <f t="shared" si="105"/>
        <v>2052</v>
      </c>
      <c r="F327" s="4">
        <f t="shared" si="101"/>
        <v>2293</v>
      </c>
      <c r="G327" s="4" cm="1">
        <f t="array" ref="G327">INDEX(GMW!$A$2:$NF$60,MATCH(1,(GMW!$NE$2:$NE$60=G$3)*(GMW!$ND$2:$ND$60=G$4)*(GMW!$NF$2:$NF$60=G$1),0),$F327-1966)</f>
        <v>977927.8</v>
      </c>
      <c r="H327" s="4" cm="1">
        <f t="array" ref="H327">INDEX(GMW!$A$2:$NF$60,MATCH(1,(GMW!$NE$2:$NE$60=H$3)*(GMW!$ND$2:$ND$60=H$4)*(GMW!$NF$2:$NF$60=H$1),0),$F327-1966)</f>
        <v>9716.7630000000008</v>
      </c>
      <c r="I327" s="4" cm="1">
        <f t="array" ref="I327">INDEX(GMW!$A$2:$NF$60,MATCH(1,(GMW!$NE$2:$NE$60=I$3)*(GMW!$ND$2:$ND$60=I$4)*(GMW!$NF$2:$NF$60=I$1),0),$F327-1966)</f>
        <v>140027.79999999999</v>
      </c>
      <c r="J327" s="4" cm="1">
        <f t="array" ref="J327">INDEX(GMW!$A$2:$NF$60,MATCH(1,(GMW!$NE$2:$NE$60=J$3)*(GMW!$ND$2:$ND$60=J$4)*(GMW!$NF$2:$NF$60=J$1),0),$F327-1966)</f>
        <v>1172.027</v>
      </c>
      <c r="K327" s="4" cm="1">
        <f t="array" ref="K327">INDEX(GMW!$A$2:$NF$60,MATCH(1,(GMW!$NE$2:$NE$60=K$3)*(GMW!$ND$2:$ND$60=K$4)*(GMW!$NF$2:$NF$60=K$1),0),$F327-1966)</f>
        <v>794.76679999999999</v>
      </c>
      <c r="L327" s="4" cm="1">
        <f t="array" ref="L327">INDEX(GMW!$A$2:$NF$60,MATCH(1,(GMW!$NE$2:$NE$60=L$3)*(GMW!$ND$2:$ND$60=L$4)*(GMW!$NF$2:$NF$60=L$1),0),$F327-1966)</f>
        <v>529.63189999999997</v>
      </c>
      <c r="M327" s="4" cm="1">
        <f t="array" ref="M327">INDEX(GMW!$A$2:$NF$60,MATCH(1,(GMW!$NE$2:$NE$60=M$3)*(GMW!$ND$2:$ND$60=M$4)*(GMW!$NF$2:$NF$60=M$1),0),$F327-1966)</f>
        <v>1033081</v>
      </c>
      <c r="N327" s="4" cm="1">
        <f t="array" ref="N327">INDEX(GMW!$A$2:$NF$60,MATCH(1,(GMW!$NE$2:$NE$60=N$3)*(GMW!$ND$2:$ND$60=N$4)*(GMW!$NF$2:$NF$60=N$1),0),$F327-1966)</f>
        <v>-5844.8130000000001</v>
      </c>
      <c r="O327" s="4" cm="1">
        <f t="array" ref="O327">INDEX(GMW!$A$2:$NF$60,MATCH(1,(GMW!$NE$2:$NE$60=O$3)*(GMW!$ND$2:$ND$60=O$4)*(GMW!$NF$2:$NF$60=O$1),0),$F327-1966)</f>
        <v>-1126.4380000000001</v>
      </c>
      <c r="P327" s="4" cm="1">
        <f t="array" ref="P327">INDEX(GMW!$A$2:$NF$60,MATCH(1,(GMW!$NE$2:$NE$60=P$3)*(GMW!$ND$2:$ND$60=P$4)*(GMW!$NF$2:$NF$60=P$1),0),$F327-1966)</f>
        <v>-2142.8589999999999</v>
      </c>
      <c r="Q327" s="4" cm="1">
        <f t="array" ref="Q327">INDEX(GMW!$A$2:$NF$60,MATCH(1,(GMW!$NE$2:$NE$60=Q$3)*(GMW!$ND$2:$ND$60=Q$4)*(GMW!$NF$2:$NF$60=Q$1),0),$F327-1966)</f>
        <v>-36.369019999999999</v>
      </c>
      <c r="R327" s="4" cm="1">
        <f t="array" ref="R327">INDEX(GMW!$A$2:$NF$60,MATCH(1,(GMW!$NE$2:$NE$60=R$3)*(GMW!$ND$2:$ND$60=R$4)*(GMW!$NF$2:$NF$60=R$1),0),$F327-1966)</f>
        <v>-51.758000000000003</v>
      </c>
      <c r="S327" s="4" cm="1">
        <f t="array" ref="S327">INDEX(GMW!$A$2:$NF$60,MATCH(1,(GMW!$NE$2:$NE$60=S$3)*(GMW!$ND$2:$ND$60=S$4)*(GMW!$NF$2:$NF$60=S$1),0),$F327-1966)</f>
        <v>-18.433990000000001</v>
      </c>
      <c r="T327" s="4" cm="1">
        <f t="array" ref="T327">INDEX(GMW!$A$2:$NF$60,MATCH(1,(GMW!$NE$2:$NE$60=T$3)*(GMW!$ND$2:$ND$60=T$4)*(GMW!$NF$2:$NF$60=T$1),0),$F327-1966)</f>
        <v>-54567.25</v>
      </c>
      <c r="U327" s="4" cm="1">
        <f t="array" ref="U327">INDEX(GMW!$A$2:$NF$60,MATCH(1,(GMW!$NE$2:$NE$60=U$3)*(GMW!$ND$2:$ND$60=U$4)*(GMW!$NF$2:$NF$60=U$1),0),$F327-1966)</f>
        <v>8316929</v>
      </c>
      <c r="V327" s="4" cm="1">
        <f t="array" ref="V327">INDEX(GMW!$A$2:$NF$60,MATCH(1,(GMW!$NE$2:$NE$60=V$3)*(GMW!$ND$2:$ND$60=V$4)*(GMW!$NF$2:$NF$60=V$1),0),$F327-1966)</f>
        <v>147574.79999999999</v>
      </c>
      <c r="W327" s="4" cm="1">
        <f t="array" ref="W327">INDEX(GMW!$A$2:$NF$60,MATCH(1,(GMW!$NE$2:$NE$60=W$3)*(GMW!$ND$2:$ND$60=W$4)*(GMW!$NF$2:$NF$60=W$1),0),$F327-1966)</f>
        <v>1669695</v>
      </c>
      <c r="X327" s="4" cm="1">
        <f t="array" ref="X327">INDEX(GMW!$A$2:$NF$60,MATCH(1,(GMW!$NE$2:$NE$60=X$3)*(GMW!$ND$2:$ND$60=X$4)*(GMW!$NF$2:$NF$60=X$1),0),$F327-1966)</f>
        <v>6005.4579999999996</v>
      </c>
      <c r="Y327" s="4" cm="1">
        <f t="array" ref="Y327">INDEX(GMW!$A$2:$NF$60,MATCH(1,(GMW!$NE$2:$NE$60=Y$3)*(GMW!$ND$2:$ND$60=Y$4)*(GMW!$NF$2:$NF$60=Y$1),0),$F327-1966)</f>
        <v>8238.9889999999996</v>
      </c>
      <c r="Z327" s="4" cm="1">
        <f t="array" ref="Z327">INDEX(GMW!$A$2:$NF$60,MATCH(1,(GMW!$NE$2:$NE$60=Z$3)*(GMW!$ND$2:$ND$60=Z$4)*(GMW!$NF$2:$NF$60=Z$1),0),$F327-1966)</f>
        <v>5127.6180000000004</v>
      </c>
      <c r="AA327" s="4" cm="1">
        <f t="array" ref="AA327">INDEX(GMW!$A$2:$NF$60,MATCH(1,(GMW!$NE$2:$NE$60=AA$3)*(GMW!$ND$2:$ND$60=AA$4)*(GMW!$NF$2:$NF$60=AA$1),0),$F327-1966)</f>
        <v>7261518</v>
      </c>
      <c r="AB327" s="4" cm="1">
        <f t="array" ref="AB327">INDEX(GMW!$A$2:$NF$60,MATCH(1,(GMW!$NE$2:$NE$60=AB$3)*(GMW!$ND$2:$ND$60=AB$4)*(GMW!$NF$2:$NF$60=AB$1),0),$F327-1966)</f>
        <v>2032784</v>
      </c>
      <c r="AC327" s="4" cm="1">
        <f t="array" ref="AC327">INDEX(GMW!$A$2:$NF$60,MATCH(1,(GMW!$NE$2:$NE$60=AC$3)*(GMW!$ND$2:$ND$60=AC$4)*(GMW!$NF$2:$NF$60=AC$1),0),$F327-1966)</f>
        <v>20862.689999999999</v>
      </c>
      <c r="AD327" s="4" cm="1">
        <f t="array" ref="AD327">INDEX(GMW!$A$2:$NF$60,MATCH(1,(GMW!$NE$2:$NE$60=AD$3)*(GMW!$ND$2:$ND$60=AD$4)*(GMW!$NF$2:$NF$60=AD$1),0),$F327-1966)</f>
        <v>230156.9</v>
      </c>
      <c r="AE327" s="4" cm="1">
        <f t="array" ref="AE327">INDEX(GMW!$A$2:$NF$60,MATCH(1,(GMW!$NE$2:$NE$60=AE$3)*(GMW!$ND$2:$ND$60=AE$4)*(GMW!$NF$2:$NF$60=AE$1),0),$F327-1966)</f>
        <v>2574.953</v>
      </c>
      <c r="AF327" s="4" cm="1">
        <f t="array" ref="AF327">INDEX(GMW!$A$2:$NF$60,MATCH(1,(GMW!$NE$2:$NE$60=AF$3)*(GMW!$ND$2:$ND$60=AF$4)*(GMW!$NF$2:$NF$60=AF$1),0),$F327-1966)</f>
        <v>1568.4870000000001</v>
      </c>
      <c r="AG327" s="4" cm="1">
        <f t="array" ref="AG327">INDEX(GMW!$A$2:$NF$60,MATCH(1,(GMW!$NE$2:$NE$60=AG$3)*(GMW!$ND$2:$ND$60=AG$4)*(GMW!$NF$2:$NF$60=AG$1),0),$F327-1966)</f>
        <v>1039.2650000000001</v>
      </c>
      <c r="AH327" s="4" cm="1">
        <f t="array" ref="AH327">INDEX(GMW!$A$2:$NF$60,MATCH(1,(GMW!$NE$2:$NE$60=AH$3)*(GMW!$ND$2:$ND$60=AH$4)*(GMW!$NF$2:$NF$60=AH$1),0),$F327-1966)</f>
        <v>2263675</v>
      </c>
    </row>
    <row r="328" spans="1:34" x14ac:dyDescent="0.25">
      <c r="B328" s="4">
        <f t="shared" si="105"/>
        <v>2053</v>
      </c>
      <c r="C328" s="4">
        <f t="shared" si="105"/>
        <v>2053</v>
      </c>
      <c r="F328" s="4">
        <f t="shared" si="101"/>
        <v>2294</v>
      </c>
      <c r="G328" s="4" cm="1">
        <f t="array" ref="G328">INDEX(GMW!$A$2:$NF$60,MATCH(1,(GMW!$NE$2:$NE$60=G$3)*(GMW!$ND$2:$ND$60=G$4)*(GMW!$NF$2:$NF$60=G$1),0),$F328-1966)</f>
        <v>981057.6</v>
      </c>
      <c r="H328" s="4" cm="1">
        <f t="array" ref="H328">INDEX(GMW!$A$2:$NF$60,MATCH(1,(GMW!$NE$2:$NE$60=H$3)*(GMW!$ND$2:$ND$60=H$4)*(GMW!$NF$2:$NF$60=H$1),0),$F328-1966)</f>
        <v>9754.9879999999994</v>
      </c>
      <c r="I328" s="4" cm="1">
        <f t="array" ref="I328">INDEX(GMW!$A$2:$NF$60,MATCH(1,(GMW!$NE$2:$NE$60=I$3)*(GMW!$ND$2:$ND$60=I$4)*(GMW!$NF$2:$NF$60=I$1),0),$F328-1966)</f>
        <v>140122.29999999999</v>
      </c>
      <c r="J328" s="4" cm="1">
        <f t="array" ref="J328">INDEX(GMW!$A$2:$NF$60,MATCH(1,(GMW!$NE$2:$NE$60=J$3)*(GMW!$ND$2:$ND$60=J$4)*(GMW!$NF$2:$NF$60=J$1),0),$F328-1966)</f>
        <v>1174.1120000000001</v>
      </c>
      <c r="K328" s="4" cm="1">
        <f t="array" ref="K328">INDEX(GMW!$A$2:$NF$60,MATCH(1,(GMW!$NE$2:$NE$60=K$3)*(GMW!$ND$2:$ND$60=K$4)*(GMW!$NF$2:$NF$60=K$1),0),$F328-1966)</f>
        <v>795.38890000000004</v>
      </c>
      <c r="L328" s="4" cm="1">
        <f t="array" ref="L328">INDEX(GMW!$A$2:$NF$60,MATCH(1,(GMW!$NE$2:$NE$60=L$3)*(GMW!$ND$2:$ND$60=L$4)*(GMW!$NF$2:$NF$60=L$1),0),$F328-1966)</f>
        <v>530.10329999999999</v>
      </c>
      <c r="M328" s="4" cm="1">
        <f t="array" ref="M328">INDEX(GMW!$A$2:$NF$60,MATCH(1,(GMW!$NE$2:$NE$60=M$3)*(GMW!$ND$2:$ND$60=M$4)*(GMW!$NF$2:$NF$60=M$1),0),$F328-1966)</f>
        <v>1037603</v>
      </c>
      <c r="N328" s="4" cm="1">
        <f t="array" ref="N328">INDEX(GMW!$A$2:$NF$60,MATCH(1,(GMW!$NE$2:$NE$60=N$3)*(GMW!$ND$2:$ND$60=N$4)*(GMW!$NF$2:$NF$60=N$1),0),$F328-1966)</f>
        <v>-131696</v>
      </c>
      <c r="O328" s="4" cm="1">
        <f t="array" ref="O328">INDEX(GMW!$A$2:$NF$60,MATCH(1,(GMW!$NE$2:$NE$60=O$3)*(GMW!$ND$2:$ND$60=O$4)*(GMW!$NF$2:$NF$60=O$1),0),$F328-1966)</f>
        <v>-1125.1289999999999</v>
      </c>
      <c r="P328" s="4" cm="1">
        <f t="array" ref="P328">INDEX(GMW!$A$2:$NF$60,MATCH(1,(GMW!$NE$2:$NE$60=P$3)*(GMW!$ND$2:$ND$60=P$4)*(GMW!$NF$2:$NF$60=P$1),0),$F328-1966)</f>
        <v>-2152.5160000000001</v>
      </c>
      <c r="Q328" s="4" cm="1">
        <f t="array" ref="Q328">INDEX(GMW!$A$2:$NF$60,MATCH(1,(GMW!$NE$2:$NE$60=Q$3)*(GMW!$ND$2:$ND$60=Q$4)*(GMW!$NF$2:$NF$60=Q$1),0),$F328-1966)</f>
        <v>-36.599980000000002</v>
      </c>
      <c r="R328" s="4" cm="1">
        <f t="array" ref="R328">INDEX(GMW!$A$2:$NF$60,MATCH(1,(GMW!$NE$2:$NE$60=R$3)*(GMW!$ND$2:$ND$60=R$4)*(GMW!$NF$2:$NF$60=R$1),0),$F328-1966)</f>
        <v>-52.056519999999999</v>
      </c>
      <c r="S328" s="4" cm="1">
        <f t="array" ref="S328">INDEX(GMW!$A$2:$NF$60,MATCH(1,(GMW!$NE$2:$NE$60=S$3)*(GMW!$ND$2:$ND$60=S$4)*(GMW!$NF$2:$NF$60=S$1),0),$F328-1966)</f>
        <v>-18.541899999999998</v>
      </c>
      <c r="T328" s="4" cm="1">
        <f t="array" ref="T328">INDEX(GMW!$A$2:$NF$60,MATCH(1,(GMW!$NE$2:$NE$60=T$3)*(GMW!$ND$2:$ND$60=T$4)*(GMW!$NF$2:$NF$60=T$1),0),$F328-1966)</f>
        <v>-55065.440000000002</v>
      </c>
      <c r="U328" s="4" cm="1">
        <f t="array" ref="U328">INDEX(GMW!$A$2:$NF$60,MATCH(1,(GMW!$NE$2:$NE$60=U$3)*(GMW!$ND$2:$ND$60=U$4)*(GMW!$NF$2:$NF$60=U$1),0),$F328-1966)</f>
        <v>8448625</v>
      </c>
      <c r="V328" s="4" cm="1">
        <f t="array" ref="V328">INDEX(GMW!$A$2:$NF$60,MATCH(1,(GMW!$NE$2:$NE$60=V$3)*(GMW!$ND$2:$ND$60=V$4)*(GMW!$NF$2:$NF$60=V$1),0),$F328-1966)</f>
        <v>148699.9</v>
      </c>
      <c r="W328" s="4" cm="1">
        <f t="array" ref="W328">INDEX(GMW!$A$2:$NF$60,MATCH(1,(GMW!$NE$2:$NE$60=W$3)*(GMW!$ND$2:$ND$60=W$4)*(GMW!$NF$2:$NF$60=W$1),0),$F328-1966)</f>
        <v>1671847</v>
      </c>
      <c r="X328" s="4" cm="1">
        <f t="array" ref="X328">INDEX(GMW!$A$2:$NF$60,MATCH(1,(GMW!$NE$2:$NE$60=X$3)*(GMW!$ND$2:$ND$60=X$4)*(GMW!$NF$2:$NF$60=X$1),0),$F328-1966)</f>
        <v>6042.0590000000002</v>
      </c>
      <c r="Y328" s="4" cm="1">
        <f t="array" ref="Y328">INDEX(GMW!$A$2:$NF$60,MATCH(1,(GMW!$NE$2:$NE$60=Y$3)*(GMW!$ND$2:$ND$60=Y$4)*(GMW!$NF$2:$NF$60=Y$1),0),$F328-1966)</f>
        <v>8291.0460000000003</v>
      </c>
      <c r="Z328" s="4" cm="1">
        <f t="array" ref="Z328">INDEX(GMW!$A$2:$NF$60,MATCH(1,(GMW!$NE$2:$NE$60=Z$3)*(GMW!$ND$2:$ND$60=Z$4)*(GMW!$NF$2:$NF$60=Z$1),0),$F328-1966)</f>
        <v>5146.16</v>
      </c>
      <c r="AA328" s="4" cm="1">
        <f t="array" ref="AA328">INDEX(GMW!$A$2:$NF$60,MATCH(1,(GMW!$NE$2:$NE$60=AA$3)*(GMW!$ND$2:$ND$60=AA$4)*(GMW!$NF$2:$NF$60=AA$1),0),$F328-1966)</f>
        <v>7316584</v>
      </c>
      <c r="AB328" s="4" cm="1">
        <f t="array" ref="AB328">INDEX(GMW!$A$2:$NF$60,MATCH(1,(GMW!$NE$2:$NE$60=AB$3)*(GMW!$ND$2:$ND$60=AB$4)*(GMW!$NF$2:$NF$60=AB$1),0),$F328-1966)</f>
        <v>2050200</v>
      </c>
      <c r="AC328" s="4" cm="1">
        <f t="array" ref="AC328">INDEX(GMW!$A$2:$NF$60,MATCH(1,(GMW!$NE$2:$NE$60=AC$3)*(GMW!$ND$2:$ND$60=AC$4)*(GMW!$NF$2:$NF$60=AC$1),0),$F328-1966)</f>
        <v>21044.57</v>
      </c>
      <c r="AD328" s="4" cm="1">
        <f t="array" ref="AD328">INDEX(GMW!$A$2:$NF$60,MATCH(1,(GMW!$NE$2:$NE$60=AD$3)*(GMW!$ND$2:$ND$60=AD$4)*(GMW!$NF$2:$NF$60=AD$1),0),$F328-1966)</f>
        <v>231188.2</v>
      </c>
      <c r="AE328" s="4" cm="1">
        <f t="array" ref="AE328">INDEX(GMW!$A$2:$NF$60,MATCH(1,(GMW!$NE$2:$NE$60=AE$3)*(GMW!$ND$2:$ND$60=AE$4)*(GMW!$NF$2:$NF$60=AE$1),0),$F328-1966)</f>
        <v>2592.3290000000002</v>
      </c>
      <c r="AF328" s="4" cm="1">
        <f t="array" ref="AF328">INDEX(GMW!$A$2:$NF$60,MATCH(1,(GMW!$NE$2:$NE$60=AF$3)*(GMW!$ND$2:$ND$60=AF$4)*(GMW!$NF$2:$NF$60=AF$1),0),$F328-1966)</f>
        <v>1577.4870000000001</v>
      </c>
      <c r="AG328" s="4" cm="1">
        <f t="array" ref="AG328">INDEX(GMW!$A$2:$NF$60,MATCH(1,(GMW!$NE$2:$NE$60=AG$3)*(GMW!$ND$2:$ND$60=AG$4)*(GMW!$NF$2:$NF$60=AG$1),0),$F328-1966)</f>
        <v>1045.3969999999999</v>
      </c>
      <c r="AH328" s="4" cm="1">
        <f t="array" ref="AH328">INDEX(GMW!$A$2:$NF$60,MATCH(1,(GMW!$NE$2:$NE$60=AH$3)*(GMW!$ND$2:$ND$60=AH$4)*(GMW!$NF$2:$NF$60=AH$1),0),$F328-1966)</f>
        <v>2284741</v>
      </c>
    </row>
    <row r="329" spans="1:34" x14ac:dyDescent="0.25">
      <c r="B329" s="4">
        <f t="shared" si="105"/>
        <v>2053</v>
      </c>
      <c r="C329" s="4">
        <f t="shared" si="105"/>
        <v>2053</v>
      </c>
      <c r="F329" s="4">
        <f t="shared" si="101"/>
        <v>2295</v>
      </c>
      <c r="G329" s="4" cm="1">
        <f t="array" ref="G329">INDEX(GMW!$A$2:$NF$60,MATCH(1,(GMW!$NE$2:$NE$60=G$3)*(GMW!$ND$2:$ND$60=G$4)*(GMW!$NF$2:$NF$60=G$1),0),$F329-1966)</f>
        <v>984191</v>
      </c>
      <c r="H329" s="4" cm="1">
        <f t="array" ref="H329">INDEX(GMW!$A$2:$NF$60,MATCH(1,(GMW!$NE$2:$NE$60=H$3)*(GMW!$ND$2:$ND$60=H$4)*(GMW!$NF$2:$NF$60=H$1),0),$F329-1966)</f>
        <v>9793.43</v>
      </c>
      <c r="I329" s="4" cm="1">
        <f t="array" ref="I329">INDEX(GMW!$A$2:$NF$60,MATCH(1,(GMW!$NE$2:$NE$60=I$3)*(GMW!$ND$2:$ND$60=I$4)*(GMW!$NF$2:$NF$60=I$1),0),$F329-1966)</f>
        <v>140223.79999999999</v>
      </c>
      <c r="J329" s="4" cm="1">
        <f t="array" ref="J329">INDEX(GMW!$A$2:$NF$60,MATCH(1,(GMW!$NE$2:$NE$60=J$3)*(GMW!$ND$2:$ND$60=J$4)*(GMW!$NF$2:$NF$60=J$1),0),$F329-1966)</f>
        <v>1176.1969999999999</v>
      </c>
      <c r="K329" s="4" cm="1">
        <f t="array" ref="K329">INDEX(GMW!$A$2:$NF$60,MATCH(1,(GMW!$NE$2:$NE$60=K$3)*(GMW!$ND$2:$ND$60=K$4)*(GMW!$NF$2:$NF$60=K$1),0),$F329-1966)</f>
        <v>795.97029999999995</v>
      </c>
      <c r="L329" s="4" cm="1">
        <f t="array" ref="L329">INDEX(GMW!$A$2:$NF$60,MATCH(1,(GMW!$NE$2:$NE$60=L$3)*(GMW!$ND$2:$ND$60=L$4)*(GMW!$NF$2:$NF$60=L$1),0),$F329-1966)</f>
        <v>530.57449999999994</v>
      </c>
      <c r="M329" s="4" cm="1">
        <f t="array" ref="M329">INDEX(GMW!$A$2:$NF$60,MATCH(1,(GMW!$NE$2:$NE$60=M$3)*(GMW!$ND$2:$ND$60=M$4)*(GMW!$NF$2:$NF$60=M$1),0),$F329-1966)</f>
        <v>1042132</v>
      </c>
      <c r="N329" s="4" cm="1">
        <f t="array" ref="N329">INDEX(GMW!$A$2:$NF$60,MATCH(1,(GMW!$NE$2:$NE$60=N$3)*(GMW!$ND$2:$ND$60=N$4)*(GMW!$NF$2:$NF$60=N$1),0),$F329-1966)</f>
        <v>-71046.5</v>
      </c>
      <c r="O329" s="4" cm="1">
        <f t="array" ref="O329">INDEX(GMW!$A$2:$NF$60,MATCH(1,(GMW!$NE$2:$NE$60=O$3)*(GMW!$ND$2:$ND$60=O$4)*(GMW!$NF$2:$NF$60=O$1),0),$F329-1966)</f>
        <v>-1123.6990000000001</v>
      </c>
      <c r="P329" s="4" cm="1">
        <f t="array" ref="P329">INDEX(GMW!$A$2:$NF$60,MATCH(1,(GMW!$NE$2:$NE$60=P$3)*(GMW!$ND$2:$ND$60=P$4)*(GMW!$NF$2:$NF$60=P$1),0),$F329-1966)</f>
        <v>-2162.1640000000002</v>
      </c>
      <c r="Q329" s="4" cm="1">
        <f t="array" ref="Q329">INDEX(GMW!$A$2:$NF$60,MATCH(1,(GMW!$NE$2:$NE$60=Q$3)*(GMW!$ND$2:$ND$60=Q$4)*(GMW!$NF$2:$NF$60=Q$1),0),$F329-1966)</f>
        <v>-36.833010000000002</v>
      </c>
      <c r="R329" s="4" cm="1">
        <f t="array" ref="R329">INDEX(GMW!$A$2:$NF$60,MATCH(1,(GMW!$NE$2:$NE$60=R$3)*(GMW!$ND$2:$ND$60=R$4)*(GMW!$NF$2:$NF$60=R$1),0),$F329-1966)</f>
        <v>-52.359499999999997</v>
      </c>
      <c r="S329" s="4" cm="1">
        <f t="array" ref="S329">INDEX(GMW!$A$2:$NF$60,MATCH(1,(GMW!$NE$2:$NE$60=S$3)*(GMW!$ND$2:$ND$60=S$4)*(GMW!$NF$2:$NF$60=S$1),0),$F329-1966)</f>
        <v>-18.651309999999999</v>
      </c>
      <c r="T329" s="4" cm="1">
        <f t="array" ref="T329">INDEX(GMW!$A$2:$NF$60,MATCH(1,(GMW!$NE$2:$NE$60=T$3)*(GMW!$ND$2:$ND$60=T$4)*(GMW!$NF$2:$NF$60=T$1),0),$F329-1966)</f>
        <v>-55395.75</v>
      </c>
      <c r="U329" s="4" cm="1">
        <f t="array" ref="U329">INDEX(GMW!$A$2:$NF$60,MATCH(1,(GMW!$NE$2:$NE$60=U$3)*(GMW!$ND$2:$ND$60=U$4)*(GMW!$NF$2:$NF$60=U$1),0),$F329-1966)</f>
        <v>8519672</v>
      </c>
      <c r="V329" s="4" cm="1">
        <f t="array" ref="V329">INDEX(GMW!$A$2:$NF$60,MATCH(1,(GMW!$NE$2:$NE$60=V$3)*(GMW!$ND$2:$ND$60=V$4)*(GMW!$NF$2:$NF$60=V$1),0),$F329-1966)</f>
        <v>149823.6</v>
      </c>
      <c r="W329" s="4" cm="1">
        <f t="array" ref="W329">INDEX(GMW!$A$2:$NF$60,MATCH(1,(GMW!$NE$2:$NE$60=W$3)*(GMW!$ND$2:$ND$60=W$4)*(GMW!$NF$2:$NF$60=W$1),0),$F329-1966)</f>
        <v>1674010</v>
      </c>
      <c r="X329" s="4" cm="1">
        <f t="array" ref="X329">INDEX(GMW!$A$2:$NF$60,MATCH(1,(GMW!$NE$2:$NE$60=X$3)*(GMW!$ND$2:$ND$60=X$4)*(GMW!$NF$2:$NF$60=X$1),0),$F329-1966)</f>
        <v>6078.8919999999998</v>
      </c>
      <c r="Y329" s="4" cm="1">
        <f t="array" ref="Y329">INDEX(GMW!$A$2:$NF$60,MATCH(1,(GMW!$NE$2:$NE$60=Y$3)*(GMW!$ND$2:$ND$60=Y$4)*(GMW!$NF$2:$NF$60=Y$1),0),$F329-1966)</f>
        <v>8343.4050000000007</v>
      </c>
      <c r="Z329" s="4" cm="1">
        <f t="array" ref="Z329">INDEX(GMW!$A$2:$NF$60,MATCH(1,(GMW!$NE$2:$NE$60=Z$3)*(GMW!$ND$2:$ND$60=Z$4)*(GMW!$NF$2:$NF$60=Z$1),0),$F329-1966)</f>
        <v>5164.8119999999999</v>
      </c>
      <c r="AA329" s="4" cm="1">
        <f t="array" ref="AA329">INDEX(GMW!$A$2:$NF$60,MATCH(1,(GMW!$NE$2:$NE$60=AA$3)*(GMW!$ND$2:$ND$60=AA$4)*(GMW!$NF$2:$NF$60=AA$1),0),$F329-1966)</f>
        <v>7371979</v>
      </c>
      <c r="AB329" s="4" cm="1">
        <f t="array" ref="AB329">INDEX(GMW!$A$2:$NF$60,MATCH(1,(GMW!$NE$2:$NE$60=AB$3)*(GMW!$ND$2:$ND$60=AB$4)*(GMW!$NF$2:$NF$60=AB$1),0),$F329-1966)</f>
        <v>2067752</v>
      </c>
      <c r="AC329" s="4" cm="1">
        <f t="array" ref="AC329">INDEX(GMW!$A$2:$NF$60,MATCH(1,(GMW!$NE$2:$NE$60=AC$3)*(GMW!$ND$2:$ND$60=AC$4)*(GMW!$NF$2:$NF$60=AC$1),0),$F329-1966)</f>
        <v>21228.21</v>
      </c>
      <c r="AD329" s="4" cm="1">
        <f t="array" ref="AD329">INDEX(GMW!$A$2:$NF$60,MATCH(1,(GMW!$NE$2:$NE$60=AD$3)*(GMW!$ND$2:$ND$60=AD$4)*(GMW!$NF$2:$NF$60=AD$1),0),$F329-1966)</f>
        <v>232239.4</v>
      </c>
      <c r="AE329" s="4" cm="1">
        <f t="array" ref="AE329">INDEX(GMW!$A$2:$NF$60,MATCH(1,(GMW!$NE$2:$NE$60=AE$3)*(GMW!$ND$2:$ND$60=AE$4)*(GMW!$NF$2:$NF$60=AE$1),0),$F329-1966)</f>
        <v>2609.817</v>
      </c>
      <c r="AF329" s="4" cm="1">
        <f t="array" ref="AF329">INDEX(GMW!$A$2:$NF$60,MATCH(1,(GMW!$NE$2:$NE$60=AF$3)*(GMW!$ND$2:$ND$60=AF$4)*(GMW!$NF$2:$NF$60=AF$1),0),$F329-1966)</f>
        <v>1586.49</v>
      </c>
      <c r="AG329" s="4" cm="1">
        <f t="array" ref="AG329">INDEX(GMW!$A$2:$NF$60,MATCH(1,(GMW!$NE$2:$NE$60=AG$3)*(GMW!$ND$2:$ND$60=AG$4)*(GMW!$NF$2:$NF$60=AG$1),0),$F329-1966)</f>
        <v>1051.5650000000001</v>
      </c>
      <c r="AH329" s="4" cm="1">
        <f t="array" ref="AH329">INDEX(GMW!$A$2:$NF$60,MATCH(1,(GMW!$NE$2:$NE$60=AH$3)*(GMW!$ND$2:$ND$60=AH$4)*(GMW!$NF$2:$NF$60=AH$1),0),$F329-1966)</f>
        <v>2305981</v>
      </c>
    </row>
    <row r="330" spans="1:34" x14ac:dyDescent="0.25">
      <c r="B330" s="4">
        <f t="shared" si="105"/>
        <v>2053</v>
      </c>
      <c r="C330" s="4">
        <f t="shared" si="105"/>
        <v>2053</v>
      </c>
      <c r="E330" s="4">
        <f t="shared" ref="E330" si="109">+E326+1</f>
        <v>2053</v>
      </c>
      <c r="F330" s="4">
        <f t="shared" si="101"/>
        <v>2296</v>
      </c>
      <c r="G330" s="4" cm="1">
        <f t="array" ref="G330">INDEX(GMW!$A$2:$NF$60,MATCH(1,(GMW!$NE$2:$NE$60=G$3)*(GMW!$ND$2:$ND$60=G$4)*(GMW!$NF$2:$NF$60=G$1),0),$F330-1966)</f>
        <v>987328.8</v>
      </c>
      <c r="H330" s="4" cm="1">
        <f t="array" ref="H330">INDEX(GMW!$A$2:$NF$60,MATCH(1,(GMW!$NE$2:$NE$60=H$3)*(GMW!$ND$2:$ND$60=H$4)*(GMW!$NF$2:$NF$60=H$1),0),$F330-1966)</f>
        <v>9831.9840000000004</v>
      </c>
      <c r="I330" s="4" cm="1">
        <f t="array" ref="I330">INDEX(GMW!$A$2:$NF$60,MATCH(1,(GMW!$NE$2:$NE$60=I$3)*(GMW!$ND$2:$ND$60=I$4)*(GMW!$NF$2:$NF$60=I$1),0),$F330-1966)</f>
        <v>140332.9</v>
      </c>
      <c r="J330" s="4" cm="1">
        <f t="array" ref="J330">INDEX(GMW!$A$2:$NF$60,MATCH(1,(GMW!$NE$2:$NE$60=J$3)*(GMW!$ND$2:$ND$60=J$4)*(GMW!$NF$2:$NF$60=J$1),0),$F330-1966)</f>
        <v>1178.2819999999999</v>
      </c>
      <c r="K330" s="4" cm="1">
        <f t="array" ref="K330">INDEX(GMW!$A$2:$NF$60,MATCH(1,(GMW!$NE$2:$NE$60=K$3)*(GMW!$ND$2:$ND$60=K$4)*(GMW!$NF$2:$NF$60=K$1),0),$F330-1966)</f>
        <v>796.55110000000002</v>
      </c>
      <c r="L330" s="4" cm="1">
        <f t="array" ref="L330">INDEX(GMW!$A$2:$NF$60,MATCH(1,(GMW!$NE$2:$NE$60=L$3)*(GMW!$ND$2:$ND$60=L$4)*(GMW!$NF$2:$NF$60=L$1),0),$F330-1966)</f>
        <v>531.04420000000005</v>
      </c>
      <c r="M330" s="4" cm="1">
        <f t="array" ref="M330">INDEX(GMW!$A$2:$NF$60,MATCH(1,(GMW!$NE$2:$NE$60=M$3)*(GMW!$ND$2:$ND$60=M$4)*(GMW!$NF$2:$NF$60=M$1),0),$F330-1966)</f>
        <v>1046669</v>
      </c>
      <c r="N330" s="4" cm="1">
        <f t="array" ref="N330">INDEX(GMW!$A$2:$NF$60,MATCH(1,(GMW!$NE$2:$NE$60=N$3)*(GMW!$ND$2:$ND$60=N$4)*(GMW!$NF$2:$NF$60=N$1),0),$F330-1966)</f>
        <v>-125116.4</v>
      </c>
      <c r="O330" s="4" cm="1">
        <f t="array" ref="O330">INDEX(GMW!$A$2:$NF$60,MATCH(1,(GMW!$NE$2:$NE$60=O$3)*(GMW!$ND$2:$ND$60=O$4)*(GMW!$NF$2:$NF$60=O$1),0),$F330-1966)</f>
        <v>-1122.1110000000001</v>
      </c>
      <c r="P330" s="4" cm="1">
        <f t="array" ref="P330">INDEX(GMW!$A$2:$NF$60,MATCH(1,(GMW!$NE$2:$NE$60=P$3)*(GMW!$ND$2:$ND$60=P$4)*(GMW!$NF$2:$NF$60=P$1),0),$F330-1966)</f>
        <v>-2171.9920000000002</v>
      </c>
      <c r="Q330" s="4" cm="1">
        <f t="array" ref="Q330">INDEX(GMW!$A$2:$NF$60,MATCH(1,(GMW!$NE$2:$NE$60=Q$3)*(GMW!$ND$2:$ND$60=Q$4)*(GMW!$NF$2:$NF$60=Q$1),0),$F330-1966)</f>
        <v>-37.067019999999999</v>
      </c>
      <c r="R330" s="4" cm="1">
        <f t="array" ref="R330">INDEX(GMW!$A$2:$NF$60,MATCH(1,(GMW!$NE$2:$NE$60=R$3)*(GMW!$ND$2:$ND$60=R$4)*(GMW!$NF$2:$NF$60=R$1),0),$F330-1966)</f>
        <v>-52.653199999999998</v>
      </c>
      <c r="S330" s="4" cm="1">
        <f t="array" ref="S330">INDEX(GMW!$A$2:$NF$60,MATCH(1,(GMW!$NE$2:$NE$60=S$3)*(GMW!$ND$2:$ND$60=S$4)*(GMW!$NF$2:$NF$60=S$1),0),$F330-1966)</f>
        <v>-18.761320000000001</v>
      </c>
      <c r="T330" s="4" cm="1">
        <f t="array" ref="T330">INDEX(GMW!$A$2:$NF$60,MATCH(1,(GMW!$NE$2:$NE$60=T$3)*(GMW!$ND$2:$ND$60=T$4)*(GMW!$NF$2:$NF$60=T$1),0),$F330-1966)</f>
        <v>-56083.5</v>
      </c>
      <c r="U330" s="4" cm="1">
        <f t="array" ref="U330">INDEX(GMW!$A$2:$NF$60,MATCH(1,(GMW!$NE$2:$NE$60=U$3)*(GMW!$ND$2:$ND$60=U$4)*(GMW!$NF$2:$NF$60=U$1),0),$F330-1966)</f>
        <v>8644788</v>
      </c>
      <c r="V330" s="4" cm="1">
        <f t="array" ref="V330">INDEX(GMW!$A$2:$NF$60,MATCH(1,(GMW!$NE$2:$NE$60=V$3)*(GMW!$ND$2:$ND$60=V$4)*(GMW!$NF$2:$NF$60=V$1),0),$F330-1966)</f>
        <v>150945.70000000001</v>
      </c>
      <c r="W330" s="4" cm="1">
        <f t="array" ref="W330">INDEX(GMW!$A$2:$NF$60,MATCH(1,(GMW!$NE$2:$NE$60=W$3)*(GMW!$ND$2:$ND$60=W$4)*(GMW!$NF$2:$NF$60=W$1),0),$F330-1966)</f>
        <v>1676182</v>
      </c>
      <c r="X330" s="4" cm="1">
        <f t="array" ref="X330">INDEX(GMW!$A$2:$NF$60,MATCH(1,(GMW!$NE$2:$NE$60=X$3)*(GMW!$ND$2:$ND$60=X$4)*(GMW!$NF$2:$NF$60=X$1),0),$F330-1966)</f>
        <v>6115.9579999999996</v>
      </c>
      <c r="Y330" s="4" cm="1">
        <f t="array" ref="Y330">INDEX(GMW!$A$2:$NF$60,MATCH(1,(GMW!$NE$2:$NE$60=Y$3)*(GMW!$ND$2:$ND$60=Y$4)*(GMW!$NF$2:$NF$60=Y$1),0),$F330-1966)</f>
        <v>8396.0589999999993</v>
      </c>
      <c r="Z330" s="4" cm="1">
        <f t="array" ref="Z330">INDEX(GMW!$A$2:$NF$60,MATCH(1,(GMW!$NE$2:$NE$60=Z$3)*(GMW!$ND$2:$ND$60=Z$4)*(GMW!$NF$2:$NF$60=Z$1),0),$F330-1966)</f>
        <v>5183.5730000000003</v>
      </c>
      <c r="AA330" s="4" cm="1">
        <f t="array" ref="AA330">INDEX(GMW!$A$2:$NF$60,MATCH(1,(GMW!$NE$2:$NE$60=AA$3)*(GMW!$ND$2:$ND$60=AA$4)*(GMW!$NF$2:$NF$60=AA$1),0),$F330-1966)</f>
        <v>7428063</v>
      </c>
      <c r="AB330" s="4" cm="1">
        <f t="array" ref="AB330">INDEX(GMW!$A$2:$NF$60,MATCH(1,(GMW!$NE$2:$NE$60=AB$3)*(GMW!$ND$2:$ND$60=AB$4)*(GMW!$NF$2:$NF$60=AB$1),0),$F330-1966)</f>
        <v>2085443</v>
      </c>
      <c r="AC330" s="4" cm="1">
        <f t="array" ref="AC330">INDEX(GMW!$A$2:$NF$60,MATCH(1,(GMW!$NE$2:$NE$60=AC$3)*(GMW!$ND$2:$ND$60=AC$4)*(GMW!$NF$2:$NF$60=AC$1),0),$F330-1966)</f>
        <v>21413.48</v>
      </c>
      <c r="AD330" s="4" cm="1">
        <f t="array" ref="AD330">INDEX(GMW!$A$2:$NF$60,MATCH(1,(GMW!$NE$2:$NE$60=AD$3)*(GMW!$ND$2:$ND$60=AD$4)*(GMW!$NF$2:$NF$60=AD$1),0),$F330-1966)</f>
        <v>233308.3</v>
      </c>
      <c r="AE330" s="4" cm="1">
        <f t="array" ref="AE330">INDEX(GMW!$A$2:$NF$60,MATCH(1,(GMW!$NE$2:$NE$60=AE$3)*(GMW!$ND$2:$ND$60=AE$4)*(GMW!$NF$2:$NF$60=AE$1),0),$F330-1966)</f>
        <v>2627.415</v>
      </c>
      <c r="AF330" s="4" cm="1">
        <f t="array" ref="AF330">INDEX(GMW!$A$2:$NF$60,MATCH(1,(GMW!$NE$2:$NE$60=AF$3)*(GMW!$ND$2:$ND$60=AF$4)*(GMW!$NF$2:$NF$60=AF$1),0),$F330-1966)</f>
        <v>1595.4970000000001</v>
      </c>
      <c r="AG330" s="4" cm="1">
        <f t="array" ref="AG330">INDEX(GMW!$A$2:$NF$60,MATCH(1,(GMW!$NE$2:$NE$60=AG$3)*(GMW!$ND$2:$ND$60=AG$4)*(GMW!$NF$2:$NF$60=AG$1),0),$F330-1966)</f>
        <v>1057.7380000000001</v>
      </c>
      <c r="AH330" s="4" cm="1">
        <f t="array" ref="AH330">INDEX(GMW!$A$2:$NF$60,MATCH(1,(GMW!$NE$2:$NE$60=AH$3)*(GMW!$ND$2:$ND$60=AH$4)*(GMW!$NF$2:$NF$60=AH$1),0),$F330-1966)</f>
        <v>2327389</v>
      </c>
    </row>
    <row r="331" spans="1:34" x14ac:dyDescent="0.25">
      <c r="A331" s="4">
        <v>2054</v>
      </c>
      <c r="B331" s="4">
        <f t="shared" si="105"/>
        <v>2054</v>
      </c>
      <c r="C331" s="4">
        <f t="shared" si="105"/>
        <v>2053</v>
      </c>
      <c r="D331" s="4">
        <f t="shared" si="105"/>
        <v>2053</v>
      </c>
      <c r="F331" s="4">
        <f t="shared" si="101"/>
        <v>2297</v>
      </c>
      <c r="G331" s="4" cm="1">
        <f t="array" ref="G331">INDEX(GMW!$A$2:$NF$60,MATCH(1,(GMW!$NE$2:$NE$60=G$3)*(GMW!$ND$2:$ND$60=G$4)*(GMW!$NF$2:$NF$60=G$1),0),$F331-1966)</f>
        <v>990471.1</v>
      </c>
      <c r="H331" s="4" cm="1">
        <f t="array" ref="H331">INDEX(GMW!$A$2:$NF$60,MATCH(1,(GMW!$NE$2:$NE$60=H$3)*(GMW!$ND$2:$ND$60=H$4)*(GMW!$NF$2:$NF$60=H$1),0),$F331-1966)</f>
        <v>9870.6540000000005</v>
      </c>
      <c r="I331" s="4" cm="1">
        <f t="array" ref="I331">INDEX(GMW!$A$2:$NF$60,MATCH(1,(GMW!$NE$2:$NE$60=I$3)*(GMW!$ND$2:$ND$60=I$4)*(GMW!$NF$2:$NF$60=I$1),0),$F331-1966)</f>
        <v>140443.6</v>
      </c>
      <c r="J331" s="4" cm="1">
        <f t="array" ref="J331">INDEX(GMW!$A$2:$NF$60,MATCH(1,(GMW!$NE$2:$NE$60=J$3)*(GMW!$ND$2:$ND$60=J$4)*(GMW!$NF$2:$NF$60=J$1),0),$F331-1966)</f>
        <v>1180.2919999999999</v>
      </c>
      <c r="K331" s="4" cm="1">
        <f t="array" ref="K331">INDEX(GMW!$A$2:$NF$60,MATCH(1,(GMW!$NE$2:$NE$60=K$3)*(GMW!$ND$2:$ND$60=K$4)*(GMW!$NF$2:$NF$60=K$1),0),$F331-1966)</f>
        <v>797.06380000000001</v>
      </c>
      <c r="L331" s="4" cm="1">
        <f t="array" ref="L331">INDEX(GMW!$A$2:$NF$60,MATCH(1,(GMW!$NE$2:$NE$60=L$3)*(GMW!$ND$2:$ND$60=L$4)*(GMW!$NF$2:$NF$60=L$1),0),$F331-1966)</f>
        <v>531.52940000000001</v>
      </c>
      <c r="M331" s="4" cm="1">
        <f t="array" ref="M331">INDEX(GMW!$A$2:$NF$60,MATCH(1,(GMW!$NE$2:$NE$60=M$3)*(GMW!$ND$2:$ND$60=M$4)*(GMW!$NF$2:$NF$60=M$1),0),$F331-1966)</f>
        <v>1051204</v>
      </c>
      <c r="N331" s="4" cm="1">
        <f t="array" ref="N331">INDEX(GMW!$A$2:$NF$60,MATCH(1,(GMW!$NE$2:$NE$60=N$3)*(GMW!$ND$2:$ND$60=N$4)*(GMW!$NF$2:$NF$60=N$1),0),$F331-1966)</f>
        <v>-6051.1880000000001</v>
      </c>
      <c r="O331" s="4" cm="1">
        <f t="array" ref="O331">INDEX(GMW!$A$2:$NF$60,MATCH(1,(GMW!$NE$2:$NE$60=O$3)*(GMW!$ND$2:$ND$60=O$4)*(GMW!$NF$2:$NF$60=O$1),0),$F331-1966)</f>
        <v>-1120.402</v>
      </c>
      <c r="P331" s="4" cm="1">
        <f t="array" ref="P331">INDEX(GMW!$A$2:$NF$60,MATCH(1,(GMW!$NE$2:$NE$60=P$3)*(GMW!$ND$2:$ND$60=P$4)*(GMW!$NF$2:$NF$60=P$1),0),$F331-1966)</f>
        <v>-2181.9839999999999</v>
      </c>
      <c r="Q331" s="4" cm="1">
        <f t="array" ref="Q331">INDEX(GMW!$A$2:$NF$60,MATCH(1,(GMW!$NE$2:$NE$60=Q$3)*(GMW!$ND$2:$ND$60=Q$4)*(GMW!$NF$2:$NF$60=Q$1),0),$F331-1966)</f>
        <v>-37.29907</v>
      </c>
      <c r="R331" s="4" cm="1">
        <f t="array" ref="R331">INDEX(GMW!$A$2:$NF$60,MATCH(1,(GMW!$NE$2:$NE$60=R$3)*(GMW!$ND$2:$ND$60=R$4)*(GMW!$NF$2:$NF$60=R$1),0),$F331-1966)</f>
        <v>-52.949339999999999</v>
      </c>
      <c r="S331" s="4" cm="1">
        <f t="array" ref="S331">INDEX(GMW!$A$2:$NF$60,MATCH(1,(GMW!$NE$2:$NE$60=S$3)*(GMW!$ND$2:$ND$60=S$4)*(GMW!$NF$2:$NF$60=S$1),0),$F331-1966)</f>
        <v>-18.871459999999999</v>
      </c>
      <c r="T331" s="4" cm="1">
        <f t="array" ref="T331">INDEX(GMW!$A$2:$NF$60,MATCH(1,(GMW!$NE$2:$NE$60=T$3)*(GMW!$ND$2:$ND$60=T$4)*(GMW!$NF$2:$NF$60=T$1),0),$F331-1966)</f>
        <v>-56695.19</v>
      </c>
      <c r="U331" s="4" cm="1">
        <f t="array" ref="U331">INDEX(GMW!$A$2:$NF$60,MATCH(1,(GMW!$NE$2:$NE$60=U$3)*(GMW!$ND$2:$ND$60=U$4)*(GMW!$NF$2:$NF$60=U$1),0),$F331-1966)</f>
        <v>8650839</v>
      </c>
      <c r="V331" s="4" cm="1">
        <f t="array" ref="V331">INDEX(GMW!$A$2:$NF$60,MATCH(1,(GMW!$NE$2:$NE$60=V$3)*(GMW!$ND$2:$ND$60=V$4)*(GMW!$NF$2:$NF$60=V$1),0),$F331-1966)</f>
        <v>152066.1</v>
      </c>
      <c r="W331" s="4" cm="1">
        <f t="array" ref="W331">INDEX(GMW!$A$2:$NF$60,MATCH(1,(GMW!$NE$2:$NE$60=W$3)*(GMW!$ND$2:$ND$60=W$4)*(GMW!$NF$2:$NF$60=W$1),0),$F331-1966)</f>
        <v>1678364</v>
      </c>
      <c r="X331" s="4" cm="1">
        <f t="array" ref="X331">INDEX(GMW!$A$2:$NF$60,MATCH(1,(GMW!$NE$2:$NE$60=X$3)*(GMW!$ND$2:$ND$60=X$4)*(GMW!$NF$2:$NF$60=X$1),0),$F331-1966)</f>
        <v>6153.2579999999998</v>
      </c>
      <c r="Y331" s="4" cm="1">
        <f t="array" ref="Y331">INDEX(GMW!$A$2:$NF$60,MATCH(1,(GMW!$NE$2:$NE$60=Y$3)*(GMW!$ND$2:$ND$60=Y$4)*(GMW!$NF$2:$NF$60=Y$1),0),$F331-1966)</f>
        <v>8449.0079999999998</v>
      </c>
      <c r="Z331" s="4" cm="1">
        <f t="array" ref="Z331">INDEX(GMW!$A$2:$NF$60,MATCH(1,(GMW!$NE$2:$NE$60=Z$3)*(GMW!$ND$2:$ND$60=Z$4)*(GMW!$NF$2:$NF$60=Z$1),0),$F331-1966)</f>
        <v>5202.4440000000004</v>
      </c>
      <c r="AA331" s="4" cm="1">
        <f t="array" ref="AA331">INDEX(GMW!$A$2:$NF$60,MATCH(1,(GMW!$NE$2:$NE$60=AA$3)*(GMW!$ND$2:$ND$60=AA$4)*(GMW!$NF$2:$NF$60=AA$1),0),$F331-1966)</f>
        <v>7484758</v>
      </c>
      <c r="AB331" s="4" cm="1">
        <f t="array" ref="AB331">INDEX(GMW!$A$2:$NF$60,MATCH(1,(GMW!$NE$2:$NE$60=AB$3)*(GMW!$ND$2:$ND$60=AB$4)*(GMW!$NF$2:$NF$60=AB$1),0),$F331-1966)</f>
        <v>2103273</v>
      </c>
      <c r="AC331" s="4" cm="1">
        <f t="array" ref="AC331">INDEX(GMW!$A$2:$NF$60,MATCH(1,(GMW!$NE$2:$NE$60=AC$3)*(GMW!$ND$2:$ND$60=AC$4)*(GMW!$NF$2:$NF$60=AC$1),0),$F331-1966)</f>
        <v>21600.25</v>
      </c>
      <c r="AD331" s="4" cm="1">
        <f t="array" ref="AD331">INDEX(GMW!$A$2:$NF$60,MATCH(1,(GMW!$NE$2:$NE$60=AD$3)*(GMW!$ND$2:$ND$60=AD$4)*(GMW!$NF$2:$NF$60=AD$1),0),$F331-1966)</f>
        <v>234382.6</v>
      </c>
      <c r="AE331" s="4" cm="1">
        <f t="array" ref="AE331">INDEX(GMW!$A$2:$NF$60,MATCH(1,(GMW!$NE$2:$NE$60=AE$3)*(GMW!$ND$2:$ND$60=AE$4)*(GMW!$NF$2:$NF$60=AE$1),0),$F331-1966)</f>
        <v>2644.9540000000002</v>
      </c>
      <c r="AF331" s="4" cm="1">
        <f t="array" ref="AF331">INDEX(GMW!$A$2:$NF$60,MATCH(1,(GMW!$NE$2:$NE$60=AF$3)*(GMW!$ND$2:$ND$60=AF$4)*(GMW!$NF$2:$NF$60=AF$1),0),$F331-1966)</f>
        <v>1604.4659999999999</v>
      </c>
      <c r="AG331" s="4" cm="1">
        <f t="array" ref="AG331">INDEX(GMW!$A$2:$NF$60,MATCH(1,(GMW!$NE$2:$NE$60=AG$3)*(GMW!$ND$2:$ND$60=AG$4)*(GMW!$NF$2:$NF$60=AG$1),0),$F331-1966)</f>
        <v>1063.9570000000001</v>
      </c>
      <c r="AH331" s="4" cm="1">
        <f t="array" ref="AH331">INDEX(GMW!$A$2:$NF$60,MATCH(1,(GMW!$NE$2:$NE$60=AH$3)*(GMW!$ND$2:$ND$60=AH$4)*(GMW!$NF$2:$NF$60=AH$1),0),$F331-1966)</f>
        <v>2348951</v>
      </c>
    </row>
    <row r="332" spans="1:34" x14ac:dyDescent="0.25">
      <c r="B332" s="4">
        <f t="shared" ref="B332:D347" si="110">+B328+1</f>
        <v>2054</v>
      </c>
      <c r="C332" s="4">
        <f t="shared" si="110"/>
        <v>2054</v>
      </c>
      <c r="F332" s="4">
        <f t="shared" si="101"/>
        <v>2298</v>
      </c>
      <c r="G332" s="4" cm="1">
        <f t="array" ref="G332">INDEX(GMW!$A$2:$NF$60,MATCH(1,(GMW!$NE$2:$NE$60=G$3)*(GMW!$ND$2:$ND$60=G$4)*(GMW!$NF$2:$NF$60=G$1),0),$F332-1966)</f>
        <v>993618</v>
      </c>
      <c r="H332" s="4" cm="1">
        <f t="array" ref="H332">INDEX(GMW!$A$2:$NF$60,MATCH(1,(GMW!$NE$2:$NE$60=H$3)*(GMW!$ND$2:$ND$60=H$4)*(GMW!$NF$2:$NF$60=H$1),0),$F332-1966)</f>
        <v>9909.3619999999992</v>
      </c>
      <c r="I332" s="4" cm="1">
        <f t="array" ref="I332">INDEX(GMW!$A$2:$NF$60,MATCH(1,(GMW!$NE$2:$NE$60=I$3)*(GMW!$ND$2:$ND$60=I$4)*(GMW!$NF$2:$NF$60=I$1),0),$F332-1966)</f>
        <v>140553.29999999999</v>
      </c>
      <c r="J332" s="4" cm="1">
        <f t="array" ref="J332">INDEX(GMW!$A$2:$NF$60,MATCH(1,(GMW!$NE$2:$NE$60=J$3)*(GMW!$ND$2:$ND$60=J$4)*(GMW!$NF$2:$NF$60=J$1),0),$F332-1966)</f>
        <v>1182.3019999999999</v>
      </c>
      <c r="K332" s="4" cm="1">
        <f t="array" ref="K332">INDEX(GMW!$A$2:$NF$60,MATCH(1,(GMW!$NE$2:$NE$60=K$3)*(GMW!$ND$2:$ND$60=K$4)*(GMW!$NF$2:$NF$60=K$1),0),$F332-1966)</f>
        <v>797.7346</v>
      </c>
      <c r="L332" s="4" cm="1">
        <f t="array" ref="L332">INDEX(GMW!$A$2:$NF$60,MATCH(1,(GMW!$NE$2:$NE$60=L$3)*(GMW!$ND$2:$ND$60=L$4)*(GMW!$NF$2:$NF$60=L$1),0),$F332-1966)</f>
        <v>532.01199999999994</v>
      </c>
      <c r="M332" s="4" cm="1">
        <f t="array" ref="M332">INDEX(GMW!$A$2:$NF$60,MATCH(1,(GMW!$NE$2:$NE$60=M$3)*(GMW!$ND$2:$ND$60=M$4)*(GMW!$NF$2:$NF$60=M$1),0),$F332-1966)</f>
        <v>1055739</v>
      </c>
      <c r="N332" s="4" cm="1">
        <f t="array" ref="N332">INDEX(GMW!$A$2:$NF$60,MATCH(1,(GMW!$NE$2:$NE$60=N$3)*(GMW!$ND$2:$ND$60=N$4)*(GMW!$NF$2:$NF$60=N$1),0),$F332-1966)</f>
        <v>-136259.6</v>
      </c>
      <c r="O332" s="4" cm="1">
        <f t="array" ref="O332">INDEX(GMW!$A$2:$NF$60,MATCH(1,(GMW!$NE$2:$NE$60=O$3)*(GMW!$ND$2:$ND$60=O$4)*(GMW!$NF$2:$NF$60=O$1),0),$F332-1966)</f>
        <v>-1118.4870000000001</v>
      </c>
      <c r="P332" s="4" cm="1">
        <f t="array" ref="P332">INDEX(GMW!$A$2:$NF$60,MATCH(1,(GMW!$NE$2:$NE$60=P$3)*(GMW!$ND$2:$ND$60=P$4)*(GMW!$NF$2:$NF$60=P$1),0),$F332-1966)</f>
        <v>-2192.0390000000002</v>
      </c>
      <c r="Q332" s="4" cm="1">
        <f t="array" ref="Q332">INDEX(GMW!$A$2:$NF$60,MATCH(1,(GMW!$NE$2:$NE$60=Q$3)*(GMW!$ND$2:$ND$60=Q$4)*(GMW!$NF$2:$NF$60=Q$1),0),$F332-1966)</f>
        <v>-37.533079999999998</v>
      </c>
      <c r="R332" s="4" cm="1">
        <f t="array" ref="R332">INDEX(GMW!$A$2:$NF$60,MATCH(1,(GMW!$NE$2:$NE$60=R$3)*(GMW!$ND$2:$ND$60=R$4)*(GMW!$NF$2:$NF$60=R$1),0),$F332-1966)</f>
        <v>-53.253169999999997</v>
      </c>
      <c r="S332" s="4" cm="1">
        <f t="array" ref="S332">INDEX(GMW!$A$2:$NF$60,MATCH(1,(GMW!$NE$2:$NE$60=S$3)*(GMW!$ND$2:$ND$60=S$4)*(GMW!$NF$2:$NF$60=S$1),0),$F332-1966)</f>
        <v>-18.982420000000001</v>
      </c>
      <c r="T332" s="4" cm="1">
        <f t="array" ref="T332">INDEX(GMW!$A$2:$NF$60,MATCH(1,(GMW!$NE$2:$NE$60=T$3)*(GMW!$ND$2:$ND$60=T$4)*(GMW!$NF$2:$NF$60=T$1),0),$F332-1966)</f>
        <v>-57205.88</v>
      </c>
      <c r="U332" s="4" cm="1">
        <f t="array" ref="U332">INDEX(GMW!$A$2:$NF$60,MATCH(1,(GMW!$NE$2:$NE$60=U$3)*(GMW!$ND$2:$ND$60=U$4)*(GMW!$NF$2:$NF$60=U$1),0),$F332-1966)</f>
        <v>8787099</v>
      </c>
      <c r="V332" s="4" cm="1">
        <f t="array" ref="V332">INDEX(GMW!$A$2:$NF$60,MATCH(1,(GMW!$NE$2:$NE$60=V$3)*(GMW!$ND$2:$ND$60=V$4)*(GMW!$NF$2:$NF$60=V$1),0),$F332-1966)</f>
        <v>153184.6</v>
      </c>
      <c r="W332" s="4" cm="1">
        <f t="array" ref="W332">INDEX(GMW!$A$2:$NF$60,MATCH(1,(GMW!$NE$2:$NE$60=W$3)*(GMW!$ND$2:$ND$60=W$4)*(GMW!$NF$2:$NF$60=W$1),0),$F332-1966)</f>
        <v>1680556</v>
      </c>
      <c r="X332" s="4" cm="1">
        <f t="array" ref="X332">INDEX(GMW!$A$2:$NF$60,MATCH(1,(GMW!$NE$2:$NE$60=X$3)*(GMW!$ND$2:$ND$60=X$4)*(GMW!$NF$2:$NF$60=X$1),0),$F332-1966)</f>
        <v>6190.7910000000002</v>
      </c>
      <c r="Y332" s="4" cm="1">
        <f t="array" ref="Y332">INDEX(GMW!$A$2:$NF$60,MATCH(1,(GMW!$NE$2:$NE$60=Y$3)*(GMW!$ND$2:$ND$60=Y$4)*(GMW!$NF$2:$NF$60=Y$1),0),$F332-1966)</f>
        <v>8502.2610000000004</v>
      </c>
      <c r="Z332" s="4" cm="1">
        <f t="array" ref="Z332">INDEX(GMW!$A$2:$NF$60,MATCH(1,(GMW!$NE$2:$NE$60=Z$3)*(GMW!$ND$2:$ND$60=Z$4)*(GMW!$NF$2:$NF$60=Z$1),0),$F332-1966)</f>
        <v>5221.4269999999997</v>
      </c>
      <c r="AA332" s="4" cm="1">
        <f t="array" ref="AA332">INDEX(GMW!$A$2:$NF$60,MATCH(1,(GMW!$NE$2:$NE$60=AA$3)*(GMW!$ND$2:$ND$60=AA$4)*(GMW!$NF$2:$NF$60=AA$1),0),$F332-1966)</f>
        <v>7541964</v>
      </c>
      <c r="AB332" s="4" cm="1">
        <f t="array" ref="AB332">INDEX(GMW!$A$2:$NF$60,MATCH(1,(GMW!$NE$2:$NE$60=AB$3)*(GMW!$ND$2:$ND$60=AB$4)*(GMW!$NF$2:$NF$60=AB$1),0),$F332-1966)</f>
        <v>2121243</v>
      </c>
      <c r="AC332" s="4" cm="1">
        <f t="array" ref="AC332">INDEX(GMW!$A$2:$NF$60,MATCH(1,(GMW!$NE$2:$NE$60=AC$3)*(GMW!$ND$2:$ND$60=AC$4)*(GMW!$NF$2:$NF$60=AC$1),0),$F332-1966)</f>
        <v>21788.58</v>
      </c>
      <c r="AD332" s="4" cm="1">
        <f t="array" ref="AD332">INDEX(GMW!$A$2:$NF$60,MATCH(1,(GMW!$NE$2:$NE$60=AD$3)*(GMW!$ND$2:$ND$60=AD$4)*(GMW!$NF$2:$NF$60=AD$1),0),$F332-1966)</f>
        <v>235459.20000000001</v>
      </c>
      <c r="AE332" s="4" cm="1">
        <f t="array" ref="AE332">INDEX(GMW!$A$2:$NF$60,MATCH(1,(GMW!$NE$2:$NE$60=AE$3)*(GMW!$ND$2:$ND$60=AE$4)*(GMW!$NF$2:$NF$60=AE$1),0),$F332-1966)</f>
        <v>2662.6039999999998</v>
      </c>
      <c r="AF332" s="4" cm="1">
        <f t="array" ref="AF332">INDEX(GMW!$A$2:$NF$60,MATCH(1,(GMW!$NE$2:$NE$60=AF$3)*(GMW!$ND$2:$ND$60=AF$4)*(GMW!$NF$2:$NF$60=AF$1),0),$F332-1966)</f>
        <v>1613.7670000000001</v>
      </c>
      <c r="AG332" s="4" cm="1">
        <f t="array" ref="AG332">INDEX(GMW!$A$2:$NF$60,MATCH(1,(GMW!$NE$2:$NE$60=AG$3)*(GMW!$ND$2:$ND$60=AG$4)*(GMW!$NF$2:$NF$60=AG$1),0),$F332-1966)</f>
        <v>1070.252</v>
      </c>
      <c r="AH332" s="4" cm="1">
        <f t="array" ref="AH332">INDEX(GMW!$A$2:$NF$60,MATCH(1,(GMW!$NE$2:$NE$60=AH$3)*(GMW!$ND$2:$ND$60=AH$4)*(GMW!$NF$2:$NF$60=AH$1),0),$F332-1966)</f>
        <v>2370667</v>
      </c>
    </row>
    <row r="333" spans="1:34" x14ac:dyDescent="0.25">
      <c r="B333" s="4">
        <f t="shared" si="110"/>
        <v>2054</v>
      </c>
      <c r="C333" s="4">
        <f t="shared" si="110"/>
        <v>2054</v>
      </c>
      <c r="F333" s="4">
        <f t="shared" si="101"/>
        <v>2299</v>
      </c>
      <c r="G333" s="4" cm="1">
        <f t="array" ref="G333">INDEX(GMW!$A$2:$NF$60,MATCH(1,(GMW!$NE$2:$NE$60=G$3)*(GMW!$ND$2:$ND$60=G$4)*(GMW!$NF$2:$NF$60=G$1),0),$F333-1966)</f>
        <v>996736.1</v>
      </c>
      <c r="H333" s="4" cm="1">
        <f t="array" ref="H333">INDEX(GMW!$A$2:$NF$60,MATCH(1,(GMW!$NE$2:$NE$60=H$3)*(GMW!$ND$2:$ND$60=H$4)*(GMW!$NF$2:$NF$60=H$1),0),$F333-1966)</f>
        <v>9948.2710000000006</v>
      </c>
      <c r="I333" s="4" cm="1">
        <f t="array" ref="I333">INDEX(GMW!$A$2:$NF$60,MATCH(1,(GMW!$NE$2:$NE$60=I$3)*(GMW!$ND$2:$ND$60=I$4)*(GMW!$NF$2:$NF$60=I$1),0),$F333-1966)</f>
        <v>140667.4</v>
      </c>
      <c r="J333" s="4" cm="1">
        <f t="array" ref="J333">INDEX(GMW!$A$2:$NF$60,MATCH(1,(GMW!$NE$2:$NE$60=J$3)*(GMW!$ND$2:$ND$60=J$4)*(GMW!$NF$2:$NF$60=J$1),0),$F333-1966)</f>
        <v>1184.3130000000001</v>
      </c>
      <c r="K333" s="4" cm="1">
        <f t="array" ref="K333">INDEX(GMW!$A$2:$NF$60,MATCH(1,(GMW!$NE$2:$NE$60=K$3)*(GMW!$ND$2:$ND$60=K$4)*(GMW!$NF$2:$NF$60=K$1),0),$F333-1966)</f>
        <v>798.27689999999996</v>
      </c>
      <c r="L333" s="4" cm="1">
        <f t="array" ref="L333">INDEX(GMW!$A$2:$NF$60,MATCH(1,(GMW!$NE$2:$NE$60=L$3)*(GMW!$ND$2:$ND$60=L$4)*(GMW!$NF$2:$NF$60=L$1),0),$F333-1966)</f>
        <v>532.49689999999998</v>
      </c>
      <c r="M333" s="4" cm="1">
        <f t="array" ref="M333">INDEX(GMW!$A$2:$NF$60,MATCH(1,(GMW!$NE$2:$NE$60=M$3)*(GMW!$ND$2:$ND$60=M$4)*(GMW!$NF$2:$NF$60=M$1),0),$F333-1966)</f>
        <v>1060298</v>
      </c>
      <c r="N333" s="4" cm="1">
        <f t="array" ref="N333">INDEX(GMW!$A$2:$NF$60,MATCH(1,(GMW!$NE$2:$NE$60=N$3)*(GMW!$ND$2:$ND$60=N$4)*(GMW!$NF$2:$NF$60=N$1),0),$F333-1966)</f>
        <v>-73507.25</v>
      </c>
      <c r="O333" s="4" cm="1">
        <f t="array" ref="O333">INDEX(GMW!$A$2:$NF$60,MATCH(1,(GMW!$NE$2:$NE$60=O$3)*(GMW!$ND$2:$ND$60=O$4)*(GMW!$NF$2:$NF$60=O$1),0),$F333-1966)</f>
        <v>-1116.441</v>
      </c>
      <c r="P333" s="4" cm="1">
        <f t="array" ref="P333">INDEX(GMW!$A$2:$NF$60,MATCH(1,(GMW!$NE$2:$NE$60=P$3)*(GMW!$ND$2:$ND$60=P$4)*(GMW!$NF$2:$NF$60=P$1),0),$F333-1966)</f>
        <v>-2202.1089999999999</v>
      </c>
      <c r="Q333" s="4" cm="1">
        <f t="array" ref="Q333">INDEX(GMW!$A$2:$NF$60,MATCH(1,(GMW!$NE$2:$NE$60=Q$3)*(GMW!$ND$2:$ND$60=Q$4)*(GMW!$NF$2:$NF$60=Q$1),0),$F333-1966)</f>
        <v>-37.769039999999997</v>
      </c>
      <c r="R333" s="4" cm="1">
        <f t="array" ref="R333">INDEX(GMW!$A$2:$NF$60,MATCH(1,(GMW!$NE$2:$NE$60=R$3)*(GMW!$ND$2:$ND$60=R$4)*(GMW!$NF$2:$NF$60=R$1),0),$F333-1966)</f>
        <v>-53.554630000000003</v>
      </c>
      <c r="S333" s="4" cm="1">
        <f t="array" ref="S333">INDEX(GMW!$A$2:$NF$60,MATCH(1,(GMW!$NE$2:$NE$60=S$3)*(GMW!$ND$2:$ND$60=S$4)*(GMW!$NF$2:$NF$60=S$1),0),$F333-1966)</f>
        <v>-19.094729999999998</v>
      </c>
      <c r="T333" s="4" cm="1">
        <f t="array" ref="T333">INDEX(GMW!$A$2:$NF$60,MATCH(1,(GMW!$NE$2:$NE$60=T$3)*(GMW!$ND$2:$ND$60=T$4)*(GMW!$NF$2:$NF$60=T$1),0),$F333-1966)</f>
        <v>-57535.13</v>
      </c>
      <c r="U333" s="4" cm="1">
        <f t="array" ref="U333">INDEX(GMW!$A$2:$NF$60,MATCH(1,(GMW!$NE$2:$NE$60=U$3)*(GMW!$ND$2:$ND$60=U$4)*(GMW!$NF$2:$NF$60=U$1),0),$F333-1966)</f>
        <v>8860606</v>
      </c>
      <c r="V333" s="4" cm="1">
        <f t="array" ref="V333">INDEX(GMW!$A$2:$NF$60,MATCH(1,(GMW!$NE$2:$NE$60=V$3)*(GMW!$ND$2:$ND$60=V$4)*(GMW!$NF$2:$NF$60=V$1),0),$F333-1966)</f>
        <v>154301</v>
      </c>
      <c r="W333" s="4" cm="1">
        <f t="array" ref="W333">INDEX(GMW!$A$2:$NF$60,MATCH(1,(GMW!$NE$2:$NE$60=W$3)*(GMW!$ND$2:$ND$60=W$4)*(GMW!$NF$2:$NF$60=W$1),0),$F333-1966)</f>
        <v>1682758</v>
      </c>
      <c r="X333" s="4" cm="1">
        <f t="array" ref="X333">INDEX(GMW!$A$2:$NF$60,MATCH(1,(GMW!$NE$2:$NE$60=X$3)*(GMW!$ND$2:$ND$60=X$4)*(GMW!$NF$2:$NF$60=X$1),0),$F333-1966)</f>
        <v>6228.56</v>
      </c>
      <c r="Y333" s="4" cm="1">
        <f t="array" ref="Y333">INDEX(GMW!$A$2:$NF$60,MATCH(1,(GMW!$NE$2:$NE$60=Y$3)*(GMW!$ND$2:$ND$60=Y$4)*(GMW!$NF$2:$NF$60=Y$1),0),$F333-1966)</f>
        <v>8555.8150000000005</v>
      </c>
      <c r="Z333" s="4" cm="1">
        <f t="array" ref="Z333">INDEX(GMW!$A$2:$NF$60,MATCH(1,(GMW!$NE$2:$NE$60=Z$3)*(GMW!$ND$2:$ND$60=Z$4)*(GMW!$NF$2:$NF$60=Z$1),0),$F333-1966)</f>
        <v>5240.5209999999997</v>
      </c>
      <c r="AA333" s="4" cm="1">
        <f t="array" ref="AA333">INDEX(GMW!$A$2:$NF$60,MATCH(1,(GMW!$NE$2:$NE$60=AA$3)*(GMW!$ND$2:$ND$60=AA$4)*(GMW!$NF$2:$NF$60=AA$1),0),$F333-1966)</f>
        <v>7599499</v>
      </c>
      <c r="AB333" s="4" cm="1">
        <f t="array" ref="AB333">INDEX(GMW!$A$2:$NF$60,MATCH(1,(GMW!$NE$2:$NE$60=AB$3)*(GMW!$ND$2:$ND$60=AB$4)*(GMW!$NF$2:$NF$60=AB$1),0),$F333-1966)</f>
        <v>2139285</v>
      </c>
      <c r="AC333" s="4" cm="1">
        <f t="array" ref="AC333">INDEX(GMW!$A$2:$NF$60,MATCH(1,(GMW!$NE$2:$NE$60=AC$3)*(GMW!$ND$2:$ND$60=AC$4)*(GMW!$NF$2:$NF$60=AC$1),0),$F333-1966)</f>
        <v>21978.76</v>
      </c>
      <c r="AD333" s="4" cm="1">
        <f t="array" ref="AD333">INDEX(GMW!$A$2:$NF$60,MATCH(1,(GMW!$NE$2:$NE$60=AD$3)*(GMW!$ND$2:$ND$60=AD$4)*(GMW!$NF$2:$NF$60=AD$1),0),$F333-1966)</f>
        <v>236549.7</v>
      </c>
      <c r="AE333" s="4" cm="1">
        <f t="array" ref="AE333">INDEX(GMW!$A$2:$NF$60,MATCH(1,(GMW!$NE$2:$NE$60=AE$3)*(GMW!$ND$2:$ND$60=AE$4)*(GMW!$NF$2:$NF$60=AE$1),0),$F333-1966)</f>
        <v>2680.3629999999998</v>
      </c>
      <c r="AF333" s="4" cm="1">
        <f t="array" ref="AF333">INDEX(GMW!$A$2:$NF$60,MATCH(1,(GMW!$NE$2:$NE$60=AF$3)*(GMW!$ND$2:$ND$60=AF$4)*(GMW!$NF$2:$NF$60=AF$1),0),$F333-1966)</f>
        <v>1622.829</v>
      </c>
      <c r="AG333" s="4" cm="1">
        <f t="array" ref="AG333">INDEX(GMW!$A$2:$NF$60,MATCH(1,(GMW!$NE$2:$NE$60=AG$3)*(GMW!$ND$2:$ND$60=AG$4)*(GMW!$NF$2:$NF$60=AG$1),0),$F333-1966)</f>
        <v>1076.5909999999999</v>
      </c>
      <c r="AH333" s="4" cm="1">
        <f t="array" ref="AH333">INDEX(GMW!$A$2:$NF$60,MATCH(1,(GMW!$NE$2:$NE$60=AH$3)*(GMW!$ND$2:$ND$60=AH$4)*(GMW!$NF$2:$NF$60=AH$1),0),$F333-1966)</f>
        <v>2392596</v>
      </c>
    </row>
    <row r="334" spans="1:34" x14ac:dyDescent="0.25">
      <c r="B334" s="4">
        <f t="shared" si="110"/>
        <v>2054</v>
      </c>
      <c r="C334" s="4">
        <f t="shared" si="110"/>
        <v>2054</v>
      </c>
      <c r="E334" s="4">
        <f t="shared" ref="E334" si="111">+E330+1</f>
        <v>2054</v>
      </c>
      <c r="F334" s="4">
        <f t="shared" si="101"/>
        <v>2300</v>
      </c>
      <c r="G334" s="4" cm="1">
        <f t="array" ref="G334">INDEX(GMW!$A$2:$NF$60,MATCH(1,(GMW!$NE$2:$NE$60=G$3)*(GMW!$ND$2:$ND$60=G$4)*(GMW!$NF$2:$NF$60=G$1),0),$F334-1966)</f>
        <v>999857.9</v>
      </c>
      <c r="H334" s="4" cm="1">
        <f t="array" ref="H334">INDEX(GMW!$A$2:$NF$60,MATCH(1,(GMW!$NE$2:$NE$60=H$3)*(GMW!$ND$2:$ND$60=H$4)*(GMW!$NF$2:$NF$60=H$1),0),$F334-1966)</f>
        <v>9987.3119999999999</v>
      </c>
      <c r="I334" s="4" cm="1">
        <f t="array" ref="I334">INDEX(GMW!$A$2:$NF$60,MATCH(1,(GMW!$NE$2:$NE$60=I$3)*(GMW!$ND$2:$ND$60=I$4)*(GMW!$NF$2:$NF$60=I$1),0),$F334-1966)</f>
        <v>140786.1</v>
      </c>
      <c r="J334" s="4" cm="1">
        <f t="array" ref="J334">INDEX(GMW!$A$2:$NF$60,MATCH(1,(GMW!$NE$2:$NE$60=J$3)*(GMW!$ND$2:$ND$60=J$4)*(GMW!$NF$2:$NF$60=J$1),0),$F334-1966)</f>
        <v>1186.3219999999999</v>
      </c>
      <c r="K334" s="4" cm="1">
        <f t="array" ref="K334">INDEX(GMW!$A$2:$NF$60,MATCH(1,(GMW!$NE$2:$NE$60=K$3)*(GMW!$ND$2:$ND$60=K$4)*(GMW!$NF$2:$NF$60=K$1),0),$F334-1966)</f>
        <v>798.86339999999996</v>
      </c>
      <c r="L334" s="4" cm="1">
        <f t="array" ref="L334">INDEX(GMW!$A$2:$NF$60,MATCH(1,(GMW!$NE$2:$NE$60=L$3)*(GMW!$ND$2:$ND$60=L$4)*(GMW!$NF$2:$NF$60=L$1),0),$F334-1966)</f>
        <v>532.97990000000004</v>
      </c>
      <c r="M334" s="4" cm="1">
        <f t="array" ref="M334">INDEX(GMW!$A$2:$NF$60,MATCH(1,(GMW!$NE$2:$NE$60=M$3)*(GMW!$ND$2:$ND$60=M$4)*(GMW!$NF$2:$NF$60=M$1),0),$F334-1966)</f>
        <v>1064881</v>
      </c>
      <c r="N334" s="4" cm="1">
        <f t="array" ref="N334">INDEX(GMW!$A$2:$NF$60,MATCH(1,(GMW!$NE$2:$NE$60=N$3)*(GMW!$ND$2:$ND$60=N$4)*(GMW!$NF$2:$NF$60=N$1),0),$F334-1966)</f>
        <v>-129443.3</v>
      </c>
      <c r="O334" s="4" cm="1">
        <f t="array" ref="O334">INDEX(GMW!$A$2:$NF$60,MATCH(1,(GMW!$NE$2:$NE$60=O$3)*(GMW!$ND$2:$ND$60=O$4)*(GMW!$NF$2:$NF$60=O$1),0),$F334-1966)</f>
        <v>-1114.202</v>
      </c>
      <c r="P334" s="4" cm="1">
        <f t="array" ref="P334">INDEX(GMW!$A$2:$NF$60,MATCH(1,(GMW!$NE$2:$NE$60=P$3)*(GMW!$ND$2:$ND$60=P$4)*(GMW!$NF$2:$NF$60=P$1),0),$F334-1966)</f>
        <v>-2212.3049999999998</v>
      </c>
      <c r="Q334" s="4" cm="1">
        <f t="array" ref="Q334">INDEX(GMW!$A$2:$NF$60,MATCH(1,(GMW!$NE$2:$NE$60=Q$3)*(GMW!$ND$2:$ND$60=Q$4)*(GMW!$NF$2:$NF$60=Q$1),0),$F334-1966)</f>
        <v>-38.005000000000003</v>
      </c>
      <c r="R334" s="4" cm="1">
        <f t="array" ref="R334">INDEX(GMW!$A$2:$NF$60,MATCH(1,(GMW!$NE$2:$NE$60=R$3)*(GMW!$ND$2:$ND$60=R$4)*(GMW!$NF$2:$NF$60=R$1),0),$F334-1966)</f>
        <v>-53.856020000000001</v>
      </c>
      <c r="S334" s="4" cm="1">
        <f t="array" ref="S334">INDEX(GMW!$A$2:$NF$60,MATCH(1,(GMW!$NE$2:$NE$60=S$3)*(GMW!$ND$2:$ND$60=S$4)*(GMW!$NF$2:$NF$60=S$1),0),$F334-1966)</f>
        <v>-19.207799999999999</v>
      </c>
      <c r="T334" s="4" cm="1">
        <f t="array" ref="T334">INDEX(GMW!$A$2:$NF$60,MATCH(1,(GMW!$NE$2:$NE$60=T$3)*(GMW!$ND$2:$ND$60=T$4)*(GMW!$NF$2:$NF$60=T$1),0),$F334-1966)</f>
        <v>-58241.25</v>
      </c>
      <c r="U334" s="4" cm="1">
        <f t="array" ref="U334">INDEX(GMW!$A$2:$NF$60,MATCH(1,(GMW!$NE$2:$NE$60=U$3)*(GMW!$ND$2:$ND$60=U$4)*(GMW!$NF$2:$NF$60=U$1),0),$F334-1966)</f>
        <v>8990049</v>
      </c>
      <c r="V334" s="4" cm="1">
        <f t="array" ref="V334">INDEX(GMW!$A$2:$NF$60,MATCH(1,(GMW!$NE$2:$NE$60=V$3)*(GMW!$ND$2:$ND$60=V$4)*(GMW!$NF$2:$NF$60=V$1),0),$F334-1966)</f>
        <v>155415.20000000001</v>
      </c>
      <c r="W334" s="4" cm="1">
        <f t="array" ref="W334">INDEX(GMW!$A$2:$NF$60,MATCH(1,(GMW!$NE$2:$NE$60=W$3)*(GMW!$ND$2:$ND$60=W$4)*(GMW!$NF$2:$NF$60=W$1),0),$F334-1966)</f>
        <v>1684970</v>
      </c>
      <c r="X334" s="4" cm="1">
        <f t="array" ref="X334">INDEX(GMW!$A$2:$NF$60,MATCH(1,(GMW!$NE$2:$NE$60=X$3)*(GMW!$ND$2:$ND$60=X$4)*(GMW!$NF$2:$NF$60=X$1),0),$F334-1966)</f>
        <v>6266.5649999999996</v>
      </c>
      <c r="Y334" s="4" cm="1">
        <f t="array" ref="Y334">INDEX(GMW!$A$2:$NF$60,MATCH(1,(GMW!$NE$2:$NE$60=Y$3)*(GMW!$ND$2:$ND$60=Y$4)*(GMW!$NF$2:$NF$60=Y$1),0),$F334-1966)</f>
        <v>8609.6720000000005</v>
      </c>
      <c r="Z334" s="4" cm="1">
        <f t="array" ref="Z334">INDEX(GMW!$A$2:$NF$60,MATCH(1,(GMW!$NE$2:$NE$60=Z$3)*(GMW!$ND$2:$ND$60=Z$4)*(GMW!$NF$2:$NF$60=Z$1),0),$F334-1966)</f>
        <v>5259.7290000000003</v>
      </c>
      <c r="AA334" s="4" cm="1">
        <f t="array" ref="AA334">INDEX(GMW!$A$2:$NF$60,MATCH(1,(GMW!$NE$2:$NE$60=AA$3)*(GMW!$ND$2:$ND$60=AA$4)*(GMW!$NF$2:$NF$60=AA$1),0),$F334-1966)</f>
        <v>7657740</v>
      </c>
      <c r="AB334" s="4" cm="1">
        <f t="array" ref="AB334">INDEX(GMW!$A$2:$NF$60,MATCH(1,(GMW!$NE$2:$NE$60=AB$3)*(GMW!$ND$2:$ND$60=AB$4)*(GMW!$NF$2:$NF$60=AB$1),0),$F334-1966)</f>
        <v>2157465</v>
      </c>
      <c r="AC334" s="4" cm="1">
        <f t="array" ref="AC334">INDEX(GMW!$A$2:$NF$60,MATCH(1,(GMW!$NE$2:$NE$60=AC$3)*(GMW!$ND$2:$ND$60=AC$4)*(GMW!$NF$2:$NF$60=AC$1),0),$F334-1966)</f>
        <v>22170.58</v>
      </c>
      <c r="AD334" s="4" cm="1">
        <f t="array" ref="AD334">INDEX(GMW!$A$2:$NF$60,MATCH(1,(GMW!$NE$2:$NE$60=AD$3)*(GMW!$ND$2:$ND$60=AD$4)*(GMW!$NF$2:$NF$60=AD$1),0),$F334-1966)</f>
        <v>237653.5</v>
      </c>
      <c r="AE334" s="4" cm="1">
        <f t="array" ref="AE334">INDEX(GMW!$A$2:$NF$60,MATCH(1,(GMW!$NE$2:$NE$60=AE$3)*(GMW!$ND$2:$ND$60=AE$4)*(GMW!$NF$2:$NF$60=AE$1),0),$F334-1966)</f>
        <v>2698.232</v>
      </c>
      <c r="AF334" s="4" cm="1">
        <f t="array" ref="AF334">INDEX(GMW!$A$2:$NF$60,MATCH(1,(GMW!$NE$2:$NE$60=AF$3)*(GMW!$ND$2:$ND$60=AF$4)*(GMW!$NF$2:$NF$60=AF$1),0),$F334-1966)</f>
        <v>1632.0820000000001</v>
      </c>
      <c r="AG334" s="4" cm="1">
        <f t="array" ref="AG334">INDEX(GMW!$A$2:$NF$60,MATCH(1,(GMW!$NE$2:$NE$60=AG$3)*(GMW!$ND$2:$ND$60=AG$4)*(GMW!$NF$2:$NF$60=AG$1),0),$F334-1966)</f>
        <v>1082.9359999999999</v>
      </c>
      <c r="AH334" s="4" cm="1">
        <f t="array" ref="AH334">INDEX(GMW!$A$2:$NF$60,MATCH(1,(GMW!$NE$2:$NE$60=AH$3)*(GMW!$ND$2:$ND$60=AH$4)*(GMW!$NF$2:$NF$60=AH$1),0),$F334-1966)</f>
        <v>2414745</v>
      </c>
    </row>
    <row r="335" spans="1:34" x14ac:dyDescent="0.25">
      <c r="A335" s="4">
        <v>2055</v>
      </c>
      <c r="B335" s="4">
        <f t="shared" si="110"/>
        <v>2055</v>
      </c>
      <c r="C335" s="4">
        <f t="shared" si="110"/>
        <v>2054</v>
      </c>
      <c r="D335" s="4">
        <f t="shared" si="110"/>
        <v>2054</v>
      </c>
      <c r="F335" s="4">
        <f t="shared" si="101"/>
        <v>2301</v>
      </c>
      <c r="G335" s="4" cm="1">
        <f t="array" ref="G335">INDEX(GMW!$A$2:$NF$60,MATCH(1,(GMW!$NE$2:$NE$60=G$3)*(GMW!$ND$2:$ND$60=G$4)*(GMW!$NF$2:$NF$60=G$1),0),$F335-1966)</f>
        <v>1002984</v>
      </c>
      <c r="H335" s="4" cm="1">
        <f t="array" ref="H335">INDEX(GMW!$A$2:$NF$60,MATCH(1,(GMW!$NE$2:$NE$60=H$3)*(GMW!$ND$2:$ND$60=H$4)*(GMW!$NF$2:$NF$60=H$1),0),$F335-1966)</f>
        <v>10026.48</v>
      </c>
      <c r="I335" s="4" cm="1">
        <f t="array" ref="I335">INDEX(GMW!$A$2:$NF$60,MATCH(1,(GMW!$NE$2:$NE$60=I$3)*(GMW!$ND$2:$ND$60=I$4)*(GMW!$NF$2:$NF$60=I$1),0),$F335-1966)</f>
        <v>140905.9</v>
      </c>
      <c r="J335" s="4" cm="1">
        <f t="array" ref="J335">INDEX(GMW!$A$2:$NF$60,MATCH(1,(GMW!$NE$2:$NE$60=J$3)*(GMW!$ND$2:$ND$60=J$4)*(GMW!$NF$2:$NF$60=J$1),0),$F335-1966)</f>
        <v>1188.242</v>
      </c>
      <c r="K335" s="4" cm="1">
        <f t="array" ref="K335">INDEX(GMW!$A$2:$NF$60,MATCH(1,(GMW!$NE$2:$NE$60=K$3)*(GMW!$ND$2:$ND$60=K$4)*(GMW!$NF$2:$NF$60=K$1),0),$F335-1966)</f>
        <v>799.36009999999999</v>
      </c>
      <c r="L335" s="4" cm="1">
        <f t="array" ref="L335">INDEX(GMW!$A$2:$NF$60,MATCH(1,(GMW!$NE$2:$NE$60=L$3)*(GMW!$ND$2:$ND$60=L$4)*(GMW!$NF$2:$NF$60=L$1),0),$F335-1966)</f>
        <v>533.48329999999999</v>
      </c>
      <c r="M335" s="4" cm="1">
        <f t="array" ref="M335">INDEX(GMW!$A$2:$NF$60,MATCH(1,(GMW!$NE$2:$NE$60=M$3)*(GMW!$ND$2:$ND$60=M$4)*(GMW!$NF$2:$NF$60=M$1),0),$F335-1966)</f>
        <v>1069446</v>
      </c>
      <c r="N335" s="4" cm="1">
        <f t="array" ref="N335">INDEX(GMW!$A$2:$NF$60,MATCH(1,(GMW!$NE$2:$NE$60=N$3)*(GMW!$ND$2:$ND$60=N$4)*(GMW!$NF$2:$NF$60=N$1),0),$F335-1966)</f>
        <v>-6268.8130000000001</v>
      </c>
      <c r="O335" s="4" cm="1">
        <f t="array" ref="O335">INDEX(GMW!$A$2:$NF$60,MATCH(1,(GMW!$NE$2:$NE$60=O$3)*(GMW!$ND$2:$ND$60=O$4)*(GMW!$NF$2:$NF$60=O$1),0),$F335-1966)</f>
        <v>-1111.847</v>
      </c>
      <c r="P335" s="4" cm="1">
        <f t="array" ref="P335">INDEX(GMW!$A$2:$NF$60,MATCH(1,(GMW!$NE$2:$NE$60=P$3)*(GMW!$ND$2:$ND$60=P$4)*(GMW!$NF$2:$NF$60=P$1),0),$F335-1966)</f>
        <v>-2222.625</v>
      </c>
      <c r="Q335" s="4" cm="1">
        <f t="array" ref="Q335">INDEX(GMW!$A$2:$NF$60,MATCH(1,(GMW!$NE$2:$NE$60=Q$3)*(GMW!$ND$2:$ND$60=Q$4)*(GMW!$NF$2:$NF$60=Q$1),0),$F335-1966)</f>
        <v>-38.23901</v>
      </c>
      <c r="R335" s="4" cm="1">
        <f t="array" ref="R335">INDEX(GMW!$A$2:$NF$60,MATCH(1,(GMW!$NE$2:$NE$60=R$3)*(GMW!$ND$2:$ND$60=R$4)*(GMW!$NF$2:$NF$60=R$1),0),$F335-1966)</f>
        <v>-54.14911</v>
      </c>
      <c r="S335" s="4" cm="1">
        <f t="array" ref="S335">INDEX(GMW!$A$2:$NF$60,MATCH(1,(GMW!$NE$2:$NE$60=S$3)*(GMW!$ND$2:$ND$60=S$4)*(GMW!$NF$2:$NF$60=S$1),0),$F335-1966)</f>
        <v>-19.320989999999998</v>
      </c>
      <c r="T335" s="4" cm="1">
        <f t="array" ref="T335">INDEX(GMW!$A$2:$NF$60,MATCH(1,(GMW!$NE$2:$NE$60=T$3)*(GMW!$ND$2:$ND$60=T$4)*(GMW!$NF$2:$NF$60=T$1),0),$F335-1966)</f>
        <v>-58885.75</v>
      </c>
      <c r="U335" s="4" cm="1">
        <f t="array" ref="U335">INDEX(GMW!$A$2:$NF$60,MATCH(1,(GMW!$NE$2:$NE$60=U$3)*(GMW!$ND$2:$ND$60=U$4)*(GMW!$NF$2:$NF$60=U$1),0),$F335-1966)</f>
        <v>8996318</v>
      </c>
      <c r="V335" s="4" cm="1">
        <f t="array" ref="V335">INDEX(GMW!$A$2:$NF$60,MATCH(1,(GMW!$NE$2:$NE$60=V$3)*(GMW!$ND$2:$ND$60=V$4)*(GMW!$NF$2:$NF$60=V$1),0),$F335-1966)</f>
        <v>156527.1</v>
      </c>
      <c r="W335" s="4" cm="1">
        <f t="array" ref="W335">INDEX(GMW!$A$2:$NF$60,MATCH(1,(GMW!$NE$2:$NE$60=W$3)*(GMW!$ND$2:$ND$60=W$4)*(GMW!$NF$2:$NF$60=W$1),0),$F335-1966)</f>
        <v>1687193</v>
      </c>
      <c r="X335" s="4" cm="1">
        <f t="array" ref="X335">INDEX(GMW!$A$2:$NF$60,MATCH(1,(GMW!$NE$2:$NE$60=X$3)*(GMW!$ND$2:$ND$60=X$4)*(GMW!$NF$2:$NF$60=X$1),0),$F335-1966)</f>
        <v>6304.8040000000001</v>
      </c>
      <c r="Y335" s="4" cm="1">
        <f t="array" ref="Y335">INDEX(GMW!$A$2:$NF$60,MATCH(1,(GMW!$NE$2:$NE$60=Y$3)*(GMW!$ND$2:$ND$60=Y$4)*(GMW!$NF$2:$NF$60=Y$1),0),$F335-1966)</f>
        <v>8663.8209999999999</v>
      </c>
      <c r="Z335" s="4" cm="1">
        <f t="array" ref="Z335">INDEX(GMW!$A$2:$NF$60,MATCH(1,(GMW!$NE$2:$NE$60=Z$3)*(GMW!$ND$2:$ND$60=Z$4)*(GMW!$NF$2:$NF$60=Z$1),0),$F335-1966)</f>
        <v>5279.05</v>
      </c>
      <c r="AA335" s="4" cm="1">
        <f t="array" ref="AA335">INDEX(GMW!$A$2:$NF$60,MATCH(1,(GMW!$NE$2:$NE$60=AA$3)*(GMW!$ND$2:$ND$60=AA$4)*(GMW!$NF$2:$NF$60=AA$1),0),$F335-1966)</f>
        <v>7716626</v>
      </c>
      <c r="AB335" s="4" cm="1">
        <f t="array" ref="AB335">INDEX(GMW!$A$2:$NF$60,MATCH(1,(GMW!$NE$2:$NE$60=AB$3)*(GMW!$ND$2:$ND$60=AB$4)*(GMW!$NF$2:$NF$60=AB$1),0),$F335-1966)</f>
        <v>2175790</v>
      </c>
      <c r="AC335" s="4" cm="1">
        <f t="array" ref="AC335">INDEX(GMW!$A$2:$NF$60,MATCH(1,(GMW!$NE$2:$NE$60=AC$3)*(GMW!$ND$2:$ND$60=AC$4)*(GMW!$NF$2:$NF$60=AC$1),0),$F335-1966)</f>
        <v>22363.98</v>
      </c>
      <c r="AD335" s="4" cm="1">
        <f t="array" ref="AD335">INDEX(GMW!$A$2:$NF$60,MATCH(1,(GMW!$NE$2:$NE$60=AD$3)*(GMW!$ND$2:$ND$60=AD$4)*(GMW!$NF$2:$NF$60=AD$1),0),$F335-1966)</f>
        <v>238762.4</v>
      </c>
      <c r="AE335" s="4" cm="1">
        <f t="array" ref="AE335">INDEX(GMW!$A$2:$NF$60,MATCH(1,(GMW!$NE$2:$NE$60=AE$3)*(GMW!$ND$2:$ND$60=AE$4)*(GMW!$NF$2:$NF$60=AE$1),0),$F335-1966)</f>
        <v>2716.0059999999999</v>
      </c>
      <c r="AF335" s="4" cm="1">
        <f t="array" ref="AF335">INDEX(GMW!$A$2:$NF$60,MATCH(1,(GMW!$NE$2:$NE$60=AF$3)*(GMW!$ND$2:$ND$60=AF$4)*(GMW!$NF$2:$NF$60=AF$1),0),$F335-1966)</f>
        <v>1641.165</v>
      </c>
      <c r="AG335" s="4" cm="1">
        <f t="array" ref="AG335">INDEX(GMW!$A$2:$NF$60,MATCH(1,(GMW!$NE$2:$NE$60=AG$3)*(GMW!$ND$2:$ND$60=AG$4)*(GMW!$NF$2:$NF$60=AG$1),0),$F335-1966)</f>
        <v>1089.3420000000001</v>
      </c>
      <c r="AH335" s="4" cm="1">
        <f t="array" ref="AH335">INDEX(GMW!$A$2:$NF$60,MATCH(1,(GMW!$NE$2:$NE$60=AH$3)*(GMW!$ND$2:$ND$60=AH$4)*(GMW!$NF$2:$NF$60=AH$1),0),$F335-1966)</f>
        <v>2437019</v>
      </c>
    </row>
    <row r="336" spans="1:34" x14ac:dyDescent="0.25">
      <c r="B336" s="4">
        <f t="shared" si="110"/>
        <v>2055</v>
      </c>
      <c r="C336" s="4">
        <f t="shared" si="110"/>
        <v>2055</v>
      </c>
      <c r="F336" s="4">
        <f t="shared" si="101"/>
        <v>2302</v>
      </c>
      <c r="G336" s="4" cm="1">
        <f t="array" ref="G336">INDEX(GMW!$A$2:$NF$60,MATCH(1,(GMW!$NE$2:$NE$60=G$3)*(GMW!$ND$2:$ND$60=G$4)*(GMW!$NF$2:$NF$60=G$1),0),$F336-1966)</f>
        <v>1006113</v>
      </c>
      <c r="H336" s="4" cm="1">
        <f t="array" ref="H336">INDEX(GMW!$A$2:$NF$60,MATCH(1,(GMW!$NE$2:$NE$60=H$3)*(GMW!$ND$2:$ND$60=H$4)*(GMW!$NF$2:$NF$60=H$1),0),$F336-1966)</f>
        <v>10065.790000000001</v>
      </c>
      <c r="I336" s="4" cm="1">
        <f t="array" ref="I336">INDEX(GMW!$A$2:$NF$60,MATCH(1,(GMW!$NE$2:$NE$60=I$3)*(GMW!$ND$2:$ND$60=I$4)*(GMW!$NF$2:$NF$60=I$1),0),$F336-1966)</f>
        <v>141026.29999999999</v>
      </c>
      <c r="J336" s="4" cm="1">
        <f t="array" ref="J336">INDEX(GMW!$A$2:$NF$60,MATCH(1,(GMW!$NE$2:$NE$60=J$3)*(GMW!$ND$2:$ND$60=J$4)*(GMW!$NF$2:$NF$60=J$1),0),$F336-1966)</f>
        <v>1190.1600000000001</v>
      </c>
      <c r="K336" s="4" cm="1">
        <f t="array" ref="K336">INDEX(GMW!$A$2:$NF$60,MATCH(1,(GMW!$NE$2:$NE$60=K$3)*(GMW!$ND$2:$ND$60=K$4)*(GMW!$NF$2:$NF$60=K$1),0),$F336-1966)</f>
        <v>799.92290000000003</v>
      </c>
      <c r="L336" s="4" cm="1">
        <f t="array" ref="L336">INDEX(GMW!$A$2:$NF$60,MATCH(1,(GMW!$NE$2:$NE$60=L$3)*(GMW!$ND$2:$ND$60=L$4)*(GMW!$NF$2:$NF$60=L$1),0),$F336-1966)</f>
        <v>533.98649999999998</v>
      </c>
      <c r="M336" s="4" cm="1">
        <f t="array" ref="M336">INDEX(GMW!$A$2:$NF$60,MATCH(1,(GMW!$NE$2:$NE$60=M$3)*(GMW!$ND$2:$ND$60=M$4)*(GMW!$NF$2:$NF$60=M$1),0),$F336-1966)</f>
        <v>1074028</v>
      </c>
      <c r="N336" s="4" cm="1">
        <f t="array" ref="N336">INDEX(GMW!$A$2:$NF$60,MATCH(1,(GMW!$NE$2:$NE$60=N$3)*(GMW!$ND$2:$ND$60=N$4)*(GMW!$NF$2:$NF$60=N$1),0),$F336-1966)</f>
        <v>-140949.5</v>
      </c>
      <c r="O336" s="4" cm="1">
        <f t="array" ref="O336">INDEX(GMW!$A$2:$NF$60,MATCH(1,(GMW!$NE$2:$NE$60=O$3)*(GMW!$ND$2:$ND$60=O$4)*(GMW!$NF$2:$NF$60=O$1),0),$F336-1966)</f>
        <v>-1109.2809999999999</v>
      </c>
      <c r="P336" s="4" cm="1">
        <f t="array" ref="P336">INDEX(GMW!$A$2:$NF$60,MATCH(1,(GMW!$NE$2:$NE$60=P$3)*(GMW!$ND$2:$ND$60=P$4)*(GMW!$NF$2:$NF$60=P$1),0),$F336-1966)</f>
        <v>-2233</v>
      </c>
      <c r="Q336" s="4" cm="1">
        <f t="array" ref="Q336">INDEX(GMW!$A$2:$NF$60,MATCH(1,(GMW!$NE$2:$NE$60=Q$3)*(GMW!$ND$2:$ND$60=Q$4)*(GMW!$NF$2:$NF$60=Q$1),0),$F336-1966)</f>
        <v>-38.475949999999997</v>
      </c>
      <c r="R336" s="4" cm="1">
        <f t="array" ref="R336">INDEX(GMW!$A$2:$NF$60,MATCH(1,(GMW!$NE$2:$NE$60=R$3)*(GMW!$ND$2:$ND$60=R$4)*(GMW!$NF$2:$NF$60=R$1),0),$F336-1966)</f>
        <v>-54.46405</v>
      </c>
      <c r="S336" s="4" cm="1">
        <f t="array" ref="S336">INDEX(GMW!$A$2:$NF$60,MATCH(1,(GMW!$NE$2:$NE$60=S$3)*(GMW!$ND$2:$ND$60=S$4)*(GMW!$NF$2:$NF$60=S$1),0),$F336-1966)</f>
        <v>-19.43524</v>
      </c>
      <c r="T336" s="4" cm="1">
        <f t="array" ref="T336">INDEX(GMW!$A$2:$NF$60,MATCH(1,(GMW!$NE$2:$NE$60=T$3)*(GMW!$ND$2:$ND$60=T$4)*(GMW!$NF$2:$NF$60=T$1),0),$F336-1966)</f>
        <v>-59404.06</v>
      </c>
      <c r="U336" s="4" cm="1">
        <f t="array" ref="U336">INDEX(GMW!$A$2:$NF$60,MATCH(1,(GMW!$NE$2:$NE$60=U$3)*(GMW!$ND$2:$ND$60=U$4)*(GMW!$NF$2:$NF$60=U$1),0),$F336-1966)</f>
        <v>9137268</v>
      </c>
      <c r="V336" s="4" cm="1">
        <f t="array" ref="V336">INDEX(GMW!$A$2:$NF$60,MATCH(1,(GMW!$NE$2:$NE$60=V$3)*(GMW!$ND$2:$ND$60=V$4)*(GMW!$NF$2:$NF$60=V$1),0),$F336-1966)</f>
        <v>157636.29999999999</v>
      </c>
      <c r="W336" s="4" cm="1">
        <f t="array" ref="W336">INDEX(GMW!$A$2:$NF$60,MATCH(1,(GMW!$NE$2:$NE$60=W$3)*(GMW!$ND$2:$ND$60=W$4)*(GMW!$NF$2:$NF$60=W$1),0),$F336-1966)</f>
        <v>1689426</v>
      </c>
      <c r="X336" s="4" cm="1">
        <f t="array" ref="X336">INDEX(GMW!$A$2:$NF$60,MATCH(1,(GMW!$NE$2:$NE$60=X$3)*(GMW!$ND$2:$ND$60=X$4)*(GMW!$NF$2:$NF$60=X$1),0),$F336-1966)</f>
        <v>6343.28</v>
      </c>
      <c r="Y336" s="4" cm="1">
        <f t="array" ref="Y336">INDEX(GMW!$A$2:$NF$60,MATCH(1,(GMW!$NE$2:$NE$60=Y$3)*(GMW!$ND$2:$ND$60=Y$4)*(GMW!$NF$2:$NF$60=Y$1),0),$F336-1966)</f>
        <v>8718.2849999999999</v>
      </c>
      <c r="Z336" s="4" cm="1">
        <f t="array" ref="Z336">INDEX(GMW!$A$2:$NF$60,MATCH(1,(GMW!$NE$2:$NE$60=Z$3)*(GMW!$ND$2:$ND$60=Z$4)*(GMW!$NF$2:$NF$60=Z$1),0),$F336-1966)</f>
        <v>5298.4849999999997</v>
      </c>
      <c r="AA336" s="4" cm="1">
        <f t="array" ref="AA336">INDEX(GMW!$A$2:$NF$60,MATCH(1,(GMW!$NE$2:$NE$60=AA$3)*(GMW!$ND$2:$ND$60=AA$4)*(GMW!$NF$2:$NF$60=AA$1),0),$F336-1966)</f>
        <v>7776030</v>
      </c>
      <c r="AB336" s="4" cm="1">
        <f t="array" ref="AB336">INDEX(GMW!$A$2:$NF$60,MATCH(1,(GMW!$NE$2:$NE$60=AB$3)*(GMW!$ND$2:$ND$60=AB$4)*(GMW!$NF$2:$NF$60=AB$1),0),$F336-1966)</f>
        <v>2194254</v>
      </c>
      <c r="AC336" s="4" cm="1">
        <f t="array" ref="AC336">INDEX(GMW!$A$2:$NF$60,MATCH(1,(GMW!$NE$2:$NE$60=AC$3)*(GMW!$ND$2:$ND$60=AC$4)*(GMW!$NF$2:$NF$60=AC$1),0),$F336-1966)</f>
        <v>22559.08</v>
      </c>
      <c r="AD336" s="4" cm="1">
        <f t="array" ref="AD336">INDEX(GMW!$A$2:$NF$60,MATCH(1,(GMW!$NE$2:$NE$60=AD$3)*(GMW!$ND$2:$ND$60=AD$4)*(GMW!$NF$2:$NF$60=AD$1),0),$F336-1966)</f>
        <v>239877.8</v>
      </c>
      <c r="AE336" s="4" cm="1">
        <f t="array" ref="AE336">INDEX(GMW!$A$2:$NF$60,MATCH(1,(GMW!$NE$2:$NE$60=AE$3)*(GMW!$ND$2:$ND$60=AE$4)*(GMW!$NF$2:$NF$60=AE$1),0),$F336-1966)</f>
        <v>2733.8870000000002</v>
      </c>
      <c r="AF336" s="4" cm="1">
        <f t="array" ref="AF336">INDEX(GMW!$A$2:$NF$60,MATCH(1,(GMW!$NE$2:$NE$60=AF$3)*(GMW!$ND$2:$ND$60=AF$4)*(GMW!$NF$2:$NF$60=AF$1),0),$F336-1966)</f>
        <v>1650.482</v>
      </c>
      <c r="AG336" s="4" cm="1">
        <f t="array" ref="AG336">INDEX(GMW!$A$2:$NF$60,MATCH(1,(GMW!$NE$2:$NE$60=AG$3)*(GMW!$ND$2:$ND$60=AG$4)*(GMW!$NF$2:$NF$60=AG$1),0),$F336-1966)</f>
        <v>1095.827</v>
      </c>
      <c r="AH336" s="4" cm="1">
        <f t="array" ref="AH336">INDEX(GMW!$A$2:$NF$60,MATCH(1,(GMW!$NE$2:$NE$60=AH$3)*(GMW!$ND$2:$ND$60=AH$4)*(GMW!$NF$2:$NF$60=AH$1),0),$F336-1966)</f>
        <v>2459487</v>
      </c>
    </row>
    <row r="337" spans="1:34" x14ac:dyDescent="0.25">
      <c r="B337" s="4">
        <f t="shared" si="110"/>
        <v>2055</v>
      </c>
      <c r="C337" s="4">
        <f t="shared" si="110"/>
        <v>2055</v>
      </c>
      <c r="F337" s="4">
        <f t="shared" si="101"/>
        <v>2303</v>
      </c>
      <c r="G337" s="4" cm="1">
        <f t="array" ref="G337">INDEX(GMW!$A$2:$NF$60,MATCH(1,(GMW!$NE$2:$NE$60=G$3)*(GMW!$ND$2:$ND$60=G$4)*(GMW!$NF$2:$NF$60=G$1),0),$F337-1966)</f>
        <v>1009215</v>
      </c>
      <c r="H337" s="4" cm="1">
        <f t="array" ref="H337">INDEX(GMW!$A$2:$NF$60,MATCH(1,(GMW!$NE$2:$NE$60=H$3)*(GMW!$ND$2:$ND$60=H$4)*(GMW!$NF$2:$NF$60=H$1),0),$F337-1966)</f>
        <v>10105.290000000001</v>
      </c>
      <c r="I337" s="4" cm="1">
        <f t="array" ref="I337">INDEX(GMW!$A$2:$NF$60,MATCH(1,(GMW!$NE$2:$NE$60=I$3)*(GMW!$ND$2:$ND$60=I$4)*(GMW!$NF$2:$NF$60=I$1),0),$F337-1966)</f>
        <v>141152.4</v>
      </c>
      <c r="J337" s="4" cm="1">
        <f t="array" ref="J337">INDEX(GMW!$A$2:$NF$60,MATCH(1,(GMW!$NE$2:$NE$60=J$3)*(GMW!$ND$2:$ND$60=J$4)*(GMW!$NF$2:$NF$60=J$1),0),$F337-1966)</f>
        <v>1192.077</v>
      </c>
      <c r="K337" s="4" cm="1">
        <f t="array" ref="K337">INDEX(GMW!$A$2:$NF$60,MATCH(1,(GMW!$NE$2:$NE$60=K$3)*(GMW!$ND$2:$ND$60=K$4)*(GMW!$NF$2:$NF$60=K$1),0),$F337-1966)</f>
        <v>800.47479999999996</v>
      </c>
      <c r="L337" s="4" cm="1">
        <f t="array" ref="L337">INDEX(GMW!$A$2:$NF$60,MATCH(1,(GMW!$NE$2:$NE$60=L$3)*(GMW!$ND$2:$ND$60=L$4)*(GMW!$NF$2:$NF$60=L$1),0),$F337-1966)</f>
        <v>534.49019999999996</v>
      </c>
      <c r="M337" s="4" cm="1">
        <f t="array" ref="M337">INDEX(GMW!$A$2:$NF$60,MATCH(1,(GMW!$NE$2:$NE$60=M$3)*(GMW!$ND$2:$ND$60=M$4)*(GMW!$NF$2:$NF$60=M$1),0),$F337-1966)</f>
        <v>1078636</v>
      </c>
      <c r="N337" s="4" cm="1">
        <f t="array" ref="N337">INDEX(GMW!$A$2:$NF$60,MATCH(1,(GMW!$NE$2:$NE$60=N$3)*(GMW!$ND$2:$ND$60=N$4)*(GMW!$NF$2:$NF$60=N$1),0),$F337-1966)</f>
        <v>-76036.13</v>
      </c>
      <c r="O337" s="4" cm="1">
        <f t="array" ref="O337">INDEX(GMW!$A$2:$NF$60,MATCH(1,(GMW!$NE$2:$NE$60=O$3)*(GMW!$ND$2:$ND$60=O$4)*(GMW!$NF$2:$NF$60=O$1),0),$F337-1966)</f>
        <v>-1106.577</v>
      </c>
      <c r="P337" s="4" cm="1">
        <f t="array" ref="P337">INDEX(GMW!$A$2:$NF$60,MATCH(1,(GMW!$NE$2:$NE$60=P$3)*(GMW!$ND$2:$ND$60=P$4)*(GMW!$NF$2:$NF$60=P$1),0),$F337-1966)</f>
        <v>-2243.4380000000001</v>
      </c>
      <c r="Q337" s="4" cm="1">
        <f t="array" ref="Q337">INDEX(GMW!$A$2:$NF$60,MATCH(1,(GMW!$NE$2:$NE$60=Q$3)*(GMW!$ND$2:$ND$60=Q$4)*(GMW!$NF$2:$NF$60=Q$1),0),$F337-1966)</f>
        <v>-38.713009999999997</v>
      </c>
      <c r="R337" s="4" cm="1">
        <f t="array" ref="R337">INDEX(GMW!$A$2:$NF$60,MATCH(1,(GMW!$NE$2:$NE$60=R$3)*(GMW!$ND$2:$ND$60=R$4)*(GMW!$NF$2:$NF$60=R$1),0),$F337-1966)</f>
        <v>-54.77319</v>
      </c>
      <c r="S337" s="4" cm="1">
        <f t="array" ref="S337">INDEX(GMW!$A$2:$NF$60,MATCH(1,(GMW!$NE$2:$NE$60=S$3)*(GMW!$ND$2:$ND$60=S$4)*(GMW!$NF$2:$NF$60=S$1),0),$F337-1966)</f>
        <v>-19.55097</v>
      </c>
      <c r="T337" s="4" cm="1">
        <f t="array" ref="T337">INDEX(GMW!$A$2:$NF$60,MATCH(1,(GMW!$NE$2:$NE$60=T$3)*(GMW!$ND$2:$ND$60=T$4)*(GMW!$NF$2:$NF$60=T$1),0),$F337-1966)</f>
        <v>-59744.88</v>
      </c>
      <c r="U337" s="4" cm="1">
        <f t="array" ref="U337">INDEX(GMW!$A$2:$NF$60,MATCH(1,(GMW!$NE$2:$NE$60=U$3)*(GMW!$ND$2:$ND$60=U$4)*(GMW!$NF$2:$NF$60=U$1),0),$F337-1966)</f>
        <v>9213304</v>
      </c>
      <c r="V337" s="4" cm="1">
        <f t="array" ref="V337">INDEX(GMW!$A$2:$NF$60,MATCH(1,(GMW!$NE$2:$NE$60=V$3)*(GMW!$ND$2:$ND$60=V$4)*(GMW!$NF$2:$NF$60=V$1),0),$F337-1966)</f>
        <v>158742.9</v>
      </c>
      <c r="W337" s="4" cm="1">
        <f t="array" ref="W337">INDEX(GMW!$A$2:$NF$60,MATCH(1,(GMW!$NE$2:$NE$60=W$3)*(GMW!$ND$2:$ND$60=W$4)*(GMW!$NF$2:$NF$60=W$1),0),$F337-1966)</f>
        <v>1691669</v>
      </c>
      <c r="X337" s="4" cm="1">
        <f t="array" ref="X337">INDEX(GMW!$A$2:$NF$60,MATCH(1,(GMW!$NE$2:$NE$60=X$3)*(GMW!$ND$2:$ND$60=X$4)*(GMW!$NF$2:$NF$60=X$1),0),$F337-1966)</f>
        <v>6381.9930000000004</v>
      </c>
      <c r="Y337" s="4" cm="1">
        <f t="array" ref="Y337">INDEX(GMW!$A$2:$NF$60,MATCH(1,(GMW!$NE$2:$NE$60=Y$3)*(GMW!$ND$2:$ND$60=Y$4)*(GMW!$NF$2:$NF$60=Y$1),0),$F337-1966)</f>
        <v>8773.0589999999993</v>
      </c>
      <c r="Z337" s="4" cm="1">
        <f t="array" ref="Z337">INDEX(GMW!$A$2:$NF$60,MATCH(1,(GMW!$NE$2:$NE$60=Z$3)*(GMW!$ND$2:$ND$60=Z$4)*(GMW!$NF$2:$NF$60=Z$1),0),$F337-1966)</f>
        <v>5318.0360000000001</v>
      </c>
      <c r="AA337" s="4" cm="1">
        <f t="array" ref="AA337">INDEX(GMW!$A$2:$NF$60,MATCH(1,(GMW!$NE$2:$NE$60=AA$3)*(GMW!$ND$2:$ND$60=AA$4)*(GMW!$NF$2:$NF$60=AA$1),0),$F337-1966)</f>
        <v>7835775</v>
      </c>
      <c r="AB337" s="4" cm="1">
        <f t="array" ref="AB337">INDEX(GMW!$A$2:$NF$60,MATCH(1,(GMW!$NE$2:$NE$60=AB$3)*(GMW!$ND$2:$ND$60=AB$4)*(GMW!$NF$2:$NF$60=AB$1),0),$F337-1966)</f>
        <v>2212794</v>
      </c>
      <c r="AC337" s="4" cm="1">
        <f t="array" ref="AC337">INDEX(GMW!$A$2:$NF$60,MATCH(1,(GMW!$NE$2:$NE$60=AC$3)*(GMW!$ND$2:$ND$60=AC$4)*(GMW!$NF$2:$NF$60=AC$1),0),$F337-1966)</f>
        <v>22755.98</v>
      </c>
      <c r="AD337" s="4" cm="1">
        <f t="array" ref="AD337">INDEX(GMW!$A$2:$NF$60,MATCH(1,(GMW!$NE$2:$NE$60=AD$3)*(GMW!$ND$2:$ND$60=AD$4)*(GMW!$NF$2:$NF$60=AD$1),0),$F337-1966)</f>
        <v>241009.7</v>
      </c>
      <c r="AE337" s="4" cm="1">
        <f t="array" ref="AE337">INDEX(GMW!$A$2:$NF$60,MATCH(1,(GMW!$NE$2:$NE$60=AE$3)*(GMW!$ND$2:$ND$60=AE$4)*(GMW!$NF$2:$NF$60=AE$1),0),$F337-1966)</f>
        <v>2751.8760000000002</v>
      </c>
      <c r="AF337" s="4" cm="1">
        <f t="array" ref="AF337">INDEX(GMW!$A$2:$NF$60,MATCH(1,(GMW!$NE$2:$NE$60=AF$3)*(GMW!$ND$2:$ND$60=AF$4)*(GMW!$NF$2:$NF$60=AF$1),0),$F337-1966)</f>
        <v>1659.845</v>
      </c>
      <c r="AG337" s="4" cm="1">
        <f t="array" ref="AG337">INDEX(GMW!$A$2:$NF$60,MATCH(1,(GMW!$NE$2:$NE$60=AG$3)*(GMW!$ND$2:$ND$60=AG$4)*(GMW!$NF$2:$NF$60=AG$1),0),$F337-1966)</f>
        <v>1102.3530000000001</v>
      </c>
      <c r="AH337" s="4" cm="1">
        <f t="array" ref="AH337">INDEX(GMW!$A$2:$NF$60,MATCH(1,(GMW!$NE$2:$NE$60=AH$3)*(GMW!$ND$2:$ND$60=AH$4)*(GMW!$NF$2:$NF$60=AH$1),0),$F337-1966)</f>
        <v>2482175</v>
      </c>
    </row>
    <row r="338" spans="1:34" x14ac:dyDescent="0.25">
      <c r="B338" s="4">
        <f t="shared" si="110"/>
        <v>2055</v>
      </c>
      <c r="C338" s="4">
        <f t="shared" si="110"/>
        <v>2055</v>
      </c>
      <c r="E338" s="4">
        <f t="shared" ref="E338" si="112">+E334+1</f>
        <v>2055</v>
      </c>
      <c r="F338" s="4">
        <f t="shared" si="101"/>
        <v>2304</v>
      </c>
      <c r="G338" s="4" cm="1">
        <f t="array" ref="G338">INDEX(GMW!$A$2:$NF$60,MATCH(1,(GMW!$NE$2:$NE$60=G$3)*(GMW!$ND$2:$ND$60=G$4)*(GMW!$NF$2:$NF$60=G$1),0),$F338-1966)</f>
        <v>1012320</v>
      </c>
      <c r="H338" s="4" cm="1">
        <f t="array" ref="H338">INDEX(GMW!$A$2:$NF$60,MATCH(1,(GMW!$NE$2:$NE$60=H$3)*(GMW!$ND$2:$ND$60=H$4)*(GMW!$NF$2:$NF$60=H$1),0),$F338-1966)</f>
        <v>10144.75</v>
      </c>
      <c r="I338" s="4" cm="1">
        <f t="array" ref="I338">INDEX(GMW!$A$2:$NF$60,MATCH(1,(GMW!$NE$2:$NE$60=I$3)*(GMW!$ND$2:$ND$60=I$4)*(GMW!$NF$2:$NF$60=I$1),0),$F338-1966)</f>
        <v>141283</v>
      </c>
      <c r="J338" s="4" cm="1">
        <f t="array" ref="J338">INDEX(GMW!$A$2:$NF$60,MATCH(1,(GMW!$NE$2:$NE$60=J$3)*(GMW!$ND$2:$ND$60=J$4)*(GMW!$NF$2:$NF$60=J$1),0),$F338-1966)</f>
        <v>1193.9929999999999</v>
      </c>
      <c r="K338" s="4" cm="1">
        <f t="array" ref="K338">INDEX(GMW!$A$2:$NF$60,MATCH(1,(GMW!$NE$2:$NE$60=K$3)*(GMW!$ND$2:$ND$60=K$4)*(GMW!$NF$2:$NF$60=K$1),0),$F338-1966)</f>
        <v>800.93809999999996</v>
      </c>
      <c r="L338" s="4" cm="1">
        <f t="array" ref="L338">INDEX(GMW!$A$2:$NF$60,MATCH(1,(GMW!$NE$2:$NE$60=L$3)*(GMW!$ND$2:$ND$60=L$4)*(GMW!$NF$2:$NF$60=L$1),0),$F338-1966)</f>
        <v>534.99210000000005</v>
      </c>
      <c r="M338" s="4" cm="1">
        <f t="array" ref="M338">INDEX(GMW!$A$2:$NF$60,MATCH(1,(GMW!$NE$2:$NE$60=M$3)*(GMW!$ND$2:$ND$60=M$4)*(GMW!$NF$2:$NF$60=M$1),0),$F338-1966)</f>
        <v>1083273</v>
      </c>
      <c r="N338" s="4" cm="1">
        <f t="array" ref="N338">INDEX(GMW!$A$2:$NF$60,MATCH(1,(GMW!$NE$2:$NE$60=N$3)*(GMW!$ND$2:$ND$60=N$4)*(GMW!$NF$2:$NF$60=N$1),0),$F338-1966)</f>
        <v>-133890.1</v>
      </c>
      <c r="O338" s="4" cm="1">
        <f t="array" ref="O338">INDEX(GMW!$A$2:$NF$60,MATCH(1,(GMW!$NE$2:$NE$60=O$3)*(GMW!$ND$2:$ND$60=O$4)*(GMW!$NF$2:$NF$60=O$1),0),$F338-1966)</f>
        <v>-1103.741</v>
      </c>
      <c r="P338" s="4" cm="1">
        <f t="array" ref="P338">INDEX(GMW!$A$2:$NF$60,MATCH(1,(GMW!$NE$2:$NE$60=P$3)*(GMW!$ND$2:$ND$60=P$4)*(GMW!$NF$2:$NF$60=P$1),0),$F338-1966)</f>
        <v>-2254.0230000000001</v>
      </c>
      <c r="Q338" s="4" cm="1">
        <f t="array" ref="Q338">INDEX(GMW!$A$2:$NF$60,MATCH(1,(GMW!$NE$2:$NE$60=Q$3)*(GMW!$ND$2:$ND$60=Q$4)*(GMW!$NF$2:$NF$60=Q$1),0),$F338-1966)</f>
        <v>-38.951900000000002</v>
      </c>
      <c r="R338" s="4" cm="1">
        <f t="array" ref="R338">INDEX(GMW!$A$2:$NF$60,MATCH(1,(GMW!$NE$2:$NE$60=R$3)*(GMW!$ND$2:$ND$60=R$4)*(GMW!$NF$2:$NF$60=R$1),0),$F338-1966)</f>
        <v>-55.083190000000002</v>
      </c>
      <c r="S338" s="4" cm="1">
        <f t="array" ref="S338">INDEX(GMW!$A$2:$NF$60,MATCH(1,(GMW!$NE$2:$NE$60=S$3)*(GMW!$ND$2:$ND$60=S$4)*(GMW!$NF$2:$NF$60=S$1),0),$F338-1966)</f>
        <v>-19.66742</v>
      </c>
      <c r="T338" s="4" cm="1">
        <f t="array" ref="T338">INDEX(GMW!$A$2:$NF$60,MATCH(1,(GMW!$NE$2:$NE$60=T$3)*(GMW!$ND$2:$ND$60=T$4)*(GMW!$NF$2:$NF$60=T$1),0),$F338-1966)</f>
        <v>-60473.88</v>
      </c>
      <c r="U338" s="4" cm="1">
        <f t="array" ref="U338">INDEX(GMW!$A$2:$NF$60,MATCH(1,(GMW!$NE$2:$NE$60=U$3)*(GMW!$ND$2:$ND$60=U$4)*(GMW!$NF$2:$NF$60=U$1),0),$F338-1966)</f>
        <v>9347194</v>
      </c>
      <c r="V338" s="4" cm="1">
        <f t="array" ref="V338">INDEX(GMW!$A$2:$NF$60,MATCH(1,(GMW!$NE$2:$NE$60=V$3)*(GMW!$ND$2:$ND$60=V$4)*(GMW!$NF$2:$NF$60=V$1),0),$F338-1966)</f>
        <v>159846.70000000001</v>
      </c>
      <c r="W338" s="4" cm="1">
        <f t="array" ref="W338">INDEX(GMW!$A$2:$NF$60,MATCH(1,(GMW!$NE$2:$NE$60=W$3)*(GMW!$ND$2:$ND$60=W$4)*(GMW!$NF$2:$NF$60=W$1),0),$F338-1966)</f>
        <v>1693923</v>
      </c>
      <c r="X338" s="4" cm="1">
        <f t="array" ref="X338">INDEX(GMW!$A$2:$NF$60,MATCH(1,(GMW!$NE$2:$NE$60=X$3)*(GMW!$ND$2:$ND$60=X$4)*(GMW!$NF$2:$NF$60=X$1),0),$F338-1966)</f>
        <v>6420.9440000000004</v>
      </c>
      <c r="Y338" s="4" cm="1">
        <f t="array" ref="Y338">INDEX(GMW!$A$2:$NF$60,MATCH(1,(GMW!$NE$2:$NE$60=Y$3)*(GMW!$ND$2:$ND$60=Y$4)*(GMW!$NF$2:$NF$60=Y$1),0),$F338-1966)</f>
        <v>8828.1419999999998</v>
      </c>
      <c r="Z338" s="4" cm="1">
        <f t="array" ref="Z338">INDEX(GMW!$A$2:$NF$60,MATCH(1,(GMW!$NE$2:$NE$60=Z$3)*(GMW!$ND$2:$ND$60=Z$4)*(GMW!$NF$2:$NF$60=Z$1),0),$F338-1966)</f>
        <v>5337.7039999999997</v>
      </c>
      <c r="AA338" s="4" cm="1">
        <f t="array" ref="AA338">INDEX(GMW!$A$2:$NF$60,MATCH(1,(GMW!$NE$2:$NE$60=AA$3)*(GMW!$ND$2:$ND$60=AA$4)*(GMW!$NF$2:$NF$60=AA$1),0),$F338-1966)</f>
        <v>7896249</v>
      </c>
      <c r="AB338" s="4" cm="1">
        <f t="array" ref="AB338">INDEX(GMW!$A$2:$NF$60,MATCH(1,(GMW!$NE$2:$NE$60=AB$3)*(GMW!$ND$2:$ND$60=AB$4)*(GMW!$NF$2:$NF$60=AB$1),0),$F338-1966)</f>
        <v>2231478</v>
      </c>
      <c r="AC338" s="4" cm="1">
        <f t="array" ref="AC338">INDEX(GMW!$A$2:$NF$60,MATCH(1,(GMW!$NE$2:$NE$60=AC$3)*(GMW!$ND$2:$ND$60=AC$4)*(GMW!$NF$2:$NF$60=AC$1),0),$F338-1966)</f>
        <v>22954.3</v>
      </c>
      <c r="AD338" s="4" cm="1">
        <f t="array" ref="AD338">INDEX(GMW!$A$2:$NF$60,MATCH(1,(GMW!$NE$2:$NE$60=AD$3)*(GMW!$ND$2:$ND$60=AD$4)*(GMW!$NF$2:$NF$60=AD$1),0),$F338-1966)</f>
        <v>242154.4</v>
      </c>
      <c r="AE338" s="4" cm="1">
        <f t="array" ref="AE338">INDEX(GMW!$A$2:$NF$60,MATCH(1,(GMW!$NE$2:$NE$60=AE$3)*(GMW!$ND$2:$ND$60=AE$4)*(GMW!$NF$2:$NF$60=AE$1),0),$F338-1966)</f>
        <v>2769.9740000000002</v>
      </c>
      <c r="AF338" s="4" cm="1">
        <f t="array" ref="AF338">INDEX(GMW!$A$2:$NF$60,MATCH(1,(GMW!$NE$2:$NE$60=AF$3)*(GMW!$ND$2:$ND$60=AF$4)*(GMW!$NF$2:$NF$60=AF$1),0),$F338-1966)</f>
        <v>1669.0429999999999</v>
      </c>
      <c r="AG338" s="4" cm="1">
        <f t="array" ref="AG338">INDEX(GMW!$A$2:$NF$60,MATCH(1,(GMW!$NE$2:$NE$60=AG$3)*(GMW!$ND$2:$ND$60=AG$4)*(GMW!$NF$2:$NF$60=AG$1),0),$F338-1966)</f>
        <v>1108.886</v>
      </c>
      <c r="AH338" s="4" cm="1">
        <f t="array" ref="AH338">INDEX(GMW!$A$2:$NF$60,MATCH(1,(GMW!$NE$2:$NE$60=AH$3)*(GMW!$ND$2:$ND$60=AH$4)*(GMW!$NF$2:$NF$60=AH$1),0),$F338-1966)</f>
        <v>2505093</v>
      </c>
    </row>
    <row r="339" spans="1:34" x14ac:dyDescent="0.25">
      <c r="A339" s="4">
        <v>2056</v>
      </c>
      <c r="B339" s="4">
        <f t="shared" si="110"/>
        <v>2056</v>
      </c>
      <c r="C339" s="4">
        <f t="shared" si="110"/>
        <v>2055</v>
      </c>
      <c r="D339" s="4">
        <f t="shared" si="110"/>
        <v>2055</v>
      </c>
      <c r="F339" s="4">
        <f t="shared" si="101"/>
        <v>2305</v>
      </c>
      <c r="G339" s="4" cm="1">
        <f t="array" ref="G339">INDEX(GMW!$A$2:$NF$60,MATCH(1,(GMW!$NE$2:$NE$60=G$3)*(GMW!$ND$2:$ND$60=G$4)*(GMW!$NF$2:$NF$60=G$1),0),$F339-1966)</f>
        <v>1015429</v>
      </c>
      <c r="H339" s="4" cm="1">
        <f t="array" ref="H339">INDEX(GMW!$A$2:$NF$60,MATCH(1,(GMW!$NE$2:$NE$60=H$3)*(GMW!$ND$2:$ND$60=H$4)*(GMW!$NF$2:$NF$60=H$1),0),$F339-1966)</f>
        <v>10184.549999999999</v>
      </c>
      <c r="I339" s="4" cm="1">
        <f t="array" ref="I339">INDEX(GMW!$A$2:$NF$60,MATCH(1,(GMW!$NE$2:$NE$60=I$3)*(GMW!$ND$2:$ND$60=I$4)*(GMW!$NF$2:$NF$60=I$1),0),$F339-1966)</f>
        <v>141415.6</v>
      </c>
      <c r="J339" s="4" cm="1">
        <f t="array" ref="J339">INDEX(GMW!$A$2:$NF$60,MATCH(1,(GMW!$NE$2:$NE$60=J$3)*(GMW!$ND$2:$ND$60=J$4)*(GMW!$NF$2:$NF$60=J$1),0),$F339-1966)</f>
        <v>1196.0050000000001</v>
      </c>
      <c r="K339" s="4" cm="1">
        <f t="array" ref="K339">INDEX(GMW!$A$2:$NF$60,MATCH(1,(GMW!$NE$2:$NE$60=K$3)*(GMW!$ND$2:$ND$60=K$4)*(GMW!$NF$2:$NF$60=K$1),0),$F339-1966)</f>
        <v>801.49099999999999</v>
      </c>
      <c r="L339" s="4" cm="1">
        <f t="array" ref="L339">INDEX(GMW!$A$2:$NF$60,MATCH(1,(GMW!$NE$2:$NE$60=L$3)*(GMW!$ND$2:$ND$60=L$4)*(GMW!$NF$2:$NF$60=L$1),0),$F339-1966)</f>
        <v>535.52660000000003</v>
      </c>
      <c r="M339" s="4" cm="1">
        <f t="array" ref="M339">INDEX(GMW!$A$2:$NF$60,MATCH(1,(GMW!$NE$2:$NE$60=M$3)*(GMW!$ND$2:$ND$60=M$4)*(GMW!$NF$2:$NF$60=M$1),0),$F339-1966)</f>
        <v>1087856</v>
      </c>
      <c r="N339" s="4" cm="1">
        <f t="array" ref="N339">INDEX(GMW!$A$2:$NF$60,MATCH(1,(GMW!$NE$2:$NE$60=N$3)*(GMW!$ND$2:$ND$60=N$4)*(GMW!$NF$2:$NF$60=N$1),0),$F339-1966)</f>
        <v>-6492.75</v>
      </c>
      <c r="O339" s="4" cm="1">
        <f t="array" ref="O339">INDEX(GMW!$A$2:$NF$60,MATCH(1,(GMW!$NE$2:$NE$60=O$3)*(GMW!$ND$2:$ND$60=O$4)*(GMW!$NF$2:$NF$60=O$1),0),$F339-1966)</f>
        <v>-1100.8209999999999</v>
      </c>
      <c r="P339" s="4" cm="1">
        <f t="array" ref="P339">INDEX(GMW!$A$2:$NF$60,MATCH(1,(GMW!$NE$2:$NE$60=P$3)*(GMW!$ND$2:$ND$60=P$4)*(GMW!$NF$2:$NF$60=P$1),0),$F339-1966)</f>
        <v>-2264.7339999999999</v>
      </c>
      <c r="Q339" s="4" cm="1">
        <f t="array" ref="Q339">INDEX(GMW!$A$2:$NF$60,MATCH(1,(GMW!$NE$2:$NE$60=Q$3)*(GMW!$ND$2:$ND$60=Q$4)*(GMW!$NF$2:$NF$60=Q$1),0),$F339-1966)</f>
        <v>-39.195070000000001</v>
      </c>
      <c r="R339" s="4" cm="1">
        <f t="array" ref="R339">INDEX(GMW!$A$2:$NF$60,MATCH(1,(GMW!$NE$2:$NE$60=R$3)*(GMW!$ND$2:$ND$60=R$4)*(GMW!$NF$2:$NF$60=R$1),0),$F339-1966)</f>
        <v>-55.396729999999998</v>
      </c>
      <c r="S339" s="4" cm="1">
        <f t="array" ref="S339">INDEX(GMW!$A$2:$NF$60,MATCH(1,(GMW!$NE$2:$NE$60=S$3)*(GMW!$ND$2:$ND$60=S$4)*(GMW!$NF$2:$NF$60=S$1),0),$F339-1966)</f>
        <v>-19.783999999999999</v>
      </c>
      <c r="T339" s="4" cm="1">
        <f t="array" ref="T339">INDEX(GMW!$A$2:$NF$60,MATCH(1,(GMW!$NE$2:$NE$60=T$3)*(GMW!$ND$2:$ND$60=T$4)*(GMW!$NF$2:$NF$60=T$1),0),$F339-1966)</f>
        <v>-61156.69</v>
      </c>
      <c r="U339" s="4" cm="1">
        <f t="array" ref="U339">INDEX(GMW!$A$2:$NF$60,MATCH(1,(GMW!$NE$2:$NE$60=U$3)*(GMW!$ND$2:$ND$60=U$4)*(GMW!$NF$2:$NF$60=U$1),0),$F339-1966)</f>
        <v>9353687</v>
      </c>
      <c r="V339" s="4" cm="1">
        <f t="array" ref="V339">INDEX(GMW!$A$2:$NF$60,MATCH(1,(GMW!$NE$2:$NE$60=V$3)*(GMW!$ND$2:$ND$60=V$4)*(GMW!$NF$2:$NF$60=V$1),0),$F339-1966)</f>
        <v>160947.5</v>
      </c>
      <c r="W339" s="4" cm="1">
        <f t="array" ref="W339">INDEX(GMW!$A$2:$NF$60,MATCH(1,(GMW!$NE$2:$NE$60=W$3)*(GMW!$ND$2:$ND$60=W$4)*(GMW!$NF$2:$NF$60=W$1),0),$F339-1966)</f>
        <v>1696188</v>
      </c>
      <c r="X339" s="4" cm="1">
        <f t="array" ref="X339">INDEX(GMW!$A$2:$NF$60,MATCH(1,(GMW!$NE$2:$NE$60=X$3)*(GMW!$ND$2:$ND$60=X$4)*(GMW!$NF$2:$NF$60=X$1),0),$F339-1966)</f>
        <v>6460.14</v>
      </c>
      <c r="Y339" s="4" cm="1">
        <f t="array" ref="Y339">INDEX(GMW!$A$2:$NF$60,MATCH(1,(GMW!$NE$2:$NE$60=Y$3)*(GMW!$ND$2:$ND$60=Y$4)*(GMW!$NF$2:$NF$60=Y$1),0),$F339-1966)</f>
        <v>8883.5380000000005</v>
      </c>
      <c r="Z339" s="4" cm="1">
        <f t="array" ref="Z339">INDEX(GMW!$A$2:$NF$60,MATCH(1,(GMW!$NE$2:$NE$60=Z$3)*(GMW!$ND$2:$ND$60=Z$4)*(GMW!$NF$2:$NF$60=Z$1),0),$F339-1966)</f>
        <v>5357.4880000000003</v>
      </c>
      <c r="AA339" s="4" cm="1">
        <f t="array" ref="AA339">INDEX(GMW!$A$2:$NF$60,MATCH(1,(GMW!$NE$2:$NE$60=AA$3)*(GMW!$ND$2:$ND$60=AA$4)*(GMW!$NF$2:$NF$60=AA$1),0),$F339-1966)</f>
        <v>7957406</v>
      </c>
      <c r="AB339" s="4" cm="1">
        <f t="array" ref="AB339">INDEX(GMW!$A$2:$NF$60,MATCH(1,(GMW!$NE$2:$NE$60=AB$3)*(GMW!$ND$2:$ND$60=AB$4)*(GMW!$NF$2:$NF$60=AB$1),0),$F339-1966)</f>
        <v>2250306</v>
      </c>
      <c r="AC339" s="4" cm="1">
        <f t="array" ref="AC339">INDEX(GMW!$A$2:$NF$60,MATCH(1,(GMW!$NE$2:$NE$60=AC$3)*(GMW!$ND$2:$ND$60=AC$4)*(GMW!$NF$2:$NF$60=AC$1),0),$F339-1966)</f>
        <v>23154.79</v>
      </c>
      <c r="AD339" s="4" cm="1">
        <f t="array" ref="AD339">INDEX(GMW!$A$2:$NF$60,MATCH(1,(GMW!$NE$2:$NE$60=AD$3)*(GMW!$ND$2:$ND$60=AD$4)*(GMW!$NF$2:$NF$60=AD$1),0),$F339-1966)</f>
        <v>243306.3</v>
      </c>
      <c r="AE339" s="4" cm="1">
        <f t="array" ref="AE339">INDEX(GMW!$A$2:$NF$60,MATCH(1,(GMW!$NE$2:$NE$60=AE$3)*(GMW!$ND$2:$ND$60=AE$4)*(GMW!$NF$2:$NF$60=AE$1),0),$F339-1966)</f>
        <v>2788.4050000000002</v>
      </c>
      <c r="AF339" s="4" cm="1">
        <f t="array" ref="AF339">INDEX(GMW!$A$2:$NF$60,MATCH(1,(GMW!$NE$2:$NE$60=AF$3)*(GMW!$ND$2:$ND$60=AF$4)*(GMW!$NF$2:$NF$60=AF$1),0),$F339-1966)</f>
        <v>1678.4770000000001</v>
      </c>
      <c r="AG339" s="4" cm="1">
        <f t="array" ref="AG339">INDEX(GMW!$A$2:$NF$60,MATCH(1,(GMW!$NE$2:$NE$60=AG$3)*(GMW!$ND$2:$ND$60=AG$4)*(GMW!$NF$2:$NF$60=AG$1),0),$F339-1966)</f>
        <v>1115.502</v>
      </c>
      <c r="AH339" s="4" cm="1">
        <f t="array" ref="AH339">INDEX(GMW!$A$2:$NF$60,MATCH(1,(GMW!$NE$2:$NE$60=AH$3)*(GMW!$ND$2:$ND$60=AH$4)*(GMW!$NF$2:$NF$60=AH$1),0),$F339-1966)</f>
        <v>2528067</v>
      </c>
    </row>
    <row r="340" spans="1:34" x14ac:dyDescent="0.25">
      <c r="B340" s="4">
        <f t="shared" si="110"/>
        <v>2056</v>
      </c>
      <c r="C340" s="4">
        <f t="shared" si="110"/>
        <v>2056</v>
      </c>
      <c r="F340" s="4">
        <f t="shared" si="101"/>
        <v>2306</v>
      </c>
      <c r="G340" s="4" cm="1">
        <f t="array" ref="G340">INDEX(GMW!$A$2:$NF$60,MATCH(1,(GMW!$NE$2:$NE$60=G$3)*(GMW!$ND$2:$ND$60=G$4)*(GMW!$NF$2:$NF$60=G$1),0),$F340-1966)</f>
        <v>1018541</v>
      </c>
      <c r="H340" s="4" cm="1">
        <f t="array" ref="H340">INDEX(GMW!$A$2:$NF$60,MATCH(1,(GMW!$NE$2:$NE$60=H$3)*(GMW!$ND$2:$ND$60=H$4)*(GMW!$NF$2:$NF$60=H$1),0),$F340-1966)</f>
        <v>10224.290000000001</v>
      </c>
      <c r="I340" s="4" cm="1">
        <f t="array" ref="I340">INDEX(GMW!$A$2:$NF$60,MATCH(1,(GMW!$NE$2:$NE$60=I$3)*(GMW!$ND$2:$ND$60=I$4)*(GMW!$NF$2:$NF$60=I$1),0),$F340-1966)</f>
        <v>141548.20000000001</v>
      </c>
      <c r="J340" s="4" cm="1">
        <f t="array" ref="J340">INDEX(GMW!$A$2:$NF$60,MATCH(1,(GMW!$NE$2:$NE$60=J$3)*(GMW!$ND$2:$ND$60=J$4)*(GMW!$NF$2:$NF$60=J$1),0),$F340-1966)</f>
        <v>1198.018</v>
      </c>
      <c r="K340" s="4" cm="1">
        <f t="array" ref="K340">INDEX(GMW!$A$2:$NF$60,MATCH(1,(GMW!$NE$2:$NE$60=K$3)*(GMW!$ND$2:$ND$60=K$4)*(GMW!$NF$2:$NF$60=K$1),0),$F340-1966)</f>
        <v>802.05399999999997</v>
      </c>
      <c r="L340" s="4" cm="1">
        <f t="array" ref="L340">INDEX(GMW!$A$2:$NF$60,MATCH(1,(GMW!$NE$2:$NE$60=L$3)*(GMW!$ND$2:$ND$60=L$4)*(GMW!$NF$2:$NF$60=L$1),0),$F340-1966)</f>
        <v>536.06169999999997</v>
      </c>
      <c r="M340" s="4" cm="1">
        <f t="array" ref="M340">INDEX(GMW!$A$2:$NF$60,MATCH(1,(GMW!$NE$2:$NE$60=M$3)*(GMW!$ND$2:$ND$60=M$4)*(GMW!$NF$2:$NF$60=M$1),0),$F340-1966)</f>
        <v>1092519</v>
      </c>
      <c r="N340" s="4" cm="1">
        <f t="array" ref="N340">INDEX(GMW!$A$2:$NF$60,MATCH(1,(GMW!$NE$2:$NE$60=N$3)*(GMW!$ND$2:$ND$60=N$4)*(GMW!$NF$2:$NF$60=N$1),0),$F340-1966)</f>
        <v>-145768.79999999999</v>
      </c>
      <c r="O340" s="4" cm="1">
        <f t="array" ref="O340">INDEX(GMW!$A$2:$NF$60,MATCH(1,(GMW!$NE$2:$NE$60=O$3)*(GMW!$ND$2:$ND$60=O$4)*(GMW!$NF$2:$NF$60=O$1),0),$F340-1966)</f>
        <v>-1097.673</v>
      </c>
      <c r="P340" s="4" cm="1">
        <f t="array" ref="P340">INDEX(GMW!$A$2:$NF$60,MATCH(1,(GMW!$NE$2:$NE$60=P$3)*(GMW!$ND$2:$ND$60=P$4)*(GMW!$NF$2:$NF$60=P$1),0),$F340-1966)</f>
        <v>-2275.5160000000001</v>
      </c>
      <c r="Q340" s="4" cm="1">
        <f t="array" ref="Q340">INDEX(GMW!$A$2:$NF$60,MATCH(1,(GMW!$NE$2:$NE$60=Q$3)*(GMW!$ND$2:$ND$60=Q$4)*(GMW!$NF$2:$NF$60=Q$1),0),$F340-1966)</f>
        <v>-39.438960000000002</v>
      </c>
      <c r="R340" s="4" cm="1">
        <f t="array" ref="R340">INDEX(GMW!$A$2:$NF$60,MATCH(1,(GMW!$NE$2:$NE$60=R$3)*(GMW!$ND$2:$ND$60=R$4)*(GMW!$NF$2:$NF$60=R$1),0),$F340-1966)</f>
        <v>-55.691409999999998</v>
      </c>
      <c r="S340" s="4" cm="1">
        <f t="array" ref="S340">INDEX(GMW!$A$2:$NF$60,MATCH(1,(GMW!$NE$2:$NE$60=S$3)*(GMW!$ND$2:$ND$60=S$4)*(GMW!$NF$2:$NF$60=S$1),0),$F340-1966)</f>
        <v>-19.90204</v>
      </c>
      <c r="T340" s="4" cm="1">
        <f t="array" ref="T340">INDEX(GMW!$A$2:$NF$60,MATCH(1,(GMW!$NE$2:$NE$60=T$3)*(GMW!$ND$2:$ND$60=T$4)*(GMW!$NF$2:$NF$60=T$1),0),$F340-1966)</f>
        <v>-61660.06</v>
      </c>
      <c r="U340" s="4" cm="1">
        <f t="array" ref="U340">INDEX(GMW!$A$2:$NF$60,MATCH(1,(GMW!$NE$2:$NE$60=U$3)*(GMW!$ND$2:$ND$60=U$4)*(GMW!$NF$2:$NF$60=U$1),0),$F340-1966)</f>
        <v>9499456</v>
      </c>
      <c r="V340" s="4" cm="1">
        <f t="array" ref="V340">INDEX(GMW!$A$2:$NF$60,MATCH(1,(GMW!$NE$2:$NE$60=V$3)*(GMW!$ND$2:$ND$60=V$4)*(GMW!$NF$2:$NF$60=V$1),0),$F340-1966)</f>
        <v>162045.20000000001</v>
      </c>
      <c r="W340" s="4" cm="1">
        <f t="array" ref="W340">INDEX(GMW!$A$2:$NF$60,MATCH(1,(GMW!$NE$2:$NE$60=W$3)*(GMW!$ND$2:$ND$60=W$4)*(GMW!$NF$2:$NF$60=W$1),0),$F340-1966)</f>
        <v>1698463</v>
      </c>
      <c r="X340" s="4" cm="1">
        <f t="array" ref="X340">INDEX(GMW!$A$2:$NF$60,MATCH(1,(GMW!$NE$2:$NE$60=X$3)*(GMW!$ND$2:$ND$60=X$4)*(GMW!$NF$2:$NF$60=X$1),0),$F340-1966)</f>
        <v>6499.5789999999997</v>
      </c>
      <c r="Y340" s="4" cm="1">
        <f t="array" ref="Y340">INDEX(GMW!$A$2:$NF$60,MATCH(1,(GMW!$NE$2:$NE$60=Y$3)*(GMW!$ND$2:$ND$60=Y$4)*(GMW!$NF$2:$NF$60=Y$1),0),$F340-1966)</f>
        <v>8939.2289999999994</v>
      </c>
      <c r="Z340" s="4" cm="1">
        <f t="array" ref="Z340">INDEX(GMW!$A$2:$NF$60,MATCH(1,(GMW!$NE$2:$NE$60=Z$3)*(GMW!$ND$2:$ND$60=Z$4)*(GMW!$NF$2:$NF$60=Z$1),0),$F340-1966)</f>
        <v>5377.39</v>
      </c>
      <c r="AA340" s="4" cm="1">
        <f t="array" ref="AA340">INDEX(GMW!$A$2:$NF$60,MATCH(1,(GMW!$NE$2:$NE$60=AA$3)*(GMW!$ND$2:$ND$60=AA$4)*(GMW!$NF$2:$NF$60=AA$1),0),$F340-1966)</f>
        <v>8019066</v>
      </c>
      <c r="AB340" s="4" cm="1">
        <f t="array" ref="AB340">INDEX(GMW!$A$2:$NF$60,MATCH(1,(GMW!$NE$2:$NE$60=AB$3)*(GMW!$ND$2:$ND$60=AB$4)*(GMW!$NF$2:$NF$60=AB$1),0),$F340-1966)</f>
        <v>2269278</v>
      </c>
      <c r="AC340" s="4" cm="1">
        <f t="array" ref="AC340">INDEX(GMW!$A$2:$NF$60,MATCH(1,(GMW!$NE$2:$NE$60=AC$3)*(GMW!$ND$2:$ND$60=AC$4)*(GMW!$NF$2:$NF$60=AC$1),0),$F340-1966)</f>
        <v>23356.720000000001</v>
      </c>
      <c r="AD340" s="4" cm="1">
        <f t="array" ref="AD340">INDEX(GMW!$A$2:$NF$60,MATCH(1,(GMW!$NE$2:$NE$60=AD$3)*(GMW!$ND$2:$ND$60=AD$4)*(GMW!$NF$2:$NF$60=AD$1),0),$F340-1966)</f>
        <v>244463.1</v>
      </c>
      <c r="AE340" s="4" cm="1">
        <f t="array" ref="AE340">INDEX(GMW!$A$2:$NF$60,MATCH(1,(GMW!$NE$2:$NE$60=AE$3)*(GMW!$ND$2:$ND$60=AE$4)*(GMW!$NF$2:$NF$60=AE$1),0),$F340-1966)</f>
        <v>2806.9560000000001</v>
      </c>
      <c r="AF340" s="4" cm="1">
        <f t="array" ref="AF340">INDEX(GMW!$A$2:$NF$60,MATCH(1,(GMW!$NE$2:$NE$60=AF$3)*(GMW!$ND$2:$ND$60=AF$4)*(GMW!$NF$2:$NF$60=AF$1),0),$F340-1966)</f>
        <v>1687.981</v>
      </c>
      <c r="AG340" s="4" cm="1">
        <f t="array" ref="AG340">INDEX(GMW!$A$2:$NF$60,MATCH(1,(GMW!$NE$2:$NE$60=AG$3)*(GMW!$ND$2:$ND$60=AG$4)*(GMW!$NF$2:$NF$60=AG$1),0),$F340-1966)</f>
        <v>1122.2080000000001</v>
      </c>
      <c r="AH340" s="4" cm="1">
        <f t="array" ref="AH340">INDEX(GMW!$A$2:$NF$60,MATCH(1,(GMW!$NE$2:$NE$60=AH$3)*(GMW!$ND$2:$ND$60=AH$4)*(GMW!$NF$2:$NF$60=AH$1),0),$F340-1966)</f>
        <v>2551381</v>
      </c>
    </row>
    <row r="341" spans="1:34" x14ac:dyDescent="0.25">
      <c r="B341" s="4">
        <f t="shared" si="110"/>
        <v>2056</v>
      </c>
      <c r="C341" s="4">
        <f t="shared" si="110"/>
        <v>2056</v>
      </c>
      <c r="F341" s="4">
        <f t="shared" si="101"/>
        <v>2307</v>
      </c>
      <c r="G341" s="4" cm="1">
        <f t="array" ref="G341">INDEX(GMW!$A$2:$NF$60,MATCH(1,(GMW!$NE$2:$NE$60=G$3)*(GMW!$ND$2:$ND$60=G$4)*(GMW!$NF$2:$NF$60=G$1),0),$F341-1966)</f>
        <v>1021655</v>
      </c>
      <c r="H341" s="4" cm="1">
        <f t="array" ref="H341">INDEX(GMW!$A$2:$NF$60,MATCH(1,(GMW!$NE$2:$NE$60=H$3)*(GMW!$ND$2:$ND$60=H$4)*(GMW!$NF$2:$NF$60=H$1),0),$F341-1966)</f>
        <v>10264.299999999999</v>
      </c>
      <c r="I341" s="4" cm="1">
        <f t="array" ref="I341">INDEX(GMW!$A$2:$NF$60,MATCH(1,(GMW!$NE$2:$NE$60=I$3)*(GMW!$ND$2:$ND$60=I$4)*(GMW!$NF$2:$NF$60=I$1),0),$F341-1966)</f>
        <v>141684.5</v>
      </c>
      <c r="J341" s="4" cm="1">
        <f t="array" ref="J341">INDEX(GMW!$A$2:$NF$60,MATCH(1,(GMW!$NE$2:$NE$60=J$3)*(GMW!$ND$2:$ND$60=J$4)*(GMW!$NF$2:$NF$60=J$1),0),$F341-1966)</f>
        <v>1200.0319999999999</v>
      </c>
      <c r="K341" s="4" cm="1">
        <f t="array" ref="K341">INDEX(GMW!$A$2:$NF$60,MATCH(1,(GMW!$NE$2:$NE$60=K$3)*(GMW!$ND$2:$ND$60=K$4)*(GMW!$NF$2:$NF$60=K$1),0),$F341-1966)</f>
        <v>802.59389999999996</v>
      </c>
      <c r="L341" s="4" cm="1">
        <f t="array" ref="L341">INDEX(GMW!$A$2:$NF$60,MATCH(1,(GMW!$NE$2:$NE$60=L$3)*(GMW!$ND$2:$ND$60=L$4)*(GMW!$NF$2:$NF$60=L$1),0),$F341-1966)</f>
        <v>536.59659999999997</v>
      </c>
      <c r="M341" s="4" cm="1">
        <f t="array" ref="M341">INDEX(GMW!$A$2:$NF$60,MATCH(1,(GMW!$NE$2:$NE$60=M$3)*(GMW!$ND$2:$ND$60=M$4)*(GMW!$NF$2:$NF$60=M$1),0),$F341-1966)</f>
        <v>1097225</v>
      </c>
      <c r="N341" s="4" cm="1">
        <f t="array" ref="N341">INDEX(GMW!$A$2:$NF$60,MATCH(1,(GMW!$NE$2:$NE$60=N$3)*(GMW!$ND$2:$ND$60=N$4)*(GMW!$NF$2:$NF$60=N$1),0),$F341-1966)</f>
        <v>-78635.31</v>
      </c>
      <c r="O341" s="4" cm="1">
        <f t="array" ref="O341">INDEX(GMW!$A$2:$NF$60,MATCH(1,(GMW!$NE$2:$NE$60=O$3)*(GMW!$ND$2:$ND$60=O$4)*(GMW!$NF$2:$NF$60=O$1),0),$F341-1966)</f>
        <v>-1094.452</v>
      </c>
      <c r="P341" s="4" cm="1">
        <f t="array" ref="P341">INDEX(GMW!$A$2:$NF$60,MATCH(1,(GMW!$NE$2:$NE$60=P$3)*(GMW!$ND$2:$ND$60=P$4)*(GMW!$NF$2:$NF$60=P$1),0),$F341-1966)</f>
        <v>-2286.3359999999998</v>
      </c>
      <c r="Q341" s="4" cm="1">
        <f t="array" ref="Q341">INDEX(GMW!$A$2:$NF$60,MATCH(1,(GMW!$NE$2:$NE$60=Q$3)*(GMW!$ND$2:$ND$60=Q$4)*(GMW!$NF$2:$NF$60=Q$1),0),$F341-1966)</f>
        <v>-39.68506</v>
      </c>
      <c r="R341" s="4" cm="1">
        <f t="array" ref="R341">INDEX(GMW!$A$2:$NF$60,MATCH(1,(GMW!$NE$2:$NE$60=R$3)*(GMW!$ND$2:$ND$60=R$4)*(GMW!$NF$2:$NF$60=R$1),0),$F341-1966)</f>
        <v>-56.012999999999998</v>
      </c>
      <c r="S341" s="4" cm="1">
        <f t="array" ref="S341">INDEX(GMW!$A$2:$NF$60,MATCH(1,(GMW!$NE$2:$NE$60=S$3)*(GMW!$ND$2:$ND$60=S$4)*(GMW!$NF$2:$NF$60=S$1),0),$F341-1966)</f>
        <v>-20.02167</v>
      </c>
      <c r="T341" s="4" cm="1">
        <f t="array" ref="T341">INDEX(GMW!$A$2:$NF$60,MATCH(1,(GMW!$NE$2:$NE$60=T$3)*(GMW!$ND$2:$ND$60=T$4)*(GMW!$NF$2:$NF$60=T$1),0),$F341-1966)</f>
        <v>-62004.63</v>
      </c>
      <c r="U341" s="4" cm="1">
        <f t="array" ref="U341">INDEX(GMW!$A$2:$NF$60,MATCH(1,(GMW!$NE$2:$NE$60=U$3)*(GMW!$ND$2:$ND$60=U$4)*(GMW!$NF$2:$NF$60=U$1),0),$F341-1966)</f>
        <v>9578091</v>
      </c>
      <c r="V341" s="4" cm="1">
        <f t="array" ref="V341">INDEX(GMW!$A$2:$NF$60,MATCH(1,(GMW!$NE$2:$NE$60=V$3)*(GMW!$ND$2:$ND$60=V$4)*(GMW!$NF$2:$NF$60=V$1),0),$F341-1966)</f>
        <v>163139.6</v>
      </c>
      <c r="W341" s="4" cm="1">
        <f t="array" ref="W341">INDEX(GMW!$A$2:$NF$60,MATCH(1,(GMW!$NE$2:$NE$60=W$3)*(GMW!$ND$2:$ND$60=W$4)*(GMW!$NF$2:$NF$60=W$1),0),$F341-1966)</f>
        <v>1700750</v>
      </c>
      <c r="X341" s="4" cm="1">
        <f t="array" ref="X341">INDEX(GMW!$A$2:$NF$60,MATCH(1,(GMW!$NE$2:$NE$60=X$3)*(GMW!$ND$2:$ND$60=X$4)*(GMW!$NF$2:$NF$60=X$1),0),$F341-1966)</f>
        <v>6539.2640000000001</v>
      </c>
      <c r="Y341" s="4" cm="1">
        <f t="array" ref="Y341">INDEX(GMW!$A$2:$NF$60,MATCH(1,(GMW!$NE$2:$NE$60=Y$3)*(GMW!$ND$2:$ND$60=Y$4)*(GMW!$NF$2:$NF$60=Y$1),0),$F341-1966)</f>
        <v>8995.2420000000002</v>
      </c>
      <c r="Z341" s="4" cm="1">
        <f t="array" ref="Z341">INDEX(GMW!$A$2:$NF$60,MATCH(1,(GMW!$NE$2:$NE$60=Z$3)*(GMW!$ND$2:$ND$60=Z$4)*(GMW!$NF$2:$NF$60=Z$1),0),$F341-1966)</f>
        <v>5397.4110000000001</v>
      </c>
      <c r="AA341" s="4" cm="1">
        <f t="array" ref="AA341">INDEX(GMW!$A$2:$NF$60,MATCH(1,(GMW!$NE$2:$NE$60=AA$3)*(GMW!$ND$2:$ND$60=AA$4)*(GMW!$NF$2:$NF$60=AA$1),0),$F341-1966)</f>
        <v>8081070</v>
      </c>
      <c r="AB341" s="4" cm="1">
        <f t="array" ref="AB341">INDEX(GMW!$A$2:$NF$60,MATCH(1,(GMW!$NE$2:$NE$60=AB$3)*(GMW!$ND$2:$ND$60=AB$4)*(GMW!$NF$2:$NF$60=AB$1),0),$F341-1966)</f>
        <v>2288394</v>
      </c>
      <c r="AC341" s="4" cm="1">
        <f t="array" ref="AC341">INDEX(GMW!$A$2:$NF$60,MATCH(1,(GMW!$NE$2:$NE$60=AC$3)*(GMW!$ND$2:$ND$60=AC$4)*(GMW!$NF$2:$NF$60=AC$1),0),$F341-1966)</f>
        <v>23560.720000000001</v>
      </c>
      <c r="AD341" s="4" cm="1">
        <f t="array" ref="AD341">INDEX(GMW!$A$2:$NF$60,MATCH(1,(GMW!$NE$2:$NE$60=AD$3)*(GMW!$ND$2:$ND$60=AD$4)*(GMW!$NF$2:$NF$60=AD$1),0),$F341-1966)</f>
        <v>245633.2</v>
      </c>
      <c r="AE341" s="4" cm="1">
        <f t="array" ref="AE341">INDEX(GMW!$A$2:$NF$60,MATCH(1,(GMW!$NE$2:$NE$60=AE$3)*(GMW!$ND$2:$ND$60=AE$4)*(GMW!$NF$2:$NF$60=AE$1),0),$F341-1966)</f>
        <v>2825.625</v>
      </c>
      <c r="AF341" s="4" cm="1">
        <f t="array" ref="AF341">INDEX(GMW!$A$2:$NF$60,MATCH(1,(GMW!$NE$2:$NE$60=AF$3)*(GMW!$ND$2:$ND$60=AF$4)*(GMW!$NF$2:$NF$60=AF$1),0),$F341-1966)</f>
        <v>1697.509</v>
      </c>
      <c r="AG341" s="4" cm="1">
        <f t="array" ref="AG341">INDEX(GMW!$A$2:$NF$60,MATCH(1,(GMW!$NE$2:$NE$60=AG$3)*(GMW!$ND$2:$ND$60=AG$4)*(GMW!$NF$2:$NF$60=AG$1),0),$F341-1966)</f>
        <v>1128.953</v>
      </c>
      <c r="AH341" s="4" cm="1">
        <f t="array" ref="AH341">INDEX(GMW!$A$2:$NF$60,MATCH(1,(GMW!$NE$2:$NE$60=AH$3)*(GMW!$ND$2:$ND$60=AH$4)*(GMW!$NF$2:$NF$60=AH$1),0),$F341-1966)</f>
        <v>2574974</v>
      </c>
    </row>
    <row r="342" spans="1:34" x14ac:dyDescent="0.25">
      <c r="B342" s="4">
        <f t="shared" si="110"/>
        <v>2056</v>
      </c>
      <c r="C342" s="4">
        <f t="shared" si="110"/>
        <v>2056</v>
      </c>
      <c r="E342" s="4">
        <f t="shared" ref="E342" si="113">+E338+1</f>
        <v>2056</v>
      </c>
      <c r="F342" s="4">
        <f t="shared" si="101"/>
        <v>2308</v>
      </c>
      <c r="G342" s="4" cm="1">
        <f t="array" ref="G342">INDEX(GMW!$A$2:$NF$60,MATCH(1,(GMW!$NE$2:$NE$60=G$3)*(GMW!$ND$2:$ND$60=G$4)*(GMW!$NF$2:$NF$60=G$1),0),$F342-1966)</f>
        <v>1024772</v>
      </c>
      <c r="H342" s="4" cm="1">
        <f t="array" ref="H342">INDEX(GMW!$A$2:$NF$60,MATCH(1,(GMW!$NE$2:$NE$60=H$3)*(GMW!$ND$2:$ND$60=H$4)*(GMW!$NF$2:$NF$60=H$1),0),$F342-1966)</f>
        <v>10304.48</v>
      </c>
      <c r="I342" s="4" cm="1">
        <f t="array" ref="I342">INDEX(GMW!$A$2:$NF$60,MATCH(1,(GMW!$NE$2:$NE$60=I$3)*(GMW!$ND$2:$ND$60=I$4)*(GMW!$NF$2:$NF$60=I$1),0),$F342-1966)</f>
        <v>141823.79999999999</v>
      </c>
      <c r="J342" s="4" cm="1">
        <f t="array" ref="J342">INDEX(GMW!$A$2:$NF$60,MATCH(1,(GMW!$NE$2:$NE$60=J$3)*(GMW!$ND$2:$ND$60=J$4)*(GMW!$NF$2:$NF$60=J$1),0),$F342-1966)</f>
        <v>1202.048</v>
      </c>
      <c r="K342" s="4" cm="1">
        <f t="array" ref="K342">INDEX(GMW!$A$2:$NF$60,MATCH(1,(GMW!$NE$2:$NE$60=K$3)*(GMW!$ND$2:$ND$60=K$4)*(GMW!$NF$2:$NF$60=K$1),0),$F342-1966)</f>
        <v>803.05790000000002</v>
      </c>
      <c r="L342" s="4" cm="1">
        <f t="array" ref="L342">INDEX(GMW!$A$2:$NF$60,MATCH(1,(GMW!$NE$2:$NE$60=L$3)*(GMW!$ND$2:$ND$60=L$4)*(GMW!$NF$2:$NF$60=L$1),0),$F342-1966)</f>
        <v>537.13149999999996</v>
      </c>
      <c r="M342" s="4" cm="1">
        <f t="array" ref="M342">INDEX(GMW!$A$2:$NF$60,MATCH(1,(GMW!$NE$2:$NE$60=M$3)*(GMW!$ND$2:$ND$60=M$4)*(GMW!$NF$2:$NF$60=M$1),0),$F342-1966)</f>
        <v>1101974</v>
      </c>
      <c r="N342" s="4" cm="1">
        <f t="array" ref="N342">INDEX(GMW!$A$2:$NF$60,MATCH(1,(GMW!$NE$2:$NE$60=N$3)*(GMW!$ND$2:$ND$60=N$4)*(GMW!$NF$2:$NF$60=N$1),0),$F342-1966)</f>
        <v>-138463.6</v>
      </c>
      <c r="O342" s="4" cm="1">
        <f t="array" ref="O342">INDEX(GMW!$A$2:$NF$60,MATCH(1,(GMW!$NE$2:$NE$60=O$3)*(GMW!$ND$2:$ND$60=O$4)*(GMW!$NF$2:$NF$60=O$1),0),$F342-1966)</f>
        <v>-1091.088</v>
      </c>
      <c r="P342" s="4" cm="1">
        <f t="array" ref="P342">INDEX(GMW!$A$2:$NF$60,MATCH(1,(GMW!$NE$2:$NE$60=P$3)*(GMW!$ND$2:$ND$60=P$4)*(GMW!$NF$2:$NF$60=P$1),0),$F342-1966)</f>
        <v>-2297.2809999999999</v>
      </c>
      <c r="Q342" s="4" cm="1">
        <f t="array" ref="Q342">INDEX(GMW!$A$2:$NF$60,MATCH(1,(GMW!$NE$2:$NE$60=Q$3)*(GMW!$ND$2:$ND$60=Q$4)*(GMW!$NF$2:$NF$60=Q$1),0),$F342-1966)</f>
        <v>-39.93103</v>
      </c>
      <c r="R342" s="4" cm="1">
        <f t="array" ref="R342">INDEX(GMW!$A$2:$NF$60,MATCH(1,(GMW!$NE$2:$NE$60=R$3)*(GMW!$ND$2:$ND$60=R$4)*(GMW!$NF$2:$NF$60=R$1),0),$F342-1966)</f>
        <v>-56.333500000000001</v>
      </c>
      <c r="S342" s="4" cm="1">
        <f t="array" ref="S342">INDEX(GMW!$A$2:$NF$60,MATCH(1,(GMW!$NE$2:$NE$60=S$3)*(GMW!$ND$2:$ND$60=S$4)*(GMW!$NF$2:$NF$60=S$1),0),$F342-1966)</f>
        <v>-20.142029999999998</v>
      </c>
      <c r="T342" s="4" cm="1">
        <f t="array" ref="T342">INDEX(GMW!$A$2:$NF$60,MATCH(1,(GMW!$NE$2:$NE$60=T$3)*(GMW!$ND$2:$ND$60=T$4)*(GMW!$NF$2:$NF$60=T$1),0),$F342-1966)</f>
        <v>-62754.69</v>
      </c>
      <c r="U342" s="4" cm="1">
        <f t="array" ref="U342">INDEX(GMW!$A$2:$NF$60,MATCH(1,(GMW!$NE$2:$NE$60=U$3)*(GMW!$ND$2:$ND$60=U$4)*(GMW!$NF$2:$NF$60=U$1),0),$F342-1966)</f>
        <v>9716555</v>
      </c>
      <c r="V342" s="4" cm="1">
        <f t="array" ref="V342">INDEX(GMW!$A$2:$NF$60,MATCH(1,(GMW!$NE$2:$NE$60=V$3)*(GMW!$ND$2:$ND$60=V$4)*(GMW!$NF$2:$NF$60=V$1),0),$F342-1966)</f>
        <v>164230.70000000001</v>
      </c>
      <c r="W342" s="4" cm="1">
        <f t="array" ref="W342">INDEX(GMW!$A$2:$NF$60,MATCH(1,(GMW!$NE$2:$NE$60=W$3)*(GMW!$ND$2:$ND$60=W$4)*(GMW!$NF$2:$NF$60=W$1),0),$F342-1966)</f>
        <v>1703047</v>
      </c>
      <c r="X342" s="4" cm="1">
        <f t="array" ref="X342">INDEX(GMW!$A$2:$NF$60,MATCH(1,(GMW!$NE$2:$NE$60=X$3)*(GMW!$ND$2:$ND$60=X$4)*(GMW!$NF$2:$NF$60=X$1),0),$F342-1966)</f>
        <v>6579.1949999999997</v>
      </c>
      <c r="Y342" s="4" cm="1">
        <f t="array" ref="Y342">INDEX(GMW!$A$2:$NF$60,MATCH(1,(GMW!$NE$2:$NE$60=Y$3)*(GMW!$ND$2:$ND$60=Y$4)*(GMW!$NF$2:$NF$60=Y$1),0),$F342-1966)</f>
        <v>9051.5759999999991</v>
      </c>
      <c r="Z342" s="4" cm="1">
        <f t="array" ref="Z342">INDEX(GMW!$A$2:$NF$60,MATCH(1,(GMW!$NE$2:$NE$60=Z$3)*(GMW!$ND$2:$ND$60=Z$4)*(GMW!$NF$2:$NF$60=Z$1),0),$F342-1966)</f>
        <v>5417.5529999999999</v>
      </c>
      <c r="AA342" s="4" cm="1">
        <f t="array" ref="AA342">INDEX(GMW!$A$2:$NF$60,MATCH(1,(GMW!$NE$2:$NE$60=AA$3)*(GMW!$ND$2:$ND$60=AA$4)*(GMW!$NF$2:$NF$60=AA$1),0),$F342-1966)</f>
        <v>8143825</v>
      </c>
      <c r="AB342" s="4" cm="1">
        <f t="array" ref="AB342">INDEX(GMW!$A$2:$NF$60,MATCH(1,(GMW!$NE$2:$NE$60=AB$3)*(GMW!$ND$2:$ND$60=AB$4)*(GMW!$NF$2:$NF$60=AB$1),0),$F342-1966)</f>
        <v>2307657</v>
      </c>
      <c r="AC342" s="4" cm="1">
        <f t="array" ref="AC342">INDEX(GMW!$A$2:$NF$60,MATCH(1,(GMW!$NE$2:$NE$60=AC$3)*(GMW!$ND$2:$ND$60=AC$4)*(GMW!$NF$2:$NF$60=AC$1),0),$F342-1966)</f>
        <v>23766.59</v>
      </c>
      <c r="AD342" s="4" cm="1">
        <f t="array" ref="AD342">INDEX(GMW!$A$2:$NF$60,MATCH(1,(GMW!$NE$2:$NE$60=AD$3)*(GMW!$ND$2:$ND$60=AD$4)*(GMW!$NF$2:$NF$60=AD$1),0),$F342-1966)</f>
        <v>246813.3</v>
      </c>
      <c r="AE342" s="4" cm="1">
        <f t="array" ref="AE342">INDEX(GMW!$A$2:$NF$60,MATCH(1,(GMW!$NE$2:$NE$60=AE$3)*(GMW!$ND$2:$ND$60=AE$4)*(GMW!$NF$2:$NF$60=AE$1),0),$F342-1966)</f>
        <v>2844.4119999999998</v>
      </c>
      <c r="AF342" s="4" cm="1">
        <f t="array" ref="AF342">INDEX(GMW!$A$2:$NF$60,MATCH(1,(GMW!$NE$2:$NE$60=AF$3)*(GMW!$ND$2:$ND$60=AF$4)*(GMW!$NF$2:$NF$60=AF$1),0),$F342-1966)</f>
        <v>1706.9010000000001</v>
      </c>
      <c r="AG342" s="4" cm="1">
        <f t="array" ref="AG342">INDEX(GMW!$A$2:$NF$60,MATCH(1,(GMW!$NE$2:$NE$60=AG$3)*(GMW!$ND$2:$ND$60=AG$4)*(GMW!$NF$2:$NF$60=AG$1),0),$F342-1966)</f>
        <v>1135.71</v>
      </c>
      <c r="AH342" s="4" cm="1">
        <f t="array" ref="AH342">INDEX(GMW!$A$2:$NF$60,MATCH(1,(GMW!$NE$2:$NE$60=AH$3)*(GMW!$ND$2:$ND$60=AH$4)*(GMW!$NF$2:$NF$60=AH$1),0),$F342-1966)</f>
        <v>2598844</v>
      </c>
    </row>
    <row r="343" spans="1:34" x14ac:dyDescent="0.25">
      <c r="A343" s="4">
        <v>2057</v>
      </c>
      <c r="B343" s="4">
        <f t="shared" si="110"/>
        <v>2057</v>
      </c>
      <c r="C343" s="4">
        <f t="shared" si="110"/>
        <v>2056</v>
      </c>
      <c r="D343" s="4">
        <f t="shared" si="110"/>
        <v>2056</v>
      </c>
      <c r="F343" s="4">
        <f t="shared" si="101"/>
        <v>2309</v>
      </c>
      <c r="G343" s="4" cm="1">
        <f t="array" ref="G343">INDEX(GMW!$A$2:$NF$60,MATCH(1,(GMW!$NE$2:$NE$60=G$3)*(GMW!$ND$2:$ND$60=G$4)*(GMW!$NF$2:$NF$60=G$1),0),$F343-1966)</f>
        <v>1027894</v>
      </c>
      <c r="H343" s="4" cm="1">
        <f t="array" ref="H343">INDEX(GMW!$A$2:$NF$60,MATCH(1,(GMW!$NE$2:$NE$60=H$3)*(GMW!$ND$2:$ND$60=H$4)*(GMW!$NF$2:$NF$60=H$1),0),$F343-1966)</f>
        <v>10344.629999999999</v>
      </c>
      <c r="I343" s="4" cm="1">
        <f t="array" ref="I343">INDEX(GMW!$A$2:$NF$60,MATCH(1,(GMW!$NE$2:$NE$60=I$3)*(GMW!$ND$2:$ND$60=I$4)*(GMW!$NF$2:$NF$60=I$1),0),$F343-1966)</f>
        <v>141961.9</v>
      </c>
      <c r="J343" s="4" cm="1">
        <f t="array" ref="J343">INDEX(GMW!$A$2:$NF$60,MATCH(1,(GMW!$NE$2:$NE$60=J$3)*(GMW!$ND$2:$ND$60=J$4)*(GMW!$NF$2:$NF$60=J$1),0),$F343-1966)</f>
        <v>1204.0129999999999</v>
      </c>
      <c r="K343" s="4" cm="1">
        <f t="array" ref="K343">INDEX(GMW!$A$2:$NF$60,MATCH(1,(GMW!$NE$2:$NE$60=K$3)*(GMW!$ND$2:$ND$60=K$4)*(GMW!$NF$2:$NF$60=K$1),0),$F343-1966)</f>
        <v>803.55</v>
      </c>
      <c r="L343" s="4" cm="1">
        <f t="array" ref="L343">INDEX(GMW!$A$2:$NF$60,MATCH(1,(GMW!$NE$2:$NE$60=L$3)*(GMW!$ND$2:$ND$60=L$4)*(GMW!$NF$2:$NF$60=L$1),0),$F343-1966)</f>
        <v>537.65769999999998</v>
      </c>
      <c r="M343" s="4" cm="1">
        <f t="array" ref="M343">INDEX(GMW!$A$2:$NF$60,MATCH(1,(GMW!$NE$2:$NE$60=M$3)*(GMW!$ND$2:$ND$60=M$4)*(GMW!$NF$2:$NF$60=M$1),0),$F343-1966)</f>
        <v>1106822</v>
      </c>
      <c r="N343" s="4" cm="1">
        <f t="array" ref="N343">INDEX(GMW!$A$2:$NF$60,MATCH(1,(GMW!$NE$2:$NE$60=N$3)*(GMW!$ND$2:$ND$60=N$4)*(GMW!$NF$2:$NF$60=N$1),0),$F343-1966)</f>
        <v>-6718.875</v>
      </c>
      <c r="O343" s="4" cm="1">
        <f t="array" ref="O343">INDEX(GMW!$A$2:$NF$60,MATCH(1,(GMW!$NE$2:$NE$60=O$3)*(GMW!$ND$2:$ND$60=O$4)*(GMW!$NF$2:$NF$60=O$1),0),$F343-1966)</f>
        <v>-1087.6279999999999</v>
      </c>
      <c r="P343" s="4" cm="1">
        <f t="array" ref="P343">INDEX(GMW!$A$2:$NF$60,MATCH(1,(GMW!$NE$2:$NE$60=P$3)*(GMW!$ND$2:$ND$60=P$4)*(GMW!$NF$2:$NF$60=P$1),0),$F343-1966)</f>
        <v>-2308.3130000000001</v>
      </c>
      <c r="Q343" s="4" cm="1">
        <f t="array" ref="Q343">INDEX(GMW!$A$2:$NF$60,MATCH(1,(GMW!$NE$2:$NE$60=Q$3)*(GMW!$ND$2:$ND$60=Q$4)*(GMW!$NF$2:$NF$60=Q$1),0),$F343-1966)</f>
        <v>-40.179079999999999</v>
      </c>
      <c r="R343" s="4" cm="1">
        <f t="array" ref="R343">INDEX(GMW!$A$2:$NF$60,MATCH(1,(GMW!$NE$2:$NE$60=R$3)*(GMW!$ND$2:$ND$60=R$4)*(GMW!$NF$2:$NF$60=R$1),0),$F343-1966)</f>
        <v>-56.64264</v>
      </c>
      <c r="S343" s="4" cm="1">
        <f t="array" ref="S343">INDEX(GMW!$A$2:$NF$60,MATCH(1,(GMW!$NE$2:$NE$60=S$3)*(GMW!$ND$2:$ND$60=S$4)*(GMW!$NF$2:$NF$60=S$1),0),$F343-1966)</f>
        <v>-20.262640000000001</v>
      </c>
      <c r="T343" s="4" cm="1">
        <f t="array" ref="T343">INDEX(GMW!$A$2:$NF$60,MATCH(1,(GMW!$NE$2:$NE$60=T$3)*(GMW!$ND$2:$ND$60=T$4)*(GMW!$NF$2:$NF$60=T$1),0),$F343-1966)</f>
        <v>-63393.81</v>
      </c>
      <c r="U343" s="4" cm="1">
        <f t="array" ref="U343">INDEX(GMW!$A$2:$NF$60,MATCH(1,(GMW!$NE$2:$NE$60=U$3)*(GMW!$ND$2:$ND$60=U$4)*(GMW!$NF$2:$NF$60=U$1),0),$F343-1966)</f>
        <v>9723274</v>
      </c>
      <c r="V343" s="4" cm="1">
        <f t="array" ref="V343">INDEX(GMW!$A$2:$NF$60,MATCH(1,(GMW!$NE$2:$NE$60=V$3)*(GMW!$ND$2:$ND$60=V$4)*(GMW!$NF$2:$NF$60=V$1),0),$F343-1966)</f>
        <v>165318.29999999999</v>
      </c>
      <c r="W343" s="4" cm="1">
        <f t="array" ref="W343">INDEX(GMW!$A$2:$NF$60,MATCH(1,(GMW!$NE$2:$NE$60=W$3)*(GMW!$ND$2:$ND$60=W$4)*(GMW!$NF$2:$NF$60=W$1),0),$F343-1966)</f>
        <v>1705355</v>
      </c>
      <c r="X343" s="4" cm="1">
        <f t="array" ref="X343">INDEX(GMW!$A$2:$NF$60,MATCH(1,(GMW!$NE$2:$NE$60=X$3)*(GMW!$ND$2:$ND$60=X$4)*(GMW!$NF$2:$NF$60=X$1),0),$F343-1966)</f>
        <v>6619.3739999999998</v>
      </c>
      <c r="Y343" s="4" cm="1">
        <f t="array" ref="Y343">INDEX(GMW!$A$2:$NF$60,MATCH(1,(GMW!$NE$2:$NE$60=Y$3)*(GMW!$ND$2:$ND$60=Y$4)*(GMW!$NF$2:$NF$60=Y$1),0),$F343-1966)</f>
        <v>9108.2189999999991</v>
      </c>
      <c r="Z343" s="4" cm="1">
        <f t="array" ref="Z343">INDEX(GMW!$A$2:$NF$60,MATCH(1,(GMW!$NE$2:$NE$60=Z$3)*(GMW!$ND$2:$ND$60=Z$4)*(GMW!$NF$2:$NF$60=Z$1),0),$F343-1966)</f>
        <v>5437.8159999999998</v>
      </c>
      <c r="AA343" s="4" cm="1">
        <f t="array" ref="AA343">INDEX(GMW!$A$2:$NF$60,MATCH(1,(GMW!$NE$2:$NE$60=AA$3)*(GMW!$ND$2:$ND$60=AA$4)*(GMW!$NF$2:$NF$60=AA$1),0),$F343-1966)</f>
        <v>8207219</v>
      </c>
      <c r="AB343" s="4" cm="1">
        <f t="array" ref="AB343">INDEX(GMW!$A$2:$NF$60,MATCH(1,(GMW!$NE$2:$NE$60=AB$3)*(GMW!$ND$2:$ND$60=AB$4)*(GMW!$NF$2:$NF$60=AB$1),0),$F343-1966)</f>
        <v>2327070</v>
      </c>
      <c r="AC343" s="4" cm="1">
        <f t="array" ref="AC343">INDEX(GMW!$A$2:$NF$60,MATCH(1,(GMW!$NE$2:$NE$60=AC$3)*(GMW!$ND$2:$ND$60=AC$4)*(GMW!$NF$2:$NF$60=AC$1),0),$F343-1966)</f>
        <v>23973.86</v>
      </c>
      <c r="AD343" s="4" cm="1">
        <f t="array" ref="AD343">INDEX(GMW!$A$2:$NF$60,MATCH(1,(GMW!$NE$2:$NE$60=AD$3)*(GMW!$ND$2:$ND$60=AD$4)*(GMW!$NF$2:$NF$60=AD$1),0),$F343-1966)</f>
        <v>247995.4</v>
      </c>
      <c r="AE343" s="4" cm="1">
        <f t="array" ref="AE343">INDEX(GMW!$A$2:$NF$60,MATCH(1,(GMW!$NE$2:$NE$60=AE$3)*(GMW!$ND$2:$ND$60=AE$4)*(GMW!$NF$2:$NF$60=AE$1),0),$F343-1966)</f>
        <v>2863.1979999999999</v>
      </c>
      <c r="AF343" s="4" cm="1">
        <f t="array" ref="AF343">INDEX(GMW!$A$2:$NF$60,MATCH(1,(GMW!$NE$2:$NE$60=AF$3)*(GMW!$ND$2:$ND$60=AF$4)*(GMW!$NF$2:$NF$60=AF$1),0),$F343-1966)</f>
        <v>1716.4690000000001</v>
      </c>
      <c r="AG343" s="4" cm="1">
        <f t="array" ref="AG343">INDEX(GMW!$A$2:$NF$60,MATCH(1,(GMW!$NE$2:$NE$60=AG$3)*(GMW!$ND$2:$ND$60=AG$4)*(GMW!$NF$2:$NF$60=AG$1),0),$F343-1966)</f>
        <v>1142.47</v>
      </c>
      <c r="AH343" s="4" cm="1">
        <f t="array" ref="AH343">INDEX(GMW!$A$2:$NF$60,MATCH(1,(GMW!$NE$2:$NE$60=AH$3)*(GMW!$ND$2:$ND$60=AH$4)*(GMW!$NF$2:$NF$60=AH$1),0),$F343-1966)</f>
        <v>2623116</v>
      </c>
    </row>
    <row r="344" spans="1:34" x14ac:dyDescent="0.25">
      <c r="B344" s="4">
        <f t="shared" si="110"/>
        <v>2057</v>
      </c>
      <c r="C344" s="4">
        <f t="shared" si="110"/>
        <v>2057</v>
      </c>
      <c r="F344" s="4">
        <f t="shared" si="101"/>
        <v>2310</v>
      </c>
      <c r="G344" s="4" cm="1">
        <f t="array" ref="G344">INDEX(GMW!$A$2:$NF$60,MATCH(1,(GMW!$NE$2:$NE$60=G$3)*(GMW!$ND$2:$ND$60=G$4)*(GMW!$NF$2:$NF$60=G$1),0),$F344-1966)</f>
        <v>1031019</v>
      </c>
      <c r="H344" s="4" cm="1">
        <f t="array" ref="H344">INDEX(GMW!$A$2:$NF$60,MATCH(1,(GMW!$NE$2:$NE$60=H$3)*(GMW!$ND$2:$ND$60=H$4)*(GMW!$NF$2:$NF$60=H$1),0),$F344-1966)</f>
        <v>10385.06</v>
      </c>
      <c r="I344" s="4" cm="1">
        <f t="array" ref="I344">INDEX(GMW!$A$2:$NF$60,MATCH(1,(GMW!$NE$2:$NE$60=I$3)*(GMW!$ND$2:$ND$60=I$4)*(GMW!$NF$2:$NF$60=I$1),0),$F344-1966)</f>
        <v>142097.79999999999</v>
      </c>
      <c r="J344" s="4" cm="1">
        <f t="array" ref="J344">INDEX(GMW!$A$2:$NF$60,MATCH(1,(GMW!$NE$2:$NE$60=J$3)*(GMW!$ND$2:$ND$60=J$4)*(GMW!$NF$2:$NF$60=J$1),0),$F344-1966)</f>
        <v>1205.98</v>
      </c>
      <c r="K344" s="4" cm="1">
        <f t="array" ref="K344">INDEX(GMW!$A$2:$NF$60,MATCH(1,(GMW!$NE$2:$NE$60=K$3)*(GMW!$ND$2:$ND$60=K$4)*(GMW!$NF$2:$NF$60=K$1),0),$F344-1966)</f>
        <v>804.04939999999999</v>
      </c>
      <c r="L344" s="4" cm="1">
        <f t="array" ref="L344">INDEX(GMW!$A$2:$NF$60,MATCH(1,(GMW!$NE$2:$NE$60=L$3)*(GMW!$ND$2:$ND$60=L$4)*(GMW!$NF$2:$NF$60=L$1),0),$F344-1966)</f>
        <v>538.18460000000005</v>
      </c>
      <c r="M344" s="4" cm="1">
        <f t="array" ref="M344">INDEX(GMW!$A$2:$NF$60,MATCH(1,(GMW!$NE$2:$NE$60=M$3)*(GMW!$ND$2:$ND$60=M$4)*(GMW!$NF$2:$NF$60=M$1),0),$F344-1966)</f>
        <v>1111607</v>
      </c>
      <c r="N344" s="4" cm="1">
        <f t="array" ref="N344">INDEX(GMW!$A$2:$NF$60,MATCH(1,(GMW!$NE$2:$NE$60=N$3)*(GMW!$ND$2:$ND$60=N$4)*(GMW!$NF$2:$NF$60=N$1),0),$F344-1966)</f>
        <v>-150737.60000000001</v>
      </c>
      <c r="O344" s="4" cm="1">
        <f t="array" ref="O344">INDEX(GMW!$A$2:$NF$60,MATCH(1,(GMW!$NE$2:$NE$60=O$3)*(GMW!$ND$2:$ND$60=O$4)*(GMW!$NF$2:$NF$60=O$1),0),$F344-1966)</f>
        <v>-1083.8879999999999</v>
      </c>
      <c r="P344" s="4" cm="1">
        <f t="array" ref="P344">INDEX(GMW!$A$2:$NF$60,MATCH(1,(GMW!$NE$2:$NE$60=P$3)*(GMW!$ND$2:$ND$60=P$4)*(GMW!$NF$2:$NF$60=P$1),0),$F344-1966)</f>
        <v>-2319.3670000000002</v>
      </c>
      <c r="Q344" s="4" cm="1">
        <f t="array" ref="Q344">INDEX(GMW!$A$2:$NF$60,MATCH(1,(GMW!$NE$2:$NE$60=Q$3)*(GMW!$ND$2:$ND$60=Q$4)*(GMW!$NF$2:$NF$60=Q$1),0),$F344-1966)</f>
        <v>-40.427</v>
      </c>
      <c r="R344" s="4" cm="1">
        <f t="array" ref="R344">INDEX(GMW!$A$2:$NF$60,MATCH(1,(GMW!$NE$2:$NE$60=R$3)*(GMW!$ND$2:$ND$60=R$4)*(GMW!$NF$2:$NF$60=R$1),0),$F344-1966)</f>
        <v>-56.95111</v>
      </c>
      <c r="S344" s="4" cm="1">
        <f t="array" ref="S344">INDEX(GMW!$A$2:$NF$60,MATCH(1,(GMW!$NE$2:$NE$60=S$3)*(GMW!$ND$2:$ND$60=S$4)*(GMW!$NF$2:$NF$60=S$1),0),$F344-1966)</f>
        <v>-20.383240000000001</v>
      </c>
      <c r="T344" s="4" cm="1">
        <f t="array" ref="T344">INDEX(GMW!$A$2:$NF$60,MATCH(1,(GMW!$NE$2:$NE$60=T$3)*(GMW!$ND$2:$ND$60=T$4)*(GMW!$NF$2:$NF$60=T$1),0),$F344-1966)</f>
        <v>-64008.06</v>
      </c>
      <c r="U344" s="4" cm="1">
        <f t="array" ref="U344">INDEX(GMW!$A$2:$NF$60,MATCH(1,(GMW!$NE$2:$NE$60=U$3)*(GMW!$ND$2:$ND$60=U$4)*(GMW!$NF$2:$NF$60=U$1),0),$F344-1966)</f>
        <v>9874012</v>
      </c>
      <c r="V344" s="4" cm="1">
        <f t="array" ref="V344">INDEX(GMW!$A$2:$NF$60,MATCH(1,(GMW!$NE$2:$NE$60=V$3)*(GMW!$ND$2:$ND$60=V$4)*(GMW!$NF$2:$NF$60=V$1),0),$F344-1966)</f>
        <v>166402.20000000001</v>
      </c>
      <c r="W344" s="4" cm="1">
        <f t="array" ref="W344">INDEX(GMW!$A$2:$NF$60,MATCH(1,(GMW!$NE$2:$NE$60=W$3)*(GMW!$ND$2:$ND$60=W$4)*(GMW!$NF$2:$NF$60=W$1),0),$F344-1966)</f>
        <v>1707675</v>
      </c>
      <c r="X344" s="4" cm="1">
        <f t="array" ref="X344">INDEX(GMW!$A$2:$NF$60,MATCH(1,(GMW!$NE$2:$NE$60=X$3)*(GMW!$ND$2:$ND$60=X$4)*(GMW!$NF$2:$NF$60=X$1),0),$F344-1966)</f>
        <v>6659.8010000000004</v>
      </c>
      <c r="Y344" s="4" cm="1">
        <f t="array" ref="Y344">INDEX(GMW!$A$2:$NF$60,MATCH(1,(GMW!$NE$2:$NE$60=Y$3)*(GMW!$ND$2:$ND$60=Y$4)*(GMW!$NF$2:$NF$60=Y$1),0),$F344-1966)</f>
        <v>9165.17</v>
      </c>
      <c r="Z344" s="4" cm="1">
        <f t="array" ref="Z344">INDEX(GMW!$A$2:$NF$60,MATCH(1,(GMW!$NE$2:$NE$60=Z$3)*(GMW!$ND$2:$ND$60=Z$4)*(GMW!$NF$2:$NF$60=Z$1),0),$F344-1966)</f>
        <v>5458.1989999999996</v>
      </c>
      <c r="AA344" s="4" cm="1">
        <f t="array" ref="AA344">INDEX(GMW!$A$2:$NF$60,MATCH(1,(GMW!$NE$2:$NE$60=AA$3)*(GMW!$ND$2:$ND$60=AA$4)*(GMW!$NF$2:$NF$60=AA$1),0),$F344-1966)</f>
        <v>8271227</v>
      </c>
      <c r="AB344" s="4" cm="1">
        <f t="array" ref="AB344">INDEX(GMW!$A$2:$NF$60,MATCH(1,(GMW!$NE$2:$NE$60=AB$3)*(GMW!$ND$2:$ND$60=AB$4)*(GMW!$NF$2:$NF$60=AB$1),0),$F344-1966)</f>
        <v>2346633</v>
      </c>
      <c r="AC344" s="4" cm="1">
        <f t="array" ref="AC344">INDEX(GMW!$A$2:$NF$60,MATCH(1,(GMW!$NE$2:$NE$60=AC$3)*(GMW!$ND$2:$ND$60=AC$4)*(GMW!$NF$2:$NF$60=AC$1),0),$F344-1966)</f>
        <v>24183.32</v>
      </c>
      <c r="AD344" s="4" cm="1">
        <f t="array" ref="AD344">INDEX(GMW!$A$2:$NF$60,MATCH(1,(GMW!$NE$2:$NE$60=AD$3)*(GMW!$ND$2:$ND$60=AD$4)*(GMW!$NF$2:$NF$60=AD$1),0),$F344-1966)</f>
        <v>249178.8</v>
      </c>
      <c r="AE344" s="4" cm="1">
        <f t="array" ref="AE344">INDEX(GMW!$A$2:$NF$60,MATCH(1,(GMW!$NE$2:$NE$60=AE$3)*(GMW!$ND$2:$ND$60=AE$4)*(GMW!$NF$2:$NF$60=AE$1),0),$F344-1966)</f>
        <v>2882.1019999999999</v>
      </c>
      <c r="AF344" s="4" cm="1">
        <f t="array" ref="AF344">INDEX(GMW!$A$2:$NF$60,MATCH(1,(GMW!$NE$2:$NE$60=AF$3)*(GMW!$ND$2:$ND$60=AF$4)*(GMW!$NF$2:$NF$60=AF$1),0),$F344-1966)</f>
        <v>1726.078</v>
      </c>
      <c r="AG344" s="4" cm="1">
        <f t="array" ref="AG344">INDEX(GMW!$A$2:$NF$60,MATCH(1,(GMW!$NE$2:$NE$60=AG$3)*(GMW!$ND$2:$ND$60=AG$4)*(GMW!$NF$2:$NF$60=AG$1),0),$F344-1966)</f>
        <v>1149.3130000000001</v>
      </c>
      <c r="AH344" s="4" cm="1">
        <f t="array" ref="AH344">INDEX(GMW!$A$2:$NF$60,MATCH(1,(GMW!$NE$2:$NE$60=AH$3)*(GMW!$ND$2:$ND$60=AH$4)*(GMW!$NF$2:$NF$60=AH$1),0),$F344-1966)</f>
        <v>2647426</v>
      </c>
    </row>
    <row r="345" spans="1:34" x14ac:dyDescent="0.25">
      <c r="B345" s="4">
        <f t="shared" si="110"/>
        <v>2057</v>
      </c>
      <c r="C345" s="4">
        <f t="shared" si="110"/>
        <v>2057</v>
      </c>
      <c r="F345" s="4">
        <f t="shared" si="101"/>
        <v>2311</v>
      </c>
      <c r="G345" s="4" cm="1">
        <f t="array" ref="G345">INDEX(GMW!$A$2:$NF$60,MATCH(1,(GMW!$NE$2:$NE$60=G$3)*(GMW!$ND$2:$ND$60=G$4)*(GMW!$NF$2:$NF$60=G$1),0),$F345-1966)</f>
        <v>1034173</v>
      </c>
      <c r="H345" s="4" cm="1">
        <f t="array" ref="H345">INDEX(GMW!$A$2:$NF$60,MATCH(1,(GMW!$NE$2:$NE$60=H$3)*(GMW!$ND$2:$ND$60=H$4)*(GMW!$NF$2:$NF$60=H$1),0),$F345-1966)</f>
        <v>10425.629999999999</v>
      </c>
      <c r="I345" s="4" cm="1">
        <f t="array" ref="I345">INDEX(GMW!$A$2:$NF$60,MATCH(1,(GMW!$NE$2:$NE$60=I$3)*(GMW!$ND$2:$ND$60=I$4)*(GMW!$NF$2:$NF$60=I$1),0),$F345-1966)</f>
        <v>142240.70000000001</v>
      </c>
      <c r="J345" s="4" cm="1">
        <f t="array" ref="J345">INDEX(GMW!$A$2:$NF$60,MATCH(1,(GMW!$NE$2:$NE$60=J$3)*(GMW!$ND$2:$ND$60=J$4)*(GMW!$NF$2:$NF$60=J$1),0),$F345-1966)</f>
        <v>1207.9490000000001</v>
      </c>
      <c r="K345" s="4" cm="1">
        <f t="array" ref="K345">INDEX(GMW!$A$2:$NF$60,MATCH(1,(GMW!$NE$2:$NE$60=K$3)*(GMW!$ND$2:$ND$60=K$4)*(GMW!$NF$2:$NF$60=K$1),0),$F345-1966)</f>
        <v>804.46950000000004</v>
      </c>
      <c r="L345" s="4" cm="1">
        <f t="array" ref="L345">INDEX(GMW!$A$2:$NF$60,MATCH(1,(GMW!$NE$2:$NE$60=L$3)*(GMW!$ND$2:$ND$60=L$4)*(GMW!$NF$2:$NF$60=L$1),0),$F345-1966)</f>
        <v>538.71</v>
      </c>
      <c r="M345" s="4" cm="1">
        <f t="array" ref="M345">INDEX(GMW!$A$2:$NF$60,MATCH(1,(GMW!$NE$2:$NE$60=M$3)*(GMW!$ND$2:$ND$60=M$4)*(GMW!$NF$2:$NF$60=M$1),0),$F345-1966)</f>
        <v>1116394</v>
      </c>
      <c r="N345" s="4" cm="1">
        <f t="array" ref="N345">INDEX(GMW!$A$2:$NF$60,MATCH(1,(GMW!$NE$2:$NE$60=N$3)*(GMW!$ND$2:$ND$60=N$4)*(GMW!$NF$2:$NF$60=N$1),0),$F345-1966)</f>
        <v>-81315.94</v>
      </c>
      <c r="O345" s="4" cm="1">
        <f t="array" ref="O345">INDEX(GMW!$A$2:$NF$60,MATCH(1,(GMW!$NE$2:$NE$60=O$3)*(GMW!$ND$2:$ND$60=O$4)*(GMW!$NF$2:$NF$60=O$1),0),$F345-1966)</f>
        <v>-1079.94</v>
      </c>
      <c r="P345" s="4" cm="1">
        <f t="array" ref="P345">INDEX(GMW!$A$2:$NF$60,MATCH(1,(GMW!$NE$2:$NE$60=P$3)*(GMW!$ND$2:$ND$60=P$4)*(GMW!$NF$2:$NF$60=P$1),0),$F345-1966)</f>
        <v>-2330.4380000000001</v>
      </c>
      <c r="Q345" s="4" cm="1">
        <f t="array" ref="Q345">INDEX(GMW!$A$2:$NF$60,MATCH(1,(GMW!$NE$2:$NE$60=Q$3)*(GMW!$ND$2:$ND$60=Q$4)*(GMW!$NF$2:$NF$60=Q$1),0),$F345-1966)</f>
        <v>-40.677</v>
      </c>
      <c r="R345" s="4" cm="1">
        <f t="array" ref="R345">INDEX(GMW!$A$2:$NF$60,MATCH(1,(GMW!$NE$2:$NE$60=R$3)*(GMW!$ND$2:$ND$60=R$4)*(GMW!$NF$2:$NF$60=R$1),0),$F345-1966)</f>
        <v>-57.272089999999999</v>
      </c>
      <c r="S345" s="4" cm="1">
        <f t="array" ref="S345">INDEX(GMW!$A$2:$NF$60,MATCH(1,(GMW!$NE$2:$NE$60=S$3)*(GMW!$ND$2:$ND$60=S$4)*(GMW!$NF$2:$NF$60=S$1),0),$F345-1966)</f>
        <v>-20.505310000000001</v>
      </c>
      <c r="T345" s="4" cm="1">
        <f t="array" ref="T345">INDEX(GMW!$A$2:$NF$60,MATCH(1,(GMW!$NE$2:$NE$60=T$3)*(GMW!$ND$2:$ND$60=T$4)*(GMW!$NF$2:$NF$60=T$1),0),$F345-1966)</f>
        <v>-64390.44</v>
      </c>
      <c r="U345" s="4" cm="1">
        <f t="array" ref="U345">INDEX(GMW!$A$2:$NF$60,MATCH(1,(GMW!$NE$2:$NE$60=U$3)*(GMW!$ND$2:$ND$60=U$4)*(GMW!$NF$2:$NF$60=U$1),0),$F345-1966)</f>
        <v>9955328</v>
      </c>
      <c r="V345" s="4" cm="1">
        <f t="array" ref="V345">INDEX(GMW!$A$2:$NF$60,MATCH(1,(GMW!$NE$2:$NE$60=V$3)*(GMW!$ND$2:$ND$60=V$4)*(GMW!$NF$2:$NF$60=V$1),0),$F345-1966)</f>
        <v>167482.20000000001</v>
      </c>
      <c r="W345" s="4" cm="1">
        <f t="array" ref="W345">INDEX(GMW!$A$2:$NF$60,MATCH(1,(GMW!$NE$2:$NE$60=W$3)*(GMW!$ND$2:$ND$60=W$4)*(GMW!$NF$2:$NF$60=W$1),0),$F345-1966)</f>
        <v>1710005</v>
      </c>
      <c r="X345" s="4" cm="1">
        <f t="array" ref="X345">INDEX(GMW!$A$2:$NF$60,MATCH(1,(GMW!$NE$2:$NE$60=X$3)*(GMW!$ND$2:$ND$60=X$4)*(GMW!$NF$2:$NF$60=X$1),0),$F345-1966)</f>
        <v>6700.4780000000001</v>
      </c>
      <c r="Y345" s="4" cm="1">
        <f t="array" ref="Y345">INDEX(GMW!$A$2:$NF$60,MATCH(1,(GMW!$NE$2:$NE$60=Y$3)*(GMW!$ND$2:$ND$60=Y$4)*(GMW!$NF$2:$NF$60=Y$1),0),$F345-1966)</f>
        <v>9222.4419999999991</v>
      </c>
      <c r="Z345" s="4" cm="1">
        <f t="array" ref="Z345">INDEX(GMW!$A$2:$NF$60,MATCH(1,(GMW!$NE$2:$NE$60=Z$3)*(GMW!$ND$2:$ND$60=Z$4)*(GMW!$NF$2:$NF$60=Z$1),0),$F345-1966)</f>
        <v>5478.7049999999999</v>
      </c>
      <c r="AA345" s="4" cm="1">
        <f t="array" ref="AA345">INDEX(GMW!$A$2:$NF$60,MATCH(1,(GMW!$NE$2:$NE$60=AA$3)*(GMW!$ND$2:$ND$60=AA$4)*(GMW!$NF$2:$NF$60=AA$1),0),$F345-1966)</f>
        <v>8335617</v>
      </c>
      <c r="AB345" s="4" cm="1">
        <f t="array" ref="AB345">INDEX(GMW!$A$2:$NF$60,MATCH(1,(GMW!$NE$2:$NE$60=AB$3)*(GMW!$ND$2:$ND$60=AB$4)*(GMW!$NF$2:$NF$60=AB$1),0),$F345-1966)</f>
        <v>2366404</v>
      </c>
      <c r="AC345" s="4" cm="1">
        <f t="array" ref="AC345">INDEX(GMW!$A$2:$NF$60,MATCH(1,(GMW!$NE$2:$NE$60=AC$3)*(GMW!$ND$2:$ND$60=AC$4)*(GMW!$NF$2:$NF$60=AC$1),0),$F345-1966)</f>
        <v>24394.65</v>
      </c>
      <c r="AD345" s="4" cm="1">
        <f t="array" ref="AD345">INDEX(GMW!$A$2:$NF$60,MATCH(1,(GMW!$NE$2:$NE$60=AD$3)*(GMW!$ND$2:$ND$60=AD$4)*(GMW!$NF$2:$NF$60=AD$1),0),$F345-1966)</f>
        <v>250383.1</v>
      </c>
      <c r="AE345" s="4" cm="1">
        <f t="array" ref="AE345">INDEX(GMW!$A$2:$NF$60,MATCH(1,(GMW!$NE$2:$NE$60=AE$3)*(GMW!$ND$2:$ND$60=AE$4)*(GMW!$NF$2:$NF$60=AE$1),0),$F345-1966)</f>
        <v>2901.1289999999999</v>
      </c>
      <c r="AF345" s="4" cm="1">
        <f t="array" ref="AF345">INDEX(GMW!$A$2:$NF$60,MATCH(1,(GMW!$NE$2:$NE$60=AF$3)*(GMW!$ND$2:$ND$60=AF$4)*(GMW!$NF$2:$NF$60=AF$1),0),$F345-1966)</f>
        <v>1735.548</v>
      </c>
      <c r="AG345" s="4" cm="1">
        <f t="array" ref="AG345">INDEX(GMW!$A$2:$NF$60,MATCH(1,(GMW!$NE$2:$NE$60=AG$3)*(GMW!$ND$2:$ND$60=AG$4)*(GMW!$NF$2:$NF$60=AG$1),0),$F345-1966)</f>
        <v>1156.1980000000001</v>
      </c>
      <c r="AH345" s="4" cm="1">
        <f t="array" ref="AH345">INDEX(GMW!$A$2:$NF$60,MATCH(1,(GMW!$NE$2:$NE$60=AH$3)*(GMW!$ND$2:$ND$60=AH$4)*(GMW!$NF$2:$NF$60=AH$1),0),$F345-1966)</f>
        <v>2671912</v>
      </c>
    </row>
    <row r="346" spans="1:34" x14ac:dyDescent="0.25">
      <c r="B346" s="4">
        <f t="shared" si="110"/>
        <v>2057</v>
      </c>
      <c r="C346" s="4">
        <f t="shared" si="110"/>
        <v>2057</v>
      </c>
      <c r="E346" s="4">
        <f t="shared" ref="E346" si="114">+E342+1</f>
        <v>2057</v>
      </c>
      <c r="F346" s="4">
        <f t="shared" si="101"/>
        <v>2312</v>
      </c>
      <c r="G346" s="4" cm="1">
        <f t="array" ref="G346">INDEX(GMW!$A$2:$NF$60,MATCH(1,(GMW!$NE$2:$NE$60=G$3)*(GMW!$ND$2:$ND$60=G$4)*(GMW!$NF$2:$NF$60=G$1),0),$F346-1966)</f>
        <v>1037330</v>
      </c>
      <c r="H346" s="4" cm="1">
        <f t="array" ref="H346">INDEX(GMW!$A$2:$NF$60,MATCH(1,(GMW!$NE$2:$NE$60=H$3)*(GMW!$ND$2:$ND$60=H$4)*(GMW!$NF$2:$NF$60=H$1),0),$F346-1966)</f>
        <v>10466.31</v>
      </c>
      <c r="I346" s="4" cm="1">
        <f t="array" ref="I346">INDEX(GMW!$A$2:$NF$60,MATCH(1,(GMW!$NE$2:$NE$60=I$3)*(GMW!$ND$2:$ND$60=I$4)*(GMW!$NF$2:$NF$60=I$1),0),$F346-1966)</f>
        <v>142389.9</v>
      </c>
      <c r="J346" s="4" cm="1">
        <f t="array" ref="J346">INDEX(GMW!$A$2:$NF$60,MATCH(1,(GMW!$NE$2:$NE$60=J$3)*(GMW!$ND$2:$ND$60=J$4)*(GMW!$NF$2:$NF$60=J$1),0),$F346-1966)</f>
        <v>1209.92</v>
      </c>
      <c r="K346" s="4" cm="1">
        <f t="array" ref="K346">INDEX(GMW!$A$2:$NF$60,MATCH(1,(GMW!$NE$2:$NE$60=K$3)*(GMW!$ND$2:$ND$60=K$4)*(GMW!$NF$2:$NF$60=K$1),0),$F346-1966)</f>
        <v>804.95680000000004</v>
      </c>
      <c r="L346" s="4" cm="1">
        <f t="array" ref="L346">INDEX(GMW!$A$2:$NF$60,MATCH(1,(GMW!$NE$2:$NE$60=L$3)*(GMW!$ND$2:$ND$60=L$4)*(GMW!$NF$2:$NF$60=L$1),0),$F346-1966)</f>
        <v>539.23609999999996</v>
      </c>
      <c r="M346" s="4" cm="1">
        <f t="array" ref="M346">INDEX(GMW!$A$2:$NF$60,MATCH(1,(GMW!$NE$2:$NE$60=M$3)*(GMW!$ND$2:$ND$60=M$4)*(GMW!$NF$2:$NF$60=M$1),0),$F346-1966)</f>
        <v>1121202</v>
      </c>
      <c r="N346" s="4" cm="1">
        <f t="array" ref="N346">INDEX(GMW!$A$2:$NF$60,MATCH(1,(GMW!$NE$2:$NE$60=N$3)*(GMW!$ND$2:$ND$60=N$4)*(GMW!$NF$2:$NF$60=N$1),0),$F346-1966)</f>
        <v>-143183.79999999999</v>
      </c>
      <c r="O346" s="4" cm="1">
        <f t="array" ref="O346">INDEX(GMW!$A$2:$NF$60,MATCH(1,(GMW!$NE$2:$NE$60=O$3)*(GMW!$ND$2:$ND$60=O$4)*(GMW!$NF$2:$NF$60=O$1),0),$F346-1966)</f>
        <v>-1075.8309999999999</v>
      </c>
      <c r="P346" s="4" cm="1">
        <f t="array" ref="P346">INDEX(GMW!$A$2:$NF$60,MATCH(1,(GMW!$NE$2:$NE$60=P$3)*(GMW!$ND$2:$ND$60=P$4)*(GMW!$NF$2:$NF$60=P$1),0),$F346-1966)</f>
        <v>-2341.6950000000002</v>
      </c>
      <c r="Q346" s="4" cm="1">
        <f t="array" ref="Q346">INDEX(GMW!$A$2:$NF$60,MATCH(1,(GMW!$NE$2:$NE$60=Q$3)*(GMW!$ND$2:$ND$60=Q$4)*(GMW!$NF$2:$NF$60=Q$1),0),$F346-1966)</f>
        <v>-40.927</v>
      </c>
      <c r="R346" s="4" cm="1">
        <f t="array" ref="R346">INDEX(GMW!$A$2:$NF$60,MATCH(1,(GMW!$NE$2:$NE$60=R$3)*(GMW!$ND$2:$ND$60=R$4)*(GMW!$NF$2:$NF$60=R$1),0),$F346-1966)</f>
        <v>-57.592709999999997</v>
      </c>
      <c r="S346" s="4" cm="1">
        <f t="array" ref="S346">INDEX(GMW!$A$2:$NF$60,MATCH(1,(GMW!$NE$2:$NE$60=S$3)*(GMW!$ND$2:$ND$60=S$4)*(GMW!$NF$2:$NF$60=S$1),0),$F346-1966)</f>
        <v>-20.62811</v>
      </c>
      <c r="T346" s="4" cm="1">
        <f t="array" ref="T346">INDEX(GMW!$A$2:$NF$60,MATCH(1,(GMW!$NE$2:$NE$60=T$3)*(GMW!$ND$2:$ND$60=T$4)*(GMW!$NF$2:$NF$60=T$1),0),$F346-1966)</f>
        <v>-65181.13</v>
      </c>
      <c r="U346" s="4" cm="1">
        <f t="array" ref="U346">INDEX(GMW!$A$2:$NF$60,MATCH(1,(GMW!$NE$2:$NE$60=U$3)*(GMW!$ND$2:$ND$60=U$4)*(GMW!$NF$2:$NF$60=U$1),0),$F346-1966)</f>
        <v>10098510</v>
      </c>
      <c r="V346" s="4" cm="1">
        <f t="array" ref="V346">INDEX(GMW!$A$2:$NF$60,MATCH(1,(GMW!$NE$2:$NE$60=V$3)*(GMW!$ND$2:$ND$60=V$4)*(GMW!$NF$2:$NF$60=V$1),0),$F346-1966)</f>
        <v>168558</v>
      </c>
      <c r="W346" s="4" cm="1">
        <f t="array" ref="W346">INDEX(GMW!$A$2:$NF$60,MATCH(1,(GMW!$NE$2:$NE$60=W$3)*(GMW!$ND$2:$ND$60=W$4)*(GMW!$NF$2:$NF$60=W$1),0),$F346-1966)</f>
        <v>1712347</v>
      </c>
      <c r="X346" s="4" cm="1">
        <f t="array" ref="X346">INDEX(GMW!$A$2:$NF$60,MATCH(1,(GMW!$NE$2:$NE$60=X$3)*(GMW!$ND$2:$ND$60=X$4)*(GMW!$NF$2:$NF$60=X$1),0),$F346-1966)</f>
        <v>6741.4040000000005</v>
      </c>
      <c r="Y346" s="4" cm="1">
        <f t="array" ref="Y346">INDEX(GMW!$A$2:$NF$60,MATCH(1,(GMW!$NE$2:$NE$60=Y$3)*(GMW!$ND$2:$ND$60=Y$4)*(GMW!$NF$2:$NF$60=Y$1),0),$F346-1966)</f>
        <v>9280.0349999999999</v>
      </c>
      <c r="Z346" s="4" cm="1">
        <f t="array" ref="Z346">INDEX(GMW!$A$2:$NF$60,MATCH(1,(GMW!$NE$2:$NE$60=Z$3)*(GMW!$ND$2:$ND$60=Z$4)*(GMW!$NF$2:$NF$60=Z$1),0),$F346-1966)</f>
        <v>5499.3329999999996</v>
      </c>
      <c r="AA346" s="4" cm="1">
        <f t="array" ref="AA346">INDEX(GMW!$A$2:$NF$60,MATCH(1,(GMW!$NE$2:$NE$60=AA$3)*(GMW!$ND$2:$ND$60=AA$4)*(GMW!$NF$2:$NF$60=AA$1),0),$F346-1966)</f>
        <v>8400798</v>
      </c>
      <c r="AB346" s="4" cm="1">
        <f t="array" ref="AB346">INDEX(GMW!$A$2:$NF$60,MATCH(1,(GMW!$NE$2:$NE$60=AB$3)*(GMW!$ND$2:$ND$60=AB$4)*(GMW!$NF$2:$NF$60=AB$1),0),$F346-1966)</f>
        <v>2386326</v>
      </c>
      <c r="AC346" s="4" cm="1">
        <f t="array" ref="AC346">INDEX(GMW!$A$2:$NF$60,MATCH(1,(GMW!$NE$2:$NE$60=AC$3)*(GMW!$ND$2:$ND$60=AC$4)*(GMW!$NF$2:$NF$60=AC$1),0),$F346-1966)</f>
        <v>24607.81</v>
      </c>
      <c r="AD346" s="4" cm="1">
        <f t="array" ref="AD346">INDEX(GMW!$A$2:$NF$60,MATCH(1,(GMW!$NE$2:$NE$60=AD$3)*(GMW!$ND$2:$ND$60=AD$4)*(GMW!$NF$2:$NF$60=AD$1),0),$F346-1966)</f>
        <v>251604.1</v>
      </c>
      <c r="AE346" s="4" cm="1">
        <f t="array" ref="AE346">INDEX(GMW!$A$2:$NF$60,MATCH(1,(GMW!$NE$2:$NE$60=AE$3)*(GMW!$ND$2:$ND$60=AE$4)*(GMW!$NF$2:$NF$60=AE$1),0),$F346-1966)</f>
        <v>2920.28</v>
      </c>
      <c r="AF346" s="4" cm="1">
        <f t="array" ref="AF346">INDEX(GMW!$A$2:$NF$60,MATCH(1,(GMW!$NE$2:$NE$60=AF$3)*(GMW!$ND$2:$ND$60=AF$4)*(GMW!$NF$2:$NF$60=AF$1),0),$F346-1966)</f>
        <v>1745.2170000000001</v>
      </c>
      <c r="AG346" s="4" cm="1">
        <f t="array" ref="AG346">INDEX(GMW!$A$2:$NF$60,MATCH(1,(GMW!$NE$2:$NE$60=AG$3)*(GMW!$ND$2:$ND$60=AG$4)*(GMW!$NF$2:$NF$60=AG$1),0),$F346-1966)</f>
        <v>1163.095</v>
      </c>
      <c r="AH346" s="4" cm="1">
        <f t="array" ref="AH346">INDEX(GMW!$A$2:$NF$60,MATCH(1,(GMW!$NE$2:$NE$60=AH$3)*(GMW!$ND$2:$ND$60=AH$4)*(GMW!$NF$2:$NF$60=AH$1),0),$F346-1966)</f>
        <v>2696629</v>
      </c>
    </row>
    <row r="347" spans="1:34" x14ac:dyDescent="0.25">
      <c r="A347" s="4">
        <v>2058</v>
      </c>
      <c r="B347" s="4">
        <f t="shared" si="110"/>
        <v>2058</v>
      </c>
      <c r="C347" s="4">
        <f t="shared" si="110"/>
        <v>2057</v>
      </c>
      <c r="D347" s="4">
        <f t="shared" si="110"/>
        <v>2057</v>
      </c>
      <c r="F347" s="4">
        <f t="shared" si="101"/>
        <v>2313</v>
      </c>
      <c r="G347" s="4" cm="1">
        <f t="array" ref="G347">INDEX(GMW!$A$2:$NF$60,MATCH(1,(GMW!$NE$2:$NE$60=G$3)*(GMW!$ND$2:$ND$60=G$4)*(GMW!$NF$2:$NF$60=G$1),0),$F347-1966)</f>
        <v>1040492</v>
      </c>
      <c r="H347" s="4" cm="1">
        <f t="array" ref="H347">INDEX(GMW!$A$2:$NF$60,MATCH(1,(GMW!$NE$2:$NE$60=H$3)*(GMW!$ND$2:$ND$60=H$4)*(GMW!$NF$2:$NF$60=H$1),0),$F347-1966)</f>
        <v>10507.24</v>
      </c>
      <c r="I347" s="4" cm="1">
        <f t="array" ref="I347">INDEX(GMW!$A$2:$NF$60,MATCH(1,(GMW!$NE$2:$NE$60=I$3)*(GMW!$ND$2:$ND$60=I$4)*(GMW!$NF$2:$NF$60=I$1),0),$F347-1966)</f>
        <v>142537.5</v>
      </c>
      <c r="J347" s="4" cm="1">
        <f t="array" ref="J347">INDEX(GMW!$A$2:$NF$60,MATCH(1,(GMW!$NE$2:$NE$60=J$3)*(GMW!$ND$2:$ND$60=J$4)*(GMW!$NF$2:$NF$60=J$1),0),$F347-1966)</f>
        <v>1212.2180000000001</v>
      </c>
      <c r="K347" s="4" cm="1">
        <f t="array" ref="K347">INDEX(GMW!$A$2:$NF$60,MATCH(1,(GMW!$NE$2:$NE$60=K$3)*(GMW!$ND$2:$ND$60=K$4)*(GMW!$NF$2:$NF$60=K$1),0),$F347-1966)</f>
        <v>805.51990000000001</v>
      </c>
      <c r="L347" s="4" cm="1">
        <f t="array" ref="L347">INDEX(GMW!$A$2:$NF$60,MATCH(1,(GMW!$NE$2:$NE$60=L$3)*(GMW!$ND$2:$ND$60=L$4)*(GMW!$NF$2:$NF$60=L$1),0),$F347-1966)</f>
        <v>539.71420000000001</v>
      </c>
      <c r="M347" s="4" cm="1">
        <f t="array" ref="M347">INDEX(GMW!$A$2:$NF$60,MATCH(1,(GMW!$NE$2:$NE$60=M$3)*(GMW!$ND$2:$ND$60=M$4)*(GMW!$NF$2:$NF$60=M$1),0),$F347-1966)</f>
        <v>1125975</v>
      </c>
      <c r="N347" s="4" cm="1">
        <f t="array" ref="N347">INDEX(GMW!$A$2:$NF$60,MATCH(1,(GMW!$NE$2:$NE$60=N$3)*(GMW!$ND$2:$ND$60=N$4)*(GMW!$NF$2:$NF$60=N$1),0),$F347-1966)</f>
        <v>-6947.5</v>
      </c>
      <c r="O347" s="4" cm="1">
        <f t="array" ref="O347">INDEX(GMW!$A$2:$NF$60,MATCH(1,(GMW!$NE$2:$NE$60=O$3)*(GMW!$ND$2:$ND$60=O$4)*(GMW!$NF$2:$NF$60=O$1),0),$F347-1966)</f>
        <v>-1071.627</v>
      </c>
      <c r="P347" s="4" cm="1">
        <f t="array" ref="P347">INDEX(GMW!$A$2:$NF$60,MATCH(1,(GMW!$NE$2:$NE$60=P$3)*(GMW!$ND$2:$ND$60=P$4)*(GMW!$NF$2:$NF$60=P$1),0),$F347-1966)</f>
        <v>-2353.1089999999999</v>
      </c>
      <c r="Q347" s="4" cm="1">
        <f t="array" ref="Q347">INDEX(GMW!$A$2:$NF$60,MATCH(1,(GMW!$NE$2:$NE$60=Q$3)*(GMW!$ND$2:$ND$60=Q$4)*(GMW!$NF$2:$NF$60=Q$1),0),$F347-1966)</f>
        <v>-41.190919999999998</v>
      </c>
      <c r="R347" s="4" cm="1">
        <f t="array" ref="R347">INDEX(GMW!$A$2:$NF$60,MATCH(1,(GMW!$NE$2:$NE$60=R$3)*(GMW!$ND$2:$ND$60=R$4)*(GMW!$NF$2:$NF$60=R$1),0),$F347-1966)</f>
        <v>-57.917789999999997</v>
      </c>
      <c r="S347" s="4" cm="1">
        <f t="array" ref="S347">INDEX(GMW!$A$2:$NF$60,MATCH(1,(GMW!$NE$2:$NE$60=S$3)*(GMW!$ND$2:$ND$60=S$4)*(GMW!$NF$2:$NF$60=S$1),0),$F347-1966)</f>
        <v>-20.751159999999999</v>
      </c>
      <c r="T347" s="4" cm="1">
        <f t="array" ref="T347">INDEX(GMW!$A$2:$NF$60,MATCH(1,(GMW!$NE$2:$NE$60=T$3)*(GMW!$ND$2:$ND$60=T$4)*(GMW!$NF$2:$NF$60=T$1),0),$F347-1966)</f>
        <v>-65908.75</v>
      </c>
      <c r="U347" s="4" cm="1">
        <f t="array" ref="U347">INDEX(GMW!$A$2:$NF$60,MATCH(1,(GMW!$NE$2:$NE$60=U$3)*(GMW!$ND$2:$ND$60=U$4)*(GMW!$NF$2:$NF$60=U$1),0),$F347-1966)</f>
        <v>10105460</v>
      </c>
      <c r="V347" s="4" cm="1">
        <f t="array" ref="V347">INDEX(GMW!$A$2:$NF$60,MATCH(1,(GMW!$NE$2:$NE$60=V$3)*(GMW!$ND$2:$ND$60=V$4)*(GMW!$NF$2:$NF$60=V$1),0),$F347-1966)</f>
        <v>169629.6</v>
      </c>
      <c r="W347" s="4" cm="1">
        <f t="array" ref="W347">INDEX(GMW!$A$2:$NF$60,MATCH(1,(GMW!$NE$2:$NE$60=W$3)*(GMW!$ND$2:$ND$60=W$4)*(GMW!$NF$2:$NF$60=W$1),0),$F347-1966)</f>
        <v>1714700</v>
      </c>
      <c r="X347" s="4" cm="1">
        <f t="array" ref="X347">INDEX(GMW!$A$2:$NF$60,MATCH(1,(GMW!$NE$2:$NE$60=X$3)*(GMW!$ND$2:$ND$60=X$4)*(GMW!$NF$2:$NF$60=X$1),0),$F347-1966)</f>
        <v>6782.5950000000003</v>
      </c>
      <c r="Y347" s="4" cm="1">
        <f t="array" ref="Y347">INDEX(GMW!$A$2:$NF$60,MATCH(1,(GMW!$NE$2:$NE$60=Y$3)*(GMW!$ND$2:$ND$60=Y$4)*(GMW!$NF$2:$NF$60=Y$1),0),$F347-1966)</f>
        <v>9337.9529999999995</v>
      </c>
      <c r="Z347" s="4" cm="1">
        <f t="array" ref="Z347">INDEX(GMW!$A$2:$NF$60,MATCH(1,(GMW!$NE$2:$NE$60=Z$3)*(GMW!$ND$2:$ND$60=Z$4)*(GMW!$NF$2:$NF$60=Z$1),0),$F347-1966)</f>
        <v>5520.0829999999996</v>
      </c>
      <c r="AA347" s="4" cm="1">
        <f t="array" ref="AA347">INDEX(GMW!$A$2:$NF$60,MATCH(1,(GMW!$NE$2:$NE$60=AA$3)*(GMW!$ND$2:$ND$60=AA$4)*(GMW!$NF$2:$NF$60=AA$1),0),$F347-1966)</f>
        <v>8466707</v>
      </c>
      <c r="AB347" s="4" cm="1">
        <f t="array" ref="AB347">INDEX(GMW!$A$2:$NF$60,MATCH(1,(GMW!$NE$2:$NE$60=AB$3)*(GMW!$ND$2:$ND$60=AB$4)*(GMW!$NF$2:$NF$60=AB$1),0),$F347-1966)</f>
        <v>2406406</v>
      </c>
      <c r="AC347" s="4" cm="1">
        <f t="array" ref="AC347">INDEX(GMW!$A$2:$NF$60,MATCH(1,(GMW!$NE$2:$NE$60=AC$3)*(GMW!$ND$2:$ND$60=AC$4)*(GMW!$NF$2:$NF$60=AC$1),0),$F347-1966)</f>
        <v>24823.07</v>
      </c>
      <c r="AD347" s="4" cm="1">
        <f t="array" ref="AD347">INDEX(GMW!$A$2:$NF$60,MATCH(1,(GMW!$NE$2:$NE$60=AD$3)*(GMW!$ND$2:$ND$60=AD$4)*(GMW!$NF$2:$NF$60=AD$1),0),$F347-1966)</f>
        <v>252824.8</v>
      </c>
      <c r="AE347" s="4" cm="1">
        <f t="array" ref="AE347">INDEX(GMW!$A$2:$NF$60,MATCH(1,(GMW!$NE$2:$NE$60=AE$3)*(GMW!$ND$2:$ND$60=AE$4)*(GMW!$NF$2:$NF$60=AE$1),0),$F347-1966)</f>
        <v>2940.3429999999998</v>
      </c>
      <c r="AF347" s="4" cm="1">
        <f t="array" ref="AF347">INDEX(GMW!$A$2:$NF$60,MATCH(1,(GMW!$NE$2:$NE$60=AF$3)*(GMW!$ND$2:$ND$60=AF$4)*(GMW!$NF$2:$NF$60=AF$1),0),$F347-1966)</f>
        <v>1755.124</v>
      </c>
      <c r="AG347" s="4" cm="1">
        <f t="array" ref="AG347">INDEX(GMW!$A$2:$NF$60,MATCH(1,(GMW!$NE$2:$NE$60=AG$3)*(GMW!$ND$2:$ND$60=AG$4)*(GMW!$NF$2:$NF$60=AG$1),0),$F347-1966)</f>
        <v>1169.915</v>
      </c>
      <c r="AH347" s="4" cm="1">
        <f t="array" ref="AH347">INDEX(GMW!$A$2:$NF$60,MATCH(1,(GMW!$NE$2:$NE$60=AH$3)*(GMW!$ND$2:$ND$60=AH$4)*(GMW!$NF$2:$NF$60=AH$1),0),$F347-1966)</f>
        <v>2721446</v>
      </c>
    </row>
    <row r="348" spans="1:34" x14ac:dyDescent="0.25">
      <c r="B348" s="4">
        <f t="shared" ref="B348:D359" si="115">+B344+1</f>
        <v>2058</v>
      </c>
      <c r="C348" s="4">
        <f t="shared" si="115"/>
        <v>2058</v>
      </c>
      <c r="F348" s="4">
        <f t="shared" si="101"/>
        <v>2314</v>
      </c>
      <c r="G348" s="4" cm="1">
        <f t="array" ref="G348">INDEX(GMW!$A$2:$NF$60,MATCH(1,(GMW!$NE$2:$NE$60=G$3)*(GMW!$ND$2:$ND$60=G$4)*(GMW!$NF$2:$NF$60=G$1),0),$F348-1966)</f>
        <v>1043659</v>
      </c>
      <c r="H348" s="4" cm="1">
        <f t="array" ref="H348">INDEX(GMW!$A$2:$NF$60,MATCH(1,(GMW!$NE$2:$NE$60=H$3)*(GMW!$ND$2:$ND$60=H$4)*(GMW!$NF$2:$NF$60=H$1),0),$F348-1966)</f>
        <v>10548.2</v>
      </c>
      <c r="I348" s="4" cm="1">
        <f t="array" ref="I348">INDEX(GMW!$A$2:$NF$60,MATCH(1,(GMW!$NE$2:$NE$60=I$3)*(GMW!$ND$2:$ND$60=I$4)*(GMW!$NF$2:$NF$60=I$1),0),$F348-1966)</f>
        <v>142683</v>
      </c>
      <c r="J348" s="4" cm="1">
        <f t="array" ref="J348">INDEX(GMW!$A$2:$NF$60,MATCH(1,(GMW!$NE$2:$NE$60=J$3)*(GMW!$ND$2:$ND$60=J$4)*(GMW!$NF$2:$NF$60=J$1),0),$F348-1966)</f>
        <v>1214.521</v>
      </c>
      <c r="K348" s="4" cm="1">
        <f t="array" ref="K348">INDEX(GMW!$A$2:$NF$60,MATCH(1,(GMW!$NE$2:$NE$60=K$3)*(GMW!$ND$2:$ND$60=K$4)*(GMW!$NF$2:$NF$60=K$1),0),$F348-1966)</f>
        <v>805.94420000000002</v>
      </c>
      <c r="L348" s="4" cm="1">
        <f t="array" ref="L348">INDEX(GMW!$A$2:$NF$60,MATCH(1,(GMW!$NE$2:$NE$60=L$3)*(GMW!$ND$2:$ND$60=L$4)*(GMW!$NF$2:$NF$60=L$1),0),$F348-1966)</f>
        <v>540.1925</v>
      </c>
      <c r="M348" s="4" cm="1">
        <f t="array" ref="M348">INDEX(GMW!$A$2:$NF$60,MATCH(1,(GMW!$NE$2:$NE$60=M$3)*(GMW!$ND$2:$ND$60=M$4)*(GMW!$NF$2:$NF$60=M$1),0),$F348-1966)</f>
        <v>1130787</v>
      </c>
      <c r="N348" s="4" cm="1">
        <f t="array" ref="N348">INDEX(GMW!$A$2:$NF$60,MATCH(1,(GMW!$NE$2:$NE$60=N$3)*(GMW!$ND$2:$ND$60=N$4)*(GMW!$NF$2:$NF$60=N$1),0),$F348-1966)</f>
        <v>-155877.29999999999</v>
      </c>
      <c r="O348" s="4" cm="1">
        <f t="array" ref="O348">INDEX(GMW!$A$2:$NF$60,MATCH(1,(GMW!$NE$2:$NE$60=O$3)*(GMW!$ND$2:$ND$60=O$4)*(GMW!$NF$2:$NF$60=O$1),0),$F348-1966)</f>
        <v>-1067.1690000000001</v>
      </c>
      <c r="P348" s="4" cm="1">
        <f t="array" ref="P348">INDEX(GMW!$A$2:$NF$60,MATCH(1,(GMW!$NE$2:$NE$60=P$3)*(GMW!$ND$2:$ND$60=P$4)*(GMW!$NF$2:$NF$60=P$1),0),$F348-1966)</f>
        <v>-2364.5230000000001</v>
      </c>
      <c r="Q348" s="4" cm="1">
        <f t="array" ref="Q348">INDEX(GMW!$A$2:$NF$60,MATCH(1,(GMW!$NE$2:$NE$60=Q$3)*(GMW!$ND$2:$ND$60=Q$4)*(GMW!$NF$2:$NF$60=Q$1),0),$F348-1966)</f>
        <v>-41.455930000000002</v>
      </c>
      <c r="R348" s="4" cm="1">
        <f t="array" ref="R348">INDEX(GMW!$A$2:$NF$60,MATCH(1,(GMW!$NE$2:$NE$60=R$3)*(GMW!$ND$2:$ND$60=R$4)*(GMW!$NF$2:$NF$60=R$1),0),$F348-1966)</f>
        <v>-58.225769999999997</v>
      </c>
      <c r="S348" s="4" cm="1">
        <f t="array" ref="S348">INDEX(GMW!$A$2:$NF$60,MATCH(1,(GMW!$NE$2:$NE$60=S$3)*(GMW!$ND$2:$ND$60=S$4)*(GMW!$NF$2:$NF$60=S$1),0),$F348-1966)</f>
        <v>-20.872869999999999</v>
      </c>
      <c r="T348" s="4" cm="1">
        <f t="array" ref="T348">INDEX(GMW!$A$2:$NF$60,MATCH(1,(GMW!$NE$2:$NE$60=T$3)*(GMW!$ND$2:$ND$60=T$4)*(GMW!$NF$2:$NF$60=T$1),0),$F348-1966)</f>
        <v>-66475.88</v>
      </c>
      <c r="U348" s="4" cm="1">
        <f t="array" ref="U348">INDEX(GMW!$A$2:$NF$60,MATCH(1,(GMW!$NE$2:$NE$60=U$3)*(GMW!$ND$2:$ND$60=U$4)*(GMW!$NF$2:$NF$60=U$1),0),$F348-1966)</f>
        <v>10261340</v>
      </c>
      <c r="V348" s="4" cm="1">
        <f t="array" ref="V348">INDEX(GMW!$A$2:$NF$60,MATCH(1,(GMW!$NE$2:$NE$60=V$3)*(GMW!$ND$2:$ND$60=V$4)*(GMW!$NF$2:$NF$60=V$1),0),$F348-1966)</f>
        <v>170696.8</v>
      </c>
      <c r="W348" s="4" cm="1">
        <f t="array" ref="W348">INDEX(GMW!$A$2:$NF$60,MATCH(1,(GMW!$NE$2:$NE$60=W$3)*(GMW!$ND$2:$ND$60=W$4)*(GMW!$NF$2:$NF$60=W$1),0),$F348-1966)</f>
        <v>1717064</v>
      </c>
      <c r="X348" s="4" cm="1">
        <f t="array" ref="X348">INDEX(GMW!$A$2:$NF$60,MATCH(1,(GMW!$NE$2:$NE$60=X$3)*(GMW!$ND$2:$ND$60=X$4)*(GMW!$NF$2:$NF$60=X$1),0),$F348-1966)</f>
        <v>6824.0510000000004</v>
      </c>
      <c r="Y348" s="4" cm="1">
        <f t="array" ref="Y348">INDEX(GMW!$A$2:$NF$60,MATCH(1,(GMW!$NE$2:$NE$60=Y$3)*(GMW!$ND$2:$ND$60=Y$4)*(GMW!$NF$2:$NF$60=Y$1),0),$F348-1966)</f>
        <v>9396.1790000000001</v>
      </c>
      <c r="Z348" s="4" cm="1">
        <f t="array" ref="Z348">INDEX(GMW!$A$2:$NF$60,MATCH(1,(GMW!$NE$2:$NE$60=Z$3)*(GMW!$ND$2:$ND$60=Z$4)*(GMW!$NF$2:$NF$60=Z$1),0),$F348-1966)</f>
        <v>5540.9570000000003</v>
      </c>
      <c r="AA348" s="4" cm="1">
        <f t="array" ref="AA348">INDEX(GMW!$A$2:$NF$60,MATCH(1,(GMW!$NE$2:$NE$60=AA$3)*(GMW!$ND$2:$ND$60=AA$4)*(GMW!$NF$2:$NF$60=AA$1),0),$F348-1966)</f>
        <v>8533183</v>
      </c>
      <c r="AB348" s="4" cm="1">
        <f t="array" ref="AB348">INDEX(GMW!$A$2:$NF$60,MATCH(1,(GMW!$NE$2:$NE$60=AB$3)*(GMW!$ND$2:$ND$60=AB$4)*(GMW!$NF$2:$NF$60=AB$1),0),$F348-1966)</f>
        <v>2426645</v>
      </c>
      <c r="AC348" s="4" cm="1">
        <f t="array" ref="AC348">INDEX(GMW!$A$2:$NF$60,MATCH(1,(GMW!$NE$2:$NE$60=AC$3)*(GMW!$ND$2:$ND$60=AC$4)*(GMW!$NF$2:$NF$60=AC$1),0),$F348-1966)</f>
        <v>25040.04</v>
      </c>
      <c r="AD348" s="4" cm="1">
        <f t="array" ref="AD348">INDEX(GMW!$A$2:$NF$60,MATCH(1,(GMW!$NE$2:$NE$60=AD$3)*(GMW!$ND$2:$ND$60=AD$4)*(GMW!$NF$2:$NF$60=AD$1),0),$F348-1966)</f>
        <v>254046.8</v>
      </c>
      <c r="AE348" s="4" cm="1">
        <f t="array" ref="AE348">INDEX(GMW!$A$2:$NF$60,MATCH(1,(GMW!$NE$2:$NE$60=AE$3)*(GMW!$ND$2:$ND$60=AE$4)*(GMW!$NF$2:$NF$60=AE$1),0),$F348-1966)</f>
        <v>2960.5459999999998</v>
      </c>
      <c r="AF348" s="4" cm="1">
        <f t="array" ref="AF348">INDEX(GMW!$A$2:$NF$60,MATCH(1,(GMW!$NE$2:$NE$60=AF$3)*(GMW!$ND$2:$ND$60=AF$4)*(GMW!$NF$2:$NF$60=AF$1),0),$F348-1966)</f>
        <v>1764.7149999999999</v>
      </c>
      <c r="AG348" s="4" cm="1">
        <f t="array" ref="AG348">INDEX(GMW!$A$2:$NF$60,MATCH(1,(GMW!$NE$2:$NE$60=AG$3)*(GMW!$ND$2:$ND$60=AG$4)*(GMW!$NF$2:$NF$60=AG$1),0),$F348-1966)</f>
        <v>1176.816</v>
      </c>
      <c r="AH348" s="4" cm="1">
        <f t="array" ref="AH348">INDEX(GMW!$A$2:$NF$60,MATCH(1,(GMW!$NE$2:$NE$60=AH$3)*(GMW!$ND$2:$ND$60=AH$4)*(GMW!$NF$2:$NF$60=AH$1),0),$F348-1966)</f>
        <v>2746535</v>
      </c>
    </row>
    <row r="349" spans="1:34" x14ac:dyDescent="0.25">
      <c r="B349" s="4">
        <f t="shared" si="115"/>
        <v>2058</v>
      </c>
      <c r="C349" s="4">
        <f t="shared" si="115"/>
        <v>2058</v>
      </c>
      <c r="F349" s="4">
        <f t="shared" si="101"/>
        <v>2315</v>
      </c>
      <c r="G349" s="4" cm="1">
        <f t="array" ref="G349">INDEX(GMW!$A$2:$NF$60,MATCH(1,(GMW!$NE$2:$NE$60=G$3)*(GMW!$ND$2:$ND$60=G$4)*(GMW!$NF$2:$NF$60=G$1),0),$F349-1966)</f>
        <v>1046809</v>
      </c>
      <c r="H349" s="4" cm="1">
        <f t="array" ref="H349">INDEX(GMW!$A$2:$NF$60,MATCH(1,(GMW!$NE$2:$NE$60=H$3)*(GMW!$ND$2:$ND$60=H$4)*(GMW!$NF$2:$NF$60=H$1),0),$F349-1966)</f>
        <v>10589.38</v>
      </c>
      <c r="I349" s="4" cm="1">
        <f t="array" ref="I349">INDEX(GMW!$A$2:$NF$60,MATCH(1,(GMW!$NE$2:$NE$60=I$3)*(GMW!$ND$2:$ND$60=I$4)*(GMW!$NF$2:$NF$60=I$1),0),$F349-1966)</f>
        <v>142832.6</v>
      </c>
      <c r="J349" s="4" cm="1">
        <f t="array" ref="J349">INDEX(GMW!$A$2:$NF$60,MATCH(1,(GMW!$NE$2:$NE$60=J$3)*(GMW!$ND$2:$ND$60=J$4)*(GMW!$NF$2:$NF$60=J$1),0),$F349-1966)</f>
        <v>1216.83</v>
      </c>
      <c r="K349" s="4" cm="1">
        <f t="array" ref="K349">INDEX(GMW!$A$2:$NF$60,MATCH(1,(GMW!$NE$2:$NE$60=K$3)*(GMW!$ND$2:$ND$60=K$4)*(GMW!$NF$2:$NF$60=K$1),0),$F349-1966)</f>
        <v>806.4751</v>
      </c>
      <c r="L349" s="4" cm="1">
        <f t="array" ref="L349">INDEX(GMW!$A$2:$NF$60,MATCH(1,(GMW!$NE$2:$NE$60=L$3)*(GMW!$ND$2:$ND$60=L$4)*(GMW!$NF$2:$NF$60=L$1),0),$F349-1966)</f>
        <v>540.67219999999998</v>
      </c>
      <c r="M349" s="4" cm="1">
        <f t="array" ref="M349">INDEX(GMW!$A$2:$NF$60,MATCH(1,(GMW!$NE$2:$NE$60=M$3)*(GMW!$ND$2:$ND$60=M$4)*(GMW!$NF$2:$NF$60=M$1),0),$F349-1966)</f>
        <v>1135640</v>
      </c>
      <c r="N349" s="4" cm="1">
        <f t="array" ref="N349">INDEX(GMW!$A$2:$NF$60,MATCH(1,(GMW!$NE$2:$NE$60=N$3)*(GMW!$ND$2:$ND$60=N$4)*(GMW!$NF$2:$NF$60=N$1),0),$F349-1966)</f>
        <v>-84087.5</v>
      </c>
      <c r="O349" s="4" cm="1">
        <f t="array" ref="O349">INDEX(GMW!$A$2:$NF$60,MATCH(1,(GMW!$NE$2:$NE$60=O$3)*(GMW!$ND$2:$ND$60=O$4)*(GMW!$NF$2:$NF$60=O$1),0),$F349-1966)</f>
        <v>-1062.538</v>
      </c>
      <c r="P349" s="4" cm="1">
        <f t="array" ref="P349">INDEX(GMW!$A$2:$NF$60,MATCH(1,(GMW!$NE$2:$NE$60=P$3)*(GMW!$ND$2:$ND$60=P$4)*(GMW!$NF$2:$NF$60=P$1),0),$F349-1966)</f>
        <v>-2375.953</v>
      </c>
      <c r="Q349" s="4" cm="1">
        <f t="array" ref="Q349">INDEX(GMW!$A$2:$NF$60,MATCH(1,(GMW!$NE$2:$NE$60=Q$3)*(GMW!$ND$2:$ND$60=Q$4)*(GMW!$NF$2:$NF$60=Q$1),0),$F349-1966)</f>
        <v>-41.723999999999997</v>
      </c>
      <c r="R349" s="4" cm="1">
        <f t="array" ref="R349">INDEX(GMW!$A$2:$NF$60,MATCH(1,(GMW!$NE$2:$NE$60=R$3)*(GMW!$ND$2:$ND$60=R$4)*(GMW!$NF$2:$NF$60=R$1),0),$F349-1966)</f>
        <v>-58.554499999999997</v>
      </c>
      <c r="S349" s="4" cm="1">
        <f t="array" ref="S349">INDEX(GMW!$A$2:$NF$60,MATCH(1,(GMW!$NE$2:$NE$60=S$3)*(GMW!$ND$2:$ND$60=S$4)*(GMW!$NF$2:$NF$60=S$1),0),$F349-1966)</f>
        <v>-20.99597</v>
      </c>
      <c r="T349" s="4" cm="1">
        <f t="array" ref="T349">INDEX(GMW!$A$2:$NF$60,MATCH(1,(GMW!$NE$2:$NE$60=T$3)*(GMW!$ND$2:$ND$60=T$4)*(GMW!$NF$2:$NF$60=T$1),0),$F349-1966)</f>
        <v>-66845.75</v>
      </c>
      <c r="U349" s="4" cm="1">
        <f t="array" ref="U349">INDEX(GMW!$A$2:$NF$60,MATCH(1,(GMW!$NE$2:$NE$60=U$3)*(GMW!$ND$2:$ND$60=U$4)*(GMW!$NF$2:$NF$60=U$1),0),$F349-1966)</f>
        <v>10345420</v>
      </c>
      <c r="V349" s="4" cm="1">
        <f t="array" ref="V349">INDEX(GMW!$A$2:$NF$60,MATCH(1,(GMW!$NE$2:$NE$60=V$3)*(GMW!$ND$2:$ND$60=V$4)*(GMW!$NF$2:$NF$60=V$1),0),$F349-1966)</f>
        <v>171759.3</v>
      </c>
      <c r="W349" s="4" cm="1">
        <f t="array" ref="W349">INDEX(GMW!$A$2:$NF$60,MATCH(1,(GMW!$NE$2:$NE$60=W$3)*(GMW!$ND$2:$ND$60=W$4)*(GMW!$NF$2:$NF$60=W$1),0),$F349-1966)</f>
        <v>1719440</v>
      </c>
      <c r="X349" s="4" cm="1">
        <f t="array" ref="X349">INDEX(GMW!$A$2:$NF$60,MATCH(1,(GMW!$NE$2:$NE$60=X$3)*(GMW!$ND$2:$ND$60=X$4)*(GMW!$NF$2:$NF$60=X$1),0),$F349-1966)</f>
        <v>6865.7749999999996</v>
      </c>
      <c r="Y349" s="4" cm="1">
        <f t="array" ref="Y349">INDEX(GMW!$A$2:$NF$60,MATCH(1,(GMW!$NE$2:$NE$60=Y$3)*(GMW!$ND$2:$ND$60=Y$4)*(GMW!$NF$2:$NF$60=Y$1),0),$F349-1966)</f>
        <v>9454.7330000000002</v>
      </c>
      <c r="Z349" s="4" cm="1">
        <f t="array" ref="Z349">INDEX(GMW!$A$2:$NF$60,MATCH(1,(GMW!$NE$2:$NE$60=Z$3)*(GMW!$ND$2:$ND$60=Z$4)*(GMW!$NF$2:$NF$60=Z$1),0),$F349-1966)</f>
        <v>5561.9530000000004</v>
      </c>
      <c r="AA349" s="4" cm="1">
        <f t="array" ref="AA349">INDEX(GMW!$A$2:$NF$60,MATCH(1,(GMW!$NE$2:$NE$60=AA$3)*(GMW!$ND$2:$ND$60=AA$4)*(GMW!$NF$2:$NF$60=AA$1),0),$F349-1966)</f>
        <v>8600029</v>
      </c>
      <c r="AB349" s="4" cm="1">
        <f t="array" ref="AB349">INDEX(GMW!$A$2:$NF$60,MATCH(1,(GMW!$NE$2:$NE$60=AB$3)*(GMW!$ND$2:$ND$60=AB$4)*(GMW!$NF$2:$NF$60=AB$1),0),$F349-1966)</f>
        <v>2446991</v>
      </c>
      <c r="AC349" s="4" cm="1">
        <f t="array" ref="AC349">INDEX(GMW!$A$2:$NF$60,MATCH(1,(GMW!$NE$2:$NE$60=AC$3)*(GMW!$ND$2:$ND$60=AC$4)*(GMW!$NF$2:$NF$60=AC$1),0),$F349-1966)</f>
        <v>25259.1</v>
      </c>
      <c r="AD349" s="4" cm="1">
        <f t="array" ref="AD349">INDEX(GMW!$A$2:$NF$60,MATCH(1,(GMW!$NE$2:$NE$60=AD$3)*(GMW!$ND$2:$ND$60=AD$4)*(GMW!$NF$2:$NF$60=AD$1),0),$F349-1966)</f>
        <v>255284.8</v>
      </c>
      <c r="AE349" s="4" cm="1">
        <f t="array" ref="AE349">INDEX(GMW!$A$2:$NF$60,MATCH(1,(GMW!$NE$2:$NE$60=AE$3)*(GMW!$ND$2:$ND$60=AE$4)*(GMW!$NF$2:$NF$60=AE$1),0),$F349-1966)</f>
        <v>2980.8890000000001</v>
      </c>
      <c r="AF349" s="4" cm="1">
        <f t="array" ref="AF349">INDEX(GMW!$A$2:$NF$60,MATCH(1,(GMW!$NE$2:$NE$60=AF$3)*(GMW!$ND$2:$ND$60=AF$4)*(GMW!$NF$2:$NF$60=AF$1),0),$F349-1966)</f>
        <v>1774.633</v>
      </c>
      <c r="AG349" s="4" cm="1">
        <f t="array" ref="AG349">INDEX(GMW!$A$2:$NF$60,MATCH(1,(GMW!$NE$2:$NE$60=AG$3)*(GMW!$ND$2:$ND$60=AG$4)*(GMW!$NF$2:$NF$60=AG$1),0),$F349-1966)</f>
        <v>1183.761</v>
      </c>
      <c r="AH349" s="4" cm="1">
        <f t="array" ref="AH349">INDEX(GMW!$A$2:$NF$60,MATCH(1,(GMW!$NE$2:$NE$60=AH$3)*(GMW!$ND$2:$ND$60=AH$4)*(GMW!$NF$2:$NF$60=AH$1),0),$F349-1966)</f>
        <v>2771903</v>
      </c>
    </row>
    <row r="350" spans="1:34" x14ac:dyDescent="0.25">
      <c r="B350" s="4">
        <f t="shared" si="115"/>
        <v>2058</v>
      </c>
      <c r="C350" s="4">
        <f t="shared" si="115"/>
        <v>2058</v>
      </c>
      <c r="E350" s="4">
        <f t="shared" ref="E350" si="116">+E346+1</f>
        <v>2058</v>
      </c>
      <c r="F350" s="4">
        <f t="shared" si="101"/>
        <v>2316</v>
      </c>
      <c r="G350" s="4" cm="1">
        <f t="array" ref="G350">INDEX(GMW!$A$2:$NF$60,MATCH(1,(GMW!$NE$2:$NE$60=G$3)*(GMW!$ND$2:$ND$60=G$4)*(GMW!$NF$2:$NF$60=G$1),0),$F350-1966)</f>
        <v>1049963</v>
      </c>
      <c r="H350" s="4" cm="1">
        <f t="array" ref="H350">INDEX(GMW!$A$2:$NF$60,MATCH(1,(GMW!$NE$2:$NE$60=H$3)*(GMW!$ND$2:$ND$60=H$4)*(GMW!$NF$2:$NF$60=H$1),0),$F350-1966)</f>
        <v>10630.68</v>
      </c>
      <c r="I350" s="4" cm="1">
        <f t="array" ref="I350">INDEX(GMW!$A$2:$NF$60,MATCH(1,(GMW!$NE$2:$NE$60=I$3)*(GMW!$ND$2:$ND$60=I$4)*(GMW!$NF$2:$NF$60=I$1),0),$F350-1966)</f>
        <v>142986.79999999999</v>
      </c>
      <c r="J350" s="4" cm="1">
        <f t="array" ref="J350">INDEX(GMW!$A$2:$NF$60,MATCH(1,(GMW!$NE$2:$NE$60=J$3)*(GMW!$ND$2:$ND$60=J$4)*(GMW!$NF$2:$NF$60=J$1),0),$F350-1966)</f>
        <v>1219.143</v>
      </c>
      <c r="K350" s="4" cm="1">
        <f t="array" ref="K350">INDEX(GMW!$A$2:$NF$60,MATCH(1,(GMW!$NE$2:$NE$60=K$3)*(GMW!$ND$2:$ND$60=K$4)*(GMW!$NF$2:$NF$60=K$1),0),$F350-1966)</f>
        <v>806.88760000000002</v>
      </c>
      <c r="L350" s="4" cm="1">
        <f t="array" ref="L350">INDEX(GMW!$A$2:$NF$60,MATCH(1,(GMW!$NE$2:$NE$60=L$3)*(GMW!$ND$2:$ND$60=L$4)*(GMW!$NF$2:$NF$60=L$1),0),$F350-1966)</f>
        <v>541.15060000000005</v>
      </c>
      <c r="M350" s="4" cm="1">
        <f t="array" ref="M350">INDEX(GMW!$A$2:$NF$60,MATCH(1,(GMW!$NE$2:$NE$60=M$3)*(GMW!$ND$2:$ND$60=M$4)*(GMW!$NF$2:$NF$60=M$1),0),$F350-1966)</f>
        <v>1140522</v>
      </c>
      <c r="N350" s="4" cm="1">
        <f t="array" ref="N350">INDEX(GMW!$A$2:$NF$60,MATCH(1,(GMW!$NE$2:$NE$60=N$3)*(GMW!$ND$2:$ND$60=N$4)*(GMW!$NF$2:$NF$60=N$1),0),$F350-1966)</f>
        <v>-148058.9</v>
      </c>
      <c r="O350" s="4" cm="1">
        <f t="array" ref="O350">INDEX(GMW!$A$2:$NF$60,MATCH(1,(GMW!$NE$2:$NE$60=O$3)*(GMW!$ND$2:$ND$60=O$4)*(GMW!$NF$2:$NF$60=O$1),0),$F350-1966)</f>
        <v>-1057.7159999999999</v>
      </c>
      <c r="P350" s="4" cm="1">
        <f t="array" ref="P350">INDEX(GMW!$A$2:$NF$60,MATCH(1,(GMW!$NE$2:$NE$60=P$3)*(GMW!$ND$2:$ND$60=P$4)*(GMW!$NF$2:$NF$60=P$1),0),$F350-1966)</f>
        <v>-2387.5309999999999</v>
      </c>
      <c r="Q350" s="4" cm="1">
        <f t="array" ref="Q350">INDEX(GMW!$A$2:$NF$60,MATCH(1,(GMW!$NE$2:$NE$60=Q$3)*(GMW!$ND$2:$ND$60=Q$4)*(GMW!$NF$2:$NF$60=Q$1),0),$F350-1966)</f>
        <v>-41.992069999999998</v>
      </c>
      <c r="R350" s="4" cm="1">
        <f t="array" ref="R350">INDEX(GMW!$A$2:$NF$60,MATCH(1,(GMW!$NE$2:$NE$60=R$3)*(GMW!$ND$2:$ND$60=R$4)*(GMW!$NF$2:$NF$60=R$1),0),$F350-1966)</f>
        <v>-58.88861</v>
      </c>
      <c r="S350" s="4" cm="1">
        <f t="array" ref="S350">INDEX(GMW!$A$2:$NF$60,MATCH(1,(GMW!$NE$2:$NE$60=S$3)*(GMW!$ND$2:$ND$60=S$4)*(GMW!$NF$2:$NF$60=S$1),0),$F350-1966)</f>
        <v>-21.119869999999999</v>
      </c>
      <c r="T350" s="4" cm="1">
        <f t="array" ref="T350">INDEX(GMW!$A$2:$NF$60,MATCH(1,(GMW!$NE$2:$NE$60=T$3)*(GMW!$ND$2:$ND$60=T$4)*(GMW!$NF$2:$NF$60=T$1),0),$F350-1966)</f>
        <v>-67663.38</v>
      </c>
      <c r="U350" s="4" cm="1">
        <f t="array" ref="U350">INDEX(GMW!$A$2:$NF$60,MATCH(1,(GMW!$NE$2:$NE$60=U$3)*(GMW!$ND$2:$ND$60=U$4)*(GMW!$NF$2:$NF$60=U$1),0),$F350-1966)</f>
        <v>10493480</v>
      </c>
      <c r="V350" s="4" cm="1">
        <f t="array" ref="V350">INDEX(GMW!$A$2:$NF$60,MATCH(1,(GMW!$NE$2:$NE$60=V$3)*(GMW!$ND$2:$ND$60=V$4)*(GMW!$NF$2:$NF$60=V$1),0),$F350-1966)</f>
        <v>172817</v>
      </c>
      <c r="W350" s="4" cm="1">
        <f t="array" ref="W350">INDEX(GMW!$A$2:$NF$60,MATCH(1,(GMW!$NE$2:$NE$60=W$3)*(GMW!$ND$2:$ND$60=W$4)*(GMW!$NF$2:$NF$60=W$1),0),$F350-1966)</f>
        <v>1721828</v>
      </c>
      <c r="X350" s="4" cm="1">
        <f t="array" ref="X350">INDEX(GMW!$A$2:$NF$60,MATCH(1,(GMW!$NE$2:$NE$60=X$3)*(GMW!$ND$2:$ND$60=X$4)*(GMW!$NF$2:$NF$60=X$1),0),$F350-1966)</f>
        <v>6907.768</v>
      </c>
      <c r="Y350" s="4" cm="1">
        <f t="array" ref="Y350">INDEX(GMW!$A$2:$NF$60,MATCH(1,(GMW!$NE$2:$NE$60=Y$3)*(GMW!$ND$2:$ND$60=Y$4)*(GMW!$NF$2:$NF$60=Y$1),0),$F350-1966)</f>
        <v>9513.6219999999994</v>
      </c>
      <c r="Z350" s="4" cm="1">
        <f t="array" ref="Z350">INDEX(GMW!$A$2:$NF$60,MATCH(1,(GMW!$NE$2:$NE$60=Z$3)*(GMW!$ND$2:$ND$60=Z$4)*(GMW!$NF$2:$NF$60=Z$1),0),$F350-1966)</f>
        <v>5583.0730000000003</v>
      </c>
      <c r="AA350" s="4" cm="1">
        <f t="array" ref="AA350">INDEX(GMW!$A$2:$NF$60,MATCH(1,(GMW!$NE$2:$NE$60=AA$3)*(GMW!$ND$2:$ND$60=AA$4)*(GMW!$NF$2:$NF$60=AA$1),0),$F350-1966)</f>
        <v>8667692</v>
      </c>
      <c r="AB350" s="4" cm="1">
        <f t="array" ref="AB350">INDEX(GMW!$A$2:$NF$60,MATCH(1,(GMW!$NE$2:$NE$60=AB$3)*(GMW!$ND$2:$ND$60=AB$4)*(GMW!$NF$2:$NF$60=AB$1),0),$F350-1966)</f>
        <v>2467495</v>
      </c>
      <c r="AC350" s="4" cm="1">
        <f t="array" ref="AC350">INDEX(GMW!$A$2:$NF$60,MATCH(1,(GMW!$NE$2:$NE$60=AC$3)*(GMW!$ND$2:$ND$60=AC$4)*(GMW!$NF$2:$NF$60=AC$1),0),$F350-1966)</f>
        <v>25479.98</v>
      </c>
      <c r="AD350" s="4" cm="1">
        <f t="array" ref="AD350">INDEX(GMW!$A$2:$NF$60,MATCH(1,(GMW!$NE$2:$NE$60=AD$3)*(GMW!$ND$2:$ND$60=AD$4)*(GMW!$NF$2:$NF$60=AD$1),0),$F350-1966)</f>
        <v>256537.2</v>
      </c>
      <c r="AE350" s="4" cm="1">
        <f t="array" ref="AE350">INDEX(GMW!$A$2:$NF$60,MATCH(1,(GMW!$NE$2:$NE$60=AE$3)*(GMW!$ND$2:$ND$60=AE$4)*(GMW!$NF$2:$NF$60=AE$1),0),$F350-1966)</f>
        <v>3001.373</v>
      </c>
      <c r="AF350" s="4" cm="1">
        <f t="array" ref="AF350">INDEX(GMW!$A$2:$NF$60,MATCH(1,(GMW!$NE$2:$NE$60=AF$3)*(GMW!$ND$2:$ND$60=AF$4)*(GMW!$NF$2:$NF$60=AF$1),0),$F350-1966)</f>
        <v>1784.3050000000001</v>
      </c>
      <c r="AG350" s="4" cm="1">
        <f t="array" ref="AG350">INDEX(GMW!$A$2:$NF$60,MATCH(1,(GMW!$NE$2:$NE$60=AG$3)*(GMW!$ND$2:$ND$60=AG$4)*(GMW!$NF$2:$NF$60=AG$1),0),$F350-1966)</f>
        <v>1190.7159999999999</v>
      </c>
      <c r="AH350" s="4" cm="1">
        <f t="array" ref="AH350">INDEX(GMW!$A$2:$NF$60,MATCH(1,(GMW!$NE$2:$NE$60=AH$3)*(GMW!$ND$2:$ND$60=AH$4)*(GMW!$NF$2:$NF$60=AH$1),0),$F350-1966)</f>
        <v>2797534</v>
      </c>
    </row>
    <row r="351" spans="1:34" x14ac:dyDescent="0.25">
      <c r="A351" s="4">
        <v>2059</v>
      </c>
      <c r="B351" s="4">
        <f t="shared" si="115"/>
        <v>2059</v>
      </c>
      <c r="C351" s="4">
        <f t="shared" si="115"/>
        <v>2058</v>
      </c>
      <c r="D351" s="4">
        <f t="shared" si="115"/>
        <v>2058</v>
      </c>
      <c r="F351" s="4">
        <f t="shared" si="101"/>
        <v>2317</v>
      </c>
      <c r="G351" s="4" cm="1">
        <f t="array" ref="G351">INDEX(GMW!$A$2:$NF$60,MATCH(1,(GMW!$NE$2:$NE$60=G$3)*(GMW!$ND$2:$ND$60=G$4)*(GMW!$NF$2:$NF$60=G$1),0),$F351-1966)</f>
        <v>1053121</v>
      </c>
      <c r="H351" s="4" cm="1">
        <f t="array" ref="H351">INDEX(GMW!$A$2:$NF$60,MATCH(1,(GMW!$NE$2:$NE$60=H$3)*(GMW!$ND$2:$ND$60=H$4)*(GMW!$NF$2:$NF$60=H$1),0),$F351-1966)</f>
        <v>10672.17</v>
      </c>
      <c r="I351" s="4" cm="1">
        <f t="array" ref="I351">INDEX(GMW!$A$2:$NF$60,MATCH(1,(GMW!$NE$2:$NE$60=I$3)*(GMW!$ND$2:$ND$60=I$4)*(GMW!$NF$2:$NF$60=I$1),0),$F351-1966)</f>
        <v>143139.29999999999</v>
      </c>
      <c r="J351" s="4" cm="1">
        <f t="array" ref="J351">INDEX(GMW!$A$2:$NF$60,MATCH(1,(GMW!$NE$2:$NE$60=J$3)*(GMW!$ND$2:$ND$60=J$4)*(GMW!$NF$2:$NF$60=J$1),0),$F351-1966)</f>
        <v>1221.5530000000001</v>
      </c>
      <c r="K351" s="4" cm="1">
        <f t="array" ref="K351">INDEX(GMW!$A$2:$NF$60,MATCH(1,(GMW!$NE$2:$NE$60=K$3)*(GMW!$ND$2:$ND$60=K$4)*(GMW!$NF$2:$NF$60=K$1),0),$F351-1966)</f>
        <v>807.42190000000005</v>
      </c>
      <c r="L351" s="4" cm="1">
        <f t="array" ref="L351">INDEX(GMW!$A$2:$NF$60,MATCH(1,(GMW!$NE$2:$NE$60=L$3)*(GMW!$ND$2:$ND$60=L$4)*(GMW!$NF$2:$NF$60=L$1),0),$F351-1966)</f>
        <v>541.47979999999995</v>
      </c>
      <c r="M351" s="4" cm="1">
        <f t="array" ref="M351">INDEX(GMW!$A$2:$NF$60,MATCH(1,(GMW!$NE$2:$NE$60=M$3)*(GMW!$ND$2:$ND$60=M$4)*(GMW!$NF$2:$NF$60=M$1),0),$F351-1966)</f>
        <v>1145442</v>
      </c>
      <c r="N351" s="4" cm="1">
        <f t="array" ref="N351">INDEX(GMW!$A$2:$NF$60,MATCH(1,(GMW!$NE$2:$NE$60=N$3)*(GMW!$ND$2:$ND$60=N$4)*(GMW!$NF$2:$NF$60=N$1),0),$F351-1966)</f>
        <v>-7190.5</v>
      </c>
      <c r="O351" s="4" cm="1">
        <f t="array" ref="O351">INDEX(GMW!$A$2:$NF$60,MATCH(1,(GMW!$NE$2:$NE$60=O$3)*(GMW!$ND$2:$ND$60=O$4)*(GMW!$NF$2:$NF$60=O$1),0),$F351-1966)</f>
        <v>-1052.7860000000001</v>
      </c>
      <c r="P351" s="4" cm="1">
        <f t="array" ref="P351">INDEX(GMW!$A$2:$NF$60,MATCH(1,(GMW!$NE$2:$NE$60=P$3)*(GMW!$ND$2:$ND$60=P$4)*(GMW!$NF$2:$NF$60=P$1),0),$F351-1966)</f>
        <v>-2399.25</v>
      </c>
      <c r="Q351" s="4" cm="1">
        <f t="array" ref="Q351">INDEX(GMW!$A$2:$NF$60,MATCH(1,(GMW!$NE$2:$NE$60=Q$3)*(GMW!$ND$2:$ND$60=Q$4)*(GMW!$NF$2:$NF$60=Q$1),0),$F351-1966)</f>
        <v>-42.265009999999997</v>
      </c>
      <c r="R351" s="4" cm="1">
        <f t="array" ref="R351">INDEX(GMW!$A$2:$NF$60,MATCH(1,(GMW!$NE$2:$NE$60=R$3)*(GMW!$ND$2:$ND$60=R$4)*(GMW!$NF$2:$NF$60=R$1),0),$F351-1966)</f>
        <v>-59.220149999999997</v>
      </c>
      <c r="S351" s="4" cm="1">
        <f t="array" ref="S351">INDEX(GMW!$A$2:$NF$60,MATCH(1,(GMW!$NE$2:$NE$60=S$3)*(GMW!$ND$2:$ND$60=S$4)*(GMW!$NF$2:$NF$60=S$1),0),$F351-1966)</f>
        <v>-21.243960000000001</v>
      </c>
      <c r="T351" s="4" cm="1">
        <f t="array" ref="T351">INDEX(GMW!$A$2:$NF$60,MATCH(1,(GMW!$NE$2:$NE$60=T$3)*(GMW!$ND$2:$ND$60=T$4)*(GMW!$NF$2:$NF$60=T$1),0),$F351-1966)</f>
        <v>-68379.88</v>
      </c>
      <c r="U351" s="4" cm="1">
        <f t="array" ref="U351">INDEX(GMW!$A$2:$NF$60,MATCH(1,(GMW!$NE$2:$NE$60=U$3)*(GMW!$ND$2:$ND$60=U$4)*(GMW!$NF$2:$NF$60=U$1),0),$F351-1966)</f>
        <v>10500670</v>
      </c>
      <c r="V351" s="4" cm="1">
        <f t="array" ref="V351">INDEX(GMW!$A$2:$NF$60,MATCH(1,(GMW!$NE$2:$NE$60=V$3)*(GMW!$ND$2:$ND$60=V$4)*(GMW!$NF$2:$NF$60=V$1),0),$F351-1966)</f>
        <v>173869.8</v>
      </c>
      <c r="W351" s="4" cm="1">
        <f t="array" ref="W351">INDEX(GMW!$A$2:$NF$60,MATCH(1,(GMW!$NE$2:$NE$60=W$3)*(GMW!$ND$2:$ND$60=W$4)*(GMW!$NF$2:$NF$60=W$1),0),$F351-1966)</f>
        <v>1724227</v>
      </c>
      <c r="X351" s="4" cm="1">
        <f t="array" ref="X351">INDEX(GMW!$A$2:$NF$60,MATCH(1,(GMW!$NE$2:$NE$60=X$3)*(GMW!$ND$2:$ND$60=X$4)*(GMW!$NF$2:$NF$60=X$1),0),$F351-1966)</f>
        <v>6950.0330000000004</v>
      </c>
      <c r="Y351" s="4" cm="1">
        <f t="array" ref="Y351">INDEX(GMW!$A$2:$NF$60,MATCH(1,(GMW!$NE$2:$NE$60=Y$3)*(GMW!$ND$2:$ND$60=Y$4)*(GMW!$NF$2:$NF$60=Y$1),0),$F351-1966)</f>
        <v>9572.8420000000006</v>
      </c>
      <c r="Z351" s="4" cm="1">
        <f t="array" ref="Z351">INDEX(GMW!$A$2:$NF$60,MATCH(1,(GMW!$NE$2:$NE$60=Z$3)*(GMW!$ND$2:$ND$60=Z$4)*(GMW!$NF$2:$NF$60=Z$1),0),$F351-1966)</f>
        <v>5604.317</v>
      </c>
      <c r="AA351" s="4" cm="1">
        <f t="array" ref="AA351">INDEX(GMW!$A$2:$NF$60,MATCH(1,(GMW!$NE$2:$NE$60=AA$3)*(GMW!$ND$2:$ND$60=AA$4)*(GMW!$NF$2:$NF$60=AA$1),0),$F351-1966)</f>
        <v>8736072</v>
      </c>
      <c r="AB351" s="4" cm="1">
        <f t="array" ref="AB351">INDEX(GMW!$A$2:$NF$60,MATCH(1,(GMW!$NE$2:$NE$60=AB$3)*(GMW!$ND$2:$ND$60=AB$4)*(GMW!$NF$2:$NF$60=AB$1),0),$F351-1966)</f>
        <v>2488156</v>
      </c>
      <c r="AC351" s="4" cm="1">
        <f t="array" ref="AC351">INDEX(GMW!$A$2:$NF$60,MATCH(1,(GMW!$NE$2:$NE$60=AC$3)*(GMW!$ND$2:$ND$60=AC$4)*(GMW!$NF$2:$NF$60=AC$1),0),$F351-1966)</f>
        <v>25702.85</v>
      </c>
      <c r="AD351" s="4" cm="1">
        <f t="array" ref="AD351">INDEX(GMW!$A$2:$NF$60,MATCH(1,(GMW!$NE$2:$NE$60=AD$3)*(GMW!$ND$2:$ND$60=AD$4)*(GMW!$NF$2:$NF$60=AD$1),0),$F351-1966)</f>
        <v>257789.5</v>
      </c>
      <c r="AE351" s="4" cm="1">
        <f t="array" ref="AE351">INDEX(GMW!$A$2:$NF$60,MATCH(1,(GMW!$NE$2:$NE$60=AE$3)*(GMW!$ND$2:$ND$60=AE$4)*(GMW!$NF$2:$NF$60=AE$1),0),$F351-1966)</f>
        <v>3022.2249999999999</v>
      </c>
      <c r="AF351" s="4" cm="1">
        <f t="array" ref="AF351">INDEX(GMW!$A$2:$NF$60,MATCH(1,(GMW!$NE$2:$NE$60=AF$3)*(GMW!$ND$2:$ND$60=AF$4)*(GMW!$NF$2:$NF$60=AF$1),0),$F351-1966)</f>
        <v>1794.364</v>
      </c>
      <c r="AG351" s="4" cm="1">
        <f t="array" ref="AG351">INDEX(GMW!$A$2:$NF$60,MATCH(1,(GMW!$NE$2:$NE$60=AG$3)*(GMW!$ND$2:$ND$60=AG$4)*(GMW!$NF$2:$NF$60=AG$1),0),$F351-1966)</f>
        <v>1197.374</v>
      </c>
      <c r="AH351" s="4" cm="1">
        <f t="array" ref="AH351">INDEX(GMW!$A$2:$NF$60,MATCH(1,(GMW!$NE$2:$NE$60=AH$3)*(GMW!$ND$2:$ND$60=AH$4)*(GMW!$NF$2:$NF$60=AH$1),0),$F351-1966)</f>
        <v>2823442</v>
      </c>
    </row>
    <row r="352" spans="1:34" x14ac:dyDescent="0.25">
      <c r="B352" s="4">
        <f t="shared" si="115"/>
        <v>2059</v>
      </c>
      <c r="C352" s="4">
        <f t="shared" si="115"/>
        <v>2059</v>
      </c>
      <c r="F352" s="4">
        <f t="shared" si="101"/>
        <v>2318</v>
      </c>
      <c r="G352" s="4" cm="1">
        <f t="array" ref="G352">INDEX(GMW!$A$2:$NF$60,MATCH(1,(GMW!$NE$2:$NE$60=G$3)*(GMW!$ND$2:$ND$60=G$4)*(GMW!$NF$2:$NF$60=G$1),0),$F352-1966)</f>
        <v>1056283</v>
      </c>
      <c r="H352" s="4" cm="1">
        <f t="array" ref="H352">INDEX(GMW!$A$2:$NF$60,MATCH(1,(GMW!$NE$2:$NE$60=H$3)*(GMW!$ND$2:$ND$60=H$4)*(GMW!$NF$2:$NF$60=H$1),0),$F352-1966)</f>
        <v>10713.71</v>
      </c>
      <c r="I352" s="4" cm="1">
        <f t="array" ref="I352">INDEX(GMW!$A$2:$NF$60,MATCH(1,(GMW!$NE$2:$NE$60=I$3)*(GMW!$ND$2:$ND$60=I$4)*(GMW!$NF$2:$NF$60=I$1),0),$F352-1966)</f>
        <v>143288.29999999999</v>
      </c>
      <c r="J352" s="4" cm="1">
        <f t="array" ref="J352">INDEX(GMW!$A$2:$NF$60,MATCH(1,(GMW!$NE$2:$NE$60=J$3)*(GMW!$ND$2:$ND$60=J$4)*(GMW!$NF$2:$NF$60=J$1),0),$F352-1966)</f>
        <v>1223.9690000000001</v>
      </c>
      <c r="K352" s="4" cm="1">
        <f t="array" ref="K352">INDEX(GMW!$A$2:$NF$60,MATCH(1,(GMW!$NE$2:$NE$60=K$3)*(GMW!$ND$2:$ND$60=K$4)*(GMW!$NF$2:$NF$60=K$1),0),$F352-1966)</f>
        <v>807.82320000000004</v>
      </c>
      <c r="L352" s="4" cm="1">
        <f t="array" ref="L352">INDEX(GMW!$A$2:$NF$60,MATCH(1,(GMW!$NE$2:$NE$60=L$3)*(GMW!$ND$2:$ND$60=L$4)*(GMW!$NF$2:$NF$60=L$1),0),$F352-1966)</f>
        <v>541.80759999999998</v>
      </c>
      <c r="M352" s="4" cm="1">
        <f t="array" ref="M352">INDEX(GMW!$A$2:$NF$60,MATCH(1,(GMW!$NE$2:$NE$60=M$3)*(GMW!$ND$2:$ND$60=M$4)*(GMW!$NF$2:$NF$60=M$1),0),$F352-1966)</f>
        <v>1150330</v>
      </c>
      <c r="N352" s="4" cm="1">
        <f t="array" ref="N352">INDEX(GMW!$A$2:$NF$60,MATCH(1,(GMW!$NE$2:$NE$60=N$3)*(GMW!$ND$2:$ND$60=N$4)*(GMW!$NF$2:$NF$60=N$1),0),$F352-1966)</f>
        <v>-161165.70000000001</v>
      </c>
      <c r="O352" s="4" cm="1">
        <f t="array" ref="O352">INDEX(GMW!$A$2:$NF$60,MATCH(1,(GMW!$NE$2:$NE$60=O$3)*(GMW!$ND$2:$ND$60=O$4)*(GMW!$NF$2:$NF$60=O$1),0),$F352-1966)</f>
        <v>-1047.538</v>
      </c>
      <c r="P352" s="4" cm="1">
        <f t="array" ref="P352">INDEX(GMW!$A$2:$NF$60,MATCH(1,(GMW!$NE$2:$NE$60=P$3)*(GMW!$ND$2:$ND$60=P$4)*(GMW!$NF$2:$NF$60=P$1),0),$F352-1966)</f>
        <v>-2410.9609999999998</v>
      </c>
      <c r="Q352" s="4" cm="1">
        <f t="array" ref="Q352">INDEX(GMW!$A$2:$NF$60,MATCH(1,(GMW!$NE$2:$NE$60=Q$3)*(GMW!$ND$2:$ND$60=Q$4)*(GMW!$NF$2:$NF$60=Q$1),0),$F352-1966)</f>
        <v>-42.540889999999997</v>
      </c>
      <c r="R352" s="4" cm="1">
        <f t="array" ref="R352">INDEX(GMW!$A$2:$NF$60,MATCH(1,(GMW!$NE$2:$NE$60=R$3)*(GMW!$ND$2:$ND$60=R$4)*(GMW!$NF$2:$NF$60=R$1),0),$F352-1966)</f>
        <v>-59.542479999999998</v>
      </c>
      <c r="S352" s="4" cm="1">
        <f t="array" ref="S352">INDEX(GMW!$A$2:$NF$60,MATCH(1,(GMW!$NE$2:$NE$60=S$3)*(GMW!$ND$2:$ND$60=S$4)*(GMW!$NF$2:$NF$60=S$1),0),$F352-1966)</f>
        <v>-21.362729999999999</v>
      </c>
      <c r="T352" s="4" cm="1">
        <f t="array" ref="T352">INDEX(GMW!$A$2:$NF$60,MATCH(1,(GMW!$NE$2:$NE$60=T$3)*(GMW!$ND$2:$ND$60=T$4)*(GMW!$NF$2:$NF$60=T$1),0),$F352-1966)</f>
        <v>-69013.38</v>
      </c>
      <c r="U352" s="4" cm="1">
        <f t="array" ref="U352">INDEX(GMW!$A$2:$NF$60,MATCH(1,(GMW!$NE$2:$NE$60=U$3)*(GMW!$ND$2:$ND$60=U$4)*(GMW!$NF$2:$NF$60=U$1),0),$F352-1966)</f>
        <v>10661840</v>
      </c>
      <c r="V352" s="4" cm="1">
        <f t="array" ref="V352">INDEX(GMW!$A$2:$NF$60,MATCH(1,(GMW!$NE$2:$NE$60=V$3)*(GMW!$ND$2:$ND$60=V$4)*(GMW!$NF$2:$NF$60=V$1),0),$F352-1966)</f>
        <v>174917.3</v>
      </c>
      <c r="W352" s="4" cm="1">
        <f t="array" ref="W352">INDEX(GMW!$A$2:$NF$60,MATCH(1,(GMW!$NE$2:$NE$60=W$3)*(GMW!$ND$2:$ND$60=W$4)*(GMW!$NF$2:$NF$60=W$1),0),$F352-1966)</f>
        <v>1726638</v>
      </c>
      <c r="X352" s="4" cm="1">
        <f t="array" ref="X352">INDEX(GMW!$A$2:$NF$60,MATCH(1,(GMW!$NE$2:$NE$60=X$3)*(GMW!$ND$2:$ND$60=X$4)*(GMW!$NF$2:$NF$60=X$1),0),$F352-1966)</f>
        <v>6992.5739999999996</v>
      </c>
      <c r="Y352" s="4" cm="1">
        <f t="array" ref="Y352">INDEX(GMW!$A$2:$NF$60,MATCH(1,(GMW!$NE$2:$NE$60=Y$3)*(GMW!$ND$2:$ND$60=Y$4)*(GMW!$NF$2:$NF$60=Y$1),0),$F352-1966)</f>
        <v>9632.3850000000002</v>
      </c>
      <c r="Z352" s="4" cm="1">
        <f t="array" ref="Z352">INDEX(GMW!$A$2:$NF$60,MATCH(1,(GMW!$NE$2:$NE$60=Z$3)*(GMW!$ND$2:$ND$60=Z$4)*(GMW!$NF$2:$NF$60=Z$1),0),$F352-1966)</f>
        <v>5625.68</v>
      </c>
      <c r="AA352" s="4" cm="1">
        <f t="array" ref="AA352">INDEX(GMW!$A$2:$NF$60,MATCH(1,(GMW!$NE$2:$NE$60=AA$3)*(GMW!$ND$2:$ND$60=AA$4)*(GMW!$NF$2:$NF$60=AA$1),0),$F352-1966)</f>
        <v>8805085</v>
      </c>
      <c r="AB352" s="4" cm="1">
        <f t="array" ref="AB352">INDEX(GMW!$A$2:$NF$60,MATCH(1,(GMW!$NE$2:$NE$60=AB$3)*(GMW!$ND$2:$ND$60=AB$4)*(GMW!$NF$2:$NF$60=AB$1),0),$F352-1966)</f>
        <v>2508979</v>
      </c>
      <c r="AC352" s="4" cm="1">
        <f t="array" ref="AC352">INDEX(GMW!$A$2:$NF$60,MATCH(1,(GMW!$NE$2:$NE$60=AC$3)*(GMW!$ND$2:$ND$60=AC$4)*(GMW!$NF$2:$NF$60=AC$1),0),$F352-1966)</f>
        <v>25927.49</v>
      </c>
      <c r="AD352" s="4" cm="1">
        <f t="array" ref="AD352">INDEX(GMW!$A$2:$NF$60,MATCH(1,(GMW!$NE$2:$NE$60=AD$3)*(GMW!$ND$2:$ND$60=AD$4)*(GMW!$NF$2:$NF$60=AD$1),0),$F352-1966)</f>
        <v>259040.3</v>
      </c>
      <c r="AE352" s="4" cm="1">
        <f t="array" ref="AE352">INDEX(GMW!$A$2:$NF$60,MATCH(1,(GMW!$NE$2:$NE$60=AE$3)*(GMW!$ND$2:$ND$60=AE$4)*(GMW!$NF$2:$NF$60=AE$1),0),$F352-1966)</f>
        <v>3043.2249999999999</v>
      </c>
      <c r="AF352" s="4" cm="1">
        <f t="array" ref="AF352">INDEX(GMW!$A$2:$NF$60,MATCH(1,(GMW!$NE$2:$NE$60=AF$3)*(GMW!$ND$2:$ND$60=AF$4)*(GMW!$NF$2:$NF$60=AF$1),0),$F352-1966)</f>
        <v>1804.174</v>
      </c>
      <c r="AG352" s="4" cm="1">
        <f t="array" ref="AG352">INDEX(GMW!$A$2:$NF$60,MATCH(1,(GMW!$NE$2:$NE$60=AG$3)*(GMW!$ND$2:$ND$60=AG$4)*(GMW!$NF$2:$NF$60=AG$1),0),$F352-1966)</f>
        <v>1204.0989999999999</v>
      </c>
      <c r="AH352" s="4" cm="1">
        <f t="array" ref="AH352">INDEX(GMW!$A$2:$NF$60,MATCH(1,(GMW!$NE$2:$NE$60=AH$3)*(GMW!$ND$2:$ND$60=AH$4)*(GMW!$NF$2:$NF$60=AH$1),0),$F352-1966)</f>
        <v>2849462</v>
      </c>
    </row>
    <row r="353" spans="1:34" x14ac:dyDescent="0.25">
      <c r="B353" s="4">
        <f t="shared" si="115"/>
        <v>2059</v>
      </c>
      <c r="C353" s="4">
        <f t="shared" si="115"/>
        <v>2059</v>
      </c>
      <c r="F353" s="4">
        <f t="shared" si="101"/>
        <v>2319</v>
      </c>
      <c r="G353" s="4" cm="1">
        <f t="array" ref="G353">INDEX(GMW!$A$2:$NF$60,MATCH(1,(GMW!$NE$2:$NE$60=G$3)*(GMW!$ND$2:$ND$60=G$4)*(GMW!$NF$2:$NF$60=G$1),0),$F353-1966)</f>
        <v>1059472</v>
      </c>
      <c r="H353" s="4" cm="1">
        <f t="array" ref="H353">INDEX(GMW!$A$2:$NF$60,MATCH(1,(GMW!$NE$2:$NE$60=H$3)*(GMW!$ND$2:$ND$60=H$4)*(GMW!$NF$2:$NF$60=H$1),0),$F353-1966)</f>
        <v>10755.45</v>
      </c>
      <c r="I353" s="4" cm="1">
        <f t="array" ref="I353">INDEX(GMW!$A$2:$NF$60,MATCH(1,(GMW!$NE$2:$NE$60=I$3)*(GMW!$ND$2:$ND$60=I$4)*(GMW!$NF$2:$NF$60=I$1),0),$F353-1966)</f>
        <v>143438.79999999999</v>
      </c>
      <c r="J353" s="4" cm="1">
        <f t="array" ref="J353">INDEX(GMW!$A$2:$NF$60,MATCH(1,(GMW!$NE$2:$NE$60=J$3)*(GMW!$ND$2:$ND$60=J$4)*(GMW!$NF$2:$NF$60=J$1),0),$F353-1966)</f>
        <v>1226.3900000000001</v>
      </c>
      <c r="K353" s="4" cm="1">
        <f t="array" ref="K353">INDEX(GMW!$A$2:$NF$60,MATCH(1,(GMW!$NE$2:$NE$60=K$3)*(GMW!$ND$2:$ND$60=K$4)*(GMW!$NF$2:$NF$60=K$1),0),$F353-1966)</f>
        <v>808.33879999999999</v>
      </c>
      <c r="L353" s="4" cm="1">
        <f t="array" ref="L353">INDEX(GMW!$A$2:$NF$60,MATCH(1,(GMW!$NE$2:$NE$60=L$3)*(GMW!$ND$2:$ND$60=L$4)*(GMW!$NF$2:$NF$60=L$1),0),$F353-1966)</f>
        <v>542.13490000000002</v>
      </c>
      <c r="M353" s="4" cm="1">
        <f t="array" ref="M353">INDEX(GMW!$A$2:$NF$60,MATCH(1,(GMW!$NE$2:$NE$60=M$3)*(GMW!$ND$2:$ND$60=M$4)*(GMW!$NF$2:$NF$60=M$1),0),$F353-1966)</f>
        <v>1155245</v>
      </c>
      <c r="N353" s="4" cm="1">
        <f t="array" ref="N353">INDEX(GMW!$A$2:$NF$60,MATCH(1,(GMW!$NE$2:$NE$60=N$3)*(GMW!$ND$2:$ND$60=N$4)*(GMW!$NF$2:$NF$60=N$1),0),$F353-1966)</f>
        <v>-86940.88</v>
      </c>
      <c r="O353" s="4" cm="1">
        <f t="array" ref="O353">INDEX(GMW!$A$2:$NF$60,MATCH(1,(GMW!$NE$2:$NE$60=O$3)*(GMW!$ND$2:$ND$60=O$4)*(GMW!$NF$2:$NF$60=O$1),0),$F353-1966)</f>
        <v>-1042.116</v>
      </c>
      <c r="P353" s="4" cm="1">
        <f t="array" ref="P353">INDEX(GMW!$A$2:$NF$60,MATCH(1,(GMW!$NE$2:$NE$60=P$3)*(GMW!$ND$2:$ND$60=P$4)*(GMW!$NF$2:$NF$60=P$1),0),$F353-1966)</f>
        <v>-2422.6559999999999</v>
      </c>
      <c r="Q353" s="4" cm="1">
        <f t="array" ref="Q353">INDEX(GMW!$A$2:$NF$60,MATCH(1,(GMW!$NE$2:$NE$60=Q$3)*(GMW!$ND$2:$ND$60=Q$4)*(GMW!$NF$2:$NF$60=Q$1),0),$F353-1966)</f>
        <v>-42.817990000000002</v>
      </c>
      <c r="R353" s="4" cm="1">
        <f t="array" ref="R353">INDEX(GMW!$A$2:$NF$60,MATCH(1,(GMW!$NE$2:$NE$60=R$3)*(GMW!$ND$2:$ND$60=R$4)*(GMW!$NF$2:$NF$60=R$1),0),$F353-1966)</f>
        <v>-59.869630000000001</v>
      </c>
      <c r="S353" s="4" cm="1">
        <f t="array" ref="S353">INDEX(GMW!$A$2:$NF$60,MATCH(1,(GMW!$NE$2:$NE$60=S$3)*(GMW!$ND$2:$ND$60=S$4)*(GMW!$NF$2:$NF$60=S$1),0),$F353-1966)</f>
        <v>-21.48273</v>
      </c>
      <c r="T353" s="4" cm="1">
        <f t="array" ref="T353">INDEX(GMW!$A$2:$NF$60,MATCH(1,(GMW!$NE$2:$NE$60=T$3)*(GMW!$ND$2:$ND$60=T$4)*(GMW!$NF$2:$NF$60=T$1),0),$F353-1966)</f>
        <v>-69405.13</v>
      </c>
      <c r="U353" s="4" cm="1">
        <f t="array" ref="U353">INDEX(GMW!$A$2:$NF$60,MATCH(1,(GMW!$NE$2:$NE$60=U$3)*(GMW!$ND$2:$ND$60=U$4)*(GMW!$NF$2:$NF$60=U$1),0),$F353-1966)</f>
        <v>10748780</v>
      </c>
      <c r="V353" s="4" cm="1">
        <f t="array" ref="V353">INDEX(GMW!$A$2:$NF$60,MATCH(1,(GMW!$NE$2:$NE$60=V$3)*(GMW!$ND$2:$ND$60=V$4)*(GMW!$NF$2:$NF$60=V$1),0),$F353-1966)</f>
        <v>175959.5</v>
      </c>
      <c r="W353" s="4" cm="1">
        <f t="array" ref="W353">INDEX(GMW!$A$2:$NF$60,MATCH(1,(GMW!$NE$2:$NE$60=W$3)*(GMW!$ND$2:$ND$60=W$4)*(GMW!$NF$2:$NF$60=W$1),0),$F353-1966)</f>
        <v>1729061</v>
      </c>
      <c r="X353" s="4" cm="1">
        <f t="array" ref="X353">INDEX(GMW!$A$2:$NF$60,MATCH(1,(GMW!$NE$2:$NE$60=X$3)*(GMW!$ND$2:$ND$60=X$4)*(GMW!$NF$2:$NF$60=X$1),0),$F353-1966)</f>
        <v>7035.3919999999998</v>
      </c>
      <c r="Y353" s="4" cm="1">
        <f t="array" ref="Y353">INDEX(GMW!$A$2:$NF$60,MATCH(1,(GMW!$NE$2:$NE$60=Y$3)*(GMW!$ND$2:$ND$60=Y$4)*(GMW!$NF$2:$NF$60=Y$1),0),$F353-1966)</f>
        <v>9692.2540000000008</v>
      </c>
      <c r="Z353" s="4" cm="1">
        <f t="array" ref="Z353">INDEX(GMW!$A$2:$NF$60,MATCH(1,(GMW!$NE$2:$NE$60=Z$3)*(GMW!$ND$2:$ND$60=Z$4)*(GMW!$NF$2:$NF$60=Z$1),0),$F353-1966)</f>
        <v>5647.1629999999996</v>
      </c>
      <c r="AA353" s="4" cm="1">
        <f t="array" ref="AA353">INDEX(GMW!$A$2:$NF$60,MATCH(1,(GMW!$NE$2:$NE$60=AA$3)*(GMW!$ND$2:$ND$60=AA$4)*(GMW!$NF$2:$NF$60=AA$1),0),$F353-1966)</f>
        <v>8874490</v>
      </c>
      <c r="AB353" s="4" cm="1">
        <f t="array" ref="AB353">INDEX(GMW!$A$2:$NF$60,MATCH(1,(GMW!$NE$2:$NE$60=AB$3)*(GMW!$ND$2:$ND$60=AB$4)*(GMW!$NF$2:$NF$60=AB$1),0),$F353-1966)</f>
        <v>2530017</v>
      </c>
      <c r="AC353" s="4" cm="1">
        <f t="array" ref="AC353">INDEX(GMW!$A$2:$NF$60,MATCH(1,(GMW!$NE$2:$NE$60=AC$3)*(GMW!$ND$2:$ND$60=AC$4)*(GMW!$NF$2:$NF$60=AC$1),0),$F353-1966)</f>
        <v>26154.27</v>
      </c>
      <c r="AD353" s="4" cm="1">
        <f t="array" ref="AD353">INDEX(GMW!$A$2:$NF$60,MATCH(1,(GMW!$NE$2:$NE$60=AD$3)*(GMW!$ND$2:$ND$60=AD$4)*(GMW!$NF$2:$NF$60=AD$1),0),$F353-1966)</f>
        <v>260301.9</v>
      </c>
      <c r="AE353" s="4" cm="1">
        <f t="array" ref="AE353">INDEX(GMW!$A$2:$NF$60,MATCH(1,(GMW!$NE$2:$NE$60=AE$3)*(GMW!$ND$2:$ND$60=AE$4)*(GMW!$NF$2:$NF$60=AE$1),0),$F353-1966)</f>
        <v>3064.373</v>
      </c>
      <c r="AF353" s="4" cm="1">
        <f t="array" ref="AF353">INDEX(GMW!$A$2:$NF$60,MATCH(1,(GMW!$NE$2:$NE$60=AF$3)*(GMW!$ND$2:$ND$60=AF$4)*(GMW!$NF$2:$NF$60=AF$1),0),$F353-1966)</f>
        <v>1814.277</v>
      </c>
      <c r="AG353" s="4" cm="1">
        <f t="array" ref="AG353">INDEX(GMW!$A$2:$NF$60,MATCH(1,(GMW!$NE$2:$NE$60=AG$3)*(GMW!$ND$2:$ND$60=AG$4)*(GMW!$NF$2:$NF$60=AG$1),0),$F353-1966)</f>
        <v>1210.8630000000001</v>
      </c>
      <c r="AH353" s="4" cm="1">
        <f t="array" ref="AH353">INDEX(GMW!$A$2:$NF$60,MATCH(1,(GMW!$NE$2:$NE$60=AH$3)*(GMW!$ND$2:$ND$60=AH$4)*(GMW!$NF$2:$NF$60=AH$1),0),$F353-1966)</f>
        <v>2875737</v>
      </c>
    </row>
    <row r="354" spans="1:34" x14ac:dyDescent="0.25">
      <c r="B354" s="4">
        <f t="shared" si="115"/>
        <v>2059</v>
      </c>
      <c r="C354" s="4">
        <f t="shared" si="115"/>
        <v>2059</v>
      </c>
      <c r="E354" s="4">
        <f t="shared" ref="E354" si="117">+E350+1</f>
        <v>2059</v>
      </c>
      <c r="F354" s="4">
        <f t="shared" si="101"/>
        <v>2320</v>
      </c>
      <c r="G354" s="4" cm="1">
        <f t="array" ref="G354">INDEX(GMW!$A$2:$NF$60,MATCH(1,(GMW!$NE$2:$NE$60=G$3)*(GMW!$ND$2:$ND$60=G$4)*(GMW!$NF$2:$NF$60=G$1),0),$F354-1966)</f>
        <v>1062666</v>
      </c>
      <c r="H354" s="4" cm="1">
        <f t="array" ref="H354">INDEX(GMW!$A$2:$NF$60,MATCH(1,(GMW!$NE$2:$NE$60=H$3)*(GMW!$ND$2:$ND$60=H$4)*(GMW!$NF$2:$NF$60=H$1),0),$F354-1966)</f>
        <v>10797.4</v>
      </c>
      <c r="I354" s="4" cm="1">
        <f t="array" ref="I354">INDEX(GMW!$A$2:$NF$60,MATCH(1,(GMW!$NE$2:$NE$60=I$3)*(GMW!$ND$2:$ND$60=I$4)*(GMW!$NF$2:$NF$60=I$1),0),$F354-1966)</f>
        <v>143591.6</v>
      </c>
      <c r="J354" s="4" cm="1">
        <f t="array" ref="J354">INDEX(GMW!$A$2:$NF$60,MATCH(1,(GMW!$NE$2:$NE$60=J$3)*(GMW!$ND$2:$ND$60=J$4)*(GMW!$NF$2:$NF$60=J$1),0),$F354-1966)</f>
        <v>1228.818</v>
      </c>
      <c r="K354" s="4" cm="1">
        <f t="array" ref="K354">INDEX(GMW!$A$2:$NF$60,MATCH(1,(GMW!$NE$2:$NE$60=K$3)*(GMW!$ND$2:$ND$60=K$4)*(GMW!$NF$2:$NF$60=K$1),0),$F354-1966)</f>
        <v>808.83339999999998</v>
      </c>
      <c r="L354" s="4" cm="1">
        <f t="array" ref="L354">INDEX(GMW!$A$2:$NF$60,MATCH(1,(GMW!$NE$2:$NE$60=L$3)*(GMW!$ND$2:$ND$60=L$4)*(GMW!$NF$2:$NF$60=L$1),0),$F354-1966)</f>
        <v>542.46220000000005</v>
      </c>
      <c r="M354" s="4" cm="1">
        <f t="array" ref="M354">INDEX(GMW!$A$2:$NF$60,MATCH(1,(GMW!$NE$2:$NE$60=M$3)*(GMW!$ND$2:$ND$60=M$4)*(GMW!$NF$2:$NF$60=M$1),0),$F354-1966)</f>
        <v>1160198</v>
      </c>
      <c r="N354" s="4" cm="1">
        <f t="array" ref="N354">INDEX(GMW!$A$2:$NF$60,MATCH(1,(GMW!$NE$2:$NE$60=N$3)*(GMW!$ND$2:$ND$60=N$4)*(GMW!$NF$2:$NF$60=N$1),0),$F354-1966)</f>
        <v>-153082.6</v>
      </c>
      <c r="O354" s="4" cm="1">
        <f t="array" ref="O354">INDEX(GMW!$A$2:$NF$60,MATCH(1,(GMW!$NE$2:$NE$60=O$3)*(GMW!$ND$2:$ND$60=O$4)*(GMW!$NF$2:$NF$60=O$1),0),$F354-1966)</f>
        <v>-1036.47</v>
      </c>
      <c r="P354" s="4" cm="1">
        <f t="array" ref="P354">INDEX(GMW!$A$2:$NF$60,MATCH(1,(GMW!$NE$2:$NE$60=P$3)*(GMW!$ND$2:$ND$60=P$4)*(GMW!$NF$2:$NF$60=P$1),0),$F354-1966)</f>
        <v>-2434.453</v>
      </c>
      <c r="Q354" s="4" cm="1">
        <f t="array" ref="Q354">INDEX(GMW!$A$2:$NF$60,MATCH(1,(GMW!$NE$2:$NE$60=Q$3)*(GMW!$ND$2:$ND$60=Q$4)*(GMW!$NF$2:$NF$60=Q$1),0),$F354-1966)</f>
        <v>-43.096919999999997</v>
      </c>
      <c r="R354" s="4" cm="1">
        <f t="array" ref="R354">INDEX(GMW!$A$2:$NF$60,MATCH(1,(GMW!$NE$2:$NE$60=R$3)*(GMW!$ND$2:$ND$60=R$4)*(GMW!$NF$2:$NF$60=R$1),0),$F354-1966)</f>
        <v>-60.20599</v>
      </c>
      <c r="S354" s="4" cm="1">
        <f t="array" ref="S354">INDEX(GMW!$A$2:$NF$60,MATCH(1,(GMW!$NE$2:$NE$60=S$3)*(GMW!$ND$2:$ND$60=S$4)*(GMW!$NF$2:$NF$60=S$1),0),$F354-1966)</f>
        <v>-21.603400000000001</v>
      </c>
      <c r="T354" s="4" cm="1">
        <f t="array" ref="T354">INDEX(GMW!$A$2:$NF$60,MATCH(1,(GMW!$NE$2:$NE$60=T$3)*(GMW!$ND$2:$ND$60=T$4)*(GMW!$NF$2:$NF$60=T$1),0),$F354-1966)</f>
        <v>-70253.38</v>
      </c>
      <c r="U354" s="4" cm="1">
        <f t="array" ref="U354">INDEX(GMW!$A$2:$NF$60,MATCH(1,(GMW!$NE$2:$NE$60=U$3)*(GMW!$ND$2:$ND$60=U$4)*(GMW!$NF$2:$NF$60=U$1),0),$F354-1966)</f>
        <v>10901860</v>
      </c>
      <c r="V354" s="4" cm="1">
        <f t="array" ref="V354">INDEX(GMW!$A$2:$NF$60,MATCH(1,(GMW!$NE$2:$NE$60=V$3)*(GMW!$ND$2:$ND$60=V$4)*(GMW!$NF$2:$NF$60=V$1),0),$F354-1966)</f>
        <v>176995.9</v>
      </c>
      <c r="W354" s="4" cm="1">
        <f t="array" ref="W354">INDEX(GMW!$A$2:$NF$60,MATCH(1,(GMW!$NE$2:$NE$60=W$3)*(GMW!$ND$2:$ND$60=W$4)*(GMW!$NF$2:$NF$60=W$1),0),$F354-1966)</f>
        <v>1731495</v>
      </c>
      <c r="X354" s="4" cm="1">
        <f t="array" ref="X354">INDEX(GMW!$A$2:$NF$60,MATCH(1,(GMW!$NE$2:$NE$60=X$3)*(GMW!$ND$2:$ND$60=X$4)*(GMW!$NF$2:$NF$60=X$1),0),$F354-1966)</f>
        <v>7078.4880000000003</v>
      </c>
      <c r="Y354" s="4" cm="1">
        <f t="array" ref="Y354">INDEX(GMW!$A$2:$NF$60,MATCH(1,(GMW!$NE$2:$NE$60=Y$3)*(GMW!$ND$2:$ND$60=Y$4)*(GMW!$NF$2:$NF$60=Y$1),0),$F354-1966)</f>
        <v>9752.4599999999991</v>
      </c>
      <c r="Z354" s="4" cm="1">
        <f t="array" ref="Z354">INDEX(GMW!$A$2:$NF$60,MATCH(1,(GMW!$NE$2:$NE$60=Z$3)*(GMW!$ND$2:$ND$60=Z$4)*(GMW!$NF$2:$NF$60=Z$1),0),$F354-1966)</f>
        <v>5668.7659999999996</v>
      </c>
      <c r="AA354" s="4" cm="1">
        <f t="array" ref="AA354">INDEX(GMW!$A$2:$NF$60,MATCH(1,(GMW!$NE$2:$NE$60=AA$3)*(GMW!$ND$2:$ND$60=AA$4)*(GMW!$NF$2:$NF$60=AA$1),0),$F354-1966)</f>
        <v>8944743</v>
      </c>
      <c r="AB354" s="4" cm="1">
        <f t="array" ref="AB354">INDEX(GMW!$A$2:$NF$60,MATCH(1,(GMW!$NE$2:$NE$60=AB$3)*(GMW!$ND$2:$ND$60=AB$4)*(GMW!$NF$2:$NF$60=AB$1),0),$F354-1966)</f>
        <v>2551221</v>
      </c>
      <c r="AC354" s="4" cm="1">
        <f t="array" ref="AC354">INDEX(GMW!$A$2:$NF$60,MATCH(1,(GMW!$NE$2:$NE$60=AC$3)*(GMW!$ND$2:$ND$60=AC$4)*(GMW!$NF$2:$NF$60=AC$1),0),$F354-1966)</f>
        <v>26383.21</v>
      </c>
      <c r="AD354" s="4" cm="1">
        <f t="array" ref="AD354">INDEX(GMW!$A$2:$NF$60,MATCH(1,(GMW!$NE$2:$NE$60=AD$3)*(GMW!$ND$2:$ND$60=AD$4)*(GMW!$NF$2:$NF$60=AD$1),0),$F354-1966)</f>
        <v>261573.6</v>
      </c>
      <c r="AE354" s="4" cm="1">
        <f t="array" ref="AE354">INDEX(GMW!$A$2:$NF$60,MATCH(1,(GMW!$NE$2:$NE$60=AE$3)*(GMW!$ND$2:$ND$60=AE$4)*(GMW!$NF$2:$NF$60=AE$1),0),$F354-1966)</f>
        <v>3085.6729999999998</v>
      </c>
      <c r="AF354" s="4" cm="1">
        <f t="array" ref="AF354">INDEX(GMW!$A$2:$NF$60,MATCH(1,(GMW!$NE$2:$NE$60=AF$3)*(GMW!$ND$2:$ND$60=AF$4)*(GMW!$NF$2:$NF$60=AF$1),0),$F354-1966)</f>
        <v>1824.3420000000001</v>
      </c>
      <c r="AG354" s="4" cm="1">
        <f t="array" ref="AG354">INDEX(GMW!$A$2:$NF$60,MATCH(1,(GMW!$NE$2:$NE$60=AG$3)*(GMW!$ND$2:$ND$60=AG$4)*(GMW!$NF$2:$NF$60=AG$1),0),$F354-1966)</f>
        <v>1217.636</v>
      </c>
      <c r="AH354" s="4" cm="1">
        <f t="array" ref="AH354">INDEX(GMW!$A$2:$NF$60,MATCH(1,(GMW!$NE$2:$NE$60=AH$3)*(GMW!$ND$2:$ND$60=AH$4)*(GMW!$NF$2:$NF$60=AH$1),0),$F354-1966)</f>
        <v>2902307</v>
      </c>
    </row>
    <row r="355" spans="1:34" x14ac:dyDescent="0.25">
      <c r="A355" s="4">
        <v>2060</v>
      </c>
      <c r="B355" s="4">
        <f t="shared" si="115"/>
        <v>2060</v>
      </c>
      <c r="C355" s="4">
        <f t="shared" si="115"/>
        <v>2059</v>
      </c>
      <c r="D355" s="4">
        <f t="shared" si="115"/>
        <v>2059</v>
      </c>
      <c r="F355" s="4">
        <f t="shared" si="101"/>
        <v>2321</v>
      </c>
      <c r="G355" s="4" cm="1">
        <f t="array" ref="G355">INDEX(GMW!$A$2:$NF$60,MATCH(1,(GMW!$NE$2:$NE$60=G$3)*(GMW!$ND$2:$ND$60=G$4)*(GMW!$NF$2:$NF$60=G$1),0),$F355-1966)</f>
        <v>1065864</v>
      </c>
      <c r="H355" s="4" cm="1">
        <f t="array" ref="H355">INDEX(GMW!$A$2:$NF$60,MATCH(1,(GMW!$NE$2:$NE$60=H$3)*(GMW!$ND$2:$ND$60=H$4)*(GMW!$NF$2:$NF$60=H$1),0),$F355-1966)</f>
        <v>10839.46</v>
      </c>
      <c r="I355" s="4" cm="1">
        <f t="array" ref="I355">INDEX(GMW!$A$2:$NF$60,MATCH(1,(GMW!$NE$2:$NE$60=I$3)*(GMW!$ND$2:$ND$60=I$4)*(GMW!$NF$2:$NF$60=I$1),0),$F355-1966)</f>
        <v>143741.5</v>
      </c>
      <c r="J355" s="4" cm="1">
        <f t="array" ref="J355">INDEX(GMW!$A$2:$NF$60,MATCH(1,(GMW!$NE$2:$NE$60=J$3)*(GMW!$ND$2:$ND$60=J$4)*(GMW!$NF$2:$NF$60=J$1),0),$F355-1966)</f>
        <v>1231.307</v>
      </c>
      <c r="K355" s="4" cm="1">
        <f t="array" ref="K355">INDEX(GMW!$A$2:$NF$60,MATCH(1,(GMW!$NE$2:$NE$60=K$3)*(GMW!$ND$2:$ND$60=K$4)*(GMW!$NF$2:$NF$60=K$1),0),$F355-1966)</f>
        <v>809.30100000000004</v>
      </c>
      <c r="L355" s="4" cm="1">
        <f t="array" ref="L355">INDEX(GMW!$A$2:$NF$60,MATCH(1,(GMW!$NE$2:$NE$60=L$3)*(GMW!$ND$2:$ND$60=L$4)*(GMW!$NF$2:$NF$60=L$1),0),$F355-1966)</f>
        <v>542.76710000000003</v>
      </c>
      <c r="M355" s="4" cm="1">
        <f t="array" ref="M355">INDEX(GMW!$A$2:$NF$60,MATCH(1,(GMW!$NE$2:$NE$60=M$3)*(GMW!$ND$2:$ND$60=M$4)*(GMW!$NF$2:$NF$60=M$1),0),$F355-1966)</f>
        <v>1165149</v>
      </c>
      <c r="N355" s="4" cm="1">
        <f t="array" ref="N355">INDEX(GMW!$A$2:$NF$60,MATCH(1,(GMW!$NE$2:$NE$60=N$3)*(GMW!$ND$2:$ND$60=N$4)*(GMW!$NF$2:$NF$60=N$1),0),$F355-1966)</f>
        <v>-7435.25</v>
      </c>
      <c r="O355" s="4" cm="1">
        <f t="array" ref="O355">INDEX(GMW!$A$2:$NF$60,MATCH(1,(GMW!$NE$2:$NE$60=O$3)*(GMW!$ND$2:$ND$60=O$4)*(GMW!$NF$2:$NF$60=O$1),0),$F355-1966)</f>
        <v>-1030.681</v>
      </c>
      <c r="P355" s="4" cm="1">
        <f t="array" ref="P355">INDEX(GMW!$A$2:$NF$60,MATCH(1,(GMW!$NE$2:$NE$60=P$3)*(GMW!$ND$2:$ND$60=P$4)*(GMW!$NF$2:$NF$60=P$1),0),$F355-1966)</f>
        <v>-2446.3440000000001</v>
      </c>
      <c r="Q355" s="4" cm="1">
        <f t="array" ref="Q355">INDEX(GMW!$A$2:$NF$60,MATCH(1,(GMW!$NE$2:$NE$60=Q$3)*(GMW!$ND$2:$ND$60=Q$4)*(GMW!$NF$2:$NF$60=Q$1),0),$F355-1966)</f>
        <v>-43.378909999999998</v>
      </c>
      <c r="R355" s="4" cm="1">
        <f t="array" ref="R355">INDEX(GMW!$A$2:$NF$60,MATCH(1,(GMW!$NE$2:$NE$60=R$3)*(GMW!$ND$2:$ND$60=R$4)*(GMW!$NF$2:$NF$60=R$1),0),$F355-1966)</f>
        <v>-60.532780000000002</v>
      </c>
      <c r="S355" s="4" cm="1">
        <f t="array" ref="S355">INDEX(GMW!$A$2:$NF$60,MATCH(1,(GMW!$NE$2:$NE$60=S$3)*(GMW!$ND$2:$ND$60=S$4)*(GMW!$NF$2:$NF$60=S$1),0),$F355-1966)</f>
        <v>-21.724250000000001</v>
      </c>
      <c r="T355" s="4" cm="1">
        <f t="array" ref="T355">INDEX(GMW!$A$2:$NF$60,MATCH(1,(GMW!$NE$2:$NE$60=T$3)*(GMW!$ND$2:$ND$60=T$4)*(GMW!$NF$2:$NF$60=T$1),0),$F355-1966)</f>
        <v>-71026.25</v>
      </c>
      <c r="U355" s="4" cm="1">
        <f t="array" ref="U355">INDEX(GMW!$A$2:$NF$60,MATCH(1,(GMW!$NE$2:$NE$60=U$3)*(GMW!$ND$2:$ND$60=U$4)*(GMW!$NF$2:$NF$60=U$1),0),$F355-1966)</f>
        <v>10909300</v>
      </c>
      <c r="V355" s="4" cm="1">
        <f t="array" ref="V355">INDEX(GMW!$A$2:$NF$60,MATCH(1,(GMW!$NE$2:$NE$60=V$3)*(GMW!$ND$2:$ND$60=V$4)*(GMW!$NF$2:$NF$60=V$1),0),$F355-1966)</f>
        <v>178026.6</v>
      </c>
      <c r="W355" s="4" cm="1">
        <f t="array" ref="W355">INDEX(GMW!$A$2:$NF$60,MATCH(1,(GMW!$NE$2:$NE$60=W$3)*(GMW!$ND$2:$ND$60=W$4)*(GMW!$NF$2:$NF$60=W$1),0),$F355-1966)</f>
        <v>1733942</v>
      </c>
      <c r="X355" s="4" cm="1">
        <f t="array" ref="X355">INDEX(GMW!$A$2:$NF$60,MATCH(1,(GMW!$NE$2:$NE$60=X$3)*(GMW!$ND$2:$ND$60=X$4)*(GMW!$NF$2:$NF$60=X$1),0),$F355-1966)</f>
        <v>7121.8670000000002</v>
      </c>
      <c r="Y355" s="4" cm="1">
        <f t="array" ref="Y355">INDEX(GMW!$A$2:$NF$60,MATCH(1,(GMW!$NE$2:$NE$60=Y$3)*(GMW!$ND$2:$ND$60=Y$4)*(GMW!$NF$2:$NF$60=Y$1),0),$F355-1966)</f>
        <v>9812.9930000000004</v>
      </c>
      <c r="Z355" s="4" cm="1">
        <f t="array" ref="Z355">INDEX(GMW!$A$2:$NF$60,MATCH(1,(GMW!$NE$2:$NE$60=Z$3)*(GMW!$ND$2:$ND$60=Z$4)*(GMW!$NF$2:$NF$60=Z$1),0),$F355-1966)</f>
        <v>5690.49</v>
      </c>
      <c r="AA355" s="4" cm="1">
        <f t="array" ref="AA355">INDEX(GMW!$A$2:$NF$60,MATCH(1,(GMW!$NE$2:$NE$60=AA$3)*(GMW!$ND$2:$ND$60=AA$4)*(GMW!$NF$2:$NF$60=AA$1),0),$F355-1966)</f>
        <v>9015769</v>
      </c>
      <c r="AB355" s="4" cm="1">
        <f t="array" ref="AB355">INDEX(GMW!$A$2:$NF$60,MATCH(1,(GMW!$NE$2:$NE$60=AB$3)*(GMW!$ND$2:$ND$60=AB$4)*(GMW!$NF$2:$NF$60=AB$1),0),$F355-1966)</f>
        <v>2572588</v>
      </c>
      <c r="AC355" s="4" cm="1">
        <f t="array" ref="AC355">INDEX(GMW!$A$2:$NF$60,MATCH(1,(GMW!$NE$2:$NE$60=AC$3)*(GMW!$ND$2:$ND$60=AC$4)*(GMW!$NF$2:$NF$60=AC$1),0),$F355-1966)</f>
        <v>26614.11</v>
      </c>
      <c r="AD355" s="4" cm="1">
        <f t="array" ref="AD355">INDEX(GMW!$A$2:$NF$60,MATCH(1,(GMW!$NE$2:$NE$60=AD$3)*(GMW!$ND$2:$ND$60=AD$4)*(GMW!$NF$2:$NF$60=AD$1),0),$F355-1966)</f>
        <v>262843.8</v>
      </c>
      <c r="AE355" s="4" cm="1">
        <f t="array" ref="AE355">INDEX(GMW!$A$2:$NF$60,MATCH(1,(GMW!$NE$2:$NE$60=AE$3)*(GMW!$ND$2:$ND$60=AE$4)*(GMW!$NF$2:$NF$60=AE$1),0),$F355-1966)</f>
        <v>3107.2640000000001</v>
      </c>
      <c r="AF355" s="4" cm="1">
        <f t="array" ref="AF355">INDEX(GMW!$A$2:$NF$60,MATCH(1,(GMW!$NE$2:$NE$60=AF$3)*(GMW!$ND$2:$ND$60=AF$4)*(GMW!$NF$2:$NF$60=AF$1),0),$F355-1966)</f>
        <v>1834.4739999999999</v>
      </c>
      <c r="AG355" s="4" cm="1">
        <f t="array" ref="AG355">INDEX(GMW!$A$2:$NF$60,MATCH(1,(GMW!$NE$2:$NE$60=AG$3)*(GMW!$ND$2:$ND$60=AG$4)*(GMW!$NF$2:$NF$60=AG$1),0),$F355-1966)</f>
        <v>1224.377</v>
      </c>
      <c r="AH355" s="4" cm="1">
        <f t="array" ref="AH355">INDEX(GMW!$A$2:$NF$60,MATCH(1,(GMW!$NE$2:$NE$60=AH$3)*(GMW!$ND$2:$ND$60=AH$4)*(GMW!$NF$2:$NF$60=AH$1),0),$F355-1966)</f>
        <v>2929061</v>
      </c>
    </row>
    <row r="356" spans="1:34" x14ac:dyDescent="0.25">
      <c r="B356" s="4">
        <f t="shared" si="115"/>
        <v>2060</v>
      </c>
      <c r="C356" s="4">
        <f t="shared" si="115"/>
        <v>2060</v>
      </c>
      <c r="F356" s="4">
        <f t="shared" si="101"/>
        <v>2322</v>
      </c>
      <c r="G356" s="4" cm="1">
        <f t="array" ref="G356">INDEX(GMW!$A$2:$NF$60,MATCH(1,(GMW!$NE$2:$NE$60=G$3)*(GMW!$ND$2:$ND$60=G$4)*(GMW!$NF$2:$NF$60=G$1),0),$F356-1966)</f>
        <v>1069067</v>
      </c>
      <c r="H356" s="4" cm="1">
        <f t="array" ref="H356">INDEX(GMW!$A$2:$NF$60,MATCH(1,(GMW!$NE$2:$NE$60=H$3)*(GMW!$ND$2:$ND$60=H$4)*(GMW!$NF$2:$NF$60=H$1),0),$F356-1966)</f>
        <v>10881.68</v>
      </c>
      <c r="I356" s="4" cm="1">
        <f t="array" ref="I356">INDEX(GMW!$A$2:$NF$60,MATCH(1,(GMW!$NE$2:$NE$60=I$3)*(GMW!$ND$2:$ND$60=I$4)*(GMW!$NF$2:$NF$60=I$1),0),$F356-1966)</f>
        <v>143889.29999999999</v>
      </c>
      <c r="J356" s="4" cm="1">
        <f t="array" ref="J356">INDEX(GMW!$A$2:$NF$60,MATCH(1,(GMW!$NE$2:$NE$60=J$3)*(GMW!$ND$2:$ND$60=J$4)*(GMW!$NF$2:$NF$60=J$1),0),$F356-1966)</f>
        <v>1233.8030000000001</v>
      </c>
      <c r="K356" s="4" cm="1">
        <f t="array" ref="K356">INDEX(GMW!$A$2:$NF$60,MATCH(1,(GMW!$NE$2:$NE$60=K$3)*(GMW!$ND$2:$ND$60=K$4)*(GMW!$NF$2:$NF$60=K$1),0),$F356-1966)</f>
        <v>809.88390000000004</v>
      </c>
      <c r="L356" s="4" cm="1">
        <f t="array" ref="L356">INDEX(GMW!$A$2:$NF$60,MATCH(1,(GMW!$NE$2:$NE$60=L$3)*(GMW!$ND$2:$ND$60=L$4)*(GMW!$NF$2:$NF$60=L$1),0),$F356-1966)</f>
        <v>543.07029999999997</v>
      </c>
      <c r="M356" s="4" cm="1">
        <f t="array" ref="M356">INDEX(GMW!$A$2:$NF$60,MATCH(1,(GMW!$NE$2:$NE$60=M$3)*(GMW!$ND$2:$ND$60=M$4)*(GMW!$NF$2:$NF$60=M$1),0),$F356-1966)</f>
        <v>1170096</v>
      </c>
      <c r="N356" s="4" cm="1">
        <f t="array" ref="N356">INDEX(GMW!$A$2:$NF$60,MATCH(1,(GMW!$NE$2:$NE$60=N$3)*(GMW!$ND$2:$ND$60=N$4)*(GMW!$NF$2:$NF$60=N$1),0),$F356-1966)</f>
        <v>-166635.6</v>
      </c>
      <c r="O356" s="4" cm="1">
        <f t="array" ref="O356">INDEX(GMW!$A$2:$NF$60,MATCH(1,(GMW!$NE$2:$NE$60=O$3)*(GMW!$ND$2:$ND$60=O$4)*(GMW!$NF$2:$NF$60=O$1),0),$F356-1966)</f>
        <v>-1024.546</v>
      </c>
      <c r="P356" s="4" cm="1">
        <f t="array" ref="P356">INDEX(GMW!$A$2:$NF$60,MATCH(1,(GMW!$NE$2:$NE$60=P$3)*(GMW!$ND$2:$ND$60=P$4)*(GMW!$NF$2:$NF$60=P$1),0),$F356-1966)</f>
        <v>-2458.2269999999999</v>
      </c>
      <c r="Q356" s="4" cm="1">
        <f t="array" ref="Q356">INDEX(GMW!$A$2:$NF$60,MATCH(1,(GMW!$NE$2:$NE$60=Q$3)*(GMW!$ND$2:$ND$60=Q$4)*(GMW!$NF$2:$NF$60=Q$1),0),$F356-1966)</f>
        <v>-43.662959999999998</v>
      </c>
      <c r="R356" s="4" cm="1">
        <f t="array" ref="R356">INDEX(GMW!$A$2:$NF$60,MATCH(1,(GMW!$NE$2:$NE$60=R$3)*(GMW!$ND$2:$ND$60=R$4)*(GMW!$NF$2:$NF$60=R$1),0),$F356-1966)</f>
        <v>-60.871830000000003</v>
      </c>
      <c r="S356" s="4" cm="1">
        <f t="array" ref="S356">INDEX(GMW!$A$2:$NF$60,MATCH(1,(GMW!$NE$2:$NE$60=S$3)*(GMW!$ND$2:$ND$60=S$4)*(GMW!$NF$2:$NF$60=S$1),0),$F356-1966)</f>
        <v>-21.844550000000002</v>
      </c>
      <c r="T356" s="4" cm="1">
        <f t="array" ref="T356">INDEX(GMW!$A$2:$NF$60,MATCH(1,(GMW!$NE$2:$NE$60=T$3)*(GMW!$ND$2:$ND$60=T$4)*(GMW!$NF$2:$NF$60=T$1),0),$F356-1966)</f>
        <v>-71669.5</v>
      </c>
      <c r="U356" s="4" cm="1">
        <f t="array" ref="U356">INDEX(GMW!$A$2:$NF$60,MATCH(1,(GMW!$NE$2:$NE$60=U$3)*(GMW!$ND$2:$ND$60=U$4)*(GMW!$NF$2:$NF$60=U$1),0),$F356-1966)</f>
        <v>11075940</v>
      </c>
      <c r="V356" s="4" cm="1">
        <f t="array" ref="V356">INDEX(GMW!$A$2:$NF$60,MATCH(1,(GMW!$NE$2:$NE$60=V$3)*(GMW!$ND$2:$ND$60=V$4)*(GMW!$NF$2:$NF$60=V$1),0),$F356-1966)</f>
        <v>179051.2</v>
      </c>
      <c r="W356" s="4" cm="1">
        <f t="array" ref="W356">INDEX(GMW!$A$2:$NF$60,MATCH(1,(GMW!$NE$2:$NE$60=W$3)*(GMW!$ND$2:$ND$60=W$4)*(GMW!$NF$2:$NF$60=W$1),0),$F356-1966)</f>
        <v>1736400</v>
      </c>
      <c r="X356" s="4" cm="1">
        <f t="array" ref="X356">INDEX(GMW!$A$2:$NF$60,MATCH(1,(GMW!$NE$2:$NE$60=X$3)*(GMW!$ND$2:$ND$60=X$4)*(GMW!$NF$2:$NF$60=X$1),0),$F356-1966)</f>
        <v>7165.53</v>
      </c>
      <c r="Y356" s="4" cm="1">
        <f t="array" ref="Y356">INDEX(GMW!$A$2:$NF$60,MATCH(1,(GMW!$NE$2:$NE$60=Y$3)*(GMW!$ND$2:$ND$60=Y$4)*(GMW!$NF$2:$NF$60=Y$1),0),$F356-1966)</f>
        <v>9873.8649999999998</v>
      </c>
      <c r="Z356" s="4" cm="1">
        <f t="array" ref="Z356">INDEX(GMW!$A$2:$NF$60,MATCH(1,(GMW!$NE$2:$NE$60=Z$3)*(GMW!$ND$2:$ND$60=Z$4)*(GMW!$NF$2:$NF$60=Z$1),0),$F356-1966)</f>
        <v>5712.335</v>
      </c>
      <c r="AA356" s="4" cm="1">
        <f t="array" ref="AA356">INDEX(GMW!$A$2:$NF$60,MATCH(1,(GMW!$NE$2:$NE$60=AA$3)*(GMW!$ND$2:$ND$60=AA$4)*(GMW!$NF$2:$NF$60=AA$1),0),$F356-1966)</f>
        <v>9087438</v>
      </c>
      <c r="AB356" s="4" cm="1">
        <f t="array" ref="AB356">INDEX(GMW!$A$2:$NF$60,MATCH(1,(GMW!$NE$2:$NE$60=AB$3)*(GMW!$ND$2:$ND$60=AB$4)*(GMW!$NF$2:$NF$60=AB$1),0),$F356-1966)</f>
        <v>2594124</v>
      </c>
      <c r="AC356" s="4" cm="1">
        <f t="array" ref="AC356">INDEX(GMW!$A$2:$NF$60,MATCH(1,(GMW!$NE$2:$NE$60=AC$3)*(GMW!$ND$2:$ND$60=AC$4)*(GMW!$NF$2:$NF$60=AC$1),0),$F356-1966)</f>
        <v>26847.14</v>
      </c>
      <c r="AD356" s="4" cm="1">
        <f t="array" ref="AD356">INDEX(GMW!$A$2:$NF$60,MATCH(1,(GMW!$NE$2:$NE$60=AD$3)*(GMW!$ND$2:$ND$60=AD$4)*(GMW!$NF$2:$NF$60=AD$1),0),$F356-1966)</f>
        <v>264115.8</v>
      </c>
      <c r="AE356" s="4" cm="1">
        <f t="array" ref="AE356">INDEX(GMW!$A$2:$NF$60,MATCH(1,(GMW!$NE$2:$NE$60=AE$3)*(GMW!$ND$2:$ND$60=AE$4)*(GMW!$NF$2:$NF$60=AE$1),0),$F356-1966)</f>
        <v>3129.009</v>
      </c>
      <c r="AF356" s="4" cm="1">
        <f t="array" ref="AF356">INDEX(GMW!$A$2:$NF$60,MATCH(1,(GMW!$NE$2:$NE$60=AF$3)*(GMW!$ND$2:$ND$60=AF$4)*(GMW!$NF$2:$NF$60=AF$1),0),$F356-1966)</f>
        <v>1844.8620000000001</v>
      </c>
      <c r="AG356" s="4" cm="1">
        <f t="array" ref="AG356">INDEX(GMW!$A$2:$NF$60,MATCH(1,(GMW!$NE$2:$NE$60=AG$3)*(GMW!$ND$2:$ND$60=AG$4)*(GMW!$NF$2:$NF$60=AG$1),0),$F356-1966)</f>
        <v>1231.1959999999999</v>
      </c>
      <c r="AH356" s="4" cm="1">
        <f t="array" ref="AH356">INDEX(GMW!$A$2:$NF$60,MATCH(1,(GMW!$NE$2:$NE$60=AH$3)*(GMW!$ND$2:$ND$60=AH$4)*(GMW!$NF$2:$NF$60=AH$1),0),$F356-1966)</f>
        <v>2955998</v>
      </c>
    </row>
    <row r="357" spans="1:34" x14ac:dyDescent="0.25">
      <c r="B357" s="4">
        <f t="shared" si="115"/>
        <v>2060</v>
      </c>
      <c r="C357" s="4">
        <f t="shared" si="115"/>
        <v>2060</v>
      </c>
      <c r="F357" s="4">
        <f t="shared" si="101"/>
        <v>2323</v>
      </c>
      <c r="G357" s="4" cm="1">
        <f t="array" ref="G357">INDEX(GMW!$A$2:$NF$60,MATCH(1,(GMW!$NE$2:$NE$60=G$3)*(GMW!$ND$2:$ND$60=G$4)*(GMW!$NF$2:$NF$60=G$1),0),$F357-1966)</f>
        <v>1072275</v>
      </c>
      <c r="H357" s="4" cm="1">
        <f t="array" ref="H357">INDEX(GMW!$A$2:$NF$60,MATCH(1,(GMW!$NE$2:$NE$60=H$3)*(GMW!$ND$2:$ND$60=H$4)*(GMW!$NF$2:$NF$60=H$1),0),$F357-1966)</f>
        <v>10924.04</v>
      </c>
      <c r="I357" s="4" cm="1">
        <f t="array" ref="I357">INDEX(GMW!$A$2:$NF$60,MATCH(1,(GMW!$NE$2:$NE$60=I$3)*(GMW!$ND$2:$ND$60=I$4)*(GMW!$NF$2:$NF$60=I$1),0),$F357-1966)</f>
        <v>144041.5</v>
      </c>
      <c r="J357" s="4" cm="1">
        <f t="array" ref="J357">INDEX(GMW!$A$2:$NF$60,MATCH(1,(GMW!$NE$2:$NE$60=J$3)*(GMW!$ND$2:$ND$60=J$4)*(GMW!$NF$2:$NF$60=J$1),0),$F357-1966)</f>
        <v>1236.3050000000001</v>
      </c>
      <c r="K357" s="4" cm="1">
        <f t="array" ref="K357">INDEX(GMW!$A$2:$NF$60,MATCH(1,(GMW!$NE$2:$NE$60=K$3)*(GMW!$ND$2:$ND$60=K$4)*(GMW!$NF$2:$NF$60=K$1),0),$F357-1966)</f>
        <v>810.43730000000005</v>
      </c>
      <c r="L357" s="4" cm="1">
        <f t="array" ref="L357">INDEX(GMW!$A$2:$NF$60,MATCH(1,(GMW!$NE$2:$NE$60=L$3)*(GMW!$ND$2:$ND$60=L$4)*(GMW!$NF$2:$NF$60=L$1),0),$F357-1966)</f>
        <v>543.37459999999999</v>
      </c>
      <c r="M357" s="4" cm="1">
        <f t="array" ref="M357">INDEX(GMW!$A$2:$NF$60,MATCH(1,(GMW!$NE$2:$NE$60=M$3)*(GMW!$ND$2:$ND$60=M$4)*(GMW!$NF$2:$NF$60=M$1),0),$F357-1966)</f>
        <v>1175054</v>
      </c>
      <c r="N357" s="4" cm="1">
        <f t="array" ref="N357">INDEX(GMW!$A$2:$NF$60,MATCH(1,(GMW!$NE$2:$NE$60=N$3)*(GMW!$ND$2:$ND$60=N$4)*(GMW!$NF$2:$NF$60=N$1),0),$F357-1966)</f>
        <v>-89890.13</v>
      </c>
      <c r="O357" s="4" cm="1">
        <f t="array" ref="O357">INDEX(GMW!$A$2:$NF$60,MATCH(1,(GMW!$NE$2:$NE$60=O$3)*(GMW!$ND$2:$ND$60=O$4)*(GMW!$NF$2:$NF$60=O$1),0),$F357-1966)</f>
        <v>-1018.204</v>
      </c>
      <c r="P357" s="4" cm="1">
        <f t="array" ref="P357">INDEX(GMW!$A$2:$NF$60,MATCH(1,(GMW!$NE$2:$NE$60=P$3)*(GMW!$ND$2:$ND$60=P$4)*(GMW!$NF$2:$NF$60=P$1),0),$F357-1966)</f>
        <v>-2470.125</v>
      </c>
      <c r="Q357" s="4" cm="1">
        <f t="array" ref="Q357">INDEX(GMW!$A$2:$NF$60,MATCH(1,(GMW!$NE$2:$NE$60=Q$3)*(GMW!$ND$2:$ND$60=Q$4)*(GMW!$NF$2:$NF$60=Q$1),0),$F357-1966)</f>
        <v>-43.950069999999997</v>
      </c>
      <c r="R357" s="4" cm="1">
        <f t="array" ref="R357">INDEX(GMW!$A$2:$NF$60,MATCH(1,(GMW!$NE$2:$NE$60=R$3)*(GMW!$ND$2:$ND$60=R$4)*(GMW!$NF$2:$NF$60=R$1),0),$F357-1966)</f>
        <v>-61.224980000000002</v>
      </c>
      <c r="S357" s="4" cm="1">
        <f t="array" ref="S357">INDEX(GMW!$A$2:$NF$60,MATCH(1,(GMW!$NE$2:$NE$60=S$3)*(GMW!$ND$2:$ND$60=S$4)*(GMW!$NF$2:$NF$60=S$1),0),$F357-1966)</f>
        <v>-21.966249999999999</v>
      </c>
      <c r="T357" s="4" cm="1">
        <f t="array" ref="T357">INDEX(GMW!$A$2:$NF$60,MATCH(1,(GMW!$NE$2:$NE$60=T$3)*(GMW!$ND$2:$ND$60=T$4)*(GMW!$NF$2:$NF$60=T$1),0),$F357-1966)</f>
        <v>-72085</v>
      </c>
      <c r="U357" s="4" cm="1">
        <f t="array" ref="U357">INDEX(GMW!$A$2:$NF$60,MATCH(1,(GMW!$NE$2:$NE$60=U$3)*(GMW!$ND$2:$ND$60=U$4)*(GMW!$NF$2:$NF$60=U$1),0),$F357-1966)</f>
        <v>11165830</v>
      </c>
      <c r="V357" s="4" cm="1">
        <f t="array" ref="V357">INDEX(GMW!$A$2:$NF$60,MATCH(1,(GMW!$NE$2:$NE$60=V$3)*(GMW!$ND$2:$ND$60=V$4)*(GMW!$NF$2:$NF$60=V$1),0),$F357-1966)</f>
        <v>180069.4</v>
      </c>
      <c r="W357" s="4" cm="1">
        <f t="array" ref="W357">INDEX(GMW!$A$2:$NF$60,MATCH(1,(GMW!$NE$2:$NE$60=W$3)*(GMW!$ND$2:$ND$60=W$4)*(GMW!$NF$2:$NF$60=W$1),0),$F357-1966)</f>
        <v>1738870</v>
      </c>
      <c r="X357" s="4" cm="1">
        <f t="array" ref="X357">INDEX(GMW!$A$2:$NF$60,MATCH(1,(GMW!$NE$2:$NE$60=X$3)*(GMW!$ND$2:$ND$60=X$4)*(GMW!$NF$2:$NF$60=X$1),0),$F357-1966)</f>
        <v>7209.48</v>
      </c>
      <c r="Y357" s="4" cm="1">
        <f t="array" ref="Y357">INDEX(GMW!$A$2:$NF$60,MATCH(1,(GMW!$NE$2:$NE$60=Y$3)*(GMW!$ND$2:$ND$60=Y$4)*(GMW!$NF$2:$NF$60=Y$1),0),$F357-1966)</f>
        <v>9935.09</v>
      </c>
      <c r="Z357" s="4" cm="1">
        <f t="array" ref="Z357">INDEX(GMW!$A$2:$NF$60,MATCH(1,(GMW!$NE$2:$NE$60=Z$3)*(GMW!$ND$2:$ND$60=Z$4)*(GMW!$NF$2:$NF$60=Z$1),0),$F357-1966)</f>
        <v>5734.3010000000004</v>
      </c>
      <c r="AA357" s="4" cm="1">
        <f t="array" ref="AA357">INDEX(GMW!$A$2:$NF$60,MATCH(1,(GMW!$NE$2:$NE$60=AA$3)*(GMW!$ND$2:$ND$60=AA$4)*(GMW!$NF$2:$NF$60=AA$1),0),$F357-1966)</f>
        <v>9159523</v>
      </c>
      <c r="AB357" s="4" cm="1">
        <f t="array" ref="AB357">INDEX(GMW!$A$2:$NF$60,MATCH(1,(GMW!$NE$2:$NE$60=AB$3)*(GMW!$ND$2:$ND$60=AB$4)*(GMW!$NF$2:$NF$60=AB$1),0),$F357-1966)</f>
        <v>2615828</v>
      </c>
      <c r="AC357" s="4" cm="1">
        <f t="array" ref="AC357">INDEX(GMW!$A$2:$NF$60,MATCH(1,(GMW!$NE$2:$NE$60=AC$3)*(GMW!$ND$2:$ND$60=AC$4)*(GMW!$NF$2:$NF$60=AC$1),0),$F357-1966)</f>
        <v>27082.23</v>
      </c>
      <c r="AD357" s="4" cm="1">
        <f t="array" ref="AD357">INDEX(GMW!$A$2:$NF$60,MATCH(1,(GMW!$NE$2:$NE$60=AD$3)*(GMW!$ND$2:$ND$60=AD$4)*(GMW!$NF$2:$NF$60=AD$1),0),$F357-1966)</f>
        <v>265404.79999999999</v>
      </c>
      <c r="AE357" s="4" cm="1">
        <f t="array" ref="AE357">INDEX(GMW!$A$2:$NF$60,MATCH(1,(GMW!$NE$2:$NE$60=AE$3)*(GMW!$ND$2:$ND$60=AE$4)*(GMW!$NF$2:$NF$60=AE$1),0),$F357-1966)</f>
        <v>3150.9090000000001</v>
      </c>
      <c r="AF357" s="4" cm="1">
        <f t="array" ref="AF357">INDEX(GMW!$A$2:$NF$60,MATCH(1,(GMW!$NE$2:$NE$60=AF$3)*(GMW!$ND$2:$ND$60=AF$4)*(GMW!$NF$2:$NF$60=AF$1),0),$F357-1966)</f>
        <v>1855.26</v>
      </c>
      <c r="AG357" s="4" cm="1">
        <f t="array" ref="AG357">INDEX(GMW!$A$2:$NF$60,MATCH(1,(GMW!$NE$2:$NE$60=AG$3)*(GMW!$ND$2:$ND$60=AG$4)*(GMW!$NF$2:$NF$60=AG$1),0),$F357-1966)</f>
        <v>1238.056</v>
      </c>
      <c r="AH357" s="4" cm="1">
        <f t="array" ref="AH357">INDEX(GMW!$A$2:$NF$60,MATCH(1,(GMW!$NE$2:$NE$60=AH$3)*(GMW!$ND$2:$ND$60=AH$4)*(GMW!$NF$2:$NF$60=AH$1),0),$F357-1966)</f>
        <v>2983160</v>
      </c>
    </row>
    <row r="358" spans="1:34" x14ac:dyDescent="0.25">
      <c r="B358" s="4">
        <f t="shared" si="115"/>
        <v>2060</v>
      </c>
      <c r="C358" s="4">
        <f t="shared" si="115"/>
        <v>2060</v>
      </c>
      <c r="E358" s="4">
        <f t="shared" ref="E358" si="118">+E354+1</f>
        <v>2060</v>
      </c>
      <c r="F358" s="4">
        <f t="shared" si="101"/>
        <v>2324</v>
      </c>
      <c r="G358" s="4" cm="1">
        <f t="array" ref="G358">INDEX(GMW!$A$2:$NF$60,MATCH(1,(GMW!$NE$2:$NE$60=G$3)*(GMW!$ND$2:$ND$60=G$4)*(GMW!$NF$2:$NF$60=G$1),0),$F358-1966)</f>
        <v>1075487</v>
      </c>
      <c r="H358" s="4" cm="1">
        <f t="array" ref="H358">INDEX(GMW!$A$2:$NF$60,MATCH(1,(GMW!$NE$2:$NE$60=H$3)*(GMW!$ND$2:$ND$60=H$4)*(GMW!$NF$2:$NF$60=H$1),0),$F358-1966)</f>
        <v>10966.46</v>
      </c>
      <c r="I358" s="4" cm="1">
        <f t="array" ref="I358">INDEX(GMW!$A$2:$NF$60,MATCH(1,(GMW!$NE$2:$NE$60=I$3)*(GMW!$ND$2:$ND$60=I$4)*(GMW!$NF$2:$NF$60=I$1),0),$F358-1966)</f>
        <v>144197.5</v>
      </c>
      <c r="J358" s="4" cm="1">
        <f t="array" ref="J358">INDEX(GMW!$A$2:$NF$60,MATCH(1,(GMW!$NE$2:$NE$60=J$3)*(GMW!$ND$2:$ND$60=J$4)*(GMW!$NF$2:$NF$60=J$1),0),$F358-1966)</f>
        <v>1238.8140000000001</v>
      </c>
      <c r="K358" s="4" cm="1">
        <f t="array" ref="K358">INDEX(GMW!$A$2:$NF$60,MATCH(1,(GMW!$NE$2:$NE$60=K$3)*(GMW!$ND$2:$ND$60=K$4)*(GMW!$NF$2:$NF$60=K$1),0),$F358-1966)</f>
        <v>810.90390000000002</v>
      </c>
      <c r="L358" s="4" cm="1">
        <f t="array" ref="L358">INDEX(GMW!$A$2:$NF$60,MATCH(1,(GMW!$NE$2:$NE$60=L$3)*(GMW!$ND$2:$ND$60=L$4)*(GMW!$NF$2:$NF$60=L$1),0),$F358-1966)</f>
        <v>543.67859999999996</v>
      </c>
      <c r="M358" s="4" cm="1">
        <f t="array" ref="M358">INDEX(GMW!$A$2:$NF$60,MATCH(1,(GMW!$NE$2:$NE$60=M$3)*(GMW!$ND$2:$ND$60=M$4)*(GMW!$NF$2:$NF$60=M$1),0),$F358-1966)</f>
        <v>1180032</v>
      </c>
      <c r="N358" s="4" cm="1">
        <f t="array" ref="N358">INDEX(GMW!$A$2:$NF$60,MATCH(1,(GMW!$NE$2:$NE$60=N$3)*(GMW!$ND$2:$ND$60=N$4)*(GMW!$NF$2:$NF$60=N$1),0),$F358-1966)</f>
        <v>-158274.1</v>
      </c>
      <c r="O358" s="4" cm="1">
        <f t="array" ref="O358">INDEX(GMW!$A$2:$NF$60,MATCH(1,(GMW!$NE$2:$NE$60=O$3)*(GMW!$ND$2:$ND$60=O$4)*(GMW!$NF$2:$NF$60=O$1),0),$F358-1966)</f>
        <v>-1011.612</v>
      </c>
      <c r="P358" s="4" cm="1">
        <f t="array" ref="P358">INDEX(GMW!$A$2:$NF$60,MATCH(1,(GMW!$NE$2:$NE$60=P$3)*(GMW!$ND$2:$ND$60=P$4)*(GMW!$NF$2:$NF$60=P$1),0),$F358-1966)</f>
        <v>-2482.1799999999998</v>
      </c>
      <c r="Q358" s="4" cm="1">
        <f t="array" ref="Q358">INDEX(GMW!$A$2:$NF$60,MATCH(1,(GMW!$NE$2:$NE$60=Q$3)*(GMW!$ND$2:$ND$60=Q$4)*(GMW!$NF$2:$NF$60=Q$1),0),$F358-1966)</f>
        <v>-44.23901</v>
      </c>
      <c r="R358" s="4" cm="1">
        <f t="array" ref="R358">INDEX(GMW!$A$2:$NF$60,MATCH(1,(GMW!$NE$2:$NE$60=R$3)*(GMW!$ND$2:$ND$60=R$4)*(GMW!$NF$2:$NF$60=R$1),0),$F358-1966)</f>
        <v>-61.568730000000002</v>
      </c>
      <c r="S358" s="4" cm="1">
        <f t="array" ref="S358">INDEX(GMW!$A$2:$NF$60,MATCH(1,(GMW!$NE$2:$NE$60=S$3)*(GMW!$ND$2:$ND$60=S$4)*(GMW!$NF$2:$NF$60=S$1),0),$F358-1966)</f>
        <v>-22.08869</v>
      </c>
      <c r="T358" s="4" cm="1">
        <f t="array" ref="T358">INDEX(GMW!$A$2:$NF$60,MATCH(1,(GMW!$NE$2:$NE$60=T$3)*(GMW!$ND$2:$ND$60=T$4)*(GMW!$NF$2:$NF$60=T$1),0),$F358-1966)</f>
        <v>-72969.13</v>
      </c>
      <c r="U358" s="4" cm="1">
        <f t="array" ref="U358">INDEX(GMW!$A$2:$NF$60,MATCH(1,(GMW!$NE$2:$NE$60=U$3)*(GMW!$ND$2:$ND$60=U$4)*(GMW!$NF$2:$NF$60=U$1),0),$F358-1966)</f>
        <v>11324100</v>
      </c>
      <c r="V358" s="4" cm="1">
        <f t="array" ref="V358">INDEX(GMW!$A$2:$NF$60,MATCH(1,(GMW!$NE$2:$NE$60=V$3)*(GMW!$ND$2:$ND$60=V$4)*(GMW!$NF$2:$NF$60=V$1),0),$F358-1966)</f>
        <v>181081</v>
      </c>
      <c r="W358" s="4" cm="1">
        <f t="array" ref="W358">INDEX(GMW!$A$2:$NF$60,MATCH(1,(GMW!$NE$2:$NE$60=W$3)*(GMW!$ND$2:$ND$60=W$4)*(GMW!$NF$2:$NF$60=W$1),0),$F358-1966)</f>
        <v>1741352</v>
      </c>
      <c r="X358" s="4" cm="1">
        <f t="array" ref="X358">INDEX(GMW!$A$2:$NF$60,MATCH(1,(GMW!$NE$2:$NE$60=X$3)*(GMW!$ND$2:$ND$60=X$4)*(GMW!$NF$2:$NF$60=X$1),0),$F358-1966)</f>
        <v>7253.72</v>
      </c>
      <c r="Y358" s="4" cm="1">
        <f t="array" ref="Y358">INDEX(GMW!$A$2:$NF$60,MATCH(1,(GMW!$NE$2:$NE$60=Y$3)*(GMW!$ND$2:$ND$60=Y$4)*(GMW!$NF$2:$NF$60=Y$1),0),$F358-1966)</f>
        <v>9996.6579999999994</v>
      </c>
      <c r="Z358" s="4" cm="1">
        <f t="array" ref="Z358">INDEX(GMW!$A$2:$NF$60,MATCH(1,(GMW!$NE$2:$NE$60=Z$3)*(GMW!$ND$2:$ND$60=Z$4)*(GMW!$NF$2:$NF$60=Z$1),0),$F358-1966)</f>
        <v>5756.39</v>
      </c>
      <c r="AA358" s="4" cm="1">
        <f t="array" ref="AA358">INDEX(GMW!$A$2:$NF$60,MATCH(1,(GMW!$NE$2:$NE$60=AA$3)*(GMW!$ND$2:$ND$60=AA$4)*(GMW!$NF$2:$NF$60=AA$1),0),$F358-1966)</f>
        <v>9232492</v>
      </c>
      <c r="AB358" s="4" cm="1">
        <f t="array" ref="AB358">INDEX(GMW!$A$2:$NF$60,MATCH(1,(GMW!$NE$2:$NE$60=AB$3)*(GMW!$ND$2:$ND$60=AB$4)*(GMW!$NF$2:$NF$60=AB$1),0),$F358-1966)</f>
        <v>2637701</v>
      </c>
      <c r="AC358" s="4" cm="1">
        <f t="array" ref="AC358">INDEX(GMW!$A$2:$NF$60,MATCH(1,(GMW!$NE$2:$NE$60=AC$3)*(GMW!$ND$2:$ND$60=AC$4)*(GMW!$NF$2:$NF$60=AC$1),0),$F358-1966)</f>
        <v>27319.21</v>
      </c>
      <c r="AD358" s="4" cm="1">
        <f t="array" ref="AD358">INDEX(GMW!$A$2:$NF$60,MATCH(1,(GMW!$NE$2:$NE$60=AD$3)*(GMW!$ND$2:$ND$60=AD$4)*(GMW!$NF$2:$NF$60=AD$1),0),$F358-1966)</f>
        <v>266707.3</v>
      </c>
      <c r="AE358" s="4" cm="1">
        <f t="array" ref="AE358">INDEX(GMW!$A$2:$NF$60,MATCH(1,(GMW!$NE$2:$NE$60=AE$3)*(GMW!$ND$2:$ND$60=AE$4)*(GMW!$NF$2:$NF$60=AE$1),0),$F358-1966)</f>
        <v>3172.9679999999998</v>
      </c>
      <c r="AF358" s="4" cm="1">
        <f t="array" ref="AF358">INDEX(GMW!$A$2:$NF$60,MATCH(1,(GMW!$NE$2:$NE$60=AF$3)*(GMW!$ND$2:$ND$60=AF$4)*(GMW!$NF$2:$NF$60=AF$1),0),$F358-1966)</f>
        <v>1865.4970000000001</v>
      </c>
      <c r="AG358" s="4" cm="1">
        <f t="array" ref="AG358">INDEX(GMW!$A$2:$NF$60,MATCH(1,(GMW!$NE$2:$NE$60=AG$3)*(GMW!$ND$2:$ND$60=AG$4)*(GMW!$NF$2:$NF$60=AG$1),0),$F358-1966)</f>
        <v>1244.9280000000001</v>
      </c>
      <c r="AH358" s="4" cm="1">
        <f t="array" ref="AH358">INDEX(GMW!$A$2:$NF$60,MATCH(1,(GMW!$NE$2:$NE$60=AH$3)*(GMW!$ND$2:$ND$60=AH$4)*(GMW!$NF$2:$NF$60=AH$1),0),$F358-1966)</f>
        <v>3010570</v>
      </c>
    </row>
    <row r="359" spans="1:34" x14ac:dyDescent="0.25">
      <c r="C359" s="4">
        <f t="shared" si="115"/>
        <v>2060</v>
      </c>
      <c r="D359" s="4">
        <f t="shared" si="115"/>
        <v>2060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6360-931F-4D99-A3B1-F8E9550181CA}">
  <dimension ref="A1:NF29"/>
  <sheetViews>
    <sheetView workbookViewId="0">
      <pane xSplit="6" ySplit="1" topLeftCell="G2" activePane="bottomRight" state="frozen"/>
      <selection pane="topRight" activeCell="G1" sqref="G1"/>
      <selection pane="bottomLeft" activeCell="A2" sqref="A2"/>
      <selection pane="bottomRight" activeCell="C17" sqref="C17"/>
    </sheetView>
  </sheetViews>
  <sheetFormatPr defaultRowHeight="15" x14ac:dyDescent="0.25"/>
  <cols>
    <col min="1" max="1" width="15.7109375" customWidth="1"/>
    <col min="2" max="3" width="20.7109375" customWidth="1"/>
    <col min="4" max="5" width="10.7109375" customWidth="1"/>
    <col min="6" max="6" width="15.7109375" customWidth="1"/>
    <col min="7" max="359" width="10.7109375" customWidth="1"/>
    <col min="360" max="360" width="20.7109375" customWidth="1"/>
    <col min="361" max="362" width="15.7109375" customWidth="1"/>
    <col min="363" max="364" width="20.7109375" customWidth="1"/>
    <col min="365" max="365" width="18.7109375" customWidth="1"/>
    <col min="366" max="367" width="22.7109375" customWidth="1"/>
    <col min="368" max="368" width="13.7109375" customWidth="1"/>
    <col min="369" max="369" width="14.7109375" customWidth="1"/>
    <col min="370" max="370" width="10.7109375" customWidth="1"/>
  </cols>
  <sheetData>
    <row r="1" spans="1:370" ht="30" x14ac:dyDescent="0.25">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18" t="s">
        <v>35</v>
      </c>
      <c r="AK1" s="18" t="s">
        <v>36</v>
      </c>
      <c r="AL1" s="18" t="s">
        <v>37</v>
      </c>
      <c r="AM1" s="18" t="s">
        <v>38</v>
      </c>
      <c r="AN1" s="18" t="s">
        <v>39</v>
      </c>
      <c r="AO1" s="18" t="s">
        <v>40</v>
      </c>
      <c r="AP1" s="18" t="s">
        <v>41</v>
      </c>
      <c r="AQ1" s="18" t="s">
        <v>42</v>
      </c>
      <c r="AR1" s="18" t="s">
        <v>43</v>
      </c>
      <c r="AS1" s="18" t="s">
        <v>44</v>
      </c>
      <c r="AT1" s="18" t="s">
        <v>45</v>
      </c>
      <c r="AU1" s="18" t="s">
        <v>46</v>
      </c>
      <c r="AV1" s="18" t="s">
        <v>47</v>
      </c>
      <c r="AW1" s="18" t="s">
        <v>48</v>
      </c>
      <c r="AX1" s="18" t="s">
        <v>49</v>
      </c>
      <c r="AY1" s="18" t="s">
        <v>50</v>
      </c>
      <c r="AZ1" s="18" t="s">
        <v>51</v>
      </c>
      <c r="BA1" s="18" t="s">
        <v>52</v>
      </c>
      <c r="BB1" s="18" t="s">
        <v>53</v>
      </c>
      <c r="BC1" s="18" t="s">
        <v>54</v>
      </c>
      <c r="BD1" s="18" t="s">
        <v>55</v>
      </c>
      <c r="BE1" s="18" t="s">
        <v>56</v>
      </c>
      <c r="BF1" s="18" t="s">
        <v>57</v>
      </c>
      <c r="BG1" s="18" t="s">
        <v>58</v>
      </c>
      <c r="BH1" s="18" t="s">
        <v>59</v>
      </c>
      <c r="BI1" s="18" t="s">
        <v>60</v>
      </c>
      <c r="BJ1" s="18" t="s">
        <v>61</v>
      </c>
      <c r="BK1" s="18" t="s">
        <v>62</v>
      </c>
      <c r="BL1" s="18" t="s">
        <v>63</v>
      </c>
      <c r="BM1" s="18" t="s">
        <v>64</v>
      </c>
      <c r="BN1" s="18" t="s">
        <v>65</v>
      </c>
      <c r="BO1" s="18" t="s">
        <v>66</v>
      </c>
      <c r="BP1" s="18" t="s">
        <v>67</v>
      </c>
      <c r="BQ1" s="18" t="s">
        <v>68</v>
      </c>
      <c r="BR1" s="18" t="s">
        <v>69</v>
      </c>
      <c r="BS1" s="18" t="s">
        <v>70</v>
      </c>
      <c r="BT1" s="18" t="s">
        <v>71</v>
      </c>
      <c r="BU1" s="18" t="s">
        <v>72</v>
      </c>
      <c r="BV1" s="18" t="s">
        <v>73</v>
      </c>
      <c r="BW1" s="18" t="s">
        <v>74</v>
      </c>
      <c r="BX1" s="18" t="s">
        <v>75</v>
      </c>
      <c r="BY1" s="18" t="s">
        <v>76</v>
      </c>
      <c r="BZ1" s="18" t="s">
        <v>77</v>
      </c>
      <c r="CA1" s="18" t="s">
        <v>78</v>
      </c>
      <c r="CB1" s="18" t="s">
        <v>79</v>
      </c>
      <c r="CC1" s="18" t="s">
        <v>80</v>
      </c>
      <c r="CD1" s="18" t="s">
        <v>81</v>
      </c>
      <c r="CE1" s="18" t="s">
        <v>82</v>
      </c>
      <c r="CF1" s="18" t="s">
        <v>83</v>
      </c>
      <c r="CG1" s="18" t="s">
        <v>84</v>
      </c>
      <c r="CH1" s="18" t="s">
        <v>85</v>
      </c>
      <c r="CI1" s="18" t="s">
        <v>86</v>
      </c>
      <c r="CJ1" s="18" t="s">
        <v>87</v>
      </c>
      <c r="CK1" s="18" t="s">
        <v>88</v>
      </c>
      <c r="CL1" s="18" t="s">
        <v>89</v>
      </c>
      <c r="CM1" s="18" t="s">
        <v>90</v>
      </c>
      <c r="CN1" s="18" t="s">
        <v>91</v>
      </c>
      <c r="CO1" s="18" t="s">
        <v>92</v>
      </c>
      <c r="CP1" s="18" t="s">
        <v>93</v>
      </c>
      <c r="CQ1" s="18" t="s">
        <v>94</v>
      </c>
      <c r="CR1" s="18" t="s">
        <v>95</v>
      </c>
      <c r="CS1" s="18" t="s">
        <v>96</v>
      </c>
      <c r="CT1" s="18" t="s">
        <v>97</v>
      </c>
      <c r="CU1" s="18" t="s">
        <v>98</v>
      </c>
      <c r="CV1" s="18" t="s">
        <v>99</v>
      </c>
      <c r="CW1" s="18" t="s">
        <v>100</v>
      </c>
      <c r="CX1" s="18" t="s">
        <v>101</v>
      </c>
      <c r="CY1" s="18" t="s">
        <v>102</v>
      </c>
      <c r="CZ1" s="18" t="s">
        <v>103</v>
      </c>
      <c r="DA1" s="18" t="s">
        <v>104</v>
      </c>
      <c r="DB1" s="18" t="s">
        <v>105</v>
      </c>
      <c r="DC1" s="18" t="s">
        <v>106</v>
      </c>
      <c r="DD1" s="18" t="s">
        <v>107</v>
      </c>
      <c r="DE1" s="18" t="s">
        <v>108</v>
      </c>
      <c r="DF1" s="18" t="s">
        <v>109</v>
      </c>
      <c r="DG1" s="18" t="s">
        <v>110</v>
      </c>
      <c r="DH1" s="18" t="s">
        <v>111</v>
      </c>
      <c r="DI1" s="18" t="s">
        <v>112</v>
      </c>
      <c r="DJ1" s="18" t="s">
        <v>113</v>
      </c>
      <c r="DK1" s="18" t="s">
        <v>114</v>
      </c>
      <c r="DL1" s="18" t="s">
        <v>115</v>
      </c>
      <c r="DM1" s="18" t="s">
        <v>116</v>
      </c>
      <c r="DN1" s="18" t="s">
        <v>117</v>
      </c>
      <c r="DO1" s="18" t="s">
        <v>118</v>
      </c>
      <c r="DP1" s="18" t="s">
        <v>119</v>
      </c>
      <c r="DQ1" s="18" t="s">
        <v>120</v>
      </c>
      <c r="DR1" s="18" t="s">
        <v>121</v>
      </c>
      <c r="DS1" s="18" t="s">
        <v>122</v>
      </c>
      <c r="DT1" s="18" t="s">
        <v>123</v>
      </c>
      <c r="DU1" s="18" t="s">
        <v>124</v>
      </c>
      <c r="DV1" s="18" t="s">
        <v>125</v>
      </c>
      <c r="DW1" s="18" t="s">
        <v>126</v>
      </c>
      <c r="DX1" s="18" t="s">
        <v>127</v>
      </c>
      <c r="DY1" s="18" t="s">
        <v>128</v>
      </c>
      <c r="DZ1" s="18" t="s">
        <v>129</v>
      </c>
      <c r="EA1" s="18" t="s">
        <v>130</v>
      </c>
      <c r="EB1" s="18" t="s">
        <v>131</v>
      </c>
      <c r="EC1" s="18" t="s">
        <v>132</v>
      </c>
      <c r="ED1" s="18" t="s">
        <v>133</v>
      </c>
      <c r="EE1" s="18" t="s">
        <v>134</v>
      </c>
      <c r="EF1" s="18" t="s">
        <v>135</v>
      </c>
      <c r="EG1" s="18" t="s">
        <v>136</v>
      </c>
      <c r="EH1" s="18" t="s">
        <v>137</v>
      </c>
      <c r="EI1" s="18" t="s">
        <v>138</v>
      </c>
      <c r="EJ1" s="18" t="s">
        <v>139</v>
      </c>
      <c r="EK1" s="18" t="s">
        <v>140</v>
      </c>
      <c r="EL1" s="18" t="s">
        <v>141</v>
      </c>
      <c r="EM1" s="18" t="s">
        <v>142</v>
      </c>
      <c r="EN1" s="18" t="s">
        <v>143</v>
      </c>
      <c r="EO1" s="18" t="s">
        <v>144</v>
      </c>
      <c r="EP1" s="18" t="s">
        <v>145</v>
      </c>
      <c r="EQ1" s="18" t="s">
        <v>146</v>
      </c>
      <c r="ER1" s="18" t="s">
        <v>147</v>
      </c>
      <c r="ES1" s="18" t="s">
        <v>148</v>
      </c>
      <c r="ET1" s="18" t="s">
        <v>149</v>
      </c>
      <c r="EU1" s="18" t="s">
        <v>150</v>
      </c>
      <c r="EV1" s="18" t="s">
        <v>151</v>
      </c>
      <c r="EW1" s="18" t="s">
        <v>152</v>
      </c>
      <c r="EX1" s="18" t="s">
        <v>153</v>
      </c>
      <c r="EY1" s="18" t="s">
        <v>154</v>
      </c>
      <c r="EZ1" s="18" t="s">
        <v>155</v>
      </c>
      <c r="FA1" s="18" t="s">
        <v>156</v>
      </c>
      <c r="FB1" s="18" t="s">
        <v>157</v>
      </c>
      <c r="FC1" s="18" t="s">
        <v>158</v>
      </c>
      <c r="FD1" s="18" t="s">
        <v>159</v>
      </c>
      <c r="FE1" s="18" t="s">
        <v>160</v>
      </c>
      <c r="FF1" s="18" t="s">
        <v>161</v>
      </c>
      <c r="FG1" s="18" t="s">
        <v>162</v>
      </c>
      <c r="FH1" s="18" t="s">
        <v>163</v>
      </c>
      <c r="FI1" s="18" t="s">
        <v>164</v>
      </c>
      <c r="FJ1" s="18" t="s">
        <v>165</v>
      </c>
      <c r="FK1" s="18" t="s">
        <v>166</v>
      </c>
      <c r="FL1" s="18" t="s">
        <v>167</v>
      </c>
      <c r="FM1" s="18" t="s">
        <v>168</v>
      </c>
      <c r="FN1" s="18" t="s">
        <v>169</v>
      </c>
      <c r="FO1" s="18" t="s">
        <v>170</v>
      </c>
      <c r="FP1" s="18" t="s">
        <v>171</v>
      </c>
      <c r="FQ1" s="18" t="s">
        <v>172</v>
      </c>
      <c r="FR1" s="18" t="s">
        <v>173</v>
      </c>
      <c r="FS1" s="18" t="s">
        <v>174</v>
      </c>
      <c r="FT1" s="18" t="s">
        <v>175</v>
      </c>
      <c r="FU1" s="18" t="s">
        <v>176</v>
      </c>
      <c r="FV1" s="18" t="s">
        <v>177</v>
      </c>
      <c r="FW1" s="18" t="s">
        <v>178</v>
      </c>
      <c r="FX1" s="18" t="s">
        <v>179</v>
      </c>
      <c r="FY1" s="18" t="s">
        <v>180</v>
      </c>
      <c r="FZ1" s="18" t="s">
        <v>181</v>
      </c>
      <c r="GA1" s="18" t="s">
        <v>182</v>
      </c>
      <c r="GB1" s="18" t="s">
        <v>183</v>
      </c>
      <c r="GC1" s="18" t="s">
        <v>184</v>
      </c>
      <c r="GD1" s="18" t="s">
        <v>185</v>
      </c>
      <c r="GE1" s="18" t="s">
        <v>186</v>
      </c>
      <c r="GF1" s="18" t="s">
        <v>187</v>
      </c>
      <c r="GG1" s="18" t="s">
        <v>188</v>
      </c>
      <c r="GH1" s="18" t="s">
        <v>189</v>
      </c>
      <c r="GI1" s="18" t="s">
        <v>190</v>
      </c>
      <c r="GJ1" s="18" t="s">
        <v>191</v>
      </c>
      <c r="GK1" s="18" t="s">
        <v>192</v>
      </c>
      <c r="GL1" s="18" t="s">
        <v>193</v>
      </c>
      <c r="GM1" s="18" t="s">
        <v>194</v>
      </c>
      <c r="GN1" s="18" t="s">
        <v>195</v>
      </c>
      <c r="GO1" s="18" t="s">
        <v>196</v>
      </c>
      <c r="GP1" s="18" t="s">
        <v>197</v>
      </c>
      <c r="GQ1" s="18" t="s">
        <v>198</v>
      </c>
      <c r="GR1" s="18" t="s">
        <v>199</v>
      </c>
      <c r="GS1" s="18" t="s">
        <v>200</v>
      </c>
      <c r="GT1" s="18" t="s">
        <v>201</v>
      </c>
      <c r="GU1" s="18" t="s">
        <v>202</v>
      </c>
      <c r="GV1" s="18" t="s">
        <v>203</v>
      </c>
      <c r="GW1" s="18" t="s">
        <v>204</v>
      </c>
      <c r="GX1" s="18" t="s">
        <v>205</v>
      </c>
      <c r="GY1" s="18" t="s">
        <v>206</v>
      </c>
      <c r="GZ1" s="18" t="s">
        <v>207</v>
      </c>
      <c r="HA1" s="18" t="s">
        <v>208</v>
      </c>
      <c r="HB1" s="18" t="s">
        <v>209</v>
      </c>
      <c r="HC1" s="18" t="s">
        <v>210</v>
      </c>
      <c r="HD1" s="18" t="s">
        <v>211</v>
      </c>
      <c r="HE1" s="18" t="s">
        <v>212</v>
      </c>
      <c r="HF1" s="18" t="s">
        <v>213</v>
      </c>
      <c r="HG1" s="18" t="s">
        <v>214</v>
      </c>
      <c r="HH1" s="18" t="s">
        <v>215</v>
      </c>
      <c r="HI1" s="18" t="s">
        <v>216</v>
      </c>
      <c r="HJ1" s="18" t="s">
        <v>217</v>
      </c>
      <c r="HK1" s="18" t="s">
        <v>218</v>
      </c>
      <c r="HL1" s="18" t="s">
        <v>219</v>
      </c>
      <c r="HM1" s="18" t="s">
        <v>220</v>
      </c>
      <c r="HN1" s="18" t="s">
        <v>221</v>
      </c>
      <c r="HO1" s="18" t="s">
        <v>222</v>
      </c>
      <c r="HP1" s="18" t="s">
        <v>223</v>
      </c>
      <c r="HQ1" s="18" t="s">
        <v>224</v>
      </c>
      <c r="HR1" s="18" t="s">
        <v>225</v>
      </c>
      <c r="HS1" s="18" t="s">
        <v>226</v>
      </c>
      <c r="HT1" s="18" t="s">
        <v>227</v>
      </c>
      <c r="HU1" s="18" t="s">
        <v>228</v>
      </c>
      <c r="HV1" s="18" t="s">
        <v>229</v>
      </c>
      <c r="HW1" s="18" t="s">
        <v>230</v>
      </c>
      <c r="HX1" s="18" t="s">
        <v>231</v>
      </c>
      <c r="HY1" s="18" t="s">
        <v>232</v>
      </c>
      <c r="HZ1" s="18" t="s">
        <v>233</v>
      </c>
      <c r="IA1" s="18" t="s">
        <v>234</v>
      </c>
      <c r="IB1" s="18" t="s">
        <v>235</v>
      </c>
      <c r="IC1" s="18" t="s">
        <v>236</v>
      </c>
      <c r="ID1" s="18" t="s">
        <v>237</v>
      </c>
      <c r="IE1" s="18" t="s">
        <v>238</v>
      </c>
      <c r="IF1" s="18" t="s">
        <v>239</v>
      </c>
      <c r="IG1" s="18" t="s">
        <v>240</v>
      </c>
      <c r="IH1" s="18" t="s">
        <v>241</v>
      </c>
      <c r="II1" s="18" t="s">
        <v>242</v>
      </c>
      <c r="IJ1" s="18" t="s">
        <v>243</v>
      </c>
      <c r="IK1" s="18" t="s">
        <v>244</v>
      </c>
      <c r="IL1" s="18" t="s">
        <v>245</v>
      </c>
      <c r="IM1" s="18" t="s">
        <v>246</v>
      </c>
      <c r="IN1" s="18" t="s">
        <v>247</v>
      </c>
      <c r="IO1" s="18" t="s">
        <v>248</v>
      </c>
      <c r="IP1" s="18" t="s">
        <v>249</v>
      </c>
      <c r="IQ1" s="18" t="s">
        <v>250</v>
      </c>
      <c r="IR1" s="18" t="s">
        <v>251</v>
      </c>
      <c r="IS1" s="18" t="s">
        <v>252</v>
      </c>
      <c r="IT1" s="18" t="s">
        <v>253</v>
      </c>
      <c r="IU1" s="18" t="s">
        <v>254</v>
      </c>
      <c r="IV1" s="18" t="s">
        <v>255</v>
      </c>
      <c r="IW1" s="18" t="s">
        <v>256</v>
      </c>
      <c r="IX1" s="18" t="s">
        <v>257</v>
      </c>
      <c r="IY1" s="18" t="s">
        <v>258</v>
      </c>
      <c r="IZ1" s="18" t="s">
        <v>259</v>
      </c>
      <c r="JA1" s="18" t="s">
        <v>260</v>
      </c>
      <c r="JB1" s="18" t="s">
        <v>261</v>
      </c>
      <c r="JC1" s="18" t="s">
        <v>262</v>
      </c>
      <c r="JD1" s="18" t="s">
        <v>263</v>
      </c>
      <c r="JE1" s="18" t="s">
        <v>264</v>
      </c>
      <c r="JF1" s="18" t="s">
        <v>265</v>
      </c>
      <c r="JG1" s="18" t="s">
        <v>266</v>
      </c>
      <c r="JH1" s="18" t="s">
        <v>267</v>
      </c>
      <c r="JI1" s="18" t="s">
        <v>268</v>
      </c>
      <c r="JJ1" s="18" t="s">
        <v>269</v>
      </c>
      <c r="JK1" s="18" t="s">
        <v>270</v>
      </c>
      <c r="JL1" s="18" t="s">
        <v>271</v>
      </c>
      <c r="JM1" s="18" t="s">
        <v>272</v>
      </c>
      <c r="JN1" s="18" t="s">
        <v>273</v>
      </c>
      <c r="JO1" s="18" t="s">
        <v>274</v>
      </c>
      <c r="JP1" s="18" t="s">
        <v>275</v>
      </c>
      <c r="JQ1" s="18" t="s">
        <v>276</v>
      </c>
      <c r="JR1" s="18" t="s">
        <v>277</v>
      </c>
      <c r="JS1" s="18" t="s">
        <v>278</v>
      </c>
      <c r="JT1" s="18" t="s">
        <v>279</v>
      </c>
      <c r="JU1" s="18" t="s">
        <v>280</v>
      </c>
      <c r="JV1" s="18" t="s">
        <v>281</v>
      </c>
      <c r="JW1" s="18" t="s">
        <v>282</v>
      </c>
      <c r="JX1" s="18" t="s">
        <v>283</v>
      </c>
      <c r="JY1" s="18" t="s">
        <v>284</v>
      </c>
      <c r="JZ1" s="18" t="s">
        <v>285</v>
      </c>
      <c r="KA1" s="18" t="s">
        <v>286</v>
      </c>
      <c r="KB1" s="18" t="s">
        <v>287</v>
      </c>
      <c r="KC1" s="18" t="s">
        <v>288</v>
      </c>
      <c r="KD1" s="18" t="s">
        <v>289</v>
      </c>
      <c r="KE1" s="18" t="s">
        <v>290</v>
      </c>
      <c r="KF1" s="18" t="s">
        <v>291</v>
      </c>
      <c r="KG1" s="18" t="s">
        <v>292</v>
      </c>
      <c r="KH1" s="18" t="s">
        <v>293</v>
      </c>
      <c r="KI1" s="18" t="s">
        <v>294</v>
      </c>
      <c r="KJ1" s="18" t="s">
        <v>295</v>
      </c>
      <c r="KK1" s="18" t="s">
        <v>296</v>
      </c>
      <c r="KL1" s="18" t="s">
        <v>297</v>
      </c>
      <c r="KM1" s="18" t="s">
        <v>298</v>
      </c>
      <c r="KN1" s="18" t="s">
        <v>299</v>
      </c>
      <c r="KO1" s="18" t="s">
        <v>300</v>
      </c>
      <c r="KP1" s="18" t="s">
        <v>301</v>
      </c>
      <c r="KQ1" s="18" t="s">
        <v>302</v>
      </c>
      <c r="KR1" s="18" t="s">
        <v>303</v>
      </c>
      <c r="KS1" s="18" t="s">
        <v>304</v>
      </c>
      <c r="KT1" s="18" t="s">
        <v>305</v>
      </c>
      <c r="KU1" s="18" t="s">
        <v>306</v>
      </c>
      <c r="KV1" s="18" t="s">
        <v>307</v>
      </c>
      <c r="KW1" s="18" t="s">
        <v>308</v>
      </c>
      <c r="KX1" s="18" t="s">
        <v>309</v>
      </c>
      <c r="KY1" s="18" t="s">
        <v>310</v>
      </c>
      <c r="KZ1" s="18" t="s">
        <v>311</v>
      </c>
      <c r="LA1" s="18" t="s">
        <v>312</v>
      </c>
      <c r="LB1" s="18" t="s">
        <v>313</v>
      </c>
      <c r="LC1" s="18" t="s">
        <v>314</v>
      </c>
      <c r="LD1" s="18" t="s">
        <v>315</v>
      </c>
      <c r="LE1" s="18" t="s">
        <v>316</v>
      </c>
      <c r="LF1" s="18" t="s">
        <v>317</v>
      </c>
      <c r="LG1" s="18" t="s">
        <v>318</v>
      </c>
      <c r="LH1" s="18" t="s">
        <v>319</v>
      </c>
      <c r="LI1" s="18" t="s">
        <v>320</v>
      </c>
      <c r="LJ1" s="18" t="s">
        <v>321</v>
      </c>
      <c r="LK1" s="18" t="s">
        <v>322</v>
      </c>
      <c r="LL1" s="18" t="s">
        <v>323</v>
      </c>
      <c r="LM1" s="18" t="s">
        <v>324</v>
      </c>
      <c r="LN1" s="18" t="s">
        <v>325</v>
      </c>
      <c r="LO1" s="18" t="s">
        <v>326</v>
      </c>
      <c r="LP1" s="18" t="s">
        <v>327</v>
      </c>
      <c r="LQ1" s="18" t="s">
        <v>328</v>
      </c>
      <c r="LR1" s="18" t="s">
        <v>329</v>
      </c>
      <c r="LS1" s="18" t="s">
        <v>330</v>
      </c>
      <c r="LT1" s="18" t="s">
        <v>331</v>
      </c>
      <c r="LU1" s="18" t="s">
        <v>332</v>
      </c>
      <c r="LV1" s="18" t="s">
        <v>333</v>
      </c>
      <c r="LW1" s="18" t="s">
        <v>334</v>
      </c>
      <c r="LX1" s="18" t="s">
        <v>335</v>
      </c>
      <c r="LY1" s="18" t="s">
        <v>336</v>
      </c>
      <c r="LZ1" s="18" t="s">
        <v>337</v>
      </c>
      <c r="MA1" s="18" t="s">
        <v>338</v>
      </c>
      <c r="MB1" s="18" t="s">
        <v>339</v>
      </c>
      <c r="MC1" s="18" t="s">
        <v>340</v>
      </c>
      <c r="MD1" s="18" t="s">
        <v>341</v>
      </c>
      <c r="ME1" s="18" t="s">
        <v>342</v>
      </c>
      <c r="MF1" s="18" t="s">
        <v>343</v>
      </c>
      <c r="MG1" s="18" t="s">
        <v>344</v>
      </c>
      <c r="MH1" s="18" t="s">
        <v>345</v>
      </c>
      <c r="MI1" s="18" t="s">
        <v>346</v>
      </c>
      <c r="MJ1" s="18" t="s">
        <v>347</v>
      </c>
      <c r="MK1" s="18" t="s">
        <v>348</v>
      </c>
      <c r="ML1" s="18" t="s">
        <v>349</v>
      </c>
      <c r="MM1" s="18" t="s">
        <v>350</v>
      </c>
      <c r="MN1" s="18" t="s">
        <v>351</v>
      </c>
      <c r="MO1" s="18" t="s">
        <v>352</v>
      </c>
      <c r="MP1" s="18" t="s">
        <v>353</v>
      </c>
      <c r="MQ1" s="18" t="s">
        <v>354</v>
      </c>
      <c r="MR1" s="18" t="s">
        <v>355</v>
      </c>
      <c r="MS1" s="18" t="s">
        <v>356</v>
      </c>
      <c r="MT1" s="18" t="s">
        <v>357</v>
      </c>
      <c r="MU1" s="18" t="s">
        <v>358</v>
      </c>
      <c r="MV1" s="18" t="s">
        <v>359</v>
      </c>
      <c r="MW1" s="18" t="s">
        <v>360</v>
      </c>
      <c r="MX1" s="18" t="s">
        <v>361</v>
      </c>
      <c r="MY1" s="18" t="s">
        <v>362</v>
      </c>
      <c r="MZ1" s="18" t="s">
        <v>363</v>
      </c>
      <c r="NA1" s="18" t="s">
        <v>364</v>
      </c>
      <c r="NB1" s="18" t="s">
        <v>365</v>
      </c>
      <c r="NC1" s="18" t="s">
        <v>366</v>
      </c>
      <c r="ND1" s="18" t="s">
        <v>367</v>
      </c>
      <c r="NE1" s="18" t="s">
        <v>368</v>
      </c>
      <c r="NF1" s="18" t="s">
        <v>369</v>
      </c>
    </row>
    <row r="2" spans="1:370" x14ac:dyDescent="0.25">
      <c r="A2" t="s">
        <v>370</v>
      </c>
      <c r="B2" t="s">
        <v>371</v>
      </c>
      <c r="C2" s="1" t="s">
        <v>871</v>
      </c>
      <c r="D2" t="s">
        <v>372</v>
      </c>
      <c r="E2" t="s">
        <v>373</v>
      </c>
      <c r="F2" t="s">
        <v>374</v>
      </c>
      <c r="G2" s="2">
        <v>247921</v>
      </c>
      <c r="H2" s="2">
        <v>248384</v>
      </c>
      <c r="I2" s="2">
        <v>246082</v>
      </c>
      <c r="J2" s="2">
        <v>245140</v>
      </c>
      <c r="K2" s="2">
        <v>238319</v>
      </c>
      <c r="L2" s="2">
        <v>241752</v>
      </c>
      <c r="M2" s="2">
        <v>243197</v>
      </c>
      <c r="N2" s="2">
        <v>239612</v>
      </c>
      <c r="O2" s="2">
        <v>239702</v>
      </c>
      <c r="P2" s="2">
        <v>235807</v>
      </c>
      <c r="Q2" s="2">
        <v>235105</v>
      </c>
      <c r="R2" s="2">
        <v>237747</v>
      </c>
      <c r="S2" s="2">
        <v>241709</v>
      </c>
      <c r="T2" s="2">
        <v>241380</v>
      </c>
      <c r="U2" s="2">
        <v>244367</v>
      </c>
      <c r="V2" s="2">
        <v>249511</v>
      </c>
      <c r="W2" s="2">
        <v>249671</v>
      </c>
      <c r="X2" s="2">
        <v>247936</v>
      </c>
      <c r="Y2" s="2">
        <v>249578</v>
      </c>
      <c r="Z2" s="2">
        <v>253819</v>
      </c>
      <c r="AA2" s="2">
        <v>256193</v>
      </c>
      <c r="AB2" s="2">
        <v>259127</v>
      </c>
      <c r="AC2" s="2">
        <v>262661</v>
      </c>
      <c r="AD2" s="2">
        <v>264972</v>
      </c>
      <c r="AE2" s="2">
        <v>264185</v>
      </c>
      <c r="AF2" s="2">
        <v>275695</v>
      </c>
      <c r="AG2" s="2">
        <v>269599</v>
      </c>
      <c r="AH2" s="2">
        <v>272359</v>
      </c>
      <c r="AI2" s="2">
        <v>269776</v>
      </c>
      <c r="AJ2" s="2">
        <v>264448</v>
      </c>
      <c r="AK2" s="2">
        <v>264139</v>
      </c>
      <c r="AL2" s="2">
        <v>261297</v>
      </c>
      <c r="AM2" s="2">
        <v>261131</v>
      </c>
      <c r="AN2" s="2">
        <v>261739</v>
      </c>
      <c r="AO2" s="2">
        <v>264602</v>
      </c>
      <c r="AP2" s="2">
        <v>264902</v>
      </c>
      <c r="AQ2" s="2">
        <v>265408</v>
      </c>
      <c r="AR2" s="2">
        <v>268196</v>
      </c>
      <c r="AS2" s="2">
        <v>268798</v>
      </c>
      <c r="AT2" s="2">
        <v>270653</v>
      </c>
      <c r="AU2" s="2">
        <v>275877</v>
      </c>
      <c r="AV2" s="2">
        <v>277790</v>
      </c>
      <c r="AW2" s="2">
        <v>280996</v>
      </c>
      <c r="AX2" s="2">
        <v>283096</v>
      </c>
      <c r="AY2" s="2">
        <v>285469</v>
      </c>
      <c r="AZ2" s="2">
        <v>282605</v>
      </c>
      <c r="BA2" s="2">
        <v>284676</v>
      </c>
      <c r="BB2" s="2">
        <v>289829</v>
      </c>
      <c r="BC2" s="2">
        <v>292612</v>
      </c>
      <c r="BD2" s="2">
        <v>298873</v>
      </c>
      <c r="BE2" s="2">
        <v>298814</v>
      </c>
      <c r="BF2" s="2">
        <v>298979</v>
      </c>
      <c r="BG2" s="2">
        <v>302117</v>
      </c>
      <c r="BH2" s="2">
        <v>304797</v>
      </c>
      <c r="BI2" s="2">
        <v>306708</v>
      </c>
      <c r="BJ2" s="2">
        <v>312615</v>
      </c>
      <c r="BK2" s="2">
        <v>314804</v>
      </c>
      <c r="BL2" s="2">
        <v>319478</v>
      </c>
      <c r="BM2" s="2">
        <v>327346</v>
      </c>
      <c r="BN2" s="2">
        <v>331075</v>
      </c>
      <c r="BO2" s="2">
        <v>336442</v>
      </c>
      <c r="BP2" s="2">
        <v>338186</v>
      </c>
      <c r="BQ2" s="2">
        <v>342414</v>
      </c>
      <c r="BR2" s="2">
        <v>345162</v>
      </c>
      <c r="BS2" s="2">
        <v>346836</v>
      </c>
      <c r="BT2" s="2">
        <v>348997</v>
      </c>
      <c r="BU2" s="2">
        <v>349572</v>
      </c>
      <c r="BV2" s="2">
        <v>349523</v>
      </c>
      <c r="BW2" s="2">
        <v>351299</v>
      </c>
      <c r="BX2" s="2">
        <v>353663</v>
      </c>
      <c r="BY2" s="2">
        <v>349780</v>
      </c>
      <c r="BZ2" s="2">
        <v>348006</v>
      </c>
      <c r="CA2" s="2">
        <v>346292</v>
      </c>
      <c r="CB2" s="2">
        <v>345892</v>
      </c>
      <c r="CC2" s="2">
        <v>345216</v>
      </c>
      <c r="CD2" s="2">
        <v>345643</v>
      </c>
      <c r="CE2" s="2">
        <v>345523</v>
      </c>
      <c r="CF2" s="2">
        <v>344987</v>
      </c>
      <c r="CG2" s="2">
        <v>346628</v>
      </c>
      <c r="CH2" s="2">
        <v>349299</v>
      </c>
      <c r="CI2" s="2">
        <v>351046</v>
      </c>
      <c r="CJ2" s="2">
        <v>352612</v>
      </c>
      <c r="CK2" s="2">
        <v>355841</v>
      </c>
      <c r="CL2" s="2">
        <v>358264</v>
      </c>
      <c r="CM2" s="2">
        <v>361793</v>
      </c>
      <c r="CN2" s="2">
        <v>365109</v>
      </c>
      <c r="CO2" s="2">
        <v>368798</v>
      </c>
      <c r="CP2" s="2">
        <v>370401</v>
      </c>
      <c r="CQ2" s="2">
        <v>372307</v>
      </c>
      <c r="CR2" s="2">
        <v>373090</v>
      </c>
      <c r="CS2" s="2">
        <v>377249</v>
      </c>
      <c r="CT2" s="2">
        <v>378442</v>
      </c>
      <c r="CU2" s="2">
        <v>380976</v>
      </c>
      <c r="CV2" s="2">
        <v>382146</v>
      </c>
      <c r="CW2" s="2">
        <v>385671</v>
      </c>
      <c r="CX2" s="2">
        <v>391053</v>
      </c>
      <c r="CY2" s="2">
        <v>397303</v>
      </c>
      <c r="CZ2" s="2">
        <v>401790</v>
      </c>
      <c r="DA2" s="2">
        <v>405233</v>
      </c>
      <c r="DB2" s="2">
        <v>411352</v>
      </c>
      <c r="DC2" s="2">
        <v>414377</v>
      </c>
      <c r="DD2" s="2">
        <v>416909</v>
      </c>
      <c r="DE2" s="2">
        <v>418294</v>
      </c>
      <c r="DF2" s="2">
        <v>421074</v>
      </c>
      <c r="DG2" s="2">
        <v>423875</v>
      </c>
      <c r="DH2" s="2">
        <v>425920</v>
      </c>
      <c r="DI2" s="2">
        <v>432860</v>
      </c>
      <c r="DJ2" s="2">
        <v>439093</v>
      </c>
      <c r="DK2" s="2">
        <v>444540</v>
      </c>
      <c r="DL2" s="2">
        <v>447825</v>
      </c>
      <c r="DM2" s="2">
        <v>450688</v>
      </c>
      <c r="DN2" s="2">
        <v>453447</v>
      </c>
      <c r="DO2" s="2">
        <v>457680</v>
      </c>
      <c r="DP2" s="2">
        <v>459620</v>
      </c>
      <c r="DQ2" s="2">
        <v>462016</v>
      </c>
      <c r="DR2" s="2">
        <v>463404</v>
      </c>
      <c r="DS2" s="2">
        <v>464698</v>
      </c>
      <c r="DT2" s="2">
        <v>466935</v>
      </c>
      <c r="DU2" s="2">
        <v>470277</v>
      </c>
      <c r="DV2" s="2">
        <v>473899</v>
      </c>
      <c r="DW2" s="2">
        <v>477357</v>
      </c>
      <c r="DX2" s="2">
        <v>481552</v>
      </c>
      <c r="DY2" s="2">
        <v>485973</v>
      </c>
      <c r="DZ2" s="2">
        <v>490059</v>
      </c>
      <c r="EA2" s="2">
        <v>492014</v>
      </c>
      <c r="EB2" s="2">
        <v>494824</v>
      </c>
      <c r="EC2" s="2">
        <v>496642</v>
      </c>
      <c r="ED2" s="2">
        <v>499020</v>
      </c>
      <c r="EE2" s="2">
        <v>502702</v>
      </c>
      <c r="EF2" s="2">
        <v>506906</v>
      </c>
      <c r="EG2" s="2">
        <v>511132</v>
      </c>
      <c r="EH2" s="2">
        <v>515935</v>
      </c>
      <c r="EI2" s="2">
        <v>518495</v>
      </c>
      <c r="EJ2" s="2">
        <v>520318</v>
      </c>
      <c r="EK2" s="2">
        <v>521780</v>
      </c>
      <c r="EL2" s="2">
        <v>524569</v>
      </c>
      <c r="EM2" s="2">
        <v>529398</v>
      </c>
      <c r="EN2" s="2">
        <v>533187</v>
      </c>
      <c r="EO2" s="2">
        <v>537052</v>
      </c>
      <c r="EP2" s="2">
        <v>540258</v>
      </c>
      <c r="EQ2" s="2">
        <v>542804</v>
      </c>
      <c r="ER2" s="2">
        <v>539918</v>
      </c>
      <c r="ES2" s="2">
        <v>531619</v>
      </c>
      <c r="ET2" s="2">
        <v>520230</v>
      </c>
      <c r="EU2" s="2">
        <v>509646</v>
      </c>
      <c r="EV2" s="2">
        <v>508009</v>
      </c>
      <c r="EW2" s="2">
        <v>508398</v>
      </c>
      <c r="EX2" s="2">
        <v>509889</v>
      </c>
      <c r="EY2" s="2">
        <v>514595</v>
      </c>
      <c r="EZ2" s="2">
        <v>520128</v>
      </c>
      <c r="FA2" s="2">
        <v>523173</v>
      </c>
      <c r="FB2" s="2">
        <v>523515</v>
      </c>
      <c r="FC2" s="2">
        <v>524955</v>
      </c>
      <c r="FD2" s="2">
        <v>525418</v>
      </c>
      <c r="FE2" s="2">
        <v>527034</v>
      </c>
      <c r="FF2" s="2">
        <v>527698</v>
      </c>
      <c r="FG2" s="2">
        <v>532300</v>
      </c>
      <c r="FH2" s="2">
        <v>531663</v>
      </c>
      <c r="FI2" s="2">
        <v>536720</v>
      </c>
      <c r="FJ2" s="2">
        <v>536188</v>
      </c>
      <c r="FK2" s="2">
        <v>537974</v>
      </c>
      <c r="FL2" s="2">
        <v>541586</v>
      </c>
      <c r="FM2" s="2">
        <v>546064</v>
      </c>
      <c r="FN2" s="2">
        <v>549709</v>
      </c>
      <c r="FO2" s="2">
        <v>554183</v>
      </c>
      <c r="FP2" s="2">
        <v>559331</v>
      </c>
      <c r="FQ2" s="2">
        <v>563694</v>
      </c>
      <c r="FR2" s="2">
        <v>567619</v>
      </c>
      <c r="FS2" s="2">
        <v>569150</v>
      </c>
      <c r="FT2" s="2">
        <v>572673</v>
      </c>
      <c r="FU2" s="2">
        <v>574836</v>
      </c>
      <c r="FV2" s="2">
        <v>578068</v>
      </c>
      <c r="FW2" s="2">
        <v>580110</v>
      </c>
      <c r="FX2" s="2">
        <v>583383</v>
      </c>
      <c r="FY2" s="2">
        <v>585856</v>
      </c>
      <c r="FZ2" s="2">
        <v>589476</v>
      </c>
      <c r="GA2" s="2">
        <v>594423</v>
      </c>
      <c r="GB2" s="2">
        <v>598176</v>
      </c>
      <c r="GC2" s="2">
        <v>601961</v>
      </c>
      <c r="GD2" s="2">
        <v>606396</v>
      </c>
      <c r="GE2" s="2">
        <v>606785</v>
      </c>
      <c r="GF2" s="2">
        <v>607775</v>
      </c>
      <c r="GG2" s="2">
        <v>609653</v>
      </c>
      <c r="GH2" s="2">
        <v>610481</v>
      </c>
      <c r="GI2" s="2">
        <v>614936</v>
      </c>
      <c r="GJ2" s="2">
        <v>616853</v>
      </c>
      <c r="GK2" s="2">
        <v>621227</v>
      </c>
      <c r="GL2" s="2">
        <v>621229</v>
      </c>
      <c r="GM2" s="2">
        <v>604719</v>
      </c>
      <c r="GN2" s="2">
        <v>481769</v>
      </c>
      <c r="GO2" s="2">
        <v>562648</v>
      </c>
      <c r="GP2" s="2">
        <v>570338</v>
      </c>
      <c r="GQ2" s="2">
        <v>564411</v>
      </c>
      <c r="GR2" s="2">
        <v>605353</v>
      </c>
      <c r="GS2" s="2">
        <v>615459</v>
      </c>
      <c r="GT2" s="2">
        <v>624592</v>
      </c>
      <c r="GU2" s="2">
        <v>629149</v>
      </c>
      <c r="GV2" s="2">
        <v>631258</v>
      </c>
      <c r="GW2" s="2">
        <v>631977</v>
      </c>
      <c r="GX2" s="2">
        <v>634044</v>
      </c>
      <c r="GY2" s="2">
        <v>634428</v>
      </c>
      <c r="GZ2" s="2">
        <v>634694</v>
      </c>
      <c r="HA2" s="2">
        <v>634327</v>
      </c>
      <c r="HB2" s="2">
        <v>633011</v>
      </c>
      <c r="HC2" s="2">
        <v>638746</v>
      </c>
      <c r="HD2" s="2">
        <v>641670</v>
      </c>
      <c r="HE2" s="2">
        <v>641675</v>
      </c>
      <c r="HF2" s="2">
        <v>642287</v>
      </c>
      <c r="HG2" s="2">
        <v>647018</v>
      </c>
      <c r="HH2" s="2">
        <v>649249</v>
      </c>
      <c r="HI2" s="3">
        <v>649495.6</v>
      </c>
      <c r="HJ2" s="3">
        <v>650926.80000000005</v>
      </c>
      <c r="HK2" s="3">
        <v>652456.9</v>
      </c>
      <c r="HL2" s="3">
        <v>653991</v>
      </c>
      <c r="HM2" s="3">
        <v>655625.9</v>
      </c>
      <c r="HN2" s="3">
        <v>657559.6</v>
      </c>
      <c r="HO2" s="3">
        <v>659696.69999999995</v>
      </c>
      <c r="HP2" s="3">
        <v>662121.6</v>
      </c>
      <c r="HQ2" s="3">
        <v>664902.40000000002</v>
      </c>
      <c r="HR2" s="3">
        <v>667827.80000000005</v>
      </c>
      <c r="HS2" s="3">
        <v>670766.30000000005</v>
      </c>
      <c r="HT2" s="3">
        <v>673650.4</v>
      </c>
      <c r="HU2" s="3">
        <v>676648.1</v>
      </c>
      <c r="HV2" s="3">
        <v>679557.8</v>
      </c>
      <c r="HW2" s="3">
        <v>682344</v>
      </c>
      <c r="HX2" s="3">
        <v>685039.2</v>
      </c>
      <c r="HY2" s="3">
        <v>687779.4</v>
      </c>
      <c r="HZ2" s="3">
        <v>690530.6</v>
      </c>
      <c r="IA2" s="3">
        <v>693223.7</v>
      </c>
      <c r="IB2" s="3">
        <v>695927.3</v>
      </c>
      <c r="IC2" s="3">
        <v>698641.4</v>
      </c>
      <c r="ID2" s="3">
        <v>701401</v>
      </c>
      <c r="IE2" s="3">
        <v>704206.6</v>
      </c>
      <c r="IF2" s="3">
        <v>707023.4</v>
      </c>
      <c r="IG2" s="3">
        <v>709780.8</v>
      </c>
      <c r="IH2" s="3">
        <v>712548.9</v>
      </c>
      <c r="II2" s="3">
        <v>715327.9</v>
      </c>
      <c r="IJ2" s="3">
        <v>718081.9</v>
      </c>
      <c r="IK2" s="3">
        <v>720882.4</v>
      </c>
      <c r="IL2" s="3">
        <v>723729.9</v>
      </c>
      <c r="IM2" s="3">
        <v>726536.1</v>
      </c>
      <c r="IN2" s="3">
        <v>729279</v>
      </c>
      <c r="IO2" s="3">
        <v>732034.8</v>
      </c>
      <c r="IP2" s="3">
        <v>734734.6</v>
      </c>
      <c r="IQ2" s="3">
        <v>737531.2</v>
      </c>
      <c r="IR2" s="3">
        <v>740293.6</v>
      </c>
      <c r="IS2" s="3">
        <v>743059.1</v>
      </c>
      <c r="IT2" s="3">
        <v>745779</v>
      </c>
      <c r="IU2" s="3">
        <v>748598.8</v>
      </c>
      <c r="IV2" s="3">
        <v>751430.9</v>
      </c>
      <c r="IW2" s="3">
        <v>754274.7</v>
      </c>
      <c r="IX2" s="3">
        <v>757130.4</v>
      </c>
      <c r="IY2" s="3">
        <v>760063.8</v>
      </c>
      <c r="IZ2" s="3">
        <v>763012.3</v>
      </c>
      <c r="JA2" s="3">
        <v>765976.1</v>
      </c>
      <c r="JB2" s="3">
        <v>768955.1</v>
      </c>
      <c r="JC2" s="3">
        <v>771949.1</v>
      </c>
      <c r="JD2" s="3">
        <v>774958</v>
      </c>
      <c r="JE2" s="3">
        <v>777982.3</v>
      </c>
      <c r="JF2" s="3">
        <v>781021.9</v>
      </c>
      <c r="JG2" s="3">
        <v>784076.80000000005</v>
      </c>
      <c r="JH2" s="3">
        <v>787146.6</v>
      </c>
      <c r="JI2" s="3">
        <v>790232.4</v>
      </c>
      <c r="JJ2" s="3">
        <v>793334.1</v>
      </c>
      <c r="JK2" s="3">
        <v>796451.6</v>
      </c>
      <c r="JL2" s="3">
        <v>799584.6</v>
      </c>
      <c r="JM2" s="3">
        <v>802733.8</v>
      </c>
      <c r="JN2" s="3">
        <v>805899.1</v>
      </c>
      <c r="JO2" s="3">
        <v>809080.5</v>
      </c>
      <c r="JP2" s="3">
        <v>812276.5</v>
      </c>
      <c r="JQ2" s="3">
        <v>815487.6</v>
      </c>
      <c r="JR2" s="3">
        <v>818713.59999999998</v>
      </c>
      <c r="JS2" s="3">
        <v>822031</v>
      </c>
      <c r="JT2" s="3">
        <v>825364.4</v>
      </c>
      <c r="JU2" s="3">
        <v>828724.3</v>
      </c>
      <c r="JV2" s="3">
        <v>832100.3</v>
      </c>
      <c r="JW2" s="3">
        <v>835492.6</v>
      </c>
      <c r="JX2" s="3">
        <v>838901.1</v>
      </c>
      <c r="JY2" s="3">
        <v>842256.2</v>
      </c>
      <c r="JZ2" s="3">
        <v>845626.2</v>
      </c>
      <c r="KA2" s="3">
        <v>849011.3</v>
      </c>
      <c r="KB2" s="3">
        <v>852411.2</v>
      </c>
      <c r="KC2" s="3">
        <v>855736.1</v>
      </c>
      <c r="KD2" s="3">
        <v>859074.1</v>
      </c>
      <c r="KE2" s="3">
        <v>862425.1</v>
      </c>
      <c r="KF2" s="3">
        <v>865789.1</v>
      </c>
      <c r="KG2" s="3">
        <v>869008.4</v>
      </c>
      <c r="KH2" s="3">
        <v>872238.2</v>
      </c>
      <c r="KI2" s="3">
        <v>875478.5</v>
      </c>
      <c r="KJ2" s="3">
        <v>878729.1</v>
      </c>
      <c r="KK2" s="3">
        <v>881916.9</v>
      </c>
      <c r="KL2" s="3">
        <v>885113.8</v>
      </c>
      <c r="KM2" s="3">
        <v>888320.1</v>
      </c>
      <c r="KN2" s="3">
        <v>891535.6</v>
      </c>
      <c r="KO2" s="3">
        <v>894759.7</v>
      </c>
      <c r="KP2" s="3">
        <v>897993.3</v>
      </c>
      <c r="KQ2" s="3">
        <v>901236.2</v>
      </c>
      <c r="KR2" s="3">
        <v>904488.6</v>
      </c>
      <c r="KS2" s="3">
        <v>907697.1</v>
      </c>
      <c r="KT2" s="3">
        <v>910914.5</v>
      </c>
      <c r="KU2" s="3">
        <v>914140.7</v>
      </c>
      <c r="KV2" s="3">
        <v>917375.6</v>
      </c>
      <c r="KW2" s="3">
        <v>920596.6</v>
      </c>
      <c r="KX2" s="3">
        <v>923826.1</v>
      </c>
      <c r="KY2" s="3">
        <v>927063.9</v>
      </c>
      <c r="KZ2" s="3">
        <v>930310.1</v>
      </c>
      <c r="LA2" s="3">
        <v>933491.5</v>
      </c>
      <c r="LB2" s="3">
        <v>936680.1</v>
      </c>
      <c r="LC2" s="3">
        <v>939875.5</v>
      </c>
      <c r="LD2" s="3">
        <v>943076.8</v>
      </c>
      <c r="LE2" s="3">
        <v>946260.4</v>
      </c>
      <c r="LF2" s="3">
        <v>949449.4</v>
      </c>
      <c r="LG2" s="3">
        <v>952644.9</v>
      </c>
      <c r="LH2" s="3">
        <v>955846.6</v>
      </c>
      <c r="LI2" s="3">
        <v>959017.3</v>
      </c>
      <c r="LJ2" s="3">
        <v>962193.6</v>
      </c>
      <c r="LK2" s="3">
        <v>965375.7</v>
      </c>
      <c r="LL2" s="3">
        <v>968563.6</v>
      </c>
      <c r="LM2" s="3">
        <v>971680.8</v>
      </c>
      <c r="LN2" s="3">
        <v>974802</v>
      </c>
      <c r="LO2" s="3">
        <v>977927.8</v>
      </c>
      <c r="LP2" s="3">
        <v>981057.6</v>
      </c>
      <c r="LQ2" s="3">
        <v>984191</v>
      </c>
      <c r="LR2" s="3">
        <v>987328.8</v>
      </c>
      <c r="LS2" s="3">
        <v>990471.1</v>
      </c>
      <c r="LT2" s="3">
        <v>993618</v>
      </c>
      <c r="LU2" s="3">
        <v>996736.1</v>
      </c>
      <c r="LV2" s="3">
        <v>999857.9</v>
      </c>
      <c r="LW2" s="3">
        <v>1002984</v>
      </c>
      <c r="LX2" s="3">
        <v>1006113</v>
      </c>
      <c r="LY2" s="3">
        <v>1009215</v>
      </c>
      <c r="LZ2" s="3">
        <v>1012320</v>
      </c>
      <c r="MA2" s="3">
        <v>1015429</v>
      </c>
      <c r="MB2" s="3">
        <v>1018541</v>
      </c>
      <c r="MC2" s="3">
        <v>1021655</v>
      </c>
      <c r="MD2" s="3">
        <v>1024772</v>
      </c>
      <c r="ME2" s="3">
        <v>1027894</v>
      </c>
      <c r="MF2" s="3">
        <v>1031019</v>
      </c>
      <c r="MG2" s="3">
        <v>1034173</v>
      </c>
      <c r="MH2" s="3">
        <v>1037330</v>
      </c>
      <c r="MI2" s="3">
        <v>1040492</v>
      </c>
      <c r="MJ2" s="3">
        <v>1043659</v>
      </c>
      <c r="MK2" s="3">
        <v>1046809</v>
      </c>
      <c r="ML2" s="3">
        <v>1049963</v>
      </c>
      <c r="MM2" s="3">
        <v>1053121</v>
      </c>
      <c r="MN2" s="3">
        <v>1056283</v>
      </c>
      <c r="MO2" s="3">
        <v>1059472</v>
      </c>
      <c r="MP2" s="3">
        <v>1062666</v>
      </c>
      <c r="MQ2" s="3">
        <v>1065864</v>
      </c>
      <c r="MR2" s="3">
        <v>1069067</v>
      </c>
      <c r="MS2" s="3">
        <v>1072275</v>
      </c>
      <c r="MT2" s="3">
        <v>1075487</v>
      </c>
      <c r="MU2" t="s">
        <v>375</v>
      </c>
      <c r="MV2" t="b">
        <v>1</v>
      </c>
      <c r="MW2" s="1" t="s">
        <v>376</v>
      </c>
      <c r="MX2" t="s">
        <v>377</v>
      </c>
      <c r="MY2">
        <v>2025</v>
      </c>
      <c r="MZ2">
        <v>2</v>
      </c>
      <c r="NA2" t="s">
        <v>377</v>
      </c>
      <c r="NB2" t="s">
        <v>378</v>
      </c>
      <c r="NC2" s="1" t="s">
        <v>379</v>
      </c>
      <c r="ND2" t="s">
        <v>380</v>
      </c>
      <c r="NE2" t="s">
        <v>381</v>
      </c>
      <c r="NF2" s="1" t="s">
        <v>872</v>
      </c>
    </row>
    <row r="3" spans="1:370" x14ac:dyDescent="0.25">
      <c r="A3" t="s">
        <v>382</v>
      </c>
      <c r="B3" t="s">
        <v>371</v>
      </c>
      <c r="C3" s="1" t="s">
        <v>871</v>
      </c>
      <c r="D3" t="s">
        <v>383</v>
      </c>
      <c r="E3" t="s">
        <v>384</v>
      </c>
      <c r="F3" t="s">
        <v>374</v>
      </c>
      <c r="G3" s="2">
        <v>1514.625</v>
      </c>
      <c r="H3" s="2">
        <v>1531.125</v>
      </c>
      <c r="I3" s="2">
        <v>1523.075</v>
      </c>
      <c r="J3" s="2">
        <v>1537.5250000000001</v>
      </c>
      <c r="K3" s="2">
        <v>1524.325</v>
      </c>
      <c r="L3" s="2">
        <v>1527.95</v>
      </c>
      <c r="M3" s="2">
        <v>1513.5</v>
      </c>
      <c r="N3" s="2">
        <v>1507.625</v>
      </c>
      <c r="O3" s="2">
        <v>1489.25</v>
      </c>
      <c r="P3" s="2">
        <v>1499.9</v>
      </c>
      <c r="Q3" s="2">
        <v>1525.575</v>
      </c>
      <c r="R3" s="2">
        <v>1546.125</v>
      </c>
      <c r="S3" s="2">
        <v>1580.9</v>
      </c>
      <c r="T3" s="2">
        <v>1592.5</v>
      </c>
      <c r="U3" s="2">
        <v>1601.2249999999999</v>
      </c>
      <c r="V3" s="2">
        <v>1612.8</v>
      </c>
      <c r="W3" s="2">
        <v>1631.925</v>
      </c>
      <c r="X3" s="2">
        <v>1663.625</v>
      </c>
      <c r="Y3" s="2">
        <v>1693.625</v>
      </c>
      <c r="Z3" s="2">
        <v>1693.65</v>
      </c>
      <c r="AA3" s="2">
        <v>1699.075</v>
      </c>
      <c r="AB3" s="2">
        <v>1764.7249999999999</v>
      </c>
      <c r="AC3" s="2">
        <v>1782.4749999999999</v>
      </c>
      <c r="AD3" s="2">
        <v>1806.45</v>
      </c>
      <c r="AE3" s="2">
        <v>1809.675</v>
      </c>
      <c r="AF3" s="2">
        <v>1811.625</v>
      </c>
      <c r="AG3" s="2">
        <v>1825.075</v>
      </c>
      <c r="AH3" s="2">
        <v>1829.625</v>
      </c>
      <c r="AI3" s="2">
        <v>1835.4</v>
      </c>
      <c r="AJ3" s="2">
        <v>1797.575</v>
      </c>
      <c r="AK3" s="2">
        <v>1795.425</v>
      </c>
      <c r="AL3" s="2">
        <v>1828.925</v>
      </c>
      <c r="AM3" s="2">
        <v>1864.75</v>
      </c>
      <c r="AN3" s="2">
        <v>1850.925</v>
      </c>
      <c r="AO3" s="2">
        <v>1873.1</v>
      </c>
      <c r="AP3" s="2">
        <v>1852.7</v>
      </c>
      <c r="AQ3" s="2">
        <v>1823.9</v>
      </c>
      <c r="AR3" s="2">
        <v>1832.2249999999999</v>
      </c>
      <c r="AS3" s="2">
        <v>1825.2249999999999</v>
      </c>
      <c r="AT3" s="2">
        <v>1825.95</v>
      </c>
      <c r="AU3" s="2">
        <v>1850.0250000000001</v>
      </c>
      <c r="AV3" s="2">
        <v>1892.125</v>
      </c>
      <c r="AW3" s="2">
        <v>1929.925</v>
      </c>
      <c r="AX3" s="2">
        <v>1970.2</v>
      </c>
      <c r="AY3" s="2">
        <v>2008.7</v>
      </c>
      <c r="AZ3" s="2">
        <v>2043.425</v>
      </c>
      <c r="BA3" s="2">
        <v>2063.125</v>
      </c>
      <c r="BB3" s="2">
        <v>2080.0500000000002</v>
      </c>
      <c r="BC3" s="2">
        <v>2100.1999999999998</v>
      </c>
      <c r="BD3" s="2">
        <v>2118.6999999999998</v>
      </c>
      <c r="BE3" s="2">
        <v>2151.0500000000002</v>
      </c>
      <c r="BF3" s="2">
        <v>2167.0500000000002</v>
      </c>
      <c r="BG3" s="2">
        <v>2187.2750000000001</v>
      </c>
      <c r="BH3" s="2">
        <v>2197.125</v>
      </c>
      <c r="BI3" s="2">
        <v>2218.15</v>
      </c>
      <c r="BJ3" s="2">
        <v>2230.0500000000002</v>
      </c>
      <c r="BK3" s="2">
        <v>2246.6</v>
      </c>
      <c r="BL3" s="2">
        <v>2270.8249999999998</v>
      </c>
      <c r="BM3" s="2">
        <v>2290.5</v>
      </c>
      <c r="BN3" s="2">
        <v>2329.8249999999998</v>
      </c>
      <c r="BO3" s="2">
        <v>2341.875</v>
      </c>
      <c r="BP3" s="2">
        <v>2372.65</v>
      </c>
      <c r="BQ3" s="2">
        <v>2386.5500000000002</v>
      </c>
      <c r="BR3" s="2">
        <v>2418.35</v>
      </c>
      <c r="BS3" s="2">
        <v>2442.9250000000002</v>
      </c>
      <c r="BT3" s="2">
        <v>2461.5749999999998</v>
      </c>
      <c r="BU3" s="2">
        <v>2479.8000000000002</v>
      </c>
      <c r="BV3" s="2">
        <v>2484.6999999999998</v>
      </c>
      <c r="BW3" s="2">
        <v>2511.85</v>
      </c>
      <c r="BX3" s="2">
        <v>2520.9749999999999</v>
      </c>
      <c r="BY3" s="2">
        <v>2522.65</v>
      </c>
      <c r="BZ3" s="2">
        <v>2499.6750000000002</v>
      </c>
      <c r="CA3" s="2">
        <v>2487.9749999999999</v>
      </c>
      <c r="CB3" s="2">
        <v>2507.375</v>
      </c>
      <c r="CC3" s="2">
        <v>2520.0500000000002</v>
      </c>
      <c r="CD3" s="2">
        <v>2528.8249999999998</v>
      </c>
      <c r="CE3" s="2">
        <v>2559.1</v>
      </c>
      <c r="CF3" s="2">
        <v>2586.85</v>
      </c>
      <c r="CG3" s="2">
        <v>2612.4250000000002</v>
      </c>
      <c r="CH3" s="2">
        <v>2639.65</v>
      </c>
      <c r="CI3" s="2">
        <v>2644.0749999999998</v>
      </c>
      <c r="CJ3" s="2">
        <v>2659.45</v>
      </c>
      <c r="CK3" s="2">
        <v>2672.15</v>
      </c>
      <c r="CL3" s="2">
        <v>2708.5</v>
      </c>
      <c r="CM3" s="2">
        <v>2734.7750000000001</v>
      </c>
      <c r="CN3" s="2">
        <v>2771.85</v>
      </c>
      <c r="CO3" s="2">
        <v>2788.05</v>
      </c>
      <c r="CP3" s="2">
        <v>2819.9749999999999</v>
      </c>
      <c r="CQ3" s="2">
        <v>2830</v>
      </c>
      <c r="CR3" s="2">
        <v>2838.4250000000002</v>
      </c>
      <c r="CS3" s="2">
        <v>2862.5749999999998</v>
      </c>
      <c r="CT3" s="2">
        <v>2882.0250000000001</v>
      </c>
      <c r="CU3" s="2">
        <v>2903.6</v>
      </c>
      <c r="CV3" s="2">
        <v>2952.0250000000001</v>
      </c>
      <c r="CW3" s="2">
        <v>2978.5250000000001</v>
      </c>
      <c r="CX3" s="2">
        <v>3009.45</v>
      </c>
      <c r="CY3" s="2">
        <v>3028.875</v>
      </c>
      <c r="CZ3" s="2">
        <v>3079.3</v>
      </c>
      <c r="DA3" s="2">
        <v>3117.75</v>
      </c>
      <c r="DB3" s="2">
        <v>3144.375</v>
      </c>
      <c r="DC3" s="2">
        <v>3175.9250000000002</v>
      </c>
      <c r="DD3" s="2">
        <v>3205.3249999999998</v>
      </c>
      <c r="DE3" s="2">
        <v>3245.7</v>
      </c>
      <c r="DF3" s="2">
        <v>3297.9250000000002</v>
      </c>
      <c r="DG3" s="2">
        <v>3328.9</v>
      </c>
      <c r="DH3" s="2">
        <v>3356.6750000000002</v>
      </c>
      <c r="DI3" s="2">
        <v>3401.2</v>
      </c>
      <c r="DJ3" s="2">
        <v>3457</v>
      </c>
      <c r="DK3" s="2">
        <v>3469.5250000000001</v>
      </c>
      <c r="DL3" s="2">
        <v>3532.7249999999999</v>
      </c>
      <c r="DM3" s="2">
        <v>3536.3249999999998</v>
      </c>
      <c r="DN3" s="2">
        <v>3557.45</v>
      </c>
      <c r="DO3" s="2">
        <v>3545.7750000000001</v>
      </c>
      <c r="DP3" s="2">
        <v>3567.9250000000002</v>
      </c>
      <c r="DQ3" s="2">
        <v>3553.625</v>
      </c>
      <c r="DR3" s="2">
        <v>3563.4</v>
      </c>
      <c r="DS3" s="2">
        <v>3593.2</v>
      </c>
      <c r="DT3" s="2">
        <v>3615.2</v>
      </c>
      <c r="DU3" s="2">
        <v>3629.9</v>
      </c>
      <c r="DV3" s="2">
        <v>3634.4</v>
      </c>
      <c r="DW3" s="2">
        <v>3653.5250000000001</v>
      </c>
      <c r="DX3" s="2">
        <v>3685.9</v>
      </c>
      <c r="DY3" s="2">
        <v>3747.2</v>
      </c>
      <c r="DZ3" s="2">
        <v>3790.7</v>
      </c>
      <c r="EA3" s="2">
        <v>3812.1750000000002</v>
      </c>
      <c r="EB3" s="2">
        <v>3841.7249999999999</v>
      </c>
      <c r="EC3" s="2">
        <v>3878.15</v>
      </c>
      <c r="ED3" s="2">
        <v>3917.7249999999999</v>
      </c>
      <c r="EE3" s="2">
        <v>3961.1750000000002</v>
      </c>
      <c r="EF3" s="2">
        <v>3980.7</v>
      </c>
      <c r="EG3" s="2">
        <v>4011.9</v>
      </c>
      <c r="EH3" s="2">
        <v>4034.1750000000002</v>
      </c>
      <c r="EI3" s="2">
        <v>4088.45</v>
      </c>
      <c r="EJ3" s="2">
        <v>4099.05</v>
      </c>
      <c r="EK3" s="2">
        <v>4105.1750000000002</v>
      </c>
      <c r="EL3" s="2">
        <v>4140.4750000000004</v>
      </c>
      <c r="EM3" s="2">
        <v>4152.9250000000002</v>
      </c>
      <c r="EN3" s="2">
        <v>4178.3249999999998</v>
      </c>
      <c r="EO3" s="2">
        <v>4202.3999999999996</v>
      </c>
      <c r="EP3" s="2">
        <v>4228.8</v>
      </c>
      <c r="EQ3" s="2">
        <v>4210.75</v>
      </c>
      <c r="ER3" s="2">
        <v>4235.8249999999998</v>
      </c>
      <c r="ES3" s="2">
        <v>4213.5749999999998</v>
      </c>
      <c r="ET3" s="2">
        <v>4121.3500000000004</v>
      </c>
      <c r="EU3" s="2">
        <v>4074.5749999999998</v>
      </c>
      <c r="EV3" s="2">
        <v>4067.2750000000001</v>
      </c>
      <c r="EW3" s="2">
        <v>4081.5749999999998</v>
      </c>
      <c r="EX3" s="2">
        <v>4125.7</v>
      </c>
      <c r="EY3" s="2">
        <v>4145.6750000000002</v>
      </c>
      <c r="EZ3" s="2">
        <v>4185.8</v>
      </c>
      <c r="FA3" s="2">
        <v>4218.0749999999998</v>
      </c>
      <c r="FB3" s="2">
        <v>4240.2250000000004</v>
      </c>
      <c r="FC3" s="2">
        <v>4230.1499999999996</v>
      </c>
      <c r="FD3" s="2">
        <v>4258.7749999999996</v>
      </c>
      <c r="FE3" s="2">
        <v>4257.8249999999998</v>
      </c>
      <c r="FF3" s="2">
        <v>4305.6499999999996</v>
      </c>
      <c r="FG3" s="2">
        <v>4341.75</v>
      </c>
      <c r="FH3" s="2">
        <v>4361.125</v>
      </c>
      <c r="FI3" s="2">
        <v>4367.4250000000002</v>
      </c>
      <c r="FJ3" s="2">
        <v>4372.4750000000004</v>
      </c>
      <c r="FK3" s="2">
        <v>4415.6000000000004</v>
      </c>
      <c r="FL3" s="2">
        <v>4427.4250000000002</v>
      </c>
      <c r="FM3" s="2">
        <v>4465.125</v>
      </c>
      <c r="FN3" s="2">
        <v>4504.0249999999996</v>
      </c>
      <c r="FO3" s="2">
        <v>4488.5</v>
      </c>
      <c r="FP3" s="2">
        <v>4546.4750000000004</v>
      </c>
      <c r="FQ3" s="2">
        <v>4601.7250000000004</v>
      </c>
      <c r="FR3" s="2">
        <v>4625</v>
      </c>
      <c r="FS3" s="2">
        <v>4666.6499999999996</v>
      </c>
      <c r="FT3" s="2">
        <v>4695.55</v>
      </c>
      <c r="FU3" s="2">
        <v>4714.3500000000004</v>
      </c>
      <c r="FV3" s="2">
        <v>4723.05</v>
      </c>
      <c r="FW3" s="2">
        <v>4750.4250000000002</v>
      </c>
      <c r="FX3" s="2">
        <v>4765.6750000000002</v>
      </c>
      <c r="FY3" s="2">
        <v>4799.4750000000004</v>
      </c>
      <c r="FZ3" s="2">
        <v>4826.1000000000004</v>
      </c>
      <c r="GA3" s="2">
        <v>4849.5749999999998</v>
      </c>
      <c r="GB3" s="2">
        <v>4876.7250000000004</v>
      </c>
      <c r="GC3" s="2">
        <v>4915.2</v>
      </c>
      <c r="GD3" s="2">
        <v>4970.6000000000004</v>
      </c>
      <c r="GE3" s="2">
        <v>5011.0249999999996</v>
      </c>
      <c r="GF3" s="2">
        <v>5037.625</v>
      </c>
      <c r="GG3" s="2">
        <v>5069.05</v>
      </c>
      <c r="GH3" s="2">
        <v>5076.2250000000004</v>
      </c>
      <c r="GI3" s="2">
        <v>5107.8999999999996</v>
      </c>
      <c r="GJ3" s="2">
        <v>5150.5749999999998</v>
      </c>
      <c r="GK3" s="2">
        <v>5210.8249999999998</v>
      </c>
      <c r="GL3" s="2">
        <v>5246.35</v>
      </c>
      <c r="GM3" s="2">
        <v>5173.3</v>
      </c>
      <c r="GN3" s="2">
        <v>4764.1499999999996</v>
      </c>
      <c r="GO3" s="2">
        <v>5137.2</v>
      </c>
      <c r="GP3" s="2">
        <v>5192.9250000000002</v>
      </c>
      <c r="GQ3" s="2">
        <v>5264.6</v>
      </c>
      <c r="GR3" s="2">
        <v>5347.25</v>
      </c>
      <c r="GS3" s="2">
        <v>5392.85</v>
      </c>
      <c r="GT3" s="2">
        <v>5490.1</v>
      </c>
      <c r="GU3" s="2">
        <v>5475.9750000000004</v>
      </c>
      <c r="GV3" s="2">
        <v>5479.8</v>
      </c>
      <c r="GW3" s="2">
        <v>5516.7</v>
      </c>
      <c r="GX3" s="2">
        <v>5562.375</v>
      </c>
      <c r="GY3" s="2">
        <v>5600.85</v>
      </c>
      <c r="GZ3" s="2">
        <v>5634.85</v>
      </c>
      <c r="HA3" s="2">
        <v>5695.2250000000004</v>
      </c>
      <c r="HB3" s="2">
        <v>5740.15</v>
      </c>
      <c r="HC3" s="2">
        <v>5763.375</v>
      </c>
      <c r="HD3" s="2">
        <v>5805.9750000000004</v>
      </c>
      <c r="HE3" s="2">
        <v>5850.0749999999998</v>
      </c>
      <c r="HF3" s="2">
        <v>5885.5749999999998</v>
      </c>
      <c r="HG3" s="2">
        <v>5878.1750000000002</v>
      </c>
      <c r="HH3" s="2">
        <v>5925.95</v>
      </c>
      <c r="HI3" s="3">
        <v>5960.8990000000003</v>
      </c>
      <c r="HJ3" s="3">
        <v>5980.9</v>
      </c>
      <c r="HK3" s="3">
        <v>6006.4690000000001</v>
      </c>
      <c r="HL3" s="3">
        <v>6037.9030000000002</v>
      </c>
      <c r="HM3" s="3">
        <v>6072.8069999999998</v>
      </c>
      <c r="HN3" s="3">
        <v>6110.2219999999998</v>
      </c>
      <c r="HO3" s="3">
        <v>6148.098</v>
      </c>
      <c r="HP3" s="3">
        <v>6185.6440000000002</v>
      </c>
      <c r="HQ3" s="3">
        <v>6222.7290000000003</v>
      </c>
      <c r="HR3" s="3">
        <v>6259.2269999999999</v>
      </c>
      <c r="HS3" s="3">
        <v>6295.3119999999999</v>
      </c>
      <c r="HT3" s="3">
        <v>6331</v>
      </c>
      <c r="HU3" s="3">
        <v>6366.2839999999997</v>
      </c>
      <c r="HV3" s="3">
        <v>6401.1809999999996</v>
      </c>
      <c r="HW3" s="3">
        <v>6435.6540000000005</v>
      </c>
      <c r="HX3" s="3">
        <v>6469.723</v>
      </c>
      <c r="HY3" s="3">
        <v>6503.3230000000003</v>
      </c>
      <c r="HZ3" s="3">
        <v>6536.4440000000004</v>
      </c>
      <c r="IA3" s="3">
        <v>6569.0780000000004</v>
      </c>
      <c r="IB3" s="3">
        <v>6601.3130000000001</v>
      </c>
      <c r="IC3" s="3">
        <v>6633.1419999999998</v>
      </c>
      <c r="ID3" s="3">
        <v>6664.5349999999999</v>
      </c>
      <c r="IE3" s="3">
        <v>6695.6859999999997</v>
      </c>
      <c r="IF3" s="3">
        <v>6726.8040000000001</v>
      </c>
      <c r="IG3" s="3">
        <v>6757.8329999999996</v>
      </c>
      <c r="IH3" s="3">
        <v>6788.8180000000002</v>
      </c>
      <c r="II3" s="3">
        <v>6819.79</v>
      </c>
      <c r="IJ3" s="3">
        <v>6850.7690000000002</v>
      </c>
      <c r="IK3" s="3">
        <v>6881.7370000000001</v>
      </c>
      <c r="IL3" s="3">
        <v>6912.7550000000001</v>
      </c>
      <c r="IM3" s="3">
        <v>6943.8990000000003</v>
      </c>
      <c r="IN3" s="3">
        <v>6975.17</v>
      </c>
      <c r="IO3" s="3">
        <v>7006.5690000000004</v>
      </c>
      <c r="IP3" s="3">
        <v>7038.0959999999995</v>
      </c>
      <c r="IQ3" s="3">
        <v>7069.7520000000004</v>
      </c>
      <c r="IR3" s="3">
        <v>7101.5370000000003</v>
      </c>
      <c r="IS3" s="3">
        <v>7133.4520000000002</v>
      </c>
      <c r="IT3" s="3">
        <v>7165.4960000000001</v>
      </c>
      <c r="IU3" s="3">
        <v>7197.6710000000003</v>
      </c>
      <c r="IV3" s="3">
        <v>7229.9769999999999</v>
      </c>
      <c r="IW3" s="3">
        <v>7262.4139999999998</v>
      </c>
      <c r="IX3" s="3">
        <v>7294.9830000000002</v>
      </c>
      <c r="IY3" s="3">
        <v>7327.6629999999996</v>
      </c>
      <c r="IZ3" s="3">
        <v>7360.5460000000003</v>
      </c>
      <c r="JA3" s="3">
        <v>7393.3389999999999</v>
      </c>
      <c r="JB3" s="3">
        <v>7426.2889999999998</v>
      </c>
      <c r="JC3" s="3">
        <v>7459.1109999999999</v>
      </c>
      <c r="JD3" s="3">
        <v>7492.0110000000004</v>
      </c>
      <c r="JE3" s="3">
        <v>7525.2629999999999</v>
      </c>
      <c r="JF3" s="3">
        <v>7558.1639999999998</v>
      </c>
      <c r="JG3" s="3">
        <v>7591.2470000000003</v>
      </c>
      <c r="JH3" s="3">
        <v>7624.2470000000003</v>
      </c>
      <c r="JI3" s="3">
        <v>7657.5230000000001</v>
      </c>
      <c r="JJ3" s="3">
        <v>7690.7870000000003</v>
      </c>
      <c r="JK3" s="3">
        <v>7724.1639999999998</v>
      </c>
      <c r="JL3" s="3">
        <v>7757.7039999999997</v>
      </c>
      <c r="JM3" s="3">
        <v>7790.8689999999997</v>
      </c>
      <c r="JN3" s="3">
        <v>7824.518</v>
      </c>
      <c r="JO3" s="3">
        <v>7858.1019999999999</v>
      </c>
      <c r="JP3" s="3">
        <v>7891.6949999999997</v>
      </c>
      <c r="JQ3" s="3">
        <v>7925.3559999999998</v>
      </c>
      <c r="JR3" s="3">
        <v>7959.1769999999997</v>
      </c>
      <c r="JS3" s="3">
        <v>7992.982</v>
      </c>
      <c r="JT3" s="3">
        <v>8026.9120000000003</v>
      </c>
      <c r="JU3" s="3">
        <v>8060.9719999999998</v>
      </c>
      <c r="JV3" s="3">
        <v>8095.0770000000002</v>
      </c>
      <c r="JW3" s="3">
        <v>8129.2359999999999</v>
      </c>
      <c r="JX3" s="3">
        <v>8163.5129999999999</v>
      </c>
      <c r="JY3" s="3">
        <v>8197.81</v>
      </c>
      <c r="JZ3" s="3">
        <v>8232.1880000000001</v>
      </c>
      <c r="KA3" s="3">
        <v>8266.8050000000003</v>
      </c>
      <c r="KB3" s="3">
        <v>8301.5810000000001</v>
      </c>
      <c r="KC3" s="3">
        <v>8336.2739999999994</v>
      </c>
      <c r="KD3" s="3">
        <v>8371.2710000000006</v>
      </c>
      <c r="KE3" s="3">
        <v>8406.2649999999994</v>
      </c>
      <c r="KF3" s="3">
        <v>8441.3070000000007</v>
      </c>
      <c r="KG3" s="3">
        <v>8476.375</v>
      </c>
      <c r="KH3" s="3">
        <v>8511.6990000000005</v>
      </c>
      <c r="KI3" s="3">
        <v>8546.866</v>
      </c>
      <c r="KJ3" s="3">
        <v>8582.2170000000006</v>
      </c>
      <c r="KK3" s="3">
        <v>8617.5210000000006</v>
      </c>
      <c r="KL3" s="3">
        <v>8653.0069999999996</v>
      </c>
      <c r="KM3" s="3">
        <v>8688.6290000000008</v>
      </c>
      <c r="KN3" s="3">
        <v>8724.1869999999999</v>
      </c>
      <c r="KO3" s="3">
        <v>8759.8619999999992</v>
      </c>
      <c r="KP3" s="3">
        <v>8795.7209999999995</v>
      </c>
      <c r="KQ3" s="3">
        <v>8831.57</v>
      </c>
      <c r="KR3" s="3">
        <v>8867.4629999999997</v>
      </c>
      <c r="KS3" s="3">
        <v>8903.4770000000008</v>
      </c>
      <c r="KT3" s="3">
        <v>8939.4879999999994</v>
      </c>
      <c r="KU3" s="3">
        <v>8975.5859999999993</v>
      </c>
      <c r="KV3" s="3">
        <v>9011.9879999999994</v>
      </c>
      <c r="KW3" s="3">
        <v>9048.0949999999993</v>
      </c>
      <c r="KX3" s="3">
        <v>9084.7180000000008</v>
      </c>
      <c r="KY3" s="3">
        <v>9121.2049999999999</v>
      </c>
      <c r="KZ3" s="3">
        <v>9157.4449999999997</v>
      </c>
      <c r="LA3" s="3">
        <v>9194.0759999999991</v>
      </c>
      <c r="LB3" s="3">
        <v>9230.6010000000006</v>
      </c>
      <c r="LC3" s="3">
        <v>9267.5759999999991</v>
      </c>
      <c r="LD3" s="3">
        <v>9304.3960000000006</v>
      </c>
      <c r="LE3" s="3">
        <v>9341.0869999999995</v>
      </c>
      <c r="LF3" s="3">
        <v>9378.1679999999997</v>
      </c>
      <c r="LG3" s="3">
        <v>9415.25</v>
      </c>
      <c r="LH3" s="3">
        <v>9452.4969999999994</v>
      </c>
      <c r="LI3" s="3">
        <v>9489.8909999999996</v>
      </c>
      <c r="LJ3" s="3">
        <v>9527.3060000000005</v>
      </c>
      <c r="LK3" s="3">
        <v>9565.0139999999992</v>
      </c>
      <c r="LL3" s="3">
        <v>9602.7330000000002</v>
      </c>
      <c r="LM3" s="3">
        <v>9640.6409999999996</v>
      </c>
      <c r="LN3" s="3">
        <v>9678.6489999999994</v>
      </c>
      <c r="LO3" s="3">
        <v>9716.7630000000008</v>
      </c>
      <c r="LP3" s="3">
        <v>9754.9879999999994</v>
      </c>
      <c r="LQ3" s="3">
        <v>9793.43</v>
      </c>
      <c r="LR3" s="3">
        <v>9831.9840000000004</v>
      </c>
      <c r="LS3" s="3">
        <v>9870.6540000000005</v>
      </c>
      <c r="LT3" s="3">
        <v>9909.3619999999992</v>
      </c>
      <c r="LU3" s="3">
        <v>9948.2710000000006</v>
      </c>
      <c r="LV3" s="3">
        <v>9987.3119999999999</v>
      </c>
      <c r="LW3" s="3">
        <v>10026.48</v>
      </c>
      <c r="LX3" s="3">
        <v>10065.790000000001</v>
      </c>
      <c r="LY3" s="3">
        <v>10105.290000000001</v>
      </c>
      <c r="LZ3" s="3">
        <v>10144.75</v>
      </c>
      <c r="MA3" s="3">
        <v>10184.549999999999</v>
      </c>
      <c r="MB3" s="3">
        <v>10224.290000000001</v>
      </c>
      <c r="MC3" s="3">
        <v>10264.299999999999</v>
      </c>
      <c r="MD3" s="3">
        <v>10304.48</v>
      </c>
      <c r="ME3" s="3">
        <v>10344.629999999999</v>
      </c>
      <c r="MF3" s="3">
        <v>10385.06</v>
      </c>
      <c r="MG3" s="3">
        <v>10425.629999999999</v>
      </c>
      <c r="MH3" s="3">
        <v>10466.31</v>
      </c>
      <c r="MI3" s="3">
        <v>10507.24</v>
      </c>
      <c r="MJ3" s="3">
        <v>10548.2</v>
      </c>
      <c r="MK3" s="3">
        <v>10589.38</v>
      </c>
      <c r="ML3" s="3">
        <v>10630.68</v>
      </c>
      <c r="MM3" s="3">
        <v>10672.17</v>
      </c>
      <c r="MN3" s="3">
        <v>10713.71</v>
      </c>
      <c r="MO3" s="3">
        <v>10755.45</v>
      </c>
      <c r="MP3" s="3">
        <v>10797.4</v>
      </c>
      <c r="MQ3" s="3">
        <v>10839.46</v>
      </c>
      <c r="MR3" s="3">
        <v>10881.68</v>
      </c>
      <c r="MS3" s="3">
        <v>10924.04</v>
      </c>
      <c r="MT3" s="3">
        <v>10966.46</v>
      </c>
      <c r="MU3" t="s">
        <v>385</v>
      </c>
      <c r="MV3" t="b">
        <v>1</v>
      </c>
      <c r="MW3" s="1" t="s">
        <v>386</v>
      </c>
      <c r="MX3" t="s">
        <v>377</v>
      </c>
      <c r="MY3">
        <v>2025</v>
      </c>
      <c r="MZ3">
        <v>2</v>
      </c>
      <c r="NA3" t="s">
        <v>377</v>
      </c>
      <c r="NB3" s="1" t="s">
        <v>387</v>
      </c>
      <c r="NC3" s="1" t="s">
        <v>388</v>
      </c>
      <c r="ND3" t="s">
        <v>389</v>
      </c>
      <c r="NE3" t="s">
        <v>381</v>
      </c>
      <c r="NF3" s="1" t="s">
        <v>872</v>
      </c>
    </row>
    <row r="4" spans="1:370" x14ac:dyDescent="0.25">
      <c r="A4" t="s">
        <v>390</v>
      </c>
      <c r="B4" t="s">
        <v>371</v>
      </c>
      <c r="C4" s="1" t="s">
        <v>871</v>
      </c>
      <c r="D4" t="s">
        <v>391</v>
      </c>
      <c r="E4" t="s">
        <v>384</v>
      </c>
      <c r="F4" t="s">
        <v>374</v>
      </c>
      <c r="G4" s="2">
        <v>52242.65</v>
      </c>
      <c r="H4" s="2">
        <v>52722.43</v>
      </c>
      <c r="I4" s="2">
        <v>52875.77</v>
      </c>
      <c r="J4" s="2">
        <v>53539.66</v>
      </c>
      <c r="K4" s="2">
        <v>51759.14</v>
      </c>
      <c r="L4" s="2">
        <v>52134.51</v>
      </c>
      <c r="M4" s="2">
        <v>52810.48</v>
      </c>
      <c r="N4" s="2">
        <v>52526.84</v>
      </c>
      <c r="O4" s="2">
        <v>52595.21</v>
      </c>
      <c r="P4" s="2">
        <v>53789.34</v>
      </c>
      <c r="Q4" s="2">
        <v>54409.61</v>
      </c>
      <c r="R4" s="2">
        <v>54986.97</v>
      </c>
      <c r="S4" s="2">
        <v>55458.37</v>
      </c>
      <c r="T4" s="2">
        <v>55787.51</v>
      </c>
      <c r="U4" s="2">
        <v>56585.37</v>
      </c>
      <c r="V4" s="2">
        <v>56653.35</v>
      </c>
      <c r="W4" s="2">
        <v>57921.84</v>
      </c>
      <c r="X4" s="2">
        <v>58330.15</v>
      </c>
      <c r="Y4" s="2">
        <v>58729.51</v>
      </c>
      <c r="Z4" s="2">
        <v>59539.25</v>
      </c>
      <c r="AA4" s="2">
        <v>60686.21</v>
      </c>
      <c r="AB4" s="2">
        <v>61280.639999999999</v>
      </c>
      <c r="AC4" s="2">
        <v>62081.49</v>
      </c>
      <c r="AD4" s="2">
        <v>62988.52</v>
      </c>
      <c r="AE4" s="2">
        <v>64175.77</v>
      </c>
      <c r="AF4" s="2">
        <v>65372.08</v>
      </c>
      <c r="AG4" s="2">
        <v>65872.72</v>
      </c>
      <c r="AH4" s="2">
        <v>66157.2</v>
      </c>
      <c r="AI4" s="2">
        <v>67431.649999999994</v>
      </c>
      <c r="AJ4" s="2">
        <v>67125.25</v>
      </c>
      <c r="AK4" s="2">
        <v>68540.479999999996</v>
      </c>
      <c r="AL4" s="2">
        <v>69895.05</v>
      </c>
      <c r="AM4" s="2">
        <v>70493.48</v>
      </c>
      <c r="AN4" s="2">
        <v>71146.73</v>
      </c>
      <c r="AO4" s="2">
        <v>71480.100000000006</v>
      </c>
      <c r="AP4" s="2">
        <v>71827.58</v>
      </c>
      <c r="AQ4" s="2">
        <v>72823.850000000006</v>
      </c>
      <c r="AR4" s="2">
        <v>73296.850000000006</v>
      </c>
      <c r="AS4" s="2">
        <v>73595.08</v>
      </c>
      <c r="AT4" s="2">
        <v>74635.23</v>
      </c>
      <c r="AU4" s="2">
        <v>75168.800000000003</v>
      </c>
      <c r="AV4" s="2">
        <v>75743.88</v>
      </c>
      <c r="AW4" s="2">
        <v>76764.23</v>
      </c>
      <c r="AX4" s="2">
        <v>77307.77</v>
      </c>
      <c r="AY4" s="2">
        <v>78032.58</v>
      </c>
      <c r="AZ4" s="2">
        <v>79658.95</v>
      </c>
      <c r="BA4" s="2">
        <v>80246.33</v>
      </c>
      <c r="BB4" s="2">
        <v>80542.25</v>
      </c>
      <c r="BC4" s="2">
        <v>81627.42</v>
      </c>
      <c r="BD4" s="2">
        <v>83146.850000000006</v>
      </c>
      <c r="BE4" s="2">
        <v>84384.77</v>
      </c>
      <c r="BF4" s="2">
        <v>85720.3</v>
      </c>
      <c r="BG4" s="2">
        <v>85758.42</v>
      </c>
      <c r="BH4" s="2">
        <v>86018.4</v>
      </c>
      <c r="BI4" s="2">
        <v>86623.83</v>
      </c>
      <c r="BJ4" s="2">
        <v>87631.63</v>
      </c>
      <c r="BK4" s="2">
        <v>87931.4</v>
      </c>
      <c r="BL4" s="2">
        <v>89458.15</v>
      </c>
      <c r="BM4" s="2">
        <v>91089.55</v>
      </c>
      <c r="BN4" s="2">
        <v>93422.8</v>
      </c>
      <c r="BO4" s="2">
        <v>94866.7</v>
      </c>
      <c r="BP4" s="2">
        <v>95559.08</v>
      </c>
      <c r="BQ4" s="2">
        <v>97321.1</v>
      </c>
      <c r="BR4" s="2">
        <v>98386.73</v>
      </c>
      <c r="BS4" s="2">
        <v>100718.5</v>
      </c>
      <c r="BT4" s="2">
        <v>99521.33</v>
      </c>
      <c r="BU4" s="2">
        <v>101067.9</v>
      </c>
      <c r="BV4" s="2">
        <v>103823.8</v>
      </c>
      <c r="BW4" s="2">
        <v>103264</v>
      </c>
      <c r="BX4" s="2">
        <v>105791</v>
      </c>
      <c r="BY4" s="2">
        <v>107937.8</v>
      </c>
      <c r="BZ4" s="2">
        <v>107869</v>
      </c>
      <c r="CA4" s="2">
        <v>109030.2</v>
      </c>
      <c r="CB4" s="2">
        <v>109977.8</v>
      </c>
      <c r="CC4" s="2">
        <v>109973</v>
      </c>
      <c r="CD4" s="2">
        <v>110813.9</v>
      </c>
      <c r="CE4" s="2">
        <v>110645.6</v>
      </c>
      <c r="CF4" s="2">
        <v>110982.39999999999</v>
      </c>
      <c r="CG4" s="2">
        <v>111402.7</v>
      </c>
      <c r="CH4" s="2">
        <v>110721.5</v>
      </c>
      <c r="CI4" s="2">
        <v>111282</v>
      </c>
      <c r="CJ4" s="2">
        <v>110343.9</v>
      </c>
      <c r="CK4" s="2">
        <v>109839</v>
      </c>
      <c r="CL4" s="2">
        <v>110263.7</v>
      </c>
      <c r="CM4" s="2">
        <v>111555.8</v>
      </c>
      <c r="CN4" s="2">
        <v>110953.60000000001</v>
      </c>
      <c r="CO4" s="2">
        <v>112226.3</v>
      </c>
      <c r="CP4" s="2">
        <v>111797.5</v>
      </c>
      <c r="CQ4" s="2">
        <v>113005</v>
      </c>
      <c r="CR4" s="2">
        <v>114086.1</v>
      </c>
      <c r="CS4" s="2">
        <v>115422</v>
      </c>
      <c r="CT4" s="2">
        <v>115718.8</v>
      </c>
      <c r="CU4" s="2">
        <v>116661.9</v>
      </c>
      <c r="CV4" s="2">
        <v>118139.6</v>
      </c>
      <c r="CW4" s="2">
        <v>118288.7</v>
      </c>
      <c r="CX4" s="2">
        <v>119618.3</v>
      </c>
      <c r="CY4" s="2">
        <v>119889.1</v>
      </c>
      <c r="CZ4" s="2">
        <v>119023.4</v>
      </c>
      <c r="DA4" s="2">
        <v>119250.4</v>
      </c>
      <c r="DB4" s="2">
        <v>119301.8</v>
      </c>
      <c r="DC4" s="2">
        <v>117820.5</v>
      </c>
      <c r="DD4" s="2">
        <v>117331.6</v>
      </c>
      <c r="DE4" s="2">
        <v>117535.2</v>
      </c>
      <c r="DF4" s="2">
        <v>118481.3</v>
      </c>
      <c r="DG4" s="2">
        <v>116835.3</v>
      </c>
      <c r="DH4" s="2">
        <v>117298.9</v>
      </c>
      <c r="DI4" s="2">
        <v>117919.2</v>
      </c>
      <c r="DJ4" s="2">
        <v>117957</v>
      </c>
      <c r="DK4" s="2">
        <v>119997.6</v>
      </c>
      <c r="DL4" s="2">
        <v>120531</v>
      </c>
      <c r="DM4" s="2">
        <v>120565.3</v>
      </c>
      <c r="DN4" s="2">
        <v>121729.4</v>
      </c>
      <c r="DO4" s="2">
        <v>122635.2</v>
      </c>
      <c r="DP4" s="2">
        <v>121711.9</v>
      </c>
      <c r="DQ4" s="2">
        <v>120400</v>
      </c>
      <c r="DR4" s="2">
        <v>119972.3</v>
      </c>
      <c r="DS4" s="2">
        <v>120184.6</v>
      </c>
      <c r="DT4" s="2">
        <v>121142.8</v>
      </c>
      <c r="DU4" s="2">
        <v>121545.5</v>
      </c>
      <c r="DV4" s="2">
        <v>121874.9</v>
      </c>
      <c r="DW4" s="2">
        <v>121950.3</v>
      </c>
      <c r="DX4" s="2">
        <v>122774</v>
      </c>
      <c r="DY4" s="2">
        <v>123157.5</v>
      </c>
      <c r="DZ4" s="2">
        <v>124497</v>
      </c>
      <c r="EA4" s="2">
        <v>125445.5</v>
      </c>
      <c r="EB4" s="2">
        <v>125411.1</v>
      </c>
      <c r="EC4" s="2">
        <v>126195.2</v>
      </c>
      <c r="ED4" s="2">
        <v>125960.1</v>
      </c>
      <c r="EE4" s="2">
        <v>126598.6</v>
      </c>
      <c r="EF4" s="2">
        <v>127572.6</v>
      </c>
      <c r="EG4" s="2">
        <v>128875.7</v>
      </c>
      <c r="EH4" s="2">
        <v>129108.6</v>
      </c>
      <c r="EI4" s="2">
        <v>129311.9</v>
      </c>
      <c r="EJ4" s="2">
        <v>129494.1</v>
      </c>
      <c r="EK4" s="2">
        <v>129248</v>
      </c>
      <c r="EL4" s="2">
        <v>130994.4</v>
      </c>
      <c r="EM4" s="2">
        <v>131865.70000000001</v>
      </c>
      <c r="EN4" s="2">
        <v>131898.29999999999</v>
      </c>
      <c r="EO4" s="2">
        <v>131197.29999999999</v>
      </c>
      <c r="EP4" s="2">
        <v>131753.5</v>
      </c>
      <c r="EQ4" s="2">
        <v>132283.20000000001</v>
      </c>
      <c r="ER4" s="2">
        <v>131458.20000000001</v>
      </c>
      <c r="ES4" s="2">
        <v>129842.8</v>
      </c>
      <c r="ET4" s="2">
        <v>126600.7</v>
      </c>
      <c r="EU4" s="2">
        <v>120530.5</v>
      </c>
      <c r="EV4" s="2">
        <v>122898.3</v>
      </c>
      <c r="EW4" s="2">
        <v>122855</v>
      </c>
      <c r="EX4" s="2">
        <v>124335.5</v>
      </c>
      <c r="EY4" s="2">
        <v>125665.3</v>
      </c>
      <c r="EZ4" s="2">
        <v>127188.3</v>
      </c>
      <c r="FA4" s="2">
        <v>129488.8</v>
      </c>
      <c r="FB4" s="2">
        <v>128402.8</v>
      </c>
      <c r="FC4" s="2">
        <v>127080.9</v>
      </c>
      <c r="FD4" s="2">
        <v>125989.6</v>
      </c>
      <c r="FE4" s="2">
        <v>129025.60000000001</v>
      </c>
      <c r="FF4" s="2">
        <v>128830.9</v>
      </c>
      <c r="FG4" s="2">
        <v>130701.9</v>
      </c>
      <c r="FH4" s="2">
        <v>129468.2</v>
      </c>
      <c r="FI4" s="2">
        <v>128944.8</v>
      </c>
      <c r="FJ4" s="2">
        <v>128854.3</v>
      </c>
      <c r="FK4" s="2">
        <v>130664.3</v>
      </c>
      <c r="FL4" s="2">
        <v>131845.79999999999</v>
      </c>
      <c r="FM4" s="2">
        <v>133082.1</v>
      </c>
      <c r="FN4" s="2">
        <v>132920.20000000001</v>
      </c>
      <c r="FO4" s="2">
        <v>134019.70000000001</v>
      </c>
      <c r="FP4" s="2">
        <v>131619.5</v>
      </c>
      <c r="FQ4" s="2">
        <v>131706</v>
      </c>
      <c r="FR4" s="2">
        <v>132301.79999999999</v>
      </c>
      <c r="FS4" s="2">
        <v>134366.39999999999</v>
      </c>
      <c r="FT4" s="2">
        <v>134579.5</v>
      </c>
      <c r="FU4" s="2">
        <v>134696.79999999999</v>
      </c>
      <c r="FV4" s="2">
        <v>134452.70000000001</v>
      </c>
      <c r="FW4" s="2">
        <v>135492.6</v>
      </c>
      <c r="FX4" s="2">
        <v>135265.70000000001</v>
      </c>
      <c r="FY4" s="2">
        <v>135545.79999999999</v>
      </c>
      <c r="FZ4" s="2">
        <v>135724.29999999999</v>
      </c>
      <c r="GA4" s="2">
        <v>136780.70000000001</v>
      </c>
      <c r="GB4" s="2">
        <v>137324.1</v>
      </c>
      <c r="GC4" s="2">
        <v>138516.79999999999</v>
      </c>
      <c r="GD4" s="2">
        <v>138606.1</v>
      </c>
      <c r="GE4" s="2">
        <v>138694.6</v>
      </c>
      <c r="GF4" s="2">
        <v>139239</v>
      </c>
      <c r="GG4" s="2">
        <v>138545.5</v>
      </c>
      <c r="GH4" s="2">
        <v>138219.1</v>
      </c>
      <c r="GI4" s="2">
        <v>138528.5</v>
      </c>
      <c r="GJ4" s="2">
        <v>139158.5</v>
      </c>
      <c r="GK4" s="2">
        <v>139424.4</v>
      </c>
      <c r="GL4" s="2">
        <v>135393</v>
      </c>
      <c r="GM4" s="2">
        <v>136078.29999999999</v>
      </c>
      <c r="GN4" s="2">
        <v>125772.4</v>
      </c>
      <c r="GO4" s="2">
        <v>132570.5</v>
      </c>
      <c r="GP4" s="2">
        <v>134848</v>
      </c>
      <c r="GQ4" s="2">
        <v>135160.29999999999</v>
      </c>
      <c r="GR4" s="2">
        <v>136139</v>
      </c>
      <c r="GS4" s="2">
        <v>135556.70000000001</v>
      </c>
      <c r="GT4" s="2">
        <v>137095.1</v>
      </c>
      <c r="GU4" s="2">
        <v>136415.29999999999</v>
      </c>
      <c r="GV4" s="2">
        <v>137862.29999999999</v>
      </c>
      <c r="GW4" s="2">
        <v>137188.79999999999</v>
      </c>
      <c r="GX4" s="2">
        <v>137553.4</v>
      </c>
      <c r="GY4" s="2">
        <v>139288</v>
      </c>
      <c r="GZ4" s="2">
        <v>139845.79999999999</v>
      </c>
      <c r="HA4" s="2">
        <v>138394.4</v>
      </c>
      <c r="HB4" s="2">
        <v>138327.20000000001</v>
      </c>
      <c r="HC4" s="2">
        <v>137944.79999999999</v>
      </c>
      <c r="HD4" s="2">
        <v>138965.4</v>
      </c>
      <c r="HE4" s="2">
        <v>139362.79999999999</v>
      </c>
      <c r="HF4" s="2">
        <v>140193.5</v>
      </c>
      <c r="HG4" s="2">
        <v>140387.70000000001</v>
      </c>
      <c r="HH4" s="2">
        <v>140747</v>
      </c>
      <c r="HI4" s="3">
        <v>140529.4</v>
      </c>
      <c r="HJ4" s="3">
        <v>140576.9</v>
      </c>
      <c r="HK4" s="3">
        <v>140776.5</v>
      </c>
      <c r="HL4" s="3">
        <v>141111</v>
      </c>
      <c r="HM4" s="3">
        <v>141371.1</v>
      </c>
      <c r="HN4" s="3">
        <v>141568.4</v>
      </c>
      <c r="HO4" s="3">
        <v>141727.70000000001</v>
      </c>
      <c r="HP4" s="3">
        <v>141860.79999999999</v>
      </c>
      <c r="HQ4" s="3">
        <v>141976.20000000001</v>
      </c>
      <c r="HR4" s="3">
        <v>142083.79999999999</v>
      </c>
      <c r="HS4" s="3">
        <v>142172.5</v>
      </c>
      <c r="HT4" s="3">
        <v>142247.29999999999</v>
      </c>
      <c r="HU4" s="3">
        <v>142315.29999999999</v>
      </c>
      <c r="HV4" s="3">
        <v>142371.4</v>
      </c>
      <c r="HW4" s="3">
        <v>142425.60000000001</v>
      </c>
      <c r="HX4" s="3">
        <v>142477.70000000001</v>
      </c>
      <c r="HY4" s="3">
        <v>142525.70000000001</v>
      </c>
      <c r="HZ4" s="3">
        <v>142565.79999999999</v>
      </c>
      <c r="IA4" s="3">
        <v>142600.29999999999</v>
      </c>
      <c r="IB4" s="3">
        <v>142633.29999999999</v>
      </c>
      <c r="IC4" s="3">
        <v>142653.4</v>
      </c>
      <c r="ID4" s="3">
        <v>142668.5</v>
      </c>
      <c r="IE4" s="3">
        <v>142673.4</v>
      </c>
      <c r="IF4" s="3">
        <v>142676.70000000001</v>
      </c>
      <c r="IG4" s="3">
        <v>142668.1</v>
      </c>
      <c r="IH4" s="3">
        <v>142650.5</v>
      </c>
      <c r="II4" s="3">
        <v>142628</v>
      </c>
      <c r="IJ4" s="3">
        <v>142605</v>
      </c>
      <c r="IK4" s="3">
        <v>142579.29999999999</v>
      </c>
      <c r="IL4" s="3">
        <v>142550.5</v>
      </c>
      <c r="IM4" s="3">
        <v>142510.1</v>
      </c>
      <c r="IN4" s="3">
        <v>142472.70000000001</v>
      </c>
      <c r="IO4" s="3">
        <v>142445.1</v>
      </c>
      <c r="IP4" s="3">
        <v>142402</v>
      </c>
      <c r="IQ4" s="3">
        <v>142363</v>
      </c>
      <c r="IR4" s="3">
        <v>142327.20000000001</v>
      </c>
      <c r="IS4" s="3">
        <v>142275.29999999999</v>
      </c>
      <c r="IT4" s="3">
        <v>142206.9</v>
      </c>
      <c r="IU4" s="3">
        <v>142142.79999999999</v>
      </c>
      <c r="IV4" s="3">
        <v>142083.6</v>
      </c>
      <c r="IW4" s="3">
        <v>142011.79999999999</v>
      </c>
      <c r="IX4" s="3">
        <v>141926.6</v>
      </c>
      <c r="IY4" s="3">
        <v>141840.5</v>
      </c>
      <c r="IZ4" s="3">
        <v>141758.20000000001</v>
      </c>
      <c r="JA4" s="3">
        <v>141672.6</v>
      </c>
      <c r="JB4" s="3">
        <v>141585</v>
      </c>
      <c r="JC4" s="3">
        <v>141496.79999999999</v>
      </c>
      <c r="JD4" s="3">
        <v>141407.70000000001</v>
      </c>
      <c r="JE4" s="3">
        <v>141316.29999999999</v>
      </c>
      <c r="JF4" s="3">
        <v>141222.1</v>
      </c>
      <c r="JG4" s="3">
        <v>141128.29999999999</v>
      </c>
      <c r="JH4" s="3">
        <v>141033.4</v>
      </c>
      <c r="JI4" s="3">
        <v>140934.9</v>
      </c>
      <c r="JJ4" s="3">
        <v>140832.20000000001</v>
      </c>
      <c r="JK4" s="3">
        <v>140727.5</v>
      </c>
      <c r="JL4" s="3">
        <v>140622.1</v>
      </c>
      <c r="JM4" s="3">
        <v>140520.6</v>
      </c>
      <c r="JN4" s="3">
        <v>140423.29999999999</v>
      </c>
      <c r="JO4" s="3">
        <v>140327.6</v>
      </c>
      <c r="JP4" s="3">
        <v>140231</v>
      </c>
      <c r="JQ4" s="3">
        <v>140139.1</v>
      </c>
      <c r="JR4" s="3">
        <v>140051.6</v>
      </c>
      <c r="JS4" s="3">
        <v>139965.70000000001</v>
      </c>
      <c r="JT4" s="3">
        <v>139880</v>
      </c>
      <c r="JU4" s="3">
        <v>139798.29999999999</v>
      </c>
      <c r="JV4" s="3">
        <v>139719.79999999999</v>
      </c>
      <c r="JW4" s="3">
        <v>139643.9</v>
      </c>
      <c r="JX4" s="3">
        <v>139568.79999999999</v>
      </c>
      <c r="JY4" s="3">
        <v>139498.4</v>
      </c>
      <c r="JZ4" s="3">
        <v>139432.5</v>
      </c>
      <c r="KA4" s="3">
        <v>139369.1</v>
      </c>
      <c r="KB4" s="3">
        <v>139306.6</v>
      </c>
      <c r="KC4" s="3">
        <v>139247.29999999999</v>
      </c>
      <c r="KD4" s="3">
        <v>139191.5</v>
      </c>
      <c r="KE4" s="3">
        <v>139139.9</v>
      </c>
      <c r="KF4" s="3">
        <v>139093.5</v>
      </c>
      <c r="KG4" s="3">
        <v>139054</v>
      </c>
      <c r="KH4" s="3">
        <v>139021.4</v>
      </c>
      <c r="KI4" s="3">
        <v>138994.4</v>
      </c>
      <c r="KJ4" s="3">
        <v>138971.4</v>
      </c>
      <c r="KK4" s="3">
        <v>138954.29999999999</v>
      </c>
      <c r="KL4" s="3">
        <v>138943.20000000001</v>
      </c>
      <c r="KM4" s="3">
        <v>138937</v>
      </c>
      <c r="KN4" s="3">
        <v>138934.9</v>
      </c>
      <c r="KO4" s="3">
        <v>138937.79999999999</v>
      </c>
      <c r="KP4" s="3">
        <v>138944.9</v>
      </c>
      <c r="KQ4" s="3">
        <v>138953.20000000001</v>
      </c>
      <c r="KR4" s="3">
        <v>138962.20000000001</v>
      </c>
      <c r="KS4" s="3">
        <v>138976.6</v>
      </c>
      <c r="KT4" s="3">
        <v>138995.6</v>
      </c>
      <c r="KU4" s="3">
        <v>139013.5</v>
      </c>
      <c r="KV4" s="3">
        <v>139030.6</v>
      </c>
      <c r="KW4" s="3">
        <v>139050.4</v>
      </c>
      <c r="KX4" s="3">
        <v>139073.60000000001</v>
      </c>
      <c r="KY4" s="3">
        <v>139093.29999999999</v>
      </c>
      <c r="KZ4" s="3">
        <v>139112.9</v>
      </c>
      <c r="LA4" s="3">
        <v>139140.20000000001</v>
      </c>
      <c r="LB4" s="3">
        <v>139177.5</v>
      </c>
      <c r="LC4" s="3">
        <v>139215.6</v>
      </c>
      <c r="LD4" s="3">
        <v>139252.70000000001</v>
      </c>
      <c r="LE4" s="3">
        <v>139299.29999999999</v>
      </c>
      <c r="LF4" s="3">
        <v>139355.4</v>
      </c>
      <c r="LG4" s="3">
        <v>139411.9</v>
      </c>
      <c r="LH4" s="3">
        <v>139468.20000000001</v>
      </c>
      <c r="LI4" s="3">
        <v>139533.6</v>
      </c>
      <c r="LJ4" s="3">
        <v>139607.29999999999</v>
      </c>
      <c r="LK4" s="3">
        <v>139679</v>
      </c>
      <c r="LL4" s="3">
        <v>139749.6</v>
      </c>
      <c r="LM4" s="3">
        <v>139833</v>
      </c>
      <c r="LN4" s="3">
        <v>139930.29999999999</v>
      </c>
      <c r="LO4" s="3">
        <v>140027.79999999999</v>
      </c>
      <c r="LP4" s="3">
        <v>140122.29999999999</v>
      </c>
      <c r="LQ4" s="3">
        <v>140223.79999999999</v>
      </c>
      <c r="LR4" s="3">
        <v>140332.9</v>
      </c>
      <c r="LS4" s="3">
        <v>140443.6</v>
      </c>
      <c r="LT4" s="3">
        <v>140553.29999999999</v>
      </c>
      <c r="LU4" s="3">
        <v>140667.4</v>
      </c>
      <c r="LV4" s="3">
        <v>140786.1</v>
      </c>
      <c r="LW4" s="3">
        <v>140905.9</v>
      </c>
      <c r="LX4" s="3">
        <v>141026.29999999999</v>
      </c>
      <c r="LY4" s="3">
        <v>141152.4</v>
      </c>
      <c r="LZ4" s="3">
        <v>141283</v>
      </c>
      <c r="MA4" s="3">
        <v>141415.6</v>
      </c>
      <c r="MB4" s="3">
        <v>141548.20000000001</v>
      </c>
      <c r="MC4" s="3">
        <v>141684.5</v>
      </c>
      <c r="MD4" s="3">
        <v>141823.79999999999</v>
      </c>
      <c r="ME4" s="3">
        <v>141961.9</v>
      </c>
      <c r="MF4" s="3">
        <v>142097.79999999999</v>
      </c>
      <c r="MG4" s="3">
        <v>142240.70000000001</v>
      </c>
      <c r="MH4" s="3">
        <v>142389.9</v>
      </c>
      <c r="MI4" s="3">
        <v>142537.5</v>
      </c>
      <c r="MJ4" s="3">
        <v>142683</v>
      </c>
      <c r="MK4" s="3">
        <v>142832.6</v>
      </c>
      <c r="ML4" s="3">
        <v>142986.79999999999</v>
      </c>
      <c r="MM4" s="3">
        <v>143139.29999999999</v>
      </c>
      <c r="MN4" s="3">
        <v>143288.29999999999</v>
      </c>
      <c r="MO4" s="3">
        <v>143438.79999999999</v>
      </c>
      <c r="MP4" s="3">
        <v>143591.6</v>
      </c>
      <c r="MQ4" s="3">
        <v>143741.5</v>
      </c>
      <c r="MR4" s="3">
        <v>143889.29999999999</v>
      </c>
      <c r="MS4" s="3">
        <v>144041.5</v>
      </c>
      <c r="MT4" s="3">
        <v>144197.5</v>
      </c>
      <c r="MU4" t="s">
        <v>392</v>
      </c>
      <c r="MV4" t="b">
        <v>1</v>
      </c>
      <c r="MW4">
        <v>2015</v>
      </c>
      <c r="MX4" t="s">
        <v>377</v>
      </c>
      <c r="MY4">
        <v>2025</v>
      </c>
      <c r="MZ4">
        <v>2</v>
      </c>
      <c r="NA4" t="s">
        <v>377</v>
      </c>
      <c r="NB4" s="1" t="s">
        <v>393</v>
      </c>
      <c r="NC4" s="1" t="s">
        <v>394</v>
      </c>
      <c r="ND4" t="s">
        <v>395</v>
      </c>
      <c r="NE4" t="s">
        <v>381</v>
      </c>
      <c r="NF4" s="1" t="s">
        <v>872</v>
      </c>
    </row>
    <row r="5" spans="1:370" x14ac:dyDescent="0.25">
      <c r="A5" t="s">
        <v>396</v>
      </c>
      <c r="B5" t="s">
        <v>371</v>
      </c>
      <c r="C5" s="1" t="s">
        <v>871</v>
      </c>
      <c r="D5" t="s">
        <v>397</v>
      </c>
      <c r="E5" t="s">
        <v>384</v>
      </c>
      <c r="F5" t="s">
        <v>374</v>
      </c>
      <c r="G5" s="2">
        <v>386.07</v>
      </c>
      <c r="H5" s="2">
        <v>388.81</v>
      </c>
      <c r="I5" s="2">
        <v>390.14</v>
      </c>
      <c r="J5" s="2">
        <v>391.12</v>
      </c>
      <c r="K5" s="2">
        <v>394.27</v>
      </c>
      <c r="L5" s="2">
        <v>393.93</v>
      </c>
      <c r="M5" s="2">
        <v>394.09</v>
      </c>
      <c r="N5" s="2">
        <v>389.05</v>
      </c>
      <c r="O5" s="2">
        <v>386.82</v>
      </c>
      <c r="P5" s="2">
        <v>384.92</v>
      </c>
      <c r="Q5" s="2">
        <v>389.05</v>
      </c>
      <c r="R5" s="2">
        <v>396.83</v>
      </c>
      <c r="S5" s="2">
        <v>400.23</v>
      </c>
      <c r="T5" s="2">
        <v>406.27</v>
      </c>
      <c r="U5" s="2">
        <v>406.44</v>
      </c>
      <c r="V5" s="2">
        <v>413.88</v>
      </c>
      <c r="W5" s="2">
        <v>417.53</v>
      </c>
      <c r="X5" s="2">
        <v>419.84</v>
      </c>
      <c r="Y5" s="2">
        <v>419.68</v>
      </c>
      <c r="Z5" s="2">
        <v>426.88</v>
      </c>
      <c r="AA5" s="2">
        <v>428.69</v>
      </c>
      <c r="AB5" s="2">
        <v>430.44</v>
      </c>
      <c r="AC5" s="2">
        <v>435.98</v>
      </c>
      <c r="AD5" s="2">
        <v>441.11</v>
      </c>
      <c r="AE5" s="2">
        <v>441.69</v>
      </c>
      <c r="AF5" s="2">
        <v>455.35</v>
      </c>
      <c r="AG5" s="2">
        <v>455.43</v>
      </c>
      <c r="AH5" s="2">
        <v>458.15</v>
      </c>
      <c r="AI5" s="2">
        <v>461.8</v>
      </c>
      <c r="AJ5" s="2">
        <v>458.81</v>
      </c>
      <c r="AK5" s="2">
        <v>457</v>
      </c>
      <c r="AL5" s="2">
        <v>456.34</v>
      </c>
      <c r="AM5" s="2">
        <v>461.88</v>
      </c>
      <c r="AN5" s="2">
        <v>460.64</v>
      </c>
      <c r="AO5" s="2">
        <v>461.88</v>
      </c>
      <c r="AP5" s="2">
        <v>461.46</v>
      </c>
      <c r="AQ5" s="2">
        <v>463.29</v>
      </c>
      <c r="AR5" s="2">
        <v>460.39</v>
      </c>
      <c r="AS5" s="2">
        <v>455.93</v>
      </c>
      <c r="AT5" s="2">
        <v>457</v>
      </c>
      <c r="AU5" s="2">
        <v>461.22</v>
      </c>
      <c r="AV5" s="2">
        <v>466.02</v>
      </c>
      <c r="AW5" s="2">
        <v>464.95</v>
      </c>
      <c r="AX5" s="2">
        <v>471.39</v>
      </c>
      <c r="AY5" s="2">
        <v>477.6</v>
      </c>
      <c r="AZ5" s="2">
        <v>470.16</v>
      </c>
      <c r="BA5" s="2">
        <v>482.9</v>
      </c>
      <c r="BB5" s="2">
        <v>486.95</v>
      </c>
      <c r="BC5" s="2">
        <v>484.39</v>
      </c>
      <c r="BD5" s="2">
        <v>489.11</v>
      </c>
      <c r="BE5" s="2">
        <v>495.57</v>
      </c>
      <c r="BF5" s="2">
        <v>498.46</v>
      </c>
      <c r="BG5" s="2">
        <v>495.73</v>
      </c>
      <c r="BH5" s="2">
        <v>501.44</v>
      </c>
      <c r="BI5" s="2">
        <v>505.16</v>
      </c>
      <c r="BJ5" s="2">
        <v>510.13</v>
      </c>
      <c r="BK5" s="2">
        <v>497.3</v>
      </c>
      <c r="BL5" s="2">
        <v>508.47</v>
      </c>
      <c r="BM5" s="2">
        <v>512.03</v>
      </c>
      <c r="BN5" s="2">
        <v>520.15</v>
      </c>
      <c r="BO5" s="2">
        <v>515.6</v>
      </c>
      <c r="BP5" s="2">
        <v>524.95000000000005</v>
      </c>
      <c r="BQ5" s="2">
        <v>530.74</v>
      </c>
      <c r="BR5" s="2">
        <v>537.11</v>
      </c>
      <c r="BS5" s="2">
        <v>542.57000000000005</v>
      </c>
      <c r="BT5" s="2">
        <v>544.80999999999995</v>
      </c>
      <c r="BU5" s="2">
        <v>549.78</v>
      </c>
      <c r="BV5" s="2">
        <v>556.15</v>
      </c>
      <c r="BW5" s="2">
        <v>567.64</v>
      </c>
      <c r="BX5" s="2">
        <v>570.54999999999995</v>
      </c>
      <c r="BY5" s="2">
        <v>582.54</v>
      </c>
      <c r="BZ5" s="2">
        <v>592.79999999999995</v>
      </c>
      <c r="CA5" s="2">
        <v>610.84</v>
      </c>
      <c r="CB5" s="2">
        <v>607.91</v>
      </c>
      <c r="CC5" s="2">
        <v>606.96</v>
      </c>
      <c r="CD5" s="2">
        <v>615.66999999999996</v>
      </c>
      <c r="CE5" s="2">
        <v>624.15</v>
      </c>
      <c r="CF5" s="2">
        <v>620.27</v>
      </c>
      <c r="CG5" s="2">
        <v>618.79999999999995</v>
      </c>
      <c r="CH5" s="2">
        <v>617.08000000000004</v>
      </c>
      <c r="CI5" s="2">
        <v>612.17999999999995</v>
      </c>
      <c r="CJ5" s="2">
        <v>612.27</v>
      </c>
      <c r="CK5" s="2">
        <v>615.89</v>
      </c>
      <c r="CL5" s="2">
        <v>615.37</v>
      </c>
      <c r="CM5" s="2">
        <v>624.05999999999995</v>
      </c>
      <c r="CN5" s="2">
        <v>627.51</v>
      </c>
      <c r="CO5" s="2">
        <v>631.22</v>
      </c>
      <c r="CP5" s="2">
        <v>638.21</v>
      </c>
      <c r="CQ5" s="2">
        <v>635.69000000000005</v>
      </c>
      <c r="CR5" s="2">
        <v>640.78</v>
      </c>
      <c r="CS5" s="2">
        <v>642.07000000000005</v>
      </c>
      <c r="CT5" s="2">
        <v>642.33000000000004</v>
      </c>
      <c r="CU5" s="2">
        <v>637.76</v>
      </c>
      <c r="CV5" s="2">
        <v>646.47</v>
      </c>
      <c r="CW5" s="2">
        <v>648.97</v>
      </c>
      <c r="CX5" s="2">
        <v>654.92999999999995</v>
      </c>
      <c r="CY5" s="2">
        <v>651.58000000000004</v>
      </c>
      <c r="CZ5" s="2">
        <v>658.83</v>
      </c>
      <c r="DA5" s="2">
        <v>661.42</v>
      </c>
      <c r="DB5" s="2">
        <v>666.33</v>
      </c>
      <c r="DC5" s="2">
        <v>672.7</v>
      </c>
      <c r="DD5" s="2">
        <v>669.59</v>
      </c>
      <c r="DE5" s="2">
        <v>672.87</v>
      </c>
      <c r="DF5" s="2">
        <v>672.7</v>
      </c>
      <c r="DG5" s="2">
        <v>680.5</v>
      </c>
      <c r="DH5" s="2">
        <v>679.64</v>
      </c>
      <c r="DI5" s="2">
        <v>688.96</v>
      </c>
      <c r="DJ5" s="2">
        <v>692.24</v>
      </c>
      <c r="DK5" s="2">
        <v>702.91</v>
      </c>
      <c r="DL5" s="2">
        <v>708.52</v>
      </c>
      <c r="DM5" s="2">
        <v>709.04</v>
      </c>
      <c r="DN5" s="2">
        <v>706.02</v>
      </c>
      <c r="DO5" s="2">
        <v>721.01</v>
      </c>
      <c r="DP5" s="2">
        <v>719.2</v>
      </c>
      <c r="DQ5" s="2">
        <v>719.2</v>
      </c>
      <c r="DR5" s="2">
        <v>716.95</v>
      </c>
      <c r="DS5" s="2">
        <v>713.61</v>
      </c>
      <c r="DT5" s="2">
        <v>716.37</v>
      </c>
      <c r="DU5" s="2">
        <v>721.29</v>
      </c>
      <c r="DV5" s="2">
        <v>719.3</v>
      </c>
      <c r="DW5" s="2">
        <v>709.53</v>
      </c>
      <c r="DX5" s="2">
        <v>710.57</v>
      </c>
      <c r="DY5" s="2">
        <v>717.04</v>
      </c>
      <c r="DZ5" s="2">
        <v>717.9</v>
      </c>
      <c r="EA5" s="2">
        <v>716.8</v>
      </c>
      <c r="EB5" s="2">
        <v>721.03</v>
      </c>
      <c r="EC5" s="2">
        <v>718.7</v>
      </c>
      <c r="ED5" s="2">
        <v>718.44</v>
      </c>
      <c r="EE5" s="2">
        <v>719.58</v>
      </c>
      <c r="EF5" s="2">
        <v>723.9</v>
      </c>
      <c r="EG5" s="2">
        <v>729.59</v>
      </c>
      <c r="EH5" s="2">
        <v>732.35</v>
      </c>
      <c r="EI5" s="2">
        <v>740.52</v>
      </c>
      <c r="EJ5" s="2">
        <v>753.21</v>
      </c>
      <c r="EK5" s="2">
        <v>758.9</v>
      </c>
      <c r="EL5" s="2">
        <v>770.03</v>
      </c>
      <c r="EM5" s="2">
        <v>771.04</v>
      </c>
      <c r="EN5" s="2">
        <v>776.13</v>
      </c>
      <c r="EO5" s="2">
        <v>780.1</v>
      </c>
      <c r="EP5" s="2">
        <v>785.88</v>
      </c>
      <c r="EQ5" s="2">
        <v>790.5</v>
      </c>
      <c r="ER5" s="2">
        <v>787.65</v>
      </c>
      <c r="ES5" s="2">
        <v>783.34</v>
      </c>
      <c r="ET5" s="2">
        <v>771.17</v>
      </c>
      <c r="EU5" s="2">
        <v>735.03</v>
      </c>
      <c r="EV5" s="2">
        <v>736.84</v>
      </c>
      <c r="EW5" s="2">
        <v>741.41</v>
      </c>
      <c r="EX5" s="2">
        <v>747.1</v>
      </c>
      <c r="EY5" s="2">
        <v>752.54</v>
      </c>
      <c r="EZ5" s="2">
        <v>768.84</v>
      </c>
      <c r="FA5" s="2">
        <v>776.26</v>
      </c>
      <c r="FB5" s="2">
        <v>781.35</v>
      </c>
      <c r="FC5" s="2">
        <v>795.48</v>
      </c>
      <c r="FD5" s="2">
        <v>797.63</v>
      </c>
      <c r="FE5" s="2">
        <v>801.95</v>
      </c>
      <c r="FF5" s="2">
        <v>801.86</v>
      </c>
      <c r="FG5" s="2">
        <v>803.57</v>
      </c>
      <c r="FH5" s="2">
        <v>804.43</v>
      </c>
      <c r="FI5" s="2">
        <v>806.07</v>
      </c>
      <c r="FJ5" s="2">
        <v>803.65</v>
      </c>
      <c r="FK5" s="2">
        <v>799.21</v>
      </c>
      <c r="FL5" s="2">
        <v>808.53</v>
      </c>
      <c r="FM5" s="2">
        <v>812.67</v>
      </c>
      <c r="FN5" s="2">
        <v>813.87</v>
      </c>
      <c r="FO5" s="2">
        <v>822.37</v>
      </c>
      <c r="FP5" s="2">
        <v>822.2</v>
      </c>
      <c r="FQ5" s="2">
        <v>826.77</v>
      </c>
      <c r="FR5" s="2">
        <v>833.07</v>
      </c>
      <c r="FS5" s="2">
        <v>831.26</v>
      </c>
      <c r="FT5" s="2">
        <v>835.57</v>
      </c>
      <c r="FU5" s="2">
        <v>840.06</v>
      </c>
      <c r="FV5" s="2">
        <v>844.37</v>
      </c>
      <c r="FW5" s="2">
        <v>851.79</v>
      </c>
      <c r="FX5" s="2">
        <v>853.69</v>
      </c>
      <c r="FY5" s="2">
        <v>856.71</v>
      </c>
      <c r="FZ5" s="2">
        <v>860.67</v>
      </c>
      <c r="GA5" s="2">
        <v>871.85</v>
      </c>
      <c r="GB5" s="2">
        <v>878.06</v>
      </c>
      <c r="GC5" s="2">
        <v>885.05</v>
      </c>
      <c r="GD5" s="2">
        <v>894.02</v>
      </c>
      <c r="GE5" s="2">
        <v>889.08</v>
      </c>
      <c r="GF5" s="2">
        <v>896.07</v>
      </c>
      <c r="GG5" s="2">
        <v>890.2</v>
      </c>
      <c r="GH5" s="2">
        <v>894.17</v>
      </c>
      <c r="GI5" s="2">
        <v>900.03</v>
      </c>
      <c r="GJ5" s="2">
        <v>900.55</v>
      </c>
      <c r="GK5" s="2">
        <v>904</v>
      </c>
      <c r="GL5" s="2">
        <v>900.98</v>
      </c>
      <c r="GM5" s="2">
        <v>882.69</v>
      </c>
      <c r="GN5" s="2">
        <v>804.36</v>
      </c>
      <c r="GO5" s="2">
        <v>874.15</v>
      </c>
      <c r="GP5" s="2">
        <v>882.61</v>
      </c>
      <c r="GQ5" s="2">
        <v>877.17</v>
      </c>
      <c r="GR5" s="2">
        <v>897.79</v>
      </c>
      <c r="GS5" s="2">
        <v>898.57</v>
      </c>
      <c r="GT5" s="2">
        <v>903.4</v>
      </c>
      <c r="GU5" s="2">
        <v>909.52</v>
      </c>
      <c r="GV5" s="2">
        <v>910.9</v>
      </c>
      <c r="GW5" s="2">
        <v>913.58</v>
      </c>
      <c r="GX5" s="2">
        <v>910.39</v>
      </c>
      <c r="GY5" s="2">
        <v>906.09</v>
      </c>
      <c r="GZ5" s="2">
        <v>905.4</v>
      </c>
      <c r="HA5" s="2">
        <v>905.4</v>
      </c>
      <c r="HB5" s="2">
        <v>902.9</v>
      </c>
      <c r="HC5" s="2">
        <v>901.93</v>
      </c>
      <c r="HD5" s="2">
        <v>899.6</v>
      </c>
      <c r="HE5" s="2">
        <v>899.78</v>
      </c>
      <c r="HF5" s="2">
        <v>901.41</v>
      </c>
      <c r="HG5" s="2">
        <v>904.18</v>
      </c>
      <c r="HH5" s="2">
        <v>901.67</v>
      </c>
      <c r="HI5" s="3">
        <v>902.03629999999998</v>
      </c>
      <c r="HJ5" s="3">
        <v>902.97990000000004</v>
      </c>
      <c r="HK5" s="3">
        <v>904.64679999999998</v>
      </c>
      <c r="HL5" s="3">
        <v>907.73050000000001</v>
      </c>
      <c r="HM5" s="3">
        <v>911.37779999999998</v>
      </c>
      <c r="HN5" s="3">
        <v>915.76369999999997</v>
      </c>
      <c r="HO5" s="3">
        <v>920.66610000000003</v>
      </c>
      <c r="HP5" s="3">
        <v>926.09559999999999</v>
      </c>
      <c r="HQ5" s="3">
        <v>931.82190000000003</v>
      </c>
      <c r="HR5" s="3">
        <v>937.54290000000003</v>
      </c>
      <c r="HS5" s="3">
        <v>943.16369999999995</v>
      </c>
      <c r="HT5" s="3">
        <v>948.40470000000005</v>
      </c>
      <c r="HU5" s="3">
        <v>953.07650000000001</v>
      </c>
      <c r="HV5" s="3">
        <v>957.28380000000004</v>
      </c>
      <c r="HW5" s="3">
        <v>961.1807</v>
      </c>
      <c r="HX5" s="3">
        <v>964.86490000000003</v>
      </c>
      <c r="HY5" s="3">
        <v>968.44309999999996</v>
      </c>
      <c r="HZ5" s="3">
        <v>971.78660000000002</v>
      </c>
      <c r="IA5" s="3">
        <v>974.86800000000005</v>
      </c>
      <c r="IB5" s="3">
        <v>977.70579999999995</v>
      </c>
      <c r="IC5" s="3">
        <v>980.33860000000004</v>
      </c>
      <c r="ID5" s="3">
        <v>982.72379999999998</v>
      </c>
      <c r="IE5" s="3">
        <v>984.85709999999995</v>
      </c>
      <c r="IF5" s="3">
        <v>986.84529999999995</v>
      </c>
      <c r="IG5" s="3">
        <v>988.64689999999996</v>
      </c>
      <c r="IH5" s="3">
        <v>990.25959999999998</v>
      </c>
      <c r="II5" s="3">
        <v>991.74749999999995</v>
      </c>
      <c r="IJ5" s="3">
        <v>993.15319999999997</v>
      </c>
      <c r="IK5" s="3">
        <v>994.41390000000001</v>
      </c>
      <c r="IL5" s="3">
        <v>995.5951</v>
      </c>
      <c r="IM5" s="3">
        <v>996.78459999999995</v>
      </c>
      <c r="IN5" s="3">
        <v>997.9819</v>
      </c>
      <c r="IO5" s="3">
        <v>999.1866</v>
      </c>
      <c r="IP5" s="3">
        <v>1000.3440000000001</v>
      </c>
      <c r="IQ5" s="3">
        <v>1001.509</v>
      </c>
      <c r="IR5" s="3">
        <v>1002.679</v>
      </c>
      <c r="IS5" s="3">
        <v>1003.801</v>
      </c>
      <c r="IT5" s="3">
        <v>1004.928</v>
      </c>
      <c r="IU5" s="3">
        <v>1006.126</v>
      </c>
      <c r="IV5" s="3">
        <v>1007.533</v>
      </c>
      <c r="IW5" s="3">
        <v>1009.191</v>
      </c>
      <c r="IX5" s="3">
        <v>1011.057</v>
      </c>
      <c r="IY5" s="3">
        <v>1013.008</v>
      </c>
      <c r="IZ5" s="3">
        <v>1014.957</v>
      </c>
      <c r="JA5" s="3">
        <v>1016.9059999999999</v>
      </c>
      <c r="JB5" s="3">
        <v>1018.852</v>
      </c>
      <c r="JC5" s="3">
        <v>1020.899</v>
      </c>
      <c r="JD5" s="3">
        <v>1022.947</v>
      </c>
      <c r="JE5" s="3">
        <v>1024.9949999999999</v>
      </c>
      <c r="JF5" s="3">
        <v>1027.0450000000001</v>
      </c>
      <c r="JG5" s="3">
        <v>1029.0709999999999</v>
      </c>
      <c r="JH5" s="3">
        <v>1031.0999999999999</v>
      </c>
      <c r="JI5" s="3">
        <v>1033.1300000000001</v>
      </c>
      <c r="JJ5" s="3">
        <v>1035.162</v>
      </c>
      <c r="JK5" s="3">
        <v>1037.48</v>
      </c>
      <c r="JL5" s="3">
        <v>1039.752</v>
      </c>
      <c r="JM5" s="3">
        <v>1042.028</v>
      </c>
      <c r="JN5" s="3">
        <v>1044.2360000000001</v>
      </c>
      <c r="JO5" s="3">
        <v>1046.7049999999999</v>
      </c>
      <c r="JP5" s="3">
        <v>1049.181</v>
      </c>
      <c r="JQ5" s="3">
        <v>1051.665</v>
      </c>
      <c r="JR5" s="3">
        <v>1054.1559999999999</v>
      </c>
      <c r="JS5" s="3">
        <v>1056.69</v>
      </c>
      <c r="JT5" s="3">
        <v>1059.232</v>
      </c>
      <c r="JU5" s="3">
        <v>1061.7809999999999</v>
      </c>
      <c r="JV5" s="3">
        <v>1064.3389999999999</v>
      </c>
      <c r="JW5" s="3">
        <v>1066.961</v>
      </c>
      <c r="JX5" s="3">
        <v>1069.5930000000001</v>
      </c>
      <c r="JY5" s="3">
        <v>1072.232</v>
      </c>
      <c r="JZ5" s="3">
        <v>1074.8800000000001</v>
      </c>
      <c r="KA5" s="3">
        <v>1077.454</v>
      </c>
      <c r="KB5" s="3">
        <v>1080.0350000000001</v>
      </c>
      <c r="KC5" s="3">
        <v>1082.624</v>
      </c>
      <c r="KD5" s="3">
        <v>1085.221</v>
      </c>
      <c r="KE5" s="3">
        <v>1087.7460000000001</v>
      </c>
      <c r="KF5" s="3">
        <v>1090.279</v>
      </c>
      <c r="KG5" s="3">
        <v>1092.82</v>
      </c>
      <c r="KH5" s="3">
        <v>1095.367</v>
      </c>
      <c r="KI5" s="3">
        <v>1097.867</v>
      </c>
      <c r="KJ5" s="3">
        <v>1100.373</v>
      </c>
      <c r="KK5" s="3">
        <v>1102.885</v>
      </c>
      <c r="KL5" s="3">
        <v>1105.404</v>
      </c>
      <c r="KM5" s="3">
        <v>1107.8630000000001</v>
      </c>
      <c r="KN5" s="3">
        <v>1110.328</v>
      </c>
      <c r="KO5" s="3">
        <v>1112.8</v>
      </c>
      <c r="KP5" s="3">
        <v>1115.279</v>
      </c>
      <c r="KQ5" s="3">
        <v>1117.579</v>
      </c>
      <c r="KR5" s="3">
        <v>1119.884</v>
      </c>
      <c r="KS5" s="3">
        <v>1122.194</v>
      </c>
      <c r="KT5" s="3">
        <v>1124.4760000000001</v>
      </c>
      <c r="KU5" s="3">
        <v>1126.7619999999999</v>
      </c>
      <c r="KV5" s="3">
        <v>1129.0530000000001</v>
      </c>
      <c r="KW5" s="3">
        <v>1131.3510000000001</v>
      </c>
      <c r="KX5" s="3">
        <v>1133.655</v>
      </c>
      <c r="KY5" s="3">
        <v>1135.903</v>
      </c>
      <c r="KZ5" s="3">
        <v>1138.1569999999999</v>
      </c>
      <c r="LA5" s="3">
        <v>1140.4159999999999</v>
      </c>
      <c r="LB5" s="3">
        <v>1142.68</v>
      </c>
      <c r="LC5" s="3">
        <v>1144.9870000000001</v>
      </c>
      <c r="LD5" s="3">
        <v>1147.3</v>
      </c>
      <c r="LE5" s="3">
        <v>1149.6189999999999</v>
      </c>
      <c r="LF5" s="3">
        <v>1151.943</v>
      </c>
      <c r="LG5" s="3">
        <v>1154.2529999999999</v>
      </c>
      <c r="LH5" s="3">
        <v>1156.567</v>
      </c>
      <c r="LI5" s="3">
        <v>1158.884</v>
      </c>
      <c r="LJ5" s="3">
        <v>1161.125</v>
      </c>
      <c r="LK5" s="3">
        <v>1163.326</v>
      </c>
      <c r="LL5" s="3">
        <v>1165.529</v>
      </c>
      <c r="LM5" s="3">
        <v>1167.7349999999999</v>
      </c>
      <c r="LN5" s="3">
        <v>1169.944</v>
      </c>
      <c r="LO5" s="3">
        <v>1172.027</v>
      </c>
      <c r="LP5" s="3">
        <v>1174.1120000000001</v>
      </c>
      <c r="LQ5" s="3">
        <v>1176.1969999999999</v>
      </c>
      <c r="LR5" s="3">
        <v>1178.2819999999999</v>
      </c>
      <c r="LS5" s="3">
        <v>1180.2919999999999</v>
      </c>
      <c r="LT5" s="3">
        <v>1182.3019999999999</v>
      </c>
      <c r="LU5" s="3">
        <v>1184.3130000000001</v>
      </c>
      <c r="LV5" s="3">
        <v>1186.3219999999999</v>
      </c>
      <c r="LW5" s="3">
        <v>1188.242</v>
      </c>
      <c r="LX5" s="3">
        <v>1190.1600000000001</v>
      </c>
      <c r="LY5" s="3">
        <v>1192.077</v>
      </c>
      <c r="LZ5" s="3">
        <v>1193.9929999999999</v>
      </c>
      <c r="MA5" s="3">
        <v>1196.0050000000001</v>
      </c>
      <c r="MB5" s="3">
        <v>1198.018</v>
      </c>
      <c r="MC5" s="3">
        <v>1200.0319999999999</v>
      </c>
      <c r="MD5" s="3">
        <v>1202.048</v>
      </c>
      <c r="ME5" s="3">
        <v>1204.0129999999999</v>
      </c>
      <c r="MF5" s="3">
        <v>1205.98</v>
      </c>
      <c r="MG5" s="3">
        <v>1207.9490000000001</v>
      </c>
      <c r="MH5" s="3">
        <v>1209.92</v>
      </c>
      <c r="MI5" s="3">
        <v>1212.2180000000001</v>
      </c>
      <c r="MJ5" s="3">
        <v>1214.521</v>
      </c>
      <c r="MK5" s="3">
        <v>1216.83</v>
      </c>
      <c r="ML5" s="3">
        <v>1219.143</v>
      </c>
      <c r="MM5" s="3">
        <v>1221.5530000000001</v>
      </c>
      <c r="MN5" s="3">
        <v>1223.9690000000001</v>
      </c>
      <c r="MO5" s="3">
        <v>1226.3900000000001</v>
      </c>
      <c r="MP5" s="3">
        <v>1228.818</v>
      </c>
      <c r="MQ5" s="3">
        <v>1231.307</v>
      </c>
      <c r="MR5" s="3">
        <v>1233.8030000000001</v>
      </c>
      <c r="MS5" s="3">
        <v>1236.3050000000001</v>
      </c>
      <c r="MT5" s="3">
        <v>1238.8140000000001</v>
      </c>
      <c r="MU5" t="s">
        <v>398</v>
      </c>
      <c r="MV5" t="b">
        <v>1</v>
      </c>
      <c r="MW5" s="1" t="s">
        <v>399</v>
      </c>
      <c r="MX5" t="s">
        <v>377</v>
      </c>
      <c r="MY5">
        <v>2025</v>
      </c>
      <c r="MZ5">
        <v>2</v>
      </c>
      <c r="NA5" t="s">
        <v>377</v>
      </c>
      <c r="NB5" t="s">
        <v>400</v>
      </c>
      <c r="NC5" s="1" t="s">
        <v>401</v>
      </c>
      <c r="ND5" t="s">
        <v>402</v>
      </c>
      <c r="NE5" t="s">
        <v>381</v>
      </c>
      <c r="NF5" s="1" t="s">
        <v>872</v>
      </c>
    </row>
    <row r="6" spans="1:370" x14ac:dyDescent="0.25">
      <c r="A6" t="s">
        <v>403</v>
      </c>
      <c r="B6" t="s">
        <v>371</v>
      </c>
      <c r="C6" s="1" t="s">
        <v>871</v>
      </c>
      <c r="D6" t="s">
        <v>397</v>
      </c>
      <c r="E6" t="s">
        <v>384</v>
      </c>
      <c r="F6" t="s">
        <v>374</v>
      </c>
      <c r="G6" s="2">
        <v>244.37899999999999</v>
      </c>
      <c r="H6" s="2">
        <v>247.94900000000001</v>
      </c>
      <c r="I6" s="2">
        <v>251.887</v>
      </c>
      <c r="J6" s="2">
        <v>254.935</v>
      </c>
      <c r="K6" s="2">
        <v>259.11799999999999</v>
      </c>
      <c r="L6" s="2">
        <v>260.94600000000003</v>
      </c>
      <c r="M6" s="2">
        <v>263.84100000000001</v>
      </c>
      <c r="N6" s="2">
        <v>259.13400000000001</v>
      </c>
      <c r="O6" s="2">
        <v>257.13400000000001</v>
      </c>
      <c r="P6" s="2">
        <v>257.05099999999999</v>
      </c>
      <c r="Q6" s="2">
        <v>256.88299999999998</v>
      </c>
      <c r="R6" s="2">
        <v>262.37599999999998</v>
      </c>
      <c r="S6" s="2">
        <v>264.851</v>
      </c>
      <c r="T6" s="2">
        <v>268.47199999999998</v>
      </c>
      <c r="U6" s="2">
        <v>271.536</v>
      </c>
      <c r="V6" s="2">
        <v>273.45299999999997</v>
      </c>
      <c r="W6" s="2">
        <v>276.54700000000003</v>
      </c>
      <c r="X6" s="2">
        <v>277.65499999999997</v>
      </c>
      <c r="Y6" s="2">
        <v>279.92700000000002</v>
      </c>
      <c r="Z6" s="2">
        <v>282.16000000000003</v>
      </c>
      <c r="AA6" s="2">
        <v>286.06200000000001</v>
      </c>
      <c r="AB6" s="2">
        <v>289.17899999999997</v>
      </c>
      <c r="AC6" s="2">
        <v>290.97899999999998</v>
      </c>
      <c r="AD6" s="2">
        <v>294.29399999999998</v>
      </c>
      <c r="AE6" s="2">
        <v>297.55200000000002</v>
      </c>
      <c r="AF6" s="2">
        <v>299.07100000000003</v>
      </c>
      <c r="AG6" s="2">
        <v>302.92</v>
      </c>
      <c r="AH6" s="2">
        <v>303.971</v>
      </c>
      <c r="AI6" s="2">
        <v>307.57400000000001</v>
      </c>
      <c r="AJ6" s="2">
        <v>305.096</v>
      </c>
      <c r="AK6" s="2">
        <v>305.55700000000002</v>
      </c>
      <c r="AL6" s="2">
        <v>305.08</v>
      </c>
      <c r="AM6" s="2">
        <v>306.214</v>
      </c>
      <c r="AN6" s="2">
        <v>308.52999999999997</v>
      </c>
      <c r="AO6" s="2">
        <v>310.60199999999998</v>
      </c>
      <c r="AP6" s="2">
        <v>312.47399999999999</v>
      </c>
      <c r="AQ6" s="2">
        <v>314.83800000000002</v>
      </c>
      <c r="AR6" s="2">
        <v>317.06900000000002</v>
      </c>
      <c r="AS6" s="2">
        <v>316.88499999999999</v>
      </c>
      <c r="AT6" s="2">
        <v>318.78199999999998</v>
      </c>
      <c r="AU6" s="2">
        <v>320.00700000000001</v>
      </c>
      <c r="AV6" s="2">
        <v>320.18200000000002</v>
      </c>
      <c r="AW6" s="2">
        <v>320.69600000000003</v>
      </c>
      <c r="AX6" s="2">
        <v>322.69200000000001</v>
      </c>
      <c r="AY6" s="2">
        <v>324.12900000000002</v>
      </c>
      <c r="AZ6" s="2">
        <v>325.67200000000003</v>
      </c>
      <c r="BA6" s="2">
        <v>327.77699999999999</v>
      </c>
      <c r="BB6" s="2">
        <v>327.47500000000002</v>
      </c>
      <c r="BC6" s="2">
        <v>328.29599999999999</v>
      </c>
      <c r="BD6" s="2">
        <v>331.02699999999999</v>
      </c>
      <c r="BE6" s="2">
        <v>332.92099999999999</v>
      </c>
      <c r="BF6" s="2">
        <v>334.60199999999998</v>
      </c>
      <c r="BG6" s="2">
        <v>335.63600000000002</v>
      </c>
      <c r="BH6" s="2">
        <v>339.31799999999998</v>
      </c>
      <c r="BI6" s="2">
        <v>341.16</v>
      </c>
      <c r="BJ6" s="2">
        <v>341.58600000000001</v>
      </c>
      <c r="BK6" s="2">
        <v>341.86700000000002</v>
      </c>
      <c r="BL6" s="2">
        <v>346.95699999999999</v>
      </c>
      <c r="BM6" s="2">
        <v>349.29</v>
      </c>
      <c r="BN6" s="2">
        <v>354.44200000000001</v>
      </c>
      <c r="BO6" s="2">
        <v>358.99299999999999</v>
      </c>
      <c r="BP6" s="2">
        <v>362.13499999999999</v>
      </c>
      <c r="BQ6" s="2">
        <v>366.71800000000002</v>
      </c>
      <c r="BR6" s="2">
        <v>369.74299999999999</v>
      </c>
      <c r="BS6" s="2">
        <v>374.55200000000002</v>
      </c>
      <c r="BT6" s="2">
        <v>378.73099999999999</v>
      </c>
      <c r="BU6" s="2">
        <v>382.99799999999999</v>
      </c>
      <c r="BV6" s="2">
        <v>388.13499999999999</v>
      </c>
      <c r="BW6" s="2">
        <v>388.95600000000002</v>
      </c>
      <c r="BX6" s="2">
        <v>391.04599999999999</v>
      </c>
      <c r="BY6" s="2">
        <v>393.58699999999999</v>
      </c>
      <c r="BZ6" s="2">
        <v>393.39800000000002</v>
      </c>
      <c r="CA6" s="2">
        <v>394.43299999999999</v>
      </c>
      <c r="CB6" s="2">
        <v>395.89</v>
      </c>
      <c r="CC6" s="2">
        <v>397.495</v>
      </c>
      <c r="CD6" s="2">
        <v>399.41300000000001</v>
      </c>
      <c r="CE6" s="2">
        <v>402.27</v>
      </c>
      <c r="CF6" s="2">
        <v>402.721</v>
      </c>
      <c r="CG6" s="2">
        <v>402.25799999999998</v>
      </c>
      <c r="CH6" s="2">
        <v>402.334</v>
      </c>
      <c r="CI6" s="2">
        <v>400.161</v>
      </c>
      <c r="CJ6" s="2">
        <v>400.18</v>
      </c>
      <c r="CK6" s="2">
        <v>400.67</v>
      </c>
      <c r="CL6" s="2">
        <v>401.72399999999999</v>
      </c>
      <c r="CM6" s="2">
        <v>404.45100000000002</v>
      </c>
      <c r="CN6" s="2">
        <v>408.50900000000001</v>
      </c>
      <c r="CO6" s="2">
        <v>412.19900000000001</v>
      </c>
      <c r="CP6" s="2">
        <v>416.08499999999998</v>
      </c>
      <c r="CQ6" s="2">
        <v>418.05099999999999</v>
      </c>
      <c r="CR6" s="2">
        <v>420.79199999999997</v>
      </c>
      <c r="CS6" s="2">
        <v>421.44900000000001</v>
      </c>
      <c r="CT6" s="2">
        <v>421.28300000000002</v>
      </c>
      <c r="CU6" s="2">
        <v>424.21100000000001</v>
      </c>
      <c r="CV6" s="2">
        <v>425.029</v>
      </c>
      <c r="CW6" s="2">
        <v>426.67</v>
      </c>
      <c r="CX6" s="2">
        <v>428.31099999999998</v>
      </c>
      <c r="CY6" s="2">
        <v>430.14</v>
      </c>
      <c r="CZ6" s="2">
        <v>434.654</v>
      </c>
      <c r="DA6" s="2">
        <v>438.976</v>
      </c>
      <c r="DB6" s="2">
        <v>443.31400000000002</v>
      </c>
      <c r="DC6" s="2">
        <v>447.56400000000002</v>
      </c>
      <c r="DD6" s="2">
        <v>450.76900000000001</v>
      </c>
      <c r="DE6" s="2">
        <v>453.1</v>
      </c>
      <c r="DF6" s="2">
        <v>456.20600000000002</v>
      </c>
      <c r="DG6" s="2">
        <v>459.34500000000003</v>
      </c>
      <c r="DH6" s="2">
        <v>462.32400000000001</v>
      </c>
      <c r="DI6" s="2">
        <v>469.13400000000001</v>
      </c>
      <c r="DJ6" s="2">
        <v>475.77800000000002</v>
      </c>
      <c r="DK6" s="2">
        <v>480.38099999999997</v>
      </c>
      <c r="DL6" s="2">
        <v>485.75099999999998</v>
      </c>
      <c r="DM6" s="2">
        <v>489.48700000000002</v>
      </c>
      <c r="DN6" s="2">
        <v>492.46300000000002</v>
      </c>
      <c r="DO6" s="2">
        <v>495.03699999999998</v>
      </c>
      <c r="DP6" s="2">
        <v>495.15699999999998</v>
      </c>
      <c r="DQ6" s="2">
        <v>497.976</v>
      </c>
      <c r="DR6" s="2">
        <v>495.81200000000001</v>
      </c>
      <c r="DS6" s="2">
        <v>498.673</v>
      </c>
      <c r="DT6" s="2">
        <v>501.00400000000002</v>
      </c>
      <c r="DU6" s="2">
        <v>503.07100000000003</v>
      </c>
      <c r="DV6" s="2">
        <v>503.50700000000001</v>
      </c>
      <c r="DW6" s="2">
        <v>505.07100000000003</v>
      </c>
      <c r="DX6" s="2">
        <v>502.81700000000001</v>
      </c>
      <c r="DY6" s="2">
        <v>508.23599999999999</v>
      </c>
      <c r="DZ6" s="2">
        <v>510.00799999999998</v>
      </c>
      <c r="EA6" s="2">
        <v>515.56200000000001</v>
      </c>
      <c r="EB6" s="2">
        <v>517.822</v>
      </c>
      <c r="EC6" s="2">
        <v>519.63199999999995</v>
      </c>
      <c r="ED6" s="2">
        <v>524.25599999999997</v>
      </c>
      <c r="EE6" s="2">
        <v>525.85199999999998</v>
      </c>
      <c r="EF6" s="2">
        <v>527.01800000000003</v>
      </c>
      <c r="EG6" s="2">
        <v>530.97799999999995</v>
      </c>
      <c r="EH6" s="2">
        <v>534.65</v>
      </c>
      <c r="EI6" s="2">
        <v>539.351</v>
      </c>
      <c r="EJ6" s="2">
        <v>545.83100000000002</v>
      </c>
      <c r="EK6" s="2">
        <v>546.20399999999995</v>
      </c>
      <c r="EL6" s="2">
        <v>549.18799999999999</v>
      </c>
      <c r="EM6" s="2">
        <v>554.92600000000004</v>
      </c>
      <c r="EN6" s="2">
        <v>558.57399999999996</v>
      </c>
      <c r="EO6" s="2">
        <v>560.33299999999997</v>
      </c>
      <c r="EP6" s="2">
        <v>560.92499999999995</v>
      </c>
      <c r="EQ6" s="2">
        <v>565.77599999999995</v>
      </c>
      <c r="ER6" s="2">
        <v>561.56200000000001</v>
      </c>
      <c r="ES6" s="2">
        <v>560.19500000000005</v>
      </c>
      <c r="ET6" s="2">
        <v>553.08699999999999</v>
      </c>
      <c r="EU6" s="2">
        <v>542.55999999999995</v>
      </c>
      <c r="EV6" s="2">
        <v>543.51700000000005</v>
      </c>
      <c r="EW6" s="2">
        <v>544.74099999999999</v>
      </c>
      <c r="EX6" s="2">
        <v>548.61800000000005</v>
      </c>
      <c r="EY6" s="2">
        <v>550.29999999999995</v>
      </c>
      <c r="EZ6" s="2">
        <v>552.87099999999998</v>
      </c>
      <c r="FA6" s="2">
        <v>556.49199999999996</v>
      </c>
      <c r="FB6" s="2">
        <v>559.83699999999999</v>
      </c>
      <c r="FC6" s="2">
        <v>567.20100000000002</v>
      </c>
      <c r="FD6" s="2">
        <v>567.28599999999994</v>
      </c>
      <c r="FE6" s="2">
        <v>569.07000000000005</v>
      </c>
      <c r="FF6" s="2">
        <v>571.07399999999996</v>
      </c>
      <c r="FG6" s="2">
        <v>570.803</v>
      </c>
      <c r="FH6" s="2">
        <v>568.56100000000004</v>
      </c>
      <c r="FI6" s="2">
        <v>570.27499999999998</v>
      </c>
      <c r="FJ6" s="2">
        <v>570.21400000000006</v>
      </c>
      <c r="FK6" s="2">
        <v>571.28200000000004</v>
      </c>
      <c r="FL6" s="2">
        <v>576.30100000000004</v>
      </c>
      <c r="FM6" s="2">
        <v>574.92999999999995</v>
      </c>
      <c r="FN6" s="2">
        <v>578.43799999999999</v>
      </c>
      <c r="FO6" s="2">
        <v>578.45799999999997</v>
      </c>
      <c r="FP6" s="2">
        <v>579.90899999999999</v>
      </c>
      <c r="FQ6" s="2">
        <v>583.60400000000004</v>
      </c>
      <c r="FR6" s="2">
        <v>582.01099999999997</v>
      </c>
      <c r="FS6" s="2">
        <v>585.375</v>
      </c>
      <c r="FT6" s="2">
        <v>585.78599999999994</v>
      </c>
      <c r="FU6" s="2">
        <v>587.28599999999994</v>
      </c>
      <c r="FV6" s="2">
        <v>588.71799999999996</v>
      </c>
      <c r="FW6" s="2">
        <v>590.553</v>
      </c>
      <c r="FX6" s="2">
        <v>589.52</v>
      </c>
      <c r="FY6" s="2">
        <v>590.30200000000002</v>
      </c>
      <c r="FZ6" s="2">
        <v>594.03499999999997</v>
      </c>
      <c r="GA6" s="2">
        <v>598.01400000000001</v>
      </c>
      <c r="GB6" s="2">
        <v>602.59</v>
      </c>
      <c r="GC6" s="2">
        <v>606.88699999999994</v>
      </c>
      <c r="GD6" s="2">
        <v>610.54300000000001</v>
      </c>
      <c r="GE6" s="2">
        <v>610.30700000000002</v>
      </c>
      <c r="GF6" s="2">
        <v>611.91999999999996</v>
      </c>
      <c r="GG6" s="2">
        <v>614.846</v>
      </c>
      <c r="GH6" s="2">
        <v>619.48699999999997</v>
      </c>
      <c r="GI6" s="2">
        <v>625.19100000000003</v>
      </c>
      <c r="GJ6" s="2">
        <v>628.63400000000001</v>
      </c>
      <c r="GK6" s="2">
        <v>628.58199999999999</v>
      </c>
      <c r="GL6" s="2">
        <v>625.50800000000004</v>
      </c>
      <c r="GM6" s="2">
        <v>593.75699999999995</v>
      </c>
      <c r="GN6" s="2">
        <v>521.351</v>
      </c>
      <c r="GO6" s="2">
        <v>601.40599999999995</v>
      </c>
      <c r="GP6" s="2">
        <v>600.71500000000003</v>
      </c>
      <c r="GQ6" s="2">
        <v>603.16200000000003</v>
      </c>
      <c r="GR6" s="2">
        <v>610.51</v>
      </c>
      <c r="GS6" s="2">
        <v>628.72199999999998</v>
      </c>
      <c r="GT6" s="2">
        <v>632.25900000000001</v>
      </c>
      <c r="GU6" s="2">
        <v>631.69600000000003</v>
      </c>
      <c r="GV6" s="2">
        <v>634.423</v>
      </c>
      <c r="GW6" s="2">
        <v>637.70000000000005</v>
      </c>
      <c r="GX6" s="2">
        <v>640.14700000000005</v>
      </c>
      <c r="GY6" s="2">
        <v>640.54499999999996</v>
      </c>
      <c r="GZ6" s="2">
        <v>646.22199999999998</v>
      </c>
      <c r="HA6" s="2">
        <v>647.78300000000002</v>
      </c>
      <c r="HB6" s="2">
        <v>650.61</v>
      </c>
      <c r="HC6" s="2">
        <v>651.40499999999997</v>
      </c>
      <c r="HD6" s="2">
        <v>652.61699999999996</v>
      </c>
      <c r="HE6" s="2">
        <v>655.01499999999999</v>
      </c>
      <c r="HF6" s="2">
        <v>654.62099999999998</v>
      </c>
      <c r="HG6" s="2">
        <v>655.37300000000005</v>
      </c>
      <c r="HH6" s="2">
        <v>657.57</v>
      </c>
      <c r="HI6" s="3">
        <v>657.8</v>
      </c>
      <c r="HJ6" s="3">
        <v>658.52</v>
      </c>
      <c r="HK6" s="3">
        <v>659.6</v>
      </c>
      <c r="HL6" s="3">
        <v>660.71</v>
      </c>
      <c r="HM6" s="3">
        <v>662.22</v>
      </c>
      <c r="HN6" s="3">
        <v>664.17</v>
      </c>
      <c r="HO6" s="3">
        <v>666.37</v>
      </c>
      <c r="HP6" s="3">
        <v>668.74</v>
      </c>
      <c r="HQ6" s="3">
        <v>671.38</v>
      </c>
      <c r="HR6" s="3">
        <v>673.84</v>
      </c>
      <c r="HS6" s="3">
        <v>676.43</v>
      </c>
      <c r="HT6" s="3">
        <v>679.06</v>
      </c>
      <c r="HU6" s="3">
        <v>681.85</v>
      </c>
      <c r="HV6" s="3">
        <v>684.64</v>
      </c>
      <c r="HW6" s="3">
        <v>687.36</v>
      </c>
      <c r="HX6" s="3">
        <v>690.06</v>
      </c>
      <c r="HY6" s="3">
        <v>692.75</v>
      </c>
      <c r="HZ6" s="3">
        <v>695.31</v>
      </c>
      <c r="IA6" s="3">
        <v>697.82</v>
      </c>
      <c r="IB6" s="3">
        <v>700.05</v>
      </c>
      <c r="IC6" s="3">
        <v>702.29</v>
      </c>
      <c r="ID6" s="3">
        <v>704.44</v>
      </c>
      <c r="IE6" s="3">
        <v>706.66</v>
      </c>
      <c r="IF6" s="3">
        <v>708.68</v>
      </c>
      <c r="IG6" s="3">
        <v>710.44</v>
      </c>
      <c r="IH6" s="3">
        <v>711.77</v>
      </c>
      <c r="II6" s="3">
        <v>713.32</v>
      </c>
      <c r="IJ6" s="3">
        <v>714.71</v>
      </c>
      <c r="IK6" s="3">
        <v>716.1</v>
      </c>
      <c r="IL6" s="3">
        <v>717.46</v>
      </c>
      <c r="IM6" s="3">
        <v>718.57</v>
      </c>
      <c r="IN6" s="3">
        <v>719.83</v>
      </c>
      <c r="IO6" s="3">
        <v>721.01</v>
      </c>
      <c r="IP6" s="3">
        <v>722.39</v>
      </c>
      <c r="IQ6" s="3">
        <v>723.77</v>
      </c>
      <c r="IR6" s="3">
        <v>725.22</v>
      </c>
      <c r="IS6" s="3">
        <v>726.64</v>
      </c>
      <c r="IT6" s="3">
        <v>727.83</v>
      </c>
      <c r="IU6" s="3">
        <v>729.3</v>
      </c>
      <c r="IV6" s="3">
        <v>730.69</v>
      </c>
      <c r="IW6" s="3">
        <v>731.9</v>
      </c>
      <c r="IX6" s="3">
        <v>733.03800000000001</v>
      </c>
      <c r="IY6" s="3">
        <v>734.38229999999999</v>
      </c>
      <c r="IZ6" s="3">
        <v>735.68489999999997</v>
      </c>
      <c r="JA6" s="3">
        <v>737.06129999999996</v>
      </c>
      <c r="JB6" s="3">
        <v>738.24620000000004</v>
      </c>
      <c r="JC6" s="3">
        <v>739.54679999999996</v>
      </c>
      <c r="JD6" s="3">
        <v>740.71529999999996</v>
      </c>
      <c r="JE6" s="3">
        <v>742.07479999999998</v>
      </c>
      <c r="JF6" s="3">
        <v>743.25900000000001</v>
      </c>
      <c r="JG6" s="3">
        <v>744.38570000000004</v>
      </c>
      <c r="JH6" s="3">
        <v>745.28880000000004</v>
      </c>
      <c r="JI6" s="3">
        <v>746.20320000000004</v>
      </c>
      <c r="JJ6" s="3">
        <v>747.04579999999999</v>
      </c>
      <c r="JK6" s="3">
        <v>748.08969999999999</v>
      </c>
      <c r="JL6" s="3">
        <v>749.07569999999998</v>
      </c>
      <c r="JM6" s="3">
        <v>750.16700000000003</v>
      </c>
      <c r="JN6" s="3">
        <v>751.23860000000002</v>
      </c>
      <c r="JO6" s="3">
        <v>752.15539999999999</v>
      </c>
      <c r="JP6" s="3">
        <v>753.13239999999996</v>
      </c>
      <c r="JQ6" s="3">
        <v>753.95830000000001</v>
      </c>
      <c r="JR6" s="3">
        <v>754.95249999999999</v>
      </c>
      <c r="JS6" s="3">
        <v>755.86300000000006</v>
      </c>
      <c r="JT6" s="3">
        <v>756.84969999999998</v>
      </c>
      <c r="JU6" s="3">
        <v>757.75310000000002</v>
      </c>
      <c r="JV6" s="3">
        <v>758.77940000000001</v>
      </c>
      <c r="JW6" s="3">
        <v>759.81230000000005</v>
      </c>
      <c r="JX6" s="3">
        <v>760.91520000000003</v>
      </c>
      <c r="JY6" s="3">
        <v>761.86670000000004</v>
      </c>
      <c r="JZ6" s="3">
        <v>763.05650000000003</v>
      </c>
      <c r="KA6" s="3">
        <v>764.01</v>
      </c>
      <c r="KB6" s="3">
        <v>765.12120000000004</v>
      </c>
      <c r="KC6" s="3">
        <v>766.22029999999995</v>
      </c>
      <c r="KD6" s="3">
        <v>767.29719999999998</v>
      </c>
      <c r="KE6" s="3">
        <v>768.28229999999996</v>
      </c>
      <c r="KF6" s="3">
        <v>769.16470000000004</v>
      </c>
      <c r="KG6" s="3">
        <v>770.16049999999996</v>
      </c>
      <c r="KH6" s="3">
        <v>771.2364</v>
      </c>
      <c r="KI6" s="3">
        <v>772.04589999999996</v>
      </c>
      <c r="KJ6" s="3">
        <v>773.01170000000002</v>
      </c>
      <c r="KK6" s="3">
        <v>773.95719999999994</v>
      </c>
      <c r="KL6" s="3">
        <v>774.8</v>
      </c>
      <c r="KM6" s="3">
        <v>775.74260000000004</v>
      </c>
      <c r="KN6" s="3">
        <v>776.59500000000003</v>
      </c>
      <c r="KO6" s="3">
        <v>777.33349999999996</v>
      </c>
      <c r="KP6" s="3">
        <v>778.20119999999997</v>
      </c>
      <c r="KQ6" s="3">
        <v>778.90200000000004</v>
      </c>
      <c r="KR6" s="3">
        <v>779.59839999999997</v>
      </c>
      <c r="KS6" s="3">
        <v>780.24609999999996</v>
      </c>
      <c r="KT6" s="3">
        <v>780.82240000000002</v>
      </c>
      <c r="KU6" s="3">
        <v>781.59410000000003</v>
      </c>
      <c r="KV6" s="3">
        <v>782.25429999999994</v>
      </c>
      <c r="KW6" s="3">
        <v>782.76649999999995</v>
      </c>
      <c r="KX6" s="3">
        <v>783.44719999999995</v>
      </c>
      <c r="KY6" s="3">
        <v>784.12660000000005</v>
      </c>
      <c r="KZ6" s="3">
        <v>784.798</v>
      </c>
      <c r="LA6" s="3">
        <v>785.45830000000001</v>
      </c>
      <c r="LB6" s="3">
        <v>785.99710000000005</v>
      </c>
      <c r="LC6" s="3">
        <v>786.77120000000002</v>
      </c>
      <c r="LD6" s="3">
        <v>787.59339999999997</v>
      </c>
      <c r="LE6" s="3">
        <v>788.30790000000002</v>
      </c>
      <c r="LF6" s="3">
        <v>788.9588</v>
      </c>
      <c r="LG6" s="3">
        <v>789.67529999999999</v>
      </c>
      <c r="LH6" s="3">
        <v>790.39890000000003</v>
      </c>
      <c r="LI6" s="3">
        <v>791.10159999999996</v>
      </c>
      <c r="LJ6" s="3">
        <v>791.69500000000005</v>
      </c>
      <c r="LK6" s="3">
        <v>792.37900000000002</v>
      </c>
      <c r="LL6" s="3">
        <v>793.01969999999994</v>
      </c>
      <c r="LM6" s="3">
        <v>793.62159999999994</v>
      </c>
      <c r="LN6" s="3">
        <v>794.15150000000006</v>
      </c>
      <c r="LO6" s="3">
        <v>794.76679999999999</v>
      </c>
      <c r="LP6" s="3">
        <v>795.38890000000004</v>
      </c>
      <c r="LQ6" s="3">
        <v>795.97029999999995</v>
      </c>
      <c r="LR6" s="3">
        <v>796.55110000000002</v>
      </c>
      <c r="LS6" s="3">
        <v>797.06380000000001</v>
      </c>
      <c r="LT6" s="3">
        <v>797.7346</v>
      </c>
      <c r="LU6" s="3">
        <v>798.27689999999996</v>
      </c>
      <c r="LV6" s="3">
        <v>798.86339999999996</v>
      </c>
      <c r="LW6" s="3">
        <v>799.36009999999999</v>
      </c>
      <c r="LX6" s="3">
        <v>799.92290000000003</v>
      </c>
      <c r="LY6" s="3">
        <v>800.47479999999996</v>
      </c>
      <c r="LZ6" s="3">
        <v>800.93809999999996</v>
      </c>
      <c r="MA6" s="3">
        <v>801.49099999999999</v>
      </c>
      <c r="MB6" s="3">
        <v>802.05399999999997</v>
      </c>
      <c r="MC6" s="3">
        <v>802.59389999999996</v>
      </c>
      <c r="MD6" s="3">
        <v>803.05790000000002</v>
      </c>
      <c r="ME6" s="3">
        <v>803.55</v>
      </c>
      <c r="MF6" s="3">
        <v>804.04939999999999</v>
      </c>
      <c r="MG6" s="3">
        <v>804.46950000000004</v>
      </c>
      <c r="MH6" s="3">
        <v>804.95680000000004</v>
      </c>
      <c r="MI6" s="3">
        <v>805.51990000000001</v>
      </c>
      <c r="MJ6" s="3">
        <v>805.94420000000002</v>
      </c>
      <c r="MK6" s="3">
        <v>806.4751</v>
      </c>
      <c r="ML6" s="3">
        <v>806.88760000000002</v>
      </c>
      <c r="MM6" s="3">
        <v>807.42190000000005</v>
      </c>
      <c r="MN6" s="3">
        <v>807.82320000000004</v>
      </c>
      <c r="MO6" s="3">
        <v>808.33879999999999</v>
      </c>
      <c r="MP6" s="3">
        <v>808.83339999999998</v>
      </c>
      <c r="MQ6" s="3">
        <v>809.30100000000004</v>
      </c>
      <c r="MR6" s="3">
        <v>809.88390000000004</v>
      </c>
      <c r="MS6" s="3">
        <v>810.43730000000005</v>
      </c>
      <c r="MT6" s="3">
        <v>810.90390000000002</v>
      </c>
      <c r="MU6" t="s">
        <v>404</v>
      </c>
      <c r="MV6" t="b">
        <v>1</v>
      </c>
      <c r="MW6" s="1" t="s">
        <v>399</v>
      </c>
      <c r="MX6" t="s">
        <v>377</v>
      </c>
      <c r="MY6">
        <v>2025</v>
      </c>
      <c r="MZ6">
        <v>2</v>
      </c>
      <c r="NA6" t="s">
        <v>377</v>
      </c>
      <c r="NB6" s="1" t="s">
        <v>405</v>
      </c>
      <c r="NC6" s="1" t="s">
        <v>406</v>
      </c>
      <c r="ND6" t="s">
        <v>407</v>
      </c>
      <c r="NE6" t="s">
        <v>381</v>
      </c>
      <c r="NF6" s="1" t="s">
        <v>872</v>
      </c>
    </row>
    <row r="7" spans="1:370" x14ac:dyDescent="0.25">
      <c r="A7" t="s">
        <v>408</v>
      </c>
      <c r="B7" t="s">
        <v>371</v>
      </c>
      <c r="C7" s="1" t="s">
        <v>871</v>
      </c>
      <c r="D7" t="s">
        <v>397</v>
      </c>
      <c r="E7" t="s">
        <v>384</v>
      </c>
      <c r="F7" t="s">
        <v>374</v>
      </c>
      <c r="G7" s="2">
        <v>223.02869999999999</v>
      </c>
      <c r="H7" s="2">
        <v>229.71039999999999</v>
      </c>
      <c r="I7" s="2">
        <v>237.02080000000001</v>
      </c>
      <c r="J7" s="2">
        <v>242.81</v>
      </c>
      <c r="K7" s="2">
        <v>244.77850000000001</v>
      </c>
      <c r="L7" s="2">
        <v>247.1172</v>
      </c>
      <c r="M7" s="2">
        <v>247.5283</v>
      </c>
      <c r="N7" s="2">
        <v>242.35429999999999</v>
      </c>
      <c r="O7" s="2">
        <v>238.1379</v>
      </c>
      <c r="P7" s="2">
        <v>238.0164</v>
      </c>
      <c r="Q7" s="2">
        <v>241.39830000000001</v>
      </c>
      <c r="R7" s="2">
        <v>244.1035</v>
      </c>
      <c r="S7" s="2">
        <v>248.40379999999999</v>
      </c>
      <c r="T7" s="2">
        <v>252.89420000000001</v>
      </c>
      <c r="U7" s="2">
        <v>259.32069999999999</v>
      </c>
      <c r="V7" s="2">
        <v>263.81970000000001</v>
      </c>
      <c r="W7" s="2">
        <v>263.92410000000001</v>
      </c>
      <c r="X7" s="2">
        <v>262.45429999999999</v>
      </c>
      <c r="Y7" s="2">
        <v>259.9991</v>
      </c>
      <c r="Z7" s="2">
        <v>262.22629999999998</v>
      </c>
      <c r="AA7" s="2">
        <v>266.51299999999998</v>
      </c>
      <c r="AB7" s="2">
        <v>271.12329999999997</v>
      </c>
      <c r="AC7" s="2">
        <v>272.5487</v>
      </c>
      <c r="AD7" s="2">
        <v>276.70170000000002</v>
      </c>
      <c r="AE7" s="2">
        <v>281.07389999999998</v>
      </c>
      <c r="AF7" s="2">
        <v>283.11779999999999</v>
      </c>
      <c r="AG7" s="2">
        <v>288.01780000000002</v>
      </c>
      <c r="AH7" s="2">
        <v>294.7971</v>
      </c>
      <c r="AI7" s="2">
        <v>294.26940000000002</v>
      </c>
      <c r="AJ7" s="2">
        <v>296.5532</v>
      </c>
      <c r="AK7" s="2">
        <v>296.80169999999998</v>
      </c>
      <c r="AL7" s="2">
        <v>299.3304</v>
      </c>
      <c r="AM7" s="2">
        <v>298.35899999999998</v>
      </c>
      <c r="AN7" s="2">
        <v>298.94099999999997</v>
      </c>
      <c r="AO7" s="2">
        <v>299.08</v>
      </c>
      <c r="AP7" s="2">
        <v>301.50700000000001</v>
      </c>
      <c r="AQ7" s="2">
        <v>301.387</v>
      </c>
      <c r="AR7" s="2">
        <v>300.53100000000001</v>
      </c>
      <c r="AS7" s="2">
        <v>300.37</v>
      </c>
      <c r="AT7" s="2">
        <v>299.495</v>
      </c>
      <c r="AU7" s="2">
        <v>300.334</v>
      </c>
      <c r="AV7" s="2">
        <v>299.97500000000002</v>
      </c>
      <c r="AW7" s="2">
        <v>305.55900000000003</v>
      </c>
      <c r="AX7" s="2">
        <v>312.334</v>
      </c>
      <c r="AY7" s="2">
        <v>311.71899999999999</v>
      </c>
      <c r="AZ7" s="2">
        <v>312.72500000000002</v>
      </c>
      <c r="BA7" s="2">
        <v>316.40699999999998</v>
      </c>
      <c r="BB7" s="2">
        <v>316.45800000000003</v>
      </c>
      <c r="BC7" s="2">
        <v>318.26499999999999</v>
      </c>
      <c r="BD7" s="2">
        <v>322.471</v>
      </c>
      <c r="BE7" s="2">
        <v>325.05200000000002</v>
      </c>
      <c r="BF7" s="2">
        <v>327.22000000000003</v>
      </c>
      <c r="BG7" s="2">
        <v>329.26</v>
      </c>
      <c r="BH7" s="2">
        <v>331.38900000000001</v>
      </c>
      <c r="BI7" s="2">
        <v>334.69799999999998</v>
      </c>
      <c r="BJ7" s="2">
        <v>336.07100000000003</v>
      </c>
      <c r="BK7" s="2">
        <v>337.44900000000001</v>
      </c>
      <c r="BL7" s="2">
        <v>342.55799999999999</v>
      </c>
      <c r="BM7" s="2">
        <v>343.54700000000003</v>
      </c>
      <c r="BN7" s="2">
        <v>347.24299999999999</v>
      </c>
      <c r="BO7" s="2">
        <v>352.35399999999998</v>
      </c>
      <c r="BP7" s="2">
        <v>354.59199999999998</v>
      </c>
      <c r="BQ7" s="2">
        <v>359.25200000000001</v>
      </c>
      <c r="BR7" s="2">
        <v>363.541</v>
      </c>
      <c r="BS7" s="2">
        <v>365.798</v>
      </c>
      <c r="BT7" s="2">
        <v>367.38200000000001</v>
      </c>
      <c r="BU7" s="2">
        <v>371.21199999999999</v>
      </c>
      <c r="BV7" s="2">
        <v>375.03199999999998</v>
      </c>
      <c r="BW7" s="2">
        <v>376.52600000000001</v>
      </c>
      <c r="BX7" s="2">
        <v>377.67399999999998</v>
      </c>
      <c r="BY7" s="2">
        <v>378.28100000000001</v>
      </c>
      <c r="BZ7" s="2">
        <v>375.822</v>
      </c>
      <c r="CA7" s="2">
        <v>379.58100000000002</v>
      </c>
      <c r="CB7" s="2">
        <v>377.50299999999999</v>
      </c>
      <c r="CC7" s="2">
        <v>377.63900000000001</v>
      </c>
      <c r="CD7" s="2">
        <v>382.07100000000003</v>
      </c>
      <c r="CE7" s="2">
        <v>383.1</v>
      </c>
      <c r="CF7" s="2">
        <v>382.87900000000002</v>
      </c>
      <c r="CG7" s="2">
        <v>382.02800000000002</v>
      </c>
      <c r="CH7" s="2">
        <v>379.39600000000002</v>
      </c>
      <c r="CI7" s="2">
        <v>378.86500000000001</v>
      </c>
      <c r="CJ7" s="2">
        <v>377.952</v>
      </c>
      <c r="CK7" s="2">
        <v>377.35599999999999</v>
      </c>
      <c r="CL7" s="2">
        <v>380.12200000000001</v>
      </c>
      <c r="CM7" s="2">
        <v>383.01799999999997</v>
      </c>
      <c r="CN7" s="2">
        <v>385.79</v>
      </c>
      <c r="CO7" s="2">
        <v>388.197</v>
      </c>
      <c r="CP7" s="2">
        <v>391.84100000000001</v>
      </c>
      <c r="CQ7" s="2">
        <v>396.76</v>
      </c>
      <c r="CR7" s="2">
        <v>397.03800000000001</v>
      </c>
      <c r="CS7" s="2">
        <v>398.80399999999997</v>
      </c>
      <c r="CT7" s="2">
        <v>402.10700000000003</v>
      </c>
      <c r="CU7" s="2">
        <v>402.94499999999999</v>
      </c>
      <c r="CV7" s="2">
        <v>403.61799999999999</v>
      </c>
      <c r="CW7" s="2">
        <v>404.416</v>
      </c>
      <c r="CX7" s="2">
        <v>403.024</v>
      </c>
      <c r="CY7" s="2">
        <v>404.18700000000001</v>
      </c>
      <c r="CZ7" s="2">
        <v>410.584</v>
      </c>
      <c r="DA7" s="2">
        <v>412.505</v>
      </c>
      <c r="DB7" s="2">
        <v>418.613</v>
      </c>
      <c r="DC7" s="2">
        <v>416.49799999999999</v>
      </c>
      <c r="DD7" s="2">
        <v>419</v>
      </c>
      <c r="DE7" s="2">
        <v>419.32100000000003</v>
      </c>
      <c r="DF7" s="2">
        <v>418.00799999999998</v>
      </c>
      <c r="DG7" s="2">
        <v>420.02300000000002</v>
      </c>
      <c r="DH7" s="2">
        <v>421.65699999999998</v>
      </c>
      <c r="DI7" s="2">
        <v>426.04300000000001</v>
      </c>
      <c r="DJ7" s="2">
        <v>432.351</v>
      </c>
      <c r="DK7" s="2">
        <v>437.661</v>
      </c>
      <c r="DL7" s="2">
        <v>440.54500000000002</v>
      </c>
      <c r="DM7" s="2">
        <v>444.529</v>
      </c>
      <c r="DN7" s="2">
        <v>448.83600000000001</v>
      </c>
      <c r="DO7" s="2">
        <v>452.36799999999999</v>
      </c>
      <c r="DP7" s="2">
        <v>452.065</v>
      </c>
      <c r="DQ7" s="2">
        <v>450.32400000000001</v>
      </c>
      <c r="DR7" s="2">
        <v>449.673</v>
      </c>
      <c r="DS7" s="2">
        <v>450.23500000000001</v>
      </c>
      <c r="DT7" s="2">
        <v>451.48</v>
      </c>
      <c r="DU7" s="2">
        <v>452.267</v>
      </c>
      <c r="DV7" s="2">
        <v>454.88200000000001</v>
      </c>
      <c r="DW7" s="2">
        <v>452.98</v>
      </c>
      <c r="DX7" s="2">
        <v>452.18200000000002</v>
      </c>
      <c r="DY7" s="2">
        <v>451.07499999999999</v>
      </c>
      <c r="DZ7" s="2">
        <v>455.31400000000002</v>
      </c>
      <c r="EA7" s="2">
        <v>457.21499999999997</v>
      </c>
      <c r="EB7" s="2">
        <v>458.387</v>
      </c>
      <c r="EC7" s="2">
        <v>458.71199999999999</v>
      </c>
      <c r="ED7" s="2">
        <v>459.89100000000002</v>
      </c>
      <c r="EE7" s="2">
        <v>459.05700000000002</v>
      </c>
      <c r="EF7" s="2">
        <v>463.01600000000002</v>
      </c>
      <c r="EG7" s="2">
        <v>465.476</v>
      </c>
      <c r="EH7" s="2">
        <v>467.64699999999999</v>
      </c>
      <c r="EI7" s="2">
        <v>468.87</v>
      </c>
      <c r="EJ7" s="2">
        <v>470.60399999999998</v>
      </c>
      <c r="EK7" s="2">
        <v>472.08600000000001</v>
      </c>
      <c r="EL7" s="2">
        <v>478.75599999999997</v>
      </c>
      <c r="EM7" s="2">
        <v>477.75700000000001</v>
      </c>
      <c r="EN7" s="2">
        <v>479.13900000000001</v>
      </c>
      <c r="EO7" s="2">
        <v>479.29899999999998</v>
      </c>
      <c r="EP7" s="2">
        <v>478.28899999999999</v>
      </c>
      <c r="EQ7" s="2">
        <v>483.19400000000002</v>
      </c>
      <c r="ER7" s="2">
        <v>478.67700000000002</v>
      </c>
      <c r="ES7" s="2">
        <v>471.55599999999998</v>
      </c>
      <c r="ET7" s="2">
        <v>460.73399999999998</v>
      </c>
      <c r="EU7" s="2">
        <v>449.464</v>
      </c>
      <c r="EV7" s="2">
        <v>446.83499999999998</v>
      </c>
      <c r="EW7" s="2">
        <v>447.95400000000001</v>
      </c>
      <c r="EX7" s="2">
        <v>449.072</v>
      </c>
      <c r="EY7" s="2">
        <v>451.18700000000001</v>
      </c>
      <c r="EZ7" s="2">
        <v>454.07499999999999</v>
      </c>
      <c r="FA7" s="2">
        <v>455.303</v>
      </c>
      <c r="FB7" s="2">
        <v>459.28199999999998</v>
      </c>
      <c r="FC7" s="2">
        <v>461.59300000000002</v>
      </c>
      <c r="FD7" s="2">
        <v>460.72300000000001</v>
      </c>
      <c r="FE7" s="2">
        <v>458.74599999999998</v>
      </c>
      <c r="FF7" s="2">
        <v>454.35</v>
      </c>
      <c r="FG7" s="2">
        <v>449.16199999999998</v>
      </c>
      <c r="FH7" s="2">
        <v>445.75700000000001</v>
      </c>
      <c r="FI7" s="2">
        <v>442.68200000000002</v>
      </c>
      <c r="FJ7" s="2">
        <v>439.553</v>
      </c>
      <c r="FK7" s="2">
        <v>435.57799999999997</v>
      </c>
      <c r="FL7" s="2">
        <v>435.55500000000001</v>
      </c>
      <c r="FM7" s="2">
        <v>436.971</v>
      </c>
      <c r="FN7" s="2">
        <v>436.608</v>
      </c>
      <c r="FO7" s="2">
        <v>436.416</v>
      </c>
      <c r="FP7" s="2">
        <v>436.62700000000001</v>
      </c>
      <c r="FQ7" s="2">
        <v>436.72199999999998</v>
      </c>
      <c r="FR7" s="2">
        <v>436.26900000000001</v>
      </c>
      <c r="FS7" s="2">
        <v>437.80099999999999</v>
      </c>
      <c r="FT7" s="2">
        <v>439.52600000000001</v>
      </c>
      <c r="FU7" s="2">
        <v>439.69499999999999</v>
      </c>
      <c r="FV7" s="2">
        <v>442.02699999999999</v>
      </c>
      <c r="FW7" s="2">
        <v>442.80799999999999</v>
      </c>
      <c r="FX7" s="2">
        <v>444.02199999999999</v>
      </c>
      <c r="FY7" s="2">
        <v>447.17399999999998</v>
      </c>
      <c r="FZ7" s="2">
        <v>448.86700000000002</v>
      </c>
      <c r="GA7" s="2">
        <v>450.875</v>
      </c>
      <c r="GB7" s="2">
        <v>452.625</v>
      </c>
      <c r="GC7" s="2">
        <v>453.39699999999999</v>
      </c>
      <c r="GD7" s="2">
        <v>456.10199999999998</v>
      </c>
      <c r="GE7" s="2">
        <v>455.29599999999999</v>
      </c>
      <c r="GF7" s="2">
        <v>456.23599999999999</v>
      </c>
      <c r="GG7" s="2">
        <v>456.21800000000002</v>
      </c>
      <c r="GH7" s="2">
        <v>457.57600000000002</v>
      </c>
      <c r="GI7" s="2">
        <v>458.56200000000001</v>
      </c>
      <c r="GJ7" s="2">
        <v>459.82799999999997</v>
      </c>
      <c r="GK7" s="2">
        <v>458.12599999999998</v>
      </c>
      <c r="GL7" s="2">
        <v>456.423</v>
      </c>
      <c r="GM7" s="2">
        <v>429.875</v>
      </c>
      <c r="GN7" s="2">
        <v>376.88099999999997</v>
      </c>
      <c r="GO7" s="2">
        <v>431.18200000000002</v>
      </c>
      <c r="GP7" s="2">
        <v>430.91699999999997</v>
      </c>
      <c r="GQ7" s="2">
        <v>438.548</v>
      </c>
      <c r="GR7" s="2">
        <v>449.303</v>
      </c>
      <c r="GS7" s="2">
        <v>460.46800000000002</v>
      </c>
      <c r="GT7" s="2">
        <v>467.53300000000002</v>
      </c>
      <c r="GU7" s="2">
        <v>470.94900000000001</v>
      </c>
      <c r="GV7" s="2">
        <v>477.84100000000001</v>
      </c>
      <c r="GW7" s="2">
        <v>479.065</v>
      </c>
      <c r="GX7" s="2">
        <v>478.33100000000002</v>
      </c>
      <c r="GY7" s="2">
        <v>480.50799999999998</v>
      </c>
      <c r="GZ7" s="2">
        <v>479.72899999999998</v>
      </c>
      <c r="HA7" s="2">
        <v>480.33600000000001</v>
      </c>
      <c r="HB7" s="2">
        <v>481.13299999999998</v>
      </c>
      <c r="HC7" s="2">
        <v>481.89699999999999</v>
      </c>
      <c r="HD7" s="2">
        <v>482.93299999999999</v>
      </c>
      <c r="HE7" s="2">
        <v>482.95100000000002</v>
      </c>
      <c r="HF7" s="2">
        <v>483.91</v>
      </c>
      <c r="HG7" s="2">
        <v>485.416</v>
      </c>
      <c r="HH7" s="2">
        <v>485.04599999999999</v>
      </c>
      <c r="HI7" s="3">
        <v>485.65449999999998</v>
      </c>
      <c r="HJ7" s="3">
        <v>486.28590000000003</v>
      </c>
      <c r="HK7" s="3">
        <v>487.01530000000002</v>
      </c>
      <c r="HL7" s="3">
        <v>487.72149999999999</v>
      </c>
      <c r="HM7" s="3">
        <v>488.65789999999998</v>
      </c>
      <c r="HN7" s="3">
        <v>489.57639999999998</v>
      </c>
      <c r="HO7" s="3">
        <v>490.4948</v>
      </c>
      <c r="HP7" s="3">
        <v>491.41320000000002</v>
      </c>
      <c r="HQ7" s="3">
        <v>492.33159999999998</v>
      </c>
      <c r="HR7" s="3">
        <v>493.25009999999997</v>
      </c>
      <c r="HS7" s="3">
        <v>494.23719999999997</v>
      </c>
      <c r="HT7" s="3">
        <v>495.226</v>
      </c>
      <c r="HU7" s="3">
        <v>496.19869999999997</v>
      </c>
      <c r="HV7" s="3">
        <v>497.1046</v>
      </c>
      <c r="HW7" s="3">
        <v>497.96190000000001</v>
      </c>
      <c r="HX7" s="3">
        <v>498.79349999999999</v>
      </c>
      <c r="HY7" s="3">
        <v>499.64479999999998</v>
      </c>
      <c r="HZ7" s="3">
        <v>500.36610000000002</v>
      </c>
      <c r="IA7" s="3">
        <v>501.0874</v>
      </c>
      <c r="IB7" s="3">
        <v>501.77269999999999</v>
      </c>
      <c r="IC7" s="3">
        <v>502.45639999999997</v>
      </c>
      <c r="ID7" s="3">
        <v>503.1397</v>
      </c>
      <c r="IE7" s="3">
        <v>503.649</v>
      </c>
      <c r="IF7" s="3">
        <v>504.13459999999998</v>
      </c>
      <c r="IG7" s="3">
        <v>504.61750000000001</v>
      </c>
      <c r="IH7" s="3">
        <v>505.09730000000002</v>
      </c>
      <c r="II7" s="3">
        <v>505.51069999999999</v>
      </c>
      <c r="IJ7" s="3">
        <v>505.91489999999999</v>
      </c>
      <c r="IK7" s="3">
        <v>506.31709999999998</v>
      </c>
      <c r="IL7" s="3">
        <v>506.73270000000002</v>
      </c>
      <c r="IM7" s="3">
        <v>507.1345</v>
      </c>
      <c r="IN7" s="3">
        <v>507.53449999999998</v>
      </c>
      <c r="IO7" s="3">
        <v>507.93310000000002</v>
      </c>
      <c r="IP7" s="3">
        <v>508.27080000000001</v>
      </c>
      <c r="IQ7" s="3">
        <v>508.59519999999998</v>
      </c>
      <c r="IR7" s="3">
        <v>508.91849999999999</v>
      </c>
      <c r="IS7" s="3">
        <v>509.24380000000002</v>
      </c>
      <c r="IT7" s="3">
        <v>509.56849999999997</v>
      </c>
      <c r="IU7" s="3">
        <v>509.88350000000003</v>
      </c>
      <c r="IV7" s="3">
        <v>510.233</v>
      </c>
      <c r="IW7" s="3">
        <v>510.5598</v>
      </c>
      <c r="IX7" s="3">
        <v>510.88589999999999</v>
      </c>
      <c r="IY7" s="3">
        <v>511.1859</v>
      </c>
      <c r="IZ7" s="3">
        <v>511.4803</v>
      </c>
      <c r="JA7" s="3">
        <v>511.77350000000001</v>
      </c>
      <c r="JB7" s="3">
        <v>512.06529999999998</v>
      </c>
      <c r="JC7" s="3">
        <v>512.34280000000001</v>
      </c>
      <c r="JD7" s="3">
        <v>512.61800000000005</v>
      </c>
      <c r="JE7" s="3">
        <v>512.89319999999998</v>
      </c>
      <c r="JF7" s="3">
        <v>513.16409999999996</v>
      </c>
      <c r="JG7" s="3">
        <v>513.42100000000005</v>
      </c>
      <c r="JH7" s="3">
        <v>513.67470000000003</v>
      </c>
      <c r="JI7" s="3">
        <v>513.92579999999998</v>
      </c>
      <c r="JJ7" s="3">
        <v>514.17430000000002</v>
      </c>
      <c r="JK7" s="3">
        <v>514.3877</v>
      </c>
      <c r="JL7" s="3">
        <v>514.59839999999997</v>
      </c>
      <c r="JM7" s="3">
        <v>514.80600000000004</v>
      </c>
      <c r="JN7" s="3">
        <v>515.00890000000004</v>
      </c>
      <c r="JO7" s="3">
        <v>515.2296</v>
      </c>
      <c r="JP7" s="3">
        <v>515.44579999999996</v>
      </c>
      <c r="JQ7" s="3">
        <v>515.65949999999998</v>
      </c>
      <c r="JR7" s="3">
        <v>515.86580000000004</v>
      </c>
      <c r="JS7" s="3">
        <v>516.06590000000006</v>
      </c>
      <c r="JT7" s="3">
        <v>516.26279999999997</v>
      </c>
      <c r="JU7" s="3">
        <v>516.45460000000003</v>
      </c>
      <c r="JV7" s="3">
        <v>516.64120000000003</v>
      </c>
      <c r="JW7" s="3">
        <v>516.83960000000002</v>
      </c>
      <c r="JX7" s="3">
        <v>517.03369999999995</v>
      </c>
      <c r="JY7" s="3">
        <v>517.22559999999999</v>
      </c>
      <c r="JZ7" s="3">
        <v>517.41089999999997</v>
      </c>
      <c r="KA7" s="3">
        <v>517.62509999999997</v>
      </c>
      <c r="KB7" s="3">
        <v>517.83550000000002</v>
      </c>
      <c r="KC7" s="3">
        <v>517.97469999999998</v>
      </c>
      <c r="KD7" s="3">
        <v>518.1105</v>
      </c>
      <c r="KE7" s="3">
        <v>518.26239999999996</v>
      </c>
      <c r="KF7" s="3">
        <v>518.41049999999996</v>
      </c>
      <c r="KG7" s="3">
        <v>518.55449999999996</v>
      </c>
      <c r="KH7" s="3">
        <v>518.69740000000002</v>
      </c>
      <c r="KI7" s="3">
        <v>518.91049999999996</v>
      </c>
      <c r="KJ7" s="3">
        <v>519.09590000000003</v>
      </c>
      <c r="KK7" s="3">
        <v>519.27829999999994</v>
      </c>
      <c r="KL7" s="3">
        <v>519.45839999999998</v>
      </c>
      <c r="KM7" s="3">
        <v>519.7029</v>
      </c>
      <c r="KN7" s="3">
        <v>519.947</v>
      </c>
      <c r="KO7" s="3">
        <v>520.18730000000005</v>
      </c>
      <c r="KP7" s="3">
        <v>520.42409999999995</v>
      </c>
      <c r="KQ7" s="3">
        <v>520.71950000000004</v>
      </c>
      <c r="KR7" s="3">
        <v>521.01260000000002</v>
      </c>
      <c r="KS7" s="3">
        <v>521.30460000000005</v>
      </c>
      <c r="KT7" s="3">
        <v>521.59270000000004</v>
      </c>
      <c r="KU7" s="3">
        <v>521.89149999999995</v>
      </c>
      <c r="KV7" s="3">
        <v>522.18910000000005</v>
      </c>
      <c r="KW7" s="3">
        <v>522.48509999999999</v>
      </c>
      <c r="KX7" s="3">
        <v>522.77880000000005</v>
      </c>
      <c r="KY7" s="3">
        <v>523.13819999999998</v>
      </c>
      <c r="KZ7" s="3">
        <v>523.49549999999999</v>
      </c>
      <c r="LA7" s="3">
        <v>523.85180000000003</v>
      </c>
      <c r="LB7" s="3">
        <v>524.20640000000003</v>
      </c>
      <c r="LC7" s="3">
        <v>524.60050000000001</v>
      </c>
      <c r="LD7" s="3">
        <v>524.99289999999996</v>
      </c>
      <c r="LE7" s="3">
        <v>525.38530000000003</v>
      </c>
      <c r="LF7" s="3">
        <v>525.77589999999998</v>
      </c>
      <c r="LG7" s="3">
        <v>526.18979999999999</v>
      </c>
      <c r="LH7" s="3">
        <v>526.60289999999998</v>
      </c>
      <c r="LI7" s="3">
        <v>527.01589999999999</v>
      </c>
      <c r="LJ7" s="3">
        <v>527.42750000000001</v>
      </c>
      <c r="LK7" s="3">
        <v>527.86180000000002</v>
      </c>
      <c r="LL7" s="3">
        <v>528.29499999999996</v>
      </c>
      <c r="LM7" s="3">
        <v>528.72739999999999</v>
      </c>
      <c r="LN7" s="3">
        <v>529.16060000000004</v>
      </c>
      <c r="LO7" s="3">
        <v>529.63189999999997</v>
      </c>
      <c r="LP7" s="3">
        <v>530.10329999999999</v>
      </c>
      <c r="LQ7" s="3">
        <v>530.57449999999994</v>
      </c>
      <c r="LR7" s="3">
        <v>531.04420000000005</v>
      </c>
      <c r="LS7" s="3">
        <v>531.52940000000001</v>
      </c>
      <c r="LT7" s="3">
        <v>532.01199999999994</v>
      </c>
      <c r="LU7" s="3">
        <v>532.49689999999998</v>
      </c>
      <c r="LV7" s="3">
        <v>532.97990000000004</v>
      </c>
      <c r="LW7" s="3">
        <v>533.48329999999999</v>
      </c>
      <c r="LX7" s="3">
        <v>533.98649999999998</v>
      </c>
      <c r="LY7" s="3">
        <v>534.49019999999996</v>
      </c>
      <c r="LZ7" s="3">
        <v>534.99210000000005</v>
      </c>
      <c r="MA7" s="3">
        <v>535.52660000000003</v>
      </c>
      <c r="MB7" s="3">
        <v>536.06169999999997</v>
      </c>
      <c r="MC7" s="3">
        <v>536.59659999999997</v>
      </c>
      <c r="MD7" s="3">
        <v>537.13149999999996</v>
      </c>
      <c r="ME7" s="3">
        <v>537.65769999999998</v>
      </c>
      <c r="MF7" s="3">
        <v>538.18460000000005</v>
      </c>
      <c r="MG7" s="3">
        <v>538.71</v>
      </c>
      <c r="MH7" s="3">
        <v>539.23609999999996</v>
      </c>
      <c r="MI7" s="3">
        <v>539.71420000000001</v>
      </c>
      <c r="MJ7" s="3">
        <v>540.1925</v>
      </c>
      <c r="MK7" s="3">
        <v>540.67219999999998</v>
      </c>
      <c r="ML7" s="3">
        <v>541.15060000000005</v>
      </c>
      <c r="MM7" s="3">
        <v>541.47979999999995</v>
      </c>
      <c r="MN7" s="3">
        <v>541.80759999999998</v>
      </c>
      <c r="MO7" s="3">
        <v>542.13490000000002</v>
      </c>
      <c r="MP7" s="3">
        <v>542.46220000000005</v>
      </c>
      <c r="MQ7" s="3">
        <v>542.76710000000003</v>
      </c>
      <c r="MR7" s="3">
        <v>543.07029999999997</v>
      </c>
      <c r="MS7" s="3">
        <v>543.37459999999999</v>
      </c>
      <c r="MT7" s="3">
        <v>543.67859999999996</v>
      </c>
      <c r="MU7" t="s">
        <v>409</v>
      </c>
      <c r="MV7" t="b">
        <v>1</v>
      </c>
      <c r="MW7" s="1" t="s">
        <v>399</v>
      </c>
      <c r="MX7" t="s">
        <v>377</v>
      </c>
      <c r="MY7">
        <v>2025</v>
      </c>
      <c r="MZ7">
        <v>2</v>
      </c>
      <c r="NA7" t="s">
        <v>377</v>
      </c>
      <c r="NB7" s="1" t="s">
        <v>410</v>
      </c>
      <c r="NC7" s="1" t="s">
        <v>411</v>
      </c>
      <c r="ND7" t="s">
        <v>412</v>
      </c>
      <c r="NE7" t="s">
        <v>381</v>
      </c>
      <c r="NF7" s="1" t="s">
        <v>872</v>
      </c>
    </row>
    <row r="8" spans="1:370" x14ac:dyDescent="0.25">
      <c r="A8" t="s">
        <v>413</v>
      </c>
      <c r="B8" t="s">
        <v>371</v>
      </c>
      <c r="C8" s="1" t="s">
        <v>871</v>
      </c>
      <c r="D8" t="s">
        <v>414</v>
      </c>
      <c r="E8" t="s">
        <v>373</v>
      </c>
      <c r="F8" t="s">
        <v>374</v>
      </c>
      <c r="G8" s="2">
        <v>174319.5</v>
      </c>
      <c r="H8" s="2">
        <v>175982.5</v>
      </c>
      <c r="I8" s="2">
        <v>176800.8</v>
      </c>
      <c r="J8" s="2">
        <v>180061.8</v>
      </c>
      <c r="K8" s="2">
        <v>181552</v>
      </c>
      <c r="L8" s="2">
        <v>183414.3</v>
      </c>
      <c r="M8" s="2">
        <v>183449.5</v>
      </c>
      <c r="N8" s="2">
        <v>182493.8</v>
      </c>
      <c r="O8" s="2">
        <v>181499.5</v>
      </c>
      <c r="P8" s="2">
        <v>183828</v>
      </c>
      <c r="Q8" s="2">
        <v>187354.8</v>
      </c>
      <c r="R8" s="2">
        <v>189522.8</v>
      </c>
      <c r="S8" s="2">
        <v>192825.5</v>
      </c>
      <c r="T8" s="2">
        <v>196983.8</v>
      </c>
      <c r="U8" s="2">
        <v>197893.3</v>
      </c>
      <c r="V8" s="2">
        <v>198213</v>
      </c>
      <c r="W8" s="2">
        <v>201253.3</v>
      </c>
      <c r="X8" s="2">
        <v>202280.3</v>
      </c>
      <c r="Y8" s="2">
        <v>203469.3</v>
      </c>
      <c r="Z8" s="2">
        <v>206693.5</v>
      </c>
      <c r="AA8" s="2">
        <v>208478.5</v>
      </c>
      <c r="AB8" s="2">
        <v>209897.5</v>
      </c>
      <c r="AC8" s="2">
        <v>211855.5</v>
      </c>
      <c r="AD8" s="2">
        <v>213864.3</v>
      </c>
      <c r="AE8" s="2">
        <v>215570.5</v>
      </c>
      <c r="AF8" s="2">
        <v>218430.3</v>
      </c>
      <c r="AG8" s="2">
        <v>220031.5</v>
      </c>
      <c r="AH8" s="2">
        <v>221507.8</v>
      </c>
      <c r="AI8" s="2">
        <v>223045.8</v>
      </c>
      <c r="AJ8" s="2">
        <v>222948.3</v>
      </c>
      <c r="AK8" s="2">
        <v>222763</v>
      </c>
      <c r="AL8" s="2">
        <v>225845.3</v>
      </c>
      <c r="AM8" s="2">
        <v>230710.8</v>
      </c>
      <c r="AN8" s="2">
        <v>233233.3</v>
      </c>
      <c r="AO8" s="2">
        <v>231136.3</v>
      </c>
      <c r="AP8" s="2">
        <v>230073.3</v>
      </c>
      <c r="AQ8" s="2">
        <v>227440.3</v>
      </c>
      <c r="AR8" s="2">
        <v>224821.8</v>
      </c>
      <c r="AS8" s="2">
        <v>222828</v>
      </c>
      <c r="AT8" s="2">
        <v>220771.8</v>
      </c>
      <c r="AU8" s="2">
        <v>224379.8</v>
      </c>
      <c r="AV8" s="2">
        <v>228806.3</v>
      </c>
      <c r="AW8" s="2">
        <v>231376.8</v>
      </c>
      <c r="AX8" s="2">
        <v>234253.3</v>
      </c>
      <c r="AY8" s="2">
        <v>238310.5</v>
      </c>
      <c r="AZ8" s="2">
        <v>242935.3</v>
      </c>
      <c r="BA8" s="2">
        <v>243979.8</v>
      </c>
      <c r="BB8" s="2">
        <v>247787.5</v>
      </c>
      <c r="BC8" s="2">
        <v>251594.5</v>
      </c>
      <c r="BD8" s="2">
        <v>252403.8</v>
      </c>
      <c r="BE8" s="2">
        <v>255608</v>
      </c>
      <c r="BF8" s="2">
        <v>259505</v>
      </c>
      <c r="BG8" s="2">
        <v>259373.5</v>
      </c>
      <c r="BH8" s="2">
        <v>260864.3</v>
      </c>
      <c r="BI8" s="2">
        <v>261192.3</v>
      </c>
      <c r="BJ8" s="2">
        <v>259301.5</v>
      </c>
      <c r="BK8" s="2">
        <v>265295</v>
      </c>
      <c r="BL8" s="2">
        <v>268693.5</v>
      </c>
      <c r="BM8" s="2">
        <v>272798.8</v>
      </c>
      <c r="BN8" s="2">
        <v>276323</v>
      </c>
      <c r="BO8" s="2">
        <v>280349</v>
      </c>
      <c r="BP8" s="2">
        <v>282836.8</v>
      </c>
      <c r="BQ8" s="2">
        <v>282878.8</v>
      </c>
      <c r="BR8" s="2">
        <v>284820</v>
      </c>
      <c r="BS8" s="2">
        <v>288111</v>
      </c>
      <c r="BT8" s="2">
        <v>289231.8</v>
      </c>
      <c r="BU8" s="2">
        <v>290276</v>
      </c>
      <c r="BV8" s="2">
        <v>289698.3</v>
      </c>
      <c r="BW8" s="2">
        <v>292484.3</v>
      </c>
      <c r="BX8" s="2">
        <v>291310.8</v>
      </c>
      <c r="BY8" s="2">
        <v>289223</v>
      </c>
      <c r="BZ8" s="2">
        <v>286647.8</v>
      </c>
      <c r="CA8" s="2">
        <v>282524</v>
      </c>
      <c r="CB8" s="2">
        <v>283880</v>
      </c>
      <c r="CC8" s="2">
        <v>284256.5</v>
      </c>
      <c r="CD8" s="2">
        <v>284756</v>
      </c>
      <c r="CE8" s="2">
        <v>284957</v>
      </c>
      <c r="CF8" s="2">
        <v>285281.8</v>
      </c>
      <c r="CG8" s="2">
        <v>286827</v>
      </c>
      <c r="CH8" s="2">
        <v>288461.3</v>
      </c>
      <c r="CI8" s="2">
        <v>290292.8</v>
      </c>
      <c r="CJ8" s="2">
        <v>292937</v>
      </c>
      <c r="CK8" s="2">
        <v>295738.5</v>
      </c>
      <c r="CL8" s="2">
        <v>297003.5</v>
      </c>
      <c r="CM8" s="2">
        <v>301382.8</v>
      </c>
      <c r="CN8" s="2">
        <v>305782.5</v>
      </c>
      <c r="CO8" s="2">
        <v>309702.8</v>
      </c>
      <c r="CP8" s="2">
        <v>311952.5</v>
      </c>
      <c r="CQ8" s="2">
        <v>314818.8</v>
      </c>
      <c r="CR8" s="2">
        <v>314952.5</v>
      </c>
      <c r="CS8" s="2">
        <v>315368.8</v>
      </c>
      <c r="CT8" s="2">
        <v>316641.5</v>
      </c>
      <c r="CU8" s="2">
        <v>317101</v>
      </c>
      <c r="CV8" s="2">
        <v>319358.5</v>
      </c>
      <c r="CW8" s="2">
        <v>322040.8</v>
      </c>
      <c r="CX8" s="2">
        <v>324592.3</v>
      </c>
      <c r="CY8" s="2">
        <v>328941.5</v>
      </c>
      <c r="CZ8" s="2">
        <v>332643.3</v>
      </c>
      <c r="DA8" s="2">
        <v>336586.8</v>
      </c>
      <c r="DB8" s="2">
        <v>339839.5</v>
      </c>
      <c r="DC8" s="2">
        <v>344638</v>
      </c>
      <c r="DD8" s="2">
        <v>344820.5</v>
      </c>
      <c r="DE8" s="2">
        <v>347962.5</v>
      </c>
      <c r="DF8" s="2">
        <v>352677.3</v>
      </c>
      <c r="DG8" s="2">
        <v>359045</v>
      </c>
      <c r="DH8" s="2">
        <v>362006.3</v>
      </c>
      <c r="DI8" s="2">
        <v>367680.5</v>
      </c>
      <c r="DJ8" s="2">
        <v>372831.5</v>
      </c>
      <c r="DK8" s="2">
        <v>378669</v>
      </c>
      <c r="DL8" s="2">
        <v>383125.8</v>
      </c>
      <c r="DM8" s="2">
        <v>387053</v>
      </c>
      <c r="DN8" s="2">
        <v>387818.5</v>
      </c>
      <c r="DO8" s="2">
        <v>390001.5</v>
      </c>
      <c r="DP8" s="2">
        <v>391228</v>
      </c>
      <c r="DQ8" s="2">
        <v>390953</v>
      </c>
      <c r="DR8" s="2">
        <v>393297.8</v>
      </c>
      <c r="DS8" s="2">
        <v>399048.5</v>
      </c>
      <c r="DT8" s="2">
        <v>401406.3</v>
      </c>
      <c r="DU8" s="2">
        <v>404877.3</v>
      </c>
      <c r="DV8" s="2">
        <v>407101</v>
      </c>
      <c r="DW8" s="2">
        <v>409366</v>
      </c>
      <c r="DX8" s="2">
        <v>408772.3</v>
      </c>
      <c r="DY8" s="2">
        <v>410300.5</v>
      </c>
      <c r="DZ8" s="2">
        <v>413121</v>
      </c>
      <c r="EA8" s="2">
        <v>416125</v>
      </c>
      <c r="EB8" s="2">
        <v>421055.5</v>
      </c>
      <c r="EC8" s="2">
        <v>426033.8</v>
      </c>
      <c r="ED8" s="2">
        <v>429108.5</v>
      </c>
      <c r="EE8" s="2">
        <v>430611.3</v>
      </c>
      <c r="EF8" s="2">
        <v>433723.5</v>
      </c>
      <c r="EG8" s="2">
        <v>438979.8</v>
      </c>
      <c r="EH8" s="2">
        <v>443339.5</v>
      </c>
      <c r="EI8" s="2">
        <v>446939</v>
      </c>
      <c r="EJ8" s="2">
        <v>447162.5</v>
      </c>
      <c r="EK8" s="2">
        <v>448421.3</v>
      </c>
      <c r="EL8" s="2">
        <v>450207</v>
      </c>
      <c r="EM8" s="2">
        <v>453080.3</v>
      </c>
      <c r="EN8" s="2">
        <v>457455.8</v>
      </c>
      <c r="EO8" s="2">
        <v>459169.8</v>
      </c>
      <c r="EP8" s="2">
        <v>459773.3</v>
      </c>
      <c r="EQ8" s="2">
        <v>460118.3</v>
      </c>
      <c r="ER8" s="2">
        <v>461794.8</v>
      </c>
      <c r="ES8" s="2">
        <v>465589.5</v>
      </c>
      <c r="ET8" s="2">
        <v>460187.3</v>
      </c>
      <c r="EU8" s="2">
        <v>449802.8</v>
      </c>
      <c r="EV8" s="2">
        <v>444950.8</v>
      </c>
      <c r="EW8" s="2">
        <v>446940.8</v>
      </c>
      <c r="EX8" s="2">
        <v>452133.8</v>
      </c>
      <c r="EY8" s="2">
        <v>457611.5</v>
      </c>
      <c r="EZ8" s="2">
        <v>460007.8</v>
      </c>
      <c r="FA8" s="2">
        <v>463228</v>
      </c>
      <c r="FB8" s="2">
        <v>468424.5</v>
      </c>
      <c r="FC8" s="2">
        <v>471992</v>
      </c>
      <c r="FD8" s="2">
        <v>472848.8</v>
      </c>
      <c r="FE8" s="2">
        <v>479318.5</v>
      </c>
      <c r="FF8" s="2">
        <v>483127.8</v>
      </c>
      <c r="FG8" s="2">
        <v>483432.8</v>
      </c>
      <c r="FH8" s="2">
        <v>485004.3</v>
      </c>
      <c r="FI8" s="2">
        <v>485668</v>
      </c>
      <c r="FJ8" s="2">
        <v>486667.5</v>
      </c>
      <c r="FK8" s="2">
        <v>491023.8</v>
      </c>
      <c r="FL8" s="2">
        <v>493851.5</v>
      </c>
      <c r="FM8" s="2">
        <v>497912.5</v>
      </c>
      <c r="FN8" s="2">
        <v>503123.5</v>
      </c>
      <c r="FO8" s="2">
        <v>503973.8</v>
      </c>
      <c r="FP8" s="2">
        <v>508567.8</v>
      </c>
      <c r="FQ8" s="2">
        <v>513442.8</v>
      </c>
      <c r="FR8" s="2">
        <v>516991.5</v>
      </c>
      <c r="FS8" s="2">
        <v>514113</v>
      </c>
      <c r="FT8" s="2">
        <v>512709.5</v>
      </c>
      <c r="FU8" s="2">
        <v>514545.5</v>
      </c>
      <c r="FV8" s="2">
        <v>514886.5</v>
      </c>
      <c r="FW8" s="2">
        <v>517933</v>
      </c>
      <c r="FX8" s="2">
        <v>515353</v>
      </c>
      <c r="FY8" s="2">
        <v>520701.3</v>
      </c>
      <c r="FZ8" s="2">
        <v>523622.5</v>
      </c>
      <c r="GA8" s="2">
        <v>530210.80000000005</v>
      </c>
      <c r="GB8" s="2">
        <v>535791.5</v>
      </c>
      <c r="GC8" s="2">
        <v>535959.80000000005</v>
      </c>
      <c r="GD8" s="2">
        <v>538679</v>
      </c>
      <c r="GE8" s="2">
        <v>544941.30000000005</v>
      </c>
      <c r="GF8" s="2">
        <v>549192</v>
      </c>
      <c r="GG8" s="2">
        <v>551962.30000000005</v>
      </c>
      <c r="GH8" s="2">
        <v>553262.5</v>
      </c>
      <c r="GI8" s="2">
        <v>554594</v>
      </c>
      <c r="GJ8" s="2">
        <v>560665.5</v>
      </c>
      <c r="GK8" s="2">
        <v>562233.30000000005</v>
      </c>
      <c r="GL8" s="2">
        <v>563838.5</v>
      </c>
      <c r="GM8" s="2">
        <v>552844</v>
      </c>
      <c r="GN8" s="2">
        <v>492031.5</v>
      </c>
      <c r="GO8" s="2">
        <v>536725.30000000005</v>
      </c>
      <c r="GP8" s="2">
        <v>546807</v>
      </c>
      <c r="GQ8" s="2">
        <v>556122.30000000005</v>
      </c>
      <c r="GR8" s="2">
        <v>555470.5</v>
      </c>
      <c r="GS8" s="2">
        <v>566660.5</v>
      </c>
      <c r="GT8" s="2">
        <v>576806</v>
      </c>
      <c r="GU8" s="2">
        <v>581725.30000000005</v>
      </c>
      <c r="GV8" s="2">
        <v>587179.30000000005</v>
      </c>
      <c r="GW8" s="2">
        <v>590733.30000000005</v>
      </c>
      <c r="GX8" s="2">
        <v>589886.80000000005</v>
      </c>
      <c r="GY8" s="2">
        <v>595588.80000000005</v>
      </c>
      <c r="GZ8" s="2">
        <v>596820</v>
      </c>
      <c r="HA8" s="2">
        <v>595994.80000000005</v>
      </c>
      <c r="HB8" s="2">
        <v>597039.30000000005</v>
      </c>
      <c r="HC8" s="2">
        <v>600215.5</v>
      </c>
      <c r="HD8" s="2">
        <v>604005.5</v>
      </c>
      <c r="HE8" s="2">
        <v>607606.30000000005</v>
      </c>
      <c r="HF8" s="2">
        <v>610704.30000000005</v>
      </c>
      <c r="HG8" s="2">
        <v>613784.5</v>
      </c>
      <c r="HH8" s="2">
        <v>611342</v>
      </c>
      <c r="HI8" s="3">
        <v>611435.30000000005</v>
      </c>
      <c r="HJ8" s="3">
        <v>612177.4</v>
      </c>
      <c r="HK8" s="3">
        <v>613289.5</v>
      </c>
      <c r="HL8" s="3">
        <v>615261.9</v>
      </c>
      <c r="HM8" s="3">
        <v>618522.80000000005</v>
      </c>
      <c r="HN8" s="3">
        <v>623312.1</v>
      </c>
      <c r="HO8" s="3">
        <v>626933.80000000005</v>
      </c>
      <c r="HP8" s="3">
        <v>631274</v>
      </c>
      <c r="HQ8" s="3">
        <v>635299</v>
      </c>
      <c r="HR8" s="3">
        <v>639106.4</v>
      </c>
      <c r="HS8" s="3">
        <v>642511.80000000005</v>
      </c>
      <c r="HT8" s="3">
        <v>645171.69999999995</v>
      </c>
      <c r="HU8" s="3">
        <v>647990.19999999995</v>
      </c>
      <c r="HV8" s="3">
        <v>650834.69999999995</v>
      </c>
      <c r="HW8" s="3">
        <v>653450.1</v>
      </c>
      <c r="HX8" s="3">
        <v>656353.30000000005</v>
      </c>
      <c r="HY8" s="3">
        <v>659325.69999999995</v>
      </c>
      <c r="HZ8" s="3">
        <v>662456</v>
      </c>
      <c r="IA8" s="3">
        <v>665776.4</v>
      </c>
      <c r="IB8" s="3">
        <v>669240.19999999995</v>
      </c>
      <c r="IC8" s="3">
        <v>672740.6</v>
      </c>
      <c r="ID8" s="3">
        <v>676308.9</v>
      </c>
      <c r="IE8" s="3">
        <v>679760.9</v>
      </c>
      <c r="IF8" s="3">
        <v>683140.6</v>
      </c>
      <c r="IG8" s="3">
        <v>686558.6</v>
      </c>
      <c r="IH8" s="3">
        <v>689969.4</v>
      </c>
      <c r="II8" s="3">
        <v>693350.1</v>
      </c>
      <c r="IJ8" s="3">
        <v>696735.3</v>
      </c>
      <c r="IK8" s="3">
        <v>700125.6</v>
      </c>
      <c r="IL8" s="3">
        <v>703499.1</v>
      </c>
      <c r="IM8" s="3">
        <v>706922</v>
      </c>
      <c r="IN8" s="3">
        <v>710353.1</v>
      </c>
      <c r="IO8" s="3">
        <v>713808.1</v>
      </c>
      <c r="IP8" s="3">
        <v>717296.1</v>
      </c>
      <c r="IQ8" s="3">
        <v>720852</v>
      </c>
      <c r="IR8" s="3">
        <v>724415</v>
      </c>
      <c r="IS8" s="3">
        <v>727992.8</v>
      </c>
      <c r="IT8" s="3">
        <v>731572.6</v>
      </c>
      <c r="IU8" s="3">
        <v>734993.9</v>
      </c>
      <c r="IV8" s="3">
        <v>738402.5</v>
      </c>
      <c r="IW8" s="3">
        <v>741856.4</v>
      </c>
      <c r="IX8" s="3">
        <v>745373.8</v>
      </c>
      <c r="IY8" s="3">
        <v>749054.8</v>
      </c>
      <c r="IZ8" s="3">
        <v>752763.6</v>
      </c>
      <c r="JA8" s="3">
        <v>756496.7</v>
      </c>
      <c r="JB8" s="3">
        <v>760257.2</v>
      </c>
      <c r="JC8" s="3">
        <v>764053.3</v>
      </c>
      <c r="JD8" s="3">
        <v>767846.1</v>
      </c>
      <c r="JE8" s="3">
        <v>771600.4</v>
      </c>
      <c r="JF8" s="3">
        <v>775320.9</v>
      </c>
      <c r="JG8" s="3">
        <v>779032.1</v>
      </c>
      <c r="JH8" s="3">
        <v>782783.1</v>
      </c>
      <c r="JI8" s="3">
        <v>786560.3</v>
      </c>
      <c r="JJ8" s="3">
        <v>790365.3</v>
      </c>
      <c r="JK8" s="3">
        <v>794153.3</v>
      </c>
      <c r="JL8" s="3">
        <v>797952.2</v>
      </c>
      <c r="JM8" s="3">
        <v>801844</v>
      </c>
      <c r="JN8" s="3">
        <v>805831.4</v>
      </c>
      <c r="JO8" s="3">
        <v>809819.8</v>
      </c>
      <c r="JP8" s="3">
        <v>813788.3</v>
      </c>
      <c r="JQ8" s="3">
        <v>817823.1</v>
      </c>
      <c r="JR8" s="3">
        <v>821928.9</v>
      </c>
      <c r="JS8" s="3">
        <v>826049.1</v>
      </c>
      <c r="JT8" s="3">
        <v>830164.9</v>
      </c>
      <c r="JU8" s="3">
        <v>834298.6</v>
      </c>
      <c r="JV8" s="3">
        <v>838446.8</v>
      </c>
      <c r="JW8" s="3">
        <v>842624.8</v>
      </c>
      <c r="JX8" s="3">
        <v>846818.6</v>
      </c>
      <c r="JY8" s="3">
        <v>850994.8</v>
      </c>
      <c r="JZ8" s="3">
        <v>855160.1</v>
      </c>
      <c r="KA8" s="3">
        <v>859343.2</v>
      </c>
      <c r="KB8" s="3">
        <v>863551.8</v>
      </c>
      <c r="KC8" s="3">
        <v>867772.9</v>
      </c>
      <c r="KD8" s="3">
        <v>871995.6</v>
      </c>
      <c r="KE8" s="3">
        <v>876239.5</v>
      </c>
      <c r="KF8" s="3">
        <v>880463.9</v>
      </c>
      <c r="KG8" s="3">
        <v>884663.5</v>
      </c>
      <c r="KH8" s="3">
        <v>888899.2</v>
      </c>
      <c r="KI8" s="3">
        <v>893105.2</v>
      </c>
      <c r="KJ8" s="3">
        <v>897313.7</v>
      </c>
      <c r="KK8" s="3">
        <v>901551.4</v>
      </c>
      <c r="KL8" s="3">
        <v>905810.6</v>
      </c>
      <c r="KM8" s="3">
        <v>910096.7</v>
      </c>
      <c r="KN8" s="3">
        <v>914391.4</v>
      </c>
      <c r="KO8" s="3">
        <v>918696.6</v>
      </c>
      <c r="KP8" s="3">
        <v>923011.5</v>
      </c>
      <c r="KQ8" s="3">
        <v>927347</v>
      </c>
      <c r="KR8" s="3">
        <v>931683.1</v>
      </c>
      <c r="KS8" s="3">
        <v>936015.4</v>
      </c>
      <c r="KT8" s="3">
        <v>940334.8</v>
      </c>
      <c r="KU8" s="3">
        <v>944667.7</v>
      </c>
      <c r="KV8" s="3">
        <v>949001.9</v>
      </c>
      <c r="KW8" s="3">
        <v>953325.8</v>
      </c>
      <c r="KX8" s="3">
        <v>957644.3</v>
      </c>
      <c r="KY8" s="3">
        <v>961979</v>
      </c>
      <c r="KZ8" s="3">
        <v>966348.3</v>
      </c>
      <c r="LA8" s="3">
        <v>970732.6</v>
      </c>
      <c r="LB8" s="3">
        <v>975126.9</v>
      </c>
      <c r="LC8" s="3">
        <v>979531.8</v>
      </c>
      <c r="LD8" s="3">
        <v>983950.4</v>
      </c>
      <c r="LE8" s="3">
        <v>988377.7</v>
      </c>
      <c r="LF8" s="3">
        <v>992814.8</v>
      </c>
      <c r="LG8" s="3">
        <v>997261.9</v>
      </c>
      <c r="LH8" s="3">
        <v>1001709</v>
      </c>
      <c r="LI8" s="3">
        <v>1006165</v>
      </c>
      <c r="LJ8" s="3">
        <v>1010618</v>
      </c>
      <c r="LK8" s="3">
        <v>1015086</v>
      </c>
      <c r="LL8" s="3">
        <v>1019568</v>
      </c>
      <c r="LM8" s="3">
        <v>1024061</v>
      </c>
      <c r="LN8" s="3">
        <v>1028561</v>
      </c>
      <c r="LO8" s="3">
        <v>1033081</v>
      </c>
      <c r="LP8" s="3">
        <v>1037603</v>
      </c>
      <c r="LQ8" s="3">
        <v>1042132</v>
      </c>
      <c r="LR8" s="3">
        <v>1046669</v>
      </c>
      <c r="LS8" s="3">
        <v>1051204</v>
      </c>
      <c r="LT8" s="3">
        <v>1055739</v>
      </c>
      <c r="LU8" s="3">
        <v>1060298</v>
      </c>
      <c r="LV8" s="3">
        <v>1064881</v>
      </c>
      <c r="LW8" s="3">
        <v>1069446</v>
      </c>
      <c r="LX8" s="3">
        <v>1074028</v>
      </c>
      <c r="LY8" s="3">
        <v>1078636</v>
      </c>
      <c r="LZ8" s="3">
        <v>1083273</v>
      </c>
      <c r="MA8" s="3">
        <v>1087856</v>
      </c>
      <c r="MB8" s="3">
        <v>1092519</v>
      </c>
      <c r="MC8" s="3">
        <v>1097225</v>
      </c>
      <c r="MD8" s="3">
        <v>1101974</v>
      </c>
      <c r="ME8" s="3">
        <v>1106822</v>
      </c>
      <c r="MF8" s="3">
        <v>1111607</v>
      </c>
      <c r="MG8" s="3">
        <v>1116394</v>
      </c>
      <c r="MH8" s="3">
        <v>1121202</v>
      </c>
      <c r="MI8" s="3">
        <v>1125975</v>
      </c>
      <c r="MJ8" s="3">
        <v>1130787</v>
      </c>
      <c r="MK8" s="3">
        <v>1135640</v>
      </c>
      <c r="ML8" s="3">
        <v>1140522</v>
      </c>
      <c r="MM8" s="3">
        <v>1145442</v>
      </c>
      <c r="MN8" s="3">
        <v>1150330</v>
      </c>
      <c r="MO8" s="3">
        <v>1155245</v>
      </c>
      <c r="MP8" s="3">
        <v>1160198</v>
      </c>
      <c r="MQ8" s="3">
        <v>1165149</v>
      </c>
      <c r="MR8" s="3">
        <v>1170096</v>
      </c>
      <c r="MS8" s="3">
        <v>1175054</v>
      </c>
      <c r="MT8" s="3">
        <v>1180032</v>
      </c>
      <c r="MU8" t="s">
        <v>415</v>
      </c>
      <c r="MV8" t="b">
        <v>1</v>
      </c>
      <c r="MW8" s="1" t="s">
        <v>386</v>
      </c>
      <c r="MX8" t="s">
        <v>377</v>
      </c>
      <c r="MY8">
        <v>2025</v>
      </c>
      <c r="MZ8">
        <v>2</v>
      </c>
      <c r="NA8" t="s">
        <v>377</v>
      </c>
      <c r="NB8" s="1" t="s">
        <v>416</v>
      </c>
      <c r="NC8" s="1" t="s">
        <v>417</v>
      </c>
      <c r="ND8" t="s">
        <v>418</v>
      </c>
      <c r="NE8" t="s">
        <v>381</v>
      </c>
      <c r="NF8" s="1" t="s">
        <v>872</v>
      </c>
    </row>
    <row r="9" spans="1:370" x14ac:dyDescent="0.25">
      <c r="A9" t="s">
        <v>370</v>
      </c>
      <c r="B9" t="s">
        <v>429</v>
      </c>
      <c r="C9" s="1" t="s">
        <v>871</v>
      </c>
      <c r="D9" t="s">
        <v>372</v>
      </c>
      <c r="E9" t="s">
        <v>373</v>
      </c>
      <c r="F9" t="s">
        <v>374</v>
      </c>
      <c r="G9" s="2">
        <v>-145</v>
      </c>
      <c r="H9" s="2">
        <v>-1195</v>
      </c>
      <c r="I9" s="2">
        <v>-676</v>
      </c>
      <c r="J9" s="2">
        <v>-724</v>
      </c>
      <c r="K9" s="2">
        <v>-788</v>
      </c>
      <c r="L9" s="2">
        <v>-631</v>
      </c>
      <c r="M9" s="2">
        <v>-1345</v>
      </c>
      <c r="N9" s="2">
        <v>-1546</v>
      </c>
      <c r="O9" s="2">
        <v>-2070</v>
      </c>
      <c r="P9" s="2">
        <v>-1658</v>
      </c>
      <c r="Q9" s="2">
        <v>-1874</v>
      </c>
      <c r="R9" s="2">
        <v>-1609</v>
      </c>
      <c r="S9" s="2">
        <v>-2510</v>
      </c>
      <c r="T9" s="2">
        <v>-1926</v>
      </c>
      <c r="U9" s="2">
        <v>-2444</v>
      </c>
      <c r="V9" s="2">
        <v>-1081</v>
      </c>
      <c r="W9" s="2">
        <v>-1553</v>
      </c>
      <c r="X9" s="2">
        <v>-1256</v>
      </c>
      <c r="Y9" s="2">
        <v>-1656</v>
      </c>
      <c r="Z9" s="2">
        <v>-1371</v>
      </c>
      <c r="AA9" s="2">
        <v>-2141</v>
      </c>
      <c r="AB9" s="2">
        <v>-1905</v>
      </c>
      <c r="AC9" s="2">
        <v>-2710</v>
      </c>
      <c r="AD9" s="2">
        <v>-1578</v>
      </c>
      <c r="AE9" s="2">
        <v>-2492</v>
      </c>
      <c r="AF9" s="2">
        <v>-2137</v>
      </c>
      <c r="AG9" s="2">
        <v>-2934</v>
      </c>
      <c r="AH9" s="2">
        <v>-1801</v>
      </c>
      <c r="AI9" s="2">
        <v>-1674</v>
      </c>
      <c r="AJ9" s="2">
        <v>-3351</v>
      </c>
      <c r="AK9" s="2">
        <v>-3213</v>
      </c>
      <c r="AL9" s="2">
        <v>-1803</v>
      </c>
      <c r="AM9" s="2">
        <v>-3170</v>
      </c>
      <c r="AN9" s="2">
        <v>-3679</v>
      </c>
      <c r="AO9" s="2">
        <v>-2967</v>
      </c>
      <c r="AP9" s="2">
        <v>991</v>
      </c>
      <c r="AQ9" s="2">
        <v>-344</v>
      </c>
      <c r="AR9" s="2">
        <v>-2938</v>
      </c>
      <c r="AS9" s="2">
        <v>-2421</v>
      </c>
      <c r="AT9" s="2">
        <v>-1656</v>
      </c>
      <c r="AU9" s="2">
        <v>-1527</v>
      </c>
      <c r="AV9" s="2">
        <v>-4050</v>
      </c>
      <c r="AW9" s="2">
        <v>-4112</v>
      </c>
      <c r="AX9" s="2">
        <v>-893</v>
      </c>
      <c r="AY9" s="2">
        <v>-2747</v>
      </c>
      <c r="AZ9" s="2">
        <v>-4927</v>
      </c>
      <c r="BA9" s="2">
        <v>-2934</v>
      </c>
      <c r="BB9" s="2">
        <v>-1815</v>
      </c>
      <c r="BC9" s="2">
        <v>-2859</v>
      </c>
      <c r="BD9" s="2">
        <v>-4910</v>
      </c>
      <c r="BE9" s="2">
        <v>-1575</v>
      </c>
      <c r="BF9" s="2">
        <v>-1219</v>
      </c>
      <c r="BG9" s="2">
        <v>-1330</v>
      </c>
      <c r="BH9" s="2">
        <v>-3479</v>
      </c>
      <c r="BI9" s="2">
        <v>-3898</v>
      </c>
      <c r="BJ9" s="2">
        <v>-250</v>
      </c>
      <c r="BK9" s="2">
        <v>-855</v>
      </c>
      <c r="BL9" s="2">
        <v>-4353</v>
      </c>
      <c r="BM9" s="2">
        <v>-1823</v>
      </c>
      <c r="BN9" s="2">
        <v>101</v>
      </c>
      <c r="BO9" s="2">
        <v>1001</v>
      </c>
      <c r="BP9" s="2">
        <v>-1693</v>
      </c>
      <c r="BQ9" s="2">
        <v>1095</v>
      </c>
      <c r="BR9" s="2">
        <v>2730</v>
      </c>
      <c r="BS9" s="2">
        <v>3398</v>
      </c>
      <c r="BT9" s="2">
        <v>-2035</v>
      </c>
      <c r="BU9" s="2">
        <v>-784</v>
      </c>
      <c r="BV9" s="2">
        <v>2538</v>
      </c>
      <c r="BW9" s="2">
        <v>157</v>
      </c>
      <c r="BX9" s="2">
        <v>-3212</v>
      </c>
      <c r="BY9" s="2">
        <v>-1084</v>
      </c>
      <c r="BZ9" s="2">
        <v>-1129</v>
      </c>
      <c r="CA9" s="2">
        <v>-1890</v>
      </c>
      <c r="CB9" s="2">
        <v>-7462</v>
      </c>
      <c r="CC9" s="2">
        <v>-5732</v>
      </c>
      <c r="CD9" s="2">
        <v>-4106</v>
      </c>
      <c r="CE9" s="2">
        <v>-6464</v>
      </c>
      <c r="CF9" s="2">
        <v>-13625</v>
      </c>
      <c r="CG9" s="2">
        <v>-10937</v>
      </c>
      <c r="CH9" s="2">
        <v>-9142</v>
      </c>
      <c r="CI9" s="2">
        <v>-12848</v>
      </c>
      <c r="CJ9" s="2">
        <v>-15714</v>
      </c>
      <c r="CK9" s="2">
        <v>-12329</v>
      </c>
      <c r="CL9" s="2">
        <v>-10500</v>
      </c>
      <c r="CM9" s="2">
        <v>-13013</v>
      </c>
      <c r="CN9" s="2">
        <v>-14620</v>
      </c>
      <c r="CO9" s="2">
        <v>-10958</v>
      </c>
      <c r="CP9" s="2">
        <v>-7891</v>
      </c>
      <c r="CQ9" s="2">
        <v>-10335</v>
      </c>
      <c r="CR9" s="2">
        <v>-12054</v>
      </c>
      <c r="CS9" s="2">
        <v>-10371</v>
      </c>
      <c r="CT9" s="2">
        <v>-6400</v>
      </c>
      <c r="CU9" s="2">
        <v>-6485</v>
      </c>
      <c r="CV9" s="2">
        <v>-13912</v>
      </c>
      <c r="CW9" s="2">
        <v>-8259.0010000000002</v>
      </c>
      <c r="CX9" s="2">
        <v>-1184</v>
      </c>
      <c r="CY9" s="2">
        <v>-4621</v>
      </c>
      <c r="CZ9" s="2">
        <v>-10818</v>
      </c>
      <c r="DA9" s="2">
        <v>-6002</v>
      </c>
      <c r="DB9" s="2">
        <v>2298</v>
      </c>
      <c r="DC9" s="2">
        <v>4223</v>
      </c>
      <c r="DD9" s="2">
        <v>-9178.0010000000002</v>
      </c>
      <c r="DE9" s="2">
        <v>-1093</v>
      </c>
      <c r="DF9" s="2">
        <v>2416</v>
      </c>
      <c r="DG9" s="2">
        <v>7897</v>
      </c>
      <c r="DH9" s="2">
        <v>-6236</v>
      </c>
      <c r="DI9" s="2">
        <v>1810</v>
      </c>
      <c r="DJ9" s="2">
        <v>4136</v>
      </c>
      <c r="DK9" s="2">
        <v>11619</v>
      </c>
      <c r="DL9" s="2">
        <v>3775</v>
      </c>
      <c r="DM9" s="2">
        <v>4577</v>
      </c>
      <c r="DN9" s="2">
        <v>-3613</v>
      </c>
      <c r="DO9" s="2">
        <v>11478</v>
      </c>
      <c r="DP9" s="2">
        <v>-577</v>
      </c>
      <c r="DQ9" s="2">
        <v>1588</v>
      </c>
      <c r="DR9" s="2">
        <v>-9504</v>
      </c>
      <c r="DS9" s="2">
        <v>2702</v>
      </c>
      <c r="DT9" s="2">
        <v>-9260.9989999999998</v>
      </c>
      <c r="DU9" s="2">
        <v>-5938</v>
      </c>
      <c r="DV9" s="2">
        <v>-13950</v>
      </c>
      <c r="DW9" s="2">
        <v>-6133</v>
      </c>
      <c r="DX9" s="2">
        <v>-13802</v>
      </c>
      <c r="DY9" s="2">
        <v>-11795</v>
      </c>
      <c r="DZ9" s="2">
        <v>-15068</v>
      </c>
      <c r="EA9" s="2">
        <v>-3278</v>
      </c>
      <c r="EB9" s="2">
        <v>-16087</v>
      </c>
      <c r="EC9" s="2">
        <v>-13073</v>
      </c>
      <c r="ED9" s="2">
        <v>-16609</v>
      </c>
      <c r="EE9" s="2">
        <v>-6396</v>
      </c>
      <c r="EF9" s="2">
        <v>-13448</v>
      </c>
      <c r="EG9" s="2">
        <v>-10835</v>
      </c>
      <c r="EH9" s="2">
        <v>-18317</v>
      </c>
      <c r="EI9" s="2">
        <v>-3348</v>
      </c>
      <c r="EJ9" s="2">
        <v>-13332</v>
      </c>
      <c r="EK9" s="2">
        <v>-11687</v>
      </c>
      <c r="EL9" s="2">
        <v>-15903</v>
      </c>
      <c r="EM9" s="2">
        <v>-680</v>
      </c>
      <c r="EN9" s="2">
        <v>-12355</v>
      </c>
      <c r="EO9" s="2">
        <v>-11388</v>
      </c>
      <c r="EP9" s="2">
        <v>-18021</v>
      </c>
      <c r="EQ9" s="2">
        <v>-3927</v>
      </c>
      <c r="ER9" s="2">
        <v>-20841</v>
      </c>
      <c r="ES9" s="2">
        <v>-25313</v>
      </c>
      <c r="ET9" s="2">
        <v>-38576</v>
      </c>
      <c r="EU9" s="2">
        <v>-32242</v>
      </c>
      <c r="EV9" s="2">
        <v>-41170</v>
      </c>
      <c r="EW9" s="2">
        <v>-37845</v>
      </c>
      <c r="EX9" s="2">
        <v>-50508</v>
      </c>
      <c r="EY9" s="2">
        <v>-30893</v>
      </c>
      <c r="EZ9" s="2">
        <v>-34510</v>
      </c>
      <c r="FA9" s="2">
        <v>-36482</v>
      </c>
      <c r="FB9" s="2">
        <v>-46076</v>
      </c>
      <c r="FC9" s="2">
        <v>-24421</v>
      </c>
      <c r="FD9" s="2">
        <v>-31275</v>
      </c>
      <c r="FE9" s="2">
        <v>-27878</v>
      </c>
      <c r="FF9" s="2">
        <v>-37732</v>
      </c>
      <c r="FG9" s="2">
        <v>-23778</v>
      </c>
      <c r="FH9" s="2">
        <v>-43409</v>
      </c>
      <c r="FI9" s="2">
        <v>-25202</v>
      </c>
      <c r="FJ9" s="2">
        <v>-37969</v>
      </c>
      <c r="FK9" s="2">
        <v>-17229</v>
      </c>
      <c r="FL9" s="2">
        <v>-29110</v>
      </c>
      <c r="FM9" s="2">
        <v>-24341</v>
      </c>
      <c r="FN9" s="2">
        <v>-33854</v>
      </c>
      <c r="FO9" s="2">
        <v>-16172</v>
      </c>
      <c r="FP9" s="2">
        <v>-30912</v>
      </c>
      <c r="FQ9" s="2">
        <v>-25181</v>
      </c>
      <c r="FR9" s="2">
        <v>-32656</v>
      </c>
      <c r="FS9" s="2">
        <v>-9625</v>
      </c>
      <c r="FT9" s="2">
        <v>-27526</v>
      </c>
      <c r="FU9" s="2">
        <v>-22286</v>
      </c>
      <c r="FV9" s="2">
        <v>-27282</v>
      </c>
      <c r="FW9" s="2">
        <v>-4526</v>
      </c>
      <c r="FX9" s="2">
        <v>-24642</v>
      </c>
      <c r="FY9" s="2">
        <v>-18978</v>
      </c>
      <c r="FZ9" s="2">
        <v>-20314</v>
      </c>
      <c r="GA9" s="2">
        <v>6273</v>
      </c>
      <c r="GB9" s="2">
        <v>-26441</v>
      </c>
      <c r="GC9" s="2">
        <v>-15685</v>
      </c>
      <c r="GD9" s="2">
        <v>-19000</v>
      </c>
      <c r="GE9" s="2">
        <v>1372</v>
      </c>
      <c r="GF9" s="2">
        <v>-19008</v>
      </c>
      <c r="GG9" s="2">
        <v>-13638</v>
      </c>
      <c r="GH9" s="2">
        <v>-20520</v>
      </c>
      <c r="GI9" s="2">
        <v>8444</v>
      </c>
      <c r="GJ9" s="2">
        <v>-23345</v>
      </c>
      <c r="GK9" s="2">
        <v>-13255</v>
      </c>
      <c r="GL9" s="2">
        <v>-23425</v>
      </c>
      <c r="GM9" s="2">
        <v>-968</v>
      </c>
      <c r="GN9" s="2">
        <v>-133236</v>
      </c>
      <c r="GO9" s="2">
        <v>-74688.009999999995</v>
      </c>
      <c r="GP9" s="2">
        <v>-64062</v>
      </c>
      <c r="GQ9" s="2">
        <v>-42053</v>
      </c>
      <c r="GR9" s="2">
        <v>-59883</v>
      </c>
      <c r="GS9" s="2">
        <v>-35548</v>
      </c>
      <c r="GT9" s="2">
        <v>-25609</v>
      </c>
      <c r="GU9" s="2">
        <v>-1051</v>
      </c>
      <c r="GV9" s="2">
        <v>-41295</v>
      </c>
      <c r="GW9" s="2">
        <v>-24034</v>
      </c>
      <c r="GX9" s="2">
        <v>-42247</v>
      </c>
      <c r="GY9" s="2">
        <v>-19542</v>
      </c>
      <c r="GZ9" s="2">
        <v>-54152</v>
      </c>
      <c r="HA9" s="2">
        <v>-29024</v>
      </c>
      <c r="HB9" s="2">
        <v>-38700</v>
      </c>
      <c r="HC9" s="2">
        <v>-10185</v>
      </c>
      <c r="HD9" s="2">
        <v>-49863</v>
      </c>
      <c r="HE9" s="2">
        <v>-35908</v>
      </c>
      <c r="HF9" s="2">
        <v>-50053</v>
      </c>
      <c r="HG9" s="2">
        <v>-12462</v>
      </c>
      <c r="HH9" s="2">
        <v>-58927</v>
      </c>
      <c r="HI9" s="3">
        <v>-21963.439999999999</v>
      </c>
      <c r="HJ9" s="3">
        <v>-41395.06</v>
      </c>
      <c r="HK9" s="3">
        <v>-3114.7190000000001</v>
      </c>
      <c r="HL9" s="3">
        <v>-43939.06</v>
      </c>
      <c r="HM9" s="3">
        <v>-21455.53</v>
      </c>
      <c r="HN9" s="3">
        <v>-41569.660000000003</v>
      </c>
      <c r="HO9" s="3">
        <v>-766.9375</v>
      </c>
      <c r="HP9" s="3">
        <v>-39941.25</v>
      </c>
      <c r="HQ9" s="3">
        <v>-16513.13</v>
      </c>
      <c r="HR9" s="3">
        <v>-37227.53</v>
      </c>
      <c r="HS9" s="3">
        <v>5696.9059999999999</v>
      </c>
      <c r="HT9" s="3">
        <v>-40200.25</v>
      </c>
      <c r="HU9" s="3">
        <v>-15760.5</v>
      </c>
      <c r="HV9" s="3">
        <v>-37144.379999999997</v>
      </c>
      <c r="HW9" s="3">
        <v>8330.4689999999991</v>
      </c>
      <c r="HX9" s="3">
        <v>-40595.910000000003</v>
      </c>
      <c r="HY9" s="3">
        <v>-15080.47</v>
      </c>
      <c r="HZ9" s="3">
        <v>-37223.03</v>
      </c>
      <c r="IA9" s="3">
        <v>10815.53</v>
      </c>
      <c r="IB9" s="3">
        <v>-44788.91</v>
      </c>
      <c r="IC9" s="3">
        <v>-18355.13</v>
      </c>
      <c r="ID9" s="3">
        <v>-41300.089999999997</v>
      </c>
      <c r="IE9" s="3">
        <v>8395.8439999999991</v>
      </c>
      <c r="IF9" s="3">
        <v>-49094.91</v>
      </c>
      <c r="IG9" s="3">
        <v>-21807.16</v>
      </c>
      <c r="IH9" s="3">
        <v>-45772.97</v>
      </c>
      <c r="II9" s="3">
        <v>7203.0630000000001</v>
      </c>
      <c r="IJ9" s="3">
        <v>-52315.16</v>
      </c>
      <c r="IK9" s="3">
        <v>-24008.25</v>
      </c>
      <c r="IL9" s="3">
        <v>-48929.16</v>
      </c>
      <c r="IM9" s="3">
        <v>5936.1559999999999</v>
      </c>
      <c r="IN9" s="3">
        <v>-55708.06</v>
      </c>
      <c r="IO9" s="3">
        <v>-26342.34</v>
      </c>
      <c r="IP9" s="3">
        <v>-52236.22</v>
      </c>
      <c r="IQ9" s="3">
        <v>4558</v>
      </c>
      <c r="IR9" s="3">
        <v>-59256.75</v>
      </c>
      <c r="IS9" s="3">
        <v>-28809.06</v>
      </c>
      <c r="IT9" s="3">
        <v>-55715.06</v>
      </c>
      <c r="IU9" s="3">
        <v>3065.9380000000001</v>
      </c>
      <c r="IV9" s="3">
        <v>-62989.38</v>
      </c>
      <c r="IW9" s="3">
        <v>-31424.44</v>
      </c>
      <c r="IX9" s="3">
        <v>-59387.69</v>
      </c>
      <c r="IY9" s="3">
        <v>1950.25</v>
      </c>
      <c r="IZ9" s="3">
        <v>-66523.09</v>
      </c>
      <c r="JA9" s="3">
        <v>-33768.160000000003</v>
      </c>
      <c r="JB9" s="3">
        <v>-62842.31</v>
      </c>
      <c r="JC9" s="3">
        <v>744.375</v>
      </c>
      <c r="JD9" s="3">
        <v>-70248.03</v>
      </c>
      <c r="JE9" s="3">
        <v>-36250.81</v>
      </c>
      <c r="JF9" s="3">
        <v>-66479.5</v>
      </c>
      <c r="JG9" s="3">
        <v>-557.5625</v>
      </c>
      <c r="JH9" s="3">
        <v>-74166.880000000005</v>
      </c>
      <c r="JI9" s="3">
        <v>-38877.839999999997</v>
      </c>
      <c r="JJ9" s="3">
        <v>-70309.22</v>
      </c>
      <c r="JK9" s="3">
        <v>-1961.5630000000001</v>
      </c>
      <c r="JL9" s="3">
        <v>-78291.47</v>
      </c>
      <c r="JM9" s="3">
        <v>-41658.559999999998</v>
      </c>
      <c r="JN9" s="3">
        <v>-74344.53</v>
      </c>
      <c r="JO9" s="3">
        <v>-3474.1880000000001</v>
      </c>
      <c r="JP9" s="3">
        <v>-82632.03</v>
      </c>
      <c r="JQ9" s="3">
        <v>-44600</v>
      </c>
      <c r="JR9" s="3">
        <v>-78592.53</v>
      </c>
      <c r="JS9" s="3">
        <v>-3748.5</v>
      </c>
      <c r="JT9" s="3">
        <v>-85773.06</v>
      </c>
      <c r="JU9" s="3">
        <v>-46283.19</v>
      </c>
      <c r="JV9" s="3">
        <v>-81571.75</v>
      </c>
      <c r="JW9" s="3">
        <v>-3862.375</v>
      </c>
      <c r="JX9" s="3">
        <v>-89060.31</v>
      </c>
      <c r="JY9" s="3">
        <v>-48056.19</v>
      </c>
      <c r="JZ9" s="3">
        <v>-84691</v>
      </c>
      <c r="KA9" s="3">
        <v>-4017.1880000000001</v>
      </c>
      <c r="KB9" s="3">
        <v>-92446.94</v>
      </c>
      <c r="KC9" s="3">
        <v>-49882.31</v>
      </c>
      <c r="KD9" s="3">
        <v>-87901.06</v>
      </c>
      <c r="KE9" s="3">
        <v>-4179.625</v>
      </c>
      <c r="KF9" s="3">
        <v>-95923.44</v>
      </c>
      <c r="KG9" s="3">
        <v>-51755.44</v>
      </c>
      <c r="KH9" s="3">
        <v>-91187</v>
      </c>
      <c r="KI9" s="3">
        <v>-4355</v>
      </c>
      <c r="KJ9" s="3">
        <v>-99457.31</v>
      </c>
      <c r="KK9" s="3">
        <v>-53660.88</v>
      </c>
      <c r="KL9" s="3">
        <v>-94536.38</v>
      </c>
      <c r="KM9" s="3">
        <v>-4525</v>
      </c>
      <c r="KN9" s="3">
        <v>-103082.4</v>
      </c>
      <c r="KO9" s="3">
        <v>-55616.69</v>
      </c>
      <c r="KP9" s="3">
        <v>-97980.5</v>
      </c>
      <c r="KQ9" s="3">
        <v>-4691.5630000000001</v>
      </c>
      <c r="KR9" s="3">
        <v>-106834.1</v>
      </c>
      <c r="KS9" s="3">
        <v>-57639.5</v>
      </c>
      <c r="KT9" s="3">
        <v>-101538.1</v>
      </c>
      <c r="KU9" s="3">
        <v>-4869.875</v>
      </c>
      <c r="KV9" s="3">
        <v>-110691.6</v>
      </c>
      <c r="KW9" s="3">
        <v>-59720.19</v>
      </c>
      <c r="KX9" s="3">
        <v>-105199.8</v>
      </c>
      <c r="KY9" s="3">
        <v>-5050.0630000000001</v>
      </c>
      <c r="KZ9" s="3">
        <v>-114671.6</v>
      </c>
      <c r="LA9" s="3">
        <v>-61865.88</v>
      </c>
      <c r="LB9" s="3">
        <v>-108970.5</v>
      </c>
      <c r="LC9" s="3">
        <v>-5242.5630000000001</v>
      </c>
      <c r="LD9" s="3">
        <v>-118750.39999999999</v>
      </c>
      <c r="LE9" s="3">
        <v>-64065.75</v>
      </c>
      <c r="LF9" s="3">
        <v>-112840.8</v>
      </c>
      <c r="LG9" s="3">
        <v>-5434.5630000000001</v>
      </c>
      <c r="LH9" s="3">
        <v>-122952.4</v>
      </c>
      <c r="LI9" s="3">
        <v>-66331.63</v>
      </c>
      <c r="LJ9" s="3">
        <v>-116825.8</v>
      </c>
      <c r="LK9" s="3">
        <v>-5634.3130000000001</v>
      </c>
      <c r="LL9" s="3">
        <v>-127273.3</v>
      </c>
      <c r="LM9" s="3">
        <v>-68661.06</v>
      </c>
      <c r="LN9" s="3">
        <v>-120917.9</v>
      </c>
      <c r="LO9" s="3">
        <v>-5844.8130000000001</v>
      </c>
      <c r="LP9" s="3">
        <v>-131696</v>
      </c>
      <c r="LQ9" s="3">
        <v>-71046.5</v>
      </c>
      <c r="LR9" s="3">
        <v>-125116.4</v>
      </c>
      <c r="LS9" s="3">
        <v>-6051.1880000000001</v>
      </c>
      <c r="LT9" s="3">
        <v>-136259.6</v>
      </c>
      <c r="LU9" s="3">
        <v>-73507.25</v>
      </c>
      <c r="LV9" s="3">
        <v>-129443.3</v>
      </c>
      <c r="LW9" s="3">
        <v>-6268.8130000000001</v>
      </c>
      <c r="LX9" s="3">
        <v>-140949.5</v>
      </c>
      <c r="LY9" s="3">
        <v>-76036.13</v>
      </c>
      <c r="LZ9" s="3">
        <v>-133890.1</v>
      </c>
      <c r="MA9" s="3">
        <v>-6492.75</v>
      </c>
      <c r="MB9" s="3">
        <v>-145768.79999999999</v>
      </c>
      <c r="MC9" s="3">
        <v>-78635.31</v>
      </c>
      <c r="MD9" s="3">
        <v>-138463.6</v>
      </c>
      <c r="ME9" s="3">
        <v>-6718.875</v>
      </c>
      <c r="MF9" s="3">
        <v>-150737.60000000001</v>
      </c>
      <c r="MG9" s="3">
        <v>-81315.94</v>
      </c>
      <c r="MH9" s="3">
        <v>-143183.79999999999</v>
      </c>
      <c r="MI9" s="3">
        <v>-6947.5</v>
      </c>
      <c r="MJ9" s="3">
        <v>-155877.29999999999</v>
      </c>
      <c r="MK9" s="3">
        <v>-84087.5</v>
      </c>
      <c r="ML9" s="3">
        <v>-148058.9</v>
      </c>
      <c r="MM9" s="3">
        <v>-7190.5</v>
      </c>
      <c r="MN9" s="3">
        <v>-161165.70000000001</v>
      </c>
      <c r="MO9" s="3">
        <v>-86940.88</v>
      </c>
      <c r="MP9" s="3">
        <v>-153082.6</v>
      </c>
      <c r="MQ9" s="3">
        <v>-7435.25</v>
      </c>
      <c r="MR9" s="3">
        <v>-166635.6</v>
      </c>
      <c r="MS9" s="3">
        <v>-89890.13</v>
      </c>
      <c r="MT9" s="3">
        <v>-158274.1</v>
      </c>
      <c r="MU9" t="s">
        <v>375</v>
      </c>
      <c r="MV9" t="b">
        <v>1</v>
      </c>
      <c r="MW9" t="s">
        <v>377</v>
      </c>
      <c r="MX9" t="s">
        <v>377</v>
      </c>
      <c r="MY9">
        <v>2025</v>
      </c>
      <c r="MZ9">
        <v>2</v>
      </c>
      <c r="NA9" t="s">
        <v>377</v>
      </c>
      <c r="NB9" s="1" t="s">
        <v>430</v>
      </c>
      <c r="NC9" t="s">
        <v>431</v>
      </c>
      <c r="ND9" t="s">
        <v>380</v>
      </c>
      <c r="NE9" t="s">
        <v>432</v>
      </c>
      <c r="NF9" s="1" t="s">
        <v>872</v>
      </c>
    </row>
    <row r="10" spans="1:370" x14ac:dyDescent="0.25">
      <c r="A10" t="s">
        <v>382</v>
      </c>
      <c r="B10" t="s">
        <v>433</v>
      </c>
      <c r="C10" s="1" t="s">
        <v>871</v>
      </c>
      <c r="D10" t="s">
        <v>383</v>
      </c>
      <c r="E10" t="s">
        <v>384</v>
      </c>
      <c r="F10" t="s">
        <v>374</v>
      </c>
      <c r="G10" s="2">
        <v>-11.26225</v>
      </c>
      <c r="H10" s="2">
        <v>-11.97875</v>
      </c>
      <c r="I10" s="2">
        <v>-10.911250000000001</v>
      </c>
      <c r="J10" s="2">
        <v>-10.439</v>
      </c>
      <c r="K10" s="2">
        <v>-12.25375</v>
      </c>
      <c r="L10" s="2">
        <v>-14.067500000000001</v>
      </c>
      <c r="M10" s="2">
        <v>-13.9215</v>
      </c>
      <c r="N10" s="2">
        <v>-19.52225</v>
      </c>
      <c r="O10" s="2">
        <v>-27.949750000000002</v>
      </c>
      <c r="P10" s="2">
        <v>-39.512500000000003</v>
      </c>
      <c r="Q10" s="2">
        <v>-29.704750000000001</v>
      </c>
      <c r="R10" s="2">
        <v>-31.439</v>
      </c>
      <c r="S10" s="2">
        <v>-28.024750000000001</v>
      </c>
      <c r="T10" s="2">
        <v>-25.544750000000001</v>
      </c>
      <c r="U10" s="2">
        <v>-25.784749999999999</v>
      </c>
      <c r="V10" s="2">
        <v>-25.148</v>
      </c>
      <c r="W10" s="2">
        <v>-21.460999999999999</v>
      </c>
      <c r="X10" s="2">
        <v>-21.699000000000002</v>
      </c>
      <c r="Y10" s="2">
        <v>-22.277999999999999</v>
      </c>
      <c r="Z10" s="2">
        <v>-22.713000000000001</v>
      </c>
      <c r="AA10" s="2">
        <v>-23.0655</v>
      </c>
      <c r="AB10" s="2">
        <v>-19.387499999999999</v>
      </c>
      <c r="AC10" s="2">
        <v>-20.11525</v>
      </c>
      <c r="AD10" s="2">
        <v>-18.600999999999999</v>
      </c>
      <c r="AE10" s="2">
        <v>-16.863250000000001</v>
      </c>
      <c r="AF10" s="2">
        <v>-18.222000000000001</v>
      </c>
      <c r="AG10" s="2">
        <v>-20.598500000000001</v>
      </c>
      <c r="AH10" s="2">
        <v>-22.878499999999999</v>
      </c>
      <c r="AI10" s="2">
        <v>-26.833749999999998</v>
      </c>
      <c r="AJ10" s="2">
        <v>-34.053249999999998</v>
      </c>
      <c r="AK10" s="2">
        <v>-35.22325</v>
      </c>
      <c r="AL10" s="2">
        <v>-32.162750000000003</v>
      </c>
      <c r="AM10" s="2">
        <v>-28.623750000000001</v>
      </c>
      <c r="AN10" s="2">
        <v>-30.043749999999999</v>
      </c>
      <c r="AO10" s="2">
        <v>-31.364999999999998</v>
      </c>
      <c r="AP10" s="2">
        <v>-40.436500000000002</v>
      </c>
      <c r="AQ10" s="2">
        <v>-45.111499999999999</v>
      </c>
      <c r="AR10" s="2">
        <v>-49.078749999999999</v>
      </c>
      <c r="AS10" s="2">
        <v>-58.131500000000003</v>
      </c>
      <c r="AT10" s="2">
        <v>-67.804249999999996</v>
      </c>
      <c r="AU10" s="2">
        <v>-68.061000000000007</v>
      </c>
      <c r="AV10" s="2">
        <v>-65.452500000000001</v>
      </c>
      <c r="AW10" s="2">
        <v>-68.011750000000006</v>
      </c>
      <c r="AX10" s="2">
        <v>-63.712000000000003</v>
      </c>
      <c r="AY10" s="2">
        <v>-57.578749999999999</v>
      </c>
      <c r="AZ10" s="2">
        <v>-61.354999999999997</v>
      </c>
      <c r="BA10" s="2">
        <v>-63.138500000000001</v>
      </c>
      <c r="BB10" s="2">
        <v>-67.535749999999993</v>
      </c>
      <c r="BC10" s="2">
        <v>-57.966500000000003</v>
      </c>
      <c r="BD10" s="2">
        <v>-72.866</v>
      </c>
      <c r="BE10" s="2">
        <v>-69.164490000000001</v>
      </c>
      <c r="BF10" s="2">
        <v>-70.546250000000001</v>
      </c>
      <c r="BG10" s="2">
        <v>-69.484750000000005</v>
      </c>
      <c r="BH10" s="2">
        <v>-76.864249999999998</v>
      </c>
      <c r="BI10" s="2">
        <v>-79.046250000000001</v>
      </c>
      <c r="BJ10" s="2">
        <v>-71.27</v>
      </c>
      <c r="BK10" s="2">
        <v>-73.37424</v>
      </c>
      <c r="BL10" s="2">
        <v>-58.127749999999999</v>
      </c>
      <c r="BM10" s="2">
        <v>-64.236999999999995</v>
      </c>
      <c r="BN10" s="2">
        <v>-65.601489999999998</v>
      </c>
      <c r="BO10" s="2">
        <v>-62.976500000000001</v>
      </c>
      <c r="BP10" s="2">
        <v>-62.298000000000002</v>
      </c>
      <c r="BQ10" s="2">
        <v>-57.320999999999998</v>
      </c>
      <c r="BR10" s="2">
        <v>-60.847749999999998</v>
      </c>
      <c r="BS10" s="2">
        <v>-54.259</v>
      </c>
      <c r="BT10" s="2">
        <v>-61.297750000000001</v>
      </c>
      <c r="BU10" s="2">
        <v>-64.216759999999994</v>
      </c>
      <c r="BV10" s="2">
        <v>-69.887749999999997</v>
      </c>
      <c r="BW10" s="2">
        <v>-75.406750000000002</v>
      </c>
      <c r="BX10" s="2">
        <v>-78.295240000000007</v>
      </c>
      <c r="BY10" s="2">
        <v>-78.010999999999996</v>
      </c>
      <c r="BZ10" s="2">
        <v>-90.531750000000002</v>
      </c>
      <c r="CA10" s="2">
        <v>-78.295240000000007</v>
      </c>
      <c r="CB10" s="2">
        <v>-94.853750000000005</v>
      </c>
      <c r="CC10" s="2">
        <v>-103.8295</v>
      </c>
      <c r="CD10" s="2">
        <v>-105.94199999999999</v>
      </c>
      <c r="CE10" s="2">
        <v>-114.777</v>
      </c>
      <c r="CF10" s="2">
        <v>-116.71850000000001</v>
      </c>
      <c r="CG10" s="2">
        <v>-120.3043</v>
      </c>
      <c r="CH10" s="2">
        <v>-118.1052</v>
      </c>
      <c r="CI10" s="2">
        <v>-117.89100000000001</v>
      </c>
      <c r="CJ10" s="2">
        <v>-109.426</v>
      </c>
      <c r="CK10" s="2">
        <v>-110.2527</v>
      </c>
      <c r="CL10" s="2">
        <v>-99.058750000000003</v>
      </c>
      <c r="CM10" s="2">
        <v>-92.080250000000007</v>
      </c>
      <c r="CN10" s="2">
        <v>-86.451750000000004</v>
      </c>
      <c r="CO10" s="2">
        <v>-90.907250000000005</v>
      </c>
      <c r="CP10" s="2">
        <v>-93.019000000000005</v>
      </c>
      <c r="CQ10" s="2">
        <v>-92.740750000000006</v>
      </c>
      <c r="CR10" s="2">
        <v>-95.136759999999995</v>
      </c>
      <c r="CS10" s="2">
        <v>-91.813509999999994</v>
      </c>
      <c r="CT10" s="2">
        <v>-82.625</v>
      </c>
      <c r="CU10" s="2">
        <v>-83.498750000000001</v>
      </c>
      <c r="CV10" s="2">
        <v>-73.070760000000007</v>
      </c>
      <c r="CW10" s="2">
        <v>-68.582999999999998</v>
      </c>
      <c r="CX10" s="2">
        <v>-62.189749999999997</v>
      </c>
      <c r="CY10" s="2">
        <v>-54.208759999999998</v>
      </c>
      <c r="CZ10" s="2">
        <v>-49.821750000000002</v>
      </c>
      <c r="DA10" s="2">
        <v>-39.750500000000002</v>
      </c>
      <c r="DB10" s="2">
        <v>-40.748249999999999</v>
      </c>
      <c r="DC10" s="2">
        <v>-25.920999999999999</v>
      </c>
      <c r="DD10" s="2">
        <v>-25.850750000000001</v>
      </c>
      <c r="DE10" s="2">
        <v>-19.119250000000001</v>
      </c>
      <c r="DF10" s="2">
        <v>-15.787000000000001</v>
      </c>
      <c r="DG10" s="2">
        <v>-12.8385</v>
      </c>
      <c r="DH10" s="2">
        <v>-10.17075</v>
      </c>
      <c r="DI10" s="2">
        <v>-9.4542490000000008</v>
      </c>
      <c r="DJ10" s="2">
        <v>-12.23875</v>
      </c>
      <c r="DK10" s="2">
        <v>17.151499999999999</v>
      </c>
      <c r="DL10" s="2">
        <v>12.178750000000001</v>
      </c>
      <c r="DM10" s="2">
        <v>9.9915000000000003</v>
      </c>
      <c r="DN10" s="2">
        <v>0.629</v>
      </c>
      <c r="DO10" s="2">
        <v>-9.1652500000000003</v>
      </c>
      <c r="DP10" s="2">
        <v>-27.3</v>
      </c>
      <c r="DQ10" s="2">
        <v>-83.220249999999993</v>
      </c>
      <c r="DR10" s="2">
        <v>-74.771749999999997</v>
      </c>
      <c r="DS10" s="2">
        <v>-128.45650000000001</v>
      </c>
      <c r="DT10" s="2">
        <v>-138.95769999999999</v>
      </c>
      <c r="DU10" s="2">
        <v>-144.0675</v>
      </c>
      <c r="DV10" s="2">
        <v>-159.29900000000001</v>
      </c>
      <c r="DW10" s="2">
        <v>-171.36519999999999</v>
      </c>
      <c r="DX10" s="2">
        <v>-183.84399999999999</v>
      </c>
      <c r="DY10" s="2">
        <v>-198.2697</v>
      </c>
      <c r="DZ10" s="2">
        <v>-176.48179999999999</v>
      </c>
      <c r="EA10" s="2">
        <v>-184.8245</v>
      </c>
      <c r="EB10" s="2">
        <v>-178.38900000000001</v>
      </c>
      <c r="EC10" s="2">
        <v>-172.61420000000001</v>
      </c>
      <c r="ED10" s="2">
        <v>-166.65430000000001</v>
      </c>
      <c r="EE10" s="2">
        <v>-145.29400000000001</v>
      </c>
      <c r="EF10" s="2">
        <v>-144.00129999999999</v>
      </c>
      <c r="EG10" s="2">
        <v>-157.6183</v>
      </c>
      <c r="EH10" s="2">
        <v>-137.4478</v>
      </c>
      <c r="EI10" s="2">
        <v>-119.2255</v>
      </c>
      <c r="EJ10" s="2">
        <v>-118.02500000000001</v>
      </c>
      <c r="EK10" s="2">
        <v>-117.7483</v>
      </c>
      <c r="EL10" s="2">
        <v>-121.09699999999999</v>
      </c>
      <c r="EM10" s="2">
        <v>-128.61070000000001</v>
      </c>
      <c r="EN10" s="2">
        <v>-131.61269999999999</v>
      </c>
      <c r="EO10" s="2">
        <v>-152.54400000000001</v>
      </c>
      <c r="EP10" s="2">
        <v>-168.1918</v>
      </c>
      <c r="EQ10" s="2">
        <v>-190.63749999999999</v>
      </c>
      <c r="ER10" s="2">
        <v>-283.62299999999999</v>
      </c>
      <c r="ES10" s="2">
        <v>-268.96019999999999</v>
      </c>
      <c r="ET10" s="2">
        <v>-297.51900000000001</v>
      </c>
      <c r="EU10" s="2">
        <v>-405.77600000000001</v>
      </c>
      <c r="EV10" s="2">
        <v>-460.56630000000001</v>
      </c>
      <c r="EW10" s="2">
        <v>-467.04719999999998</v>
      </c>
      <c r="EX10" s="2">
        <v>-453.00819999999999</v>
      </c>
      <c r="EY10" s="2">
        <v>-468.29500000000002</v>
      </c>
      <c r="EZ10" s="2">
        <v>-468.93880000000001</v>
      </c>
      <c r="FA10" s="2">
        <v>-450.14800000000002</v>
      </c>
      <c r="FB10" s="2">
        <v>-439.22500000000002</v>
      </c>
      <c r="FC10" s="2">
        <v>-425.86900000000003</v>
      </c>
      <c r="FD10" s="2">
        <v>-429.05829999999997</v>
      </c>
      <c r="FE10" s="2">
        <v>-418.0215</v>
      </c>
      <c r="FF10" s="2">
        <v>-409.50650000000002</v>
      </c>
      <c r="FG10" s="2">
        <v>-383.50319999999999</v>
      </c>
      <c r="FH10" s="2">
        <v>-378.95929999999998</v>
      </c>
      <c r="FI10" s="2">
        <v>-375.42430000000002</v>
      </c>
      <c r="FJ10" s="2">
        <v>-356.17950000000002</v>
      </c>
      <c r="FK10" s="2">
        <v>-282.64550000000003</v>
      </c>
      <c r="FL10" s="2">
        <v>-216.62119999999999</v>
      </c>
      <c r="FM10" s="2">
        <v>-266.7097</v>
      </c>
      <c r="FN10" s="2">
        <v>-221.5188</v>
      </c>
      <c r="FO10" s="2">
        <v>-220.97300000000001</v>
      </c>
      <c r="FP10" s="2">
        <v>-221.37049999999999</v>
      </c>
      <c r="FQ10" s="2">
        <v>-234.64429999999999</v>
      </c>
      <c r="FR10" s="2">
        <v>-234.85130000000001</v>
      </c>
      <c r="FS10" s="2">
        <v>-221.60730000000001</v>
      </c>
      <c r="FT10" s="2">
        <v>-218.15029999999999</v>
      </c>
      <c r="FU10" s="2">
        <v>-228.59379999999999</v>
      </c>
      <c r="FV10" s="2">
        <v>-197.77780000000001</v>
      </c>
      <c r="FW10" s="2">
        <v>-248.2165</v>
      </c>
      <c r="FX10" s="2">
        <v>-253.43819999999999</v>
      </c>
      <c r="FY10" s="2">
        <v>-254.0847</v>
      </c>
      <c r="FZ10" s="2">
        <v>-256.91250000000002</v>
      </c>
      <c r="GA10" s="2">
        <v>-264.25749999999999</v>
      </c>
      <c r="GB10" s="2">
        <v>-274.98750000000001</v>
      </c>
      <c r="GC10" s="2">
        <v>-280.18299999999999</v>
      </c>
      <c r="GD10" s="2">
        <v>-34.672750000000001</v>
      </c>
      <c r="GE10" s="2">
        <v>-294.99400000000003</v>
      </c>
      <c r="GF10" s="2">
        <v>-314.57299999999998</v>
      </c>
      <c r="GG10" s="2">
        <v>-308.77249999999998</v>
      </c>
      <c r="GH10" s="2">
        <v>-328.7355</v>
      </c>
      <c r="GI10" s="2">
        <v>-350.31880000000001</v>
      </c>
      <c r="GJ10" s="2">
        <v>-343.44099999999997</v>
      </c>
      <c r="GK10" s="2">
        <v>-362.81920000000002</v>
      </c>
      <c r="GL10" s="2">
        <v>-371.0598</v>
      </c>
      <c r="GM10" s="2">
        <v>-381.14</v>
      </c>
      <c r="GN10" s="2">
        <v>-1290.2149999999999</v>
      </c>
      <c r="GO10" s="2">
        <v>-934.78589999999997</v>
      </c>
      <c r="GP10" s="2">
        <v>-571.50049999999999</v>
      </c>
      <c r="GQ10" s="2">
        <v>-1169.9380000000001</v>
      </c>
      <c r="GR10" s="2">
        <v>-683.95529999999997</v>
      </c>
      <c r="GS10" s="2">
        <v>-553.58950000000004</v>
      </c>
      <c r="GT10" s="2">
        <v>-383.86680000000001</v>
      </c>
      <c r="GU10" s="2">
        <v>-214.46600000000001</v>
      </c>
      <c r="GV10" s="2">
        <v>-201.435</v>
      </c>
      <c r="GW10" s="2">
        <v>-291.4633</v>
      </c>
      <c r="GX10" s="2">
        <v>-332.517</v>
      </c>
      <c r="GY10" s="2">
        <v>-495.52269999999999</v>
      </c>
      <c r="GZ10" s="2">
        <v>-544.63120000000004</v>
      </c>
      <c r="HA10" s="2">
        <v>-548.08119999999997</v>
      </c>
      <c r="HB10" s="2">
        <v>-501.68729999999999</v>
      </c>
      <c r="HC10" s="2">
        <v>-517.42819999999995</v>
      </c>
      <c r="HD10" s="2">
        <v>-543.39779999999996</v>
      </c>
      <c r="HE10" s="2">
        <v>-576.54380000000003</v>
      </c>
      <c r="HF10" s="2">
        <v>-555.79139999999995</v>
      </c>
      <c r="HG10" s="2">
        <v>-551.36879999999996</v>
      </c>
      <c r="HH10" s="3">
        <v>-527.93600000000004</v>
      </c>
      <c r="HI10" s="3">
        <v>-528.12570000000005</v>
      </c>
      <c r="HJ10" s="3">
        <v>-555.85249999999996</v>
      </c>
      <c r="HK10" s="3">
        <v>-587.45349999999996</v>
      </c>
      <c r="HL10" s="3">
        <v>-611.72299999999996</v>
      </c>
      <c r="HM10" s="3">
        <v>-644.40049999999997</v>
      </c>
      <c r="HN10" s="3">
        <v>-645.74969999999996</v>
      </c>
      <c r="HO10" s="3">
        <v>-644.42600000000004</v>
      </c>
      <c r="HP10" s="3">
        <v>-648.14170000000001</v>
      </c>
      <c r="HQ10" s="3">
        <v>-653.72919999999999</v>
      </c>
      <c r="HR10" s="3">
        <v>-664.6241</v>
      </c>
      <c r="HS10" s="3">
        <v>-665.46190000000001</v>
      </c>
      <c r="HT10" s="3">
        <v>-671.97760000000005</v>
      </c>
      <c r="HU10" s="3">
        <v>-681.35220000000004</v>
      </c>
      <c r="HV10" s="3">
        <v>-680.27829999999994</v>
      </c>
      <c r="HW10" s="3">
        <v>-680.1481</v>
      </c>
      <c r="HX10" s="3">
        <v>-680.68510000000003</v>
      </c>
      <c r="HY10" s="3">
        <v>-680.9547</v>
      </c>
      <c r="HZ10" s="3">
        <v>-693.15660000000003</v>
      </c>
      <c r="IA10" s="3">
        <v>-702.62850000000003</v>
      </c>
      <c r="IB10" s="3">
        <v>-719.71939999999995</v>
      </c>
      <c r="IC10" s="3">
        <v>-732.92510000000004</v>
      </c>
      <c r="ID10" s="3">
        <v>-738.52120000000002</v>
      </c>
      <c r="IE10" s="3">
        <v>-744.47699999999998</v>
      </c>
      <c r="IF10" s="3">
        <v>-755.00319999999999</v>
      </c>
      <c r="IG10" s="3">
        <v>-760.81709999999998</v>
      </c>
      <c r="IH10" s="3">
        <v>-773.15480000000002</v>
      </c>
      <c r="II10" s="3">
        <v>-789.13789999999995</v>
      </c>
      <c r="IJ10" s="3">
        <v>-808.39589999999998</v>
      </c>
      <c r="IK10" s="3">
        <v>-822.39610000000005</v>
      </c>
      <c r="IL10" s="3">
        <v>-841.19219999999996</v>
      </c>
      <c r="IM10" s="3">
        <v>-862.3193</v>
      </c>
      <c r="IN10" s="3">
        <v>-887.71140000000003</v>
      </c>
      <c r="IO10" s="3">
        <v>-908.28290000000004</v>
      </c>
      <c r="IP10" s="3">
        <v>-914.49289999999996</v>
      </c>
      <c r="IQ10" s="3">
        <v>-918.27149999999995</v>
      </c>
      <c r="IR10" s="3">
        <v>-925.13959999999997</v>
      </c>
      <c r="IS10" s="3">
        <v>-930.82039999999995</v>
      </c>
      <c r="IT10" s="3">
        <v>-935.44349999999997</v>
      </c>
      <c r="IU10" s="3">
        <v>-941.01440000000002</v>
      </c>
      <c r="IV10" s="3">
        <v>-946.21720000000005</v>
      </c>
      <c r="IW10" s="3">
        <v>-951.35569999999996</v>
      </c>
      <c r="IX10" s="3">
        <v>-956.45519999999999</v>
      </c>
      <c r="IY10" s="3">
        <v>-961.49009999999998</v>
      </c>
      <c r="IZ10" s="3">
        <v>-966.47550000000001</v>
      </c>
      <c r="JA10" s="3">
        <v>-971.39829999999995</v>
      </c>
      <c r="JB10" s="3">
        <v>-976.26279999999997</v>
      </c>
      <c r="JC10" s="3">
        <v>-981.08889999999997</v>
      </c>
      <c r="JD10" s="3">
        <v>-985.84389999999996</v>
      </c>
      <c r="JE10" s="3">
        <v>-990.50369999999998</v>
      </c>
      <c r="JF10" s="3">
        <v>-995.09609999999998</v>
      </c>
      <c r="JG10" s="3">
        <v>-999.62339999999995</v>
      </c>
      <c r="JH10" s="3">
        <v>-1004.091</v>
      </c>
      <c r="JI10" s="3">
        <v>-1008.482</v>
      </c>
      <c r="JJ10" s="3">
        <v>-1012.799</v>
      </c>
      <c r="JK10" s="3">
        <v>-1017.056</v>
      </c>
      <c r="JL10" s="3">
        <v>-1021.252</v>
      </c>
      <c r="JM10" s="3">
        <v>-1025.3679999999999</v>
      </c>
      <c r="JN10" s="3">
        <v>-1029.43</v>
      </c>
      <c r="JO10" s="3">
        <v>-1033.415</v>
      </c>
      <c r="JP10" s="3">
        <v>-1037.336</v>
      </c>
      <c r="JQ10" s="3">
        <v>-1041.1859999999999</v>
      </c>
      <c r="JR10" s="3">
        <v>-1044.9670000000001</v>
      </c>
      <c r="JS10" s="3">
        <v>-1048.6790000000001</v>
      </c>
      <c r="JT10" s="3">
        <v>-1052.3040000000001</v>
      </c>
      <c r="JU10" s="3">
        <v>-1055.845</v>
      </c>
      <c r="JV10" s="3">
        <v>-1059.2819999999999</v>
      </c>
      <c r="JW10" s="3">
        <v>-1062.6489999999999</v>
      </c>
      <c r="JX10" s="3">
        <v>-1065.933</v>
      </c>
      <c r="JY10" s="3">
        <v>-1069.143</v>
      </c>
      <c r="JZ10" s="3">
        <v>-1072.252</v>
      </c>
      <c r="KA10" s="3">
        <v>-1075.2840000000001</v>
      </c>
      <c r="KB10" s="3">
        <v>-1078.2760000000001</v>
      </c>
      <c r="KC10" s="3">
        <v>-1081.2180000000001</v>
      </c>
      <c r="KD10" s="3">
        <v>-1084.104</v>
      </c>
      <c r="KE10" s="3">
        <v>-1086.9480000000001</v>
      </c>
      <c r="KF10" s="3">
        <v>-1089.7329999999999</v>
      </c>
      <c r="KG10" s="3">
        <v>-1092.4580000000001</v>
      </c>
      <c r="KH10" s="3">
        <v>-1095.104</v>
      </c>
      <c r="KI10" s="3">
        <v>-1097.6780000000001</v>
      </c>
      <c r="KJ10" s="3">
        <v>-1100.1510000000001</v>
      </c>
      <c r="KK10" s="3">
        <v>-1102.5409999999999</v>
      </c>
      <c r="KL10" s="3">
        <v>-1104.865</v>
      </c>
      <c r="KM10" s="3">
        <v>-1107.0999999999999</v>
      </c>
      <c r="KN10" s="3">
        <v>-1109.25</v>
      </c>
      <c r="KO10" s="3">
        <v>-1111.32</v>
      </c>
      <c r="KP10" s="3">
        <v>-1113.3019999999999</v>
      </c>
      <c r="KQ10" s="3">
        <v>-1115.192</v>
      </c>
      <c r="KR10" s="3">
        <v>-1116.981</v>
      </c>
      <c r="KS10" s="3">
        <v>-1118.672</v>
      </c>
      <c r="KT10" s="3">
        <v>-1120.27</v>
      </c>
      <c r="KU10" s="3">
        <v>-1121.75</v>
      </c>
      <c r="KV10" s="3">
        <v>-1123.1389999999999</v>
      </c>
      <c r="KW10" s="3">
        <v>-1124.394</v>
      </c>
      <c r="KX10" s="3">
        <v>-1125.5730000000001</v>
      </c>
      <c r="KY10" s="3">
        <v>-1126.693</v>
      </c>
      <c r="KZ10" s="3">
        <v>-1127.73</v>
      </c>
      <c r="LA10" s="3">
        <v>-1128.6410000000001</v>
      </c>
      <c r="LB10" s="3">
        <v>-1129.4169999999999</v>
      </c>
      <c r="LC10" s="3">
        <v>-1130.0630000000001</v>
      </c>
      <c r="LD10" s="3">
        <v>-1130.596</v>
      </c>
      <c r="LE10" s="3">
        <v>-1131.01</v>
      </c>
      <c r="LF10" s="3">
        <v>-1131.271</v>
      </c>
      <c r="LG10" s="3">
        <v>-1131.335</v>
      </c>
      <c r="LH10" s="3">
        <v>-1131.2449999999999</v>
      </c>
      <c r="LI10" s="3">
        <v>-1130.998</v>
      </c>
      <c r="LJ10" s="3">
        <v>-1130.5940000000001</v>
      </c>
      <c r="LK10" s="3">
        <v>-1130.0930000000001</v>
      </c>
      <c r="LL10" s="3">
        <v>-1129.4169999999999</v>
      </c>
      <c r="LM10" s="3">
        <v>-1128.576</v>
      </c>
      <c r="LN10" s="3">
        <v>-1127.548</v>
      </c>
      <c r="LO10" s="3">
        <v>-1126.4380000000001</v>
      </c>
      <c r="LP10" s="3">
        <v>-1125.1289999999999</v>
      </c>
      <c r="LQ10" s="3">
        <v>-1123.6990000000001</v>
      </c>
      <c r="LR10" s="3">
        <v>-1122.1110000000001</v>
      </c>
      <c r="LS10" s="3">
        <v>-1120.402</v>
      </c>
      <c r="LT10" s="3">
        <v>-1118.4870000000001</v>
      </c>
      <c r="LU10" s="3">
        <v>-1116.441</v>
      </c>
      <c r="LV10" s="3">
        <v>-1114.202</v>
      </c>
      <c r="LW10" s="3">
        <v>-1111.847</v>
      </c>
      <c r="LX10" s="3">
        <v>-1109.2809999999999</v>
      </c>
      <c r="LY10" s="3">
        <v>-1106.577</v>
      </c>
      <c r="LZ10" s="3">
        <v>-1103.741</v>
      </c>
      <c r="MA10" s="3">
        <v>-1100.8209999999999</v>
      </c>
      <c r="MB10" s="3">
        <v>-1097.673</v>
      </c>
      <c r="MC10" s="3">
        <v>-1094.452</v>
      </c>
      <c r="MD10" s="3">
        <v>-1091.088</v>
      </c>
      <c r="ME10" s="3">
        <v>-1087.6279999999999</v>
      </c>
      <c r="MF10" s="3">
        <v>-1083.8879999999999</v>
      </c>
      <c r="MG10" s="3">
        <v>-1079.94</v>
      </c>
      <c r="MH10" s="3">
        <v>-1075.8309999999999</v>
      </c>
      <c r="MI10" s="3">
        <v>-1071.627</v>
      </c>
      <c r="MJ10" s="3">
        <v>-1067.1690000000001</v>
      </c>
      <c r="MK10" s="3">
        <v>-1062.538</v>
      </c>
      <c r="ML10" s="3">
        <v>-1057.7159999999999</v>
      </c>
      <c r="MM10" s="3">
        <v>-1052.7860000000001</v>
      </c>
      <c r="MN10" s="3">
        <v>-1047.538</v>
      </c>
      <c r="MO10" s="3">
        <v>-1042.116</v>
      </c>
      <c r="MP10" s="3">
        <v>-1036.47</v>
      </c>
      <c r="MQ10" s="3">
        <v>-1030.681</v>
      </c>
      <c r="MR10" s="3">
        <v>-1024.546</v>
      </c>
      <c r="MS10" s="3">
        <v>-1018.204</v>
      </c>
      <c r="MT10" s="3">
        <v>-1011.612</v>
      </c>
      <c r="MU10" t="s">
        <v>434</v>
      </c>
      <c r="MV10" t="b">
        <v>0</v>
      </c>
      <c r="MW10" t="s">
        <v>377</v>
      </c>
      <c r="MX10" t="s">
        <v>377</v>
      </c>
      <c r="MY10">
        <v>2025</v>
      </c>
      <c r="MZ10">
        <v>1</v>
      </c>
      <c r="NA10" t="s">
        <v>377</v>
      </c>
      <c r="NB10" t="s">
        <v>435</v>
      </c>
      <c r="NC10" t="s">
        <v>436</v>
      </c>
      <c r="ND10" t="s">
        <v>389</v>
      </c>
      <c r="NE10" t="s">
        <v>432</v>
      </c>
      <c r="NF10" s="1" t="s">
        <v>872</v>
      </c>
    </row>
    <row r="11" spans="1:370" x14ac:dyDescent="0.25">
      <c r="A11" t="s">
        <v>390</v>
      </c>
      <c r="B11" t="s">
        <v>429</v>
      </c>
      <c r="C11" s="1" t="s">
        <v>871</v>
      </c>
      <c r="D11" t="s">
        <v>391</v>
      </c>
      <c r="E11" t="s">
        <v>384</v>
      </c>
      <c r="F11" t="s">
        <v>374</v>
      </c>
      <c r="G11" s="2">
        <v>-639</v>
      </c>
      <c r="H11" s="2">
        <v>-519</v>
      </c>
      <c r="I11" s="2">
        <v>-394.75</v>
      </c>
      <c r="J11" s="2">
        <v>-578</v>
      </c>
      <c r="K11" s="2">
        <v>168.75</v>
      </c>
      <c r="L11" s="2">
        <v>-619.75</v>
      </c>
      <c r="M11" s="2">
        <v>-620.75</v>
      </c>
      <c r="N11" s="2">
        <v>-1410.5</v>
      </c>
      <c r="O11" s="2">
        <v>-1391</v>
      </c>
      <c r="P11" s="2">
        <v>-1675.5</v>
      </c>
      <c r="Q11" s="2">
        <v>-1872.25</v>
      </c>
      <c r="R11" s="2">
        <v>-2403.25</v>
      </c>
      <c r="S11" s="2">
        <v>-2461</v>
      </c>
      <c r="T11" s="2">
        <v>-2521</v>
      </c>
      <c r="U11" s="2">
        <v>-2371</v>
      </c>
      <c r="V11" s="2">
        <v>-1948</v>
      </c>
      <c r="W11" s="2">
        <v>-2302.75</v>
      </c>
      <c r="X11" s="2">
        <v>-2357.75</v>
      </c>
      <c r="Y11" s="2">
        <v>-2623.5</v>
      </c>
      <c r="Z11" s="2">
        <v>-2907.75</v>
      </c>
      <c r="AA11" s="2">
        <v>-3194.75</v>
      </c>
      <c r="AB11" s="2">
        <v>-3495.5</v>
      </c>
      <c r="AC11" s="2">
        <v>-3530</v>
      </c>
      <c r="AD11" s="2">
        <v>-3237.75</v>
      </c>
      <c r="AE11" s="2">
        <v>-3275.5</v>
      </c>
      <c r="AF11" s="2">
        <v>-3126.25</v>
      </c>
      <c r="AG11" s="2">
        <v>-3069</v>
      </c>
      <c r="AH11" s="2">
        <v>-2955.75</v>
      </c>
      <c r="AI11" s="2">
        <v>-2962</v>
      </c>
      <c r="AJ11" s="2">
        <v>-2916.75</v>
      </c>
      <c r="AK11" s="2">
        <v>-2824.75</v>
      </c>
      <c r="AL11" s="2">
        <v>-3119</v>
      </c>
      <c r="AM11" s="2">
        <v>-2734</v>
      </c>
      <c r="AN11" s="2">
        <v>-2587.75</v>
      </c>
      <c r="AO11" s="2">
        <v>-2705.25</v>
      </c>
      <c r="AP11" s="2">
        <v>-2910.75</v>
      </c>
      <c r="AQ11" s="2">
        <v>-2881.5</v>
      </c>
      <c r="AR11" s="2">
        <v>-2845.5</v>
      </c>
      <c r="AS11" s="2">
        <v>-2814.75</v>
      </c>
      <c r="AT11" s="2">
        <v>-2592.5</v>
      </c>
      <c r="AU11" s="2">
        <v>-2895.5</v>
      </c>
      <c r="AV11" s="2">
        <v>-2977.75</v>
      </c>
      <c r="AW11" s="2">
        <v>-3106.75</v>
      </c>
      <c r="AX11" s="2">
        <v>-2829.25</v>
      </c>
      <c r="AY11" s="2">
        <v>-2500.75</v>
      </c>
      <c r="AZ11" s="2">
        <v>-2653.5</v>
      </c>
      <c r="BA11" s="2">
        <v>-1735.5</v>
      </c>
      <c r="BB11" s="2">
        <v>-1315</v>
      </c>
      <c r="BC11" s="2">
        <v>-890.5</v>
      </c>
      <c r="BD11" s="2">
        <v>-1046.75</v>
      </c>
      <c r="BE11" s="2">
        <v>-1085.5</v>
      </c>
      <c r="BF11" s="2">
        <v>-1286</v>
      </c>
      <c r="BG11" s="2">
        <v>-1306.25</v>
      </c>
      <c r="BH11" s="2">
        <v>-1048.5</v>
      </c>
      <c r="BI11" s="2">
        <v>-995</v>
      </c>
      <c r="BJ11" s="2">
        <v>-1069.75</v>
      </c>
      <c r="BK11" s="2">
        <v>-354.5</v>
      </c>
      <c r="BL11" s="2">
        <v>-242.25</v>
      </c>
      <c r="BM11" s="2">
        <v>-241.5</v>
      </c>
      <c r="BN11" s="2">
        <v>-115.25</v>
      </c>
      <c r="BO11" s="2">
        <v>-105</v>
      </c>
      <c r="BP11" s="2">
        <v>447.5</v>
      </c>
      <c r="BQ11" s="2">
        <v>715.75</v>
      </c>
      <c r="BR11" s="2">
        <v>1362.25</v>
      </c>
      <c r="BS11" s="2">
        <v>1337.25</v>
      </c>
      <c r="BT11" s="2">
        <v>1588.5</v>
      </c>
      <c r="BU11" s="2">
        <v>1494</v>
      </c>
      <c r="BV11" s="2">
        <v>1566.25</v>
      </c>
      <c r="BW11" s="2">
        <v>2046</v>
      </c>
      <c r="BX11" s="2">
        <v>2498.25</v>
      </c>
      <c r="BY11" s="2">
        <v>2980.5</v>
      </c>
      <c r="BZ11" s="2">
        <v>2251</v>
      </c>
      <c r="CA11" s="2">
        <v>2743</v>
      </c>
      <c r="CB11" s="2">
        <v>2805.5</v>
      </c>
      <c r="CC11" s="2">
        <v>2401.5</v>
      </c>
      <c r="CD11" s="2">
        <v>1521</v>
      </c>
      <c r="CE11" s="2">
        <v>1634</v>
      </c>
      <c r="CF11" s="2">
        <v>759</v>
      </c>
      <c r="CG11" s="2">
        <v>672.75</v>
      </c>
      <c r="CH11" s="2">
        <v>96</v>
      </c>
      <c r="CI11" s="2">
        <v>-1386</v>
      </c>
      <c r="CJ11" s="2">
        <v>-2589.75</v>
      </c>
      <c r="CK11" s="2">
        <v>-3748.75</v>
      </c>
      <c r="CL11" s="2">
        <v>-4633.25</v>
      </c>
      <c r="CM11" s="2">
        <v>-5541.75</v>
      </c>
      <c r="CN11" s="2">
        <v>-5477</v>
      </c>
      <c r="CO11" s="2">
        <v>-4417.75</v>
      </c>
      <c r="CP11" s="2">
        <v>-3783.75</v>
      </c>
      <c r="CQ11" s="2">
        <v>-3591.5</v>
      </c>
      <c r="CR11" s="2">
        <v>-4676</v>
      </c>
      <c r="CS11" s="2">
        <v>-6569</v>
      </c>
      <c r="CT11" s="2">
        <v>-7570</v>
      </c>
      <c r="CU11" s="2">
        <v>-8380</v>
      </c>
      <c r="CV11" s="2">
        <v>-7595.25</v>
      </c>
      <c r="CW11" s="2">
        <v>-5869.75</v>
      </c>
      <c r="CX11" s="2">
        <v>-4232.5</v>
      </c>
      <c r="CY11" s="2">
        <v>-2572</v>
      </c>
      <c r="CZ11" s="2">
        <v>-3408.5</v>
      </c>
      <c r="DA11" s="2">
        <v>-5309.5</v>
      </c>
      <c r="DB11" s="2">
        <v>-7877.2489999999998</v>
      </c>
      <c r="DC11" s="2">
        <v>-11739.25</v>
      </c>
      <c r="DD11" s="2">
        <v>-13453</v>
      </c>
      <c r="DE11" s="2">
        <v>-14239.25</v>
      </c>
      <c r="DF11" s="2">
        <v>-14469.5</v>
      </c>
      <c r="DG11" s="2">
        <v>-11191.25</v>
      </c>
      <c r="DH11" s="2">
        <v>-9272.75</v>
      </c>
      <c r="DI11" s="2">
        <v>-7710</v>
      </c>
      <c r="DJ11" s="2">
        <v>-7463.5</v>
      </c>
      <c r="DK11" s="2">
        <v>-8717.75</v>
      </c>
      <c r="DL11" s="2">
        <v>-9699.25</v>
      </c>
      <c r="DM11" s="2">
        <v>-10400.75</v>
      </c>
      <c r="DN11" s="2">
        <v>-10170.5</v>
      </c>
      <c r="DO11" s="2">
        <v>-9730.25</v>
      </c>
      <c r="DP11" s="2">
        <v>-8320.25</v>
      </c>
      <c r="DQ11" s="2">
        <v>-7589.2489999999998</v>
      </c>
      <c r="DR11" s="2">
        <v>-7325.25</v>
      </c>
      <c r="DS11" s="2">
        <v>-8713.75</v>
      </c>
      <c r="DT11" s="2">
        <v>-8953.25</v>
      </c>
      <c r="DU11" s="2">
        <v>-10117.75</v>
      </c>
      <c r="DV11" s="2">
        <v>-10691</v>
      </c>
      <c r="DW11" s="2">
        <v>-10648</v>
      </c>
      <c r="DX11" s="2">
        <v>-10630.75</v>
      </c>
      <c r="DY11" s="2">
        <v>-9497.7510000000002</v>
      </c>
      <c r="DZ11" s="2">
        <v>-8172</v>
      </c>
      <c r="EA11" s="2">
        <v>-7219.25</v>
      </c>
      <c r="EB11" s="2">
        <v>-6961.5</v>
      </c>
      <c r="EC11" s="2">
        <v>-6927.25</v>
      </c>
      <c r="ED11" s="2">
        <v>-7025.25</v>
      </c>
      <c r="EE11" s="2">
        <v>-6837.75</v>
      </c>
      <c r="EF11" s="2">
        <v>-6149</v>
      </c>
      <c r="EG11" s="2">
        <v>-5653.5</v>
      </c>
      <c r="EH11" s="2">
        <v>-4995</v>
      </c>
      <c r="EI11" s="2">
        <v>-4444.75</v>
      </c>
      <c r="EJ11" s="2">
        <v>-4057.5</v>
      </c>
      <c r="EK11" s="2">
        <v>-3787</v>
      </c>
      <c r="EL11" s="2">
        <v>-3919.75</v>
      </c>
      <c r="EM11" s="2">
        <v>-4004.75</v>
      </c>
      <c r="EN11" s="2">
        <v>-4065.75</v>
      </c>
      <c r="EO11" s="2">
        <v>-3624</v>
      </c>
      <c r="EP11" s="2">
        <v>-3950.25</v>
      </c>
      <c r="EQ11" s="2">
        <v>-3895.5</v>
      </c>
      <c r="ER11" s="2">
        <v>-4400.5</v>
      </c>
      <c r="ES11" s="2">
        <v>-5710.5</v>
      </c>
      <c r="ET11" s="2">
        <v>-7685.25</v>
      </c>
      <c r="EU11" s="2">
        <v>-10068</v>
      </c>
      <c r="EV11" s="2">
        <v>-11935</v>
      </c>
      <c r="EW11" s="2">
        <v>-12865.75</v>
      </c>
      <c r="EX11" s="2">
        <v>-13106</v>
      </c>
      <c r="EY11" s="2">
        <v>-12225</v>
      </c>
      <c r="EZ11" s="2">
        <v>-11695.25</v>
      </c>
      <c r="FA11" s="2">
        <v>-11206.25</v>
      </c>
      <c r="FB11" s="2">
        <v>-10754.75</v>
      </c>
      <c r="FC11" s="2">
        <v>-11058.25</v>
      </c>
      <c r="FD11" s="2">
        <v>-11327</v>
      </c>
      <c r="FE11" s="2">
        <v>-11292.5</v>
      </c>
      <c r="FF11" s="2">
        <v>-11020.5</v>
      </c>
      <c r="FG11" s="2">
        <v>-11106.5</v>
      </c>
      <c r="FH11" s="2">
        <v>-10374.75</v>
      </c>
      <c r="FI11" s="2">
        <v>-9933.5</v>
      </c>
      <c r="FJ11" s="2">
        <v>-9606.5</v>
      </c>
      <c r="FK11" s="2">
        <v>-9642.7510000000002</v>
      </c>
      <c r="FL11" s="2">
        <v>-9813.7510000000002</v>
      </c>
      <c r="FM11" s="2">
        <v>-9863</v>
      </c>
      <c r="FN11" s="2">
        <v>-9400.0010000000002</v>
      </c>
      <c r="FO11" s="2">
        <v>-8565.2489999999998</v>
      </c>
      <c r="FP11" s="2">
        <v>-7684.75</v>
      </c>
      <c r="FQ11" s="2">
        <v>-6907</v>
      </c>
      <c r="FR11" s="2">
        <v>-5980</v>
      </c>
      <c r="FS11" s="2">
        <v>-5163</v>
      </c>
      <c r="FT11" s="2">
        <v>-4701.25</v>
      </c>
      <c r="FU11" s="2">
        <v>-4760.25</v>
      </c>
      <c r="FV11" s="2">
        <v>-5163.75</v>
      </c>
      <c r="FW11" s="2">
        <v>-5695.5</v>
      </c>
      <c r="FX11" s="2">
        <v>-4881</v>
      </c>
      <c r="FY11" s="2">
        <v>-4651</v>
      </c>
      <c r="FZ11" s="2">
        <v>-4367.25</v>
      </c>
      <c r="GA11" s="2">
        <v>-4253</v>
      </c>
      <c r="GB11" s="2">
        <v>-4225</v>
      </c>
      <c r="GC11" s="2">
        <v>-4336.5</v>
      </c>
      <c r="GD11" s="2">
        <v>-4324</v>
      </c>
      <c r="GE11" s="2">
        <v>-4403</v>
      </c>
      <c r="GF11" s="2">
        <v>-3911</v>
      </c>
      <c r="GG11" s="2">
        <v>-3056.75</v>
      </c>
      <c r="GH11" s="2">
        <v>-2386</v>
      </c>
      <c r="GI11" s="2">
        <v>-2039.75</v>
      </c>
      <c r="GJ11" s="2">
        <v>-3111.5</v>
      </c>
      <c r="GK11" s="2">
        <v>-4678</v>
      </c>
      <c r="GL11" s="2">
        <v>-7157</v>
      </c>
      <c r="GM11" s="2">
        <v>-10363.25</v>
      </c>
      <c r="GN11" s="2">
        <v>-12270.25</v>
      </c>
      <c r="GO11" s="2">
        <v>-13366.5</v>
      </c>
      <c r="GP11" s="2">
        <v>-12973.5</v>
      </c>
      <c r="GQ11" s="2">
        <v>-10601.5</v>
      </c>
      <c r="GR11" s="2">
        <v>-9314.75</v>
      </c>
      <c r="GS11" s="2">
        <v>-7837.75</v>
      </c>
      <c r="GT11" s="2">
        <v>-6136.5</v>
      </c>
      <c r="GU11" s="2">
        <v>-5963.25</v>
      </c>
      <c r="GV11" s="2">
        <v>-5603.75</v>
      </c>
      <c r="GW11" s="2">
        <v>-6025.75</v>
      </c>
      <c r="GX11" s="2">
        <v>-5994.75</v>
      </c>
      <c r="GY11" s="2">
        <v>-5500.75</v>
      </c>
      <c r="GZ11" s="2">
        <v>-3574.5</v>
      </c>
      <c r="HA11" s="2">
        <v>-2557</v>
      </c>
      <c r="HB11" s="2">
        <v>-1714</v>
      </c>
      <c r="HC11" s="2">
        <v>-4476</v>
      </c>
      <c r="HD11" s="2">
        <v>-2862</v>
      </c>
      <c r="HE11" s="3">
        <v>-2749.5</v>
      </c>
      <c r="HF11" s="3">
        <v>-3055.23</v>
      </c>
      <c r="HG11" s="3">
        <v>-3646.9490000000001</v>
      </c>
      <c r="HH11" s="3">
        <v>-4411.5</v>
      </c>
      <c r="HI11" s="3">
        <v>-5100.2809999999999</v>
      </c>
      <c r="HJ11" s="3">
        <v>-5490.3909999999996</v>
      </c>
      <c r="HK11" s="3">
        <v>-5623.5309999999999</v>
      </c>
      <c r="HL11" s="3">
        <v>-5642.4610000000002</v>
      </c>
      <c r="HM11" s="3">
        <v>-5642.9769999999999</v>
      </c>
      <c r="HN11" s="3">
        <v>-5601.3980000000001</v>
      </c>
      <c r="HO11" s="3">
        <v>-5559.82</v>
      </c>
      <c r="HP11" s="3">
        <v>-5518.2380000000003</v>
      </c>
      <c r="HQ11" s="3">
        <v>-5476.66</v>
      </c>
      <c r="HR11" s="3">
        <v>-5435.0820000000003</v>
      </c>
      <c r="HS11" s="3">
        <v>-5393.5</v>
      </c>
      <c r="HT11" s="3">
        <v>-5351.9179999999997</v>
      </c>
      <c r="HU11" s="3">
        <v>-5310.3320000000003</v>
      </c>
      <c r="HV11" s="3">
        <v>-5268.75</v>
      </c>
      <c r="HW11" s="3">
        <v>-5227.1679999999997</v>
      </c>
      <c r="HX11" s="3">
        <v>-5185.5940000000001</v>
      </c>
      <c r="HY11" s="3">
        <v>-5144.0079999999998</v>
      </c>
      <c r="HZ11" s="3">
        <v>-5102.4260000000004</v>
      </c>
      <c r="IA11" s="3">
        <v>-5025.152</v>
      </c>
      <c r="IB11" s="3">
        <v>-4952.875</v>
      </c>
      <c r="IC11" s="3">
        <v>-4822.9570000000003</v>
      </c>
      <c r="ID11" s="3">
        <v>-4692.5230000000001</v>
      </c>
      <c r="IE11" s="3">
        <v>-4561.3519999999999</v>
      </c>
      <c r="IF11" s="3">
        <v>-4430.1329999999998</v>
      </c>
      <c r="IG11" s="3">
        <v>-4265.3829999999998</v>
      </c>
      <c r="IH11" s="3">
        <v>-4106.7070000000003</v>
      </c>
      <c r="II11" s="3">
        <v>-3915.348</v>
      </c>
      <c r="IJ11" s="3">
        <v>-3752.3090000000002</v>
      </c>
      <c r="IK11" s="3">
        <v>-3589.2730000000001</v>
      </c>
      <c r="IL11" s="3">
        <v>-3426.2339999999999</v>
      </c>
      <c r="IM11" s="3">
        <v>-3263.1950000000002</v>
      </c>
      <c r="IN11" s="3">
        <v>-3100.1559999999999</v>
      </c>
      <c r="IO11" s="3">
        <v>-2937.1089999999999</v>
      </c>
      <c r="IP11" s="3">
        <v>-2774.07</v>
      </c>
      <c r="IQ11" s="3">
        <v>-2577.125</v>
      </c>
      <c r="IR11" s="3">
        <v>-2380.203</v>
      </c>
      <c r="IS11" s="3">
        <v>-2200.2269999999999</v>
      </c>
      <c r="IT11" s="3">
        <v>-2045.6410000000001</v>
      </c>
      <c r="IU11" s="3">
        <v>-1920.75</v>
      </c>
      <c r="IV11" s="3">
        <v>-1825.5</v>
      </c>
      <c r="IW11" s="3">
        <v>-1751.4380000000001</v>
      </c>
      <c r="IX11" s="3">
        <v>-1684.547</v>
      </c>
      <c r="IY11" s="3">
        <v>-1689.6020000000001</v>
      </c>
      <c r="IZ11" s="3">
        <v>-1694.7729999999999</v>
      </c>
      <c r="JA11" s="3">
        <v>-1699.953</v>
      </c>
      <c r="JB11" s="3">
        <v>-1705.07</v>
      </c>
      <c r="JC11" s="3">
        <v>-1710.1479999999999</v>
      </c>
      <c r="JD11" s="3">
        <v>-1715.3440000000001</v>
      </c>
      <c r="JE11" s="3">
        <v>-1720.4690000000001</v>
      </c>
      <c r="JF11" s="3">
        <v>-1725.5550000000001</v>
      </c>
      <c r="JG11" s="3">
        <v>-1730.5940000000001</v>
      </c>
      <c r="JH11" s="3">
        <v>-1735.7809999999999</v>
      </c>
      <c r="JI11" s="3">
        <v>-1740.9059999999999</v>
      </c>
      <c r="JJ11" s="3">
        <v>-1745.9770000000001</v>
      </c>
      <c r="JK11" s="3">
        <v>-1750.9770000000001</v>
      </c>
      <c r="JL11" s="3">
        <v>-1756.1020000000001</v>
      </c>
      <c r="JM11" s="3">
        <v>-1761.172</v>
      </c>
      <c r="JN11" s="3">
        <v>-1766.289</v>
      </c>
      <c r="JO11" s="3">
        <v>-1771.453</v>
      </c>
      <c r="JP11" s="3">
        <v>-1776.7729999999999</v>
      </c>
      <c r="JQ11" s="3">
        <v>-1782.0229999999999</v>
      </c>
      <c r="JR11" s="3">
        <v>-1787.3440000000001</v>
      </c>
      <c r="JS11" s="3">
        <v>-1792.703</v>
      </c>
      <c r="JT11" s="3">
        <v>-1798.2270000000001</v>
      </c>
      <c r="JU11" s="3">
        <v>-1803.6949999999999</v>
      </c>
      <c r="JV11" s="3">
        <v>-1809.2270000000001</v>
      </c>
      <c r="JW11" s="3">
        <v>-1814.7809999999999</v>
      </c>
      <c r="JX11" s="3">
        <v>-1820.5229999999999</v>
      </c>
      <c r="JY11" s="3">
        <v>-1826.414</v>
      </c>
      <c r="JZ11" s="3">
        <v>-1832.1089999999999</v>
      </c>
      <c r="KA11" s="3">
        <v>-1837.8589999999999</v>
      </c>
      <c r="KB11" s="3">
        <v>-1843.8050000000001</v>
      </c>
      <c r="KC11" s="3">
        <v>-1849.711</v>
      </c>
      <c r="KD11" s="3">
        <v>-1855.672</v>
      </c>
      <c r="KE11" s="3">
        <v>-1861.664</v>
      </c>
      <c r="KF11" s="3">
        <v>-1867.8979999999999</v>
      </c>
      <c r="KG11" s="3">
        <v>-1874.164</v>
      </c>
      <c r="KH11" s="3">
        <v>-1880.5309999999999</v>
      </c>
      <c r="KI11" s="3">
        <v>-1886.9839999999999</v>
      </c>
      <c r="KJ11" s="3">
        <v>-1893.6880000000001</v>
      </c>
      <c r="KK11" s="3">
        <v>-1900.4059999999999</v>
      </c>
      <c r="KL11" s="3">
        <v>-1907.2190000000001</v>
      </c>
      <c r="KM11" s="3">
        <v>-1914.1089999999999</v>
      </c>
      <c r="KN11" s="3">
        <v>-1921.25</v>
      </c>
      <c r="KO11" s="3">
        <v>-1928.4059999999999</v>
      </c>
      <c r="KP11" s="3">
        <v>-1935.6410000000001</v>
      </c>
      <c r="KQ11" s="3">
        <v>-1942.9380000000001</v>
      </c>
      <c r="KR11" s="3">
        <v>-1950.43</v>
      </c>
      <c r="KS11" s="3">
        <v>-1957.875</v>
      </c>
      <c r="KT11" s="3">
        <v>-1965.422</v>
      </c>
      <c r="KU11" s="3">
        <v>-1973.047</v>
      </c>
      <c r="KV11" s="3">
        <v>-1980.82</v>
      </c>
      <c r="KW11" s="3">
        <v>-1988.539</v>
      </c>
      <c r="KX11" s="3">
        <v>-1996.3130000000001</v>
      </c>
      <c r="KY11" s="3">
        <v>-2004.1410000000001</v>
      </c>
      <c r="KZ11" s="3">
        <v>-2012.086</v>
      </c>
      <c r="LA11" s="3">
        <v>-2019.992</v>
      </c>
      <c r="LB11" s="3">
        <v>-2028.039</v>
      </c>
      <c r="LC11" s="3">
        <v>-2036.242</v>
      </c>
      <c r="LD11" s="3">
        <v>-2044.625</v>
      </c>
      <c r="LE11" s="3">
        <v>-2052.9450000000002</v>
      </c>
      <c r="LF11" s="3">
        <v>-2061.4450000000002</v>
      </c>
      <c r="LG11" s="3">
        <v>-2070.0700000000002</v>
      </c>
      <c r="LH11" s="3">
        <v>-2078.7809999999999</v>
      </c>
      <c r="LI11" s="3">
        <v>-2087.5309999999999</v>
      </c>
      <c r="LJ11" s="3">
        <v>-2096.4839999999999</v>
      </c>
      <c r="LK11" s="3">
        <v>-2105.5940000000001</v>
      </c>
      <c r="LL11" s="3">
        <v>-2114.6880000000001</v>
      </c>
      <c r="LM11" s="3">
        <v>-2123.8049999999998</v>
      </c>
      <c r="LN11" s="3">
        <v>-2133.203</v>
      </c>
      <c r="LO11" s="3">
        <v>-2142.8589999999999</v>
      </c>
      <c r="LP11" s="3">
        <v>-2152.5160000000001</v>
      </c>
      <c r="LQ11" s="3">
        <v>-2162.1640000000002</v>
      </c>
      <c r="LR11" s="3">
        <v>-2171.9920000000002</v>
      </c>
      <c r="LS11" s="3">
        <v>-2181.9839999999999</v>
      </c>
      <c r="LT11" s="3">
        <v>-2192.0390000000002</v>
      </c>
      <c r="LU11" s="3">
        <v>-2202.1089999999999</v>
      </c>
      <c r="LV11" s="3">
        <v>-2212.3049999999998</v>
      </c>
      <c r="LW11" s="3">
        <v>-2222.625</v>
      </c>
      <c r="LX11" s="3">
        <v>-2233</v>
      </c>
      <c r="LY11" s="3">
        <v>-2243.4380000000001</v>
      </c>
      <c r="LZ11" s="3">
        <v>-2254.0230000000001</v>
      </c>
      <c r="MA11" s="3">
        <v>-2264.7339999999999</v>
      </c>
      <c r="MB11" s="3">
        <v>-2275.5160000000001</v>
      </c>
      <c r="MC11" s="3">
        <v>-2286.3359999999998</v>
      </c>
      <c r="MD11" s="3">
        <v>-2297.2809999999999</v>
      </c>
      <c r="ME11" s="3">
        <v>-2308.3130000000001</v>
      </c>
      <c r="MF11" s="3">
        <v>-2319.3670000000002</v>
      </c>
      <c r="MG11" s="3">
        <v>-2330.4380000000001</v>
      </c>
      <c r="MH11" s="3">
        <v>-2341.6950000000002</v>
      </c>
      <c r="MI11" s="3">
        <v>-2353.1089999999999</v>
      </c>
      <c r="MJ11" s="3">
        <v>-2364.5230000000001</v>
      </c>
      <c r="MK11" s="3">
        <v>-2375.953</v>
      </c>
      <c r="ML11" s="3">
        <v>-2387.5309999999999</v>
      </c>
      <c r="MM11" s="3">
        <v>-2399.25</v>
      </c>
      <c r="MN11" s="3">
        <v>-2410.9609999999998</v>
      </c>
      <c r="MO11" s="3">
        <v>-2422.6559999999999</v>
      </c>
      <c r="MP11" s="3">
        <v>-2434.453</v>
      </c>
      <c r="MQ11" s="3">
        <v>-2446.3440000000001</v>
      </c>
      <c r="MR11" s="3">
        <v>-2458.2269999999999</v>
      </c>
      <c r="MS11" s="3">
        <v>-2470.125</v>
      </c>
      <c r="MT11" s="3">
        <v>-2482.1799999999998</v>
      </c>
      <c r="MU11" t="s">
        <v>437</v>
      </c>
      <c r="MV11" t="b">
        <v>0</v>
      </c>
      <c r="MW11" t="s">
        <v>377</v>
      </c>
      <c r="MX11" t="s">
        <v>377</v>
      </c>
      <c r="MY11">
        <v>2024</v>
      </c>
      <c r="MZ11">
        <v>2</v>
      </c>
      <c r="NA11" t="s">
        <v>377</v>
      </c>
      <c r="NB11" s="1" t="s">
        <v>438</v>
      </c>
      <c r="NC11" t="s">
        <v>439</v>
      </c>
      <c r="ND11" t="s">
        <v>395</v>
      </c>
      <c r="NE11" t="s">
        <v>432</v>
      </c>
      <c r="NF11" s="1" t="s">
        <v>872</v>
      </c>
    </row>
    <row r="12" spans="1:370" x14ac:dyDescent="0.25">
      <c r="A12" t="s">
        <v>396</v>
      </c>
      <c r="B12" t="s">
        <v>429</v>
      </c>
      <c r="C12" s="1" t="s">
        <v>871</v>
      </c>
      <c r="D12" t="s">
        <v>397</v>
      </c>
      <c r="E12" t="s">
        <v>384</v>
      </c>
      <c r="F12" t="s">
        <v>374</v>
      </c>
      <c r="G12" s="2">
        <v>-5.7613820000000002</v>
      </c>
      <c r="H12" s="2">
        <v>-5.7613820000000002</v>
      </c>
      <c r="I12" s="2">
        <v>-5.7613820000000002</v>
      </c>
      <c r="J12" s="2">
        <v>-5.7613820000000002</v>
      </c>
      <c r="K12" s="2">
        <v>-5.7613820000000002</v>
      </c>
      <c r="L12" s="2">
        <v>-8.1658670000000004</v>
      </c>
      <c r="M12" s="2">
        <v>-9.9428029999999996</v>
      </c>
      <c r="N12" s="2">
        <v>-12.51153</v>
      </c>
      <c r="O12" s="2">
        <v>-14.727130000000001</v>
      </c>
      <c r="P12" s="2">
        <v>-17.374580000000002</v>
      </c>
      <c r="Q12" s="2">
        <v>-15.930490000000001</v>
      </c>
      <c r="R12" s="2">
        <v>-14.416650000000001</v>
      </c>
      <c r="S12" s="2">
        <v>-14.207409999999999</v>
      </c>
      <c r="T12" s="2">
        <v>-13.54607</v>
      </c>
      <c r="U12" s="2">
        <v>-12.720549999999999</v>
      </c>
      <c r="V12" s="2">
        <v>-12.70025</v>
      </c>
      <c r="W12" s="2">
        <v>-10.51159</v>
      </c>
      <c r="X12" s="2">
        <v>-10.67578</v>
      </c>
      <c r="Y12" s="2">
        <v>-11.292059999999999</v>
      </c>
      <c r="Z12" s="2">
        <v>-12.22101</v>
      </c>
      <c r="AA12" s="2">
        <v>-11.86553</v>
      </c>
      <c r="AB12" s="2">
        <v>-12.19843</v>
      </c>
      <c r="AC12" s="2">
        <v>-13.244339999999999</v>
      </c>
      <c r="AD12" s="2">
        <v>-14.744579999999999</v>
      </c>
      <c r="AE12" s="2">
        <v>-13.23302</v>
      </c>
      <c r="AF12" s="2">
        <v>-13.86726</v>
      </c>
      <c r="AG12" s="2">
        <v>-14.02688</v>
      </c>
      <c r="AH12" s="2">
        <v>-17.313199999999998</v>
      </c>
      <c r="AI12" s="2">
        <v>-15.521699999999999</v>
      </c>
      <c r="AJ12" s="2">
        <v>-15.521699999999999</v>
      </c>
      <c r="AK12" s="2">
        <v>-15.521699999999999</v>
      </c>
      <c r="AL12" s="2">
        <v>-15.521699999999999</v>
      </c>
      <c r="AM12" s="2">
        <v>-18.791789999999999</v>
      </c>
      <c r="AN12" s="2">
        <v>-18.791789999999999</v>
      </c>
      <c r="AO12" s="2">
        <v>-18.791789999999999</v>
      </c>
      <c r="AP12" s="2">
        <v>-18.791789999999999</v>
      </c>
      <c r="AQ12" s="2">
        <v>-18.738769999999999</v>
      </c>
      <c r="AR12" s="2">
        <v>-18.738769999999999</v>
      </c>
      <c r="AS12" s="2">
        <v>-18.738769999999999</v>
      </c>
      <c r="AT12" s="2">
        <v>-18.738769999999999</v>
      </c>
      <c r="AU12" s="2">
        <v>-17.79419</v>
      </c>
      <c r="AV12" s="2">
        <v>-17.79419</v>
      </c>
      <c r="AW12" s="2">
        <v>-17.79419</v>
      </c>
      <c r="AX12" s="2">
        <v>-17.79419</v>
      </c>
      <c r="AY12" s="2">
        <v>-16.687100000000001</v>
      </c>
      <c r="AZ12" s="2">
        <v>-16.687100000000001</v>
      </c>
      <c r="BA12" s="2">
        <v>-16.687100000000001</v>
      </c>
      <c r="BB12" s="2">
        <v>-16.687100000000001</v>
      </c>
      <c r="BC12" s="2">
        <v>-20.746320000000001</v>
      </c>
      <c r="BD12" s="2">
        <v>-20.746320000000001</v>
      </c>
      <c r="BE12" s="2">
        <v>-20.746320000000001</v>
      </c>
      <c r="BF12" s="2">
        <v>-20.746320000000001</v>
      </c>
      <c r="BG12" s="2">
        <v>-21.16732</v>
      </c>
      <c r="BH12" s="2">
        <v>-21.16732</v>
      </c>
      <c r="BI12" s="2">
        <v>-21.16732</v>
      </c>
      <c r="BJ12" s="2">
        <v>-21.16732</v>
      </c>
      <c r="BK12" s="2">
        <v>-23.50929</v>
      </c>
      <c r="BL12" s="2">
        <v>-23.50929</v>
      </c>
      <c r="BM12" s="2">
        <v>-23.50929</v>
      </c>
      <c r="BN12" s="2">
        <v>-23.50929</v>
      </c>
      <c r="BO12" s="2">
        <v>-25.24335</v>
      </c>
      <c r="BP12" s="2">
        <v>-25.24335</v>
      </c>
      <c r="BQ12" s="2">
        <v>-25.24335</v>
      </c>
      <c r="BR12" s="2">
        <v>-25.24335</v>
      </c>
      <c r="BS12" s="2">
        <v>-19.054559999999999</v>
      </c>
      <c r="BT12" s="2">
        <v>-19.054559999999999</v>
      </c>
      <c r="BU12" s="2">
        <v>-19.054559999999999</v>
      </c>
      <c r="BV12" s="2">
        <v>-19.054559999999999</v>
      </c>
      <c r="BW12" s="2">
        <v>-23.364000000000001</v>
      </c>
      <c r="BX12" s="2">
        <v>-23.364000000000001</v>
      </c>
      <c r="BY12" s="2">
        <v>-23.364000000000001</v>
      </c>
      <c r="BZ12" s="2">
        <v>-23.364000000000001</v>
      </c>
      <c r="CA12" s="2">
        <v>-23.364000000000001</v>
      </c>
      <c r="CB12" s="2">
        <v>-9.4480000000000004</v>
      </c>
      <c r="CC12" s="2">
        <v>-7.2039999999999997</v>
      </c>
      <c r="CD12" s="2">
        <v>-11.069000000000001</v>
      </c>
      <c r="CE12" s="2">
        <v>-9.67</v>
      </c>
      <c r="CF12" s="2">
        <v>-8.0570000000000004</v>
      </c>
      <c r="CG12" s="2">
        <v>-11.311999999999999</v>
      </c>
      <c r="CH12" s="2">
        <v>-15.959</v>
      </c>
      <c r="CI12" s="2">
        <v>-12.901</v>
      </c>
      <c r="CJ12" s="2">
        <v>-13.734</v>
      </c>
      <c r="CK12" s="2">
        <v>-15.077</v>
      </c>
      <c r="CL12" s="2">
        <v>-12.944000000000001</v>
      </c>
      <c r="CM12" s="2">
        <v>-8.3130000000000006</v>
      </c>
      <c r="CN12" s="2">
        <v>-9.93</v>
      </c>
      <c r="CO12" s="2">
        <v>-14.722</v>
      </c>
      <c r="CP12" s="2">
        <v>-13.762</v>
      </c>
      <c r="CQ12" s="2">
        <v>-121.107</v>
      </c>
      <c r="CR12" s="2">
        <v>-14.973000000000001</v>
      </c>
      <c r="CS12" s="2">
        <v>-28.768999999999998</v>
      </c>
      <c r="CT12" s="2">
        <v>-14.441000000000001</v>
      </c>
      <c r="CU12" s="2">
        <v>-13.657999999999999</v>
      </c>
      <c r="CV12" s="2">
        <v>-21.393999999999998</v>
      </c>
      <c r="CW12" s="2">
        <v>-16.748999999999999</v>
      </c>
      <c r="CX12" s="2">
        <v>-18.367999999999999</v>
      </c>
      <c r="CY12" s="2">
        <v>-15.871</v>
      </c>
      <c r="CZ12" s="2">
        <v>-18.875</v>
      </c>
      <c r="DA12" s="2">
        <v>-14.3</v>
      </c>
      <c r="DB12" s="2">
        <v>-10.505000000000001</v>
      </c>
      <c r="DC12" s="2">
        <v>-17.294</v>
      </c>
      <c r="DD12" s="2">
        <v>-11.154999999999999</v>
      </c>
      <c r="DE12" s="2">
        <v>-15.349</v>
      </c>
      <c r="DF12" s="2">
        <v>-9.7850000000000001</v>
      </c>
      <c r="DG12" s="2">
        <v>-13.673999999999999</v>
      </c>
      <c r="DH12" s="2">
        <v>-8.8629999999999995</v>
      </c>
      <c r="DI12" s="2">
        <v>-10.038</v>
      </c>
      <c r="DJ12" s="2">
        <v>-6.1959999999999997</v>
      </c>
      <c r="DK12" s="2">
        <v>-11.727</v>
      </c>
      <c r="DL12" s="2">
        <v>-4.4649999999999999</v>
      </c>
      <c r="DM12" s="2">
        <v>-7.7080000000000002</v>
      </c>
      <c r="DN12" s="2">
        <v>-12.609</v>
      </c>
      <c r="DO12" s="2">
        <v>-14.215999999999999</v>
      </c>
      <c r="DP12" s="2">
        <v>-12.07</v>
      </c>
      <c r="DQ12" s="2">
        <v>-16.661999999999999</v>
      </c>
      <c r="DR12" s="2">
        <v>-25.655000000000001</v>
      </c>
      <c r="DS12" s="2">
        <v>-24.561</v>
      </c>
      <c r="DT12" s="2">
        <v>-23.164999999999999</v>
      </c>
      <c r="DU12" s="2">
        <v>-19.712</v>
      </c>
      <c r="DV12" s="2">
        <v>-23.411000000000001</v>
      </c>
      <c r="DW12" s="2">
        <v>-22.821999999999999</v>
      </c>
      <c r="DX12" s="2">
        <v>-23.687000000000001</v>
      </c>
      <c r="DY12" s="2">
        <v>-24.576000000000001</v>
      </c>
      <c r="DZ12" s="2">
        <v>-14.728</v>
      </c>
      <c r="EA12" s="2">
        <v>-24.465</v>
      </c>
      <c r="EB12" s="2">
        <v>-23.678000000000001</v>
      </c>
      <c r="EC12" s="2">
        <v>-20.582999999999998</v>
      </c>
      <c r="ED12" s="2">
        <v>-9.7200000000000006</v>
      </c>
      <c r="EE12" s="2">
        <v>-20.63</v>
      </c>
      <c r="EF12" s="2">
        <v>-24.391999999999999</v>
      </c>
      <c r="EG12" s="2">
        <v>-17.934999999999999</v>
      </c>
      <c r="EH12" s="2">
        <v>-15.438000000000001</v>
      </c>
      <c r="EI12" s="2">
        <v>-14.547000000000001</v>
      </c>
      <c r="EJ12" s="2">
        <v>-12.694000000000001</v>
      </c>
      <c r="EK12" s="2">
        <v>-8.2669999999999995</v>
      </c>
      <c r="EL12" s="2">
        <v>-7.0750000000000002</v>
      </c>
      <c r="EM12" s="2">
        <v>-0.14899999999999999</v>
      </c>
      <c r="EN12" s="2">
        <v>2.452</v>
      </c>
      <c r="EO12" s="2">
        <v>1.3759999999999999</v>
      </c>
      <c r="EP12" s="2">
        <v>0.25900000000000001</v>
      </c>
      <c r="EQ12" s="2">
        <v>0.154</v>
      </c>
      <c r="ER12" s="2">
        <v>-0.45400000000000001</v>
      </c>
      <c r="ES12" s="2">
        <v>0.54</v>
      </c>
      <c r="ET12" s="2">
        <v>-7.048</v>
      </c>
      <c r="EU12" s="2">
        <v>-5.2779999999999996</v>
      </c>
      <c r="EV12" s="2">
        <v>-18.53</v>
      </c>
      <c r="EW12" s="2">
        <v>-26.783000000000001</v>
      </c>
      <c r="EX12" s="2">
        <v>-28.614999999999998</v>
      </c>
      <c r="EY12" s="2">
        <v>-27.773</v>
      </c>
      <c r="EZ12" s="2">
        <v>-21.881</v>
      </c>
      <c r="FA12" s="2">
        <v>-52.749000000000002</v>
      </c>
      <c r="FB12" s="2">
        <v>-13.217000000000001</v>
      </c>
      <c r="FC12" s="2">
        <v>-8.0250000000000004</v>
      </c>
      <c r="FD12" s="2">
        <v>-4.0140000000000002</v>
      </c>
      <c r="FE12" s="2">
        <v>-7.1050000000000004</v>
      </c>
      <c r="FF12" s="2">
        <v>-3.93</v>
      </c>
      <c r="FG12" s="2">
        <v>-1.873</v>
      </c>
      <c r="FH12" s="2">
        <v>-0.14599999999999999</v>
      </c>
      <c r="FI12" s="2">
        <v>2.1970000000000001</v>
      </c>
      <c r="FJ12" s="2">
        <v>-1.7010000000000001</v>
      </c>
      <c r="FK12" s="2">
        <v>-4.4009999999999998</v>
      </c>
      <c r="FL12" s="2">
        <v>3.7530000000000001</v>
      </c>
      <c r="FM12" s="2">
        <v>1.474</v>
      </c>
      <c r="FN12" s="2">
        <v>2.6859999999999999</v>
      </c>
      <c r="FO12" s="2">
        <v>4.3689999999999998</v>
      </c>
      <c r="FP12" s="2">
        <v>5.09</v>
      </c>
      <c r="FQ12" s="2">
        <v>5.1829999999999998</v>
      </c>
      <c r="FR12" s="2">
        <v>7.1909999999999998</v>
      </c>
      <c r="FS12" s="2">
        <v>5.75</v>
      </c>
      <c r="FT12" s="2">
        <v>5.35</v>
      </c>
      <c r="FU12" s="2">
        <v>12.276999999999999</v>
      </c>
      <c r="FV12" s="2">
        <v>4.8630000000000004</v>
      </c>
      <c r="FW12" s="2">
        <v>7.7370000000000001</v>
      </c>
      <c r="FX12" s="2">
        <v>8.0730000000000004</v>
      </c>
      <c r="FY12" s="2">
        <v>5.226</v>
      </c>
      <c r="FZ12" s="2">
        <v>15.2</v>
      </c>
      <c r="GA12" s="2">
        <v>12.353999999999999</v>
      </c>
      <c r="GB12" s="2">
        <v>4.1849999999999996</v>
      </c>
      <c r="GC12" s="2">
        <v>15.282</v>
      </c>
      <c r="GD12" s="2">
        <v>12.752000000000001</v>
      </c>
      <c r="GE12" s="2">
        <v>19.128</v>
      </c>
      <c r="GF12" s="2">
        <v>22.873999999999999</v>
      </c>
      <c r="GG12" s="2">
        <v>16.195</v>
      </c>
      <c r="GH12" s="2">
        <v>6.4690000000000003</v>
      </c>
      <c r="GI12" s="2">
        <v>16.347000000000001</v>
      </c>
      <c r="GJ12" s="2">
        <v>17.594999999999999</v>
      </c>
      <c r="GK12" s="2">
        <v>7.7549999999999999</v>
      </c>
      <c r="GL12" s="2">
        <v>5.2519999999999998</v>
      </c>
      <c r="GM12" s="2">
        <v>1.966</v>
      </c>
      <c r="GN12" s="2">
        <v>-65.748000000000005</v>
      </c>
      <c r="GO12" s="2">
        <v>-48.048999999999999</v>
      </c>
      <c r="GP12" s="2">
        <v>-39.299999999999997</v>
      </c>
      <c r="GQ12" s="2">
        <v>-38.405000000000001</v>
      </c>
      <c r="GR12" s="2">
        <v>-44.789000000000001</v>
      </c>
      <c r="GS12" s="2">
        <v>-17.725999999999999</v>
      </c>
      <c r="GT12" s="2">
        <v>-15.709</v>
      </c>
      <c r="GU12" s="2">
        <v>-2.3639999999999999</v>
      </c>
      <c r="GV12" s="2">
        <v>-6.6139999999999999</v>
      </c>
      <c r="GW12" s="2">
        <v>-24.64</v>
      </c>
      <c r="GX12" s="2">
        <v>-42.521000000000001</v>
      </c>
      <c r="GY12" s="2">
        <v>-26.991</v>
      </c>
      <c r="GZ12" s="2">
        <v>-23.123000000000001</v>
      </c>
      <c r="HA12" s="2">
        <v>-24.146000000000001</v>
      </c>
      <c r="HB12" s="2">
        <v>-30.988</v>
      </c>
      <c r="HC12" s="2">
        <v>-33.360999999999997</v>
      </c>
      <c r="HD12" s="2">
        <v>-28.73</v>
      </c>
      <c r="HE12" s="2">
        <v>-27.754999999999999</v>
      </c>
      <c r="HF12" s="2">
        <v>-25.448</v>
      </c>
      <c r="HG12" s="2">
        <v>-20.401</v>
      </c>
      <c r="HH12" s="2">
        <v>-22.645</v>
      </c>
      <c r="HI12" s="3">
        <v>-23.891660000000002</v>
      </c>
      <c r="HJ12" s="3">
        <v>-25.118770000000001</v>
      </c>
      <c r="HK12" s="3">
        <v>-27.01379</v>
      </c>
      <c r="HL12" s="3">
        <v>-28.969480000000001</v>
      </c>
      <c r="HM12" s="3">
        <v>-30.293330000000001</v>
      </c>
      <c r="HN12" s="3">
        <v>-31.747990000000001</v>
      </c>
      <c r="HO12" s="3">
        <v>-33.135309999999997</v>
      </c>
      <c r="HP12" s="3">
        <v>-34.358699999999999</v>
      </c>
      <c r="HQ12" s="3">
        <v>-35.479799999999997</v>
      </c>
      <c r="HR12" s="3">
        <v>-36.56024</v>
      </c>
      <c r="HS12" s="3">
        <v>-37.930540000000001</v>
      </c>
      <c r="HT12" s="3">
        <v>-39.837649999999996</v>
      </c>
      <c r="HU12" s="3">
        <v>-41.839970000000001</v>
      </c>
      <c r="HV12" s="3">
        <v>-43.496090000000002</v>
      </c>
      <c r="HW12" s="3">
        <v>-44.911189999999998</v>
      </c>
      <c r="HX12" s="3">
        <v>-45.893250000000002</v>
      </c>
      <c r="HY12" s="3">
        <v>-46.309570000000001</v>
      </c>
      <c r="HZ12" s="3">
        <v>-45.830379999999998</v>
      </c>
      <c r="IA12" s="3">
        <v>-45.487609999999997</v>
      </c>
      <c r="IB12" s="3">
        <v>-44.72504</v>
      </c>
      <c r="IC12" s="3">
        <v>-43.695070000000001</v>
      </c>
      <c r="ID12" s="3">
        <v>-42.613219999999998</v>
      </c>
      <c r="IE12" s="3">
        <v>-41.531739999999999</v>
      </c>
      <c r="IF12" s="3">
        <v>-40.234439999999999</v>
      </c>
      <c r="IG12" s="3">
        <v>-38.862670000000001</v>
      </c>
      <c r="IH12" s="3">
        <v>-37.677979999999998</v>
      </c>
      <c r="II12" s="3">
        <v>-36.564999999999998</v>
      </c>
      <c r="IJ12" s="3">
        <v>-35.495240000000003</v>
      </c>
      <c r="IK12" s="3">
        <v>-34.619259999999997</v>
      </c>
      <c r="IL12" s="3">
        <v>-33.734189999999998</v>
      </c>
      <c r="IM12" s="3">
        <v>-32.760309999999997</v>
      </c>
      <c r="IN12" s="3">
        <v>-31.69745</v>
      </c>
      <c r="IO12" s="3">
        <v>-30.47101</v>
      </c>
      <c r="IP12" s="3">
        <v>-29.163820000000001</v>
      </c>
      <c r="IQ12" s="3">
        <v>-27.839230000000001</v>
      </c>
      <c r="IR12" s="3">
        <v>-26.572330000000001</v>
      </c>
      <c r="IS12" s="3">
        <v>-25.327940000000002</v>
      </c>
      <c r="IT12" s="3">
        <v>-24.294309999999999</v>
      </c>
      <c r="IU12" s="3">
        <v>-23.575869999999998</v>
      </c>
      <c r="IV12" s="3">
        <v>-23.046939999999999</v>
      </c>
      <c r="IW12" s="3">
        <v>-22.706910000000001</v>
      </c>
      <c r="IX12" s="3">
        <v>-22.588560000000001</v>
      </c>
      <c r="IY12" s="3">
        <v>-22.747129999999999</v>
      </c>
      <c r="IZ12" s="3">
        <v>-22.90607</v>
      </c>
      <c r="JA12" s="3">
        <v>-23.065799999999999</v>
      </c>
      <c r="JB12" s="3">
        <v>-23.22644</v>
      </c>
      <c r="JC12" s="3">
        <v>-23.39001</v>
      </c>
      <c r="JD12" s="3">
        <v>-23.554379999999998</v>
      </c>
      <c r="JE12" s="3">
        <v>-23.7196</v>
      </c>
      <c r="JF12" s="3">
        <v>-23.885680000000001</v>
      </c>
      <c r="JG12" s="3">
        <v>-24.051880000000001</v>
      </c>
      <c r="JH12" s="3">
        <v>-24.219059999999999</v>
      </c>
      <c r="JI12" s="3">
        <v>-24.38721</v>
      </c>
      <c r="JJ12" s="3">
        <v>-24.55603</v>
      </c>
      <c r="JK12" s="3">
        <v>-24.732600000000001</v>
      </c>
      <c r="JL12" s="3">
        <v>-24.90887</v>
      </c>
      <c r="JM12" s="3">
        <v>-25.086179999999999</v>
      </c>
      <c r="JN12" s="3">
        <v>-25.262699999999999</v>
      </c>
      <c r="JO12" s="3">
        <v>-25.446529999999999</v>
      </c>
      <c r="JP12" s="3">
        <v>-25.631350000000001</v>
      </c>
      <c r="JQ12" s="3">
        <v>-25.81738</v>
      </c>
      <c r="JR12" s="3">
        <v>-26.0047</v>
      </c>
      <c r="JS12" s="3">
        <v>-26.193909999999999</v>
      </c>
      <c r="JT12" s="3">
        <v>-26.384340000000002</v>
      </c>
      <c r="JU12" s="3">
        <v>-26.575810000000001</v>
      </c>
      <c r="JV12" s="3">
        <v>-26.768740000000001</v>
      </c>
      <c r="JW12" s="3">
        <v>-26.964230000000001</v>
      </c>
      <c r="JX12" s="3">
        <v>-27.160889999999998</v>
      </c>
      <c r="JY12" s="3">
        <v>-27.35895</v>
      </c>
      <c r="JZ12" s="3">
        <v>-27.558039999999998</v>
      </c>
      <c r="KA12" s="3">
        <v>-27.756350000000001</v>
      </c>
      <c r="KB12" s="3">
        <v>-27.95599</v>
      </c>
      <c r="KC12" s="3">
        <v>-28.1568</v>
      </c>
      <c r="KD12" s="3">
        <v>-28.359069999999999</v>
      </c>
      <c r="KE12" s="3">
        <v>-28.560420000000001</v>
      </c>
      <c r="KF12" s="3">
        <v>-28.763000000000002</v>
      </c>
      <c r="KG12" s="3">
        <v>-28.966799999999999</v>
      </c>
      <c r="KH12" s="3">
        <v>-29.172419999999999</v>
      </c>
      <c r="KI12" s="3">
        <v>-29.37677</v>
      </c>
      <c r="KJ12" s="3">
        <v>-29.582699999999999</v>
      </c>
      <c r="KK12" s="3">
        <v>-29.78998</v>
      </c>
      <c r="KL12" s="3">
        <v>-29.999020000000002</v>
      </c>
      <c r="KM12" s="3">
        <v>-30.208010000000002</v>
      </c>
      <c r="KN12" s="3">
        <v>-30.416989999999998</v>
      </c>
      <c r="KO12" s="3">
        <v>-30.626950000000001</v>
      </c>
      <c r="KP12" s="3">
        <v>-30.839970000000001</v>
      </c>
      <c r="KQ12" s="3">
        <v>-31.047969999999999</v>
      </c>
      <c r="KR12" s="3">
        <v>-31.256959999999999</v>
      </c>
      <c r="KS12" s="3">
        <v>-31.468019999999999</v>
      </c>
      <c r="KT12" s="3">
        <v>-31.67896</v>
      </c>
      <c r="KU12" s="3">
        <v>-31.890989999999999</v>
      </c>
      <c r="KV12" s="3">
        <v>-32.1051</v>
      </c>
      <c r="KW12" s="3">
        <v>-32.320070000000001</v>
      </c>
      <c r="KX12" s="3">
        <v>-32.536009999999997</v>
      </c>
      <c r="KY12" s="3">
        <v>-32.752079999999999</v>
      </c>
      <c r="KZ12" s="3">
        <v>-32.968989999999998</v>
      </c>
      <c r="LA12" s="3">
        <v>-33.187010000000001</v>
      </c>
      <c r="LB12" s="3">
        <v>-33.406979999999997</v>
      </c>
      <c r="LC12" s="3">
        <v>-33.62903</v>
      </c>
      <c r="LD12" s="3">
        <v>-33.851930000000003</v>
      </c>
      <c r="LE12" s="3">
        <v>-34.077030000000001</v>
      </c>
      <c r="LF12" s="3">
        <v>-34.302979999999998</v>
      </c>
      <c r="LG12" s="3">
        <v>-34.530030000000004</v>
      </c>
      <c r="LH12" s="3">
        <v>-34.757930000000002</v>
      </c>
      <c r="LI12" s="3">
        <v>-34.987920000000003</v>
      </c>
      <c r="LJ12" s="3">
        <v>-35.216920000000002</v>
      </c>
      <c r="LK12" s="3">
        <v>-35.444949999999999</v>
      </c>
      <c r="LL12" s="3">
        <v>-35.674930000000003</v>
      </c>
      <c r="LM12" s="3">
        <v>-35.906010000000002</v>
      </c>
      <c r="LN12" s="3">
        <v>-36.140009999999997</v>
      </c>
      <c r="LO12" s="3">
        <v>-36.369019999999999</v>
      </c>
      <c r="LP12" s="3">
        <v>-36.599980000000002</v>
      </c>
      <c r="LQ12" s="3">
        <v>-36.833010000000002</v>
      </c>
      <c r="LR12" s="3">
        <v>-37.067019999999999</v>
      </c>
      <c r="LS12" s="3">
        <v>-37.29907</v>
      </c>
      <c r="LT12" s="3">
        <v>-37.533079999999998</v>
      </c>
      <c r="LU12" s="3">
        <v>-37.769039999999997</v>
      </c>
      <c r="LV12" s="3">
        <v>-38.005000000000003</v>
      </c>
      <c r="LW12" s="3">
        <v>-38.23901</v>
      </c>
      <c r="LX12" s="3">
        <v>-38.475949999999997</v>
      </c>
      <c r="LY12" s="3">
        <v>-38.713009999999997</v>
      </c>
      <c r="LZ12" s="3">
        <v>-38.951900000000002</v>
      </c>
      <c r="MA12" s="3">
        <v>-39.195070000000001</v>
      </c>
      <c r="MB12" s="3">
        <v>-39.438960000000002</v>
      </c>
      <c r="MC12" s="3">
        <v>-39.68506</v>
      </c>
      <c r="MD12" s="3">
        <v>-39.93103</v>
      </c>
      <c r="ME12" s="3">
        <v>-40.179079999999999</v>
      </c>
      <c r="MF12" s="3">
        <v>-40.427</v>
      </c>
      <c r="MG12" s="3">
        <v>-40.677</v>
      </c>
      <c r="MH12" s="3">
        <v>-40.927</v>
      </c>
      <c r="MI12" s="3">
        <v>-41.190919999999998</v>
      </c>
      <c r="MJ12" s="3">
        <v>-41.455930000000002</v>
      </c>
      <c r="MK12" s="3">
        <v>-41.723999999999997</v>
      </c>
      <c r="ML12" s="3">
        <v>-41.992069999999998</v>
      </c>
      <c r="MM12" s="3">
        <v>-42.265009999999997</v>
      </c>
      <c r="MN12" s="3">
        <v>-42.540889999999997</v>
      </c>
      <c r="MO12" s="3">
        <v>-42.817990000000002</v>
      </c>
      <c r="MP12" s="3">
        <v>-43.096919999999997</v>
      </c>
      <c r="MQ12" s="3">
        <v>-43.378909999999998</v>
      </c>
      <c r="MR12" s="3">
        <v>-43.662959999999998</v>
      </c>
      <c r="MS12" s="3">
        <v>-43.950069999999997</v>
      </c>
      <c r="MT12" s="3">
        <v>-44.23901</v>
      </c>
      <c r="MU12" t="s">
        <v>440</v>
      </c>
      <c r="MV12" t="b">
        <v>1</v>
      </c>
      <c r="MW12" t="s">
        <v>377</v>
      </c>
      <c r="MX12" t="s">
        <v>377</v>
      </c>
      <c r="MY12">
        <v>2025</v>
      </c>
      <c r="MZ12">
        <v>2</v>
      </c>
      <c r="NA12" t="s">
        <v>377</v>
      </c>
      <c r="NB12" s="1" t="s">
        <v>441</v>
      </c>
      <c r="NC12" t="s">
        <v>377</v>
      </c>
      <c r="ND12" t="s">
        <v>402</v>
      </c>
      <c r="NE12" t="s">
        <v>432</v>
      </c>
      <c r="NF12" s="1" t="s">
        <v>872</v>
      </c>
    </row>
    <row r="13" spans="1:370" x14ac:dyDescent="0.25">
      <c r="A13" t="s">
        <v>403</v>
      </c>
      <c r="B13" t="s">
        <v>429</v>
      </c>
      <c r="C13" s="1" t="s">
        <v>871</v>
      </c>
      <c r="D13" t="s">
        <v>397</v>
      </c>
      <c r="E13" t="s">
        <v>384</v>
      </c>
      <c r="F13" t="s">
        <v>374</v>
      </c>
      <c r="G13" s="2">
        <v>0.20323050000000001</v>
      </c>
      <c r="H13" s="2">
        <v>0.21495700000000001</v>
      </c>
      <c r="I13" s="2">
        <v>0.2068633</v>
      </c>
      <c r="J13" s="2">
        <v>0.17894930000000001</v>
      </c>
      <c r="K13" s="2">
        <v>0.2445668</v>
      </c>
      <c r="L13" s="2">
        <v>0.31599579999999999</v>
      </c>
      <c r="M13" s="2">
        <v>0.15646450000000001</v>
      </c>
      <c r="N13" s="2">
        <v>-0.23402700000000001</v>
      </c>
      <c r="O13" s="2">
        <v>-0.78578300000000001</v>
      </c>
      <c r="P13" s="2">
        <v>-1.240029</v>
      </c>
      <c r="Q13" s="2">
        <v>-1.302373</v>
      </c>
      <c r="R13" s="2">
        <v>-0.97281430000000002</v>
      </c>
      <c r="S13" s="2">
        <v>-0.57176479999999996</v>
      </c>
      <c r="T13" s="2">
        <v>-0.3313603</v>
      </c>
      <c r="U13" s="2">
        <v>-0.25779770000000002</v>
      </c>
      <c r="V13" s="2">
        <v>-0.35107729999999998</v>
      </c>
      <c r="W13" s="2">
        <v>-0.35524869999999997</v>
      </c>
      <c r="X13" s="2">
        <v>-0.29387629999999998</v>
      </c>
      <c r="Y13" s="2">
        <v>-0.45606370000000002</v>
      </c>
      <c r="Z13" s="2">
        <v>-0.84181119999999998</v>
      </c>
      <c r="AA13" s="2">
        <v>-1.4193910000000001</v>
      </c>
      <c r="AB13" s="2">
        <v>-1.901734</v>
      </c>
      <c r="AC13" s="2">
        <v>-1.9166719999999999</v>
      </c>
      <c r="AD13" s="2">
        <v>-1.4642029999999999</v>
      </c>
      <c r="AE13" s="2">
        <v>-0.79912019999999995</v>
      </c>
      <c r="AF13" s="2">
        <v>-0.43894230000000001</v>
      </c>
      <c r="AG13" s="2">
        <v>-0.30341099999999999</v>
      </c>
      <c r="AH13" s="2">
        <v>-0.3925265</v>
      </c>
      <c r="AI13" s="2">
        <v>0.35099999999999998</v>
      </c>
      <c r="AJ13" s="2">
        <v>-0.13200000000000001</v>
      </c>
      <c r="AK13" s="2">
        <v>-0.70899999999999996</v>
      </c>
      <c r="AL13" s="2">
        <v>-1.4379999999999999</v>
      </c>
      <c r="AM13" s="2">
        <v>-2.0419999999999998</v>
      </c>
      <c r="AN13" s="2">
        <v>-3.234</v>
      </c>
      <c r="AO13" s="2">
        <v>-3.9369999999999998</v>
      </c>
      <c r="AP13" s="2">
        <v>-3.0289999999999999</v>
      </c>
      <c r="AQ13" s="2">
        <v>-3.5680000000000001</v>
      </c>
      <c r="AR13" s="2">
        <v>-4.6740000000000004</v>
      </c>
      <c r="AS13" s="2">
        <v>-4.8959999999999999</v>
      </c>
      <c r="AT13" s="2">
        <v>-3.36</v>
      </c>
      <c r="AU13" s="2">
        <v>-4.5220000000000002</v>
      </c>
      <c r="AV13" s="2">
        <v>-4.2910000000000004</v>
      </c>
      <c r="AW13" s="2">
        <v>-3.4940000000000002</v>
      </c>
      <c r="AX13" s="2">
        <v>-4.1740000000000004</v>
      </c>
      <c r="AY13" s="2">
        <v>-5.01</v>
      </c>
      <c r="AZ13" s="2">
        <v>-3.98</v>
      </c>
      <c r="BA13" s="2">
        <v>-5.5339999999999998</v>
      </c>
      <c r="BB13" s="2">
        <v>-4.7789999999999999</v>
      </c>
      <c r="BC13" s="2">
        <v>-4.2699999999999996</v>
      </c>
      <c r="BD13" s="2">
        <v>-4.6120000000000001</v>
      </c>
      <c r="BE13" s="2">
        <v>-6.9770000000000003</v>
      </c>
      <c r="BF13" s="2">
        <v>-6.758</v>
      </c>
      <c r="BG13" s="2">
        <v>-7.0119999999999996</v>
      </c>
      <c r="BH13" s="2">
        <v>-6.1680000000000001</v>
      </c>
      <c r="BI13" s="2">
        <v>-6.234</v>
      </c>
      <c r="BJ13" s="2">
        <v>-6.64</v>
      </c>
      <c r="BK13" s="2">
        <v>-3.3919999999999999</v>
      </c>
      <c r="BL13" s="2">
        <v>-4.6639999999999997</v>
      </c>
      <c r="BM13" s="2">
        <v>-4.9349999999999996</v>
      </c>
      <c r="BN13" s="2">
        <v>-4.2460000000000004</v>
      </c>
      <c r="BO13" s="2">
        <v>-4.5339999999999998</v>
      </c>
      <c r="BP13" s="2">
        <v>-6.3019999999999996</v>
      </c>
      <c r="BQ13" s="2">
        <v>-6.0350000000000001</v>
      </c>
      <c r="BR13" s="2">
        <v>-6.7839999999999998</v>
      </c>
      <c r="BS13" s="2">
        <v>-4.915</v>
      </c>
      <c r="BT13" s="2">
        <v>-3.1280000000000001</v>
      </c>
      <c r="BU13" s="2">
        <v>-6.6719999999999997</v>
      </c>
      <c r="BV13" s="2">
        <v>-3.073</v>
      </c>
      <c r="BW13" s="2">
        <v>-7.218</v>
      </c>
      <c r="BX13" s="2">
        <v>-5.42</v>
      </c>
      <c r="BY13" s="2">
        <v>-7.141</v>
      </c>
      <c r="BZ13" s="2">
        <v>-5.891</v>
      </c>
      <c r="CA13" s="2">
        <v>-7.1070000000000002</v>
      </c>
      <c r="CB13" s="2">
        <v>-7.5620000000000003</v>
      </c>
      <c r="CC13" s="2">
        <v>-8.0739999999999998</v>
      </c>
      <c r="CD13" s="2">
        <v>-8.5489999999999995</v>
      </c>
      <c r="CE13" s="2">
        <v>-9.5960000000000001</v>
      </c>
      <c r="CF13" s="2">
        <v>-12.712</v>
      </c>
      <c r="CG13" s="2">
        <v>-14.173999999999999</v>
      </c>
      <c r="CH13" s="2">
        <v>-15.406000000000001</v>
      </c>
      <c r="CI13" s="2">
        <v>-17.215</v>
      </c>
      <c r="CJ13" s="2">
        <v>-19.175000000000001</v>
      </c>
      <c r="CK13" s="2">
        <v>-18.719000000000001</v>
      </c>
      <c r="CL13" s="2">
        <v>-17.442</v>
      </c>
      <c r="CM13" s="2">
        <v>-16.863</v>
      </c>
      <c r="CN13" s="2">
        <v>-15.587</v>
      </c>
      <c r="CO13" s="2">
        <v>-15.707000000000001</v>
      </c>
      <c r="CP13" s="2">
        <v>-15.856999999999999</v>
      </c>
      <c r="CQ13" s="2">
        <v>-15.647</v>
      </c>
      <c r="CR13" s="2">
        <v>-16.57</v>
      </c>
      <c r="CS13" s="2">
        <v>-15.352</v>
      </c>
      <c r="CT13" s="2">
        <v>-14.472</v>
      </c>
      <c r="CU13" s="2">
        <v>-12.29</v>
      </c>
      <c r="CV13" s="2">
        <v>-12.968</v>
      </c>
      <c r="CW13" s="2">
        <v>-11.473000000000001</v>
      </c>
      <c r="CX13" s="2">
        <v>-11.881</v>
      </c>
      <c r="CY13" s="2">
        <v>-12.241</v>
      </c>
      <c r="CZ13" s="2">
        <v>-11.047000000000001</v>
      </c>
      <c r="DA13" s="2">
        <v>-13.23</v>
      </c>
      <c r="DB13" s="2">
        <v>-11.301</v>
      </c>
      <c r="DC13" s="2">
        <v>-9.3870000000000005</v>
      </c>
      <c r="DD13" s="2">
        <v>-8.9849999999999994</v>
      </c>
      <c r="DE13" s="2">
        <v>-7.5060000000000002</v>
      </c>
      <c r="DF13" s="2">
        <v>-6.2530000000000001</v>
      </c>
      <c r="DG13" s="2">
        <v>-6.6230000000000002</v>
      </c>
      <c r="DH13" s="2">
        <v>-5.7549999999999999</v>
      </c>
      <c r="DI13" s="2">
        <v>-3.9409999999999998</v>
      </c>
      <c r="DJ13" s="2">
        <v>-5.0010000000000003</v>
      </c>
      <c r="DK13" s="2">
        <v>-4.62</v>
      </c>
      <c r="DL13" s="2">
        <v>-3.863</v>
      </c>
      <c r="DM13" s="2">
        <v>-3.6309999999999998</v>
      </c>
      <c r="DN13" s="2">
        <v>-7.2510000000000003</v>
      </c>
      <c r="DO13" s="2">
        <v>-5.8959999999999999</v>
      </c>
      <c r="DP13" s="2">
        <v>-6.0999999999999999E-2</v>
      </c>
      <c r="DQ13" s="2">
        <v>-7.3789999999999996</v>
      </c>
      <c r="DR13" s="2">
        <v>-8.3149999999999995</v>
      </c>
      <c r="DS13" s="2">
        <v>-10.215999999999999</v>
      </c>
      <c r="DT13" s="2">
        <v>-8.1259999999999994</v>
      </c>
      <c r="DU13" s="2">
        <v>-13.42</v>
      </c>
      <c r="DV13" s="2">
        <v>-18.276</v>
      </c>
      <c r="DW13" s="2">
        <v>-16.231000000000002</v>
      </c>
      <c r="DX13" s="2">
        <v>-16.094000000000001</v>
      </c>
      <c r="DY13" s="2">
        <v>-17.065999999999999</v>
      </c>
      <c r="DZ13" s="2">
        <v>-16.728000000000002</v>
      </c>
      <c r="EA13" s="2">
        <v>-15.542999999999999</v>
      </c>
      <c r="EB13" s="2">
        <v>-14.855</v>
      </c>
      <c r="EC13" s="2">
        <v>-15.603</v>
      </c>
      <c r="ED13" s="2">
        <v>-14.217000000000001</v>
      </c>
      <c r="EE13" s="2">
        <v>-12.693</v>
      </c>
      <c r="EF13" s="2">
        <v>-17.311</v>
      </c>
      <c r="EG13" s="2">
        <v>-15.888999999999999</v>
      </c>
      <c r="EH13" s="2">
        <v>-15.872999999999999</v>
      </c>
      <c r="EI13" s="2">
        <v>-13.458</v>
      </c>
      <c r="EJ13" s="2">
        <v>-12.974</v>
      </c>
      <c r="EK13" s="2">
        <v>-13.263</v>
      </c>
      <c r="EL13" s="2">
        <v>-9.3989999999999991</v>
      </c>
      <c r="EM13" s="2">
        <v>-14.563000000000001</v>
      </c>
      <c r="EN13" s="2">
        <v>-13.12</v>
      </c>
      <c r="EO13" s="2">
        <v>-13.962</v>
      </c>
      <c r="EP13" s="2">
        <v>-16.251999999999999</v>
      </c>
      <c r="EQ13" s="2">
        <v>-15.134</v>
      </c>
      <c r="ER13" s="2">
        <v>-15.308999999999999</v>
      </c>
      <c r="ES13" s="2">
        <v>-15.260999999999999</v>
      </c>
      <c r="ET13" s="2">
        <v>-23.853000000000002</v>
      </c>
      <c r="EU13" s="2">
        <v>-34.703000000000003</v>
      </c>
      <c r="EV13" s="2">
        <v>-33.704000000000001</v>
      </c>
      <c r="EW13" s="2">
        <v>-39.085999999999999</v>
      </c>
      <c r="EX13" s="2">
        <v>-35.31</v>
      </c>
      <c r="EY13" s="2">
        <v>-39.237000000000002</v>
      </c>
      <c r="EZ13" s="2">
        <v>-36.597000000000001</v>
      </c>
      <c r="FA13" s="2">
        <v>-34.322000000000003</v>
      </c>
      <c r="FB13" s="2">
        <v>-32.478999999999999</v>
      </c>
      <c r="FC13" s="2">
        <v>-28.742999999999999</v>
      </c>
      <c r="FD13" s="2">
        <v>-28.359000000000002</v>
      </c>
      <c r="FE13" s="2">
        <v>-25.876000000000001</v>
      </c>
      <c r="FF13" s="2">
        <v>-26.46</v>
      </c>
      <c r="FG13" s="2">
        <v>-27.774999999999999</v>
      </c>
      <c r="FH13" s="2">
        <v>-29.481999999999999</v>
      </c>
      <c r="FI13" s="2">
        <v>-27.344000000000001</v>
      </c>
      <c r="FJ13" s="2">
        <v>-23.297999999999998</v>
      </c>
      <c r="FK13" s="2">
        <v>-28.271000000000001</v>
      </c>
      <c r="FL13" s="2">
        <v>-26.565999999999999</v>
      </c>
      <c r="FM13" s="2">
        <v>-24.904</v>
      </c>
      <c r="FN13" s="2">
        <v>-25.155000000000001</v>
      </c>
      <c r="FO13" s="2">
        <v>-24.053000000000001</v>
      </c>
      <c r="FP13" s="2">
        <v>-24.670999999999999</v>
      </c>
      <c r="FQ13" s="2">
        <v>-24.26</v>
      </c>
      <c r="FR13" s="2">
        <v>-25.544</v>
      </c>
      <c r="FS13" s="2">
        <v>-23.143000000000001</v>
      </c>
      <c r="FT13" s="2">
        <v>-22.975000000000001</v>
      </c>
      <c r="FU13" s="2">
        <v>-20.471</v>
      </c>
      <c r="FV13" s="2">
        <v>-19.175000000000001</v>
      </c>
      <c r="FW13" s="2">
        <v>-21.288</v>
      </c>
      <c r="FX13" s="2">
        <v>-20.292999999999999</v>
      </c>
      <c r="FY13" s="2">
        <v>-22.225999999999999</v>
      </c>
      <c r="FZ13" s="2">
        <v>-20.224</v>
      </c>
      <c r="GA13" s="2">
        <v>-21.088999999999999</v>
      </c>
      <c r="GB13" s="2">
        <v>-18.29</v>
      </c>
      <c r="GC13" s="2">
        <v>-21.609000000000002</v>
      </c>
      <c r="GD13" s="2">
        <v>-16.184999999999999</v>
      </c>
      <c r="GE13" s="2">
        <v>-14.068</v>
      </c>
      <c r="GF13" s="2">
        <v>-13.619</v>
      </c>
      <c r="GG13" s="2">
        <v>-14.544</v>
      </c>
      <c r="GH13" s="2">
        <v>-12.382</v>
      </c>
      <c r="GI13" s="2">
        <v>-13.411</v>
      </c>
      <c r="GJ13" s="2">
        <v>-14.14</v>
      </c>
      <c r="GK13" s="2">
        <v>-12.124000000000001</v>
      </c>
      <c r="GL13" s="2">
        <v>-18.747</v>
      </c>
      <c r="GM13" s="2">
        <v>-36.168999999999997</v>
      </c>
      <c r="GN13" s="2">
        <v>-77.382999999999996</v>
      </c>
      <c r="GO13" s="2">
        <v>-32.621000000000002</v>
      </c>
      <c r="GP13" s="2">
        <v>-60.89</v>
      </c>
      <c r="GQ13" s="2">
        <v>-55.137999999999998</v>
      </c>
      <c r="GR13" s="2">
        <v>-50.444000000000003</v>
      </c>
      <c r="GS13" s="2">
        <v>-31.497</v>
      </c>
      <c r="GT13" s="2">
        <v>-28.047999999999998</v>
      </c>
      <c r="GU13" s="2">
        <v>-32.000999999999998</v>
      </c>
      <c r="GV13" s="2">
        <v>-23.492000000000001</v>
      </c>
      <c r="GW13" s="2">
        <v>-32.203000000000003</v>
      </c>
      <c r="GX13" s="2">
        <v>-38.340000000000003</v>
      </c>
      <c r="GY13" s="2">
        <v>-35.023000000000003</v>
      </c>
      <c r="GZ13" s="2">
        <v>-35.930999999999997</v>
      </c>
      <c r="HA13" s="2">
        <v>-39.802</v>
      </c>
      <c r="HB13" s="2">
        <v>-41.04</v>
      </c>
      <c r="HC13" s="2">
        <v>-41.633000000000003</v>
      </c>
      <c r="HD13" s="2">
        <v>-40.98</v>
      </c>
      <c r="HE13" s="2">
        <v>-44.045999999999999</v>
      </c>
      <c r="HF13" s="2">
        <v>-43.039000000000001</v>
      </c>
      <c r="HG13" s="2">
        <v>-40.088999999999999</v>
      </c>
      <c r="HH13" s="2">
        <v>-39.82</v>
      </c>
      <c r="HI13" s="3">
        <v>-40.107300000000002</v>
      </c>
      <c r="HJ13" s="3">
        <v>-40.601590000000002</v>
      </c>
      <c r="HK13" s="3">
        <v>-40.9617</v>
      </c>
      <c r="HL13" s="3">
        <v>-41.114620000000002</v>
      </c>
      <c r="HM13" s="3">
        <v>-41.056609999999999</v>
      </c>
      <c r="HN13" s="3">
        <v>-41.084780000000002</v>
      </c>
      <c r="HO13" s="3">
        <v>-40.156100000000002</v>
      </c>
      <c r="HP13" s="3">
        <v>-40.023409999999998</v>
      </c>
      <c r="HQ13" s="3">
        <v>-40.076419999999999</v>
      </c>
      <c r="HR13" s="3">
        <v>-40.251399999999997</v>
      </c>
      <c r="HS13" s="3">
        <v>-40.289790000000004</v>
      </c>
      <c r="HT13" s="3">
        <v>-40.300899999999999</v>
      </c>
      <c r="HU13" s="3">
        <v>-39.940489999999997</v>
      </c>
      <c r="HV13" s="3">
        <v>-39.571620000000003</v>
      </c>
      <c r="HW13" s="3">
        <v>-39.104190000000003</v>
      </c>
      <c r="HX13" s="3">
        <v>-38.63391</v>
      </c>
      <c r="HY13" s="3">
        <v>-38.179780000000001</v>
      </c>
      <c r="HZ13" s="3">
        <v>-37.624510000000001</v>
      </c>
      <c r="IA13" s="3">
        <v>-37.125700000000002</v>
      </c>
      <c r="IB13" s="3">
        <v>-36.848109999999998</v>
      </c>
      <c r="IC13" s="3">
        <v>-36.497100000000003</v>
      </c>
      <c r="ID13" s="3">
        <v>-36.437100000000001</v>
      </c>
      <c r="IE13" s="3">
        <v>-36.372500000000002</v>
      </c>
      <c r="IF13" s="3">
        <v>-36.221409999999999</v>
      </c>
      <c r="IG13" s="3">
        <v>-36.204320000000003</v>
      </c>
      <c r="IH13" s="3">
        <v>-36.315060000000003</v>
      </c>
      <c r="II13" s="3">
        <v>-36.44473</v>
      </c>
      <c r="IJ13" s="3">
        <v>-36.524079999999998</v>
      </c>
      <c r="IK13" s="3">
        <v>-36.543700000000001</v>
      </c>
      <c r="IL13" s="3">
        <v>-36.295529999999999</v>
      </c>
      <c r="IM13" s="3">
        <v>-36.173400000000001</v>
      </c>
      <c r="IN13" s="3">
        <v>-35.926789999999997</v>
      </c>
      <c r="IO13" s="3">
        <v>-35.749079999999999</v>
      </c>
      <c r="IP13" s="3">
        <v>-35.487119999999997</v>
      </c>
      <c r="IQ13" s="3">
        <v>-35.252809999999997</v>
      </c>
      <c r="IR13" s="3">
        <v>-34.921880000000002</v>
      </c>
      <c r="IS13" s="3">
        <v>-34.654850000000003</v>
      </c>
      <c r="IT13" s="3">
        <v>-34.489930000000001</v>
      </c>
      <c r="IU13" s="3">
        <v>-34.304989999999997</v>
      </c>
      <c r="IV13" s="3">
        <v>-34.13617</v>
      </c>
      <c r="IW13" s="3">
        <v>-34.03143</v>
      </c>
      <c r="IX13" s="3">
        <v>-34.034730000000003</v>
      </c>
      <c r="IY13" s="3">
        <v>-34.198610000000002</v>
      </c>
      <c r="IZ13" s="3">
        <v>-34.422789999999999</v>
      </c>
      <c r="JA13" s="3">
        <v>-34.655270000000002</v>
      </c>
      <c r="JB13" s="3">
        <v>-34.874510000000001</v>
      </c>
      <c r="JC13" s="3">
        <v>-35.114930000000001</v>
      </c>
      <c r="JD13" s="3">
        <v>-35.335999999999999</v>
      </c>
      <c r="JE13" s="3">
        <v>-35.581910000000001</v>
      </c>
      <c r="JF13" s="3">
        <v>-35.811399999999999</v>
      </c>
      <c r="JG13" s="3">
        <v>-36.042479999999998</v>
      </c>
      <c r="JH13" s="3">
        <v>-36.266419999999997</v>
      </c>
      <c r="JI13" s="3">
        <v>-36.481319999999997</v>
      </c>
      <c r="JJ13" s="3">
        <v>-36.697809999999997</v>
      </c>
      <c r="JK13" s="3">
        <v>-36.92944</v>
      </c>
      <c r="JL13" s="3">
        <v>-37.159790000000001</v>
      </c>
      <c r="JM13" s="3">
        <v>-37.395319999999998</v>
      </c>
      <c r="JN13" s="3">
        <v>-37.636229999999998</v>
      </c>
      <c r="JO13" s="3">
        <v>-37.870420000000003</v>
      </c>
      <c r="JP13" s="3">
        <v>-38.106990000000003</v>
      </c>
      <c r="JQ13" s="3">
        <v>-38.34534</v>
      </c>
      <c r="JR13" s="3">
        <v>-38.575809999999997</v>
      </c>
      <c r="JS13" s="3">
        <v>-38.820070000000001</v>
      </c>
      <c r="JT13" s="3">
        <v>-39.059750000000001</v>
      </c>
      <c r="JU13" s="3">
        <v>-39.302610000000001</v>
      </c>
      <c r="JV13" s="3">
        <v>-39.559629999999999</v>
      </c>
      <c r="JW13" s="3">
        <v>-39.809269999999998</v>
      </c>
      <c r="JX13" s="3">
        <v>-40.0578</v>
      </c>
      <c r="JY13" s="3">
        <v>-40.313720000000004</v>
      </c>
      <c r="JZ13" s="3">
        <v>-40.572200000000002</v>
      </c>
      <c r="KA13" s="3">
        <v>-40.829830000000001</v>
      </c>
      <c r="KB13" s="3">
        <v>-41.09149</v>
      </c>
      <c r="KC13" s="3">
        <v>-41.353580000000001</v>
      </c>
      <c r="KD13" s="3">
        <v>-41.617980000000003</v>
      </c>
      <c r="KE13" s="3">
        <v>-41.884219999999999</v>
      </c>
      <c r="KF13" s="3">
        <v>-42.142330000000001</v>
      </c>
      <c r="KG13" s="3">
        <v>-42.403199999999998</v>
      </c>
      <c r="KH13" s="3">
        <v>-42.67859</v>
      </c>
      <c r="KI13" s="3">
        <v>-42.929020000000001</v>
      </c>
      <c r="KJ13" s="3">
        <v>-43.191099999999999</v>
      </c>
      <c r="KK13" s="3">
        <v>-43.469119999999997</v>
      </c>
      <c r="KL13" s="3">
        <v>-43.73901</v>
      </c>
      <c r="KM13" s="3">
        <v>-44.006900000000002</v>
      </c>
      <c r="KN13" s="3">
        <v>-44.277889999999999</v>
      </c>
      <c r="KO13" s="3">
        <v>-44.545229999999997</v>
      </c>
      <c r="KP13" s="3">
        <v>-44.805909999999997</v>
      </c>
      <c r="KQ13" s="3">
        <v>-45.07159</v>
      </c>
      <c r="KR13" s="3">
        <v>-45.330199999999998</v>
      </c>
      <c r="KS13" s="3">
        <v>-45.600650000000002</v>
      </c>
      <c r="KT13" s="3">
        <v>-45.853999999999999</v>
      </c>
      <c r="KU13" s="3">
        <v>-46.116819999999997</v>
      </c>
      <c r="KV13" s="3">
        <v>-46.397640000000003</v>
      </c>
      <c r="KW13" s="3">
        <v>-46.65399</v>
      </c>
      <c r="KX13" s="3">
        <v>-46.914670000000001</v>
      </c>
      <c r="KY13" s="3">
        <v>-47.19397</v>
      </c>
      <c r="KZ13" s="3">
        <v>-47.462829999999997</v>
      </c>
      <c r="LA13" s="3">
        <v>-47.735109999999999</v>
      </c>
      <c r="LB13" s="3">
        <v>-48.00262</v>
      </c>
      <c r="LC13" s="3">
        <v>-48.281979999999997</v>
      </c>
      <c r="LD13" s="3">
        <v>-48.56635</v>
      </c>
      <c r="LE13" s="3">
        <v>-48.859439999999999</v>
      </c>
      <c r="LF13" s="3">
        <v>-49.14331</v>
      </c>
      <c r="LG13" s="3">
        <v>-49.440919999999998</v>
      </c>
      <c r="LH13" s="3">
        <v>-49.719119999999997</v>
      </c>
      <c r="LI13" s="3">
        <v>-50.019100000000002</v>
      </c>
      <c r="LJ13" s="3">
        <v>-50.295720000000003</v>
      </c>
      <c r="LK13" s="3">
        <v>-50.583979999999997</v>
      </c>
      <c r="LL13" s="3">
        <v>-50.888120000000001</v>
      </c>
      <c r="LM13" s="3">
        <v>-51.176699999999997</v>
      </c>
      <c r="LN13" s="3">
        <v>-51.469790000000003</v>
      </c>
      <c r="LO13" s="3">
        <v>-51.758000000000003</v>
      </c>
      <c r="LP13" s="3">
        <v>-52.056519999999999</v>
      </c>
      <c r="LQ13" s="3">
        <v>-52.359499999999997</v>
      </c>
      <c r="LR13" s="3">
        <v>-52.653199999999998</v>
      </c>
      <c r="LS13" s="3">
        <v>-52.949339999999999</v>
      </c>
      <c r="LT13" s="3">
        <v>-53.253169999999997</v>
      </c>
      <c r="LU13" s="3">
        <v>-53.554630000000003</v>
      </c>
      <c r="LV13" s="3">
        <v>-53.856020000000001</v>
      </c>
      <c r="LW13" s="3">
        <v>-54.14911</v>
      </c>
      <c r="LX13" s="3">
        <v>-54.46405</v>
      </c>
      <c r="LY13" s="3">
        <v>-54.77319</v>
      </c>
      <c r="LZ13" s="3">
        <v>-55.083190000000002</v>
      </c>
      <c r="MA13" s="3">
        <v>-55.396729999999998</v>
      </c>
      <c r="MB13" s="3">
        <v>-55.691409999999998</v>
      </c>
      <c r="MC13" s="3">
        <v>-56.012999999999998</v>
      </c>
      <c r="MD13" s="3">
        <v>-56.333500000000001</v>
      </c>
      <c r="ME13" s="3">
        <v>-56.64264</v>
      </c>
      <c r="MF13" s="3">
        <v>-56.95111</v>
      </c>
      <c r="MG13" s="3">
        <v>-57.272089999999999</v>
      </c>
      <c r="MH13" s="3">
        <v>-57.592709999999997</v>
      </c>
      <c r="MI13" s="3">
        <v>-57.917789999999997</v>
      </c>
      <c r="MJ13" s="3">
        <v>-58.225769999999997</v>
      </c>
      <c r="MK13" s="3">
        <v>-58.554499999999997</v>
      </c>
      <c r="ML13" s="3">
        <v>-58.88861</v>
      </c>
      <c r="MM13" s="3">
        <v>-59.220149999999997</v>
      </c>
      <c r="MN13" s="3">
        <v>-59.542479999999998</v>
      </c>
      <c r="MO13" s="3">
        <v>-59.869630000000001</v>
      </c>
      <c r="MP13" s="3">
        <v>-60.20599</v>
      </c>
      <c r="MQ13" s="3">
        <v>-60.532780000000002</v>
      </c>
      <c r="MR13" s="3">
        <v>-60.871830000000003</v>
      </c>
      <c r="MS13" s="3">
        <v>-61.224980000000002</v>
      </c>
      <c r="MT13" s="3">
        <v>-61.568730000000002</v>
      </c>
      <c r="MU13" t="s">
        <v>404</v>
      </c>
      <c r="MV13" t="b">
        <v>0</v>
      </c>
      <c r="MW13" t="s">
        <v>377</v>
      </c>
      <c r="MX13" t="s">
        <v>377</v>
      </c>
      <c r="MY13">
        <v>2025</v>
      </c>
      <c r="MZ13">
        <v>2</v>
      </c>
      <c r="NA13" t="s">
        <v>377</v>
      </c>
      <c r="NB13" s="1" t="s">
        <v>442</v>
      </c>
      <c r="NC13" s="1" t="s">
        <v>443</v>
      </c>
      <c r="ND13" t="s">
        <v>407</v>
      </c>
      <c r="NE13" t="s">
        <v>432</v>
      </c>
      <c r="NF13" s="1" t="s">
        <v>872</v>
      </c>
    </row>
    <row r="14" spans="1:370" x14ac:dyDescent="0.25">
      <c r="A14" t="s">
        <v>408</v>
      </c>
      <c r="B14" t="s">
        <v>429</v>
      </c>
      <c r="C14" s="1" t="s">
        <v>871</v>
      </c>
      <c r="D14" t="s">
        <v>397</v>
      </c>
      <c r="E14" t="s">
        <v>384</v>
      </c>
      <c r="F14" t="s">
        <v>374</v>
      </c>
      <c r="G14" s="2">
        <v>-0.80267379999999999</v>
      </c>
      <c r="H14" s="2">
        <v>-0.81484109999999998</v>
      </c>
      <c r="I14" s="2">
        <v>-0.83225950000000004</v>
      </c>
      <c r="J14" s="2">
        <v>-0.83356909999999995</v>
      </c>
      <c r="K14" s="2">
        <v>-0.8187702</v>
      </c>
      <c r="L14" s="2">
        <v>-0.89044140000000005</v>
      </c>
      <c r="M14" s="2">
        <v>-1.0485819999999999</v>
      </c>
      <c r="N14" s="2">
        <v>-1.316276</v>
      </c>
      <c r="O14" s="2">
        <v>-1.693524</v>
      </c>
      <c r="P14" s="2">
        <v>-1.939244</v>
      </c>
      <c r="Q14" s="2">
        <v>-2.053436</v>
      </c>
      <c r="R14" s="2">
        <v>-2.0480740000000002</v>
      </c>
      <c r="S14" s="2">
        <v>-1.9231579999999999</v>
      </c>
      <c r="T14" s="2">
        <v>-1.847926</v>
      </c>
      <c r="U14" s="2">
        <v>-1.8223780000000001</v>
      </c>
      <c r="V14" s="2">
        <v>-1.8091470000000001</v>
      </c>
      <c r="W14" s="2">
        <v>-1.8082339999999999</v>
      </c>
      <c r="X14" s="2">
        <v>-1.8745989999999999</v>
      </c>
      <c r="Y14" s="2">
        <v>-2.0082420000000001</v>
      </c>
      <c r="Z14" s="2">
        <v>-2.2205279999999998</v>
      </c>
      <c r="AA14" s="2">
        <v>-2.5114540000000001</v>
      </c>
      <c r="AB14" s="2">
        <v>-2.7578819999999999</v>
      </c>
      <c r="AC14" s="2">
        <v>-2.9598089999999999</v>
      </c>
      <c r="AD14" s="2">
        <v>-3.1476359999999999</v>
      </c>
      <c r="AE14" s="2">
        <v>-3.3213629999999998</v>
      </c>
      <c r="AF14" s="2">
        <v>-3.4217369999999998</v>
      </c>
      <c r="AG14" s="2">
        <v>-3.4487580000000002</v>
      </c>
      <c r="AH14" s="2">
        <v>-3.326092</v>
      </c>
      <c r="AI14" s="2">
        <v>-3.0537399999999999</v>
      </c>
      <c r="AJ14" s="2">
        <v>-3.1489590000000001</v>
      </c>
      <c r="AK14" s="2">
        <v>-3.6117499999999998</v>
      </c>
      <c r="AL14" s="2">
        <v>-4.4907050000000002</v>
      </c>
      <c r="AM14" s="2">
        <v>-5.7858270000000003</v>
      </c>
      <c r="AN14" s="2">
        <v>-6.6882960000000002</v>
      </c>
      <c r="AO14" s="2">
        <v>-7.1981120000000001</v>
      </c>
      <c r="AP14" s="2">
        <v>-7.3652280000000001</v>
      </c>
      <c r="AQ14" s="2">
        <v>-7.1896409999999999</v>
      </c>
      <c r="AR14" s="2">
        <v>-7.180466</v>
      </c>
      <c r="AS14" s="2">
        <v>-7.3376979999999996</v>
      </c>
      <c r="AT14" s="2">
        <v>-7.5736109999999996</v>
      </c>
      <c r="AU14" s="2">
        <v>-7.888204</v>
      </c>
      <c r="AV14" s="2">
        <v>-8.2987380000000002</v>
      </c>
      <c r="AW14" s="2">
        <v>-8.8052139999999994</v>
      </c>
      <c r="AX14" s="2">
        <v>-9.4313529999999997</v>
      </c>
      <c r="AY14" s="2">
        <v>-10.177149999999999</v>
      </c>
      <c r="AZ14" s="2">
        <v>-10.88303</v>
      </c>
      <c r="BA14" s="2">
        <v>-11.54898</v>
      </c>
      <c r="BB14" s="2">
        <v>-12.22724</v>
      </c>
      <c r="BC14" s="2">
        <v>-12.917820000000001</v>
      </c>
      <c r="BD14" s="2">
        <v>-13.466850000000001</v>
      </c>
      <c r="BE14" s="2">
        <v>-13.87433</v>
      </c>
      <c r="BF14" s="2">
        <v>-14.135619999999999</v>
      </c>
      <c r="BG14" s="2">
        <v>-14.25071</v>
      </c>
      <c r="BH14" s="2">
        <v>-14.401350000000001</v>
      </c>
      <c r="BI14" s="2">
        <v>-14.58752</v>
      </c>
      <c r="BJ14" s="2">
        <v>-14.77957</v>
      </c>
      <c r="BK14" s="2">
        <v>-14.977510000000001</v>
      </c>
      <c r="BL14" s="2">
        <v>-15.17751</v>
      </c>
      <c r="BM14" s="2">
        <v>-15.379569999999999</v>
      </c>
      <c r="BN14" s="2">
        <v>-15.559900000000001</v>
      </c>
      <c r="BO14" s="2">
        <v>-15.718529999999999</v>
      </c>
      <c r="BP14" s="2">
        <v>-16.00189</v>
      </c>
      <c r="BQ14" s="2">
        <v>-16.41001</v>
      </c>
      <c r="BR14" s="2">
        <v>-16.952680000000001</v>
      </c>
      <c r="BS14" s="2">
        <v>-17.629909999999999</v>
      </c>
      <c r="BT14" s="2">
        <v>-18.236360000000001</v>
      </c>
      <c r="BU14" s="2">
        <v>-18.772030000000001</v>
      </c>
      <c r="BV14" s="2">
        <v>-19.257380000000001</v>
      </c>
      <c r="BW14" s="2">
        <v>-19.692419999999998</v>
      </c>
      <c r="BX14" s="2">
        <v>-20.159669999999998</v>
      </c>
      <c r="BY14" s="2">
        <v>-20.659140000000001</v>
      </c>
      <c r="BZ14" s="2">
        <v>-21.238990000000001</v>
      </c>
      <c r="CA14" s="2">
        <v>-21.899229999999999</v>
      </c>
      <c r="CB14" s="2">
        <v>-22.268270000000001</v>
      </c>
      <c r="CC14" s="2">
        <v>-22.3461</v>
      </c>
      <c r="CD14" s="2">
        <v>-22.11187</v>
      </c>
      <c r="CE14" s="2">
        <v>-21.5656</v>
      </c>
      <c r="CF14" s="2">
        <v>-21.203939999999999</v>
      </c>
      <c r="CG14" s="2">
        <v>-21.026900000000001</v>
      </c>
      <c r="CH14" s="2">
        <v>-20.990739999999999</v>
      </c>
      <c r="CI14" s="2">
        <v>-21.095479999999998</v>
      </c>
      <c r="CJ14" s="2">
        <v>-21.106809999999999</v>
      </c>
      <c r="CK14" s="2">
        <v>-21.024750000000001</v>
      </c>
      <c r="CL14" s="2">
        <v>-20.916360000000001</v>
      </c>
      <c r="CM14" s="2">
        <v>-20.781649999999999</v>
      </c>
      <c r="CN14" s="2">
        <v>-20.452459999999999</v>
      </c>
      <c r="CO14" s="2">
        <v>-19.92878</v>
      </c>
      <c r="CP14" s="2">
        <v>-19.106079999999999</v>
      </c>
      <c r="CQ14" s="2">
        <v>-17.98434</v>
      </c>
      <c r="CR14" s="2">
        <v>-17.895209999999999</v>
      </c>
      <c r="CS14" s="2">
        <v>-17.781189999999999</v>
      </c>
      <c r="CT14" s="2">
        <v>-17.64226</v>
      </c>
      <c r="CU14" s="2">
        <v>-18.228349999999999</v>
      </c>
      <c r="CV14" s="2">
        <v>-18.807279999999999</v>
      </c>
      <c r="CW14" s="2">
        <v>-17.598960000000002</v>
      </c>
      <c r="CX14" s="2">
        <v>-14.60341</v>
      </c>
      <c r="CY14" s="2">
        <v>-10.791729999999999</v>
      </c>
      <c r="CZ14" s="2">
        <v>-7.724329</v>
      </c>
      <c r="DA14" s="2">
        <v>-6.6255480000000002</v>
      </c>
      <c r="DB14" s="2">
        <v>-7.4953890000000003</v>
      </c>
      <c r="DC14" s="2">
        <v>-8.6912489999999991</v>
      </c>
      <c r="DD14" s="2">
        <v>-9.0809370000000005</v>
      </c>
      <c r="DE14" s="2">
        <v>-8.7140950000000004</v>
      </c>
      <c r="DF14" s="2">
        <v>-7.5907179999999999</v>
      </c>
      <c r="DG14" s="2">
        <v>-5.9895259999999997</v>
      </c>
      <c r="DH14" s="2">
        <v>-4.7065359999999998</v>
      </c>
      <c r="DI14" s="2">
        <v>-4.583005</v>
      </c>
      <c r="DJ14" s="2">
        <v>-5.6189330000000002</v>
      </c>
      <c r="DK14" s="2">
        <v>-6.6182879999999997</v>
      </c>
      <c r="DL14" s="2">
        <v>-7.1482749999999999</v>
      </c>
      <c r="DM14" s="2">
        <v>-7.7959940000000003</v>
      </c>
      <c r="DN14" s="2">
        <v>-8.5614430000000006</v>
      </c>
      <c r="DO14" s="2">
        <v>-9.62392</v>
      </c>
      <c r="DP14" s="2">
        <v>-10.63158</v>
      </c>
      <c r="DQ14" s="2">
        <v>-10.910080000000001</v>
      </c>
      <c r="DR14" s="2">
        <v>-10.45942</v>
      </c>
      <c r="DS14" s="2">
        <v>-9.8190170000000006</v>
      </c>
      <c r="DT14" s="2">
        <v>-9.4788560000000004</v>
      </c>
      <c r="DU14" s="2">
        <v>-9.5889199999999999</v>
      </c>
      <c r="DV14" s="2">
        <v>-10.14921</v>
      </c>
      <c r="DW14" s="2">
        <v>-10.731059999999999</v>
      </c>
      <c r="DX14" s="2">
        <v>-11.129810000000001</v>
      </c>
      <c r="DY14" s="2">
        <v>-11.48612</v>
      </c>
      <c r="DZ14" s="2">
        <v>-11.8</v>
      </c>
      <c r="EA14" s="2">
        <v>-11.993539999999999</v>
      </c>
      <c r="EB14" s="2">
        <v>-12.20715</v>
      </c>
      <c r="EC14" s="2">
        <v>-12.71631</v>
      </c>
      <c r="ED14" s="2">
        <v>-13.52101</v>
      </c>
      <c r="EE14" s="2">
        <v>-14.668799999999999</v>
      </c>
      <c r="EF14" s="2">
        <v>-15.68857</v>
      </c>
      <c r="EG14" s="2">
        <v>-15.86988</v>
      </c>
      <c r="EH14" s="2">
        <v>-15.21274</v>
      </c>
      <c r="EI14" s="2">
        <v>-15.16778</v>
      </c>
      <c r="EJ14" s="2">
        <v>-15.44829</v>
      </c>
      <c r="EK14" s="2">
        <v>-14.20025</v>
      </c>
      <c r="EL14" s="2">
        <v>-11.423679999999999</v>
      </c>
      <c r="EM14" s="2">
        <v>-7.4624969999999999</v>
      </c>
      <c r="EN14" s="2">
        <v>-4.1494410000000004</v>
      </c>
      <c r="EO14" s="2">
        <v>-3.7192219999999998</v>
      </c>
      <c r="EP14" s="2">
        <v>-6.1718409999999997</v>
      </c>
      <c r="EQ14" s="2">
        <v>-8.3024939999999994</v>
      </c>
      <c r="ER14" s="2">
        <v>-9.27163</v>
      </c>
      <c r="ES14" s="2">
        <v>-11.102819999999999</v>
      </c>
      <c r="ET14" s="2">
        <v>-13.796060000000001</v>
      </c>
      <c r="EU14" s="2">
        <v>-17.55602</v>
      </c>
      <c r="EV14" s="2">
        <v>-20.94098</v>
      </c>
      <c r="EW14" s="2">
        <v>-21.71773</v>
      </c>
      <c r="EX14" s="2">
        <v>-19.88627</v>
      </c>
      <c r="EY14" s="2">
        <v>-17.94867</v>
      </c>
      <c r="EZ14" s="2">
        <v>-17.071390000000001</v>
      </c>
      <c r="FA14" s="2">
        <v>-16.393609999999999</v>
      </c>
      <c r="FB14" s="2">
        <v>-15.915330000000001</v>
      </c>
      <c r="FC14" s="2">
        <v>-15.454610000000001</v>
      </c>
      <c r="FD14" s="2">
        <v>-14.912570000000001</v>
      </c>
      <c r="FE14" s="2">
        <v>-14.33198</v>
      </c>
      <c r="FF14" s="2">
        <v>-13.71283</v>
      </c>
      <c r="FG14" s="2">
        <v>-12.93548</v>
      </c>
      <c r="FH14" s="2">
        <v>-12.177519999999999</v>
      </c>
      <c r="FI14" s="2">
        <v>-11.80852</v>
      </c>
      <c r="FJ14" s="2">
        <v>-11.828480000000001</v>
      </c>
      <c r="FK14" s="2">
        <v>-11.81756</v>
      </c>
      <c r="FL14" s="2">
        <v>-11.64963</v>
      </c>
      <c r="FM14" s="2">
        <v>-11.56704</v>
      </c>
      <c r="FN14" s="2">
        <v>-11.56978</v>
      </c>
      <c r="FO14" s="2">
        <v>-11.67221</v>
      </c>
      <c r="FP14" s="2">
        <v>-11.73766</v>
      </c>
      <c r="FQ14" s="2">
        <v>-11.559480000000001</v>
      </c>
      <c r="FR14" s="2">
        <v>-11.137650000000001</v>
      </c>
      <c r="FS14" s="2">
        <v>-10.60219</v>
      </c>
      <c r="FT14" s="2">
        <v>-10.16825</v>
      </c>
      <c r="FU14" s="2">
        <v>-10.00853</v>
      </c>
      <c r="FV14" s="2">
        <v>-10.12303</v>
      </c>
      <c r="FW14" s="2">
        <v>-10.18397</v>
      </c>
      <c r="FX14" s="2">
        <v>-10.134969999999999</v>
      </c>
      <c r="FY14" s="2">
        <v>-10.224500000000001</v>
      </c>
      <c r="FZ14" s="2">
        <v>-10.45256</v>
      </c>
      <c r="GA14" s="2">
        <v>-10.84094</v>
      </c>
      <c r="GB14" s="2">
        <v>-11.169309999999999</v>
      </c>
      <c r="GC14" s="2">
        <v>-11.10594</v>
      </c>
      <c r="GD14" s="2">
        <v>-10.65081</v>
      </c>
      <c r="GE14" s="2">
        <v>-10.36007</v>
      </c>
      <c r="GF14" s="2">
        <v>-10.224299999999999</v>
      </c>
      <c r="GG14" s="2">
        <v>-9.6741130000000002</v>
      </c>
      <c r="GH14" s="2">
        <v>-8.7095120000000001</v>
      </c>
      <c r="GI14" s="2">
        <v>-4.7321730000000004</v>
      </c>
      <c r="GJ14" s="2">
        <v>-0.9946393</v>
      </c>
      <c r="GK14" s="2">
        <v>-4.6714830000000003</v>
      </c>
      <c r="GL14" s="2">
        <v>-15.762700000000001</v>
      </c>
      <c r="GM14" s="2">
        <v>-29.51885</v>
      </c>
      <c r="GN14" s="2">
        <v>-40.204520000000002</v>
      </c>
      <c r="GO14" s="2">
        <v>-44.499580000000002</v>
      </c>
      <c r="GP14" s="2">
        <v>-42.404040000000002</v>
      </c>
      <c r="GQ14" s="2">
        <v>-40.426279999999998</v>
      </c>
      <c r="GR14" s="2">
        <v>-41.037529999999997</v>
      </c>
      <c r="GS14" s="2">
        <v>-41.206380000000003</v>
      </c>
      <c r="GT14" s="2">
        <v>-40.932810000000003</v>
      </c>
      <c r="GU14" s="2">
        <v>-40.784599999999998</v>
      </c>
      <c r="GV14" s="2">
        <v>-40.812840000000001</v>
      </c>
      <c r="GW14" s="2">
        <v>-40.521619999999999</v>
      </c>
      <c r="GX14" s="2">
        <v>-39.91095</v>
      </c>
      <c r="GY14" s="2">
        <v>-40.787999999999997</v>
      </c>
      <c r="GZ14" s="2">
        <v>-41.759189999999997</v>
      </c>
      <c r="HA14" s="2">
        <v>-39.05659</v>
      </c>
      <c r="HB14" s="2">
        <v>-32.680219999999998</v>
      </c>
      <c r="HC14" s="2">
        <v>-26.265979999999999</v>
      </c>
      <c r="HD14" s="2">
        <v>-21.342610000000001</v>
      </c>
      <c r="HE14" s="2">
        <v>-16.425059999999998</v>
      </c>
      <c r="HF14" s="2">
        <v>-11.513350000000001</v>
      </c>
      <c r="HG14" s="3">
        <v>-16.45862</v>
      </c>
      <c r="HH14" s="3">
        <v>-16.85239</v>
      </c>
      <c r="HI14" s="3">
        <v>-17.029699999999998</v>
      </c>
      <c r="HJ14" s="3">
        <v>-17.069800000000001</v>
      </c>
      <c r="HK14" s="3">
        <v>-16.005400000000002</v>
      </c>
      <c r="HL14" s="3">
        <v>-15.966100000000001</v>
      </c>
      <c r="HM14" s="3">
        <v>-15.99982</v>
      </c>
      <c r="HN14" s="3">
        <v>-16.270299999999999</v>
      </c>
      <c r="HO14" s="3">
        <v>-16.193210000000001</v>
      </c>
      <c r="HP14" s="3">
        <v>-16.255710000000001</v>
      </c>
      <c r="HQ14" s="3">
        <v>-15.930300000000001</v>
      </c>
      <c r="HR14" s="3">
        <v>-15.562900000000001</v>
      </c>
      <c r="HS14" s="3">
        <v>-15.87088</v>
      </c>
      <c r="HT14" s="3">
        <v>-16.000800000000002</v>
      </c>
      <c r="HU14" s="3">
        <v>-16.130710000000001</v>
      </c>
      <c r="HV14" s="3">
        <v>-16.2605</v>
      </c>
      <c r="HW14" s="3">
        <v>-16.390409999999999</v>
      </c>
      <c r="HX14" s="3">
        <v>-16.520199999999999</v>
      </c>
      <c r="HY14" s="3">
        <v>-16.650120000000001</v>
      </c>
      <c r="HZ14" s="3">
        <v>-16.78</v>
      </c>
      <c r="IA14" s="3">
        <v>-16.90982</v>
      </c>
      <c r="IB14" s="3">
        <v>-16.709289999999999</v>
      </c>
      <c r="IC14" s="3">
        <v>-16.67249</v>
      </c>
      <c r="ID14" s="3">
        <v>-16.638310000000001</v>
      </c>
      <c r="IE14" s="3">
        <v>-16.353179999999998</v>
      </c>
      <c r="IF14" s="3">
        <v>-16.061620000000001</v>
      </c>
      <c r="IG14" s="3">
        <v>-15.80939</v>
      </c>
      <c r="IH14" s="3">
        <v>-15.590299999999999</v>
      </c>
      <c r="II14" s="3">
        <v>-15.35501</v>
      </c>
      <c r="IJ14" s="3">
        <v>-15.172090000000001</v>
      </c>
      <c r="IK14" s="3">
        <v>-14.9747</v>
      </c>
      <c r="IL14" s="3">
        <v>-14.74741</v>
      </c>
      <c r="IM14" s="3">
        <v>-14.50498</v>
      </c>
      <c r="IN14" s="3">
        <v>-14.284000000000001</v>
      </c>
      <c r="IO14" s="3">
        <v>-14.04691</v>
      </c>
      <c r="IP14" s="3">
        <v>-13.852819999999999</v>
      </c>
      <c r="IQ14" s="3">
        <v>-13.648199999999999</v>
      </c>
      <c r="IR14" s="3">
        <v>-13.45218</v>
      </c>
      <c r="IS14" s="3">
        <v>-13.259</v>
      </c>
      <c r="IT14" s="3">
        <v>-13.09183</v>
      </c>
      <c r="IU14" s="3">
        <v>-12.909000000000001</v>
      </c>
      <c r="IV14" s="3">
        <v>-12.7302</v>
      </c>
      <c r="IW14" s="3">
        <v>-12.641999999999999</v>
      </c>
      <c r="IX14" s="3">
        <v>-12.62271</v>
      </c>
      <c r="IY14" s="3">
        <v>-12.69345</v>
      </c>
      <c r="IZ14" s="3">
        <v>-12.7638</v>
      </c>
      <c r="JA14" s="3">
        <v>-12.834899999999999</v>
      </c>
      <c r="JB14" s="3">
        <v>-12.90659</v>
      </c>
      <c r="JC14" s="3">
        <v>-12.97846</v>
      </c>
      <c r="JD14" s="3">
        <v>-13.049989999999999</v>
      </c>
      <c r="JE14" s="3">
        <v>-13.12229</v>
      </c>
      <c r="JF14" s="3">
        <v>-13.1951</v>
      </c>
      <c r="JG14" s="3">
        <v>-13.26801</v>
      </c>
      <c r="JH14" s="3">
        <v>-13.34085</v>
      </c>
      <c r="JI14" s="3">
        <v>-13.414490000000001</v>
      </c>
      <c r="JJ14" s="3">
        <v>-13.48837</v>
      </c>
      <c r="JK14" s="3">
        <v>-13.56226</v>
      </c>
      <c r="JL14" s="3">
        <v>-13.635289999999999</v>
      </c>
      <c r="JM14" s="3">
        <v>-13.709110000000001</v>
      </c>
      <c r="JN14" s="3">
        <v>-13.783239999999999</v>
      </c>
      <c r="JO14" s="3">
        <v>-13.8573</v>
      </c>
      <c r="JP14" s="3">
        <v>-13.931950000000001</v>
      </c>
      <c r="JQ14" s="3">
        <v>-14.00733</v>
      </c>
      <c r="JR14" s="3">
        <v>-14.0831</v>
      </c>
      <c r="JS14" s="3">
        <v>-14.15878</v>
      </c>
      <c r="JT14" s="3">
        <v>-14.23432</v>
      </c>
      <c r="JU14" s="3">
        <v>-14.31067</v>
      </c>
      <c r="JV14" s="3">
        <v>-14.38733</v>
      </c>
      <c r="JW14" s="3">
        <v>-14.46405</v>
      </c>
      <c r="JX14" s="3">
        <v>-14.541230000000001</v>
      </c>
      <c r="JY14" s="3">
        <v>-14.619199999999999</v>
      </c>
      <c r="JZ14" s="3">
        <v>-14.697570000000001</v>
      </c>
      <c r="KA14" s="3">
        <v>-14.775969999999999</v>
      </c>
      <c r="KB14" s="3">
        <v>-14.8552</v>
      </c>
      <c r="KC14" s="3">
        <v>-14.935180000000001</v>
      </c>
      <c r="KD14" s="3">
        <v>-15.01355</v>
      </c>
      <c r="KE14" s="3">
        <v>-15.09201</v>
      </c>
      <c r="KF14" s="3">
        <v>-15.171049999999999</v>
      </c>
      <c r="KG14" s="3">
        <v>-15.25095</v>
      </c>
      <c r="KH14" s="3">
        <v>-15.331239999999999</v>
      </c>
      <c r="KI14" s="3">
        <v>-15.411619999999999</v>
      </c>
      <c r="KJ14" s="3">
        <v>-15.49423</v>
      </c>
      <c r="KK14" s="3">
        <v>-15.577030000000001</v>
      </c>
      <c r="KL14" s="3">
        <v>-15.66025</v>
      </c>
      <c r="KM14" s="3">
        <v>-15.74353</v>
      </c>
      <c r="KN14" s="3">
        <v>-15.828889999999999</v>
      </c>
      <c r="KO14" s="3">
        <v>-15.915380000000001</v>
      </c>
      <c r="KP14" s="3">
        <v>-16.00226</v>
      </c>
      <c r="KQ14" s="3">
        <v>-16.089200000000002</v>
      </c>
      <c r="KR14" s="3">
        <v>-16.178039999999999</v>
      </c>
      <c r="KS14" s="3">
        <v>-16.26801</v>
      </c>
      <c r="KT14" s="3">
        <v>-16.358460000000001</v>
      </c>
      <c r="KU14" s="3">
        <v>-16.448979999999999</v>
      </c>
      <c r="KV14" s="3">
        <v>-16.53998</v>
      </c>
      <c r="KW14" s="3">
        <v>-16.632169999999999</v>
      </c>
      <c r="KX14" s="3">
        <v>-16.724820000000001</v>
      </c>
      <c r="KY14" s="3">
        <v>-16.81757</v>
      </c>
      <c r="KZ14" s="3">
        <v>-16.912569999999999</v>
      </c>
      <c r="LA14" s="3">
        <v>-17.008790000000001</v>
      </c>
      <c r="LB14" s="3">
        <v>-17.105589999999999</v>
      </c>
      <c r="LC14" s="3">
        <v>-17.202490000000001</v>
      </c>
      <c r="LD14" s="3">
        <v>-17.300840000000001</v>
      </c>
      <c r="LE14" s="3">
        <v>-17.400480000000002</v>
      </c>
      <c r="LF14" s="3">
        <v>-17.500730000000001</v>
      </c>
      <c r="LG14" s="3">
        <v>-17.601109999999998</v>
      </c>
      <c r="LH14" s="3">
        <v>-17.70233</v>
      </c>
      <c r="LI14" s="3">
        <v>-17.804839999999999</v>
      </c>
      <c r="LJ14" s="3">
        <v>-17.90802</v>
      </c>
      <c r="LK14" s="3">
        <v>-18.011320000000001</v>
      </c>
      <c r="LL14" s="3">
        <v>-18.115659999999998</v>
      </c>
      <c r="LM14" s="3">
        <v>-18.221319999999999</v>
      </c>
      <c r="LN14" s="3">
        <v>-18.327580000000001</v>
      </c>
      <c r="LO14" s="3">
        <v>-18.433990000000001</v>
      </c>
      <c r="LP14" s="3">
        <v>-18.541899999999998</v>
      </c>
      <c r="LQ14" s="3">
        <v>-18.651309999999999</v>
      </c>
      <c r="LR14" s="3">
        <v>-18.761320000000001</v>
      </c>
      <c r="LS14" s="3">
        <v>-18.871459999999999</v>
      </c>
      <c r="LT14" s="3">
        <v>-18.982420000000001</v>
      </c>
      <c r="LU14" s="3">
        <v>-19.094729999999998</v>
      </c>
      <c r="LV14" s="3">
        <v>-19.207799999999999</v>
      </c>
      <c r="LW14" s="3">
        <v>-19.320989999999998</v>
      </c>
      <c r="LX14" s="3">
        <v>-19.43524</v>
      </c>
      <c r="LY14" s="3">
        <v>-19.55097</v>
      </c>
      <c r="LZ14" s="3">
        <v>-19.66742</v>
      </c>
      <c r="MA14" s="3">
        <v>-19.783999999999999</v>
      </c>
      <c r="MB14" s="3">
        <v>-19.90204</v>
      </c>
      <c r="MC14" s="3">
        <v>-20.02167</v>
      </c>
      <c r="MD14" s="3">
        <v>-20.142029999999998</v>
      </c>
      <c r="ME14" s="3">
        <v>-20.262640000000001</v>
      </c>
      <c r="MF14" s="3">
        <v>-20.383240000000001</v>
      </c>
      <c r="MG14" s="3">
        <v>-20.505310000000001</v>
      </c>
      <c r="MH14" s="3">
        <v>-20.62811</v>
      </c>
      <c r="MI14" s="3">
        <v>-20.751159999999999</v>
      </c>
      <c r="MJ14" s="3">
        <v>-20.872869999999999</v>
      </c>
      <c r="MK14" s="3">
        <v>-20.99597</v>
      </c>
      <c r="ML14" s="3">
        <v>-21.119869999999999</v>
      </c>
      <c r="MM14" s="3">
        <v>-21.243960000000001</v>
      </c>
      <c r="MN14" s="3">
        <v>-21.362729999999999</v>
      </c>
      <c r="MO14" s="3">
        <v>-21.48273</v>
      </c>
      <c r="MP14" s="3">
        <v>-21.603400000000001</v>
      </c>
      <c r="MQ14" s="3">
        <v>-21.724250000000001</v>
      </c>
      <c r="MR14" s="3">
        <v>-21.844550000000002</v>
      </c>
      <c r="MS14" s="3">
        <v>-21.966249999999999</v>
      </c>
      <c r="MT14" s="3">
        <v>-22.08869</v>
      </c>
      <c r="MU14" t="s">
        <v>444</v>
      </c>
      <c r="MV14" t="b">
        <v>0</v>
      </c>
      <c r="MW14" t="s">
        <v>377</v>
      </c>
      <c r="MX14" t="s">
        <v>377</v>
      </c>
      <c r="MY14">
        <v>2024</v>
      </c>
      <c r="MZ14">
        <v>4</v>
      </c>
      <c r="NA14" t="s">
        <v>377</v>
      </c>
      <c r="NB14" s="1" t="s">
        <v>441</v>
      </c>
      <c r="NC14" t="s">
        <v>377</v>
      </c>
      <c r="ND14" t="s">
        <v>412</v>
      </c>
      <c r="NE14" t="s">
        <v>432</v>
      </c>
      <c r="NF14" s="1" t="s">
        <v>872</v>
      </c>
    </row>
    <row r="15" spans="1:370" x14ac:dyDescent="0.25">
      <c r="A15" t="s">
        <v>413</v>
      </c>
      <c r="B15" t="s">
        <v>429</v>
      </c>
      <c r="C15" s="1" t="s">
        <v>871</v>
      </c>
      <c r="D15" t="s">
        <v>414</v>
      </c>
      <c r="E15" t="s">
        <v>373</v>
      </c>
      <c r="F15" t="s">
        <v>374</v>
      </c>
      <c r="G15" s="2">
        <v>403</v>
      </c>
      <c r="H15" s="2">
        <v>445</v>
      </c>
      <c r="I15" s="2">
        <v>247</v>
      </c>
      <c r="J15" s="2">
        <v>510</v>
      </c>
      <c r="K15" s="2">
        <v>691</v>
      </c>
      <c r="L15" s="2">
        <v>1280</v>
      </c>
      <c r="M15" s="2">
        <v>703</v>
      </c>
      <c r="N15" s="2">
        <v>378</v>
      </c>
      <c r="O15" s="2">
        <v>-417</v>
      </c>
      <c r="P15" s="2">
        <v>-1053</v>
      </c>
      <c r="Q15" s="2">
        <v>-1461</v>
      </c>
      <c r="R15" s="2">
        <v>-1574</v>
      </c>
      <c r="S15" s="2">
        <v>-1027</v>
      </c>
      <c r="T15" s="2">
        <v>-1421</v>
      </c>
      <c r="U15" s="2">
        <v>-623</v>
      </c>
      <c r="V15" s="2">
        <v>-1430</v>
      </c>
      <c r="W15" s="2">
        <v>-1183</v>
      </c>
      <c r="X15" s="2">
        <v>-2465</v>
      </c>
      <c r="Y15" s="2">
        <v>-1574</v>
      </c>
      <c r="Z15" s="2">
        <v>-2107</v>
      </c>
      <c r="AA15" s="2">
        <v>-3488</v>
      </c>
      <c r="AB15" s="2">
        <v>-2840</v>
      </c>
      <c r="AC15" s="2">
        <v>-2194</v>
      </c>
      <c r="AD15" s="2">
        <v>-1933</v>
      </c>
      <c r="AE15" s="2">
        <v>-2413</v>
      </c>
      <c r="AF15" s="2">
        <v>-2502</v>
      </c>
      <c r="AG15" s="2">
        <v>-1693</v>
      </c>
      <c r="AH15" s="2">
        <v>-1924</v>
      </c>
      <c r="AI15" s="2">
        <v>-2024</v>
      </c>
      <c r="AJ15" s="2">
        <v>-2956</v>
      </c>
      <c r="AK15" s="2">
        <v>-3802</v>
      </c>
      <c r="AL15" s="2">
        <v>-2367</v>
      </c>
      <c r="AM15" s="2">
        <v>-2318</v>
      </c>
      <c r="AN15" s="2">
        <v>-1436</v>
      </c>
      <c r="AO15" s="2">
        <v>-1763</v>
      </c>
      <c r="AP15" s="2">
        <v>-2313</v>
      </c>
      <c r="AQ15" s="2">
        <v>-3283</v>
      </c>
      <c r="AR15" s="2">
        <v>-5018</v>
      </c>
      <c r="AS15" s="2">
        <v>-6846</v>
      </c>
      <c r="AT15" s="2">
        <v>-8260</v>
      </c>
      <c r="AU15" s="2">
        <v>-7493</v>
      </c>
      <c r="AV15" s="2">
        <v>-5978</v>
      </c>
      <c r="AW15" s="2">
        <v>-9424</v>
      </c>
      <c r="AX15" s="2">
        <v>-7742</v>
      </c>
      <c r="AY15" s="2">
        <v>-7345</v>
      </c>
      <c r="AZ15" s="2">
        <v>-8598</v>
      </c>
      <c r="BA15" s="2">
        <v>-8506</v>
      </c>
      <c r="BB15" s="2">
        <v>-8775.9989999999998</v>
      </c>
      <c r="BC15" s="2">
        <v>-9813</v>
      </c>
      <c r="BD15" s="2">
        <v>-10589</v>
      </c>
      <c r="BE15" s="2">
        <v>-8863</v>
      </c>
      <c r="BF15" s="2">
        <v>-9385</v>
      </c>
      <c r="BG15" s="2">
        <v>-7880</v>
      </c>
      <c r="BH15" s="2">
        <v>-9175</v>
      </c>
      <c r="BI15" s="2">
        <v>-8727</v>
      </c>
      <c r="BJ15" s="2">
        <v>-8867</v>
      </c>
      <c r="BK15" s="2">
        <v>-9196.9989999999998</v>
      </c>
      <c r="BL15" s="2">
        <v>-7193</v>
      </c>
      <c r="BM15" s="2">
        <v>-6788</v>
      </c>
      <c r="BN15" s="2">
        <v>-6234</v>
      </c>
      <c r="BO15" s="2">
        <v>-6586</v>
      </c>
      <c r="BP15" s="2">
        <v>-5417</v>
      </c>
      <c r="BQ15" s="2">
        <v>-6342</v>
      </c>
      <c r="BR15" s="2">
        <v>-5592</v>
      </c>
      <c r="BS15" s="2">
        <v>-6064</v>
      </c>
      <c r="BT15" s="2">
        <v>-6627</v>
      </c>
      <c r="BU15" s="2">
        <v>-6873</v>
      </c>
      <c r="BV15" s="2">
        <v>-6708</v>
      </c>
      <c r="BW15" s="2">
        <v>-8697</v>
      </c>
      <c r="BX15" s="2">
        <v>-4265</v>
      </c>
      <c r="BY15" s="2">
        <v>-8512</v>
      </c>
      <c r="BZ15" s="2">
        <v>-13300</v>
      </c>
      <c r="CA15" s="2">
        <v>-14096</v>
      </c>
      <c r="CB15" s="2">
        <v>-11434</v>
      </c>
      <c r="CC15" s="2">
        <v>-12926</v>
      </c>
      <c r="CD15" s="2">
        <v>-13532</v>
      </c>
      <c r="CE15" s="2">
        <v>-12241</v>
      </c>
      <c r="CF15" s="2">
        <v>-14835</v>
      </c>
      <c r="CG15" s="2">
        <v>-16845</v>
      </c>
      <c r="CH15" s="2">
        <v>-16598</v>
      </c>
      <c r="CI15" s="2">
        <v>-14492</v>
      </c>
      <c r="CJ15" s="2">
        <v>-18738</v>
      </c>
      <c r="CK15" s="2">
        <v>-14810</v>
      </c>
      <c r="CL15" s="2">
        <v>-14093</v>
      </c>
      <c r="CM15" s="2">
        <v>-13037</v>
      </c>
      <c r="CN15" s="2">
        <v>-13807</v>
      </c>
      <c r="CO15" s="2">
        <v>-11488</v>
      </c>
      <c r="CP15" s="2">
        <v>-12002</v>
      </c>
      <c r="CQ15" s="2">
        <v>-11354</v>
      </c>
      <c r="CR15" s="2">
        <v>-11055</v>
      </c>
      <c r="CS15" s="2">
        <v>-9417</v>
      </c>
      <c r="CT15" s="2">
        <v>-9008</v>
      </c>
      <c r="CU15" s="2">
        <v>-9007.0010000000002</v>
      </c>
      <c r="CV15" s="2">
        <v>-6910</v>
      </c>
      <c r="CW15" s="2">
        <v>-4833</v>
      </c>
      <c r="CX15" s="2">
        <v>-3529</v>
      </c>
      <c r="CY15" s="2">
        <v>-2258</v>
      </c>
      <c r="CZ15" s="2">
        <v>613</v>
      </c>
      <c r="DA15" s="2">
        <v>681</v>
      </c>
      <c r="DB15" s="2">
        <v>2722</v>
      </c>
      <c r="DC15" s="2">
        <v>-423</v>
      </c>
      <c r="DD15" s="2">
        <v>2180</v>
      </c>
      <c r="DE15" s="2">
        <v>-300</v>
      </c>
      <c r="DF15" s="2">
        <v>1312</v>
      </c>
      <c r="DG15" s="2">
        <v>1683</v>
      </c>
      <c r="DH15" s="2">
        <v>4123</v>
      </c>
      <c r="DI15" s="2">
        <v>5232</v>
      </c>
      <c r="DJ15" s="2">
        <v>6344</v>
      </c>
      <c r="DK15" s="2">
        <v>6637</v>
      </c>
      <c r="DL15" s="2">
        <v>9427</v>
      </c>
      <c r="DM15" s="2">
        <v>9494</v>
      </c>
      <c r="DN15" s="2">
        <v>7809</v>
      </c>
      <c r="DO15" s="2">
        <v>4761</v>
      </c>
      <c r="DP15" s="2">
        <v>7556</v>
      </c>
      <c r="DQ15" s="2">
        <v>840</v>
      </c>
      <c r="DR15" s="2">
        <v>-2022</v>
      </c>
      <c r="DS15" s="2">
        <v>-528</v>
      </c>
      <c r="DT15" s="2">
        <v>1626</v>
      </c>
      <c r="DU15" s="2">
        <v>768</v>
      </c>
      <c r="DV15" s="2">
        <v>2336</v>
      </c>
      <c r="DW15" s="2">
        <v>3023</v>
      </c>
      <c r="DX15" s="2">
        <v>-1544</v>
      </c>
      <c r="DY15" s="2">
        <v>2179</v>
      </c>
      <c r="DZ15" s="2">
        <v>2604</v>
      </c>
      <c r="EA15" s="2">
        <v>3503</v>
      </c>
      <c r="EB15" s="2">
        <v>4102</v>
      </c>
      <c r="EC15" s="2">
        <v>6657</v>
      </c>
      <c r="ED15" s="2">
        <v>5654</v>
      </c>
      <c r="EE15" s="2">
        <v>8470</v>
      </c>
      <c r="EF15" s="2">
        <v>8312</v>
      </c>
      <c r="EG15" s="2">
        <v>7861</v>
      </c>
      <c r="EH15" s="2">
        <v>10372</v>
      </c>
      <c r="EI15" s="2">
        <v>8512</v>
      </c>
      <c r="EJ15" s="2">
        <v>11777</v>
      </c>
      <c r="EK15" s="2">
        <v>10002</v>
      </c>
      <c r="EL15" s="2">
        <v>11325</v>
      </c>
      <c r="EM15" s="2">
        <v>9010</v>
      </c>
      <c r="EN15" s="2">
        <v>13509</v>
      </c>
      <c r="EO15" s="2">
        <v>12387</v>
      </c>
      <c r="EP15" s="2">
        <v>10991</v>
      </c>
      <c r="EQ15" s="2">
        <v>7012</v>
      </c>
      <c r="ER15" s="2">
        <v>6389</v>
      </c>
      <c r="ES15" s="2">
        <v>7060</v>
      </c>
      <c r="ET15" s="2">
        <v>-2436</v>
      </c>
      <c r="EU15" s="2">
        <v>-7184</v>
      </c>
      <c r="EV15" s="2">
        <v>-11923</v>
      </c>
      <c r="EW15" s="2">
        <v>-10243</v>
      </c>
      <c r="EX15" s="2">
        <v>-8812.9989999999998</v>
      </c>
      <c r="EY15" s="2">
        <v>-10881</v>
      </c>
      <c r="EZ15" s="2">
        <v>-9439.0010000000002</v>
      </c>
      <c r="FA15" s="2">
        <v>-15294</v>
      </c>
      <c r="FB15" s="2">
        <v>-14141</v>
      </c>
      <c r="FC15" s="2">
        <v>-11376</v>
      </c>
      <c r="FD15" s="2">
        <v>-8400.9989999999998</v>
      </c>
      <c r="FE15" s="2">
        <v>-9541</v>
      </c>
      <c r="FF15" s="2">
        <v>-8358</v>
      </c>
      <c r="FG15" s="2">
        <v>-7200.9989999999998</v>
      </c>
      <c r="FH15" s="2">
        <v>-6844</v>
      </c>
      <c r="FI15" s="2">
        <v>-7871</v>
      </c>
      <c r="FJ15" s="2">
        <v>-5986</v>
      </c>
      <c r="FK15" s="2">
        <v>-8413</v>
      </c>
      <c r="FL15" s="2">
        <v>-4326</v>
      </c>
      <c r="FM15" s="2">
        <v>-1678</v>
      </c>
      <c r="FN15" s="2">
        <v>-1635</v>
      </c>
      <c r="FO15" s="2">
        <v>2106</v>
      </c>
      <c r="FP15" s="2">
        <v>1185</v>
      </c>
      <c r="FQ15" s="2">
        <v>2171</v>
      </c>
      <c r="FR15" s="2">
        <v>1276</v>
      </c>
      <c r="FS15" s="2">
        <v>-1083</v>
      </c>
      <c r="FT15" s="2">
        <v>3988</v>
      </c>
      <c r="FU15" s="2">
        <v>-660</v>
      </c>
      <c r="FV15" s="2">
        <v>3942</v>
      </c>
      <c r="FW15" s="2">
        <v>1514</v>
      </c>
      <c r="FX15" s="2">
        <v>661</v>
      </c>
      <c r="FY15" s="2">
        <v>-1319</v>
      </c>
      <c r="FZ15" s="2">
        <v>-676</v>
      </c>
      <c r="GA15" s="2">
        <v>122</v>
      </c>
      <c r="GB15" s="2">
        <v>5392</v>
      </c>
      <c r="GC15" s="2">
        <v>2602</v>
      </c>
      <c r="GD15" s="2">
        <v>2525</v>
      </c>
      <c r="GE15" s="2">
        <v>4061</v>
      </c>
      <c r="GF15" s="2">
        <v>5601</v>
      </c>
      <c r="GG15" s="2">
        <v>7920</v>
      </c>
      <c r="GH15" s="2">
        <v>4831</v>
      </c>
      <c r="GI15" s="2">
        <v>3844</v>
      </c>
      <c r="GJ15" s="2">
        <v>3336</v>
      </c>
      <c r="GK15" s="2">
        <v>773</v>
      </c>
      <c r="GL15" s="2">
        <v>-949</v>
      </c>
      <c r="GM15" s="2">
        <v>-16576</v>
      </c>
      <c r="GN15" s="2">
        <v>-108158</v>
      </c>
      <c r="GO15" s="2">
        <v>-65596.009999999995</v>
      </c>
      <c r="GP15" s="2">
        <v>-41497</v>
      </c>
      <c r="GQ15" s="2">
        <v>-34636</v>
      </c>
      <c r="GR15" s="2">
        <v>-33678</v>
      </c>
      <c r="GS15" s="2">
        <v>-11351</v>
      </c>
      <c r="GT15" s="2">
        <v>6057</v>
      </c>
      <c r="GU15" s="2">
        <v>3817</v>
      </c>
      <c r="GV15" s="2">
        <v>12909</v>
      </c>
      <c r="GW15" s="2">
        <v>10212</v>
      </c>
      <c r="GX15" s="2">
        <v>-37</v>
      </c>
      <c r="GY15" s="2">
        <v>4918</v>
      </c>
      <c r="GZ15" s="2">
        <v>10326</v>
      </c>
      <c r="HA15" s="2">
        <v>1888</v>
      </c>
      <c r="HB15" s="2">
        <v>-3044</v>
      </c>
      <c r="HC15" s="2">
        <v>-25895</v>
      </c>
      <c r="HD15" s="2">
        <v>-46</v>
      </c>
      <c r="HE15" s="2">
        <v>-6630</v>
      </c>
      <c r="HF15" s="2">
        <v>-7399</v>
      </c>
      <c r="HG15" s="2">
        <v>-4356</v>
      </c>
      <c r="HH15" s="2">
        <v>-8632.0010000000002</v>
      </c>
      <c r="HI15" s="3">
        <v>-14691.28</v>
      </c>
      <c r="HJ15" s="3">
        <v>-21865.03</v>
      </c>
      <c r="HK15" s="3">
        <v>-26063</v>
      </c>
      <c r="HL15" s="3">
        <v>-28244.720000000001</v>
      </c>
      <c r="HM15" s="3">
        <v>-31280.63</v>
      </c>
      <c r="HN15" s="3">
        <v>-31095.5</v>
      </c>
      <c r="HO15" s="3">
        <v>-31125.47</v>
      </c>
      <c r="HP15" s="3">
        <v>-31332.59</v>
      </c>
      <c r="HQ15" s="3">
        <v>-31697.63</v>
      </c>
      <c r="HR15" s="3">
        <v>-31848.84</v>
      </c>
      <c r="HS15" s="3">
        <v>-31768.63</v>
      </c>
      <c r="HT15" s="3">
        <v>-31513.78</v>
      </c>
      <c r="HU15" s="3">
        <v>-30966.22</v>
      </c>
      <c r="HV15" s="3">
        <v>-30219.5</v>
      </c>
      <c r="HW15" s="3">
        <v>-29489.25</v>
      </c>
      <c r="HX15" s="3">
        <v>-28702.09</v>
      </c>
      <c r="HY15" s="3">
        <v>-27975.88</v>
      </c>
      <c r="HZ15" s="3">
        <v>-27488.31</v>
      </c>
      <c r="IA15" s="3">
        <v>-27205.16</v>
      </c>
      <c r="IB15" s="3">
        <v>-27008</v>
      </c>
      <c r="IC15" s="3">
        <v>-26962.41</v>
      </c>
      <c r="ID15" s="3">
        <v>-27131.72</v>
      </c>
      <c r="IE15" s="3">
        <v>-27251.279999999999</v>
      </c>
      <c r="IF15" s="3">
        <v>-27142.91</v>
      </c>
      <c r="IG15" s="3">
        <v>-27029.13</v>
      </c>
      <c r="IH15" s="3">
        <v>-26984.5</v>
      </c>
      <c r="II15" s="3">
        <v>-27025.25</v>
      </c>
      <c r="IJ15" s="3">
        <v>-27081.16</v>
      </c>
      <c r="IK15" s="3">
        <v>-27105.19</v>
      </c>
      <c r="IL15" s="3">
        <v>-27193.97</v>
      </c>
      <c r="IM15" s="3">
        <v>-27366</v>
      </c>
      <c r="IN15" s="3">
        <v>-27498.69</v>
      </c>
      <c r="IO15" s="3">
        <v>-27537.97</v>
      </c>
      <c r="IP15" s="3">
        <v>-27578.53</v>
      </c>
      <c r="IQ15" s="3">
        <v>-27686.28</v>
      </c>
      <c r="IR15" s="3">
        <v>-27670.880000000001</v>
      </c>
      <c r="IS15" s="3">
        <v>-27607.97</v>
      </c>
      <c r="IT15" s="3">
        <v>-27586.31</v>
      </c>
      <c r="IU15" s="3">
        <v>-27740.53</v>
      </c>
      <c r="IV15" s="3">
        <v>-27716.03</v>
      </c>
      <c r="IW15" s="3">
        <v>-27675.25</v>
      </c>
      <c r="IX15" s="3">
        <v>-27771.22</v>
      </c>
      <c r="IY15" s="3">
        <v>-27963.75</v>
      </c>
      <c r="IZ15" s="3">
        <v>-28168.59</v>
      </c>
      <c r="JA15" s="3">
        <v>-28288.94</v>
      </c>
      <c r="JB15" s="3">
        <v>-28478.880000000001</v>
      </c>
      <c r="JC15" s="3">
        <v>-28757.63</v>
      </c>
      <c r="JD15" s="3">
        <v>-28994.22</v>
      </c>
      <c r="JE15" s="3">
        <v>-29163.88</v>
      </c>
      <c r="JF15" s="3">
        <v>-29410.34</v>
      </c>
      <c r="JG15" s="3">
        <v>-29729.31</v>
      </c>
      <c r="JH15" s="3">
        <v>-29974.13</v>
      </c>
      <c r="JI15" s="3">
        <v>-30138.09</v>
      </c>
      <c r="JJ15" s="3">
        <v>-30394.94</v>
      </c>
      <c r="JK15" s="3">
        <v>-30748.69</v>
      </c>
      <c r="JL15" s="3">
        <v>-31041</v>
      </c>
      <c r="JM15" s="3">
        <v>-31211.19</v>
      </c>
      <c r="JN15" s="3">
        <v>-31497.94</v>
      </c>
      <c r="JO15" s="3">
        <v>-31898.13</v>
      </c>
      <c r="JP15" s="3">
        <v>-32257.19</v>
      </c>
      <c r="JQ15" s="3">
        <v>-32491.06</v>
      </c>
      <c r="JR15" s="3">
        <v>-32838.69</v>
      </c>
      <c r="JS15" s="3">
        <v>-33282.559999999998</v>
      </c>
      <c r="JT15" s="3">
        <v>-33669.129999999997</v>
      </c>
      <c r="JU15" s="3">
        <v>-33964.69</v>
      </c>
      <c r="JV15" s="3">
        <v>-34365.81</v>
      </c>
      <c r="JW15" s="3">
        <v>-34819.440000000002</v>
      </c>
      <c r="JX15" s="3">
        <v>-35226.44</v>
      </c>
      <c r="JY15" s="3">
        <v>-35541.440000000002</v>
      </c>
      <c r="JZ15" s="3">
        <v>-35982.44</v>
      </c>
      <c r="KA15" s="3">
        <v>-36446.879999999997</v>
      </c>
      <c r="KB15" s="3">
        <v>-36853.06</v>
      </c>
      <c r="KC15" s="3">
        <v>-37141.19</v>
      </c>
      <c r="KD15" s="3">
        <v>-37582.94</v>
      </c>
      <c r="KE15" s="3">
        <v>-38052.81</v>
      </c>
      <c r="KF15" s="3">
        <v>-38501.879999999997</v>
      </c>
      <c r="KG15" s="3">
        <v>-38823.06</v>
      </c>
      <c r="KH15" s="3">
        <v>-39278.69</v>
      </c>
      <c r="KI15" s="3">
        <v>-39790.94</v>
      </c>
      <c r="KJ15" s="3">
        <v>-40229.75</v>
      </c>
      <c r="KK15" s="3">
        <v>-40524.19</v>
      </c>
      <c r="KL15" s="3">
        <v>-41008.31</v>
      </c>
      <c r="KM15" s="3">
        <v>-41496.19</v>
      </c>
      <c r="KN15" s="3">
        <v>-41952.75</v>
      </c>
      <c r="KO15" s="3">
        <v>-42259.06</v>
      </c>
      <c r="KP15" s="3">
        <v>-42785.13</v>
      </c>
      <c r="KQ15" s="3">
        <v>-43277.94</v>
      </c>
      <c r="KR15" s="3">
        <v>-43726.06</v>
      </c>
      <c r="KS15" s="3">
        <v>-44024.88</v>
      </c>
      <c r="KT15" s="3">
        <v>-44562.63</v>
      </c>
      <c r="KU15" s="3">
        <v>-45084</v>
      </c>
      <c r="KV15" s="3">
        <v>-45461.88</v>
      </c>
      <c r="KW15" s="3">
        <v>-45715.94</v>
      </c>
      <c r="KX15" s="3">
        <v>-46257.19</v>
      </c>
      <c r="KY15" s="3">
        <v>-46783.19</v>
      </c>
      <c r="KZ15" s="3">
        <v>-47191.81</v>
      </c>
      <c r="LA15" s="3">
        <v>-47462.38</v>
      </c>
      <c r="LB15" s="3">
        <v>-48033.75</v>
      </c>
      <c r="LC15" s="3">
        <v>-48571.44</v>
      </c>
      <c r="LD15" s="3">
        <v>-49015.88</v>
      </c>
      <c r="LE15" s="3">
        <v>-49308.25</v>
      </c>
      <c r="LF15" s="3">
        <v>-49925.31</v>
      </c>
      <c r="LG15" s="3">
        <v>-50488.88</v>
      </c>
      <c r="LH15" s="3">
        <v>-50968</v>
      </c>
      <c r="LI15" s="3">
        <v>-51288.88</v>
      </c>
      <c r="LJ15" s="3">
        <v>-51943.69</v>
      </c>
      <c r="LK15" s="3">
        <v>-52513.06</v>
      </c>
      <c r="LL15" s="3">
        <v>-52993.25</v>
      </c>
      <c r="LM15" s="3">
        <v>-53316.5</v>
      </c>
      <c r="LN15" s="3">
        <v>-53984.63</v>
      </c>
      <c r="LO15" s="3">
        <v>-54567.25</v>
      </c>
      <c r="LP15" s="3">
        <v>-55065.440000000002</v>
      </c>
      <c r="LQ15" s="3">
        <v>-55395.75</v>
      </c>
      <c r="LR15" s="3">
        <v>-56083.5</v>
      </c>
      <c r="LS15" s="3">
        <v>-56695.19</v>
      </c>
      <c r="LT15" s="3">
        <v>-57205.88</v>
      </c>
      <c r="LU15" s="3">
        <v>-57535.13</v>
      </c>
      <c r="LV15" s="3">
        <v>-58241.25</v>
      </c>
      <c r="LW15" s="3">
        <v>-58885.75</v>
      </c>
      <c r="LX15" s="3">
        <v>-59404.06</v>
      </c>
      <c r="LY15" s="3">
        <v>-59744.88</v>
      </c>
      <c r="LZ15" s="3">
        <v>-60473.88</v>
      </c>
      <c r="MA15" s="3">
        <v>-61156.69</v>
      </c>
      <c r="MB15" s="3">
        <v>-61660.06</v>
      </c>
      <c r="MC15" s="3">
        <v>-62004.63</v>
      </c>
      <c r="MD15" s="3">
        <v>-62754.69</v>
      </c>
      <c r="ME15" s="3">
        <v>-63393.81</v>
      </c>
      <c r="MF15" s="3">
        <v>-64008.06</v>
      </c>
      <c r="MG15" s="3">
        <v>-64390.44</v>
      </c>
      <c r="MH15" s="3">
        <v>-65181.13</v>
      </c>
      <c r="MI15" s="3">
        <v>-65908.75</v>
      </c>
      <c r="MJ15" s="3">
        <v>-66475.88</v>
      </c>
      <c r="MK15" s="3">
        <v>-66845.75</v>
      </c>
      <c r="ML15" s="3">
        <v>-67663.38</v>
      </c>
      <c r="MM15" s="3">
        <v>-68379.88</v>
      </c>
      <c r="MN15" s="3">
        <v>-69013.38</v>
      </c>
      <c r="MO15" s="3">
        <v>-69405.13</v>
      </c>
      <c r="MP15" s="3">
        <v>-70253.38</v>
      </c>
      <c r="MQ15" s="3">
        <v>-71026.25</v>
      </c>
      <c r="MR15" s="3">
        <v>-71669.5</v>
      </c>
      <c r="MS15" s="3">
        <v>-72085</v>
      </c>
      <c r="MT15" s="3">
        <v>-72969.13</v>
      </c>
      <c r="MU15" t="s">
        <v>415</v>
      </c>
      <c r="MV15" t="b">
        <v>1</v>
      </c>
      <c r="MW15" t="s">
        <v>377</v>
      </c>
      <c r="MX15" t="s">
        <v>377</v>
      </c>
      <c r="MY15">
        <v>2025</v>
      </c>
      <c r="MZ15">
        <v>2</v>
      </c>
      <c r="NA15" t="s">
        <v>377</v>
      </c>
      <c r="NB15" s="1" t="s">
        <v>445</v>
      </c>
      <c r="NC15" t="s">
        <v>446</v>
      </c>
      <c r="ND15" t="s">
        <v>418</v>
      </c>
      <c r="NE15" t="s">
        <v>432</v>
      </c>
      <c r="NF15" s="1" t="s">
        <v>872</v>
      </c>
    </row>
    <row r="16" spans="1:370" x14ac:dyDescent="0.25">
      <c r="A16" t="s">
        <v>370</v>
      </c>
      <c r="B16" t="s">
        <v>447</v>
      </c>
      <c r="C16" s="1" t="s">
        <v>871</v>
      </c>
      <c r="D16" t="s">
        <v>372</v>
      </c>
      <c r="E16" t="s">
        <v>373</v>
      </c>
      <c r="F16" t="s">
        <v>374</v>
      </c>
      <c r="G16" s="2">
        <v>29960.61</v>
      </c>
      <c r="H16" s="2">
        <v>30962.35</v>
      </c>
      <c r="I16" s="2">
        <v>32965.82</v>
      </c>
      <c r="J16" s="2">
        <v>35969.43</v>
      </c>
      <c r="K16" s="2">
        <v>38396.720000000001</v>
      </c>
      <c r="L16" s="2">
        <v>40432.300000000003</v>
      </c>
      <c r="M16" s="2">
        <v>43911.09</v>
      </c>
      <c r="N16" s="2">
        <v>48829.88</v>
      </c>
      <c r="O16" s="2">
        <v>53670</v>
      </c>
      <c r="P16" s="2">
        <v>56662</v>
      </c>
      <c r="Q16" s="2">
        <v>59654</v>
      </c>
      <c r="R16" s="2">
        <v>62646</v>
      </c>
      <c r="S16" s="2">
        <v>65638</v>
      </c>
      <c r="T16" s="2">
        <v>68226.25</v>
      </c>
      <c r="U16" s="2">
        <v>70814.5</v>
      </c>
      <c r="V16" s="2">
        <v>73402.75</v>
      </c>
      <c r="W16" s="2">
        <v>75991</v>
      </c>
      <c r="X16" s="2">
        <v>78582.5</v>
      </c>
      <c r="Y16" s="2">
        <v>81174</v>
      </c>
      <c r="Z16" s="2">
        <v>83765.5</v>
      </c>
      <c r="AA16" s="2">
        <v>86357</v>
      </c>
      <c r="AB16" s="2">
        <v>88950.5</v>
      </c>
      <c r="AC16" s="2">
        <v>91544</v>
      </c>
      <c r="AD16" s="2">
        <v>94137.5</v>
      </c>
      <c r="AE16" s="2">
        <v>96731</v>
      </c>
      <c r="AF16" s="2">
        <v>99423</v>
      </c>
      <c r="AG16" s="2">
        <v>102115</v>
      </c>
      <c r="AH16" s="2">
        <v>104807</v>
      </c>
      <c r="AI16" s="2">
        <v>107499</v>
      </c>
      <c r="AJ16" s="2">
        <v>112179.8</v>
      </c>
      <c r="AK16" s="2">
        <v>116860.5</v>
      </c>
      <c r="AL16" s="2">
        <v>121541.3</v>
      </c>
      <c r="AM16" s="2">
        <v>126222</v>
      </c>
      <c r="AN16" s="2">
        <v>128078.5</v>
      </c>
      <c r="AO16" s="2">
        <v>129935</v>
      </c>
      <c r="AP16" s="2">
        <v>131791.5</v>
      </c>
      <c r="AQ16" s="2">
        <v>133648</v>
      </c>
      <c r="AR16" s="2">
        <v>135958.29999999999</v>
      </c>
      <c r="AS16" s="2">
        <v>138268.5</v>
      </c>
      <c r="AT16" s="2">
        <v>140578.79999999999</v>
      </c>
      <c r="AU16" s="2">
        <v>142889</v>
      </c>
      <c r="AV16" s="2">
        <v>145953.79999999999</v>
      </c>
      <c r="AW16" s="2">
        <v>149018.5</v>
      </c>
      <c r="AX16" s="2">
        <v>152083.29999999999</v>
      </c>
      <c r="AY16" s="2">
        <v>155148</v>
      </c>
      <c r="AZ16" s="2">
        <v>157981.5</v>
      </c>
      <c r="BA16" s="2">
        <v>160815</v>
      </c>
      <c r="BB16" s="2">
        <v>163648.5</v>
      </c>
      <c r="BC16" s="2">
        <v>166482</v>
      </c>
      <c r="BD16" s="2">
        <v>169682.3</v>
      </c>
      <c r="BE16" s="2">
        <v>172882.5</v>
      </c>
      <c r="BF16" s="2">
        <v>176082.8</v>
      </c>
      <c r="BG16" s="2">
        <v>179283</v>
      </c>
      <c r="BH16" s="2">
        <v>182133.3</v>
      </c>
      <c r="BI16" s="2">
        <v>184983.5</v>
      </c>
      <c r="BJ16" s="2">
        <v>187833.8</v>
      </c>
      <c r="BK16" s="2">
        <v>190684</v>
      </c>
      <c r="BL16" s="2">
        <v>193241.8</v>
      </c>
      <c r="BM16" s="2">
        <v>195799.5</v>
      </c>
      <c r="BN16" s="2">
        <v>198357.3</v>
      </c>
      <c r="BO16" s="2">
        <v>200915</v>
      </c>
      <c r="BP16" s="2">
        <v>199497.3</v>
      </c>
      <c r="BQ16" s="2">
        <v>198079.5</v>
      </c>
      <c r="BR16" s="2">
        <v>196661.8</v>
      </c>
      <c r="BS16" s="2">
        <v>195244</v>
      </c>
      <c r="BT16" s="2">
        <v>193097.5</v>
      </c>
      <c r="BU16" s="2">
        <v>190951</v>
      </c>
      <c r="BV16" s="2">
        <v>188804.5</v>
      </c>
      <c r="BW16" s="2">
        <v>186658</v>
      </c>
      <c r="BX16" s="2">
        <v>187073.3</v>
      </c>
      <c r="BY16" s="2">
        <v>187488.5</v>
      </c>
      <c r="BZ16" s="2">
        <v>187903.8</v>
      </c>
      <c r="CA16" s="2">
        <v>188319</v>
      </c>
      <c r="CB16" s="2">
        <v>192410</v>
      </c>
      <c r="CC16" s="2">
        <v>196501</v>
      </c>
      <c r="CD16" s="2">
        <v>200592</v>
      </c>
      <c r="CE16" s="2">
        <v>204683</v>
      </c>
      <c r="CF16" s="2">
        <v>215673.8</v>
      </c>
      <c r="CG16" s="2">
        <v>226664.5</v>
      </c>
      <c r="CH16" s="2">
        <v>237655.3</v>
      </c>
      <c r="CI16" s="2">
        <v>248646</v>
      </c>
      <c r="CJ16" s="2">
        <v>261163.3</v>
      </c>
      <c r="CK16" s="2">
        <v>273680.5</v>
      </c>
      <c r="CL16" s="2">
        <v>286197.8</v>
      </c>
      <c r="CM16" s="2">
        <v>298715</v>
      </c>
      <c r="CN16" s="2">
        <v>309019</v>
      </c>
      <c r="CO16" s="2">
        <v>319323</v>
      </c>
      <c r="CP16" s="2">
        <v>329627</v>
      </c>
      <c r="CQ16" s="2">
        <v>339931</v>
      </c>
      <c r="CR16" s="2">
        <v>349287</v>
      </c>
      <c r="CS16" s="2">
        <v>358643</v>
      </c>
      <c r="CT16" s="2">
        <v>367999</v>
      </c>
      <c r="CU16" s="2">
        <v>377355</v>
      </c>
      <c r="CV16" s="2">
        <v>385107.8</v>
      </c>
      <c r="CW16" s="2">
        <v>392860.5</v>
      </c>
      <c r="CX16" s="2">
        <v>400613.3</v>
      </c>
      <c r="CY16" s="2">
        <v>408366</v>
      </c>
      <c r="CZ16" s="2">
        <v>419303</v>
      </c>
      <c r="DA16" s="2">
        <v>422726</v>
      </c>
      <c r="DB16" s="2">
        <v>420757</v>
      </c>
      <c r="DC16" s="2">
        <v>412278</v>
      </c>
      <c r="DD16" s="2">
        <v>420034</v>
      </c>
      <c r="DE16" s="2">
        <v>420576</v>
      </c>
      <c r="DF16" s="2">
        <v>419066</v>
      </c>
      <c r="DG16" s="2">
        <v>415121</v>
      </c>
      <c r="DH16" s="2">
        <v>419038</v>
      </c>
      <c r="DI16" s="2">
        <v>414481</v>
      </c>
      <c r="DJ16" s="2">
        <v>421574</v>
      </c>
      <c r="DK16" s="2">
        <v>408327</v>
      </c>
      <c r="DL16" s="2">
        <v>415499</v>
      </c>
      <c r="DM16" s="2">
        <v>407470</v>
      </c>
      <c r="DN16" s="2">
        <v>414826</v>
      </c>
      <c r="DO16" s="2">
        <v>398365</v>
      </c>
      <c r="DP16" s="2">
        <v>402239</v>
      </c>
      <c r="DQ16" s="2">
        <v>396623</v>
      </c>
      <c r="DR16" s="2">
        <v>400663</v>
      </c>
      <c r="DS16" s="2">
        <v>397654</v>
      </c>
      <c r="DT16" s="2">
        <v>407825</v>
      </c>
      <c r="DU16" s="2">
        <v>410543</v>
      </c>
      <c r="DV16" s="2">
        <v>422180</v>
      </c>
      <c r="DW16" s="2">
        <v>422005</v>
      </c>
      <c r="DX16" s="2">
        <v>433154</v>
      </c>
      <c r="DY16" s="2">
        <v>445427</v>
      </c>
      <c r="DZ16" s="2">
        <v>462610</v>
      </c>
      <c r="EA16" s="2">
        <v>467675</v>
      </c>
      <c r="EB16" s="2">
        <v>493249</v>
      </c>
      <c r="EC16" s="2">
        <v>500957</v>
      </c>
      <c r="ED16" s="2">
        <v>526430</v>
      </c>
      <c r="EE16" s="2">
        <v>525618</v>
      </c>
      <c r="EF16" s="2">
        <v>545145</v>
      </c>
      <c r="EG16" s="2">
        <v>556673</v>
      </c>
      <c r="EH16" s="2">
        <v>573493</v>
      </c>
      <c r="EI16" s="2">
        <v>574744</v>
      </c>
      <c r="EJ16" s="2">
        <v>597446</v>
      </c>
      <c r="EK16" s="2">
        <v>606328</v>
      </c>
      <c r="EL16" s="2">
        <v>619114</v>
      </c>
      <c r="EM16" s="2">
        <v>618021</v>
      </c>
      <c r="EN16" s="2">
        <v>639495</v>
      </c>
      <c r="EO16" s="2">
        <v>648126</v>
      </c>
      <c r="EP16" s="2">
        <v>666880</v>
      </c>
      <c r="EQ16" s="2">
        <v>661926</v>
      </c>
      <c r="ER16" s="2">
        <v>689797</v>
      </c>
      <c r="ES16" s="2">
        <v>736882</v>
      </c>
      <c r="ET16" s="2">
        <v>809985</v>
      </c>
      <c r="EU16" s="2">
        <v>847407</v>
      </c>
      <c r="EV16" s="2">
        <v>895083</v>
      </c>
      <c r="EW16" s="2">
        <v>948500</v>
      </c>
      <c r="EX16" s="2">
        <v>1005405</v>
      </c>
      <c r="EY16" s="2">
        <v>1102320</v>
      </c>
      <c r="EZ16" s="2">
        <v>1141601</v>
      </c>
      <c r="FA16" s="2">
        <v>1198325</v>
      </c>
      <c r="FB16" s="2">
        <v>1220252</v>
      </c>
      <c r="FC16" s="2">
        <v>1240638</v>
      </c>
      <c r="FD16" s="2">
        <v>1298749</v>
      </c>
      <c r="FE16" s="2">
        <v>1322584</v>
      </c>
      <c r="FF16" s="2">
        <v>1353765</v>
      </c>
      <c r="FG16" s="2">
        <v>1374122</v>
      </c>
      <c r="FH16" s="2">
        <v>1382839</v>
      </c>
      <c r="FI16" s="2">
        <v>1414144</v>
      </c>
      <c r="FJ16" s="2">
        <v>1447791</v>
      </c>
      <c r="FK16" s="2">
        <v>1448047</v>
      </c>
      <c r="FL16" s="2">
        <v>1482330</v>
      </c>
      <c r="FM16" s="2">
        <v>1491370</v>
      </c>
      <c r="FN16" s="2">
        <v>1519787</v>
      </c>
      <c r="FO16" s="2">
        <v>1539787</v>
      </c>
      <c r="FP16" s="2">
        <v>1573247</v>
      </c>
      <c r="FQ16" s="2">
        <v>1578723</v>
      </c>
      <c r="FR16" s="2">
        <v>1622144</v>
      </c>
      <c r="FS16" s="2">
        <v>1621409</v>
      </c>
      <c r="FT16" s="2">
        <v>1659353</v>
      </c>
      <c r="FU16" s="2">
        <v>1659774</v>
      </c>
      <c r="FV16" s="2">
        <v>1683922</v>
      </c>
      <c r="FW16" s="2">
        <v>1670236</v>
      </c>
      <c r="FX16" s="2">
        <v>1708538</v>
      </c>
      <c r="FY16" s="2">
        <v>1709287</v>
      </c>
      <c r="FZ16" s="2">
        <v>1749166</v>
      </c>
      <c r="GA16" s="2">
        <v>1737660</v>
      </c>
      <c r="GB16" s="2">
        <v>1752850</v>
      </c>
      <c r="GC16" s="2">
        <v>1763054</v>
      </c>
      <c r="GD16" s="2">
        <v>1805987</v>
      </c>
      <c r="GE16" s="2">
        <v>1784098</v>
      </c>
      <c r="GF16" s="2">
        <v>1818959</v>
      </c>
      <c r="GG16" s="2">
        <v>1832926</v>
      </c>
      <c r="GH16" s="2">
        <v>1858410</v>
      </c>
      <c r="GI16" s="2">
        <v>1842214</v>
      </c>
      <c r="GJ16" s="2">
        <v>1870885</v>
      </c>
      <c r="GK16" s="2">
        <v>1870635</v>
      </c>
      <c r="GL16" s="2">
        <v>1913514</v>
      </c>
      <c r="GM16" s="2">
        <v>1898879</v>
      </c>
      <c r="GN16" s="2">
        <v>2091233</v>
      </c>
      <c r="GO16" s="2">
        <v>2160748</v>
      </c>
      <c r="GP16" s="2">
        <v>2226332</v>
      </c>
      <c r="GQ16" s="2">
        <v>2244344</v>
      </c>
      <c r="GR16" s="2">
        <v>2316539</v>
      </c>
      <c r="GS16" s="2">
        <v>2352974</v>
      </c>
      <c r="GT16" s="2">
        <v>2402658</v>
      </c>
      <c r="GU16" s="2">
        <v>2385322</v>
      </c>
      <c r="GV16" s="2">
        <v>2434961</v>
      </c>
      <c r="GW16" s="2">
        <v>2443997</v>
      </c>
      <c r="GX16" s="2">
        <v>2516668</v>
      </c>
      <c r="GY16" s="2">
        <v>2538407</v>
      </c>
      <c r="GZ16" s="2">
        <v>2636632</v>
      </c>
      <c r="HA16" s="2">
        <v>2654355</v>
      </c>
      <c r="HB16" s="2">
        <v>2721026</v>
      </c>
      <c r="HC16" s="2">
        <v>2736518</v>
      </c>
      <c r="HD16" s="2">
        <v>2804499</v>
      </c>
      <c r="HE16" s="2">
        <v>2844450</v>
      </c>
      <c r="HF16" s="2">
        <v>2887750</v>
      </c>
      <c r="HG16" s="2">
        <v>2925178</v>
      </c>
      <c r="HH16" s="2">
        <v>2999844</v>
      </c>
      <c r="HI16" s="3">
        <v>3021808</v>
      </c>
      <c r="HJ16" s="3">
        <v>3063203</v>
      </c>
      <c r="HK16" s="3">
        <v>3066317</v>
      </c>
      <c r="HL16" s="3">
        <v>3110256</v>
      </c>
      <c r="HM16" s="3">
        <v>3131712</v>
      </c>
      <c r="HN16" s="3">
        <v>3173282</v>
      </c>
      <c r="HO16" s="3">
        <v>3174049</v>
      </c>
      <c r="HP16" s="3">
        <v>3213990</v>
      </c>
      <c r="HQ16" s="3">
        <v>3230503</v>
      </c>
      <c r="HR16" s="3">
        <v>3267731</v>
      </c>
      <c r="HS16" s="3">
        <v>3262034</v>
      </c>
      <c r="HT16" s="3">
        <v>3302234</v>
      </c>
      <c r="HU16" s="3">
        <v>3317994</v>
      </c>
      <c r="HV16" s="3">
        <v>3355139</v>
      </c>
      <c r="HW16" s="3">
        <v>3346808</v>
      </c>
      <c r="HX16" s="3">
        <v>3387404</v>
      </c>
      <c r="HY16" s="3">
        <v>3402485</v>
      </c>
      <c r="HZ16" s="3">
        <v>3439708</v>
      </c>
      <c r="IA16" s="3">
        <v>3428892</v>
      </c>
      <c r="IB16" s="3">
        <v>3473681</v>
      </c>
      <c r="IC16" s="3">
        <v>3492036</v>
      </c>
      <c r="ID16" s="3">
        <v>3533336</v>
      </c>
      <c r="IE16" s="3">
        <v>3524940</v>
      </c>
      <c r="IF16" s="3">
        <v>3574035</v>
      </c>
      <c r="IG16" s="3">
        <v>3595843</v>
      </c>
      <c r="IH16" s="3">
        <v>3641616</v>
      </c>
      <c r="II16" s="3">
        <v>3634413</v>
      </c>
      <c r="IJ16" s="3">
        <v>3686728</v>
      </c>
      <c r="IK16" s="3">
        <v>3710736</v>
      </c>
      <c r="IL16" s="3">
        <v>3759665</v>
      </c>
      <c r="IM16" s="3">
        <v>3753729</v>
      </c>
      <c r="IN16" s="3">
        <v>3809437</v>
      </c>
      <c r="IO16" s="3">
        <v>3835779</v>
      </c>
      <c r="IP16" s="3">
        <v>3888016</v>
      </c>
      <c r="IQ16" s="3">
        <v>3883458</v>
      </c>
      <c r="IR16" s="3">
        <v>3942714</v>
      </c>
      <c r="IS16" s="3">
        <v>3971523</v>
      </c>
      <c r="IT16" s="3">
        <v>4027238</v>
      </c>
      <c r="IU16" s="3">
        <v>4024172</v>
      </c>
      <c r="IV16" s="3">
        <v>4087162</v>
      </c>
      <c r="IW16" s="3">
        <v>4118586</v>
      </c>
      <c r="IX16" s="3">
        <v>4177974</v>
      </c>
      <c r="IY16" s="3">
        <v>4176024</v>
      </c>
      <c r="IZ16" s="3">
        <v>4242547</v>
      </c>
      <c r="JA16" s="3">
        <v>4276315</v>
      </c>
      <c r="JB16" s="3">
        <v>4339157</v>
      </c>
      <c r="JC16" s="3">
        <v>4338413</v>
      </c>
      <c r="JD16" s="3">
        <v>4408661</v>
      </c>
      <c r="JE16" s="3">
        <v>4444912</v>
      </c>
      <c r="JF16" s="3">
        <v>4511391</v>
      </c>
      <c r="JG16" s="3">
        <v>4511949</v>
      </c>
      <c r="JH16" s="3">
        <v>4586116</v>
      </c>
      <c r="JI16" s="3">
        <v>4624994</v>
      </c>
      <c r="JJ16" s="3">
        <v>4695303</v>
      </c>
      <c r="JK16" s="3">
        <v>4697264</v>
      </c>
      <c r="JL16" s="3">
        <v>4775556</v>
      </c>
      <c r="JM16" s="3">
        <v>4817214</v>
      </c>
      <c r="JN16" s="3">
        <v>4891559</v>
      </c>
      <c r="JO16" s="3">
        <v>4895033</v>
      </c>
      <c r="JP16" s="3">
        <v>4977665</v>
      </c>
      <c r="JQ16" s="3">
        <v>5022265</v>
      </c>
      <c r="JR16" s="3">
        <v>5100857</v>
      </c>
      <c r="JS16" s="3">
        <v>5104606</v>
      </c>
      <c r="JT16" s="3">
        <v>5190379</v>
      </c>
      <c r="JU16" s="3">
        <v>5236662</v>
      </c>
      <c r="JV16" s="3">
        <v>5318233</v>
      </c>
      <c r="JW16" s="3">
        <v>5322096</v>
      </c>
      <c r="JX16" s="3">
        <v>5411156</v>
      </c>
      <c r="JY16" s="3">
        <v>5459212</v>
      </c>
      <c r="JZ16" s="3">
        <v>5543903</v>
      </c>
      <c r="KA16" s="3">
        <v>5547920</v>
      </c>
      <c r="KB16" s="3">
        <v>5640367</v>
      </c>
      <c r="KC16" s="3">
        <v>5690250</v>
      </c>
      <c r="KD16" s="3">
        <v>5778151</v>
      </c>
      <c r="KE16" s="3">
        <v>5782330</v>
      </c>
      <c r="KF16" s="3">
        <v>5878254</v>
      </c>
      <c r="KG16" s="3">
        <v>5930009</v>
      </c>
      <c r="KH16" s="3">
        <v>6021196</v>
      </c>
      <c r="KI16" s="3">
        <v>6025551</v>
      </c>
      <c r="KJ16" s="3">
        <v>6125009</v>
      </c>
      <c r="KK16" s="3">
        <v>6178670</v>
      </c>
      <c r="KL16" s="3">
        <v>6273206</v>
      </c>
      <c r="KM16" s="3">
        <v>6277731</v>
      </c>
      <c r="KN16" s="3">
        <v>6380814</v>
      </c>
      <c r="KO16" s="3">
        <v>6436430</v>
      </c>
      <c r="KP16" s="3">
        <v>6534411</v>
      </c>
      <c r="KQ16" s="3">
        <v>6539102</v>
      </c>
      <c r="KR16" s="3">
        <v>6645936</v>
      </c>
      <c r="KS16" s="3">
        <v>6703576</v>
      </c>
      <c r="KT16" s="3">
        <v>6805114</v>
      </c>
      <c r="KU16" s="3">
        <v>6809984</v>
      </c>
      <c r="KV16" s="3">
        <v>6920675</v>
      </c>
      <c r="KW16" s="3">
        <v>6980395</v>
      </c>
      <c r="KX16" s="3">
        <v>7085595</v>
      </c>
      <c r="KY16" s="3">
        <v>7090645</v>
      </c>
      <c r="KZ16" s="3">
        <v>7205317</v>
      </c>
      <c r="LA16" s="3">
        <v>7267183</v>
      </c>
      <c r="LB16" s="3">
        <v>7376153</v>
      </c>
      <c r="LC16" s="3">
        <v>7381396</v>
      </c>
      <c r="LD16" s="3">
        <v>7500146</v>
      </c>
      <c r="LE16" s="3">
        <v>7564212</v>
      </c>
      <c r="LF16" s="3">
        <v>7677053</v>
      </c>
      <c r="LG16" s="3">
        <v>7682488</v>
      </c>
      <c r="LH16" s="3">
        <v>7805440</v>
      </c>
      <c r="LI16" s="3">
        <v>7871772</v>
      </c>
      <c r="LJ16" s="3">
        <v>7988597</v>
      </c>
      <c r="LK16" s="3">
        <v>7994232</v>
      </c>
      <c r="LL16" s="3">
        <v>8121505</v>
      </c>
      <c r="LM16" s="3">
        <v>8190166</v>
      </c>
      <c r="LN16" s="3">
        <v>8311084</v>
      </c>
      <c r="LO16" s="3">
        <v>8316929</v>
      </c>
      <c r="LP16" s="3">
        <v>8448625</v>
      </c>
      <c r="LQ16" s="3">
        <v>8519672</v>
      </c>
      <c r="LR16" s="3">
        <v>8644788</v>
      </c>
      <c r="LS16" s="3">
        <v>8650839</v>
      </c>
      <c r="LT16" s="3">
        <v>8787099</v>
      </c>
      <c r="LU16" s="3">
        <v>8860606</v>
      </c>
      <c r="LV16" s="3">
        <v>8990049</v>
      </c>
      <c r="LW16" s="3">
        <v>8996318</v>
      </c>
      <c r="LX16" s="3">
        <v>9137268</v>
      </c>
      <c r="LY16" s="3">
        <v>9213304</v>
      </c>
      <c r="LZ16" s="3">
        <v>9347194</v>
      </c>
      <c r="MA16" s="3">
        <v>9353687</v>
      </c>
      <c r="MB16" s="3">
        <v>9499456</v>
      </c>
      <c r="MC16" s="3">
        <v>9578091</v>
      </c>
      <c r="MD16" s="3">
        <v>9716555</v>
      </c>
      <c r="ME16" s="3">
        <v>9723274</v>
      </c>
      <c r="MF16" s="3">
        <v>9874012</v>
      </c>
      <c r="MG16" s="3">
        <v>9955328</v>
      </c>
      <c r="MH16" s="3">
        <v>10098510</v>
      </c>
      <c r="MI16" s="3">
        <v>10105460</v>
      </c>
      <c r="MJ16" s="3">
        <v>10261340</v>
      </c>
      <c r="MK16" s="3">
        <v>10345420</v>
      </c>
      <c r="ML16" s="3">
        <v>10493480</v>
      </c>
      <c r="MM16" s="3">
        <v>10500670</v>
      </c>
      <c r="MN16" s="3">
        <v>10661840</v>
      </c>
      <c r="MO16" s="3">
        <v>10748780</v>
      </c>
      <c r="MP16" s="3">
        <v>10901860</v>
      </c>
      <c r="MQ16" s="3">
        <v>10909300</v>
      </c>
      <c r="MR16" s="3">
        <v>11075940</v>
      </c>
      <c r="MS16" s="3">
        <v>11165830</v>
      </c>
      <c r="MT16" s="3">
        <v>11324100</v>
      </c>
      <c r="MU16" s="1" t="s">
        <v>448</v>
      </c>
      <c r="MV16" t="b">
        <v>0</v>
      </c>
      <c r="MW16" t="s">
        <v>377</v>
      </c>
      <c r="MX16" t="s">
        <v>377</v>
      </c>
      <c r="MY16">
        <v>2025</v>
      </c>
      <c r="MZ16">
        <v>2</v>
      </c>
      <c r="NA16" t="s">
        <v>377</v>
      </c>
      <c r="NB16" s="1" t="s">
        <v>449</v>
      </c>
      <c r="NC16" t="s">
        <v>377</v>
      </c>
      <c r="ND16" t="s">
        <v>380</v>
      </c>
      <c r="NE16" t="s">
        <v>450</v>
      </c>
      <c r="NF16" s="1" t="s">
        <v>872</v>
      </c>
    </row>
    <row r="17" spans="1:370" x14ac:dyDescent="0.25">
      <c r="A17" t="s">
        <v>382</v>
      </c>
      <c r="B17" t="s">
        <v>447</v>
      </c>
      <c r="C17" s="1" t="s">
        <v>871</v>
      </c>
      <c r="D17" t="s">
        <v>383</v>
      </c>
      <c r="E17" t="s">
        <v>384</v>
      </c>
      <c r="F17" t="s">
        <v>374</v>
      </c>
      <c r="G17" s="2">
        <v>1121.326</v>
      </c>
      <c r="H17" s="2">
        <v>1127.145</v>
      </c>
      <c r="I17" s="2">
        <v>1135.6079999999999</v>
      </c>
      <c r="J17" s="2">
        <v>1158.847</v>
      </c>
      <c r="K17" s="2">
        <v>1180.1300000000001</v>
      </c>
      <c r="L17" s="2">
        <v>1196.0619999999999</v>
      </c>
      <c r="M17" s="2">
        <v>1223.826</v>
      </c>
      <c r="N17" s="2">
        <v>1251.7090000000001</v>
      </c>
      <c r="O17" s="2">
        <v>1289.7429999999999</v>
      </c>
      <c r="P17" s="2">
        <v>1323.3409999999999</v>
      </c>
      <c r="Q17" s="2">
        <v>1367.3789999999999</v>
      </c>
      <c r="R17" s="2">
        <v>1412.028</v>
      </c>
      <c r="S17" s="2">
        <v>1443.0940000000001</v>
      </c>
      <c r="T17" s="2">
        <v>1466.7360000000001</v>
      </c>
      <c r="U17" s="2">
        <v>1495.921</v>
      </c>
      <c r="V17" s="2">
        <v>1521.4770000000001</v>
      </c>
      <c r="W17" s="2">
        <v>1556.1210000000001</v>
      </c>
      <c r="X17" s="2">
        <v>1571.52</v>
      </c>
      <c r="Y17" s="2">
        <v>1606.528</v>
      </c>
      <c r="Z17" s="2">
        <v>1639.1120000000001</v>
      </c>
      <c r="AA17" s="2">
        <v>1679.39</v>
      </c>
      <c r="AB17" s="2">
        <v>1703.202</v>
      </c>
      <c r="AC17" s="2">
        <v>1735.838</v>
      </c>
      <c r="AD17" s="2">
        <v>1778.414</v>
      </c>
      <c r="AE17" s="2">
        <v>1808.9549999999999</v>
      </c>
      <c r="AF17" s="2">
        <v>1833.5260000000001</v>
      </c>
      <c r="AG17" s="2">
        <v>1873.4459999999999</v>
      </c>
      <c r="AH17" s="2">
        <v>1922.42</v>
      </c>
      <c r="AI17" s="2">
        <v>1964.289</v>
      </c>
      <c r="AJ17" s="2">
        <v>1985.2239999999999</v>
      </c>
      <c r="AK17" s="2">
        <v>2025.56</v>
      </c>
      <c r="AL17" s="2">
        <v>2062.8510000000001</v>
      </c>
      <c r="AM17" s="2">
        <v>2124.1309999999999</v>
      </c>
      <c r="AN17" s="2">
        <v>2145.0320000000002</v>
      </c>
      <c r="AO17" s="2">
        <v>2196.1289999999999</v>
      </c>
      <c r="AP17" s="2">
        <v>2256.7330000000002</v>
      </c>
      <c r="AQ17" s="2">
        <v>2315.7240000000002</v>
      </c>
      <c r="AR17" s="2">
        <v>2355.9430000000002</v>
      </c>
      <c r="AS17" s="2">
        <v>2445.46</v>
      </c>
      <c r="AT17" s="2">
        <v>2532.2979999999998</v>
      </c>
      <c r="AU17" s="2">
        <v>2602.9560000000001</v>
      </c>
      <c r="AV17" s="2">
        <v>2669.596</v>
      </c>
      <c r="AW17" s="2">
        <v>2749.0369999999998</v>
      </c>
      <c r="AX17" s="2">
        <v>2812.1959999999999</v>
      </c>
      <c r="AY17" s="2">
        <v>2892.9409999999998</v>
      </c>
      <c r="AZ17" s="2">
        <v>2956.8429999999998</v>
      </c>
      <c r="BA17" s="2">
        <v>3037.3420000000001</v>
      </c>
      <c r="BB17" s="2">
        <v>3127.6509999999998</v>
      </c>
      <c r="BC17" s="2">
        <v>3208.2339999999999</v>
      </c>
      <c r="BD17" s="2">
        <v>3289.1579999999999</v>
      </c>
      <c r="BE17" s="2">
        <v>3389.3150000000001</v>
      </c>
      <c r="BF17" s="2">
        <v>3513.5859999999998</v>
      </c>
      <c r="BG17" s="2">
        <v>3566.297</v>
      </c>
      <c r="BH17" s="2">
        <v>3643.569</v>
      </c>
      <c r="BI17" s="2">
        <v>3758.6</v>
      </c>
      <c r="BJ17" s="2">
        <v>3842.6889999999999</v>
      </c>
      <c r="BK17" s="2">
        <v>3860.7449999999999</v>
      </c>
      <c r="BL17" s="2">
        <v>3921.489</v>
      </c>
      <c r="BM17" s="2">
        <v>3983.5360000000001</v>
      </c>
      <c r="BN17" s="2">
        <v>4130.4989999999998</v>
      </c>
      <c r="BO17" s="2">
        <v>4188.0519999999997</v>
      </c>
      <c r="BP17" s="2">
        <v>4245.1270000000004</v>
      </c>
      <c r="BQ17" s="2">
        <v>4335.2830000000004</v>
      </c>
      <c r="BR17" s="2">
        <v>4425.4520000000002</v>
      </c>
      <c r="BS17" s="2">
        <v>4525.1980000000003</v>
      </c>
      <c r="BT17" s="2">
        <v>4574.9859999999999</v>
      </c>
      <c r="BU17" s="2">
        <v>4669.3119999999999</v>
      </c>
      <c r="BV17" s="2">
        <v>4790.9539999999997</v>
      </c>
      <c r="BW17" s="2">
        <v>4878.6580000000004</v>
      </c>
      <c r="BX17" s="2">
        <v>4952.0810000000001</v>
      </c>
      <c r="BY17" s="2">
        <v>5104.5320000000002</v>
      </c>
      <c r="BZ17" s="2">
        <v>5216.6589999999997</v>
      </c>
      <c r="CA17" s="2">
        <v>5274.49</v>
      </c>
      <c r="CB17" s="2">
        <v>5383.7340000000004</v>
      </c>
      <c r="CC17" s="2">
        <v>5520.6909999999998</v>
      </c>
      <c r="CD17" s="2">
        <v>5656.1139999999996</v>
      </c>
      <c r="CE17" s="2">
        <v>5799.5789999999997</v>
      </c>
      <c r="CF17" s="2">
        <v>5975.5379999999996</v>
      </c>
      <c r="CG17" s="2">
        <v>6128.5320000000002</v>
      </c>
      <c r="CH17" s="2">
        <v>6255.3</v>
      </c>
      <c r="CI17" s="2">
        <v>6335.8270000000002</v>
      </c>
      <c r="CJ17" s="2">
        <v>6451.018</v>
      </c>
      <c r="CK17" s="2">
        <v>6550.8329999999996</v>
      </c>
      <c r="CL17" s="2">
        <v>6669.6559999999999</v>
      </c>
      <c r="CM17" s="2">
        <v>6784.6229999999996</v>
      </c>
      <c r="CN17" s="2">
        <v>6836.4790000000003</v>
      </c>
      <c r="CO17" s="2">
        <v>6900.1030000000001</v>
      </c>
      <c r="CP17" s="2">
        <v>7002.7619999999997</v>
      </c>
      <c r="CQ17" s="2">
        <v>7071.2280000000001</v>
      </c>
      <c r="CR17" s="2">
        <v>7125.5460000000003</v>
      </c>
      <c r="CS17" s="2">
        <v>7132.4080000000004</v>
      </c>
      <c r="CT17" s="2">
        <v>7191.14</v>
      </c>
      <c r="CU17" s="2">
        <v>7273.8850000000002</v>
      </c>
      <c r="CV17" s="2">
        <v>7268.2020000000002</v>
      </c>
      <c r="CW17" s="2">
        <v>7337.1260000000002</v>
      </c>
      <c r="CX17" s="2">
        <v>7388.1059999999998</v>
      </c>
      <c r="CY17" s="2">
        <v>7486.1719999999996</v>
      </c>
      <c r="CZ17" s="2">
        <v>7353.6719999999996</v>
      </c>
      <c r="DA17" s="2">
        <v>7330.4319999999998</v>
      </c>
      <c r="DB17" s="2">
        <v>7416.5810000000001</v>
      </c>
      <c r="DC17" s="2">
        <v>7389.2730000000001</v>
      </c>
      <c r="DD17" s="2">
        <v>7352.55</v>
      </c>
      <c r="DE17" s="2">
        <v>7523.7269999999999</v>
      </c>
      <c r="DF17" s="2">
        <v>7422.5780000000004</v>
      </c>
      <c r="DG17" s="2">
        <v>7458.6719999999996</v>
      </c>
      <c r="DH17" s="2">
        <v>7321.64</v>
      </c>
      <c r="DI17" s="2">
        <v>7455.3720000000003</v>
      </c>
      <c r="DJ17" s="2">
        <v>7365.0609999999997</v>
      </c>
      <c r="DK17" s="2">
        <v>7349.3940000000002</v>
      </c>
      <c r="DL17" s="2">
        <v>7269.5240000000003</v>
      </c>
      <c r="DM17" s="2">
        <v>7250.9620000000004</v>
      </c>
      <c r="DN17" s="2">
        <v>7427.0879999999997</v>
      </c>
      <c r="DO17" s="2">
        <v>7710.7560000000003</v>
      </c>
      <c r="DP17" s="2">
        <v>7560.4139999999998</v>
      </c>
      <c r="DQ17" s="2">
        <v>7916.4260000000004</v>
      </c>
      <c r="DR17" s="2">
        <v>7946.78</v>
      </c>
      <c r="DS17" s="2">
        <v>8050.3819999999996</v>
      </c>
      <c r="DT17" s="2">
        <v>8341.5529999999999</v>
      </c>
      <c r="DU17" s="2">
        <v>8621.9290000000001</v>
      </c>
      <c r="DV17" s="2">
        <v>8827.26</v>
      </c>
      <c r="DW17" s="2">
        <v>9002.6440000000002</v>
      </c>
      <c r="DX17" s="2">
        <v>9169.6139999999996</v>
      </c>
      <c r="DY17" s="2">
        <v>9318.6080000000002</v>
      </c>
      <c r="DZ17" s="2">
        <v>9416.8340000000007</v>
      </c>
      <c r="EA17" s="2">
        <v>10406.32</v>
      </c>
      <c r="EB17" s="2">
        <v>10558.37</v>
      </c>
      <c r="EC17" s="2">
        <v>10888.27</v>
      </c>
      <c r="ED17" s="2">
        <v>10890.62</v>
      </c>
      <c r="EE17" s="2">
        <v>11203.43</v>
      </c>
      <c r="EF17" s="2">
        <v>11271.25</v>
      </c>
      <c r="EG17" s="2">
        <v>11417.79</v>
      </c>
      <c r="EH17" s="2">
        <v>11586.42</v>
      </c>
      <c r="EI17" s="2">
        <v>11661.08</v>
      </c>
      <c r="EJ17" s="2">
        <v>11750.37</v>
      </c>
      <c r="EK17" s="2">
        <v>11830.04</v>
      </c>
      <c r="EL17" s="2">
        <v>11913.59</v>
      </c>
      <c r="EM17" s="2">
        <v>12184.71</v>
      </c>
      <c r="EN17" s="2">
        <v>12019.91</v>
      </c>
      <c r="EO17" s="2">
        <v>12243.85</v>
      </c>
      <c r="EP17" s="2">
        <v>12530.64</v>
      </c>
      <c r="EQ17" s="2">
        <v>13013.6</v>
      </c>
      <c r="ER17" s="2">
        <v>13108.95</v>
      </c>
      <c r="ES17" s="2">
        <v>14029.95</v>
      </c>
      <c r="ET17" s="2">
        <v>15114.3</v>
      </c>
      <c r="EU17" s="2">
        <v>15842.81</v>
      </c>
      <c r="EV17" s="2">
        <v>16172.95</v>
      </c>
      <c r="EW17" s="2">
        <v>16455.79</v>
      </c>
      <c r="EX17" s="2">
        <v>16769.52</v>
      </c>
      <c r="EY17" s="2">
        <v>17385.669999999998</v>
      </c>
      <c r="EZ17" s="2">
        <v>18047.650000000001</v>
      </c>
      <c r="FA17" s="2">
        <v>18465.62</v>
      </c>
      <c r="FB17" s="2">
        <v>18928.23</v>
      </c>
      <c r="FC17" s="2">
        <v>19178.21</v>
      </c>
      <c r="FD17" s="2">
        <v>19431.759999999998</v>
      </c>
      <c r="FE17" s="2">
        <v>20101.37</v>
      </c>
      <c r="FF17" s="2">
        <v>20428.82</v>
      </c>
      <c r="FG17" s="2">
        <v>20675.009999999998</v>
      </c>
      <c r="FH17" s="2">
        <v>21015.27</v>
      </c>
      <c r="FI17" s="2">
        <v>21221.91</v>
      </c>
      <c r="FJ17" s="2">
        <v>21562.81</v>
      </c>
      <c r="FK17" s="2">
        <v>22023.71</v>
      </c>
      <c r="FL17" s="2">
        <v>22268.68</v>
      </c>
      <c r="FM17" s="2">
        <v>22588.720000000001</v>
      </c>
      <c r="FN17" s="2">
        <v>22989.06</v>
      </c>
      <c r="FO17" s="2">
        <v>23354.21</v>
      </c>
      <c r="FP17" s="2">
        <v>23274.27</v>
      </c>
      <c r="FQ17" s="2">
        <v>23563.86</v>
      </c>
      <c r="FR17" s="2">
        <v>23856.06</v>
      </c>
      <c r="FS17" s="2">
        <v>24037.72</v>
      </c>
      <c r="FT17" s="2">
        <v>24205.29</v>
      </c>
      <c r="FU17" s="2">
        <v>24628.880000000001</v>
      </c>
      <c r="FV17" s="2">
        <v>25009.53</v>
      </c>
      <c r="FW17" s="2">
        <v>25370.13</v>
      </c>
      <c r="FX17" s="2">
        <v>25435.39</v>
      </c>
      <c r="FY17" s="2">
        <v>25672.37</v>
      </c>
      <c r="FZ17" s="2">
        <v>26031.279999999999</v>
      </c>
      <c r="GA17" s="2">
        <v>26033.74</v>
      </c>
      <c r="GB17" s="2">
        <v>26078.3</v>
      </c>
      <c r="GC17" s="2">
        <v>26223.49</v>
      </c>
      <c r="GD17" s="2">
        <v>26466.6</v>
      </c>
      <c r="GE17" s="2">
        <v>27050.22</v>
      </c>
      <c r="GF17" s="2">
        <v>27150.34</v>
      </c>
      <c r="GG17" s="2">
        <v>27496.5</v>
      </c>
      <c r="GH17" s="2">
        <v>28281.55</v>
      </c>
      <c r="GI17" s="2">
        <v>28466.33</v>
      </c>
      <c r="GJ17" s="2">
        <v>28410.83</v>
      </c>
      <c r="GK17" s="2">
        <v>28905.84</v>
      </c>
      <c r="GL17" s="2">
        <v>29150.46</v>
      </c>
      <c r="GM17" s="2">
        <v>30215.46</v>
      </c>
      <c r="GN17" s="2">
        <v>32835.26</v>
      </c>
      <c r="GO17" s="2">
        <v>33537.449999999997</v>
      </c>
      <c r="GP17" s="2">
        <v>33791.4</v>
      </c>
      <c r="GQ17" s="2">
        <v>34122.68</v>
      </c>
      <c r="GR17" s="2">
        <v>34096.269999999997</v>
      </c>
      <c r="GS17" s="2">
        <v>34345</v>
      </c>
      <c r="GT17" s="2">
        <v>34673.699999999997</v>
      </c>
      <c r="GU17" s="2">
        <v>35333.160000000003</v>
      </c>
      <c r="GV17" s="2">
        <v>35382.870000000003</v>
      </c>
      <c r="GW17" s="2">
        <v>35789.5</v>
      </c>
      <c r="GX17" s="2">
        <v>35599.07</v>
      </c>
      <c r="GY17" s="2">
        <v>36021.370000000003</v>
      </c>
      <c r="GZ17" s="2">
        <v>36522.29</v>
      </c>
      <c r="HA17" s="2">
        <v>37630.239999999998</v>
      </c>
      <c r="HB17" s="3">
        <v>38131.93</v>
      </c>
      <c r="HC17" s="3">
        <v>38649.360000000001</v>
      </c>
      <c r="HD17" s="3">
        <v>39192.75</v>
      </c>
      <c r="HE17" s="3">
        <v>39769.300000000003</v>
      </c>
      <c r="HF17" s="3">
        <v>40325.089999999997</v>
      </c>
      <c r="HG17" s="3">
        <v>40876.46</v>
      </c>
      <c r="HH17" s="3">
        <v>41404.39</v>
      </c>
      <c r="HI17" s="3">
        <v>41932.519999999997</v>
      </c>
      <c r="HJ17" s="3">
        <v>42488.37</v>
      </c>
      <c r="HK17" s="3">
        <v>43075.82</v>
      </c>
      <c r="HL17" s="3">
        <v>43687.55</v>
      </c>
      <c r="HM17" s="3">
        <v>44331.95</v>
      </c>
      <c r="HN17" s="3">
        <v>44977.7</v>
      </c>
      <c r="HO17" s="3">
        <v>45622.13</v>
      </c>
      <c r="HP17" s="3">
        <v>46270.27</v>
      </c>
      <c r="HQ17" s="3">
        <v>46924</v>
      </c>
      <c r="HR17" s="3">
        <v>47588.62</v>
      </c>
      <c r="HS17" s="3">
        <v>48254.080000000002</v>
      </c>
      <c r="HT17" s="3">
        <v>48926.06</v>
      </c>
      <c r="HU17" s="3">
        <v>49607.41</v>
      </c>
      <c r="HV17" s="3">
        <v>50287.69</v>
      </c>
      <c r="HW17" s="3">
        <v>50967.839999999997</v>
      </c>
      <c r="HX17" s="3">
        <v>51648.52</v>
      </c>
      <c r="HY17" s="3">
        <v>52329.47</v>
      </c>
      <c r="HZ17" s="3">
        <v>53022.63</v>
      </c>
      <c r="IA17" s="3">
        <v>53725.26</v>
      </c>
      <c r="IB17" s="3">
        <v>54444.98</v>
      </c>
      <c r="IC17" s="3">
        <v>55177.9</v>
      </c>
      <c r="ID17" s="3">
        <v>55916.42</v>
      </c>
      <c r="IE17" s="3">
        <v>56660.9</v>
      </c>
      <c r="IF17" s="3">
        <v>57415.9</v>
      </c>
      <c r="IG17" s="3">
        <v>58176.72</v>
      </c>
      <c r="IH17" s="3">
        <v>58949.88</v>
      </c>
      <c r="II17" s="3">
        <v>59739.01</v>
      </c>
      <c r="IJ17" s="3">
        <v>60547.41</v>
      </c>
      <c r="IK17" s="3">
        <v>61369.8</v>
      </c>
      <c r="IL17" s="3">
        <v>62210.99</v>
      </c>
      <c r="IM17" s="3">
        <v>63073.31</v>
      </c>
      <c r="IN17" s="3">
        <v>63961.02</v>
      </c>
      <c r="IO17" s="3">
        <v>64869.3</v>
      </c>
      <c r="IP17" s="3">
        <v>65783.8</v>
      </c>
      <c r="IQ17" s="3">
        <v>66702.070000000007</v>
      </c>
      <c r="IR17" s="3">
        <v>67627.210000000006</v>
      </c>
      <c r="IS17" s="3">
        <v>68558.03</v>
      </c>
      <c r="IT17" s="3">
        <v>69493.48</v>
      </c>
      <c r="IU17" s="3">
        <v>70434.490000000005</v>
      </c>
      <c r="IV17" s="3">
        <v>71380.710000000006</v>
      </c>
      <c r="IW17" s="3">
        <v>72332.070000000007</v>
      </c>
      <c r="IX17" s="3">
        <v>73288.52</v>
      </c>
      <c r="IY17" s="3">
        <v>74250.02</v>
      </c>
      <c r="IZ17" s="3">
        <v>75216.490000000005</v>
      </c>
      <c r="JA17" s="3">
        <v>76187.89</v>
      </c>
      <c r="JB17" s="3">
        <v>77164.160000000003</v>
      </c>
      <c r="JC17" s="3">
        <v>78145.240000000005</v>
      </c>
      <c r="JD17" s="3">
        <v>79131.09</v>
      </c>
      <c r="JE17" s="3">
        <v>80121.59</v>
      </c>
      <c r="JF17" s="3">
        <v>81116.679999999993</v>
      </c>
      <c r="JG17" s="3">
        <v>82116.3</v>
      </c>
      <c r="JH17" s="3">
        <v>83120.399999999994</v>
      </c>
      <c r="JI17" s="3">
        <v>84128.88</v>
      </c>
      <c r="JJ17" s="3">
        <v>85141.68</v>
      </c>
      <c r="JK17" s="3">
        <v>86158.73</v>
      </c>
      <c r="JL17" s="3">
        <v>87179.98</v>
      </c>
      <c r="JM17" s="3">
        <v>88205.35</v>
      </c>
      <c r="JN17" s="3">
        <v>89234.78</v>
      </c>
      <c r="JO17" s="3">
        <v>90268.2</v>
      </c>
      <c r="JP17" s="3">
        <v>91305.53</v>
      </c>
      <c r="JQ17" s="3">
        <v>92346.72</v>
      </c>
      <c r="JR17" s="3">
        <v>93391.69</v>
      </c>
      <c r="JS17" s="3">
        <v>94440.37</v>
      </c>
      <c r="JT17" s="3">
        <v>95492.67</v>
      </c>
      <c r="JU17" s="3">
        <v>96548.52</v>
      </c>
      <c r="JV17" s="3">
        <v>97607.8</v>
      </c>
      <c r="JW17" s="3">
        <v>98670.45</v>
      </c>
      <c r="JX17" s="3">
        <v>99736.38</v>
      </c>
      <c r="JY17" s="3">
        <v>100805.5</v>
      </c>
      <c r="JZ17" s="3">
        <v>101877.8</v>
      </c>
      <c r="KA17" s="3">
        <v>102953</v>
      </c>
      <c r="KB17" s="3">
        <v>104031.3</v>
      </c>
      <c r="KC17" s="3">
        <v>105112.5</v>
      </c>
      <c r="KD17" s="3">
        <v>106196.6</v>
      </c>
      <c r="KE17" s="3">
        <v>107283.6</v>
      </c>
      <c r="KF17" s="3">
        <v>108373.3</v>
      </c>
      <c r="KG17" s="3">
        <v>109465.8</v>
      </c>
      <c r="KH17" s="3">
        <v>110560.9</v>
      </c>
      <c r="KI17" s="3">
        <v>111658.6</v>
      </c>
      <c r="KJ17" s="3">
        <v>112758.7</v>
      </c>
      <c r="KK17" s="3">
        <v>113861.3</v>
      </c>
      <c r="KL17" s="3">
        <v>114966.1</v>
      </c>
      <c r="KM17" s="3">
        <v>116073.2</v>
      </c>
      <c r="KN17" s="3">
        <v>117182.5</v>
      </c>
      <c r="KO17" s="3">
        <v>118293.8</v>
      </c>
      <c r="KP17" s="3">
        <v>119407.1</v>
      </c>
      <c r="KQ17" s="3">
        <v>120522.3</v>
      </c>
      <c r="KR17" s="3">
        <v>121639.3</v>
      </c>
      <c r="KS17" s="3">
        <v>122757.9</v>
      </c>
      <c r="KT17" s="3">
        <v>123878.2</v>
      </c>
      <c r="KU17" s="3">
        <v>125000</v>
      </c>
      <c r="KV17" s="3">
        <v>126123.1</v>
      </c>
      <c r="KW17" s="3">
        <v>127247.5</v>
      </c>
      <c r="KX17" s="3">
        <v>128373.1</v>
      </c>
      <c r="KY17" s="3">
        <v>129499.8</v>
      </c>
      <c r="KZ17" s="3">
        <v>130627.5</v>
      </c>
      <c r="LA17" s="3">
        <v>131756.1</v>
      </c>
      <c r="LB17" s="3">
        <v>132885.6</v>
      </c>
      <c r="LC17" s="3">
        <v>134015.6</v>
      </c>
      <c r="LD17" s="3">
        <v>135146.20000000001</v>
      </c>
      <c r="LE17" s="3">
        <v>136277.20000000001</v>
      </c>
      <c r="LF17" s="3">
        <v>137408.5</v>
      </c>
      <c r="LG17" s="3">
        <v>138539.79999999999</v>
      </c>
      <c r="LH17" s="3">
        <v>139671.1</v>
      </c>
      <c r="LI17" s="3">
        <v>140802.1</v>
      </c>
      <c r="LJ17" s="3">
        <v>141932.70000000001</v>
      </c>
      <c r="LK17" s="3">
        <v>143062.79999999999</v>
      </c>
      <c r="LL17" s="3">
        <v>144192.20000000001</v>
      </c>
      <c r="LM17" s="3">
        <v>145320.79999999999</v>
      </c>
      <c r="LN17" s="3">
        <v>146448.29999999999</v>
      </c>
      <c r="LO17" s="3">
        <v>147574.79999999999</v>
      </c>
      <c r="LP17" s="3">
        <v>148699.9</v>
      </c>
      <c r="LQ17" s="3">
        <v>149823.6</v>
      </c>
      <c r="LR17" s="3">
        <v>150945.70000000001</v>
      </c>
      <c r="LS17" s="3">
        <v>152066.1</v>
      </c>
      <c r="LT17" s="3">
        <v>153184.6</v>
      </c>
      <c r="LU17" s="3">
        <v>154301</v>
      </c>
      <c r="LV17" s="3">
        <v>155415.20000000001</v>
      </c>
      <c r="LW17" s="3">
        <v>156527.1</v>
      </c>
      <c r="LX17" s="3">
        <v>157636.29999999999</v>
      </c>
      <c r="LY17" s="3">
        <v>158742.9</v>
      </c>
      <c r="LZ17" s="3">
        <v>159846.70000000001</v>
      </c>
      <c r="MA17" s="3">
        <v>160947.5</v>
      </c>
      <c r="MB17" s="3">
        <v>162045.20000000001</v>
      </c>
      <c r="MC17" s="3">
        <v>163139.6</v>
      </c>
      <c r="MD17" s="3">
        <v>164230.70000000001</v>
      </c>
      <c r="ME17" s="3">
        <v>165318.29999999999</v>
      </c>
      <c r="MF17" s="3">
        <v>166402.20000000001</v>
      </c>
      <c r="MG17" s="3">
        <v>167482.20000000001</v>
      </c>
      <c r="MH17" s="3">
        <v>168558</v>
      </c>
      <c r="MI17" s="3">
        <v>169629.6</v>
      </c>
      <c r="MJ17" s="3">
        <v>170696.8</v>
      </c>
      <c r="MK17" s="3">
        <v>171759.3</v>
      </c>
      <c r="ML17" s="3">
        <v>172817</v>
      </c>
      <c r="MM17" s="3">
        <v>173869.8</v>
      </c>
      <c r="MN17" s="3">
        <v>174917.3</v>
      </c>
      <c r="MO17" s="3">
        <v>175959.5</v>
      </c>
      <c r="MP17" s="3">
        <v>176995.9</v>
      </c>
      <c r="MQ17" s="3">
        <v>178026.6</v>
      </c>
      <c r="MR17" s="3">
        <v>179051.2</v>
      </c>
      <c r="MS17" s="3">
        <v>180069.4</v>
      </c>
      <c r="MT17" s="3">
        <v>181081</v>
      </c>
      <c r="MU17" t="s">
        <v>451</v>
      </c>
      <c r="MV17" t="b">
        <v>0</v>
      </c>
      <c r="MW17" t="s">
        <v>377</v>
      </c>
      <c r="MX17" t="s">
        <v>377</v>
      </c>
      <c r="MY17">
        <v>2023</v>
      </c>
      <c r="MZ17">
        <v>3</v>
      </c>
      <c r="NA17" t="s">
        <v>377</v>
      </c>
      <c r="NB17" s="1" t="s">
        <v>452</v>
      </c>
      <c r="NC17" s="1" t="s">
        <v>453</v>
      </c>
      <c r="ND17" t="s">
        <v>389</v>
      </c>
      <c r="NE17" t="s">
        <v>450</v>
      </c>
      <c r="NF17" s="1" t="s">
        <v>872</v>
      </c>
    </row>
    <row r="18" spans="1:370" x14ac:dyDescent="0.25">
      <c r="A18" t="s">
        <v>390</v>
      </c>
      <c r="B18" t="s">
        <v>447</v>
      </c>
      <c r="C18" s="1" t="s">
        <v>871</v>
      </c>
      <c r="D18" t="s">
        <v>391</v>
      </c>
      <c r="E18" t="s">
        <v>384</v>
      </c>
      <c r="F18" t="s">
        <v>374</v>
      </c>
      <c r="G18" s="2">
        <v>15745</v>
      </c>
      <c r="H18" s="2">
        <v>16431</v>
      </c>
      <c r="I18" s="2">
        <v>17117</v>
      </c>
      <c r="J18" s="2">
        <v>17803</v>
      </c>
      <c r="K18" s="2">
        <v>17485</v>
      </c>
      <c r="L18" s="2">
        <v>17168</v>
      </c>
      <c r="M18" s="2">
        <v>16851</v>
      </c>
      <c r="N18" s="2">
        <v>16534</v>
      </c>
      <c r="O18" s="2">
        <v>19706</v>
      </c>
      <c r="P18" s="2">
        <v>22879</v>
      </c>
      <c r="Q18" s="2">
        <v>26051</v>
      </c>
      <c r="R18" s="2">
        <v>29223</v>
      </c>
      <c r="S18" s="2">
        <v>32939</v>
      </c>
      <c r="T18" s="2">
        <v>36655</v>
      </c>
      <c r="U18" s="2">
        <v>40371</v>
      </c>
      <c r="V18" s="2">
        <v>44086</v>
      </c>
      <c r="W18" s="2">
        <v>47796</v>
      </c>
      <c r="X18" s="2">
        <v>51506</v>
      </c>
      <c r="Y18" s="2">
        <v>55216</v>
      </c>
      <c r="Z18" s="2">
        <v>58926</v>
      </c>
      <c r="AA18" s="2">
        <v>64735</v>
      </c>
      <c r="AB18" s="2">
        <v>70544</v>
      </c>
      <c r="AC18" s="2">
        <v>76353</v>
      </c>
      <c r="AD18" s="2">
        <v>82162</v>
      </c>
      <c r="AE18" s="2">
        <v>86361</v>
      </c>
      <c r="AF18" s="2">
        <v>90559</v>
      </c>
      <c r="AG18" s="2">
        <v>94758</v>
      </c>
      <c r="AH18" s="2">
        <v>98956</v>
      </c>
      <c r="AI18" s="2">
        <v>103557</v>
      </c>
      <c r="AJ18" s="2">
        <v>108158</v>
      </c>
      <c r="AK18" s="2">
        <v>112759</v>
      </c>
      <c r="AL18" s="2">
        <v>117360</v>
      </c>
      <c r="AM18" s="2">
        <v>123388</v>
      </c>
      <c r="AN18" s="2">
        <v>129415</v>
      </c>
      <c r="AO18" s="2">
        <v>135443</v>
      </c>
      <c r="AP18" s="2">
        <v>141470</v>
      </c>
      <c r="AQ18" s="2">
        <v>147402</v>
      </c>
      <c r="AR18" s="2">
        <v>153333</v>
      </c>
      <c r="AS18" s="2">
        <v>159265</v>
      </c>
      <c r="AT18" s="2">
        <v>165196</v>
      </c>
      <c r="AU18" s="2">
        <v>171368</v>
      </c>
      <c r="AV18" s="2">
        <v>177540</v>
      </c>
      <c r="AW18" s="2">
        <v>183712</v>
      </c>
      <c r="AX18" s="2">
        <v>189884</v>
      </c>
      <c r="AY18" s="2">
        <v>194495</v>
      </c>
      <c r="AZ18" s="2">
        <v>199105</v>
      </c>
      <c r="BA18" s="2">
        <v>203716</v>
      </c>
      <c r="BB18" s="2">
        <v>208326</v>
      </c>
      <c r="BC18" s="2">
        <v>214134</v>
      </c>
      <c r="BD18" s="2">
        <v>219942</v>
      </c>
      <c r="BE18" s="2">
        <v>225749</v>
      </c>
      <c r="BF18" s="2">
        <v>231557</v>
      </c>
      <c r="BG18" s="2">
        <v>239226</v>
      </c>
      <c r="BH18" s="2">
        <v>246895</v>
      </c>
      <c r="BI18" s="2">
        <v>254563</v>
      </c>
      <c r="BJ18" s="2">
        <v>262232</v>
      </c>
      <c r="BK18" s="2">
        <v>266423</v>
      </c>
      <c r="BL18" s="2">
        <v>270614</v>
      </c>
      <c r="BM18" s="2">
        <v>274805</v>
      </c>
      <c r="BN18" s="2">
        <v>278995</v>
      </c>
      <c r="BO18" s="2">
        <v>280281</v>
      </c>
      <c r="BP18" s="2">
        <v>281567</v>
      </c>
      <c r="BQ18" s="2">
        <v>282853</v>
      </c>
      <c r="BR18" s="2">
        <v>284139</v>
      </c>
      <c r="BS18" s="2">
        <v>283190</v>
      </c>
      <c r="BT18" s="2">
        <v>282241</v>
      </c>
      <c r="BU18" s="2">
        <v>281292</v>
      </c>
      <c r="BV18" s="2">
        <v>280343</v>
      </c>
      <c r="BW18" s="2">
        <v>282795</v>
      </c>
      <c r="BX18" s="2">
        <v>285247</v>
      </c>
      <c r="BY18" s="2">
        <v>287699</v>
      </c>
      <c r="BZ18" s="2">
        <v>290151</v>
      </c>
      <c r="CA18" s="2">
        <v>293692</v>
      </c>
      <c r="CB18" s="2">
        <v>297233</v>
      </c>
      <c r="CC18" s="2">
        <v>300774</v>
      </c>
      <c r="CD18" s="2">
        <v>304315</v>
      </c>
      <c r="CE18" s="2">
        <v>311555</v>
      </c>
      <c r="CF18" s="2">
        <v>318796</v>
      </c>
      <c r="CG18" s="2">
        <v>326036</v>
      </c>
      <c r="CH18" s="2">
        <v>333277</v>
      </c>
      <c r="CI18" s="2">
        <v>341552</v>
      </c>
      <c r="CJ18" s="2">
        <v>349828</v>
      </c>
      <c r="CK18" s="2">
        <v>358103</v>
      </c>
      <c r="CL18" s="2">
        <v>366379</v>
      </c>
      <c r="CM18" s="2">
        <v>373799</v>
      </c>
      <c r="CN18" s="2">
        <v>381219</v>
      </c>
      <c r="CO18" s="2">
        <v>388639</v>
      </c>
      <c r="CP18" s="2">
        <v>396059</v>
      </c>
      <c r="CQ18" s="2">
        <v>407488</v>
      </c>
      <c r="CR18" s="2">
        <v>418918</v>
      </c>
      <c r="CS18" s="2">
        <v>430348</v>
      </c>
      <c r="CT18" s="2">
        <v>439647</v>
      </c>
      <c r="CU18" s="2">
        <v>451729</v>
      </c>
      <c r="CV18" s="2">
        <v>463810</v>
      </c>
      <c r="CW18" s="2">
        <v>475892</v>
      </c>
      <c r="CX18" s="2">
        <v>487974</v>
      </c>
      <c r="CY18" s="2">
        <v>501569</v>
      </c>
      <c r="CZ18" s="2">
        <v>515165</v>
      </c>
      <c r="DA18" s="2">
        <v>528760</v>
      </c>
      <c r="DB18" s="2">
        <v>542355</v>
      </c>
      <c r="DC18" s="2">
        <v>554316</v>
      </c>
      <c r="DD18" s="2">
        <v>566277</v>
      </c>
      <c r="DE18" s="2">
        <v>578237</v>
      </c>
      <c r="DF18" s="2">
        <v>590198</v>
      </c>
      <c r="DG18" s="2">
        <v>603250</v>
      </c>
      <c r="DH18" s="2">
        <v>616302</v>
      </c>
      <c r="DI18" s="2">
        <v>629354</v>
      </c>
      <c r="DJ18" s="2">
        <v>642406</v>
      </c>
      <c r="DK18" s="2">
        <v>656753</v>
      </c>
      <c r="DL18" s="2">
        <v>671100</v>
      </c>
      <c r="DM18" s="2">
        <v>685447</v>
      </c>
      <c r="DN18" s="2">
        <v>699794</v>
      </c>
      <c r="DO18" s="2">
        <v>705541</v>
      </c>
      <c r="DP18" s="2">
        <v>711287</v>
      </c>
      <c r="DQ18" s="2">
        <v>717033</v>
      </c>
      <c r="DR18" s="2">
        <v>722779</v>
      </c>
      <c r="DS18" s="2">
        <v>729839</v>
      </c>
      <c r="DT18" s="2">
        <v>736898</v>
      </c>
      <c r="DU18" s="2">
        <v>743957</v>
      </c>
      <c r="DV18" s="2">
        <v>751017</v>
      </c>
      <c r="DW18" s="2">
        <v>760904</v>
      </c>
      <c r="DX18" s="2">
        <v>770791</v>
      </c>
      <c r="DY18" s="2">
        <v>780677</v>
      </c>
      <c r="DZ18" s="2">
        <v>790564</v>
      </c>
      <c r="EA18" s="2">
        <v>797451</v>
      </c>
      <c r="EB18" s="2">
        <v>804337</v>
      </c>
      <c r="EC18" s="2">
        <v>811223</v>
      </c>
      <c r="ED18" s="2">
        <v>818109</v>
      </c>
      <c r="EE18" s="2">
        <v>819457</v>
      </c>
      <c r="EF18" s="2">
        <v>820804</v>
      </c>
      <c r="EG18" s="2">
        <v>822152</v>
      </c>
      <c r="EH18" s="2">
        <v>823499</v>
      </c>
      <c r="EI18" s="2">
        <v>822238</v>
      </c>
      <c r="EJ18" s="2">
        <v>820976</v>
      </c>
      <c r="EK18" s="2">
        <v>819715</v>
      </c>
      <c r="EL18" s="2">
        <v>818453</v>
      </c>
      <c r="EM18" s="2">
        <v>820110</v>
      </c>
      <c r="EN18" s="2">
        <v>821768</v>
      </c>
      <c r="EO18" s="2">
        <v>823425</v>
      </c>
      <c r="EP18" s="2">
        <v>825082</v>
      </c>
      <c r="EQ18" s="2">
        <v>828113</v>
      </c>
      <c r="ER18" s="2">
        <v>831144</v>
      </c>
      <c r="ES18" s="2">
        <v>834175</v>
      </c>
      <c r="ET18" s="2">
        <v>837205</v>
      </c>
      <c r="EU18" s="2">
        <v>847196</v>
      </c>
      <c r="EV18" s="2">
        <v>857187</v>
      </c>
      <c r="EW18" s="2">
        <v>867178</v>
      </c>
      <c r="EX18" s="2">
        <v>877169</v>
      </c>
      <c r="EY18" s="2">
        <v>887264</v>
      </c>
      <c r="EZ18" s="2">
        <v>897359</v>
      </c>
      <c r="FA18" s="2">
        <v>907454</v>
      </c>
      <c r="FB18" s="2">
        <v>917549</v>
      </c>
      <c r="FC18" s="2">
        <v>932267</v>
      </c>
      <c r="FD18" s="2">
        <v>946986</v>
      </c>
      <c r="FE18" s="2">
        <v>961704</v>
      </c>
      <c r="FF18" s="2">
        <v>976423</v>
      </c>
      <c r="FG18" s="2">
        <v>989356</v>
      </c>
      <c r="FH18" s="2">
        <v>1002289</v>
      </c>
      <c r="FI18" s="2">
        <v>1015222</v>
      </c>
      <c r="FJ18" s="2">
        <v>1028155</v>
      </c>
      <c r="FK18" s="2">
        <v>1036267</v>
      </c>
      <c r="FL18" s="2">
        <v>1044380</v>
      </c>
      <c r="FM18" s="2">
        <v>1052493</v>
      </c>
      <c r="FN18" s="2">
        <v>1060606</v>
      </c>
      <c r="FO18" s="2">
        <v>1074000</v>
      </c>
      <c r="FP18" s="2">
        <v>1087394</v>
      </c>
      <c r="FQ18" s="2">
        <v>1100788</v>
      </c>
      <c r="FR18" s="2">
        <v>1114183</v>
      </c>
      <c r="FS18" s="2">
        <v>1128395</v>
      </c>
      <c r="FT18" s="2">
        <v>1142607</v>
      </c>
      <c r="FU18" s="2">
        <v>1156819</v>
      </c>
      <c r="FV18" s="2">
        <v>1171031</v>
      </c>
      <c r="FW18" s="2">
        <v>1176061</v>
      </c>
      <c r="FX18" s="2">
        <v>1181092</v>
      </c>
      <c r="FY18" s="2">
        <v>1186122</v>
      </c>
      <c r="FZ18" s="2">
        <v>1191152</v>
      </c>
      <c r="GA18" s="2">
        <v>1195545</v>
      </c>
      <c r="GB18" s="2">
        <v>1199939</v>
      </c>
      <c r="GC18" s="2">
        <v>1204332</v>
      </c>
      <c r="GD18" s="2">
        <v>1208725</v>
      </c>
      <c r="GE18" s="2">
        <v>1215203</v>
      </c>
      <c r="GF18" s="2">
        <v>1221681</v>
      </c>
      <c r="GG18" s="2">
        <v>1228158</v>
      </c>
      <c r="GH18" s="2">
        <v>1234636</v>
      </c>
      <c r="GI18" s="2">
        <v>1238236</v>
      </c>
      <c r="GJ18" s="2">
        <v>1241837</v>
      </c>
      <c r="GK18" s="2">
        <v>1245437</v>
      </c>
      <c r="GL18" s="2">
        <v>1249037</v>
      </c>
      <c r="GM18" s="2">
        <v>1261188</v>
      </c>
      <c r="GN18" s="2">
        <v>1273338</v>
      </c>
      <c r="GO18" s="2">
        <v>1285488</v>
      </c>
      <c r="GP18" s="2">
        <v>1297639</v>
      </c>
      <c r="GQ18" s="2">
        <v>1306121</v>
      </c>
      <c r="GR18" s="2">
        <v>1314604</v>
      </c>
      <c r="GS18" s="2">
        <v>1323087</v>
      </c>
      <c r="GT18" s="2">
        <v>1331569</v>
      </c>
      <c r="GU18" s="2">
        <v>1335043</v>
      </c>
      <c r="GV18" s="2">
        <v>1338516</v>
      </c>
      <c r="GW18" s="2">
        <v>1341989</v>
      </c>
      <c r="GX18" s="2">
        <v>1345463</v>
      </c>
      <c r="GY18" s="2">
        <v>1344354</v>
      </c>
      <c r="GZ18" s="2">
        <v>1343245</v>
      </c>
      <c r="HA18" s="2">
        <v>1342136</v>
      </c>
      <c r="HB18" s="2">
        <v>1341028</v>
      </c>
      <c r="HC18" s="2">
        <v>1345504</v>
      </c>
      <c r="HD18" s="2">
        <v>1348366</v>
      </c>
      <c r="HE18" s="3">
        <v>1351116</v>
      </c>
      <c r="HF18" s="3">
        <v>1354171</v>
      </c>
      <c r="HG18" s="3">
        <v>1357818</v>
      </c>
      <c r="HH18" s="3">
        <v>1362229</v>
      </c>
      <c r="HI18" s="3">
        <v>1367330</v>
      </c>
      <c r="HJ18" s="3">
        <v>1372820</v>
      </c>
      <c r="HK18" s="3">
        <v>1378443</v>
      </c>
      <c r="HL18" s="3">
        <v>1384086</v>
      </c>
      <c r="HM18" s="3">
        <v>1389729</v>
      </c>
      <c r="HN18" s="3">
        <v>1395330</v>
      </c>
      <c r="HO18" s="3">
        <v>1400890</v>
      </c>
      <c r="HP18" s="3">
        <v>1406408</v>
      </c>
      <c r="HQ18" s="3">
        <v>1411885</v>
      </c>
      <c r="HR18" s="3">
        <v>1417320</v>
      </c>
      <c r="HS18" s="3">
        <v>1422714</v>
      </c>
      <c r="HT18" s="3">
        <v>1428066</v>
      </c>
      <c r="HU18" s="3">
        <v>1433376</v>
      </c>
      <c r="HV18" s="3">
        <v>1438645</v>
      </c>
      <c r="HW18" s="3">
        <v>1443872</v>
      </c>
      <c r="HX18" s="3">
        <v>1449057</v>
      </c>
      <c r="HY18" s="3">
        <v>1454201</v>
      </c>
      <c r="HZ18" s="3">
        <v>1459304</v>
      </c>
      <c r="IA18" s="3">
        <v>1464329</v>
      </c>
      <c r="IB18" s="3">
        <v>1469282</v>
      </c>
      <c r="IC18" s="3">
        <v>1474105</v>
      </c>
      <c r="ID18" s="3">
        <v>1478797</v>
      </c>
      <c r="IE18" s="3">
        <v>1483359</v>
      </c>
      <c r="IF18" s="3">
        <v>1487789</v>
      </c>
      <c r="IG18" s="3">
        <v>1492054</v>
      </c>
      <c r="IH18" s="3">
        <v>1496161</v>
      </c>
      <c r="II18" s="3">
        <v>1500076</v>
      </c>
      <c r="IJ18" s="3">
        <v>1503829</v>
      </c>
      <c r="IK18" s="3">
        <v>1507418</v>
      </c>
      <c r="IL18" s="3">
        <v>1510844</v>
      </c>
      <c r="IM18" s="3">
        <v>1514107</v>
      </c>
      <c r="IN18" s="3">
        <v>1517207</v>
      </c>
      <c r="IO18" s="3">
        <v>1520145</v>
      </c>
      <c r="IP18" s="3">
        <v>1522919</v>
      </c>
      <c r="IQ18" s="3">
        <v>1525496</v>
      </c>
      <c r="IR18" s="3">
        <v>1527876</v>
      </c>
      <c r="IS18" s="3">
        <v>1530076</v>
      </c>
      <c r="IT18" s="3">
        <v>1532122</v>
      </c>
      <c r="IU18" s="3">
        <v>1534043</v>
      </c>
      <c r="IV18" s="3">
        <v>1535868</v>
      </c>
      <c r="IW18" s="3">
        <v>1537620</v>
      </c>
      <c r="IX18" s="3">
        <v>1539304</v>
      </c>
      <c r="IY18" s="3">
        <v>1540994</v>
      </c>
      <c r="IZ18" s="3">
        <v>1542688</v>
      </c>
      <c r="JA18" s="3">
        <v>1544388</v>
      </c>
      <c r="JB18" s="3">
        <v>1546094</v>
      </c>
      <c r="JC18" s="3">
        <v>1547804</v>
      </c>
      <c r="JD18" s="3">
        <v>1549519</v>
      </c>
      <c r="JE18" s="3">
        <v>1551240</v>
      </c>
      <c r="JF18" s="3">
        <v>1552965</v>
      </c>
      <c r="JG18" s="3">
        <v>1554696</v>
      </c>
      <c r="JH18" s="3">
        <v>1556431</v>
      </c>
      <c r="JI18" s="3">
        <v>1558172</v>
      </c>
      <c r="JJ18" s="3">
        <v>1559918</v>
      </c>
      <c r="JK18" s="3">
        <v>1561669</v>
      </c>
      <c r="JL18" s="3">
        <v>1563425</v>
      </c>
      <c r="JM18" s="3">
        <v>1565187</v>
      </c>
      <c r="JN18" s="3">
        <v>1566953</v>
      </c>
      <c r="JO18" s="3">
        <v>1568724</v>
      </c>
      <c r="JP18" s="3">
        <v>1570501</v>
      </c>
      <c r="JQ18" s="3">
        <v>1572283</v>
      </c>
      <c r="JR18" s="3">
        <v>1574070</v>
      </c>
      <c r="JS18" s="3">
        <v>1575863</v>
      </c>
      <c r="JT18" s="3">
        <v>1577661</v>
      </c>
      <c r="JU18" s="3">
        <v>1579465</v>
      </c>
      <c r="JV18" s="3">
        <v>1581274</v>
      </c>
      <c r="JW18" s="3">
        <v>1583089</v>
      </c>
      <c r="JX18" s="3">
        <v>1584910</v>
      </c>
      <c r="JY18" s="3">
        <v>1586736</v>
      </c>
      <c r="JZ18" s="3">
        <v>1588568</v>
      </c>
      <c r="KA18" s="3">
        <v>1590406</v>
      </c>
      <c r="KB18" s="3">
        <v>1592250</v>
      </c>
      <c r="KC18" s="3">
        <v>1594100</v>
      </c>
      <c r="KD18" s="3">
        <v>1595955</v>
      </c>
      <c r="KE18" s="3">
        <v>1597817</v>
      </c>
      <c r="KF18" s="3">
        <v>1599685</v>
      </c>
      <c r="KG18" s="3">
        <v>1601559</v>
      </c>
      <c r="KH18" s="3">
        <v>1603439</v>
      </c>
      <c r="KI18" s="3">
        <v>1605326</v>
      </c>
      <c r="KJ18" s="3">
        <v>1607220</v>
      </c>
      <c r="KK18" s="3">
        <v>1609120</v>
      </c>
      <c r="KL18" s="3">
        <v>1611028</v>
      </c>
      <c r="KM18" s="3">
        <v>1612942</v>
      </c>
      <c r="KN18" s="3">
        <v>1614863</v>
      </c>
      <c r="KO18" s="3">
        <v>1616791</v>
      </c>
      <c r="KP18" s="3">
        <v>1618727</v>
      </c>
      <c r="KQ18" s="3">
        <v>1620670</v>
      </c>
      <c r="KR18" s="3">
        <v>1622620</v>
      </c>
      <c r="KS18" s="3">
        <v>1624578</v>
      </c>
      <c r="KT18" s="3">
        <v>1626544</v>
      </c>
      <c r="KU18" s="3">
        <v>1628517</v>
      </c>
      <c r="KV18" s="3">
        <v>1630498</v>
      </c>
      <c r="KW18" s="3">
        <v>1632486</v>
      </c>
      <c r="KX18" s="3">
        <v>1634482</v>
      </c>
      <c r="KY18" s="3">
        <v>1636486</v>
      </c>
      <c r="KZ18" s="3">
        <v>1638499</v>
      </c>
      <c r="LA18" s="3">
        <v>1640519</v>
      </c>
      <c r="LB18" s="3">
        <v>1642547</v>
      </c>
      <c r="LC18" s="3">
        <v>1644583</v>
      </c>
      <c r="LD18" s="3">
        <v>1646627</v>
      </c>
      <c r="LE18" s="3">
        <v>1648680</v>
      </c>
      <c r="LF18" s="3">
        <v>1650742</v>
      </c>
      <c r="LG18" s="3">
        <v>1652812</v>
      </c>
      <c r="LH18" s="3">
        <v>1654891</v>
      </c>
      <c r="LI18" s="3">
        <v>1656978</v>
      </c>
      <c r="LJ18" s="3">
        <v>1659075</v>
      </c>
      <c r="LK18" s="3">
        <v>1661180</v>
      </c>
      <c r="LL18" s="3">
        <v>1663295</v>
      </c>
      <c r="LM18" s="3">
        <v>1665419</v>
      </c>
      <c r="LN18" s="3">
        <v>1667552</v>
      </c>
      <c r="LO18" s="3">
        <v>1669695</v>
      </c>
      <c r="LP18" s="3">
        <v>1671847</v>
      </c>
      <c r="LQ18" s="3">
        <v>1674010</v>
      </c>
      <c r="LR18" s="3">
        <v>1676182</v>
      </c>
      <c r="LS18" s="3">
        <v>1678364</v>
      </c>
      <c r="LT18" s="3">
        <v>1680556</v>
      </c>
      <c r="LU18" s="3">
        <v>1682758</v>
      </c>
      <c r="LV18" s="3">
        <v>1684970</v>
      </c>
      <c r="LW18" s="3">
        <v>1687193</v>
      </c>
      <c r="LX18" s="3">
        <v>1689426</v>
      </c>
      <c r="LY18" s="3">
        <v>1691669</v>
      </c>
      <c r="LZ18" s="3">
        <v>1693923</v>
      </c>
      <c r="MA18" s="3">
        <v>1696188</v>
      </c>
      <c r="MB18" s="3">
        <v>1698463</v>
      </c>
      <c r="MC18" s="3">
        <v>1700750</v>
      </c>
      <c r="MD18" s="3">
        <v>1703047</v>
      </c>
      <c r="ME18" s="3">
        <v>1705355</v>
      </c>
      <c r="MF18" s="3">
        <v>1707675</v>
      </c>
      <c r="MG18" s="3">
        <v>1710005</v>
      </c>
      <c r="MH18" s="3">
        <v>1712347</v>
      </c>
      <c r="MI18" s="3">
        <v>1714700</v>
      </c>
      <c r="MJ18" s="3">
        <v>1717064</v>
      </c>
      <c r="MK18" s="3">
        <v>1719440</v>
      </c>
      <c r="ML18" s="3">
        <v>1721828</v>
      </c>
      <c r="MM18" s="3">
        <v>1724227</v>
      </c>
      <c r="MN18" s="3">
        <v>1726638</v>
      </c>
      <c r="MO18" s="3">
        <v>1729061</v>
      </c>
      <c r="MP18" s="3">
        <v>1731495</v>
      </c>
      <c r="MQ18" s="3">
        <v>1733942</v>
      </c>
      <c r="MR18" s="3">
        <v>1736400</v>
      </c>
      <c r="MS18" s="3">
        <v>1738870</v>
      </c>
      <c r="MT18" s="3">
        <v>1741352</v>
      </c>
      <c r="MU18" t="s">
        <v>454</v>
      </c>
      <c r="MV18" t="b">
        <v>0</v>
      </c>
      <c r="MW18" t="s">
        <v>377</v>
      </c>
      <c r="MX18" t="s">
        <v>377</v>
      </c>
      <c r="MY18">
        <v>2024</v>
      </c>
      <c r="MZ18">
        <v>2</v>
      </c>
      <c r="NA18" t="s">
        <v>377</v>
      </c>
      <c r="NB18" s="1" t="s">
        <v>455</v>
      </c>
      <c r="NC18" t="s">
        <v>456</v>
      </c>
      <c r="ND18" t="s">
        <v>395</v>
      </c>
      <c r="NE18" t="s">
        <v>450</v>
      </c>
      <c r="NF18" s="1" t="s">
        <v>872</v>
      </c>
    </row>
    <row r="19" spans="1:370" x14ac:dyDescent="0.25">
      <c r="A19" t="s">
        <v>396</v>
      </c>
      <c r="B19" t="s">
        <v>447</v>
      </c>
      <c r="C19" s="1" t="s">
        <v>871</v>
      </c>
      <c r="D19" t="s">
        <v>397</v>
      </c>
      <c r="E19" t="s">
        <v>384</v>
      </c>
      <c r="F19" t="s">
        <v>374</v>
      </c>
      <c r="G19" s="2">
        <v>81.432329999999993</v>
      </c>
      <c r="H19" s="2">
        <v>83.725650000000002</v>
      </c>
      <c r="I19" s="2">
        <v>86.269949999999994</v>
      </c>
      <c r="J19" s="2">
        <v>89.06523</v>
      </c>
      <c r="K19" s="2">
        <v>90.068200000000004</v>
      </c>
      <c r="L19" s="2">
        <v>91.012050000000002</v>
      </c>
      <c r="M19" s="2">
        <v>96.378649999999993</v>
      </c>
      <c r="N19" s="2">
        <v>106.16800000000001</v>
      </c>
      <c r="O19" s="2">
        <v>116.9717</v>
      </c>
      <c r="P19" s="2">
        <v>125.9576</v>
      </c>
      <c r="Q19" s="2">
        <v>132.54900000000001</v>
      </c>
      <c r="R19" s="2">
        <v>136.74610000000001</v>
      </c>
      <c r="S19" s="2">
        <v>141.3073</v>
      </c>
      <c r="T19" s="2">
        <v>146.83099999999999</v>
      </c>
      <c r="U19" s="2">
        <v>151.40020000000001</v>
      </c>
      <c r="V19" s="2">
        <v>155.01509999999999</v>
      </c>
      <c r="W19" s="2">
        <v>158.1867</v>
      </c>
      <c r="X19" s="2">
        <v>161.756</v>
      </c>
      <c r="Y19" s="2">
        <v>166.3947</v>
      </c>
      <c r="Z19" s="2">
        <v>172.10300000000001</v>
      </c>
      <c r="AA19" s="2">
        <v>177.74619999999999</v>
      </c>
      <c r="AB19" s="2">
        <v>182.9573</v>
      </c>
      <c r="AC19" s="2">
        <v>188.35390000000001</v>
      </c>
      <c r="AD19" s="2">
        <v>193.93610000000001</v>
      </c>
      <c r="AE19" s="2">
        <v>199.05869999999999</v>
      </c>
      <c r="AF19" s="2">
        <v>204.11709999999999</v>
      </c>
      <c r="AG19" s="2">
        <v>210.31229999999999</v>
      </c>
      <c r="AH19" s="2">
        <v>217.64449999999999</v>
      </c>
      <c r="AI19" s="2">
        <v>224.0462</v>
      </c>
      <c r="AJ19" s="2">
        <v>230.00909999999999</v>
      </c>
      <c r="AK19" s="2">
        <v>238.29169999999999</v>
      </c>
      <c r="AL19" s="2">
        <v>248.89420000000001</v>
      </c>
      <c r="AM19" s="2">
        <v>259.83460000000002</v>
      </c>
      <c r="AN19" s="2">
        <v>269.82600000000002</v>
      </c>
      <c r="AO19" s="2">
        <v>279.04020000000003</v>
      </c>
      <c r="AP19" s="2">
        <v>287.47710000000001</v>
      </c>
      <c r="AQ19" s="2">
        <v>296.40010000000001</v>
      </c>
      <c r="AR19" s="2">
        <v>305.6268</v>
      </c>
      <c r="AS19" s="2">
        <v>313.637</v>
      </c>
      <c r="AT19" s="2">
        <v>320.43079999999998</v>
      </c>
      <c r="AU19" s="2">
        <v>327.721</v>
      </c>
      <c r="AV19" s="2">
        <v>335.49290000000002</v>
      </c>
      <c r="AW19" s="2">
        <v>342.01209999999998</v>
      </c>
      <c r="AX19" s="2">
        <v>347.27859999999998</v>
      </c>
      <c r="AY19" s="2">
        <v>352.6694</v>
      </c>
      <c r="AZ19" s="2">
        <v>358.5652</v>
      </c>
      <c r="BA19" s="2">
        <v>364.12509999999997</v>
      </c>
      <c r="BB19" s="2">
        <v>369.34899999999999</v>
      </c>
      <c r="BC19" s="2">
        <v>374.64330000000001</v>
      </c>
      <c r="BD19" s="2">
        <v>380.07220000000001</v>
      </c>
      <c r="BE19" s="2">
        <v>385.31950000000001</v>
      </c>
      <c r="BF19" s="2">
        <v>390.3852</v>
      </c>
      <c r="BG19" s="2">
        <v>395.14929999999998</v>
      </c>
      <c r="BH19" s="2">
        <v>399.99419999999998</v>
      </c>
      <c r="BI19" s="2">
        <v>405.57810000000001</v>
      </c>
      <c r="BJ19" s="2">
        <v>411.90100000000001</v>
      </c>
      <c r="BK19" s="2">
        <v>417.96230000000003</v>
      </c>
      <c r="BL19" s="2">
        <v>423.73009999999999</v>
      </c>
      <c r="BM19" s="2">
        <v>430.16019999999997</v>
      </c>
      <c r="BN19" s="2">
        <v>437.25279999999998</v>
      </c>
      <c r="BO19" s="2">
        <v>445.55630000000002</v>
      </c>
      <c r="BP19" s="2">
        <v>453.56229999999999</v>
      </c>
      <c r="BQ19" s="2">
        <v>458.6001</v>
      </c>
      <c r="BR19" s="2">
        <v>460.66950000000003</v>
      </c>
      <c r="BS19" s="2">
        <v>458.53609999999998</v>
      </c>
      <c r="BT19" s="2">
        <v>457.70650000000001</v>
      </c>
      <c r="BU19" s="2">
        <v>467.1635</v>
      </c>
      <c r="BV19" s="2">
        <v>486.90699999999998</v>
      </c>
      <c r="BW19" s="2">
        <v>506.95280000000002</v>
      </c>
      <c r="BX19" s="2">
        <v>522.81960000000004</v>
      </c>
      <c r="BY19" s="2">
        <v>538.18619999999999</v>
      </c>
      <c r="BZ19" s="2">
        <v>553.05280000000005</v>
      </c>
      <c r="CA19" s="2">
        <v>565.79079999999999</v>
      </c>
      <c r="CB19" s="2">
        <v>578.78229999999996</v>
      </c>
      <c r="CC19" s="2">
        <v>597.00729999999999</v>
      </c>
      <c r="CD19" s="2">
        <v>620.46579999999994</v>
      </c>
      <c r="CE19" s="2">
        <v>644.2482</v>
      </c>
      <c r="CF19" s="2">
        <v>665.90039999999999</v>
      </c>
      <c r="CG19" s="2">
        <v>686.87900000000002</v>
      </c>
      <c r="CH19" s="2">
        <v>707.18399999999997</v>
      </c>
      <c r="CI19" s="2">
        <v>727.92790000000002</v>
      </c>
      <c r="CJ19" s="2">
        <v>748.93439999999998</v>
      </c>
      <c r="CK19" s="2">
        <v>768.84360000000004</v>
      </c>
      <c r="CL19" s="2">
        <v>787.65530000000001</v>
      </c>
      <c r="CM19" s="2">
        <v>798.7989</v>
      </c>
      <c r="CN19" s="2">
        <v>810.57010000000002</v>
      </c>
      <c r="CO19" s="2">
        <v>841.21180000000004</v>
      </c>
      <c r="CP19" s="2">
        <v>890.72389999999996</v>
      </c>
      <c r="CQ19" s="2">
        <v>949.23059999999998</v>
      </c>
      <c r="CR19" s="2">
        <v>999.86990000000003</v>
      </c>
      <c r="CS19" s="2">
        <v>1028.7929999999999</v>
      </c>
      <c r="CT19" s="2">
        <v>1036.001</v>
      </c>
      <c r="CU19" s="2">
        <v>1044.2170000000001</v>
      </c>
      <c r="CV19" s="2">
        <v>1061.2170000000001</v>
      </c>
      <c r="CW19" s="2">
        <v>1075.213</v>
      </c>
      <c r="CX19" s="2">
        <v>1086.2059999999999</v>
      </c>
      <c r="CY19" s="2">
        <v>1098.5340000000001</v>
      </c>
      <c r="CZ19" s="2">
        <v>1112.049</v>
      </c>
      <c r="DA19" s="2">
        <v>1122.2</v>
      </c>
      <c r="DB19" s="2">
        <v>1128.9860000000001</v>
      </c>
      <c r="DC19" s="2">
        <v>1135.6410000000001</v>
      </c>
      <c r="DD19" s="2">
        <v>1143.664</v>
      </c>
      <c r="DE19" s="2">
        <v>1151.93</v>
      </c>
      <c r="DF19" s="2">
        <v>1160.441</v>
      </c>
      <c r="DG19" s="2">
        <v>1170.8430000000001</v>
      </c>
      <c r="DH19" s="2">
        <v>1181.1010000000001</v>
      </c>
      <c r="DI19" s="2">
        <v>1186.704</v>
      </c>
      <c r="DJ19" s="2">
        <v>1187.6510000000001</v>
      </c>
      <c r="DK19" s="2">
        <v>1188.45</v>
      </c>
      <c r="DL19" s="2">
        <v>1191.1400000000001</v>
      </c>
      <c r="DM19" s="2">
        <v>1194.086</v>
      </c>
      <c r="DN19" s="2">
        <v>1197.2860000000001</v>
      </c>
      <c r="DO19" s="2">
        <v>1197.08</v>
      </c>
      <c r="DP19" s="2">
        <v>1196.8530000000001</v>
      </c>
      <c r="DQ19" s="2">
        <v>1205.0229999999999</v>
      </c>
      <c r="DR19" s="2">
        <v>1221.5889999999999</v>
      </c>
      <c r="DS19" s="2">
        <v>1236.029</v>
      </c>
      <c r="DT19" s="2">
        <v>1247.114</v>
      </c>
      <c r="DU19" s="2">
        <v>1263.6400000000001</v>
      </c>
      <c r="DV19" s="2">
        <v>1285.606</v>
      </c>
      <c r="DW19" s="2">
        <v>1308.3219999999999</v>
      </c>
      <c r="DX19" s="2">
        <v>1328.8140000000001</v>
      </c>
      <c r="DY19" s="2">
        <v>1347.588</v>
      </c>
      <c r="DZ19" s="2">
        <v>1364.643</v>
      </c>
      <c r="EA19" s="2">
        <v>1382.6690000000001</v>
      </c>
      <c r="EB19" s="2">
        <v>1401.3679999999999</v>
      </c>
      <c r="EC19" s="2">
        <v>1417.636</v>
      </c>
      <c r="ED19" s="2">
        <v>1431.4739999999999</v>
      </c>
      <c r="EE19" s="2">
        <v>1445.6669999999999</v>
      </c>
      <c r="EF19" s="2">
        <v>1460.8389999999999</v>
      </c>
      <c r="EG19" s="2">
        <v>1475.0740000000001</v>
      </c>
      <c r="EH19" s="2">
        <v>1488.3720000000001</v>
      </c>
      <c r="EI19" s="2">
        <v>1505.674</v>
      </c>
      <c r="EJ19" s="2">
        <v>1523.261</v>
      </c>
      <c r="EK19" s="2">
        <v>1530.9590000000001</v>
      </c>
      <c r="EL19" s="2">
        <v>1528.7670000000001</v>
      </c>
      <c r="EM19" s="2">
        <v>1524.9490000000001</v>
      </c>
      <c r="EN19" s="2">
        <v>1525.18</v>
      </c>
      <c r="EO19" s="2">
        <v>1529.183</v>
      </c>
      <c r="EP19" s="2">
        <v>1536.96</v>
      </c>
      <c r="EQ19" s="2">
        <v>1537.2449999999999</v>
      </c>
      <c r="ER19" s="2">
        <v>1536.1780000000001</v>
      </c>
      <c r="ES19" s="2">
        <v>1553.6610000000001</v>
      </c>
      <c r="ET19" s="2">
        <v>1589.694</v>
      </c>
      <c r="EU19" s="2">
        <v>1609.29</v>
      </c>
      <c r="EV19" s="2">
        <v>1621.7550000000001</v>
      </c>
      <c r="EW19" s="2">
        <v>1675.165</v>
      </c>
      <c r="EX19" s="2">
        <v>1769.5219999999999</v>
      </c>
      <c r="EY19" s="2">
        <v>1889.3889999999999</v>
      </c>
      <c r="EZ19" s="2">
        <v>1992.0429999999999</v>
      </c>
      <c r="FA19" s="2">
        <v>2032.806</v>
      </c>
      <c r="FB19" s="2">
        <v>2011.6769999999999</v>
      </c>
      <c r="FC19" s="2">
        <v>2015.117</v>
      </c>
      <c r="FD19" s="2">
        <v>2018.557</v>
      </c>
      <c r="FE19" s="2">
        <v>2021.998</v>
      </c>
      <c r="FF19" s="2">
        <v>2025.4380000000001</v>
      </c>
      <c r="FG19" s="2">
        <v>2036.1510000000001</v>
      </c>
      <c r="FH19" s="2">
        <v>2046.864</v>
      </c>
      <c r="FI19" s="2">
        <v>2057.576</v>
      </c>
      <c r="FJ19" s="2">
        <v>2068.2890000000002</v>
      </c>
      <c r="FK19" s="2">
        <v>2062.0529999999999</v>
      </c>
      <c r="FL19" s="2">
        <v>2055.8159999999998</v>
      </c>
      <c r="FM19" s="2">
        <v>2049.58</v>
      </c>
      <c r="FN19" s="2">
        <v>2043.3440000000001</v>
      </c>
      <c r="FO19" s="2">
        <v>2043.4880000000001</v>
      </c>
      <c r="FP19" s="2">
        <v>2043.6310000000001</v>
      </c>
      <c r="FQ19" s="2">
        <v>2043.7750000000001</v>
      </c>
      <c r="FR19" s="2">
        <v>2043.9179999999999</v>
      </c>
      <c r="FS19" s="2">
        <v>2038.115</v>
      </c>
      <c r="FT19" s="2">
        <v>2032.3109999999999</v>
      </c>
      <c r="FU19" s="2">
        <v>2026.5070000000001</v>
      </c>
      <c r="FV19" s="2">
        <v>2020.704</v>
      </c>
      <c r="FW19" s="2">
        <v>2033.8140000000001</v>
      </c>
      <c r="FX19" s="2">
        <v>2037.58</v>
      </c>
      <c r="FY19" s="2">
        <v>2031.3389999999999</v>
      </c>
      <c r="FZ19" s="2">
        <v>2006.8130000000001</v>
      </c>
      <c r="GA19" s="2">
        <v>1988.9159999999999</v>
      </c>
      <c r="GB19" s="2">
        <v>1980.96</v>
      </c>
      <c r="GC19" s="2">
        <v>1974.8779999999999</v>
      </c>
      <c r="GD19" s="2">
        <v>1967.2650000000001</v>
      </c>
      <c r="GE19" s="2">
        <v>1949.1880000000001</v>
      </c>
      <c r="GF19" s="2">
        <v>1934.5329999999999</v>
      </c>
      <c r="GG19" s="2">
        <v>1928.616</v>
      </c>
      <c r="GH19" s="2">
        <v>1914.05</v>
      </c>
      <c r="GI19" s="2">
        <v>1927.098</v>
      </c>
      <c r="GJ19" s="2">
        <v>1919.165</v>
      </c>
      <c r="GK19" s="2">
        <v>1930.3520000000001</v>
      </c>
      <c r="GL19" s="2">
        <v>1899.1679999999999</v>
      </c>
      <c r="GM19" s="2">
        <v>1955.3789999999999</v>
      </c>
      <c r="GN19" s="2">
        <v>2109.1889999999999</v>
      </c>
      <c r="GO19" s="2">
        <v>2194.433</v>
      </c>
      <c r="GP19" s="2">
        <v>2171.7979999999998</v>
      </c>
      <c r="GQ19" s="2">
        <v>2205.4929999999999</v>
      </c>
      <c r="GR19" s="2">
        <v>2251.8429999999998</v>
      </c>
      <c r="GS19" s="2">
        <v>2284.049</v>
      </c>
      <c r="GT19" s="2">
        <v>2319.9110000000001</v>
      </c>
      <c r="GU19" s="2">
        <v>2319.009</v>
      </c>
      <c r="GV19" s="2">
        <v>2343.9650000000001</v>
      </c>
      <c r="GW19" s="2">
        <v>2325.357</v>
      </c>
      <c r="GX19" s="2">
        <v>2367.6869999999999</v>
      </c>
      <c r="GY19" s="2">
        <v>2406.6489999999999</v>
      </c>
      <c r="GZ19" s="2">
        <v>2417.4929999999999</v>
      </c>
      <c r="HA19" s="2">
        <v>2453.788</v>
      </c>
      <c r="HB19" s="2">
        <v>2445.6909999999998</v>
      </c>
      <c r="HC19" s="2">
        <v>2461.471</v>
      </c>
      <c r="HD19" s="2">
        <v>2460.0700000000002</v>
      </c>
      <c r="HE19" s="2">
        <v>2488.5479999999998</v>
      </c>
      <c r="HF19" s="2">
        <v>2508.9850000000001</v>
      </c>
      <c r="HG19" s="2">
        <v>2523.308</v>
      </c>
      <c r="HH19" s="3">
        <v>2545.953</v>
      </c>
      <c r="HI19" s="3">
        <v>2569.8449999999998</v>
      </c>
      <c r="HJ19" s="3">
        <v>2594.9630000000002</v>
      </c>
      <c r="HK19" s="3">
        <v>2621.9769999999999</v>
      </c>
      <c r="HL19" s="3">
        <v>2650.9470000000001</v>
      </c>
      <c r="HM19" s="3">
        <v>2681.24</v>
      </c>
      <c r="HN19" s="3">
        <v>2712.9879999999998</v>
      </c>
      <c r="HO19" s="3">
        <v>2746.123</v>
      </c>
      <c r="HP19" s="3">
        <v>2780.482</v>
      </c>
      <c r="HQ19" s="3">
        <v>2815.9609999999998</v>
      </c>
      <c r="HR19" s="3">
        <v>2852.5219999999999</v>
      </c>
      <c r="HS19" s="3">
        <v>2890.4520000000002</v>
      </c>
      <c r="HT19" s="3">
        <v>2930.29</v>
      </c>
      <c r="HU19" s="3">
        <v>2972.13</v>
      </c>
      <c r="HV19" s="3">
        <v>3015.6260000000002</v>
      </c>
      <c r="HW19" s="3">
        <v>3060.5369999999998</v>
      </c>
      <c r="HX19" s="3">
        <v>3106.43</v>
      </c>
      <c r="HY19" s="3">
        <v>3152.74</v>
      </c>
      <c r="HZ19" s="3">
        <v>3198.57</v>
      </c>
      <c r="IA19" s="3">
        <v>3244.058</v>
      </c>
      <c r="IB19" s="3">
        <v>3288.7829999999999</v>
      </c>
      <c r="IC19" s="3">
        <v>3332.4780000000001</v>
      </c>
      <c r="ID19" s="3">
        <v>3375.0909999999999</v>
      </c>
      <c r="IE19" s="3">
        <v>3416.623</v>
      </c>
      <c r="IF19" s="3">
        <v>3456.857</v>
      </c>
      <c r="IG19" s="3">
        <v>3495.72</v>
      </c>
      <c r="IH19" s="3">
        <v>3533.3980000000001</v>
      </c>
      <c r="II19" s="3">
        <v>3569.9630000000002</v>
      </c>
      <c r="IJ19" s="3">
        <v>3605.4580000000001</v>
      </c>
      <c r="IK19" s="3">
        <v>3640.078</v>
      </c>
      <c r="IL19" s="3">
        <v>3673.8119999999999</v>
      </c>
      <c r="IM19" s="3">
        <v>3706.5720000000001</v>
      </c>
      <c r="IN19" s="3">
        <v>3738.27</v>
      </c>
      <c r="IO19" s="3">
        <v>3768.74</v>
      </c>
      <c r="IP19" s="3">
        <v>3797.904</v>
      </c>
      <c r="IQ19" s="3">
        <v>3825.7440000000001</v>
      </c>
      <c r="IR19" s="3">
        <v>3852.3159999999998</v>
      </c>
      <c r="IS19" s="3">
        <v>3877.6439999999998</v>
      </c>
      <c r="IT19" s="3">
        <v>3901.9380000000001</v>
      </c>
      <c r="IU19" s="3">
        <v>3925.5140000000001</v>
      </c>
      <c r="IV19" s="3">
        <v>3948.5610000000001</v>
      </c>
      <c r="IW19" s="3">
        <v>3971.268</v>
      </c>
      <c r="IX19" s="3">
        <v>3993.8560000000002</v>
      </c>
      <c r="IY19" s="3">
        <v>4016.6030000000001</v>
      </c>
      <c r="IZ19" s="3">
        <v>4039.509</v>
      </c>
      <c r="JA19" s="3">
        <v>4062.5749999999998</v>
      </c>
      <c r="JB19" s="3">
        <v>4085.8020000000001</v>
      </c>
      <c r="JC19" s="3">
        <v>4109.192</v>
      </c>
      <c r="JD19" s="3">
        <v>4132.7460000000001</v>
      </c>
      <c r="JE19" s="3">
        <v>4156.4660000000003</v>
      </c>
      <c r="JF19" s="3">
        <v>4180.3519999999999</v>
      </c>
      <c r="JG19" s="3">
        <v>4204.4030000000002</v>
      </c>
      <c r="JH19" s="3">
        <v>4228.6229999999996</v>
      </c>
      <c r="JI19" s="3">
        <v>4253.01</v>
      </c>
      <c r="JJ19" s="3">
        <v>4277.5659999999998</v>
      </c>
      <c r="JK19" s="3">
        <v>4302.2979999999998</v>
      </c>
      <c r="JL19" s="3">
        <v>4327.2070000000003</v>
      </c>
      <c r="JM19" s="3">
        <v>4352.2929999999997</v>
      </c>
      <c r="JN19" s="3">
        <v>4377.5559999999996</v>
      </c>
      <c r="JO19" s="3">
        <v>4403.0020000000004</v>
      </c>
      <c r="JP19" s="3">
        <v>4428.6329999999998</v>
      </c>
      <c r="JQ19" s="3">
        <v>4454.451</v>
      </c>
      <c r="JR19" s="3">
        <v>4480.4560000000001</v>
      </c>
      <c r="JS19" s="3">
        <v>4506.6490000000003</v>
      </c>
      <c r="JT19" s="3">
        <v>4533.0339999999997</v>
      </c>
      <c r="JU19" s="3">
        <v>4559.6090000000004</v>
      </c>
      <c r="JV19" s="3">
        <v>4586.3779999999997</v>
      </c>
      <c r="JW19" s="3">
        <v>4613.3419999999996</v>
      </c>
      <c r="JX19" s="3">
        <v>4640.5029999999997</v>
      </c>
      <c r="JY19" s="3">
        <v>4667.8620000000001</v>
      </c>
      <c r="JZ19" s="3">
        <v>4695.42</v>
      </c>
      <c r="KA19" s="3">
        <v>4723.1760000000004</v>
      </c>
      <c r="KB19" s="3">
        <v>4751.1319999999996</v>
      </c>
      <c r="KC19" s="3">
        <v>4779.2889999999998</v>
      </c>
      <c r="KD19" s="3">
        <v>4807.6480000000001</v>
      </c>
      <c r="KE19" s="3">
        <v>4836.2079999999996</v>
      </c>
      <c r="KF19" s="3">
        <v>4864.9719999999998</v>
      </c>
      <c r="KG19" s="3">
        <v>4893.9380000000001</v>
      </c>
      <c r="KH19" s="3">
        <v>4923.1109999999999</v>
      </c>
      <c r="KI19" s="3">
        <v>4952.4880000000003</v>
      </c>
      <c r="KJ19" s="3">
        <v>4982.07</v>
      </c>
      <c r="KK19" s="3">
        <v>5011.8599999999997</v>
      </c>
      <c r="KL19" s="3">
        <v>5041.8590000000004</v>
      </c>
      <c r="KM19" s="3">
        <v>5072.067</v>
      </c>
      <c r="KN19" s="3">
        <v>5102.4840000000004</v>
      </c>
      <c r="KO19" s="3">
        <v>5133.1109999999999</v>
      </c>
      <c r="KP19" s="3">
        <v>5163.951</v>
      </c>
      <c r="KQ19" s="3">
        <v>5194.9989999999998</v>
      </c>
      <c r="KR19" s="3">
        <v>5226.2560000000003</v>
      </c>
      <c r="KS19" s="3">
        <v>5257.7240000000002</v>
      </c>
      <c r="KT19" s="3">
        <v>5289.402</v>
      </c>
      <c r="KU19" s="3">
        <v>5321.2929999999997</v>
      </c>
      <c r="KV19" s="3">
        <v>5353.3980000000001</v>
      </c>
      <c r="KW19" s="3">
        <v>5385.7190000000001</v>
      </c>
      <c r="KX19" s="3">
        <v>5418.2550000000001</v>
      </c>
      <c r="KY19" s="3">
        <v>5451.0069999999996</v>
      </c>
      <c r="KZ19" s="3">
        <v>5483.9759999999997</v>
      </c>
      <c r="LA19" s="3">
        <v>5517.1629999999996</v>
      </c>
      <c r="LB19" s="3">
        <v>5550.5690000000004</v>
      </c>
      <c r="LC19" s="3">
        <v>5584.1980000000003</v>
      </c>
      <c r="LD19" s="3">
        <v>5618.05</v>
      </c>
      <c r="LE19" s="3">
        <v>5652.1270000000004</v>
      </c>
      <c r="LF19" s="3">
        <v>5686.4309999999996</v>
      </c>
      <c r="LG19" s="3">
        <v>5720.9610000000002</v>
      </c>
      <c r="LH19" s="3">
        <v>5755.7190000000001</v>
      </c>
      <c r="LI19" s="3">
        <v>5790.7070000000003</v>
      </c>
      <c r="LJ19" s="3">
        <v>5825.9229999999998</v>
      </c>
      <c r="LK19" s="3">
        <v>5861.3680000000004</v>
      </c>
      <c r="LL19" s="3">
        <v>5897.0429999999997</v>
      </c>
      <c r="LM19" s="3">
        <v>5932.9489999999996</v>
      </c>
      <c r="LN19" s="3">
        <v>5969.0889999999999</v>
      </c>
      <c r="LO19" s="3">
        <v>6005.4579999999996</v>
      </c>
      <c r="LP19" s="3">
        <v>6042.0590000000002</v>
      </c>
      <c r="LQ19" s="3">
        <v>6078.8919999999998</v>
      </c>
      <c r="LR19" s="3">
        <v>6115.9579999999996</v>
      </c>
      <c r="LS19" s="3">
        <v>6153.2579999999998</v>
      </c>
      <c r="LT19" s="3">
        <v>6190.7910000000002</v>
      </c>
      <c r="LU19" s="3">
        <v>6228.56</v>
      </c>
      <c r="LV19" s="3">
        <v>6266.5649999999996</v>
      </c>
      <c r="LW19" s="3">
        <v>6304.8040000000001</v>
      </c>
      <c r="LX19" s="3">
        <v>6343.28</v>
      </c>
      <c r="LY19" s="3">
        <v>6381.9930000000004</v>
      </c>
      <c r="LZ19" s="3">
        <v>6420.9440000000004</v>
      </c>
      <c r="MA19" s="3">
        <v>6460.14</v>
      </c>
      <c r="MB19" s="3">
        <v>6499.5789999999997</v>
      </c>
      <c r="MC19" s="3">
        <v>6539.2640000000001</v>
      </c>
      <c r="MD19" s="3">
        <v>6579.1949999999997</v>
      </c>
      <c r="ME19" s="3">
        <v>6619.3739999999998</v>
      </c>
      <c r="MF19" s="3">
        <v>6659.8010000000004</v>
      </c>
      <c r="MG19" s="3">
        <v>6700.4780000000001</v>
      </c>
      <c r="MH19" s="3">
        <v>6741.4040000000005</v>
      </c>
      <c r="MI19" s="3">
        <v>6782.5950000000003</v>
      </c>
      <c r="MJ19" s="3">
        <v>6824.0510000000004</v>
      </c>
      <c r="MK19" s="3">
        <v>6865.7749999999996</v>
      </c>
      <c r="ML19" s="3">
        <v>6907.768</v>
      </c>
      <c r="MM19" s="3">
        <v>6950.0330000000004</v>
      </c>
      <c r="MN19" s="3">
        <v>6992.5739999999996</v>
      </c>
      <c r="MO19" s="3">
        <v>7035.3919999999998</v>
      </c>
      <c r="MP19" s="3">
        <v>7078.4880000000003</v>
      </c>
      <c r="MQ19" s="3">
        <v>7121.8670000000002</v>
      </c>
      <c r="MR19" s="3">
        <v>7165.53</v>
      </c>
      <c r="MS19" s="3">
        <v>7209.48</v>
      </c>
      <c r="MT19" s="3">
        <v>7253.72</v>
      </c>
      <c r="MU19" t="s">
        <v>398</v>
      </c>
      <c r="MV19" t="b">
        <v>0</v>
      </c>
      <c r="MW19" t="s">
        <v>377</v>
      </c>
      <c r="MX19" t="s">
        <v>377</v>
      </c>
      <c r="MY19">
        <v>2025</v>
      </c>
      <c r="MZ19">
        <v>1</v>
      </c>
      <c r="NA19" t="s">
        <v>377</v>
      </c>
      <c r="NB19" s="1" t="s">
        <v>457</v>
      </c>
      <c r="NC19" s="1" t="s">
        <v>458</v>
      </c>
      <c r="ND19" t="s">
        <v>402</v>
      </c>
      <c r="NE19" t="s">
        <v>450</v>
      </c>
      <c r="NF19" s="1" t="s">
        <v>872</v>
      </c>
    </row>
    <row r="20" spans="1:370" x14ac:dyDescent="0.25">
      <c r="A20" t="s">
        <v>403</v>
      </c>
      <c r="B20" t="s">
        <v>447</v>
      </c>
      <c r="C20" s="1" t="s">
        <v>871</v>
      </c>
      <c r="D20" t="s">
        <v>397</v>
      </c>
      <c r="E20" t="s">
        <v>384</v>
      </c>
      <c r="F20" t="s">
        <v>374</v>
      </c>
      <c r="G20" s="2">
        <v>54.020290000000003</v>
      </c>
      <c r="H20" s="2">
        <v>54.872500000000002</v>
      </c>
      <c r="I20" s="2">
        <v>56.008780000000002</v>
      </c>
      <c r="J20" s="2">
        <v>56.766300000000001</v>
      </c>
      <c r="K20" s="2">
        <v>58.048589999999997</v>
      </c>
      <c r="L20" s="2">
        <v>59.330880000000001</v>
      </c>
      <c r="M20" s="2">
        <v>60.613169999999997</v>
      </c>
      <c r="N20" s="2">
        <v>61.89546</v>
      </c>
      <c r="O20" s="2">
        <v>63.993580000000001</v>
      </c>
      <c r="P20" s="2">
        <v>66.091700000000003</v>
      </c>
      <c r="Q20" s="2">
        <v>68.189819999999997</v>
      </c>
      <c r="R20" s="2">
        <v>70.287930000000003</v>
      </c>
      <c r="S20" s="2">
        <v>71.978139999999996</v>
      </c>
      <c r="T20" s="2">
        <v>73.668340000000001</v>
      </c>
      <c r="U20" s="2">
        <v>75.358549999999994</v>
      </c>
      <c r="V20" s="2">
        <v>77.048749999999998</v>
      </c>
      <c r="W20" s="2">
        <v>79.175899999999999</v>
      </c>
      <c r="X20" s="2">
        <v>81.303049999999999</v>
      </c>
      <c r="Y20" s="2">
        <v>83.430210000000002</v>
      </c>
      <c r="Z20" s="2">
        <v>85.557360000000003</v>
      </c>
      <c r="AA20" s="2">
        <v>89.369590000000002</v>
      </c>
      <c r="AB20" s="2">
        <v>93.181820000000002</v>
      </c>
      <c r="AC20" s="2">
        <v>96.994050000000001</v>
      </c>
      <c r="AD20" s="2">
        <v>100.80629999999999</v>
      </c>
      <c r="AE20" s="2">
        <v>104.5368</v>
      </c>
      <c r="AF20" s="2">
        <v>108.26730000000001</v>
      </c>
      <c r="AG20" s="2">
        <v>111.9978</v>
      </c>
      <c r="AH20" s="2">
        <v>115.7283</v>
      </c>
      <c r="AI20" s="2">
        <v>119.07940000000001</v>
      </c>
      <c r="AJ20" s="2">
        <v>122.4306</v>
      </c>
      <c r="AK20" s="2">
        <v>125.7817</v>
      </c>
      <c r="AL20" s="2">
        <v>129.1328</v>
      </c>
      <c r="AM20" s="2">
        <v>132.22730000000001</v>
      </c>
      <c r="AN20" s="2">
        <v>135.3218</v>
      </c>
      <c r="AO20" s="2">
        <v>138.41630000000001</v>
      </c>
      <c r="AP20" s="2">
        <v>141.51079999999999</v>
      </c>
      <c r="AQ20" s="2">
        <v>152.22210000000001</v>
      </c>
      <c r="AR20" s="2">
        <v>162.93350000000001</v>
      </c>
      <c r="AS20" s="2">
        <v>173.64490000000001</v>
      </c>
      <c r="AT20" s="2">
        <v>184.3563</v>
      </c>
      <c r="AU20" s="2">
        <v>190.93559999999999</v>
      </c>
      <c r="AV20" s="2">
        <v>197.51490000000001</v>
      </c>
      <c r="AW20" s="2">
        <v>204.0942</v>
      </c>
      <c r="AX20" s="2">
        <v>210.67349999999999</v>
      </c>
      <c r="AY20" s="2">
        <v>218.20869999999999</v>
      </c>
      <c r="AZ20" s="2">
        <v>225.7439</v>
      </c>
      <c r="BA20" s="2">
        <v>233.279</v>
      </c>
      <c r="BB20" s="2">
        <v>240.8142</v>
      </c>
      <c r="BC20" s="2">
        <v>248.05199999999999</v>
      </c>
      <c r="BD20" s="2">
        <v>255.28970000000001</v>
      </c>
      <c r="BE20" s="2">
        <v>262.52749999999997</v>
      </c>
      <c r="BF20" s="2">
        <v>269.76530000000002</v>
      </c>
      <c r="BG20" s="2">
        <v>276.45999999999998</v>
      </c>
      <c r="BH20" s="2">
        <v>283.15469999999999</v>
      </c>
      <c r="BI20" s="2">
        <v>289.8494</v>
      </c>
      <c r="BJ20" s="2">
        <v>296.54410000000001</v>
      </c>
      <c r="BK20" s="2">
        <v>303.2088</v>
      </c>
      <c r="BL20" s="2">
        <v>309.87349999999998</v>
      </c>
      <c r="BM20" s="2">
        <v>316.53820000000002</v>
      </c>
      <c r="BN20" s="2">
        <v>323.2029</v>
      </c>
      <c r="BO20" s="2">
        <v>329.05349999999999</v>
      </c>
      <c r="BP20" s="2">
        <v>334.90410000000003</v>
      </c>
      <c r="BQ20" s="2">
        <v>340.75459999999998</v>
      </c>
      <c r="BR20" s="2">
        <v>346.60520000000002</v>
      </c>
      <c r="BS20" s="2">
        <v>353.0582</v>
      </c>
      <c r="BT20" s="2">
        <v>359.5111</v>
      </c>
      <c r="BU20" s="2">
        <v>365.964</v>
      </c>
      <c r="BV20" s="2">
        <v>372.41699999999997</v>
      </c>
      <c r="BW20" s="2">
        <v>376.54</v>
      </c>
      <c r="BX20" s="2">
        <v>381.35399999999998</v>
      </c>
      <c r="BY20" s="2">
        <v>384.387</v>
      </c>
      <c r="BZ20" s="2">
        <v>421.28899999999999</v>
      </c>
      <c r="CA20" s="2">
        <v>424.57400000000001</v>
      </c>
      <c r="CB20" s="2">
        <v>434.53300000000002</v>
      </c>
      <c r="CC20" s="2">
        <v>458.709</v>
      </c>
      <c r="CD20" s="2">
        <v>466.59800000000001</v>
      </c>
      <c r="CE20" s="2">
        <v>477.17599999999999</v>
      </c>
      <c r="CF20" s="2">
        <v>496.63</v>
      </c>
      <c r="CG20" s="2">
        <v>515.59900000000005</v>
      </c>
      <c r="CH20" s="2">
        <v>528.38400000000001</v>
      </c>
      <c r="CI20" s="2">
        <v>554.92999999999995</v>
      </c>
      <c r="CJ20" s="2">
        <v>541.70399999999995</v>
      </c>
      <c r="CK20" s="2">
        <v>652.07399999999996</v>
      </c>
      <c r="CL20" s="2">
        <v>665.99300000000005</v>
      </c>
      <c r="CM20" s="2">
        <v>672.68899999999996</v>
      </c>
      <c r="CN20" s="2">
        <v>654.73599999999999</v>
      </c>
      <c r="CO20" s="2">
        <v>643.60299999999995</v>
      </c>
      <c r="CP20" s="2">
        <v>676.23099999999999</v>
      </c>
      <c r="CQ20" s="2">
        <v>710.399</v>
      </c>
      <c r="CR20" s="2">
        <v>741.72400000000005</v>
      </c>
      <c r="CS20" s="2">
        <v>775.81100000000004</v>
      </c>
      <c r="CT20" s="2">
        <v>905.63800000000003</v>
      </c>
      <c r="CU20" s="2">
        <v>917.41200000000003</v>
      </c>
      <c r="CV20" s="2">
        <v>929.76900000000001</v>
      </c>
      <c r="CW20" s="2">
        <v>949.81899999999996</v>
      </c>
      <c r="CX20" s="2">
        <v>982.20699999999999</v>
      </c>
      <c r="CY20" s="2">
        <v>984.59</v>
      </c>
      <c r="CZ20" s="2">
        <v>1026.5429999999999</v>
      </c>
      <c r="DA20" s="2">
        <v>1043.9760000000001</v>
      </c>
      <c r="DB20" s="2">
        <v>1047.212</v>
      </c>
      <c r="DC20" s="2">
        <v>1043.663</v>
      </c>
      <c r="DD20" s="2">
        <v>1051.5219999999999</v>
      </c>
      <c r="DE20" s="2">
        <v>1087.953</v>
      </c>
      <c r="DF20" s="2">
        <v>1100.1320000000001</v>
      </c>
      <c r="DG20" s="2">
        <v>1089.5419999999999</v>
      </c>
      <c r="DH20" s="2">
        <v>1082.5060000000001</v>
      </c>
      <c r="DI20" s="2">
        <v>1082.9870000000001</v>
      </c>
      <c r="DJ20" s="2">
        <v>1094.1479999999999</v>
      </c>
      <c r="DK20" s="2">
        <v>1096.3530000000001</v>
      </c>
      <c r="DL20" s="2">
        <v>1109.981</v>
      </c>
      <c r="DM20" s="2">
        <v>1116.55</v>
      </c>
      <c r="DN20" s="2">
        <v>1128.596</v>
      </c>
      <c r="DO20" s="2">
        <v>1145.0450000000001</v>
      </c>
      <c r="DP20" s="2">
        <v>1161.7260000000001</v>
      </c>
      <c r="DQ20" s="2">
        <v>1187.6369999999999</v>
      </c>
      <c r="DR20" s="2">
        <v>1174.0730000000001</v>
      </c>
      <c r="DS20" s="2">
        <v>1191.203</v>
      </c>
      <c r="DT20" s="2">
        <v>1220.8720000000001</v>
      </c>
      <c r="DU20" s="2">
        <v>1247.9670000000001</v>
      </c>
      <c r="DV20" s="2">
        <v>1276.144</v>
      </c>
      <c r="DW20" s="2">
        <v>1339.3430000000001</v>
      </c>
      <c r="DX20" s="2">
        <v>1401.7070000000001</v>
      </c>
      <c r="DY20" s="2">
        <v>1403.684</v>
      </c>
      <c r="DZ20" s="2">
        <v>1380.8119999999999</v>
      </c>
      <c r="EA20" s="2">
        <v>1419.5450000000001</v>
      </c>
      <c r="EB20" s="2">
        <v>1431.192</v>
      </c>
      <c r="EC20" s="2">
        <v>1446.42</v>
      </c>
      <c r="ED20" s="2">
        <v>1462.9</v>
      </c>
      <c r="EE20" s="2">
        <v>1497.0440000000001</v>
      </c>
      <c r="EF20" s="2">
        <v>1529.6790000000001</v>
      </c>
      <c r="EG20" s="2">
        <v>1557.5150000000001</v>
      </c>
      <c r="EH20" s="2">
        <v>1548.2429999999999</v>
      </c>
      <c r="EI20" s="2">
        <v>1547.6759999999999</v>
      </c>
      <c r="EJ20" s="2">
        <v>1525.4290000000001</v>
      </c>
      <c r="EK20" s="2">
        <v>1550.2919999999999</v>
      </c>
      <c r="EL20" s="2">
        <v>1539.9949999999999</v>
      </c>
      <c r="EM20" s="2">
        <v>1572.6590000000001</v>
      </c>
      <c r="EN20" s="2">
        <v>1576.6420000000001</v>
      </c>
      <c r="EO20" s="2">
        <v>1590.0250000000001</v>
      </c>
      <c r="EP20" s="2">
        <v>1601.674</v>
      </c>
      <c r="EQ20" s="2">
        <v>1664.184</v>
      </c>
      <c r="ER20" s="2">
        <v>1635.5250000000001</v>
      </c>
      <c r="ES20" s="2">
        <v>1678.2919999999999</v>
      </c>
      <c r="ET20" s="2">
        <v>1788.386</v>
      </c>
      <c r="EU20" s="2">
        <v>1879.3530000000001</v>
      </c>
      <c r="EV20" s="2">
        <v>1964.268</v>
      </c>
      <c r="EW20" s="2">
        <v>2031.904</v>
      </c>
      <c r="EX20" s="2">
        <v>1995.277</v>
      </c>
      <c r="EY20" s="2">
        <v>2066.2469999999998</v>
      </c>
      <c r="EZ20" s="2">
        <v>2155.3009999999999</v>
      </c>
      <c r="FA20" s="2">
        <v>2180.64</v>
      </c>
      <c r="FB20" s="2">
        <v>2162.3739999999998</v>
      </c>
      <c r="FC20" s="2">
        <v>2165.663</v>
      </c>
      <c r="FD20" s="2">
        <v>2203.105</v>
      </c>
      <c r="FE20" s="2">
        <v>2254.105</v>
      </c>
      <c r="FF20" s="2">
        <v>2220.614</v>
      </c>
      <c r="FG20" s="2">
        <v>2312.3519999999999</v>
      </c>
      <c r="FH20" s="2">
        <v>2370.982</v>
      </c>
      <c r="FI20" s="2">
        <v>2411.578</v>
      </c>
      <c r="FJ20" s="2">
        <v>2434.989</v>
      </c>
      <c r="FK20" s="2">
        <v>2486.2950000000001</v>
      </c>
      <c r="FL20" s="2">
        <v>2501.8609999999999</v>
      </c>
      <c r="FM20" s="2">
        <v>2522.5889999999999</v>
      </c>
      <c r="FN20" s="2">
        <v>2498.3739999999998</v>
      </c>
      <c r="FO20" s="2">
        <v>2585.7710000000002</v>
      </c>
      <c r="FP20" s="2">
        <v>2660.962</v>
      </c>
      <c r="FQ20" s="2">
        <v>2719.3629999999998</v>
      </c>
      <c r="FR20" s="2">
        <v>2725.884</v>
      </c>
      <c r="FS20" s="2">
        <v>2876.875</v>
      </c>
      <c r="FT20" s="2">
        <v>2809.7750000000001</v>
      </c>
      <c r="FU20" s="2">
        <v>2848.51</v>
      </c>
      <c r="FV20" s="2">
        <v>2804.6370000000002</v>
      </c>
      <c r="FW20" s="2">
        <v>2944.64</v>
      </c>
      <c r="FX20" s="2">
        <v>3006.81</v>
      </c>
      <c r="FY20" s="2">
        <v>3030.9459999999999</v>
      </c>
      <c r="FZ20" s="2">
        <v>2898.7339999999999</v>
      </c>
      <c r="GA20" s="2">
        <v>2979.3960000000002</v>
      </c>
      <c r="GB20" s="2">
        <v>3034.2060000000001</v>
      </c>
      <c r="GC20" s="2">
        <v>3044.3380000000002</v>
      </c>
      <c r="GD20" s="2">
        <v>2985.366</v>
      </c>
      <c r="GE20" s="2">
        <v>3052.8910000000001</v>
      </c>
      <c r="GF20" s="2">
        <v>3081.7080000000001</v>
      </c>
      <c r="GG20" s="2">
        <v>3086.491</v>
      </c>
      <c r="GH20" s="2">
        <v>3009.4389999999999</v>
      </c>
      <c r="GI20" s="2">
        <v>3141.7779999999998</v>
      </c>
      <c r="GJ20" s="2">
        <v>3190.6779999999999</v>
      </c>
      <c r="GK20" s="2">
        <v>3234.3910000000001</v>
      </c>
      <c r="GL20" s="2">
        <v>3092.223</v>
      </c>
      <c r="GM20" s="2">
        <v>3261.4690000000001</v>
      </c>
      <c r="GN20" s="2">
        <v>3537.777</v>
      </c>
      <c r="GO20" s="2">
        <v>3549.5390000000002</v>
      </c>
      <c r="GP20" s="2">
        <v>3530.5149999999999</v>
      </c>
      <c r="GQ20" s="2">
        <v>3633.9290000000001</v>
      </c>
      <c r="GR20" s="2">
        <v>3608.123</v>
      </c>
      <c r="GS20" s="2">
        <v>3689.85</v>
      </c>
      <c r="GT20" s="2">
        <v>3614.22</v>
      </c>
      <c r="GU20" s="2">
        <v>3664.596</v>
      </c>
      <c r="GV20" s="2">
        <v>3458.8420000000001</v>
      </c>
      <c r="GW20" s="2">
        <v>3384.7440000000001</v>
      </c>
      <c r="GX20" s="2">
        <v>3250.3380000000002</v>
      </c>
      <c r="GY20" s="2">
        <v>3371.0650000000001</v>
      </c>
      <c r="GZ20" s="2">
        <v>3365.7179999999998</v>
      </c>
      <c r="HA20" s="2">
        <v>3349.4229999999998</v>
      </c>
      <c r="HB20" s="2">
        <v>3470.0250000000001</v>
      </c>
      <c r="HC20" s="2">
        <v>3542.1950000000002</v>
      </c>
      <c r="HD20" s="2">
        <v>3563.3180000000002</v>
      </c>
      <c r="HE20" s="2">
        <v>3694.75</v>
      </c>
      <c r="HF20" s="2">
        <v>3601.4189999999999</v>
      </c>
      <c r="HG20" s="2">
        <v>3684.5990000000002</v>
      </c>
      <c r="HH20" s="3">
        <v>3724.4189999999999</v>
      </c>
      <c r="HI20" s="3">
        <v>3764.5259999999998</v>
      </c>
      <c r="HJ20" s="3">
        <v>3805.1280000000002</v>
      </c>
      <c r="HK20" s="3">
        <v>3846.09</v>
      </c>
      <c r="HL20" s="3">
        <v>3887.2040000000002</v>
      </c>
      <c r="HM20" s="3">
        <v>3928.261</v>
      </c>
      <c r="HN20" s="3">
        <v>3969.3449999999998</v>
      </c>
      <c r="HO20" s="3">
        <v>4009.5010000000002</v>
      </c>
      <c r="HP20" s="3">
        <v>4049.5250000000001</v>
      </c>
      <c r="HQ20" s="3">
        <v>4089.6010000000001</v>
      </c>
      <c r="HR20" s="3">
        <v>4129.8530000000001</v>
      </c>
      <c r="HS20" s="3">
        <v>4170.143</v>
      </c>
      <c r="HT20" s="3">
        <v>4210.4430000000002</v>
      </c>
      <c r="HU20" s="3">
        <v>4250.384</v>
      </c>
      <c r="HV20" s="3">
        <v>4289.9560000000001</v>
      </c>
      <c r="HW20" s="3">
        <v>4329.0600000000004</v>
      </c>
      <c r="HX20" s="3">
        <v>4367.6930000000002</v>
      </c>
      <c r="HY20" s="3">
        <v>4405.8729999999996</v>
      </c>
      <c r="HZ20" s="3">
        <v>4443.4979999999996</v>
      </c>
      <c r="IA20" s="3">
        <v>4480.6229999999996</v>
      </c>
      <c r="IB20" s="3">
        <v>4517.4709999999995</v>
      </c>
      <c r="IC20" s="3">
        <v>4553.9679999999998</v>
      </c>
      <c r="ID20" s="3">
        <v>4590.4049999999997</v>
      </c>
      <c r="IE20" s="3">
        <v>4626.7780000000002</v>
      </c>
      <c r="IF20" s="3">
        <v>4662.9989999999998</v>
      </c>
      <c r="IG20" s="3">
        <v>4699.2030000000004</v>
      </c>
      <c r="IH20" s="3">
        <v>4735.518</v>
      </c>
      <c r="II20" s="3">
        <v>4771.9629999999997</v>
      </c>
      <c r="IJ20" s="3">
        <v>4808.4870000000001</v>
      </c>
      <c r="IK20" s="3">
        <v>4845.03</v>
      </c>
      <c r="IL20" s="3">
        <v>4881.326</v>
      </c>
      <c r="IM20" s="3">
        <v>4917.4989999999998</v>
      </c>
      <c r="IN20" s="3">
        <v>4953.4260000000004</v>
      </c>
      <c r="IO20" s="3">
        <v>4989.1750000000002</v>
      </c>
      <c r="IP20" s="3">
        <v>5024.6620000000003</v>
      </c>
      <c r="IQ20" s="3">
        <v>5059.915</v>
      </c>
      <c r="IR20" s="3">
        <v>5094.8370000000004</v>
      </c>
      <c r="IS20" s="3">
        <v>5129.4920000000002</v>
      </c>
      <c r="IT20" s="3">
        <v>5163.9809999999998</v>
      </c>
      <c r="IU20" s="3">
        <v>5198.2870000000003</v>
      </c>
      <c r="IV20" s="3">
        <v>5232.4229999999998</v>
      </c>
      <c r="IW20" s="3">
        <v>5266.4539999999997</v>
      </c>
      <c r="IX20" s="3">
        <v>5300.4889999999996</v>
      </c>
      <c r="IY20" s="3">
        <v>5334.6880000000001</v>
      </c>
      <c r="IZ20" s="3">
        <v>5369.11</v>
      </c>
      <c r="JA20" s="3">
        <v>5403.7659999999996</v>
      </c>
      <c r="JB20" s="3">
        <v>5438.64</v>
      </c>
      <c r="JC20" s="3">
        <v>5473.7550000000001</v>
      </c>
      <c r="JD20" s="3">
        <v>5509.0910000000003</v>
      </c>
      <c r="JE20" s="3">
        <v>5544.6729999999998</v>
      </c>
      <c r="JF20" s="3">
        <v>5580.4840000000004</v>
      </c>
      <c r="JG20" s="3">
        <v>5616.527</v>
      </c>
      <c r="JH20" s="3">
        <v>5652.7929999999997</v>
      </c>
      <c r="JI20" s="3">
        <v>5689.2749999999996</v>
      </c>
      <c r="JJ20" s="3">
        <v>5725.973</v>
      </c>
      <c r="JK20" s="3">
        <v>5762.902</v>
      </c>
      <c r="JL20" s="3">
        <v>5800.0619999999999</v>
      </c>
      <c r="JM20" s="3">
        <v>5837.4579999999996</v>
      </c>
      <c r="JN20" s="3">
        <v>5875.0940000000001</v>
      </c>
      <c r="JO20" s="3">
        <v>5912.9639999999999</v>
      </c>
      <c r="JP20" s="3">
        <v>5951.0709999999999</v>
      </c>
      <c r="JQ20" s="3">
        <v>5989.4170000000004</v>
      </c>
      <c r="JR20" s="3">
        <v>6027.9920000000002</v>
      </c>
      <c r="JS20" s="3">
        <v>6066.8130000000001</v>
      </c>
      <c r="JT20" s="3">
        <v>6105.8720000000003</v>
      </c>
      <c r="JU20" s="3">
        <v>6145.1750000000002</v>
      </c>
      <c r="JV20" s="3">
        <v>6184.7340000000004</v>
      </c>
      <c r="JW20" s="3">
        <v>6224.5429999999997</v>
      </c>
      <c r="JX20" s="3">
        <v>6264.6009999999997</v>
      </c>
      <c r="JY20" s="3">
        <v>6304.915</v>
      </c>
      <c r="JZ20" s="3">
        <v>6345.4870000000001</v>
      </c>
      <c r="KA20" s="3">
        <v>6386.317</v>
      </c>
      <c r="KB20" s="3">
        <v>6427.4089999999997</v>
      </c>
      <c r="KC20" s="3">
        <v>6468.7619999999997</v>
      </c>
      <c r="KD20" s="3">
        <v>6510.38</v>
      </c>
      <c r="KE20" s="3">
        <v>6552.2650000000003</v>
      </c>
      <c r="KF20" s="3">
        <v>6594.4070000000002</v>
      </c>
      <c r="KG20" s="3">
        <v>6636.8109999999997</v>
      </c>
      <c r="KH20" s="3">
        <v>6679.4889999999996</v>
      </c>
      <c r="KI20" s="3">
        <v>6722.4179999999997</v>
      </c>
      <c r="KJ20" s="3">
        <v>6765.6090000000004</v>
      </c>
      <c r="KK20" s="3">
        <v>6809.0789999999997</v>
      </c>
      <c r="KL20" s="3">
        <v>6852.817</v>
      </c>
      <c r="KM20" s="3">
        <v>6896.8239999999996</v>
      </c>
      <c r="KN20" s="3">
        <v>6941.1019999999999</v>
      </c>
      <c r="KO20" s="3">
        <v>6985.6469999999999</v>
      </c>
      <c r="KP20" s="3">
        <v>7030.4530000000004</v>
      </c>
      <c r="KQ20" s="3">
        <v>7075.5249999999996</v>
      </c>
      <c r="KR20" s="3">
        <v>7120.8549999999996</v>
      </c>
      <c r="KS20" s="3">
        <v>7166.4560000000001</v>
      </c>
      <c r="KT20" s="3">
        <v>7212.31</v>
      </c>
      <c r="KU20" s="3">
        <v>7258.4260000000004</v>
      </c>
      <c r="KV20" s="3">
        <v>7304.8239999999996</v>
      </c>
      <c r="KW20" s="3">
        <v>7351.4780000000001</v>
      </c>
      <c r="KX20" s="3">
        <v>7398.3919999999998</v>
      </c>
      <c r="KY20" s="3">
        <v>7445.5860000000002</v>
      </c>
      <c r="KZ20" s="3">
        <v>7493.049</v>
      </c>
      <c r="LA20" s="3">
        <v>7540.7839999999997</v>
      </c>
      <c r="LB20" s="3">
        <v>7588.7870000000003</v>
      </c>
      <c r="LC20" s="3">
        <v>7637.0680000000002</v>
      </c>
      <c r="LD20" s="3">
        <v>7685.6350000000002</v>
      </c>
      <c r="LE20" s="3">
        <v>7734.4939999999997</v>
      </c>
      <c r="LF20" s="3">
        <v>7783.6379999999999</v>
      </c>
      <c r="LG20" s="3">
        <v>7833.0789999999997</v>
      </c>
      <c r="LH20" s="3">
        <v>7882.7979999999998</v>
      </c>
      <c r="LI20" s="3">
        <v>7932.817</v>
      </c>
      <c r="LJ20" s="3">
        <v>7983.1130000000003</v>
      </c>
      <c r="LK20" s="3">
        <v>8033.6970000000001</v>
      </c>
      <c r="LL20" s="3">
        <v>8084.585</v>
      </c>
      <c r="LM20" s="3">
        <v>8135.7619999999997</v>
      </c>
      <c r="LN20" s="3">
        <v>8187.2309999999998</v>
      </c>
      <c r="LO20" s="3">
        <v>8238.9889999999996</v>
      </c>
      <c r="LP20" s="3">
        <v>8291.0460000000003</v>
      </c>
      <c r="LQ20" s="3">
        <v>8343.4050000000007</v>
      </c>
      <c r="LR20" s="3">
        <v>8396.0589999999993</v>
      </c>
      <c r="LS20" s="3">
        <v>8449.0079999999998</v>
      </c>
      <c r="LT20" s="3">
        <v>8502.2610000000004</v>
      </c>
      <c r="LU20" s="3">
        <v>8555.8150000000005</v>
      </c>
      <c r="LV20" s="3">
        <v>8609.6720000000005</v>
      </c>
      <c r="LW20" s="3">
        <v>8663.8209999999999</v>
      </c>
      <c r="LX20" s="3">
        <v>8718.2849999999999</v>
      </c>
      <c r="LY20" s="3">
        <v>8773.0589999999993</v>
      </c>
      <c r="LZ20" s="3">
        <v>8828.1419999999998</v>
      </c>
      <c r="MA20" s="3">
        <v>8883.5380000000005</v>
      </c>
      <c r="MB20" s="3">
        <v>8939.2289999999994</v>
      </c>
      <c r="MC20" s="3">
        <v>8995.2420000000002</v>
      </c>
      <c r="MD20" s="3">
        <v>9051.5759999999991</v>
      </c>
      <c r="ME20" s="3">
        <v>9108.2189999999991</v>
      </c>
      <c r="MF20" s="3">
        <v>9165.17</v>
      </c>
      <c r="MG20" s="3">
        <v>9222.4419999999991</v>
      </c>
      <c r="MH20" s="3">
        <v>9280.0349999999999</v>
      </c>
      <c r="MI20" s="3">
        <v>9337.9529999999995</v>
      </c>
      <c r="MJ20" s="3">
        <v>9396.1790000000001</v>
      </c>
      <c r="MK20" s="3">
        <v>9454.7330000000002</v>
      </c>
      <c r="ML20" s="3">
        <v>9513.6219999999994</v>
      </c>
      <c r="MM20" s="3">
        <v>9572.8420000000006</v>
      </c>
      <c r="MN20" s="3">
        <v>9632.3850000000002</v>
      </c>
      <c r="MO20" s="3">
        <v>9692.2540000000008</v>
      </c>
      <c r="MP20" s="3">
        <v>9752.4599999999991</v>
      </c>
      <c r="MQ20" s="3">
        <v>9812.9930000000004</v>
      </c>
      <c r="MR20" s="3">
        <v>9873.8649999999998</v>
      </c>
      <c r="MS20" s="3">
        <v>9935.09</v>
      </c>
      <c r="MT20" s="3">
        <v>9996.6579999999994</v>
      </c>
      <c r="MU20" t="s">
        <v>459</v>
      </c>
      <c r="MV20" t="b">
        <v>0</v>
      </c>
      <c r="MW20" t="s">
        <v>377</v>
      </c>
      <c r="MX20" t="s">
        <v>377</v>
      </c>
      <c r="MY20">
        <v>2025</v>
      </c>
      <c r="MZ20">
        <v>1</v>
      </c>
      <c r="NA20" t="s">
        <v>377</v>
      </c>
      <c r="NB20" s="1" t="s">
        <v>460</v>
      </c>
      <c r="NC20" s="1" t="s">
        <v>461</v>
      </c>
      <c r="ND20" t="s">
        <v>407</v>
      </c>
      <c r="NE20" t="s">
        <v>450</v>
      </c>
      <c r="NF20" s="1" t="s">
        <v>872</v>
      </c>
    </row>
    <row r="21" spans="1:370" x14ac:dyDescent="0.25">
      <c r="A21" t="s">
        <v>408</v>
      </c>
      <c r="B21" t="s">
        <v>447</v>
      </c>
      <c r="C21" s="1" t="s">
        <v>871</v>
      </c>
      <c r="D21" t="s">
        <v>397</v>
      </c>
      <c r="E21" t="s">
        <v>384</v>
      </c>
      <c r="F21" t="s">
        <v>374</v>
      </c>
      <c r="G21" s="2">
        <v>29.060040000000001</v>
      </c>
      <c r="H21" s="2">
        <v>31.342300000000002</v>
      </c>
      <c r="I21" s="2">
        <v>34.38532</v>
      </c>
      <c r="J21" s="2">
        <v>36.414000000000001</v>
      </c>
      <c r="K21" s="2">
        <v>38.759250000000002</v>
      </c>
      <c r="L21" s="2">
        <v>41.104500000000002</v>
      </c>
      <c r="M21" s="2">
        <v>43.449750000000002</v>
      </c>
      <c r="N21" s="2">
        <v>45.795000000000002</v>
      </c>
      <c r="O21" s="2">
        <v>49.706249999999997</v>
      </c>
      <c r="P21" s="2">
        <v>53.6175</v>
      </c>
      <c r="Q21" s="2">
        <v>57.528750000000002</v>
      </c>
      <c r="R21" s="2">
        <v>61.44</v>
      </c>
      <c r="S21" s="2">
        <v>65.316500000000005</v>
      </c>
      <c r="T21" s="2">
        <v>69.192999999999998</v>
      </c>
      <c r="U21" s="2">
        <v>73.069500000000005</v>
      </c>
      <c r="V21" s="2">
        <v>76.945999999999998</v>
      </c>
      <c r="W21" s="2">
        <v>82.096999999999994</v>
      </c>
      <c r="X21" s="2">
        <v>87.248000000000005</v>
      </c>
      <c r="Y21" s="2">
        <v>92.399000000000001</v>
      </c>
      <c r="Z21" s="2">
        <v>97.55</v>
      </c>
      <c r="AA21" s="2">
        <v>103.581</v>
      </c>
      <c r="AB21" s="2">
        <v>109.61199999999999</v>
      </c>
      <c r="AC21" s="2">
        <v>115.643</v>
      </c>
      <c r="AD21" s="2">
        <v>121.67400000000001</v>
      </c>
      <c r="AE21" s="2">
        <v>127.90819999999999</v>
      </c>
      <c r="AF21" s="2">
        <v>134.14250000000001</v>
      </c>
      <c r="AG21" s="2">
        <v>140.3768</v>
      </c>
      <c r="AH21" s="2">
        <v>146.61099999999999</v>
      </c>
      <c r="AI21" s="2">
        <v>154.61920000000001</v>
      </c>
      <c r="AJ21" s="2">
        <v>162.6275</v>
      </c>
      <c r="AK21" s="2">
        <v>170.63579999999999</v>
      </c>
      <c r="AL21" s="2">
        <v>178.64400000000001</v>
      </c>
      <c r="AM21" s="2">
        <v>190.07419999999999</v>
      </c>
      <c r="AN21" s="2">
        <v>201.50450000000001</v>
      </c>
      <c r="AO21" s="2">
        <v>212.9348</v>
      </c>
      <c r="AP21" s="2">
        <v>224.36500000000001</v>
      </c>
      <c r="AQ21" s="2">
        <v>237.19220000000001</v>
      </c>
      <c r="AR21" s="2">
        <v>250.01949999999999</v>
      </c>
      <c r="AS21" s="2">
        <v>262.8467</v>
      </c>
      <c r="AT21" s="2">
        <v>275.67399999999998</v>
      </c>
      <c r="AU21" s="2">
        <v>274.03750000000002</v>
      </c>
      <c r="AV21" s="2">
        <v>272.40100000000001</v>
      </c>
      <c r="AW21" s="2">
        <v>270.7645</v>
      </c>
      <c r="AX21" s="2">
        <v>269.12799999999999</v>
      </c>
      <c r="AY21" s="2">
        <v>281.52769999999998</v>
      </c>
      <c r="AZ21" s="2">
        <v>293.92750000000001</v>
      </c>
      <c r="BA21" s="2">
        <v>306.3272</v>
      </c>
      <c r="BB21" s="2">
        <v>318.72699999999998</v>
      </c>
      <c r="BC21" s="2">
        <v>335.613</v>
      </c>
      <c r="BD21" s="2">
        <v>352.49900000000002</v>
      </c>
      <c r="BE21" s="2">
        <v>369.38499999999999</v>
      </c>
      <c r="BF21" s="2">
        <v>386.27100000000002</v>
      </c>
      <c r="BG21" s="2">
        <v>401.25970000000001</v>
      </c>
      <c r="BH21" s="2">
        <v>416.24849999999998</v>
      </c>
      <c r="BI21" s="2">
        <v>431.23719999999997</v>
      </c>
      <c r="BJ21" s="2">
        <v>446.226</v>
      </c>
      <c r="BK21" s="2">
        <v>461.28149999999999</v>
      </c>
      <c r="BL21" s="2">
        <v>476.33699999999999</v>
      </c>
      <c r="BM21" s="2">
        <v>491.39249999999998</v>
      </c>
      <c r="BN21" s="2">
        <v>506.44799999999998</v>
      </c>
      <c r="BO21" s="2">
        <v>524.01250000000005</v>
      </c>
      <c r="BP21" s="2">
        <v>541.577</v>
      </c>
      <c r="BQ21" s="2">
        <v>559.14149999999995</v>
      </c>
      <c r="BR21" s="2">
        <v>576.70600000000002</v>
      </c>
      <c r="BS21" s="2">
        <v>585.70600000000002</v>
      </c>
      <c r="BT21" s="2">
        <v>594.70600000000002</v>
      </c>
      <c r="BU21" s="2">
        <v>603.70600000000002</v>
      </c>
      <c r="BV21" s="2">
        <v>612.70600000000002</v>
      </c>
      <c r="BW21" s="2">
        <v>632.40899999999999</v>
      </c>
      <c r="BX21" s="2">
        <v>652.11199999999997</v>
      </c>
      <c r="BY21" s="2">
        <v>671.81500000000005</v>
      </c>
      <c r="BZ21" s="2">
        <v>691.51800000000003</v>
      </c>
      <c r="CA21" s="2">
        <v>712.87480000000005</v>
      </c>
      <c r="CB21" s="2">
        <v>734.23149999999998</v>
      </c>
      <c r="CC21" s="2">
        <v>755.5883</v>
      </c>
      <c r="CD21" s="2">
        <v>776.94500000000005</v>
      </c>
      <c r="CE21" s="2">
        <v>799.99850000000004</v>
      </c>
      <c r="CF21" s="2">
        <v>823.05200000000002</v>
      </c>
      <c r="CG21" s="2">
        <v>846.10550000000001</v>
      </c>
      <c r="CH21" s="2">
        <v>869.15899999999999</v>
      </c>
      <c r="CI21" s="2">
        <v>895.28399999999999</v>
      </c>
      <c r="CJ21" s="2">
        <v>921.40899999999999</v>
      </c>
      <c r="CK21" s="2">
        <v>947.53399999999999</v>
      </c>
      <c r="CL21" s="2">
        <v>973.65899999999999</v>
      </c>
      <c r="CM21" s="2">
        <v>998.41499999999996</v>
      </c>
      <c r="CN21" s="2">
        <v>1023.171</v>
      </c>
      <c r="CO21" s="2">
        <v>1047.9269999999999</v>
      </c>
      <c r="CP21" s="2">
        <v>1072.683</v>
      </c>
      <c r="CQ21" s="2">
        <v>1098.0419999999999</v>
      </c>
      <c r="CR21" s="2">
        <v>1123.402</v>
      </c>
      <c r="CS21" s="2">
        <v>1148.761</v>
      </c>
      <c r="CT21" s="2">
        <v>1174.1210000000001</v>
      </c>
      <c r="CU21" s="2">
        <v>1207.028</v>
      </c>
      <c r="CV21" s="2">
        <v>1239.934</v>
      </c>
      <c r="CW21" s="2">
        <v>1272.8409999999999</v>
      </c>
      <c r="CX21" s="2">
        <v>1305.748</v>
      </c>
      <c r="CY21" s="2">
        <v>1325.327</v>
      </c>
      <c r="CZ21" s="2">
        <v>1344.905</v>
      </c>
      <c r="DA21" s="2">
        <v>1364.4839999999999</v>
      </c>
      <c r="DB21" s="2">
        <v>1384.0619999999999</v>
      </c>
      <c r="DC21" s="2">
        <v>1402.4929999999999</v>
      </c>
      <c r="DD21" s="2">
        <v>1420.925</v>
      </c>
      <c r="DE21" s="2">
        <v>1439.356</v>
      </c>
      <c r="DF21" s="2">
        <v>1457.787</v>
      </c>
      <c r="DG21" s="2">
        <v>1453.047</v>
      </c>
      <c r="DH21" s="2">
        <v>1448.307</v>
      </c>
      <c r="DI21" s="2">
        <v>1443.567</v>
      </c>
      <c r="DJ21" s="2">
        <v>1438.827</v>
      </c>
      <c r="DK21" s="2">
        <v>1446.778</v>
      </c>
      <c r="DL21" s="2">
        <v>1454.73</v>
      </c>
      <c r="DM21" s="2">
        <v>1462.682</v>
      </c>
      <c r="DN21" s="2">
        <v>1470.633</v>
      </c>
      <c r="DO21" s="2">
        <v>1485.596</v>
      </c>
      <c r="DP21" s="2">
        <v>1500.559</v>
      </c>
      <c r="DQ21" s="2">
        <v>1515.5229999999999</v>
      </c>
      <c r="DR21" s="2">
        <v>1530.4860000000001</v>
      </c>
      <c r="DS21" s="2">
        <v>1540.4159999999999</v>
      </c>
      <c r="DT21" s="2">
        <v>1550.345</v>
      </c>
      <c r="DU21" s="2">
        <v>1560.2750000000001</v>
      </c>
      <c r="DV21" s="2">
        <v>1570.204</v>
      </c>
      <c r="DW21" s="2">
        <v>1575.19</v>
      </c>
      <c r="DX21" s="2">
        <v>1580.1759999999999</v>
      </c>
      <c r="DY21" s="2">
        <v>1585.162</v>
      </c>
      <c r="DZ21" s="2">
        <v>1590.1479999999999</v>
      </c>
      <c r="EA21" s="2">
        <v>1613.9359999999999</v>
      </c>
      <c r="EB21" s="2">
        <v>1637.7239999999999</v>
      </c>
      <c r="EC21" s="2">
        <v>1661.5129999999999</v>
      </c>
      <c r="ED21" s="2">
        <v>1685.3009999999999</v>
      </c>
      <c r="EE21" s="2">
        <v>1707.7860000000001</v>
      </c>
      <c r="EF21" s="2">
        <v>1730.27</v>
      </c>
      <c r="EG21" s="2">
        <v>1752.7550000000001</v>
      </c>
      <c r="EH21" s="2">
        <v>1775.239</v>
      </c>
      <c r="EI21" s="2">
        <v>1781.329</v>
      </c>
      <c r="EJ21" s="2">
        <v>1787.4179999999999</v>
      </c>
      <c r="EK21" s="2">
        <v>1793.508</v>
      </c>
      <c r="EL21" s="2">
        <v>1799.598</v>
      </c>
      <c r="EM21" s="2">
        <v>1798.807</v>
      </c>
      <c r="EN21" s="2">
        <v>1798.0160000000001</v>
      </c>
      <c r="EO21" s="2">
        <v>1797.2260000000001</v>
      </c>
      <c r="EP21" s="2">
        <v>1796.4349999999999</v>
      </c>
      <c r="EQ21" s="2">
        <v>1814.3489999999999</v>
      </c>
      <c r="ER21" s="2">
        <v>1832.2619999999999</v>
      </c>
      <c r="ES21" s="2">
        <v>1850.1759999999999</v>
      </c>
      <c r="ET21" s="2">
        <v>1868.0889999999999</v>
      </c>
      <c r="EU21" s="2">
        <v>1901.598</v>
      </c>
      <c r="EV21" s="2">
        <v>1935.106</v>
      </c>
      <c r="EW21" s="2">
        <v>1968.615</v>
      </c>
      <c r="EX21" s="2">
        <v>2002.124</v>
      </c>
      <c r="EY21" s="2">
        <v>2007.134</v>
      </c>
      <c r="EZ21" s="2">
        <v>2012.144</v>
      </c>
      <c r="FA21" s="2">
        <v>2017.153</v>
      </c>
      <c r="FB21" s="2">
        <v>2022.163</v>
      </c>
      <c r="FC21" s="2">
        <v>2008.1079999999999</v>
      </c>
      <c r="FD21" s="2">
        <v>1994.0530000000001</v>
      </c>
      <c r="FE21" s="2">
        <v>1979.999</v>
      </c>
      <c r="FF21" s="2">
        <v>1965.944</v>
      </c>
      <c r="FG21" s="2">
        <v>2034.6590000000001</v>
      </c>
      <c r="FH21" s="2">
        <v>2103.3739999999998</v>
      </c>
      <c r="FI21" s="2">
        <v>2172.0880000000002</v>
      </c>
      <c r="FJ21" s="2">
        <v>2240.8029999999999</v>
      </c>
      <c r="FK21" s="2">
        <v>2266.5729999999999</v>
      </c>
      <c r="FL21" s="2">
        <v>2292.3429999999998</v>
      </c>
      <c r="FM21" s="2">
        <v>2318.1129999999998</v>
      </c>
      <c r="FN21" s="2">
        <v>2343.8829999999998</v>
      </c>
      <c r="FO21" s="2">
        <v>2401.2950000000001</v>
      </c>
      <c r="FP21" s="2">
        <v>2458.7069999999999</v>
      </c>
      <c r="FQ21" s="2">
        <v>2516.1190000000001</v>
      </c>
      <c r="FR21" s="2">
        <v>2573.5309999999999</v>
      </c>
      <c r="FS21" s="2">
        <v>2586.2080000000001</v>
      </c>
      <c r="FT21" s="2">
        <v>2598.8850000000002</v>
      </c>
      <c r="FU21" s="2">
        <v>2611.5610000000001</v>
      </c>
      <c r="FV21" s="2">
        <v>2624.2379999999998</v>
      </c>
      <c r="FW21" s="2">
        <v>2628.364</v>
      </c>
      <c r="FX21" s="2">
        <v>2632.49</v>
      </c>
      <c r="FY21" s="2">
        <v>2636.6170000000002</v>
      </c>
      <c r="FZ21" s="2">
        <v>2640.7429999999999</v>
      </c>
      <c r="GA21" s="2">
        <v>2643.3939999999998</v>
      </c>
      <c r="GB21" s="2">
        <v>2646.0450000000001</v>
      </c>
      <c r="GC21" s="2">
        <v>2648.6970000000001</v>
      </c>
      <c r="GD21" s="2">
        <v>2651.348</v>
      </c>
      <c r="GE21" s="2">
        <v>2642.0010000000002</v>
      </c>
      <c r="GF21" s="2">
        <v>2632.6550000000002</v>
      </c>
      <c r="GG21" s="2">
        <v>2623.3090000000002</v>
      </c>
      <c r="GH21" s="2">
        <v>2613.962</v>
      </c>
      <c r="GI21" s="2">
        <v>2656.8290000000002</v>
      </c>
      <c r="GJ21" s="2">
        <v>2699.6959999999999</v>
      </c>
      <c r="GK21" s="2">
        <v>2742.5630000000001</v>
      </c>
      <c r="GL21" s="2">
        <v>2785.43</v>
      </c>
      <c r="GM21" s="2">
        <v>2854.8530000000001</v>
      </c>
      <c r="GN21" s="2">
        <v>2924.2750000000001</v>
      </c>
      <c r="GO21" s="2">
        <v>2993.6979999999999</v>
      </c>
      <c r="GP21" s="2">
        <v>3063.1210000000001</v>
      </c>
      <c r="GQ21" s="2">
        <v>3081.9690000000001</v>
      </c>
      <c r="GR21" s="2">
        <v>3100.8159999999998</v>
      </c>
      <c r="GS21" s="2">
        <v>3119.6640000000002</v>
      </c>
      <c r="GT21" s="2">
        <v>3138.5120000000002</v>
      </c>
      <c r="GU21" s="2">
        <v>3078.8380000000002</v>
      </c>
      <c r="GV21" s="2">
        <v>3019.1640000000002</v>
      </c>
      <c r="GW21" s="2">
        <v>2959.49</v>
      </c>
      <c r="GX21" s="2">
        <v>2899.8159999999998</v>
      </c>
      <c r="GY21" s="2">
        <v>2964.97</v>
      </c>
      <c r="GZ21" s="2">
        <v>3030.125</v>
      </c>
      <c r="HA21" s="2">
        <v>3095.279</v>
      </c>
      <c r="HB21" s="2">
        <v>3160.433</v>
      </c>
      <c r="HC21" s="2">
        <v>3184.1579999999999</v>
      </c>
      <c r="HD21" s="2">
        <v>3207.884</v>
      </c>
      <c r="HE21" s="2">
        <v>3231.6089999999999</v>
      </c>
      <c r="HF21" s="2">
        <v>3255.3339999999998</v>
      </c>
      <c r="HG21" s="3">
        <v>3283.8049999999998</v>
      </c>
      <c r="HH21" s="3">
        <v>3312.6689999999999</v>
      </c>
      <c r="HI21" s="3">
        <v>3341.7109999999998</v>
      </c>
      <c r="HJ21" s="3">
        <v>3370.7919999999999</v>
      </c>
      <c r="HK21" s="3">
        <v>3399.1460000000002</v>
      </c>
      <c r="HL21" s="3">
        <v>3427.4609999999998</v>
      </c>
      <c r="HM21" s="3">
        <v>3455.8090000000002</v>
      </c>
      <c r="HN21" s="3">
        <v>3484.4270000000001</v>
      </c>
      <c r="HO21" s="3">
        <v>3504.0740000000001</v>
      </c>
      <c r="HP21" s="3">
        <v>3523.7840000000001</v>
      </c>
      <c r="HQ21" s="3">
        <v>3543.1680000000001</v>
      </c>
      <c r="HR21" s="3">
        <v>3562.1849999999999</v>
      </c>
      <c r="HS21" s="3">
        <v>3580.4119999999998</v>
      </c>
      <c r="HT21" s="3">
        <v>3598.7689999999998</v>
      </c>
      <c r="HU21" s="3">
        <v>3617.2550000000001</v>
      </c>
      <c r="HV21" s="3">
        <v>3635.8719999999998</v>
      </c>
      <c r="HW21" s="3">
        <v>3653.4659999999999</v>
      </c>
      <c r="HX21" s="3">
        <v>3671.1909999999998</v>
      </c>
      <c r="HY21" s="3">
        <v>3689.0450000000001</v>
      </c>
      <c r="HZ21" s="3">
        <v>3707.03</v>
      </c>
      <c r="IA21" s="3">
        <v>3724.9749999999999</v>
      </c>
      <c r="IB21" s="3">
        <v>3742.7190000000001</v>
      </c>
      <c r="IC21" s="3">
        <v>3760.4270000000001</v>
      </c>
      <c r="ID21" s="3">
        <v>3778.1010000000001</v>
      </c>
      <c r="IE21" s="3">
        <v>3795.2139999999999</v>
      </c>
      <c r="IF21" s="3">
        <v>3812.0360000000001</v>
      </c>
      <c r="IG21" s="3">
        <v>3828.6060000000002</v>
      </c>
      <c r="IH21" s="3">
        <v>3844.9569999999999</v>
      </c>
      <c r="II21" s="3">
        <v>3860.5569999999998</v>
      </c>
      <c r="IJ21" s="3">
        <v>3875.9740000000002</v>
      </c>
      <c r="IK21" s="3">
        <v>3891.194</v>
      </c>
      <c r="IL21" s="3">
        <v>3906.1869999999999</v>
      </c>
      <c r="IM21" s="3">
        <v>3920.835</v>
      </c>
      <c r="IN21" s="3">
        <v>3935.2620000000002</v>
      </c>
      <c r="IO21" s="3">
        <v>3949.453</v>
      </c>
      <c r="IP21" s="3">
        <v>3963.4490000000001</v>
      </c>
      <c r="IQ21" s="3">
        <v>3977.123</v>
      </c>
      <c r="IR21" s="3">
        <v>3990.6</v>
      </c>
      <c r="IS21" s="3">
        <v>4003.8850000000002</v>
      </c>
      <c r="IT21" s="3">
        <v>4017.002</v>
      </c>
      <c r="IU21" s="3">
        <v>4029.9110000000001</v>
      </c>
      <c r="IV21" s="3">
        <v>4042.6410000000001</v>
      </c>
      <c r="IW21" s="3">
        <v>4055.2829999999999</v>
      </c>
      <c r="IX21" s="3">
        <v>4067.9059999999999</v>
      </c>
      <c r="IY21" s="3">
        <v>4080.5990000000002</v>
      </c>
      <c r="IZ21" s="3">
        <v>4093.3629999999998</v>
      </c>
      <c r="JA21" s="3">
        <v>4106.1980000000003</v>
      </c>
      <c r="JB21" s="3">
        <v>4119.1049999999996</v>
      </c>
      <c r="JC21" s="3">
        <v>4132.0829999999996</v>
      </c>
      <c r="JD21" s="3">
        <v>4145.1329999999998</v>
      </c>
      <c r="JE21" s="3">
        <v>4158.2550000000001</v>
      </c>
      <c r="JF21" s="3">
        <v>4171.451</v>
      </c>
      <c r="JG21" s="3">
        <v>4184.7190000000001</v>
      </c>
      <c r="JH21" s="3">
        <v>4198.0600000000004</v>
      </c>
      <c r="JI21" s="3">
        <v>4211.4740000000002</v>
      </c>
      <c r="JJ21" s="3">
        <v>4224.9620000000004</v>
      </c>
      <c r="JK21" s="3">
        <v>4238.5249999999996</v>
      </c>
      <c r="JL21" s="3">
        <v>4252.16</v>
      </c>
      <c r="JM21" s="3">
        <v>4265.8689999999997</v>
      </c>
      <c r="JN21" s="3">
        <v>4279.652</v>
      </c>
      <c r="JO21" s="3">
        <v>4293.51</v>
      </c>
      <c r="JP21" s="3">
        <v>4307.442</v>
      </c>
      <c r="JQ21" s="3">
        <v>4321.4489999999996</v>
      </c>
      <c r="JR21" s="3">
        <v>4335.5320000000002</v>
      </c>
      <c r="JS21" s="3">
        <v>4349.6909999999998</v>
      </c>
      <c r="JT21" s="3">
        <v>4363.9250000000002</v>
      </c>
      <c r="JU21" s="3">
        <v>4378.2359999999999</v>
      </c>
      <c r="JV21" s="3">
        <v>4392.6229999999996</v>
      </c>
      <c r="JW21" s="3">
        <v>4407.0870000000004</v>
      </c>
      <c r="JX21" s="3">
        <v>4421.6279999999997</v>
      </c>
      <c r="JY21" s="3">
        <v>4436.2470000000003</v>
      </c>
      <c r="JZ21" s="3">
        <v>4450.9449999999997</v>
      </c>
      <c r="KA21" s="3">
        <v>4465.7209999999995</v>
      </c>
      <c r="KB21" s="3">
        <v>4480.576</v>
      </c>
      <c r="KC21" s="3">
        <v>4495.5110000000004</v>
      </c>
      <c r="KD21" s="3">
        <v>4510.5240000000003</v>
      </c>
      <c r="KE21" s="3">
        <v>4525.616</v>
      </c>
      <c r="KF21" s="3">
        <v>4540.7870000000003</v>
      </c>
      <c r="KG21" s="3">
        <v>4556.0379999999996</v>
      </c>
      <c r="KH21" s="3">
        <v>4571.3689999999997</v>
      </c>
      <c r="KI21" s="3">
        <v>4586.7809999999999</v>
      </c>
      <c r="KJ21" s="3">
        <v>4602.2749999999996</v>
      </c>
      <c r="KK21" s="3">
        <v>4617.8519999999999</v>
      </c>
      <c r="KL21" s="3">
        <v>4633.5119999999997</v>
      </c>
      <c r="KM21" s="3">
        <v>4649.2560000000003</v>
      </c>
      <c r="KN21" s="3">
        <v>4665.085</v>
      </c>
      <c r="KO21" s="3">
        <v>4681</v>
      </c>
      <c r="KP21" s="3">
        <v>4697.0029999999997</v>
      </c>
      <c r="KQ21" s="3">
        <v>4713.0919999999996</v>
      </c>
      <c r="KR21" s="3">
        <v>4729.2709999999997</v>
      </c>
      <c r="KS21" s="3">
        <v>4745.5389999999998</v>
      </c>
      <c r="KT21" s="3">
        <v>4761.8969999999999</v>
      </c>
      <c r="KU21" s="3">
        <v>4778.3459999999995</v>
      </c>
      <c r="KV21" s="3">
        <v>4794.8860000000004</v>
      </c>
      <c r="KW21" s="3">
        <v>4811.5190000000002</v>
      </c>
      <c r="KX21" s="3">
        <v>4828.2430000000004</v>
      </c>
      <c r="KY21" s="3">
        <v>4845.0609999999997</v>
      </c>
      <c r="KZ21" s="3">
        <v>4861.973</v>
      </c>
      <c r="LA21" s="3">
        <v>4878.982</v>
      </c>
      <c r="LB21" s="3">
        <v>4896.0870000000004</v>
      </c>
      <c r="LC21" s="3">
        <v>4913.29</v>
      </c>
      <c r="LD21" s="3">
        <v>4930.5910000000003</v>
      </c>
      <c r="LE21" s="3">
        <v>4947.991</v>
      </c>
      <c r="LF21" s="3">
        <v>4965.4920000000002</v>
      </c>
      <c r="LG21" s="3">
        <v>4983.0929999999998</v>
      </c>
      <c r="LH21" s="3">
        <v>5000.7950000000001</v>
      </c>
      <c r="LI21" s="3">
        <v>5018.6000000000004</v>
      </c>
      <c r="LJ21" s="3">
        <v>5036.5079999999998</v>
      </c>
      <c r="LK21" s="3">
        <v>5054.5200000000004</v>
      </c>
      <c r="LL21" s="3">
        <v>5072.6350000000002</v>
      </c>
      <c r="LM21" s="3">
        <v>5090.8559999999998</v>
      </c>
      <c r="LN21" s="3">
        <v>5109.1840000000002</v>
      </c>
      <c r="LO21" s="3">
        <v>5127.6180000000004</v>
      </c>
      <c r="LP21" s="3">
        <v>5146.16</v>
      </c>
      <c r="LQ21" s="3">
        <v>5164.8119999999999</v>
      </c>
      <c r="LR21" s="3">
        <v>5183.5730000000003</v>
      </c>
      <c r="LS21" s="3">
        <v>5202.4440000000004</v>
      </c>
      <c r="LT21" s="3">
        <v>5221.4269999999997</v>
      </c>
      <c r="LU21" s="3">
        <v>5240.5209999999997</v>
      </c>
      <c r="LV21" s="3">
        <v>5259.7290000000003</v>
      </c>
      <c r="LW21" s="3">
        <v>5279.05</v>
      </c>
      <c r="LX21" s="3">
        <v>5298.4849999999997</v>
      </c>
      <c r="LY21" s="3">
        <v>5318.0360000000001</v>
      </c>
      <c r="LZ21" s="3">
        <v>5337.7039999999997</v>
      </c>
      <c r="MA21" s="3">
        <v>5357.4880000000003</v>
      </c>
      <c r="MB21" s="3">
        <v>5377.39</v>
      </c>
      <c r="MC21" s="3">
        <v>5397.4110000000001</v>
      </c>
      <c r="MD21" s="3">
        <v>5417.5529999999999</v>
      </c>
      <c r="ME21" s="3">
        <v>5437.8159999999998</v>
      </c>
      <c r="MF21" s="3">
        <v>5458.1989999999996</v>
      </c>
      <c r="MG21" s="3">
        <v>5478.7049999999999</v>
      </c>
      <c r="MH21" s="3">
        <v>5499.3329999999996</v>
      </c>
      <c r="MI21" s="3">
        <v>5520.0829999999996</v>
      </c>
      <c r="MJ21" s="3">
        <v>5540.9570000000003</v>
      </c>
      <c r="MK21" s="3">
        <v>5561.9530000000004</v>
      </c>
      <c r="ML21" s="3">
        <v>5583.0730000000003</v>
      </c>
      <c r="MM21" s="3">
        <v>5604.317</v>
      </c>
      <c r="MN21" s="3">
        <v>5625.68</v>
      </c>
      <c r="MO21" s="3">
        <v>5647.1629999999996</v>
      </c>
      <c r="MP21" s="3">
        <v>5668.7659999999996</v>
      </c>
      <c r="MQ21" s="3">
        <v>5690.49</v>
      </c>
      <c r="MR21" s="3">
        <v>5712.335</v>
      </c>
      <c r="MS21" s="3">
        <v>5734.3010000000004</v>
      </c>
      <c r="MT21" s="3">
        <v>5756.39</v>
      </c>
      <c r="MU21" t="s">
        <v>437</v>
      </c>
      <c r="MV21" t="b">
        <v>0</v>
      </c>
      <c r="MW21" t="s">
        <v>377</v>
      </c>
      <c r="MX21" t="s">
        <v>377</v>
      </c>
      <c r="MY21">
        <v>2024</v>
      </c>
      <c r="MZ21">
        <v>4</v>
      </c>
      <c r="NA21" t="s">
        <v>377</v>
      </c>
      <c r="NB21" s="1" t="s">
        <v>462</v>
      </c>
      <c r="NC21" s="1" t="s">
        <v>463</v>
      </c>
      <c r="ND21" t="s">
        <v>412</v>
      </c>
      <c r="NE21" t="s">
        <v>450</v>
      </c>
      <c r="NF21" s="1" t="s">
        <v>872</v>
      </c>
    </row>
    <row r="22" spans="1:370" x14ac:dyDescent="0.25">
      <c r="A22" t="s">
        <v>413</v>
      </c>
      <c r="B22" t="s">
        <v>447</v>
      </c>
      <c r="C22" s="1" t="s">
        <v>871</v>
      </c>
      <c r="D22" t="s">
        <v>414</v>
      </c>
      <c r="E22" t="s">
        <v>373</v>
      </c>
      <c r="F22" t="s">
        <v>374</v>
      </c>
      <c r="G22" s="2">
        <v>62477</v>
      </c>
      <c r="H22" s="2">
        <v>63292</v>
      </c>
      <c r="I22" s="2">
        <v>64108</v>
      </c>
      <c r="J22" s="2">
        <v>64923</v>
      </c>
      <c r="K22" s="2">
        <v>67201</v>
      </c>
      <c r="L22" s="2">
        <v>69479</v>
      </c>
      <c r="M22" s="2">
        <v>71758</v>
      </c>
      <c r="N22" s="2">
        <v>74036</v>
      </c>
      <c r="O22" s="2">
        <v>76102</v>
      </c>
      <c r="P22" s="2">
        <v>78167</v>
      </c>
      <c r="Q22" s="2">
        <v>80233</v>
      </c>
      <c r="R22" s="2">
        <v>82299</v>
      </c>
      <c r="S22" s="2">
        <v>84583</v>
      </c>
      <c r="T22" s="2">
        <v>86868</v>
      </c>
      <c r="U22" s="2">
        <v>89152</v>
      </c>
      <c r="V22" s="2">
        <v>91437</v>
      </c>
      <c r="W22" s="2">
        <v>94704</v>
      </c>
      <c r="X22" s="2">
        <v>97970</v>
      </c>
      <c r="Y22" s="2">
        <v>101237</v>
      </c>
      <c r="Z22" s="2">
        <v>104504</v>
      </c>
      <c r="AA22" s="2">
        <v>109200</v>
      </c>
      <c r="AB22" s="2">
        <v>113896</v>
      </c>
      <c r="AC22" s="2">
        <v>118592</v>
      </c>
      <c r="AD22" s="2">
        <v>123288</v>
      </c>
      <c r="AE22" s="2">
        <v>125636</v>
      </c>
      <c r="AF22" s="2">
        <v>127984</v>
      </c>
      <c r="AG22" s="2">
        <v>130332</v>
      </c>
      <c r="AH22" s="2">
        <v>132680</v>
      </c>
      <c r="AI22" s="2">
        <v>137108</v>
      </c>
      <c r="AJ22" s="2">
        <v>141536</v>
      </c>
      <c r="AK22" s="2">
        <v>145965</v>
      </c>
      <c r="AL22" s="2">
        <v>150393</v>
      </c>
      <c r="AM22" s="2">
        <v>157133</v>
      </c>
      <c r="AN22" s="2">
        <v>163873</v>
      </c>
      <c r="AO22" s="2">
        <v>170613</v>
      </c>
      <c r="AP22" s="2">
        <v>177353</v>
      </c>
      <c r="AQ22" s="2">
        <v>185448</v>
      </c>
      <c r="AR22" s="2">
        <v>193543</v>
      </c>
      <c r="AS22" s="2">
        <v>201637</v>
      </c>
      <c r="AT22" s="2">
        <v>209732</v>
      </c>
      <c r="AU22" s="2">
        <v>220266</v>
      </c>
      <c r="AV22" s="2">
        <v>230800</v>
      </c>
      <c r="AW22" s="2">
        <v>241334</v>
      </c>
      <c r="AX22" s="2">
        <v>251868</v>
      </c>
      <c r="AY22" s="2">
        <v>261569</v>
      </c>
      <c r="AZ22" s="2">
        <v>271270</v>
      </c>
      <c r="BA22" s="2">
        <v>280971</v>
      </c>
      <c r="BB22" s="2">
        <v>290671</v>
      </c>
      <c r="BC22" s="2">
        <v>303125</v>
      </c>
      <c r="BD22" s="2">
        <v>315579</v>
      </c>
      <c r="BE22" s="2">
        <v>328033</v>
      </c>
      <c r="BF22" s="2">
        <v>340487</v>
      </c>
      <c r="BG22" s="2">
        <v>350735</v>
      </c>
      <c r="BH22" s="2">
        <v>360982</v>
      </c>
      <c r="BI22" s="2">
        <v>371230</v>
      </c>
      <c r="BJ22" s="2">
        <v>381478</v>
      </c>
      <c r="BK22" s="2">
        <v>390773</v>
      </c>
      <c r="BL22" s="2">
        <v>400069</v>
      </c>
      <c r="BM22" s="2">
        <v>409364</v>
      </c>
      <c r="BN22" s="2">
        <v>418659</v>
      </c>
      <c r="BO22" s="2">
        <v>428211</v>
      </c>
      <c r="BP22" s="2">
        <v>437762</v>
      </c>
      <c r="BQ22" s="2">
        <v>447314</v>
      </c>
      <c r="BR22" s="2">
        <v>456865</v>
      </c>
      <c r="BS22" s="2">
        <v>467186</v>
      </c>
      <c r="BT22" s="2">
        <v>477507</v>
      </c>
      <c r="BU22" s="2">
        <v>487827</v>
      </c>
      <c r="BV22" s="2">
        <v>498148</v>
      </c>
      <c r="BW22" s="2">
        <v>499043</v>
      </c>
      <c r="BX22" s="2">
        <v>512357</v>
      </c>
      <c r="BY22" s="2">
        <v>523169</v>
      </c>
      <c r="BZ22" s="2">
        <v>540348</v>
      </c>
      <c r="CA22" s="2">
        <v>570689</v>
      </c>
      <c r="CB22" s="2">
        <v>575251</v>
      </c>
      <c r="CC22" s="2">
        <v>597345</v>
      </c>
      <c r="CD22" s="2">
        <v>616390</v>
      </c>
      <c r="CE22" s="2">
        <v>615323</v>
      </c>
      <c r="CF22" s="2">
        <v>639604</v>
      </c>
      <c r="CG22" s="2">
        <v>659065</v>
      </c>
      <c r="CH22" s="2">
        <v>665461</v>
      </c>
      <c r="CI22" s="2">
        <v>714679</v>
      </c>
      <c r="CJ22" s="2">
        <v>742015</v>
      </c>
      <c r="CK22" s="2">
        <v>756040</v>
      </c>
      <c r="CL22" s="2">
        <v>777123</v>
      </c>
      <c r="CM22" s="2">
        <v>774465</v>
      </c>
      <c r="CN22" s="2">
        <v>780811</v>
      </c>
      <c r="CO22" s="2">
        <v>787522</v>
      </c>
      <c r="CP22" s="2">
        <v>808152</v>
      </c>
      <c r="CQ22" s="2">
        <v>844555</v>
      </c>
      <c r="CR22" s="2">
        <v>862121</v>
      </c>
      <c r="CS22" s="2">
        <v>878737</v>
      </c>
      <c r="CT22" s="2">
        <v>866026</v>
      </c>
      <c r="CU22" s="2">
        <v>921147</v>
      </c>
      <c r="CV22" s="2">
        <v>916231</v>
      </c>
      <c r="CW22" s="2">
        <v>938090</v>
      </c>
      <c r="CX22" s="2">
        <v>951233</v>
      </c>
      <c r="CY22" s="2">
        <v>957859</v>
      </c>
      <c r="CZ22" s="2">
        <v>943807</v>
      </c>
      <c r="DA22" s="2">
        <v>934632</v>
      </c>
      <c r="DB22" s="2">
        <v>950251</v>
      </c>
      <c r="DC22" s="2">
        <v>966912</v>
      </c>
      <c r="DD22" s="2">
        <v>960990</v>
      </c>
      <c r="DE22" s="2">
        <v>942470</v>
      </c>
      <c r="DF22" s="2">
        <v>961277</v>
      </c>
      <c r="DG22" s="2">
        <v>967685</v>
      </c>
      <c r="DH22" s="2">
        <v>953265</v>
      </c>
      <c r="DI22" s="2">
        <v>933628</v>
      </c>
      <c r="DJ22" s="2">
        <v>937355</v>
      </c>
      <c r="DK22" s="2">
        <v>945951</v>
      </c>
      <c r="DL22" s="2">
        <v>941612</v>
      </c>
      <c r="DM22" s="2">
        <v>932074</v>
      </c>
      <c r="DN22" s="2">
        <v>941783</v>
      </c>
      <c r="DO22" s="2">
        <v>971026</v>
      </c>
      <c r="DP22" s="2">
        <v>941959</v>
      </c>
      <c r="DQ22" s="2">
        <v>973132</v>
      </c>
      <c r="DR22" s="2">
        <v>982166</v>
      </c>
      <c r="DS22" s="2">
        <v>978149</v>
      </c>
      <c r="DT22" s="2">
        <v>980107</v>
      </c>
      <c r="DU22" s="2">
        <v>1002664</v>
      </c>
      <c r="DV22" s="2">
        <v>1003151</v>
      </c>
      <c r="DW22" s="2">
        <v>1005312</v>
      </c>
      <c r="DX22" s="2">
        <v>1014022</v>
      </c>
      <c r="DY22" s="2">
        <v>1001242</v>
      </c>
      <c r="DZ22" s="2">
        <v>1010686</v>
      </c>
      <c r="EA22" s="2">
        <v>1040820</v>
      </c>
      <c r="EB22" s="2">
        <v>1029292</v>
      </c>
      <c r="EC22" s="2">
        <v>1020914</v>
      </c>
      <c r="ED22" s="2">
        <v>1067711</v>
      </c>
      <c r="EE22" s="2">
        <v>1094064</v>
      </c>
      <c r="EF22" s="2">
        <v>1110420</v>
      </c>
      <c r="EG22" s="2">
        <v>1110240</v>
      </c>
      <c r="EH22" s="2">
        <v>1106114</v>
      </c>
      <c r="EI22" s="2">
        <v>1117939</v>
      </c>
      <c r="EJ22" s="2">
        <v>1102423</v>
      </c>
      <c r="EK22" s="2">
        <v>1107262</v>
      </c>
      <c r="EL22" s="2">
        <v>1126511</v>
      </c>
      <c r="EM22" s="2">
        <v>1139051</v>
      </c>
      <c r="EN22" s="2">
        <v>1106199</v>
      </c>
      <c r="EO22" s="2">
        <v>1098810</v>
      </c>
      <c r="EP22" s="2">
        <v>1125273</v>
      </c>
      <c r="EQ22" s="2">
        <v>1143723</v>
      </c>
      <c r="ER22" s="2">
        <v>1135362</v>
      </c>
      <c r="ES22" s="2">
        <v>1140558</v>
      </c>
      <c r="ET22" s="2">
        <v>1230238</v>
      </c>
      <c r="EU22" s="2">
        <v>1303476</v>
      </c>
      <c r="EV22" s="2">
        <v>1287482</v>
      </c>
      <c r="EW22" s="2">
        <v>1332980</v>
      </c>
      <c r="EX22" s="2">
        <v>1361026</v>
      </c>
      <c r="EY22" s="2">
        <v>1411347</v>
      </c>
      <c r="EZ22" s="2">
        <v>1419695</v>
      </c>
      <c r="FA22" s="2">
        <v>1469712</v>
      </c>
      <c r="FB22" s="2">
        <v>1492208</v>
      </c>
      <c r="FC22" s="2">
        <v>1519700</v>
      </c>
      <c r="FD22" s="2">
        <v>1548197</v>
      </c>
      <c r="FE22" s="2">
        <v>1602205</v>
      </c>
      <c r="FF22" s="2">
        <v>1642422</v>
      </c>
      <c r="FG22" s="2">
        <v>1669010</v>
      </c>
      <c r="FH22" s="2">
        <v>1702213</v>
      </c>
      <c r="FI22" s="2">
        <v>1714964</v>
      </c>
      <c r="FJ22" s="2">
        <v>1739555</v>
      </c>
      <c r="FK22" s="2">
        <v>1774302</v>
      </c>
      <c r="FL22" s="2">
        <v>1750694</v>
      </c>
      <c r="FM22" s="2">
        <v>1747134</v>
      </c>
      <c r="FN22" s="2">
        <v>1753831</v>
      </c>
      <c r="FO22" s="2">
        <v>1772841</v>
      </c>
      <c r="FP22" s="2">
        <v>1805811</v>
      </c>
      <c r="FQ22" s="2">
        <v>1813402</v>
      </c>
      <c r="FR22" s="2">
        <v>1858520</v>
      </c>
      <c r="FS22" s="2">
        <v>1942490</v>
      </c>
      <c r="FT22" s="2">
        <v>1906135</v>
      </c>
      <c r="FU22" s="2">
        <v>1927067</v>
      </c>
      <c r="FV22" s="2">
        <v>1983658</v>
      </c>
      <c r="FW22" s="2">
        <v>1995346</v>
      </c>
      <c r="FX22" s="2">
        <v>2026896</v>
      </c>
      <c r="FY22" s="2">
        <v>2063237</v>
      </c>
      <c r="FZ22" s="2">
        <v>2014521</v>
      </c>
      <c r="GA22" s="2">
        <v>2008449</v>
      </c>
      <c r="GB22" s="2">
        <v>2044242</v>
      </c>
      <c r="GC22" s="2">
        <v>2003457</v>
      </c>
      <c r="GD22" s="2">
        <v>2058193</v>
      </c>
      <c r="GE22" s="2">
        <v>2083611</v>
      </c>
      <c r="GF22" s="2">
        <v>2078705</v>
      </c>
      <c r="GG22" s="2">
        <v>2071268</v>
      </c>
      <c r="GH22" s="2">
        <v>2129521</v>
      </c>
      <c r="GI22" s="2">
        <v>2204683</v>
      </c>
      <c r="GJ22" s="2">
        <v>2215338</v>
      </c>
      <c r="GK22" s="2">
        <v>2251059</v>
      </c>
      <c r="GL22" s="2">
        <v>2237183</v>
      </c>
      <c r="GM22" s="2">
        <v>2396115</v>
      </c>
      <c r="GN22" s="2">
        <v>2767211</v>
      </c>
      <c r="GO22" s="2">
        <v>2790496</v>
      </c>
      <c r="GP22" s="2">
        <v>2855359</v>
      </c>
      <c r="GQ22" s="2">
        <v>2757077</v>
      </c>
      <c r="GR22" s="2">
        <v>2869798</v>
      </c>
      <c r="GS22" s="2">
        <v>2921900</v>
      </c>
      <c r="GT22" s="2">
        <v>2987687</v>
      </c>
      <c r="GU22" s="2">
        <v>2958998</v>
      </c>
      <c r="GV22" s="2">
        <v>2822795</v>
      </c>
      <c r="GW22" s="2">
        <v>2814180</v>
      </c>
      <c r="GX22" s="2">
        <v>2816866</v>
      </c>
      <c r="GY22" s="2">
        <v>2900260</v>
      </c>
      <c r="GZ22" s="2">
        <v>2881860</v>
      </c>
      <c r="HA22" s="2">
        <v>2855522</v>
      </c>
      <c r="HB22" s="2">
        <v>3052045</v>
      </c>
      <c r="HC22" s="2">
        <v>3086879</v>
      </c>
      <c r="HD22" s="2">
        <v>3133940</v>
      </c>
      <c r="HE22" s="2">
        <v>3243255</v>
      </c>
      <c r="HF22" s="2">
        <v>3293439</v>
      </c>
      <c r="HG22" s="2">
        <v>3328690</v>
      </c>
      <c r="HH22" s="2">
        <v>3358103</v>
      </c>
      <c r="HI22" s="3">
        <v>3372794</v>
      </c>
      <c r="HJ22" s="3">
        <v>3394659</v>
      </c>
      <c r="HK22" s="3">
        <v>3420722</v>
      </c>
      <c r="HL22" s="3">
        <v>3448967</v>
      </c>
      <c r="HM22" s="3">
        <v>3480248</v>
      </c>
      <c r="HN22" s="3">
        <v>3511343</v>
      </c>
      <c r="HO22" s="3">
        <v>3542469</v>
      </c>
      <c r="HP22" s="3">
        <v>3573801</v>
      </c>
      <c r="HQ22" s="3">
        <v>3605499</v>
      </c>
      <c r="HR22" s="3">
        <v>3637347</v>
      </c>
      <c r="HS22" s="3">
        <v>3669116</v>
      </c>
      <c r="HT22" s="3">
        <v>3700630</v>
      </c>
      <c r="HU22" s="3">
        <v>3731596</v>
      </c>
      <c r="HV22" s="3">
        <v>3761816</v>
      </c>
      <c r="HW22" s="3">
        <v>3791305</v>
      </c>
      <c r="HX22" s="3">
        <v>3820007</v>
      </c>
      <c r="HY22" s="3">
        <v>3847983</v>
      </c>
      <c r="HZ22" s="3">
        <v>3875471</v>
      </c>
      <c r="IA22" s="3">
        <v>3902676</v>
      </c>
      <c r="IB22" s="3">
        <v>3929684</v>
      </c>
      <c r="IC22" s="3">
        <v>3956647</v>
      </c>
      <c r="ID22" s="3">
        <v>3983778</v>
      </c>
      <c r="IE22" s="3">
        <v>4011030</v>
      </c>
      <c r="IF22" s="3">
        <v>4038173</v>
      </c>
      <c r="IG22" s="3">
        <v>4065202</v>
      </c>
      <c r="IH22" s="3">
        <v>4092186</v>
      </c>
      <c r="II22" s="3">
        <v>4119211</v>
      </c>
      <c r="IJ22" s="3">
        <v>4146293</v>
      </c>
      <c r="IK22" s="3">
        <v>4173398</v>
      </c>
      <c r="IL22" s="3">
        <v>4200592</v>
      </c>
      <c r="IM22" s="3">
        <v>4227958</v>
      </c>
      <c r="IN22" s="3">
        <v>4255456</v>
      </c>
      <c r="IO22" s="3">
        <v>4282994</v>
      </c>
      <c r="IP22" s="3">
        <v>4310573</v>
      </c>
      <c r="IQ22" s="3">
        <v>4338259</v>
      </c>
      <c r="IR22" s="3">
        <v>4365930</v>
      </c>
      <c r="IS22" s="3">
        <v>4393538</v>
      </c>
      <c r="IT22" s="3">
        <v>4421125</v>
      </c>
      <c r="IU22" s="3">
        <v>4448865</v>
      </c>
      <c r="IV22" s="3">
        <v>4476581</v>
      </c>
      <c r="IW22" s="3">
        <v>4504256</v>
      </c>
      <c r="IX22" s="3">
        <v>4532027</v>
      </c>
      <c r="IY22" s="3">
        <v>4559991</v>
      </c>
      <c r="IZ22" s="3">
        <v>4588160</v>
      </c>
      <c r="JA22" s="3">
        <v>4616449</v>
      </c>
      <c r="JB22" s="3">
        <v>4644928</v>
      </c>
      <c r="JC22" s="3">
        <v>4673685</v>
      </c>
      <c r="JD22" s="3">
        <v>4702679</v>
      </c>
      <c r="JE22" s="3">
        <v>4731843</v>
      </c>
      <c r="JF22" s="3">
        <v>4761254</v>
      </c>
      <c r="JG22" s="3">
        <v>4790983</v>
      </c>
      <c r="JH22" s="3">
        <v>4820957</v>
      </c>
      <c r="JI22" s="3">
        <v>4851095</v>
      </c>
      <c r="JJ22" s="3">
        <v>4881490</v>
      </c>
      <c r="JK22" s="3">
        <v>4912239</v>
      </c>
      <c r="JL22" s="3">
        <v>4943280</v>
      </c>
      <c r="JM22" s="3">
        <v>4974491</v>
      </c>
      <c r="JN22" s="3">
        <v>5005989</v>
      </c>
      <c r="JO22" s="3">
        <v>5037887</v>
      </c>
      <c r="JP22" s="3">
        <v>5070144</v>
      </c>
      <c r="JQ22" s="3">
        <v>5102635</v>
      </c>
      <c r="JR22" s="3">
        <v>5135473</v>
      </c>
      <c r="JS22" s="3">
        <v>5168756</v>
      </c>
      <c r="JT22" s="3">
        <v>5202425</v>
      </c>
      <c r="JU22" s="3">
        <v>5236389</v>
      </c>
      <c r="JV22" s="3">
        <v>5270755</v>
      </c>
      <c r="JW22" s="3">
        <v>5305575</v>
      </c>
      <c r="JX22" s="3">
        <v>5340801</v>
      </c>
      <c r="JY22" s="3">
        <v>5376343</v>
      </c>
      <c r="JZ22" s="3">
        <v>5412325</v>
      </c>
      <c r="KA22" s="3">
        <v>5448772</v>
      </c>
      <c r="KB22" s="3">
        <v>5485625</v>
      </c>
      <c r="KC22" s="3">
        <v>5522766</v>
      </c>
      <c r="KD22" s="3">
        <v>5560349</v>
      </c>
      <c r="KE22" s="3">
        <v>5598402</v>
      </c>
      <c r="KF22" s="3">
        <v>5636904</v>
      </c>
      <c r="KG22" s="3">
        <v>5675727</v>
      </c>
      <c r="KH22" s="3">
        <v>5715006</v>
      </c>
      <c r="KI22" s="3">
        <v>5754797</v>
      </c>
      <c r="KJ22" s="3">
        <v>5795026</v>
      </c>
      <c r="KK22" s="3">
        <v>5835550</v>
      </c>
      <c r="KL22" s="3">
        <v>5876559</v>
      </c>
      <c r="KM22" s="3">
        <v>5918055</v>
      </c>
      <c r="KN22" s="3">
        <v>5960007</v>
      </c>
      <c r="KO22" s="3">
        <v>6002266</v>
      </c>
      <c r="KP22" s="3">
        <v>6045051</v>
      </c>
      <c r="KQ22" s="3">
        <v>6088329</v>
      </c>
      <c r="KR22" s="3">
        <v>6132055</v>
      </c>
      <c r="KS22" s="3">
        <v>6176080</v>
      </c>
      <c r="KT22" s="3">
        <v>6220643</v>
      </c>
      <c r="KU22" s="3">
        <v>6265727</v>
      </c>
      <c r="KV22" s="3">
        <v>6311189</v>
      </c>
      <c r="KW22" s="3">
        <v>6356905</v>
      </c>
      <c r="KX22" s="3">
        <v>6403162</v>
      </c>
      <c r="KY22" s="3">
        <v>6449945</v>
      </c>
      <c r="KZ22" s="3">
        <v>6497137</v>
      </c>
      <c r="LA22" s="3">
        <v>6544599</v>
      </c>
      <c r="LB22" s="3">
        <v>6592633</v>
      </c>
      <c r="LC22" s="3">
        <v>6641205</v>
      </c>
      <c r="LD22" s="3">
        <v>6690221</v>
      </c>
      <c r="LE22" s="3">
        <v>6739529</v>
      </c>
      <c r="LF22" s="3">
        <v>6789455</v>
      </c>
      <c r="LG22" s="3">
        <v>6839944</v>
      </c>
      <c r="LH22" s="3">
        <v>6890912</v>
      </c>
      <c r="LI22" s="3">
        <v>6942201</v>
      </c>
      <c r="LJ22" s="3">
        <v>6994144</v>
      </c>
      <c r="LK22" s="3">
        <v>7046657</v>
      </c>
      <c r="LL22" s="3">
        <v>7099650</v>
      </c>
      <c r="LM22" s="3">
        <v>7152967</v>
      </c>
      <c r="LN22" s="3">
        <v>7206951</v>
      </c>
      <c r="LO22" s="3">
        <v>7261518</v>
      </c>
      <c r="LP22" s="3">
        <v>7316584</v>
      </c>
      <c r="LQ22" s="3">
        <v>7371979</v>
      </c>
      <c r="LR22" s="3">
        <v>7428063</v>
      </c>
      <c r="LS22" s="3">
        <v>7484758</v>
      </c>
      <c r="LT22" s="3">
        <v>7541964</v>
      </c>
      <c r="LU22" s="3">
        <v>7599499</v>
      </c>
      <c r="LV22" s="3">
        <v>7657740</v>
      </c>
      <c r="LW22" s="3">
        <v>7716626</v>
      </c>
      <c r="LX22" s="3">
        <v>7776030</v>
      </c>
      <c r="LY22" s="3">
        <v>7835775</v>
      </c>
      <c r="LZ22" s="3">
        <v>7896249</v>
      </c>
      <c r="MA22" s="3">
        <v>7957406</v>
      </c>
      <c r="MB22" s="3">
        <v>8019066</v>
      </c>
      <c r="MC22" s="3">
        <v>8081070</v>
      </c>
      <c r="MD22" s="3">
        <v>8143825</v>
      </c>
      <c r="ME22" s="3">
        <v>8207219</v>
      </c>
      <c r="MF22" s="3">
        <v>8271227</v>
      </c>
      <c r="MG22" s="3">
        <v>8335617</v>
      </c>
      <c r="MH22" s="3">
        <v>8400798</v>
      </c>
      <c r="MI22" s="3">
        <v>8466707</v>
      </c>
      <c r="MJ22" s="3">
        <v>8533183</v>
      </c>
      <c r="MK22" s="3">
        <v>8600029</v>
      </c>
      <c r="ML22" s="3">
        <v>8667692</v>
      </c>
      <c r="MM22" s="3">
        <v>8736072</v>
      </c>
      <c r="MN22" s="3">
        <v>8805085</v>
      </c>
      <c r="MO22" s="3">
        <v>8874490</v>
      </c>
      <c r="MP22" s="3">
        <v>8944743</v>
      </c>
      <c r="MQ22" s="3">
        <v>9015769</v>
      </c>
      <c r="MR22" s="3">
        <v>9087438</v>
      </c>
      <c r="MS22" s="3">
        <v>9159523</v>
      </c>
      <c r="MT22" s="3">
        <v>9232492</v>
      </c>
      <c r="MU22" t="s">
        <v>437</v>
      </c>
      <c r="MV22" t="b">
        <v>0</v>
      </c>
      <c r="MW22" t="s">
        <v>377</v>
      </c>
      <c r="MX22" t="s">
        <v>377</v>
      </c>
      <c r="MY22">
        <v>2025</v>
      </c>
      <c r="MZ22">
        <v>2</v>
      </c>
      <c r="NA22" t="s">
        <v>377</v>
      </c>
      <c r="NB22" s="1" t="s">
        <v>464</v>
      </c>
      <c r="NC22" t="s">
        <v>465</v>
      </c>
      <c r="ND22" t="s">
        <v>418</v>
      </c>
      <c r="NE22" t="s">
        <v>450</v>
      </c>
      <c r="NF22" s="1" t="s">
        <v>872</v>
      </c>
    </row>
    <row r="23" spans="1:370" x14ac:dyDescent="0.25">
      <c r="A23" t="s">
        <v>370</v>
      </c>
      <c r="B23" t="s">
        <v>466</v>
      </c>
      <c r="C23" s="1" t="s">
        <v>871</v>
      </c>
      <c r="D23" t="s">
        <v>372</v>
      </c>
      <c r="E23" t="s">
        <v>373</v>
      </c>
      <c r="F23" t="s">
        <v>374</v>
      </c>
      <c r="G23" s="2">
        <v>20046</v>
      </c>
      <c r="H23" s="2">
        <v>19874</v>
      </c>
      <c r="I23" s="2">
        <v>20558</v>
      </c>
      <c r="J23" s="2">
        <v>21315</v>
      </c>
      <c r="K23" s="2">
        <v>21132</v>
      </c>
      <c r="L23" s="2">
        <v>22651</v>
      </c>
      <c r="M23" s="2">
        <v>23896</v>
      </c>
      <c r="N23" s="2">
        <v>24994</v>
      </c>
      <c r="O23" s="2">
        <v>26814</v>
      </c>
      <c r="P23" s="2">
        <v>28129</v>
      </c>
      <c r="Q23" s="2">
        <v>29260</v>
      </c>
      <c r="R23" s="2">
        <v>30890</v>
      </c>
      <c r="S23" s="2">
        <v>32449</v>
      </c>
      <c r="T23" s="2">
        <v>33322</v>
      </c>
      <c r="U23" s="2">
        <v>34550</v>
      </c>
      <c r="V23" s="2">
        <v>36678</v>
      </c>
      <c r="W23" s="2">
        <v>38038</v>
      </c>
      <c r="X23" s="2">
        <v>39244</v>
      </c>
      <c r="Y23" s="2">
        <v>40339</v>
      </c>
      <c r="Z23" s="2">
        <v>42165</v>
      </c>
      <c r="AA23" s="2">
        <v>44140</v>
      </c>
      <c r="AB23" s="2">
        <v>45905</v>
      </c>
      <c r="AC23" s="2">
        <v>47207</v>
      </c>
      <c r="AD23" s="2">
        <v>48906</v>
      </c>
      <c r="AE23" s="2">
        <v>50459</v>
      </c>
      <c r="AF23" s="2">
        <v>53966</v>
      </c>
      <c r="AG23" s="2">
        <v>56767</v>
      </c>
      <c r="AH23" s="2">
        <v>59789</v>
      </c>
      <c r="AI23" s="2">
        <v>62107</v>
      </c>
      <c r="AJ23" s="2">
        <v>63704</v>
      </c>
      <c r="AK23" s="2">
        <v>66021</v>
      </c>
      <c r="AL23" s="2">
        <v>68138</v>
      </c>
      <c r="AM23" s="2">
        <v>69940</v>
      </c>
      <c r="AN23" s="2">
        <v>71334</v>
      </c>
      <c r="AO23" s="2">
        <v>73310</v>
      </c>
      <c r="AP23" s="2">
        <v>75596</v>
      </c>
      <c r="AQ23" s="2">
        <v>77468</v>
      </c>
      <c r="AR23" s="2">
        <v>78993</v>
      </c>
      <c r="AS23" s="2">
        <v>80430</v>
      </c>
      <c r="AT23" s="2">
        <v>82667</v>
      </c>
      <c r="AU23" s="2">
        <v>85727</v>
      </c>
      <c r="AV23" s="2">
        <v>86288</v>
      </c>
      <c r="AW23" s="2">
        <v>88637</v>
      </c>
      <c r="AX23" s="2">
        <v>90695</v>
      </c>
      <c r="AY23" s="2">
        <v>91663</v>
      </c>
      <c r="AZ23" s="2">
        <v>93433</v>
      </c>
      <c r="BA23" s="2">
        <v>94862</v>
      </c>
      <c r="BB23" s="2">
        <v>97962</v>
      </c>
      <c r="BC23" s="2">
        <v>99412</v>
      </c>
      <c r="BD23" s="2">
        <v>103208</v>
      </c>
      <c r="BE23" s="2">
        <v>105169</v>
      </c>
      <c r="BF23" s="2">
        <v>106841</v>
      </c>
      <c r="BG23" s="2">
        <v>108753</v>
      </c>
      <c r="BH23" s="2">
        <v>110079</v>
      </c>
      <c r="BI23" s="2">
        <v>111989</v>
      </c>
      <c r="BJ23" s="2">
        <v>115779</v>
      </c>
      <c r="BK23" s="2">
        <v>118136</v>
      </c>
      <c r="BL23" s="2">
        <v>121739</v>
      </c>
      <c r="BM23" s="2">
        <v>127119</v>
      </c>
      <c r="BN23" s="2">
        <v>129815</v>
      </c>
      <c r="BO23" s="2">
        <v>133283</v>
      </c>
      <c r="BP23" s="2">
        <v>136630</v>
      </c>
      <c r="BQ23" s="2">
        <v>140801</v>
      </c>
      <c r="BR23" s="2">
        <v>144969</v>
      </c>
      <c r="BS23" s="2">
        <v>148623</v>
      </c>
      <c r="BT23" s="2">
        <v>151262</v>
      </c>
      <c r="BU23" s="2">
        <v>155370</v>
      </c>
      <c r="BV23" s="2">
        <v>159376</v>
      </c>
      <c r="BW23" s="2">
        <v>163056</v>
      </c>
      <c r="BX23" s="2">
        <v>166719</v>
      </c>
      <c r="BY23" s="2">
        <v>170068</v>
      </c>
      <c r="BZ23" s="2">
        <v>170954</v>
      </c>
      <c r="CA23" s="2">
        <v>173192</v>
      </c>
      <c r="CB23" s="2">
        <v>175822</v>
      </c>
      <c r="CC23" s="2">
        <v>177280</v>
      </c>
      <c r="CD23" s="2">
        <v>179590</v>
      </c>
      <c r="CE23" s="2">
        <v>181438</v>
      </c>
      <c r="CF23" s="2">
        <v>181889</v>
      </c>
      <c r="CG23" s="2">
        <v>182558</v>
      </c>
      <c r="CH23" s="2">
        <v>184989</v>
      </c>
      <c r="CI23" s="2">
        <v>189580</v>
      </c>
      <c r="CJ23" s="2">
        <v>189802</v>
      </c>
      <c r="CK23" s="2">
        <v>193552</v>
      </c>
      <c r="CL23" s="2">
        <v>196921</v>
      </c>
      <c r="CM23" s="2">
        <v>199796</v>
      </c>
      <c r="CN23" s="2">
        <v>200691</v>
      </c>
      <c r="CO23" s="2">
        <v>203292</v>
      </c>
      <c r="CP23" s="2">
        <v>207015</v>
      </c>
      <c r="CQ23" s="2">
        <v>208657</v>
      </c>
      <c r="CR23" s="2">
        <v>210748</v>
      </c>
      <c r="CS23" s="2">
        <v>214616</v>
      </c>
      <c r="CT23" s="2">
        <v>217824</v>
      </c>
      <c r="CU23" s="2">
        <v>221433</v>
      </c>
      <c r="CV23" s="2">
        <v>226187</v>
      </c>
      <c r="CW23" s="2">
        <v>229912</v>
      </c>
      <c r="CX23" s="2">
        <v>232461</v>
      </c>
      <c r="CY23" s="2">
        <v>232749</v>
      </c>
      <c r="CZ23" s="2">
        <v>235998</v>
      </c>
      <c r="DA23" s="2">
        <v>243388</v>
      </c>
      <c r="DB23" s="2">
        <v>241270</v>
      </c>
      <c r="DC23" s="2">
        <v>245958</v>
      </c>
      <c r="DD23" s="2">
        <v>248081</v>
      </c>
      <c r="DE23" s="2">
        <v>250560</v>
      </c>
      <c r="DF23" s="2">
        <v>253902</v>
      </c>
      <c r="DG23" s="2">
        <v>255903</v>
      </c>
      <c r="DH23" s="2">
        <v>258404</v>
      </c>
      <c r="DI23" s="2">
        <v>261604</v>
      </c>
      <c r="DJ23" s="2">
        <v>267337</v>
      </c>
      <c r="DK23" s="2">
        <v>272305</v>
      </c>
      <c r="DL23" s="2">
        <v>273916</v>
      </c>
      <c r="DM23" s="2">
        <v>276174</v>
      </c>
      <c r="DN23" s="2">
        <v>278357</v>
      </c>
      <c r="DO23" s="2">
        <v>282889</v>
      </c>
      <c r="DP23" s="2">
        <v>286728</v>
      </c>
      <c r="DQ23" s="2">
        <v>288166</v>
      </c>
      <c r="DR23" s="2">
        <v>288352</v>
      </c>
      <c r="DS23" s="2">
        <v>292486</v>
      </c>
      <c r="DT23" s="2">
        <v>295516</v>
      </c>
      <c r="DU23" s="2">
        <v>299230</v>
      </c>
      <c r="DV23" s="2">
        <v>304207</v>
      </c>
      <c r="DW23" s="2">
        <v>307485</v>
      </c>
      <c r="DX23" s="2">
        <v>312948</v>
      </c>
      <c r="DY23" s="2">
        <v>317463</v>
      </c>
      <c r="DZ23" s="2">
        <v>320438</v>
      </c>
      <c r="EA23" s="2">
        <v>322778</v>
      </c>
      <c r="EB23" s="2">
        <v>329732</v>
      </c>
      <c r="EC23" s="2">
        <v>331592</v>
      </c>
      <c r="ED23" s="2">
        <v>338535</v>
      </c>
      <c r="EE23" s="2">
        <v>341254</v>
      </c>
      <c r="EF23" s="2">
        <v>348491</v>
      </c>
      <c r="EG23" s="2">
        <v>352001</v>
      </c>
      <c r="EH23" s="2">
        <v>357003</v>
      </c>
      <c r="EI23" s="2">
        <v>361213</v>
      </c>
      <c r="EJ23" s="2">
        <v>367042</v>
      </c>
      <c r="EK23" s="2">
        <v>370883</v>
      </c>
      <c r="EL23" s="2">
        <v>372900</v>
      </c>
      <c r="EM23" s="2">
        <v>376958</v>
      </c>
      <c r="EN23" s="2">
        <v>386144</v>
      </c>
      <c r="EO23" s="2">
        <v>389291</v>
      </c>
      <c r="EP23" s="2">
        <v>392244</v>
      </c>
      <c r="EQ23" s="2">
        <v>397800</v>
      </c>
      <c r="ER23" s="2">
        <v>400685</v>
      </c>
      <c r="ES23" s="2">
        <v>399994</v>
      </c>
      <c r="ET23" s="2">
        <v>395121</v>
      </c>
      <c r="EU23" s="2">
        <v>386874</v>
      </c>
      <c r="EV23" s="2">
        <v>386553</v>
      </c>
      <c r="EW23" s="2">
        <v>388596</v>
      </c>
      <c r="EX23" s="2">
        <v>386779</v>
      </c>
      <c r="EY23" s="2">
        <v>396176</v>
      </c>
      <c r="EZ23" s="2">
        <v>401223</v>
      </c>
      <c r="FA23" s="2">
        <v>404365</v>
      </c>
      <c r="FB23" s="2">
        <v>406789</v>
      </c>
      <c r="FC23" s="2">
        <v>414806</v>
      </c>
      <c r="FD23" s="2">
        <v>412364</v>
      </c>
      <c r="FE23" s="2">
        <v>416115</v>
      </c>
      <c r="FF23" s="2">
        <v>419305</v>
      </c>
      <c r="FG23" s="2">
        <v>424540</v>
      </c>
      <c r="FH23" s="2">
        <v>424939</v>
      </c>
      <c r="FI23" s="2">
        <v>430964</v>
      </c>
      <c r="FJ23" s="2">
        <v>433272</v>
      </c>
      <c r="FK23" s="2">
        <v>438283</v>
      </c>
      <c r="FL23" s="2">
        <v>442095</v>
      </c>
      <c r="FM23" s="2">
        <v>448800</v>
      </c>
      <c r="FN23" s="2">
        <v>452183</v>
      </c>
      <c r="FO23" s="2">
        <v>457683</v>
      </c>
      <c r="FP23" s="2">
        <v>461549</v>
      </c>
      <c r="FQ23" s="2">
        <v>470624</v>
      </c>
      <c r="FR23" s="2">
        <v>472658</v>
      </c>
      <c r="FS23" s="2">
        <v>474680</v>
      </c>
      <c r="FT23" s="2">
        <v>476591</v>
      </c>
      <c r="FU23" s="2">
        <v>479924</v>
      </c>
      <c r="FV23" s="2">
        <v>485256</v>
      </c>
      <c r="FW23" s="2">
        <v>489683</v>
      </c>
      <c r="FX23" s="2">
        <v>493710</v>
      </c>
      <c r="FY23" s="2">
        <v>500801</v>
      </c>
      <c r="FZ23" s="2">
        <v>507451</v>
      </c>
      <c r="GA23" s="2">
        <v>513814</v>
      </c>
      <c r="GB23" s="2">
        <v>517656</v>
      </c>
      <c r="GC23" s="2">
        <v>521257</v>
      </c>
      <c r="GD23" s="2">
        <v>529755</v>
      </c>
      <c r="GE23" s="2">
        <v>531131</v>
      </c>
      <c r="GF23" s="2">
        <v>535707</v>
      </c>
      <c r="GG23" s="2">
        <v>540205</v>
      </c>
      <c r="GH23" s="2">
        <v>545261</v>
      </c>
      <c r="GI23" s="2">
        <v>549060</v>
      </c>
      <c r="GJ23" s="2">
        <v>556104</v>
      </c>
      <c r="GK23" s="2">
        <v>562999</v>
      </c>
      <c r="GL23" s="2">
        <v>565758</v>
      </c>
      <c r="GM23" s="2">
        <v>555891</v>
      </c>
      <c r="GN23" s="2">
        <v>476160</v>
      </c>
      <c r="GO23" s="2">
        <v>533806</v>
      </c>
      <c r="GP23" s="2">
        <v>537629</v>
      </c>
      <c r="GQ23" s="2">
        <v>537992</v>
      </c>
      <c r="GR23" s="2">
        <v>568521</v>
      </c>
      <c r="GS23" s="2">
        <v>581805</v>
      </c>
      <c r="GT23" s="2">
        <v>597082</v>
      </c>
      <c r="GU23" s="2">
        <v>610346</v>
      </c>
      <c r="GV23" s="2">
        <v>625467</v>
      </c>
      <c r="GW23" s="2">
        <v>636553</v>
      </c>
      <c r="GX23" s="2">
        <v>654062</v>
      </c>
      <c r="GY23" s="2">
        <v>665965</v>
      </c>
      <c r="GZ23" s="2">
        <v>677760</v>
      </c>
      <c r="HA23" s="2">
        <v>683791</v>
      </c>
      <c r="HB23" s="2">
        <v>683669</v>
      </c>
      <c r="HC23" s="2">
        <v>698228</v>
      </c>
      <c r="HD23" s="2">
        <v>706477</v>
      </c>
      <c r="HE23" s="2">
        <v>719085</v>
      </c>
      <c r="HF23" s="2">
        <v>727199</v>
      </c>
      <c r="HG23" s="2">
        <v>738159</v>
      </c>
      <c r="HH23" s="2">
        <v>743816</v>
      </c>
      <c r="HI23" s="3">
        <v>749753.8</v>
      </c>
      <c r="HJ23" s="3">
        <v>756665.3</v>
      </c>
      <c r="HK23" s="3">
        <v>762843.4</v>
      </c>
      <c r="HL23" s="3">
        <v>768765.9</v>
      </c>
      <c r="HM23" s="3">
        <v>774695.6</v>
      </c>
      <c r="HN23" s="3">
        <v>781331.3</v>
      </c>
      <c r="HO23" s="3">
        <v>788495.5</v>
      </c>
      <c r="HP23" s="3">
        <v>796063.3</v>
      </c>
      <c r="HQ23" s="3">
        <v>803883.1</v>
      </c>
      <c r="HR23" s="3">
        <v>811860.8</v>
      </c>
      <c r="HS23" s="3">
        <v>819755</v>
      </c>
      <c r="HT23" s="3">
        <v>827560.4</v>
      </c>
      <c r="HU23" s="3">
        <v>835565.8</v>
      </c>
      <c r="HV23" s="3">
        <v>843522.4</v>
      </c>
      <c r="HW23" s="3">
        <v>851300.2</v>
      </c>
      <c r="HX23" s="3">
        <v>858936.4</v>
      </c>
      <c r="HY23" s="3">
        <v>866770.2</v>
      </c>
      <c r="HZ23" s="3">
        <v>874588.7</v>
      </c>
      <c r="IA23" s="3">
        <v>882301.7</v>
      </c>
      <c r="IB23" s="3">
        <v>890171.8</v>
      </c>
      <c r="IC23" s="3">
        <v>898290.2</v>
      </c>
      <c r="ID23" s="3">
        <v>906618.1</v>
      </c>
      <c r="IE23" s="3">
        <v>915123.1</v>
      </c>
      <c r="IF23" s="3">
        <v>923708.5</v>
      </c>
      <c r="IG23" s="3">
        <v>932309.1</v>
      </c>
      <c r="IH23" s="3">
        <v>940989.8</v>
      </c>
      <c r="II23" s="3">
        <v>949751.7</v>
      </c>
      <c r="IJ23" s="3">
        <v>958547</v>
      </c>
      <c r="IK23" s="3">
        <v>967471.7</v>
      </c>
      <c r="IL23" s="3">
        <v>976529</v>
      </c>
      <c r="IM23" s="3">
        <v>985599.3</v>
      </c>
      <c r="IN23" s="3">
        <v>994652.3</v>
      </c>
      <c r="IO23" s="3">
        <v>1003792</v>
      </c>
      <c r="IP23" s="3">
        <v>1012925</v>
      </c>
      <c r="IQ23" s="3">
        <v>1022261</v>
      </c>
      <c r="IR23" s="3">
        <v>1031620</v>
      </c>
      <c r="IS23" s="3">
        <v>1041056</v>
      </c>
      <c r="IT23" s="3">
        <v>1050498</v>
      </c>
      <c r="IU23" s="3">
        <v>1060138</v>
      </c>
      <c r="IV23" s="3">
        <v>1069868</v>
      </c>
      <c r="IW23" s="3">
        <v>1079689</v>
      </c>
      <c r="IX23" s="3">
        <v>1089564</v>
      </c>
      <c r="IY23" s="3">
        <v>1099626</v>
      </c>
      <c r="IZ23" s="3">
        <v>1109776</v>
      </c>
      <c r="JA23" s="3">
        <v>1120025</v>
      </c>
      <c r="JB23" s="3">
        <v>1130374</v>
      </c>
      <c r="JC23" s="3">
        <v>1140823</v>
      </c>
      <c r="JD23" s="3">
        <v>1151374</v>
      </c>
      <c r="JE23" s="3">
        <v>1162028</v>
      </c>
      <c r="JF23" s="3">
        <v>1172786</v>
      </c>
      <c r="JG23" s="3">
        <v>1183649</v>
      </c>
      <c r="JH23" s="3">
        <v>1194617</v>
      </c>
      <c r="JI23" s="3">
        <v>1205692</v>
      </c>
      <c r="JJ23" s="3">
        <v>1216876</v>
      </c>
      <c r="JK23" s="3">
        <v>1228182</v>
      </c>
      <c r="JL23" s="3">
        <v>1239597</v>
      </c>
      <c r="JM23" s="3">
        <v>1251125</v>
      </c>
      <c r="JN23" s="3">
        <v>1262766</v>
      </c>
      <c r="JO23" s="3">
        <v>1274520</v>
      </c>
      <c r="JP23" s="3">
        <v>1286388</v>
      </c>
      <c r="JQ23" s="3">
        <v>1298370</v>
      </c>
      <c r="JR23" s="3">
        <v>1310466</v>
      </c>
      <c r="JS23" s="3">
        <v>1322816</v>
      </c>
      <c r="JT23" s="3">
        <v>1335286</v>
      </c>
      <c r="JU23" s="3">
        <v>1347894</v>
      </c>
      <c r="JV23" s="3">
        <v>1360626</v>
      </c>
      <c r="JW23" s="3">
        <v>1373482</v>
      </c>
      <c r="JX23" s="3">
        <v>1386463</v>
      </c>
      <c r="JY23" s="3">
        <v>1399456</v>
      </c>
      <c r="JZ23" s="3">
        <v>1412572</v>
      </c>
      <c r="KA23" s="3">
        <v>1425814</v>
      </c>
      <c r="KB23" s="3">
        <v>1439182</v>
      </c>
      <c r="KC23" s="3">
        <v>1452526</v>
      </c>
      <c r="KD23" s="3">
        <v>1465993</v>
      </c>
      <c r="KE23" s="3">
        <v>1479585</v>
      </c>
      <c r="KF23" s="3">
        <v>1493303</v>
      </c>
      <c r="KG23" s="3">
        <v>1506875</v>
      </c>
      <c r="KH23" s="3">
        <v>1520567</v>
      </c>
      <c r="KI23" s="3">
        <v>1534381</v>
      </c>
      <c r="KJ23" s="3">
        <v>1548317</v>
      </c>
      <c r="KK23" s="3">
        <v>1562248</v>
      </c>
      <c r="KL23" s="3">
        <v>1576299</v>
      </c>
      <c r="KM23" s="3">
        <v>1590465</v>
      </c>
      <c r="KN23" s="3">
        <v>1604754</v>
      </c>
      <c r="KO23" s="3">
        <v>1619166</v>
      </c>
      <c r="KP23" s="3">
        <v>1633703</v>
      </c>
      <c r="KQ23" s="3">
        <v>1648366</v>
      </c>
      <c r="KR23" s="3">
        <v>1663157</v>
      </c>
      <c r="KS23" s="3">
        <v>1677978</v>
      </c>
      <c r="KT23" s="3">
        <v>1692927</v>
      </c>
      <c r="KU23" s="3">
        <v>1708004</v>
      </c>
      <c r="KV23" s="3">
        <v>1723209</v>
      </c>
      <c r="KW23" s="3">
        <v>1738502</v>
      </c>
      <c r="KX23" s="3">
        <v>1753926</v>
      </c>
      <c r="KY23" s="3">
        <v>1769481</v>
      </c>
      <c r="KZ23" s="3">
        <v>1785168</v>
      </c>
      <c r="LA23" s="3">
        <v>1800847</v>
      </c>
      <c r="LB23" s="3">
        <v>1816656</v>
      </c>
      <c r="LC23" s="3">
        <v>1832597</v>
      </c>
      <c r="LD23" s="3">
        <v>1848668</v>
      </c>
      <c r="LE23" s="3">
        <v>1864823</v>
      </c>
      <c r="LF23" s="3">
        <v>1881108</v>
      </c>
      <c r="LG23" s="3">
        <v>1897528</v>
      </c>
      <c r="LH23" s="3">
        <v>1914082</v>
      </c>
      <c r="LI23" s="3">
        <v>1930696</v>
      </c>
      <c r="LJ23" s="3">
        <v>1947444</v>
      </c>
      <c r="LK23" s="3">
        <v>1964328</v>
      </c>
      <c r="LL23" s="3">
        <v>1981349</v>
      </c>
      <c r="LM23" s="3">
        <v>1998360</v>
      </c>
      <c r="LN23" s="3">
        <v>2015505</v>
      </c>
      <c r="LO23" s="3">
        <v>2032784</v>
      </c>
      <c r="LP23" s="3">
        <v>2050200</v>
      </c>
      <c r="LQ23" s="3">
        <v>2067752</v>
      </c>
      <c r="LR23" s="3">
        <v>2085443</v>
      </c>
      <c r="LS23" s="3">
        <v>2103273</v>
      </c>
      <c r="LT23" s="3">
        <v>2121243</v>
      </c>
      <c r="LU23" s="3">
        <v>2139285</v>
      </c>
      <c r="LV23" s="3">
        <v>2157465</v>
      </c>
      <c r="LW23" s="3">
        <v>2175790</v>
      </c>
      <c r="LX23" s="3">
        <v>2194254</v>
      </c>
      <c r="LY23" s="3">
        <v>2212794</v>
      </c>
      <c r="LZ23" s="3">
        <v>2231478</v>
      </c>
      <c r="MA23" s="3">
        <v>2250306</v>
      </c>
      <c r="MB23" s="3">
        <v>2269278</v>
      </c>
      <c r="MC23" s="3">
        <v>2288394</v>
      </c>
      <c r="MD23" s="3">
        <v>2307657</v>
      </c>
      <c r="ME23" s="3">
        <v>2327070</v>
      </c>
      <c r="MF23" s="3">
        <v>2346633</v>
      </c>
      <c r="MG23" s="3">
        <v>2366404</v>
      </c>
      <c r="MH23" s="3">
        <v>2386326</v>
      </c>
      <c r="MI23" s="3">
        <v>2406406</v>
      </c>
      <c r="MJ23" s="3">
        <v>2426645</v>
      </c>
      <c r="MK23" s="3">
        <v>2446991</v>
      </c>
      <c r="ML23" s="3">
        <v>2467495</v>
      </c>
      <c r="MM23" s="3">
        <v>2488156</v>
      </c>
      <c r="MN23" s="3">
        <v>2508979</v>
      </c>
      <c r="MO23" s="3">
        <v>2530017</v>
      </c>
      <c r="MP23" s="3">
        <v>2551221</v>
      </c>
      <c r="MQ23" s="3">
        <v>2572588</v>
      </c>
      <c r="MR23" s="3">
        <v>2594124</v>
      </c>
      <c r="MS23" s="3">
        <v>2615828</v>
      </c>
      <c r="MT23" s="3">
        <v>2637701</v>
      </c>
      <c r="MU23" t="s">
        <v>375</v>
      </c>
      <c r="MV23" t="b">
        <v>1</v>
      </c>
      <c r="MW23" t="s">
        <v>377</v>
      </c>
      <c r="MX23" t="s">
        <v>377</v>
      </c>
      <c r="MY23">
        <v>2025</v>
      </c>
      <c r="MZ23">
        <v>2</v>
      </c>
      <c r="NA23" t="s">
        <v>377</v>
      </c>
      <c r="NB23" t="s">
        <v>467</v>
      </c>
      <c r="NC23" t="s">
        <v>468</v>
      </c>
      <c r="ND23" t="s">
        <v>380</v>
      </c>
      <c r="NE23" t="s">
        <v>469</v>
      </c>
      <c r="NF23" s="1" t="s">
        <v>872</v>
      </c>
    </row>
    <row r="24" spans="1:370" x14ac:dyDescent="0.25">
      <c r="A24" t="s">
        <v>382</v>
      </c>
      <c r="B24" t="s">
        <v>466</v>
      </c>
      <c r="C24" s="1" t="s">
        <v>871</v>
      </c>
      <c r="D24" t="s">
        <v>383</v>
      </c>
      <c r="E24" t="s">
        <v>384</v>
      </c>
      <c r="F24" t="s">
        <v>374</v>
      </c>
      <c r="G24" s="2">
        <v>344.375</v>
      </c>
      <c r="H24" s="2">
        <v>353.47500000000002</v>
      </c>
      <c r="I24" s="2">
        <v>358.45</v>
      </c>
      <c r="J24" s="2">
        <v>369.07499999999999</v>
      </c>
      <c r="K24" s="2">
        <v>372.8</v>
      </c>
      <c r="L24" s="2">
        <v>382.52499999999998</v>
      </c>
      <c r="M24" s="2">
        <v>390</v>
      </c>
      <c r="N24" s="2">
        <v>399.92500000000001</v>
      </c>
      <c r="O24" s="2">
        <v>404.02499999999998</v>
      </c>
      <c r="P24" s="2">
        <v>412.97500000000002</v>
      </c>
      <c r="Q24" s="2">
        <v>427.45</v>
      </c>
      <c r="R24" s="2">
        <v>440.45</v>
      </c>
      <c r="S24" s="2">
        <v>455.125</v>
      </c>
      <c r="T24" s="2">
        <v>463.07499999999999</v>
      </c>
      <c r="U24" s="2">
        <v>471.65</v>
      </c>
      <c r="V24" s="2">
        <v>483.57499999999999</v>
      </c>
      <c r="W24" s="2">
        <v>497.15</v>
      </c>
      <c r="X24" s="2">
        <v>513.97500000000002</v>
      </c>
      <c r="Y24" s="2">
        <v>529.625</v>
      </c>
      <c r="Z24" s="2">
        <v>541.07500000000005</v>
      </c>
      <c r="AA24" s="2">
        <v>550.70000000000005</v>
      </c>
      <c r="AB24" s="2">
        <v>582.9</v>
      </c>
      <c r="AC24" s="2">
        <v>598.77499999999998</v>
      </c>
      <c r="AD24" s="2">
        <v>619.22500000000002</v>
      </c>
      <c r="AE24" s="2">
        <v>631.65</v>
      </c>
      <c r="AF24" s="2">
        <v>647.79999999999995</v>
      </c>
      <c r="AG24" s="2">
        <v>666.9</v>
      </c>
      <c r="AH24" s="2">
        <v>680.97500000000002</v>
      </c>
      <c r="AI24" s="2">
        <v>697.45</v>
      </c>
      <c r="AJ24" s="2">
        <v>699.35</v>
      </c>
      <c r="AK24" s="2">
        <v>714.125</v>
      </c>
      <c r="AL24" s="2">
        <v>746.4</v>
      </c>
      <c r="AM24" s="2">
        <v>781.05</v>
      </c>
      <c r="AN24" s="2">
        <v>790.625</v>
      </c>
      <c r="AO24" s="2">
        <v>815.15</v>
      </c>
      <c r="AP24" s="2">
        <v>820.2</v>
      </c>
      <c r="AQ24" s="2">
        <v>818.57500000000005</v>
      </c>
      <c r="AR24" s="2">
        <v>833</v>
      </c>
      <c r="AS24" s="2">
        <v>841.57500000000005</v>
      </c>
      <c r="AT24" s="2">
        <v>850.65</v>
      </c>
      <c r="AU24" s="2">
        <v>868.35</v>
      </c>
      <c r="AV24" s="2">
        <v>894.7</v>
      </c>
      <c r="AW24" s="2">
        <v>922.3</v>
      </c>
      <c r="AX24" s="2">
        <v>948.67499999999995</v>
      </c>
      <c r="AY24" s="2">
        <v>977.02499999999998</v>
      </c>
      <c r="AZ24" s="2">
        <v>1002.4</v>
      </c>
      <c r="BA24" s="2">
        <v>1021.075</v>
      </c>
      <c r="BB24" s="2">
        <v>1037.1500000000001</v>
      </c>
      <c r="BC24" s="2">
        <v>1057.55</v>
      </c>
      <c r="BD24" s="2">
        <v>1073.7249999999999</v>
      </c>
      <c r="BE24" s="2">
        <v>1096.7</v>
      </c>
      <c r="BF24" s="2">
        <v>1111.0250000000001</v>
      </c>
      <c r="BG24" s="2">
        <v>1126.9749999999999</v>
      </c>
      <c r="BH24" s="2">
        <v>1136.325</v>
      </c>
      <c r="BI24" s="2">
        <v>1151.925</v>
      </c>
      <c r="BJ24" s="2">
        <v>1164.4000000000001</v>
      </c>
      <c r="BK24" s="2">
        <v>1180.55</v>
      </c>
      <c r="BL24" s="2">
        <v>1201.55</v>
      </c>
      <c r="BM24" s="2">
        <v>1221.1500000000001</v>
      </c>
      <c r="BN24" s="2">
        <v>1252</v>
      </c>
      <c r="BO24" s="2">
        <v>1268.3499999999999</v>
      </c>
      <c r="BP24" s="2">
        <v>1297.5</v>
      </c>
      <c r="BQ24" s="2">
        <v>1320.7</v>
      </c>
      <c r="BR24" s="2">
        <v>1349.875</v>
      </c>
      <c r="BS24" s="2">
        <v>1377.825</v>
      </c>
      <c r="BT24" s="2">
        <v>1403.125</v>
      </c>
      <c r="BU24" s="2">
        <v>1423.85</v>
      </c>
      <c r="BV24" s="2">
        <v>1436.8</v>
      </c>
      <c r="BW24" s="2">
        <v>1468.175</v>
      </c>
      <c r="BX24" s="2">
        <v>1490</v>
      </c>
      <c r="BY24" s="2">
        <v>1503.7750000000001</v>
      </c>
      <c r="BZ24" s="2">
        <v>1501.175</v>
      </c>
      <c r="CA24" s="2">
        <v>1508.8</v>
      </c>
      <c r="CB24" s="2">
        <v>1531.7249999999999</v>
      </c>
      <c r="CC24" s="2">
        <v>1551.4749999999999</v>
      </c>
      <c r="CD24" s="2">
        <v>1566.125</v>
      </c>
      <c r="CE24" s="2">
        <v>1590.7750000000001</v>
      </c>
      <c r="CF24" s="2">
        <v>1617.7</v>
      </c>
      <c r="CG24" s="2">
        <v>1641.65</v>
      </c>
      <c r="CH24" s="2">
        <v>1670.2</v>
      </c>
      <c r="CI24" s="2">
        <v>1682.375</v>
      </c>
      <c r="CJ24" s="2">
        <v>1702.2249999999999</v>
      </c>
      <c r="CK24" s="2">
        <v>1720.5250000000001</v>
      </c>
      <c r="CL24" s="2">
        <v>1753.425</v>
      </c>
      <c r="CM24" s="2">
        <v>1778.925</v>
      </c>
      <c r="CN24" s="2">
        <v>1811.7249999999999</v>
      </c>
      <c r="CO24" s="2">
        <v>1832.7750000000001</v>
      </c>
      <c r="CP24" s="2">
        <v>1863.825</v>
      </c>
      <c r="CQ24" s="2">
        <v>1880.575</v>
      </c>
      <c r="CR24" s="2">
        <v>1895.25</v>
      </c>
      <c r="CS24" s="2">
        <v>1920.7750000000001</v>
      </c>
      <c r="CT24" s="2">
        <v>1943.15</v>
      </c>
      <c r="CU24" s="2">
        <v>1967.125</v>
      </c>
      <c r="CV24" s="2">
        <v>2008.2</v>
      </c>
      <c r="CW24" s="2">
        <v>2032.85</v>
      </c>
      <c r="CX24" s="2">
        <v>2064.9499999999998</v>
      </c>
      <c r="CY24" s="2">
        <v>2090.6750000000002</v>
      </c>
      <c r="CZ24" s="2">
        <v>2129.6999999999998</v>
      </c>
      <c r="DA24" s="2">
        <v>2165.6999999999998</v>
      </c>
      <c r="DB24" s="2">
        <v>2191.4749999999999</v>
      </c>
      <c r="DC24" s="2">
        <v>2216.625</v>
      </c>
      <c r="DD24" s="2">
        <v>2242.4250000000002</v>
      </c>
      <c r="DE24" s="2">
        <v>2280.2750000000001</v>
      </c>
      <c r="DF24" s="2">
        <v>2323.5</v>
      </c>
      <c r="DG24" s="2">
        <v>2352.9250000000002</v>
      </c>
      <c r="DH24" s="2">
        <v>2381.5500000000002</v>
      </c>
      <c r="DI24" s="2">
        <v>2421.65</v>
      </c>
      <c r="DJ24" s="2">
        <v>2475.0500000000002</v>
      </c>
      <c r="DK24" s="2">
        <v>2500.5500000000002</v>
      </c>
      <c r="DL24" s="2">
        <v>2561.9250000000002</v>
      </c>
      <c r="DM24" s="2">
        <v>2579.5500000000002</v>
      </c>
      <c r="DN24" s="2">
        <v>2608.9250000000002</v>
      </c>
      <c r="DO24" s="2">
        <v>2617.5500000000002</v>
      </c>
      <c r="DP24" s="2">
        <v>2649.75</v>
      </c>
      <c r="DQ24" s="2">
        <v>2649.5</v>
      </c>
      <c r="DR24" s="2">
        <v>2665.125</v>
      </c>
      <c r="DS24" s="2">
        <v>2695.875</v>
      </c>
      <c r="DT24" s="2">
        <v>2721.875</v>
      </c>
      <c r="DU24" s="2">
        <v>2746</v>
      </c>
      <c r="DV24" s="2">
        <v>2765.35</v>
      </c>
      <c r="DW24" s="2">
        <v>2793.5250000000001</v>
      </c>
      <c r="DX24" s="2">
        <v>2828.2</v>
      </c>
      <c r="DY24" s="2">
        <v>2891.6750000000002</v>
      </c>
      <c r="DZ24" s="2">
        <v>2943.05</v>
      </c>
      <c r="EA24" s="2">
        <v>2980.85</v>
      </c>
      <c r="EB24" s="2">
        <v>3028.2</v>
      </c>
      <c r="EC24" s="2">
        <v>3076.3249999999998</v>
      </c>
      <c r="ED24" s="2">
        <v>3131.8</v>
      </c>
      <c r="EE24" s="2">
        <v>3191.8249999999998</v>
      </c>
      <c r="EF24" s="2">
        <v>3230.6750000000002</v>
      </c>
      <c r="EG24" s="2">
        <v>3285.65</v>
      </c>
      <c r="EH24" s="2">
        <v>3331.05</v>
      </c>
      <c r="EI24" s="2">
        <v>3399.8</v>
      </c>
      <c r="EJ24" s="2">
        <v>3438.35</v>
      </c>
      <c r="EK24" s="2">
        <v>3467.55</v>
      </c>
      <c r="EL24" s="2">
        <v>3509.9</v>
      </c>
      <c r="EM24" s="2">
        <v>3553.9250000000002</v>
      </c>
      <c r="EN24" s="2">
        <v>3600.5250000000001</v>
      </c>
      <c r="EO24" s="2">
        <v>3641.0250000000001</v>
      </c>
      <c r="EP24" s="2">
        <v>3678.7750000000001</v>
      </c>
      <c r="EQ24" s="2">
        <v>3676.625</v>
      </c>
      <c r="ER24" s="2">
        <v>3716.4250000000002</v>
      </c>
      <c r="ES24" s="2">
        <v>3724.75</v>
      </c>
      <c r="ET24" s="2">
        <v>3652.05</v>
      </c>
      <c r="EU24" s="2">
        <v>3607.7249999999999</v>
      </c>
      <c r="EV24" s="2">
        <v>3595.3</v>
      </c>
      <c r="EW24" s="2">
        <v>3612.2249999999999</v>
      </c>
      <c r="EX24" s="2">
        <v>3662.8</v>
      </c>
      <c r="EY24" s="2">
        <v>3691.15</v>
      </c>
      <c r="EZ24" s="2">
        <v>3745.05</v>
      </c>
      <c r="FA24" s="2">
        <v>3785.4</v>
      </c>
      <c r="FB24" s="2">
        <v>3827.375</v>
      </c>
      <c r="FC24" s="2">
        <v>3837.85</v>
      </c>
      <c r="FD24" s="2">
        <v>3889.375</v>
      </c>
      <c r="FE24" s="2">
        <v>3911.9250000000002</v>
      </c>
      <c r="FF24" s="2">
        <v>3960.5749999999998</v>
      </c>
      <c r="FG24" s="2">
        <v>4017.2</v>
      </c>
      <c r="FH24" s="2">
        <v>4051.7750000000001</v>
      </c>
      <c r="FI24" s="2">
        <v>4079.875</v>
      </c>
      <c r="FJ24" s="2">
        <v>4105.1000000000004</v>
      </c>
      <c r="FK24" s="2">
        <v>4162.05</v>
      </c>
      <c r="FL24" s="2">
        <v>4182.1750000000002</v>
      </c>
      <c r="FM24" s="2">
        <v>4238.45</v>
      </c>
      <c r="FN24" s="2">
        <v>4298</v>
      </c>
      <c r="FO24" s="2">
        <v>4299.4250000000002</v>
      </c>
      <c r="FP24" s="2">
        <v>4379.625</v>
      </c>
      <c r="FQ24" s="2">
        <v>4451.05</v>
      </c>
      <c r="FR24" s="2">
        <v>4478.0249999999996</v>
      </c>
      <c r="FS24" s="2">
        <v>4515.875</v>
      </c>
      <c r="FT24" s="2">
        <v>4569.95</v>
      </c>
      <c r="FU24" s="2">
        <v>4600.3999999999996</v>
      </c>
      <c r="FV24" s="2">
        <v>4608.7749999999996</v>
      </c>
      <c r="FW24" s="2">
        <v>4631.4750000000004</v>
      </c>
      <c r="FX24" s="2">
        <v>4677.9250000000002</v>
      </c>
      <c r="FY24" s="2">
        <v>4723.1499999999996</v>
      </c>
      <c r="FZ24" s="2">
        <v>4772.3500000000004</v>
      </c>
      <c r="GA24" s="2">
        <v>4820.0249999999996</v>
      </c>
      <c r="GB24" s="2">
        <v>4859.6499999999996</v>
      </c>
      <c r="GC24" s="2">
        <v>4923.1499999999996</v>
      </c>
      <c r="GD24" s="2">
        <v>5009.2749999999996</v>
      </c>
      <c r="GE24" s="2">
        <v>5082.1499999999996</v>
      </c>
      <c r="GF24" s="2">
        <v>5145.2250000000004</v>
      </c>
      <c r="GG24" s="2">
        <v>5199.6750000000002</v>
      </c>
      <c r="GH24" s="2">
        <v>5229.4750000000004</v>
      </c>
      <c r="GI24" s="2">
        <v>5277.9</v>
      </c>
      <c r="GJ24" s="2">
        <v>5349.4750000000004</v>
      </c>
      <c r="GK24" s="2">
        <v>5429.3</v>
      </c>
      <c r="GL24" s="2">
        <v>5483.3</v>
      </c>
      <c r="GM24" s="2">
        <v>5431.9250000000002</v>
      </c>
      <c r="GN24" s="2">
        <v>4983.8500000000004</v>
      </c>
      <c r="GO24" s="2">
        <v>5421.15</v>
      </c>
      <c r="GP24" s="2">
        <v>5517.2</v>
      </c>
      <c r="GQ24" s="2">
        <v>5664.2</v>
      </c>
      <c r="GR24" s="2">
        <v>5842.2250000000004</v>
      </c>
      <c r="GS24" s="2">
        <v>5980.5</v>
      </c>
      <c r="GT24" s="2">
        <v>6194.25</v>
      </c>
      <c r="GU24" s="2">
        <v>6303.875</v>
      </c>
      <c r="GV24" s="2">
        <v>6451.45</v>
      </c>
      <c r="GW24" s="2">
        <v>6568</v>
      </c>
      <c r="GX24" s="2">
        <v>6683.5749999999998</v>
      </c>
      <c r="GY24" s="2">
        <v>6791.1</v>
      </c>
      <c r="GZ24" s="2">
        <v>6863.45</v>
      </c>
      <c r="HA24" s="2">
        <v>6991.9250000000002</v>
      </c>
      <c r="HB24" s="2">
        <v>7074.25</v>
      </c>
      <c r="HC24" s="2">
        <v>7156.0249999999996</v>
      </c>
      <c r="HD24" s="2">
        <v>7254.1750000000002</v>
      </c>
      <c r="HE24" s="2">
        <v>7343.7250000000004</v>
      </c>
      <c r="HF24" s="2">
        <v>7430.9750000000004</v>
      </c>
      <c r="HG24" s="2">
        <v>7490.5</v>
      </c>
      <c r="HH24" s="2">
        <v>7588.4750000000004</v>
      </c>
      <c r="HI24" s="3">
        <v>7661.8770000000004</v>
      </c>
      <c r="HJ24" s="3">
        <v>7744.5320000000002</v>
      </c>
      <c r="HK24" s="3">
        <v>7821.8729999999996</v>
      </c>
      <c r="HL24" s="3">
        <v>7895.5039999999999</v>
      </c>
      <c r="HM24" s="3">
        <v>7974.35</v>
      </c>
      <c r="HN24" s="3">
        <v>8061.0339999999997</v>
      </c>
      <c r="HO24" s="3">
        <v>8150.48</v>
      </c>
      <c r="HP24" s="3">
        <v>8240.0460000000003</v>
      </c>
      <c r="HQ24" s="3">
        <v>8327.6290000000008</v>
      </c>
      <c r="HR24" s="3">
        <v>8415.3050000000003</v>
      </c>
      <c r="HS24" s="3">
        <v>8503.3729999999996</v>
      </c>
      <c r="HT24" s="3">
        <v>8590.56</v>
      </c>
      <c r="HU24" s="3">
        <v>8677.9230000000007</v>
      </c>
      <c r="HV24" s="3">
        <v>8764.9629999999997</v>
      </c>
      <c r="HW24" s="3">
        <v>8852.8799999999992</v>
      </c>
      <c r="HX24" s="3">
        <v>8940.5220000000008</v>
      </c>
      <c r="HY24" s="3">
        <v>9028.8040000000001</v>
      </c>
      <c r="HZ24" s="3">
        <v>9117.527</v>
      </c>
      <c r="IA24" s="3">
        <v>9206.1119999999992</v>
      </c>
      <c r="IB24" s="3">
        <v>9294.0580000000009</v>
      </c>
      <c r="IC24" s="3">
        <v>9381.9079999999994</v>
      </c>
      <c r="ID24" s="3">
        <v>9469.7520000000004</v>
      </c>
      <c r="IE24" s="3">
        <v>9557.7250000000004</v>
      </c>
      <c r="IF24" s="3">
        <v>9646.1509999999998</v>
      </c>
      <c r="IG24" s="3">
        <v>9734.9789999999994</v>
      </c>
      <c r="IH24" s="3">
        <v>9824.268</v>
      </c>
      <c r="II24" s="3">
        <v>9914.1059999999998</v>
      </c>
      <c r="IJ24" s="3">
        <v>10004.6</v>
      </c>
      <c r="IK24" s="3">
        <v>10095.68</v>
      </c>
      <c r="IL24" s="3">
        <v>10187.530000000001</v>
      </c>
      <c r="IM24" s="3">
        <v>10280.18</v>
      </c>
      <c r="IN24" s="3">
        <v>10373.68</v>
      </c>
      <c r="IO24" s="3">
        <v>10468.15</v>
      </c>
      <c r="IP24" s="3">
        <v>10563.5</v>
      </c>
      <c r="IQ24" s="3">
        <v>10659.65</v>
      </c>
      <c r="IR24" s="3">
        <v>10756.59</v>
      </c>
      <c r="IS24" s="3">
        <v>10854.41</v>
      </c>
      <c r="IT24" s="3">
        <v>10953.08</v>
      </c>
      <c r="IU24" s="3">
        <v>11052.62</v>
      </c>
      <c r="IV24" s="3">
        <v>11153.03</v>
      </c>
      <c r="IW24" s="3">
        <v>11254.27</v>
      </c>
      <c r="IX24" s="3">
        <v>11356.44</v>
      </c>
      <c r="IY24" s="3">
        <v>11459.47</v>
      </c>
      <c r="IZ24" s="3">
        <v>11563.46</v>
      </c>
      <c r="JA24" s="3">
        <v>11668.14</v>
      </c>
      <c r="JB24" s="3">
        <v>11773.8</v>
      </c>
      <c r="JC24" s="3">
        <v>11880.05</v>
      </c>
      <c r="JD24" s="3">
        <v>11987.18</v>
      </c>
      <c r="JE24" s="3">
        <v>12095.58</v>
      </c>
      <c r="JF24" s="3">
        <v>12204.28</v>
      </c>
      <c r="JG24" s="3">
        <v>12314.01</v>
      </c>
      <c r="JH24" s="3">
        <v>12424.61</v>
      </c>
      <c r="JI24" s="3">
        <v>12536.33</v>
      </c>
      <c r="JJ24" s="3">
        <v>12648.92</v>
      </c>
      <c r="JK24" s="3">
        <v>12762.45</v>
      </c>
      <c r="JL24" s="3">
        <v>12877.01</v>
      </c>
      <c r="JM24" s="3">
        <v>12991.83</v>
      </c>
      <c r="JN24" s="3">
        <v>13108.26</v>
      </c>
      <c r="JO24" s="3">
        <v>13225.36</v>
      </c>
      <c r="JP24" s="3">
        <v>13343.3</v>
      </c>
      <c r="JQ24" s="3">
        <v>13462.21</v>
      </c>
      <c r="JR24" s="3">
        <v>13582.22</v>
      </c>
      <c r="JS24" s="3">
        <v>13703.12</v>
      </c>
      <c r="JT24" s="3">
        <v>13825.09</v>
      </c>
      <c r="JU24" s="3">
        <v>13948.18</v>
      </c>
      <c r="JV24" s="3">
        <v>14072.23</v>
      </c>
      <c r="JW24" s="3">
        <v>14197.29</v>
      </c>
      <c r="JX24" s="3">
        <v>14323.47</v>
      </c>
      <c r="JY24" s="3">
        <v>14450.61</v>
      </c>
      <c r="JZ24" s="3">
        <v>14578.81</v>
      </c>
      <c r="KA24" s="3">
        <v>14708.36</v>
      </c>
      <c r="KB24" s="3">
        <v>14839.13</v>
      </c>
      <c r="KC24" s="3">
        <v>14970.73</v>
      </c>
      <c r="KD24" s="3">
        <v>15103.79</v>
      </c>
      <c r="KE24" s="3">
        <v>15237.83</v>
      </c>
      <c r="KF24" s="3">
        <v>15372.92</v>
      </c>
      <c r="KG24" s="3">
        <v>15509.01</v>
      </c>
      <c r="KH24" s="3">
        <v>15646.49</v>
      </c>
      <c r="KI24" s="3">
        <v>15784.68</v>
      </c>
      <c r="KJ24" s="3">
        <v>15924.18</v>
      </c>
      <c r="KK24" s="3">
        <v>16064.58</v>
      </c>
      <c r="KL24" s="3">
        <v>16206.29</v>
      </c>
      <c r="KM24" s="3">
        <v>16349.24</v>
      </c>
      <c r="KN24" s="3">
        <v>16493.099999999999</v>
      </c>
      <c r="KO24" s="3">
        <v>16638.22</v>
      </c>
      <c r="KP24" s="3">
        <v>16784.689999999999</v>
      </c>
      <c r="KQ24" s="3">
        <v>16932.25</v>
      </c>
      <c r="KR24" s="3">
        <v>17080.96</v>
      </c>
      <c r="KS24" s="3">
        <v>17230.939999999999</v>
      </c>
      <c r="KT24" s="3">
        <v>17381.990000000002</v>
      </c>
      <c r="KU24" s="3">
        <v>17534.36</v>
      </c>
      <c r="KV24" s="3">
        <v>17688.349999999999</v>
      </c>
      <c r="KW24" s="3">
        <v>17842.93</v>
      </c>
      <c r="KX24" s="3">
        <v>17999.54</v>
      </c>
      <c r="KY24" s="3">
        <v>18157.09</v>
      </c>
      <c r="KZ24" s="3">
        <v>18315.310000000001</v>
      </c>
      <c r="LA24" s="3">
        <v>18475.400000000001</v>
      </c>
      <c r="LB24" s="3">
        <v>18636.39</v>
      </c>
      <c r="LC24" s="3">
        <v>18799.439999999999</v>
      </c>
      <c r="LD24" s="3">
        <v>18963.36</v>
      </c>
      <c r="LE24" s="3">
        <v>19128.23</v>
      </c>
      <c r="LF24" s="3">
        <v>19295.07</v>
      </c>
      <c r="LG24" s="3">
        <v>19463.099999999999</v>
      </c>
      <c r="LH24" s="3">
        <v>19632.759999999998</v>
      </c>
      <c r="LI24" s="3">
        <v>19803.939999999999</v>
      </c>
      <c r="LJ24" s="3">
        <v>19976.419999999998</v>
      </c>
      <c r="LK24" s="3">
        <v>20150.71</v>
      </c>
      <c r="LL24" s="3">
        <v>20326.34</v>
      </c>
      <c r="LM24" s="3">
        <v>20503.62</v>
      </c>
      <c r="LN24" s="3">
        <v>20682.419999999998</v>
      </c>
      <c r="LO24" s="3">
        <v>20862.689999999999</v>
      </c>
      <c r="LP24" s="3">
        <v>21044.57</v>
      </c>
      <c r="LQ24" s="3">
        <v>21228.21</v>
      </c>
      <c r="LR24" s="3">
        <v>21413.48</v>
      </c>
      <c r="LS24" s="3">
        <v>21600.25</v>
      </c>
      <c r="LT24" s="3">
        <v>21788.58</v>
      </c>
      <c r="LU24" s="3">
        <v>21978.76</v>
      </c>
      <c r="LV24" s="3">
        <v>22170.58</v>
      </c>
      <c r="LW24" s="3">
        <v>22363.98</v>
      </c>
      <c r="LX24" s="3">
        <v>22559.08</v>
      </c>
      <c r="LY24" s="3">
        <v>22755.98</v>
      </c>
      <c r="LZ24" s="3">
        <v>22954.3</v>
      </c>
      <c r="MA24" s="3">
        <v>23154.79</v>
      </c>
      <c r="MB24" s="3">
        <v>23356.720000000001</v>
      </c>
      <c r="MC24" s="3">
        <v>23560.720000000001</v>
      </c>
      <c r="MD24" s="3">
        <v>23766.59</v>
      </c>
      <c r="ME24" s="3">
        <v>23973.86</v>
      </c>
      <c r="MF24" s="3">
        <v>24183.32</v>
      </c>
      <c r="MG24" s="3">
        <v>24394.65</v>
      </c>
      <c r="MH24" s="3">
        <v>24607.81</v>
      </c>
      <c r="MI24" s="3">
        <v>24823.07</v>
      </c>
      <c r="MJ24" s="3">
        <v>25040.04</v>
      </c>
      <c r="MK24" s="3">
        <v>25259.1</v>
      </c>
      <c r="ML24" s="3">
        <v>25479.98</v>
      </c>
      <c r="MM24" s="3">
        <v>25702.85</v>
      </c>
      <c r="MN24" s="3">
        <v>25927.49</v>
      </c>
      <c r="MO24" s="3">
        <v>26154.27</v>
      </c>
      <c r="MP24" s="3">
        <v>26383.21</v>
      </c>
      <c r="MQ24" s="3">
        <v>26614.11</v>
      </c>
      <c r="MR24" s="3">
        <v>26847.14</v>
      </c>
      <c r="MS24" s="3">
        <v>27082.23</v>
      </c>
      <c r="MT24" s="3">
        <v>27319.21</v>
      </c>
      <c r="MU24" t="s">
        <v>385</v>
      </c>
      <c r="MV24" t="b">
        <v>1</v>
      </c>
      <c r="MW24" t="s">
        <v>377</v>
      </c>
      <c r="MX24" t="s">
        <v>377</v>
      </c>
      <c r="MY24">
        <v>2025</v>
      </c>
      <c r="MZ24">
        <v>2</v>
      </c>
      <c r="NA24" t="s">
        <v>377</v>
      </c>
      <c r="NB24" s="1" t="s">
        <v>470</v>
      </c>
      <c r="NC24" s="1" t="s">
        <v>471</v>
      </c>
      <c r="ND24" t="s">
        <v>389</v>
      </c>
      <c r="NE24" t="s">
        <v>469</v>
      </c>
      <c r="NF24" s="1" t="s">
        <v>872</v>
      </c>
    </row>
    <row r="25" spans="1:370" x14ac:dyDescent="0.25">
      <c r="A25" t="s">
        <v>390</v>
      </c>
      <c r="B25" t="s">
        <v>466</v>
      </c>
      <c r="C25" s="1" t="s">
        <v>871</v>
      </c>
      <c r="D25" t="s">
        <v>391</v>
      </c>
      <c r="E25" t="s">
        <v>384</v>
      </c>
      <c r="F25" t="s">
        <v>374</v>
      </c>
      <c r="G25" s="2">
        <v>26933.3</v>
      </c>
      <c r="H25" s="2">
        <v>28157.05</v>
      </c>
      <c r="I25" s="2">
        <v>29238.7</v>
      </c>
      <c r="J25" s="2">
        <v>31016.400000000001</v>
      </c>
      <c r="K25" s="2">
        <v>31753.63</v>
      </c>
      <c r="L25" s="2">
        <v>33930.949999999997</v>
      </c>
      <c r="M25" s="2">
        <v>35516.03</v>
      </c>
      <c r="N25" s="2">
        <v>36474.86</v>
      </c>
      <c r="O25" s="2">
        <v>36545.54</v>
      </c>
      <c r="P25" s="2">
        <v>37719.39</v>
      </c>
      <c r="Q25" s="2">
        <v>38571.11</v>
      </c>
      <c r="R25" s="2">
        <v>39688.019999999997</v>
      </c>
      <c r="S25" s="2">
        <v>41031.21</v>
      </c>
      <c r="T25" s="2">
        <v>42381.9</v>
      </c>
      <c r="U25" s="2">
        <v>43663.79</v>
      </c>
      <c r="V25" s="2">
        <v>44307.26</v>
      </c>
      <c r="W25" s="2">
        <v>46208.160000000003</v>
      </c>
      <c r="X25" s="2">
        <v>47188.55</v>
      </c>
      <c r="Y25" s="2">
        <v>48206.74</v>
      </c>
      <c r="Z25" s="2">
        <v>49452.32</v>
      </c>
      <c r="AA25" s="2">
        <v>50956.05</v>
      </c>
      <c r="AB25" s="2">
        <v>51935.86</v>
      </c>
      <c r="AC25" s="2">
        <v>53285.35</v>
      </c>
      <c r="AD25" s="2">
        <v>54291.46</v>
      </c>
      <c r="AE25" s="2">
        <v>55388.07</v>
      </c>
      <c r="AF25" s="2">
        <v>56633.06</v>
      </c>
      <c r="AG25" s="2">
        <v>57492.95</v>
      </c>
      <c r="AH25" s="2">
        <v>58346.5</v>
      </c>
      <c r="AI25" s="2">
        <v>61503.23</v>
      </c>
      <c r="AJ25" s="2">
        <v>62726.55</v>
      </c>
      <c r="AK25" s="2">
        <v>64704.800000000003</v>
      </c>
      <c r="AL25" s="2">
        <v>66661.77</v>
      </c>
      <c r="AM25" s="2">
        <v>67372.83</v>
      </c>
      <c r="AN25" s="2">
        <v>68327.75</v>
      </c>
      <c r="AO25" s="2">
        <v>68850.899999999994</v>
      </c>
      <c r="AP25" s="2">
        <v>69811.02</v>
      </c>
      <c r="AQ25" s="2">
        <v>71340.800000000003</v>
      </c>
      <c r="AR25" s="2">
        <v>71689.350000000006</v>
      </c>
      <c r="AS25" s="2">
        <v>72286.67</v>
      </c>
      <c r="AT25" s="2">
        <v>73223.199999999997</v>
      </c>
      <c r="AU25" s="2">
        <v>74210.3</v>
      </c>
      <c r="AV25" s="2">
        <v>74890.83</v>
      </c>
      <c r="AW25" s="2">
        <v>75910.92</v>
      </c>
      <c r="AX25" s="2">
        <v>76721.100000000006</v>
      </c>
      <c r="AY25" s="2">
        <v>77905.98</v>
      </c>
      <c r="AZ25" s="2">
        <v>79687.98</v>
      </c>
      <c r="BA25" s="2">
        <v>80630.67</v>
      </c>
      <c r="BB25" s="2">
        <v>81410.850000000006</v>
      </c>
      <c r="BC25" s="2">
        <v>82806.080000000002</v>
      </c>
      <c r="BD25" s="2">
        <v>84544.17</v>
      </c>
      <c r="BE25" s="2">
        <v>85629.42</v>
      </c>
      <c r="BF25" s="2">
        <v>87302.05</v>
      </c>
      <c r="BG25" s="2">
        <v>88088.88</v>
      </c>
      <c r="BH25" s="2">
        <v>88883</v>
      </c>
      <c r="BI25" s="2">
        <v>89778.35</v>
      </c>
      <c r="BJ25" s="2">
        <v>90546.73</v>
      </c>
      <c r="BK25" s="2">
        <v>90614.27</v>
      </c>
      <c r="BL25" s="2">
        <v>92024.13</v>
      </c>
      <c r="BM25" s="2">
        <v>94048.6</v>
      </c>
      <c r="BN25" s="2">
        <v>96334.38</v>
      </c>
      <c r="BO25" s="2">
        <v>98371.63</v>
      </c>
      <c r="BP25" s="2">
        <v>98672.58</v>
      </c>
      <c r="BQ25" s="2">
        <v>100998.5</v>
      </c>
      <c r="BR25" s="2">
        <v>102462.39999999999</v>
      </c>
      <c r="BS25" s="2">
        <v>105206.9</v>
      </c>
      <c r="BT25" s="2">
        <v>105097.9</v>
      </c>
      <c r="BU25" s="2">
        <v>107386.1</v>
      </c>
      <c r="BV25" s="2">
        <v>111002.5</v>
      </c>
      <c r="BW25" s="2">
        <v>110981.6</v>
      </c>
      <c r="BX25" s="2">
        <v>114460.6</v>
      </c>
      <c r="BY25" s="2">
        <v>117126.7</v>
      </c>
      <c r="BZ25" s="2">
        <v>118426.5</v>
      </c>
      <c r="CA25" s="2">
        <v>120498.4</v>
      </c>
      <c r="CB25" s="2">
        <v>122538.1</v>
      </c>
      <c r="CC25" s="2">
        <v>123106.1</v>
      </c>
      <c r="CD25" s="2">
        <v>125051.9</v>
      </c>
      <c r="CE25" s="2">
        <v>125131.5</v>
      </c>
      <c r="CF25" s="2">
        <v>126355.8</v>
      </c>
      <c r="CG25" s="2">
        <v>126632.1</v>
      </c>
      <c r="CH25" s="2">
        <v>125989.8</v>
      </c>
      <c r="CI25" s="2">
        <v>126997.9</v>
      </c>
      <c r="CJ25" s="2">
        <v>125694.3</v>
      </c>
      <c r="CK25" s="2">
        <v>125468.4</v>
      </c>
      <c r="CL25" s="2">
        <v>126265</v>
      </c>
      <c r="CM25" s="2">
        <v>127530.5</v>
      </c>
      <c r="CN25" s="2">
        <v>127255.1</v>
      </c>
      <c r="CO25" s="2">
        <v>128243.1</v>
      </c>
      <c r="CP25" s="2">
        <v>127900.2</v>
      </c>
      <c r="CQ25" s="2">
        <v>128727</v>
      </c>
      <c r="CR25" s="2">
        <v>129691.5</v>
      </c>
      <c r="CS25" s="2">
        <v>131345.60000000001</v>
      </c>
      <c r="CT25" s="2">
        <v>131763</v>
      </c>
      <c r="CU25" s="2">
        <v>132246</v>
      </c>
      <c r="CV25" s="2">
        <v>134007.9</v>
      </c>
      <c r="CW25" s="2">
        <v>134036.6</v>
      </c>
      <c r="CX25" s="2">
        <v>135290.20000000001</v>
      </c>
      <c r="CY25" s="2">
        <v>135531</v>
      </c>
      <c r="CZ25" s="2">
        <v>136016.70000000001</v>
      </c>
      <c r="DA25" s="2">
        <v>136010.70000000001</v>
      </c>
      <c r="DB25" s="2">
        <v>136246.6</v>
      </c>
      <c r="DC25" s="2">
        <v>134490.20000000001</v>
      </c>
      <c r="DD25" s="2">
        <v>133701.9</v>
      </c>
      <c r="DE25" s="2">
        <v>133477.79999999999</v>
      </c>
      <c r="DF25" s="2">
        <v>134822</v>
      </c>
      <c r="DG25" s="2">
        <v>132267.20000000001</v>
      </c>
      <c r="DH25" s="2">
        <v>132253.4</v>
      </c>
      <c r="DI25" s="2">
        <v>132149.29999999999</v>
      </c>
      <c r="DJ25" s="2">
        <v>131961.60000000001</v>
      </c>
      <c r="DK25" s="2">
        <v>133789</v>
      </c>
      <c r="DL25" s="2">
        <v>133836.5</v>
      </c>
      <c r="DM25" s="2">
        <v>133612.9</v>
      </c>
      <c r="DN25" s="2">
        <v>134454.79999999999</v>
      </c>
      <c r="DO25" s="2">
        <v>135645.9</v>
      </c>
      <c r="DP25" s="2">
        <v>133557.5</v>
      </c>
      <c r="DQ25" s="2">
        <v>131761.79999999999</v>
      </c>
      <c r="DR25" s="2">
        <v>130974.9</v>
      </c>
      <c r="DS25" s="2">
        <v>131372.6</v>
      </c>
      <c r="DT25" s="2">
        <v>131053.4</v>
      </c>
      <c r="DU25" s="2">
        <v>131052.2</v>
      </c>
      <c r="DV25" s="2">
        <v>131103.6</v>
      </c>
      <c r="DW25" s="2">
        <v>130344.7</v>
      </c>
      <c r="DX25" s="2">
        <v>131128.29999999999</v>
      </c>
      <c r="DY25" s="2">
        <v>131095.79999999999</v>
      </c>
      <c r="DZ25" s="2">
        <v>131600</v>
      </c>
      <c r="EA25" s="2">
        <v>132341.79999999999</v>
      </c>
      <c r="EB25" s="2">
        <v>131913</v>
      </c>
      <c r="EC25" s="2">
        <v>132619.4</v>
      </c>
      <c r="ED25" s="2">
        <v>132479.79999999999</v>
      </c>
      <c r="EE25" s="2">
        <v>132478.70000000001</v>
      </c>
      <c r="EF25" s="2">
        <v>132835.79999999999</v>
      </c>
      <c r="EG25" s="2">
        <v>133643</v>
      </c>
      <c r="EH25" s="2">
        <v>133685</v>
      </c>
      <c r="EI25" s="2">
        <v>133642.20000000001</v>
      </c>
      <c r="EJ25" s="2">
        <v>133497.29999999999</v>
      </c>
      <c r="EK25" s="2">
        <v>133057.1</v>
      </c>
      <c r="EL25" s="2">
        <v>134978.6</v>
      </c>
      <c r="EM25" s="2">
        <v>135497.1</v>
      </c>
      <c r="EN25" s="2">
        <v>135508.4</v>
      </c>
      <c r="EO25" s="2">
        <v>134119.29999999999</v>
      </c>
      <c r="EP25" s="2">
        <v>134202.1</v>
      </c>
      <c r="EQ25" s="2">
        <v>134409.9</v>
      </c>
      <c r="ER25" s="2">
        <v>133398.79999999999</v>
      </c>
      <c r="ES25" s="2">
        <v>130807.4</v>
      </c>
      <c r="ET25" s="2">
        <v>129225.9</v>
      </c>
      <c r="EU25" s="2">
        <v>123058.3</v>
      </c>
      <c r="EV25" s="2">
        <v>124464.5</v>
      </c>
      <c r="EW25" s="2">
        <v>123407.5</v>
      </c>
      <c r="EX25" s="2">
        <v>124117</v>
      </c>
      <c r="EY25" s="2">
        <v>125377.9</v>
      </c>
      <c r="EZ25" s="2">
        <v>126239.1</v>
      </c>
      <c r="FA25" s="2">
        <v>127732.8</v>
      </c>
      <c r="FB25" s="2">
        <v>126324.7</v>
      </c>
      <c r="FC25" s="2">
        <v>124673.7</v>
      </c>
      <c r="FD25" s="2">
        <v>122672.3</v>
      </c>
      <c r="FE25" s="2">
        <v>125260.3</v>
      </c>
      <c r="FF25" s="2">
        <v>125065.3</v>
      </c>
      <c r="FG25" s="2">
        <v>126873.4</v>
      </c>
      <c r="FH25" s="2">
        <v>125046.1</v>
      </c>
      <c r="FI25" s="2">
        <v>124380.6</v>
      </c>
      <c r="FJ25" s="2">
        <v>124314.6</v>
      </c>
      <c r="FK25" s="2">
        <v>125742.2</v>
      </c>
      <c r="FL25" s="2">
        <v>126888.7</v>
      </c>
      <c r="FM25" s="2">
        <v>128215.3</v>
      </c>
      <c r="FN25" s="2">
        <v>128120.6</v>
      </c>
      <c r="FO25" s="2">
        <v>129150.8</v>
      </c>
      <c r="FP25" s="2">
        <v>129489.7</v>
      </c>
      <c r="FQ25" s="2">
        <v>129568.4</v>
      </c>
      <c r="FR25" s="2">
        <v>130518</v>
      </c>
      <c r="FS25" s="2">
        <v>133676.79999999999</v>
      </c>
      <c r="FT25" s="2">
        <v>134553.9</v>
      </c>
      <c r="FU25" s="2">
        <v>134982.29999999999</v>
      </c>
      <c r="FV25" s="2">
        <v>134821</v>
      </c>
      <c r="FW25" s="2">
        <v>136319.5</v>
      </c>
      <c r="FX25" s="2">
        <v>135844</v>
      </c>
      <c r="FY25" s="2">
        <v>135904.20000000001</v>
      </c>
      <c r="FZ25" s="2">
        <v>136130.79999999999</v>
      </c>
      <c r="GA25" s="2">
        <v>136923.29999999999</v>
      </c>
      <c r="GB25" s="2">
        <v>137640.29999999999</v>
      </c>
      <c r="GC25" s="2">
        <v>139284.5</v>
      </c>
      <c r="GD25" s="2">
        <v>139200.5</v>
      </c>
      <c r="GE25" s="2">
        <v>139606.9</v>
      </c>
      <c r="GF25" s="2">
        <v>139720.1</v>
      </c>
      <c r="GG25" s="2">
        <v>138849.9</v>
      </c>
      <c r="GH25" s="2">
        <v>138374.1</v>
      </c>
      <c r="GI25" s="2">
        <v>139688.9</v>
      </c>
      <c r="GJ25" s="2">
        <v>140224.5</v>
      </c>
      <c r="GK25" s="2">
        <v>140381</v>
      </c>
      <c r="GL25" s="2">
        <v>137554.5</v>
      </c>
      <c r="GM25" s="2">
        <v>138574.20000000001</v>
      </c>
      <c r="GN25" s="2">
        <v>128495.5</v>
      </c>
      <c r="GO25" s="2">
        <v>135089.5</v>
      </c>
      <c r="GP25" s="2">
        <v>137277.6</v>
      </c>
      <c r="GQ25" s="2">
        <v>137669.79999999999</v>
      </c>
      <c r="GR25" s="2">
        <v>138545.70000000001</v>
      </c>
      <c r="GS25" s="2">
        <v>137880.20000000001</v>
      </c>
      <c r="GT25" s="2">
        <v>139187.70000000001</v>
      </c>
      <c r="GU25" s="2">
        <v>139280</v>
      </c>
      <c r="GV25" s="2">
        <v>140186.20000000001</v>
      </c>
      <c r="GW25" s="2">
        <v>139349.29999999999</v>
      </c>
      <c r="GX25" s="2">
        <v>141794.9</v>
      </c>
      <c r="GY25" s="2">
        <v>145517.1</v>
      </c>
      <c r="GZ25" s="2">
        <v>148264.5</v>
      </c>
      <c r="HA25" s="2">
        <v>148178.5</v>
      </c>
      <c r="HB25" s="2">
        <v>148685.29999999999</v>
      </c>
      <c r="HC25" s="2">
        <v>148627.1</v>
      </c>
      <c r="HD25" s="2">
        <v>151910.79999999999</v>
      </c>
      <c r="HE25" s="2">
        <v>152899.4</v>
      </c>
      <c r="HF25" s="2">
        <v>154875.5</v>
      </c>
      <c r="HG25" s="2">
        <v>156354.29999999999</v>
      </c>
      <c r="HH25" s="2">
        <v>158326.20000000001</v>
      </c>
      <c r="HI25" s="3">
        <v>158633.4</v>
      </c>
      <c r="HJ25" s="3">
        <v>159055.29999999999</v>
      </c>
      <c r="HK25" s="3">
        <v>159594.6</v>
      </c>
      <c r="HL25" s="3">
        <v>160302.39999999999</v>
      </c>
      <c r="HM25" s="3">
        <v>160843.1</v>
      </c>
      <c r="HN25" s="3">
        <v>161244.5</v>
      </c>
      <c r="HO25" s="3">
        <v>161533.6</v>
      </c>
      <c r="HP25" s="3">
        <v>161895.9</v>
      </c>
      <c r="HQ25" s="3">
        <v>162289.29999999999</v>
      </c>
      <c r="HR25" s="3">
        <v>162707.6</v>
      </c>
      <c r="HS25" s="3">
        <v>163118.29999999999</v>
      </c>
      <c r="HT25" s="3">
        <v>163609.29999999999</v>
      </c>
      <c r="HU25" s="3">
        <v>164109</v>
      </c>
      <c r="HV25" s="3">
        <v>164613.6</v>
      </c>
      <c r="HW25" s="3">
        <v>165121.1</v>
      </c>
      <c r="HX25" s="3">
        <v>165641.60000000001</v>
      </c>
      <c r="HY25" s="3">
        <v>166163</v>
      </c>
      <c r="HZ25" s="3">
        <v>166698.5</v>
      </c>
      <c r="IA25" s="3">
        <v>167268.79999999999</v>
      </c>
      <c r="IB25" s="3">
        <v>167884.4</v>
      </c>
      <c r="IC25" s="3">
        <v>168515</v>
      </c>
      <c r="ID25" s="3">
        <v>169145.5</v>
      </c>
      <c r="IE25" s="3">
        <v>169769.9</v>
      </c>
      <c r="IF25" s="3">
        <v>170379</v>
      </c>
      <c r="IG25" s="3">
        <v>170957.2</v>
      </c>
      <c r="IH25" s="3">
        <v>171529.1</v>
      </c>
      <c r="II25" s="3">
        <v>172108.6</v>
      </c>
      <c r="IJ25" s="3">
        <v>172688.7</v>
      </c>
      <c r="IK25" s="3">
        <v>173250.5</v>
      </c>
      <c r="IL25" s="3">
        <v>173813.8</v>
      </c>
      <c r="IM25" s="3">
        <v>174354.1</v>
      </c>
      <c r="IN25" s="3">
        <v>174926.1</v>
      </c>
      <c r="IO25" s="3">
        <v>175514.2</v>
      </c>
      <c r="IP25" s="3">
        <v>176086.6</v>
      </c>
      <c r="IQ25" s="3">
        <v>176682.3</v>
      </c>
      <c r="IR25" s="3">
        <v>177277.9</v>
      </c>
      <c r="IS25" s="3">
        <v>177854.2</v>
      </c>
      <c r="IT25" s="3">
        <v>178409.2</v>
      </c>
      <c r="IU25" s="3">
        <v>178983.5</v>
      </c>
      <c r="IV25" s="3">
        <v>179559.3</v>
      </c>
      <c r="IW25" s="3">
        <v>180118</v>
      </c>
      <c r="IX25" s="3">
        <v>180658.5</v>
      </c>
      <c r="IY25" s="3">
        <v>181211.8</v>
      </c>
      <c r="IZ25" s="3">
        <v>181764.9</v>
      </c>
      <c r="JA25" s="3">
        <v>182312</v>
      </c>
      <c r="JB25" s="3">
        <v>182854.8</v>
      </c>
      <c r="JC25" s="3">
        <v>183410.3</v>
      </c>
      <c r="JD25" s="3">
        <v>183959</v>
      </c>
      <c r="JE25" s="3">
        <v>184503</v>
      </c>
      <c r="JF25" s="3">
        <v>185042</v>
      </c>
      <c r="JG25" s="3">
        <v>185596.5</v>
      </c>
      <c r="JH25" s="3">
        <v>186144.6</v>
      </c>
      <c r="JI25" s="3">
        <v>186686.7</v>
      </c>
      <c r="JJ25" s="3">
        <v>187221.6</v>
      </c>
      <c r="JK25" s="3">
        <v>187769.2</v>
      </c>
      <c r="JL25" s="3">
        <v>188310.9</v>
      </c>
      <c r="JM25" s="3">
        <v>188858.1</v>
      </c>
      <c r="JN25" s="3">
        <v>189410.2</v>
      </c>
      <c r="JO25" s="3">
        <v>189978.7</v>
      </c>
      <c r="JP25" s="3">
        <v>190540.3</v>
      </c>
      <c r="JQ25" s="3">
        <v>191109</v>
      </c>
      <c r="JR25" s="3">
        <v>191682.3</v>
      </c>
      <c r="JS25" s="3">
        <v>192273.2</v>
      </c>
      <c r="JT25" s="3">
        <v>192858.3</v>
      </c>
      <c r="JU25" s="3">
        <v>193449.8</v>
      </c>
      <c r="JV25" s="3">
        <v>194044.1</v>
      </c>
      <c r="JW25" s="3">
        <v>194658.1</v>
      </c>
      <c r="JX25" s="3">
        <v>195288</v>
      </c>
      <c r="JY25" s="3">
        <v>195897.2</v>
      </c>
      <c r="JZ25" s="3">
        <v>196512.4</v>
      </c>
      <c r="KA25" s="3">
        <v>197148.3</v>
      </c>
      <c r="KB25" s="3">
        <v>197780.4</v>
      </c>
      <c r="KC25" s="3">
        <v>198417.7</v>
      </c>
      <c r="KD25" s="3">
        <v>199059.5</v>
      </c>
      <c r="KE25" s="3">
        <v>199726.3</v>
      </c>
      <c r="KF25" s="3">
        <v>200396.4</v>
      </c>
      <c r="KG25" s="3">
        <v>201077</v>
      </c>
      <c r="KH25" s="3">
        <v>201767.5</v>
      </c>
      <c r="KI25" s="3">
        <v>202484.5</v>
      </c>
      <c r="KJ25" s="3">
        <v>203202.8</v>
      </c>
      <c r="KK25" s="3">
        <v>203930.6</v>
      </c>
      <c r="KL25" s="3">
        <v>204667.2</v>
      </c>
      <c r="KM25" s="3">
        <v>205430.3</v>
      </c>
      <c r="KN25" s="3">
        <v>206195.3</v>
      </c>
      <c r="KO25" s="3">
        <v>206968.5</v>
      </c>
      <c r="KP25" s="3">
        <v>207748.4</v>
      </c>
      <c r="KQ25" s="3">
        <v>208549</v>
      </c>
      <c r="KR25" s="3">
        <v>209346</v>
      </c>
      <c r="KS25" s="3">
        <v>210153.3</v>
      </c>
      <c r="KT25" s="3">
        <v>210967.6</v>
      </c>
      <c r="KU25" s="3">
        <v>211798.39999999999</v>
      </c>
      <c r="KV25" s="3">
        <v>212623.8</v>
      </c>
      <c r="KW25" s="3">
        <v>213455.4</v>
      </c>
      <c r="KX25" s="3">
        <v>214292.4</v>
      </c>
      <c r="KY25" s="3">
        <v>215141.7</v>
      </c>
      <c r="KZ25" s="3">
        <v>215986.7</v>
      </c>
      <c r="LA25" s="3">
        <v>216847.2</v>
      </c>
      <c r="LB25" s="3">
        <v>217724.5</v>
      </c>
      <c r="LC25" s="3">
        <v>218620.7</v>
      </c>
      <c r="LD25" s="3">
        <v>219510.1</v>
      </c>
      <c r="LE25" s="3">
        <v>220418.3</v>
      </c>
      <c r="LF25" s="3">
        <v>221341.8</v>
      </c>
      <c r="LG25" s="3">
        <v>222273.4</v>
      </c>
      <c r="LH25" s="3">
        <v>223208.5</v>
      </c>
      <c r="LI25" s="3">
        <v>224165.6</v>
      </c>
      <c r="LJ25" s="3">
        <v>225140</v>
      </c>
      <c r="LK25" s="3">
        <v>226111.8</v>
      </c>
      <c r="LL25" s="3">
        <v>227086.3</v>
      </c>
      <c r="LM25" s="3">
        <v>228091.4</v>
      </c>
      <c r="LN25" s="3">
        <v>229124.2</v>
      </c>
      <c r="LO25" s="3">
        <v>230156.9</v>
      </c>
      <c r="LP25" s="3">
        <v>231188.2</v>
      </c>
      <c r="LQ25" s="3">
        <v>232239.4</v>
      </c>
      <c r="LR25" s="3">
        <v>233308.3</v>
      </c>
      <c r="LS25" s="3">
        <v>234382.6</v>
      </c>
      <c r="LT25" s="3">
        <v>235459.20000000001</v>
      </c>
      <c r="LU25" s="3">
        <v>236549.7</v>
      </c>
      <c r="LV25" s="3">
        <v>237653.5</v>
      </c>
      <c r="LW25" s="3">
        <v>238762.4</v>
      </c>
      <c r="LX25" s="3">
        <v>239877.8</v>
      </c>
      <c r="LY25" s="3">
        <v>241009.7</v>
      </c>
      <c r="LZ25" s="3">
        <v>242154.4</v>
      </c>
      <c r="MA25" s="3">
        <v>243306.3</v>
      </c>
      <c r="MB25" s="3">
        <v>244463.1</v>
      </c>
      <c r="MC25" s="3">
        <v>245633.2</v>
      </c>
      <c r="MD25" s="3">
        <v>246813.3</v>
      </c>
      <c r="ME25" s="3">
        <v>247995.4</v>
      </c>
      <c r="MF25" s="3">
        <v>249178.8</v>
      </c>
      <c r="MG25" s="3">
        <v>250383.1</v>
      </c>
      <c r="MH25" s="3">
        <v>251604.1</v>
      </c>
      <c r="MI25" s="3">
        <v>252824.8</v>
      </c>
      <c r="MJ25" s="3">
        <v>254046.8</v>
      </c>
      <c r="MK25" s="3">
        <v>255284.8</v>
      </c>
      <c r="ML25" s="3">
        <v>256537.2</v>
      </c>
      <c r="MM25" s="3">
        <v>257789.5</v>
      </c>
      <c r="MN25" s="3">
        <v>259040.3</v>
      </c>
      <c r="MO25" s="3">
        <v>260301.9</v>
      </c>
      <c r="MP25" s="3">
        <v>261573.6</v>
      </c>
      <c r="MQ25" s="3">
        <v>262843.8</v>
      </c>
      <c r="MR25" s="3">
        <v>264115.8</v>
      </c>
      <c r="MS25" s="3">
        <v>265404.79999999999</v>
      </c>
      <c r="MT25" s="3">
        <v>266707.3</v>
      </c>
      <c r="MU25" t="s">
        <v>392</v>
      </c>
      <c r="MV25" t="b">
        <v>1</v>
      </c>
      <c r="MW25" t="s">
        <v>377</v>
      </c>
      <c r="MX25" t="s">
        <v>377</v>
      </c>
      <c r="MY25">
        <v>2025</v>
      </c>
      <c r="MZ25">
        <v>2</v>
      </c>
      <c r="NA25" t="s">
        <v>377</v>
      </c>
      <c r="NB25" s="1" t="s">
        <v>472</v>
      </c>
      <c r="NC25" s="1" t="s">
        <v>473</v>
      </c>
      <c r="ND25" t="s">
        <v>395</v>
      </c>
      <c r="NE25" t="s">
        <v>469</v>
      </c>
      <c r="NF25" s="1" t="s">
        <v>872</v>
      </c>
    </row>
    <row r="26" spans="1:370" x14ac:dyDescent="0.25">
      <c r="A26" t="s">
        <v>396</v>
      </c>
      <c r="B26" t="s">
        <v>466</v>
      </c>
      <c r="C26" s="1" t="s">
        <v>871</v>
      </c>
      <c r="D26" t="s">
        <v>397</v>
      </c>
      <c r="E26" t="s">
        <v>384</v>
      </c>
      <c r="F26" t="s">
        <v>374</v>
      </c>
      <c r="G26" s="2">
        <v>134.9502</v>
      </c>
      <c r="H26" s="2">
        <v>136.90799999999999</v>
      </c>
      <c r="I26" s="2">
        <v>139.22890000000001</v>
      </c>
      <c r="J26" s="2">
        <v>142.09970000000001</v>
      </c>
      <c r="K26" s="2">
        <v>146.2244</v>
      </c>
      <c r="L26" s="2">
        <v>148.4573</v>
      </c>
      <c r="M26" s="2">
        <v>151.58109999999999</v>
      </c>
      <c r="N26" s="2">
        <v>153.066</v>
      </c>
      <c r="O26" s="2">
        <v>154.1439</v>
      </c>
      <c r="P26" s="2">
        <v>154.7269</v>
      </c>
      <c r="Q26" s="2">
        <v>156.82769999999999</v>
      </c>
      <c r="R26" s="2">
        <v>161.94239999999999</v>
      </c>
      <c r="S26" s="2">
        <v>164.31819999999999</v>
      </c>
      <c r="T26" s="2">
        <v>168.48699999999999</v>
      </c>
      <c r="U26" s="2">
        <v>169.88390000000001</v>
      </c>
      <c r="V26" s="2">
        <v>174.54759999999999</v>
      </c>
      <c r="W26" s="2">
        <v>177.1104</v>
      </c>
      <c r="X26" s="2">
        <v>179.65119999999999</v>
      </c>
      <c r="Y26" s="2">
        <v>180.2672</v>
      </c>
      <c r="Z26" s="2">
        <v>185.6788</v>
      </c>
      <c r="AA26" s="2">
        <v>187.94470000000001</v>
      </c>
      <c r="AB26" s="2">
        <v>190.29849999999999</v>
      </c>
      <c r="AC26" s="2">
        <v>195.0942</v>
      </c>
      <c r="AD26" s="2">
        <v>198.22900000000001</v>
      </c>
      <c r="AE26" s="2">
        <v>201.0008</v>
      </c>
      <c r="AF26" s="2">
        <v>209.6463</v>
      </c>
      <c r="AG26" s="2">
        <v>212.8031</v>
      </c>
      <c r="AH26" s="2">
        <v>215.57490000000001</v>
      </c>
      <c r="AI26" s="2">
        <v>221.54750000000001</v>
      </c>
      <c r="AJ26" s="2">
        <v>224.2533</v>
      </c>
      <c r="AK26" s="2">
        <v>225.26519999999999</v>
      </c>
      <c r="AL26" s="2">
        <v>225.3862</v>
      </c>
      <c r="AM26" s="2">
        <v>230.2919</v>
      </c>
      <c r="AN26" s="2">
        <v>233.69069999999999</v>
      </c>
      <c r="AO26" s="2">
        <v>236.49549999999999</v>
      </c>
      <c r="AP26" s="2">
        <v>239.2783</v>
      </c>
      <c r="AQ26" s="2">
        <v>242.55609999999999</v>
      </c>
      <c r="AR26" s="2">
        <v>244.19499999999999</v>
      </c>
      <c r="AS26" s="2">
        <v>244.64599999999999</v>
      </c>
      <c r="AT26" s="2">
        <v>246.4059</v>
      </c>
      <c r="AU26" s="2">
        <v>249.7826</v>
      </c>
      <c r="AV26" s="2">
        <v>252.99440000000001</v>
      </c>
      <c r="AW26" s="2">
        <v>255.8322</v>
      </c>
      <c r="AX26" s="2">
        <v>261.47489999999999</v>
      </c>
      <c r="AY26" s="2">
        <v>265.61059999999998</v>
      </c>
      <c r="AZ26" s="2">
        <v>261.26589999999999</v>
      </c>
      <c r="BA26" s="2">
        <v>269.4273</v>
      </c>
      <c r="BB26" s="2">
        <v>274.41000000000003</v>
      </c>
      <c r="BC26" s="2">
        <v>274.75099999999998</v>
      </c>
      <c r="BD26" s="2">
        <v>276.90690000000001</v>
      </c>
      <c r="BE26" s="2">
        <v>282.84649999999999</v>
      </c>
      <c r="BF26" s="2">
        <v>287.40019999999998</v>
      </c>
      <c r="BG26" s="2">
        <v>288.50009999999997</v>
      </c>
      <c r="BH26" s="2">
        <v>293.0428</v>
      </c>
      <c r="BI26" s="2">
        <v>297.95949999999999</v>
      </c>
      <c r="BJ26" s="2">
        <v>302.11720000000003</v>
      </c>
      <c r="BK26" s="2">
        <v>294.68169999999998</v>
      </c>
      <c r="BL26" s="2">
        <v>301.30329999999998</v>
      </c>
      <c r="BM26" s="2">
        <v>304.13010000000003</v>
      </c>
      <c r="BN26" s="2">
        <v>311.98360000000002</v>
      </c>
      <c r="BO26" s="2">
        <v>308.03480000000002</v>
      </c>
      <c r="BP26" s="2">
        <v>315.88830000000002</v>
      </c>
      <c r="BQ26" s="2">
        <v>322.00389999999999</v>
      </c>
      <c r="BR26" s="2">
        <v>329.17540000000002</v>
      </c>
      <c r="BS26" s="2">
        <v>335.04899999999998</v>
      </c>
      <c r="BT26" s="2">
        <v>337.42489999999998</v>
      </c>
      <c r="BU26" s="2">
        <v>342.88060000000002</v>
      </c>
      <c r="BV26" s="2">
        <v>349.39210000000003</v>
      </c>
      <c r="BW26" s="2">
        <v>362.01929999999999</v>
      </c>
      <c r="BX26" s="2">
        <v>367.05689999999998</v>
      </c>
      <c r="BY26" s="2">
        <v>376.02140000000003</v>
      </c>
      <c r="BZ26" s="2">
        <v>383.5779</v>
      </c>
      <c r="CA26" s="2">
        <v>389.68439999999998</v>
      </c>
      <c r="CB26" s="2">
        <v>396.77300000000002</v>
      </c>
      <c r="CC26" s="2">
        <v>397.78500000000003</v>
      </c>
      <c r="CD26" s="2">
        <v>412.48</v>
      </c>
      <c r="CE26" s="2">
        <v>422.28699999999998</v>
      </c>
      <c r="CF26" s="2">
        <v>425.82799999999997</v>
      </c>
      <c r="CG26" s="2">
        <v>428.59800000000001</v>
      </c>
      <c r="CH26" s="2">
        <v>431.62299999999999</v>
      </c>
      <c r="CI26" s="2">
        <v>432.411</v>
      </c>
      <c r="CJ26" s="2">
        <v>438.363</v>
      </c>
      <c r="CK26" s="2">
        <v>440.96600000000001</v>
      </c>
      <c r="CL26" s="2">
        <v>443.78</v>
      </c>
      <c r="CM26" s="2">
        <v>452.58300000000003</v>
      </c>
      <c r="CN26" s="2">
        <v>456.35899999999998</v>
      </c>
      <c r="CO26" s="2">
        <v>460.37799999999999</v>
      </c>
      <c r="CP26" s="2">
        <v>468.00299999999999</v>
      </c>
      <c r="CQ26" s="2">
        <v>468.22300000000001</v>
      </c>
      <c r="CR26" s="2">
        <v>475.01600000000002</v>
      </c>
      <c r="CS26" s="2">
        <v>478.202</v>
      </c>
      <c r="CT26" s="2">
        <v>479.06799999999998</v>
      </c>
      <c r="CU26" s="2">
        <v>475.524</v>
      </c>
      <c r="CV26" s="2">
        <v>481.29500000000002</v>
      </c>
      <c r="CW26" s="2">
        <v>483.81099999999998</v>
      </c>
      <c r="CX26" s="2">
        <v>489.11700000000002</v>
      </c>
      <c r="CY26" s="2">
        <v>485.613</v>
      </c>
      <c r="CZ26" s="2">
        <v>490.37799999999999</v>
      </c>
      <c r="DA26" s="2">
        <v>494.67899999999997</v>
      </c>
      <c r="DB26" s="2">
        <v>499.19400000000002</v>
      </c>
      <c r="DC26" s="2">
        <v>503.13</v>
      </c>
      <c r="DD26" s="2">
        <v>503.37900000000002</v>
      </c>
      <c r="DE26" s="2">
        <v>506.27499999999998</v>
      </c>
      <c r="DF26" s="2">
        <v>507.89800000000002</v>
      </c>
      <c r="DG26" s="2">
        <v>514.31700000000001</v>
      </c>
      <c r="DH26" s="2">
        <v>515.31600000000003</v>
      </c>
      <c r="DI26" s="2">
        <v>520.59199999999998</v>
      </c>
      <c r="DJ26" s="2">
        <v>522.61400000000003</v>
      </c>
      <c r="DK26" s="2">
        <v>529.375</v>
      </c>
      <c r="DL26" s="2">
        <v>533.16999999999996</v>
      </c>
      <c r="DM26" s="2">
        <v>534.08900000000006</v>
      </c>
      <c r="DN26" s="2">
        <v>533.25</v>
      </c>
      <c r="DO26" s="2">
        <v>547.49199999999996</v>
      </c>
      <c r="DP26" s="2">
        <v>547.60400000000004</v>
      </c>
      <c r="DQ26" s="2">
        <v>549.87099999999998</v>
      </c>
      <c r="DR26" s="2">
        <v>553.495</v>
      </c>
      <c r="DS26" s="2">
        <v>551.66800000000001</v>
      </c>
      <c r="DT26" s="2">
        <v>553.58699999999999</v>
      </c>
      <c r="DU26" s="2">
        <v>560.47400000000005</v>
      </c>
      <c r="DV26" s="2">
        <v>561.31600000000003</v>
      </c>
      <c r="DW26" s="2">
        <v>556.12800000000004</v>
      </c>
      <c r="DX26" s="2">
        <v>557.30499999999995</v>
      </c>
      <c r="DY26" s="2">
        <v>564.82299999999998</v>
      </c>
      <c r="DZ26" s="2">
        <v>565.99599999999998</v>
      </c>
      <c r="EA26" s="2">
        <v>567.21100000000001</v>
      </c>
      <c r="EB26" s="2">
        <v>573.60799999999995</v>
      </c>
      <c r="EC26" s="2">
        <v>572.46299999999997</v>
      </c>
      <c r="ED26" s="2">
        <v>572.67899999999997</v>
      </c>
      <c r="EE26" s="2">
        <v>574.31500000000005</v>
      </c>
      <c r="EF26" s="2">
        <v>578.00300000000004</v>
      </c>
      <c r="EG26" s="2">
        <v>583.07600000000002</v>
      </c>
      <c r="EH26" s="2">
        <v>587.09299999999996</v>
      </c>
      <c r="EI26" s="2">
        <v>592.1</v>
      </c>
      <c r="EJ26" s="2">
        <v>603.87099999999998</v>
      </c>
      <c r="EK26" s="2">
        <v>609.66700000000003</v>
      </c>
      <c r="EL26" s="2">
        <v>621.33000000000004</v>
      </c>
      <c r="EM26" s="2">
        <v>628.18299999999999</v>
      </c>
      <c r="EN26" s="2">
        <v>633.40800000000002</v>
      </c>
      <c r="EO26" s="2">
        <v>638.88599999999997</v>
      </c>
      <c r="EP26" s="2">
        <v>645.07799999999997</v>
      </c>
      <c r="EQ26" s="2">
        <v>650.49199999999996</v>
      </c>
      <c r="ER26" s="2">
        <v>648.82299999999998</v>
      </c>
      <c r="ES26" s="2">
        <v>647.13699999999994</v>
      </c>
      <c r="ET26" s="2">
        <v>639.52200000000005</v>
      </c>
      <c r="EU26" s="2">
        <v>615.57100000000003</v>
      </c>
      <c r="EV26" s="2">
        <v>618.58100000000002</v>
      </c>
      <c r="EW26" s="2">
        <v>624.95600000000002</v>
      </c>
      <c r="EX26" s="2">
        <v>632.91300000000001</v>
      </c>
      <c r="EY26" s="2">
        <v>636.72699999999998</v>
      </c>
      <c r="EZ26" s="2">
        <v>647.99599999999998</v>
      </c>
      <c r="FA26" s="2">
        <v>659.03599999999994</v>
      </c>
      <c r="FB26" s="2">
        <v>666.05399999999997</v>
      </c>
      <c r="FC26" s="2">
        <v>678.71400000000006</v>
      </c>
      <c r="FD26" s="2">
        <v>682.47400000000005</v>
      </c>
      <c r="FE26" s="2">
        <v>689.50300000000004</v>
      </c>
      <c r="FF26" s="2">
        <v>692.45699999999999</v>
      </c>
      <c r="FG26" s="2">
        <v>694.81100000000004</v>
      </c>
      <c r="FH26" s="2">
        <v>697.67200000000003</v>
      </c>
      <c r="FI26" s="2">
        <v>703.673</v>
      </c>
      <c r="FJ26" s="2">
        <v>704.44899999999996</v>
      </c>
      <c r="FK26" s="2">
        <v>706.27300000000002</v>
      </c>
      <c r="FL26" s="2">
        <v>715.57</v>
      </c>
      <c r="FM26" s="2">
        <v>722.70899999999995</v>
      </c>
      <c r="FN26" s="2">
        <v>726.67899999999997</v>
      </c>
      <c r="FO26" s="2">
        <v>739.43299999999999</v>
      </c>
      <c r="FP26" s="2">
        <v>743.24800000000005</v>
      </c>
      <c r="FQ26" s="2">
        <v>748.84400000000005</v>
      </c>
      <c r="FR26" s="2">
        <v>757.61</v>
      </c>
      <c r="FS26" s="2">
        <v>760.053</v>
      </c>
      <c r="FT26" s="2">
        <v>768.64700000000005</v>
      </c>
      <c r="FU26" s="2">
        <v>775.00300000000004</v>
      </c>
      <c r="FV26" s="2">
        <v>780.65499999999997</v>
      </c>
      <c r="FW26" s="2">
        <v>790.26499999999999</v>
      </c>
      <c r="FX26" s="2">
        <v>794.80799999999999</v>
      </c>
      <c r="FY26" s="2">
        <v>799.14300000000003</v>
      </c>
      <c r="FZ26" s="2">
        <v>805.76900000000001</v>
      </c>
      <c r="GA26" s="2">
        <v>818.68899999999996</v>
      </c>
      <c r="GB26" s="2">
        <v>828.33299999999997</v>
      </c>
      <c r="GC26" s="2">
        <v>839.45699999999999</v>
      </c>
      <c r="GD26" s="2">
        <v>850.79200000000003</v>
      </c>
      <c r="GE26" s="2">
        <v>849.36599999999999</v>
      </c>
      <c r="GF26" s="2">
        <v>859.28599999999994</v>
      </c>
      <c r="GG26" s="2">
        <v>859.35900000000004</v>
      </c>
      <c r="GH26" s="2">
        <v>870.79499999999996</v>
      </c>
      <c r="GI26" s="2">
        <v>877.38099999999997</v>
      </c>
      <c r="GJ26" s="2">
        <v>881.57899999999995</v>
      </c>
      <c r="GK26" s="2">
        <v>890.61500000000001</v>
      </c>
      <c r="GL26" s="2">
        <v>893.91</v>
      </c>
      <c r="GM26" s="2">
        <v>881.55700000000002</v>
      </c>
      <c r="GN26" s="2">
        <v>809.94100000000003</v>
      </c>
      <c r="GO26" s="2">
        <v>868.89099999999996</v>
      </c>
      <c r="GP26" s="2">
        <v>883.44200000000001</v>
      </c>
      <c r="GQ26" s="2">
        <v>888.81399999999996</v>
      </c>
      <c r="GR26" s="2">
        <v>909.20399999999995</v>
      </c>
      <c r="GS26" s="2">
        <v>930.35199999999998</v>
      </c>
      <c r="GT26" s="2">
        <v>944.82500000000005</v>
      </c>
      <c r="GU26" s="2">
        <v>971.76700000000005</v>
      </c>
      <c r="GV26" s="2">
        <v>989.27300000000002</v>
      </c>
      <c r="GW26" s="2">
        <v>1001.691</v>
      </c>
      <c r="GX26" s="2">
        <v>1020.051</v>
      </c>
      <c r="GY26" s="2">
        <v>1038.961</v>
      </c>
      <c r="GZ26" s="2">
        <v>1050.287</v>
      </c>
      <c r="HA26" s="2">
        <v>1060.2159999999999</v>
      </c>
      <c r="HB26" s="2">
        <v>1071.317</v>
      </c>
      <c r="HC26" s="2">
        <v>1074.528</v>
      </c>
      <c r="HD26" s="2">
        <v>1078.2139999999999</v>
      </c>
      <c r="HE26" s="2">
        <v>1083.8969999999999</v>
      </c>
      <c r="HF26" s="2">
        <v>1094.78</v>
      </c>
      <c r="HG26" s="2">
        <v>1104.3720000000001</v>
      </c>
      <c r="HH26" s="2">
        <v>1110.829</v>
      </c>
      <c r="HI26" s="3">
        <v>1117.335</v>
      </c>
      <c r="HJ26" s="3">
        <v>1123.895</v>
      </c>
      <c r="HK26" s="3">
        <v>1132.4680000000001</v>
      </c>
      <c r="HL26" s="3">
        <v>1143.097</v>
      </c>
      <c r="HM26" s="3">
        <v>1155.1510000000001</v>
      </c>
      <c r="HN26" s="3">
        <v>1167.703</v>
      </c>
      <c r="HO26" s="3">
        <v>1181.2619999999999</v>
      </c>
      <c r="HP26" s="3">
        <v>1195.8489999999999</v>
      </c>
      <c r="HQ26" s="3">
        <v>1211.191</v>
      </c>
      <c r="HR26" s="3">
        <v>1226.921</v>
      </c>
      <c r="HS26" s="3">
        <v>1242.4349999999999</v>
      </c>
      <c r="HT26" s="3">
        <v>1257.473</v>
      </c>
      <c r="HU26" s="3">
        <v>1271.768</v>
      </c>
      <c r="HV26" s="3">
        <v>1285.443</v>
      </c>
      <c r="HW26" s="3">
        <v>1298.819</v>
      </c>
      <c r="HX26" s="3">
        <v>1312.0219999999999</v>
      </c>
      <c r="HY26" s="3">
        <v>1325.17</v>
      </c>
      <c r="HZ26" s="3">
        <v>1338.0350000000001</v>
      </c>
      <c r="IA26" s="3">
        <v>1350.51</v>
      </c>
      <c r="IB26" s="3">
        <v>1362.57</v>
      </c>
      <c r="IC26" s="3">
        <v>1374.3</v>
      </c>
      <c r="ID26" s="3">
        <v>1385.617</v>
      </c>
      <c r="IE26" s="3">
        <v>1396.5219999999999</v>
      </c>
      <c r="IF26" s="3">
        <v>1407.18</v>
      </c>
      <c r="IG26" s="3">
        <v>1417.5050000000001</v>
      </c>
      <c r="IH26" s="3">
        <v>1427.4849999999999</v>
      </c>
      <c r="II26" s="3">
        <v>1437.2080000000001</v>
      </c>
      <c r="IJ26" s="3">
        <v>1446.7280000000001</v>
      </c>
      <c r="IK26" s="3">
        <v>1455.953</v>
      </c>
      <c r="IL26" s="3">
        <v>1464.971</v>
      </c>
      <c r="IM26" s="3">
        <v>1473.999</v>
      </c>
      <c r="IN26" s="3">
        <v>1483.115</v>
      </c>
      <c r="IO26" s="3">
        <v>1492.2809999999999</v>
      </c>
      <c r="IP26" s="3">
        <v>1501.4159999999999</v>
      </c>
      <c r="IQ26" s="3">
        <v>1510.6089999999999</v>
      </c>
      <c r="IR26" s="3">
        <v>1519.866</v>
      </c>
      <c r="IS26" s="3">
        <v>1529.114</v>
      </c>
      <c r="IT26" s="3">
        <v>1538.425</v>
      </c>
      <c r="IU26" s="3">
        <v>1547.9010000000001</v>
      </c>
      <c r="IV26" s="3">
        <v>1557.7550000000001</v>
      </c>
      <c r="IW26" s="3">
        <v>1568.06</v>
      </c>
      <c r="IX26" s="3">
        <v>1578.7539999999999</v>
      </c>
      <c r="IY26" s="3">
        <v>1589.6469999999999</v>
      </c>
      <c r="IZ26" s="3">
        <v>1600.607</v>
      </c>
      <c r="JA26" s="3">
        <v>1611.635</v>
      </c>
      <c r="JB26" s="3">
        <v>1622.731</v>
      </c>
      <c r="JC26" s="3">
        <v>1634.058</v>
      </c>
      <c r="JD26" s="3">
        <v>1645.4580000000001</v>
      </c>
      <c r="JE26" s="3">
        <v>1656.932</v>
      </c>
      <c r="JF26" s="3">
        <v>1668.482</v>
      </c>
      <c r="JG26" s="3">
        <v>1680.067</v>
      </c>
      <c r="JH26" s="3">
        <v>1691.73</v>
      </c>
      <c r="JI26" s="3">
        <v>1703.47</v>
      </c>
      <c r="JJ26" s="3">
        <v>1715.287</v>
      </c>
      <c r="JK26" s="3">
        <v>1727.6579999999999</v>
      </c>
      <c r="JL26" s="3">
        <v>1740.0309999999999</v>
      </c>
      <c r="JM26" s="3">
        <v>1752.49</v>
      </c>
      <c r="JN26" s="3">
        <v>1764.9159999999999</v>
      </c>
      <c r="JO26" s="3">
        <v>1777.864</v>
      </c>
      <c r="JP26" s="3">
        <v>1790.9110000000001</v>
      </c>
      <c r="JQ26" s="3">
        <v>1804.0550000000001</v>
      </c>
      <c r="JR26" s="3">
        <v>1817.299</v>
      </c>
      <c r="JS26" s="3">
        <v>1830.7049999999999</v>
      </c>
      <c r="JT26" s="3">
        <v>1844.212</v>
      </c>
      <c r="JU26" s="3">
        <v>1857.8209999999999</v>
      </c>
      <c r="JV26" s="3">
        <v>1871.5360000000001</v>
      </c>
      <c r="JW26" s="3">
        <v>1885.454</v>
      </c>
      <c r="JX26" s="3">
        <v>1899.48</v>
      </c>
      <c r="JY26" s="3">
        <v>1913.614</v>
      </c>
      <c r="JZ26" s="3">
        <v>1927.857</v>
      </c>
      <c r="KA26" s="3">
        <v>1942.059</v>
      </c>
      <c r="KB26" s="3">
        <v>1956.3689999999999</v>
      </c>
      <c r="KC26" s="3">
        <v>1970.7860000000001</v>
      </c>
      <c r="KD26" s="3">
        <v>1985.3140000000001</v>
      </c>
      <c r="KE26" s="3">
        <v>1999.806</v>
      </c>
      <c r="KF26" s="3">
        <v>2014.4059999999999</v>
      </c>
      <c r="KG26" s="3">
        <v>2029.117</v>
      </c>
      <c r="KH26" s="3">
        <v>2043.9369999999999</v>
      </c>
      <c r="KI26" s="3">
        <v>2058.7640000000001</v>
      </c>
      <c r="KJ26" s="3">
        <v>2073.6990000000001</v>
      </c>
      <c r="KK26" s="3">
        <v>2088.7440000000001</v>
      </c>
      <c r="KL26" s="3">
        <v>2103.902</v>
      </c>
      <c r="KM26" s="3">
        <v>2119.0419999999999</v>
      </c>
      <c r="KN26" s="3">
        <v>2134.2919999999999</v>
      </c>
      <c r="KO26" s="3">
        <v>2149.6559999999999</v>
      </c>
      <c r="KP26" s="3">
        <v>2165.1329999999998</v>
      </c>
      <c r="KQ26" s="3">
        <v>2180.3609999999999</v>
      </c>
      <c r="KR26" s="3">
        <v>2195.6959999999999</v>
      </c>
      <c r="KS26" s="3">
        <v>2211.1419999999998</v>
      </c>
      <c r="KT26" s="3">
        <v>2226.6280000000002</v>
      </c>
      <c r="KU26" s="3">
        <v>2242.2240000000002</v>
      </c>
      <c r="KV26" s="3">
        <v>2257.931</v>
      </c>
      <c r="KW26" s="3">
        <v>2273.75</v>
      </c>
      <c r="KX26" s="3">
        <v>2289.6840000000002</v>
      </c>
      <c r="KY26" s="3">
        <v>2305.607</v>
      </c>
      <c r="KZ26" s="3">
        <v>2321.6419999999998</v>
      </c>
      <c r="LA26" s="3">
        <v>2337.7919999999999</v>
      </c>
      <c r="LB26" s="3">
        <v>2354.0529999999999</v>
      </c>
      <c r="LC26" s="3">
        <v>2370.5079999999998</v>
      </c>
      <c r="LD26" s="3">
        <v>2387.08</v>
      </c>
      <c r="LE26" s="3">
        <v>2403.7710000000002</v>
      </c>
      <c r="LF26" s="3">
        <v>2420.5810000000001</v>
      </c>
      <c r="LG26" s="3">
        <v>2437.4670000000001</v>
      </c>
      <c r="LH26" s="3">
        <v>2454.4699999999998</v>
      </c>
      <c r="LI26" s="3">
        <v>2471.5909999999999</v>
      </c>
      <c r="LJ26" s="3">
        <v>2488.654</v>
      </c>
      <c r="LK26" s="3">
        <v>2505.741</v>
      </c>
      <c r="LL26" s="3">
        <v>2522.942</v>
      </c>
      <c r="LM26" s="3">
        <v>2540.2579999999998</v>
      </c>
      <c r="LN26" s="3">
        <v>2557.6869999999999</v>
      </c>
      <c r="LO26" s="3">
        <v>2574.953</v>
      </c>
      <c r="LP26" s="3">
        <v>2592.3290000000002</v>
      </c>
      <c r="LQ26" s="3">
        <v>2609.817</v>
      </c>
      <c r="LR26" s="3">
        <v>2627.415</v>
      </c>
      <c r="LS26" s="3">
        <v>2644.9540000000002</v>
      </c>
      <c r="LT26" s="3">
        <v>2662.6039999999998</v>
      </c>
      <c r="LU26" s="3">
        <v>2680.3629999999998</v>
      </c>
      <c r="LV26" s="3">
        <v>2698.232</v>
      </c>
      <c r="LW26" s="3">
        <v>2716.0059999999999</v>
      </c>
      <c r="LX26" s="3">
        <v>2733.8870000000002</v>
      </c>
      <c r="LY26" s="3">
        <v>2751.8760000000002</v>
      </c>
      <c r="LZ26" s="3">
        <v>2769.9740000000002</v>
      </c>
      <c r="MA26" s="3">
        <v>2788.4050000000002</v>
      </c>
      <c r="MB26" s="3">
        <v>2806.9560000000001</v>
      </c>
      <c r="MC26" s="3">
        <v>2825.625</v>
      </c>
      <c r="MD26" s="3">
        <v>2844.4119999999998</v>
      </c>
      <c r="ME26" s="3">
        <v>2863.1979999999999</v>
      </c>
      <c r="MF26" s="3">
        <v>2882.1019999999999</v>
      </c>
      <c r="MG26" s="3">
        <v>2901.1289999999999</v>
      </c>
      <c r="MH26" s="3">
        <v>2920.28</v>
      </c>
      <c r="MI26" s="3">
        <v>2940.3429999999998</v>
      </c>
      <c r="MJ26" s="3">
        <v>2960.5459999999998</v>
      </c>
      <c r="MK26" s="3">
        <v>2980.8890000000001</v>
      </c>
      <c r="ML26" s="3">
        <v>3001.373</v>
      </c>
      <c r="MM26" s="3">
        <v>3022.2249999999999</v>
      </c>
      <c r="MN26" s="3">
        <v>3043.2249999999999</v>
      </c>
      <c r="MO26" s="3">
        <v>3064.373</v>
      </c>
      <c r="MP26" s="3">
        <v>3085.6729999999998</v>
      </c>
      <c r="MQ26" s="3">
        <v>3107.2640000000001</v>
      </c>
      <c r="MR26" s="3">
        <v>3129.009</v>
      </c>
      <c r="MS26" s="3">
        <v>3150.9090000000001</v>
      </c>
      <c r="MT26" s="3">
        <v>3172.9679999999998</v>
      </c>
      <c r="MU26" t="s">
        <v>474</v>
      </c>
      <c r="MV26" t="b">
        <v>1</v>
      </c>
      <c r="MW26" t="s">
        <v>377</v>
      </c>
      <c r="MX26" t="s">
        <v>377</v>
      </c>
      <c r="MY26">
        <v>2025</v>
      </c>
      <c r="MZ26">
        <v>2</v>
      </c>
      <c r="NA26" t="s">
        <v>377</v>
      </c>
      <c r="NB26" t="s">
        <v>475</v>
      </c>
      <c r="NC26" t="s">
        <v>476</v>
      </c>
      <c r="ND26" t="s">
        <v>402</v>
      </c>
      <c r="NE26" t="s">
        <v>469</v>
      </c>
      <c r="NF26" s="1" t="s">
        <v>872</v>
      </c>
    </row>
    <row r="27" spans="1:370" x14ac:dyDescent="0.25">
      <c r="A27" t="s">
        <v>403</v>
      </c>
      <c r="B27" t="s">
        <v>466</v>
      </c>
      <c r="C27" s="1" t="s">
        <v>871</v>
      </c>
      <c r="D27" t="s">
        <v>397</v>
      </c>
      <c r="E27" t="s">
        <v>384</v>
      </c>
      <c r="F27" t="s">
        <v>374</v>
      </c>
      <c r="G27" s="2">
        <v>41.868000000000002</v>
      </c>
      <c r="H27" s="2">
        <v>43.317</v>
      </c>
      <c r="I27" s="2">
        <v>45.154000000000003</v>
      </c>
      <c r="J27" s="2">
        <v>47.485999999999997</v>
      </c>
      <c r="K27" s="2">
        <v>48.938000000000002</v>
      </c>
      <c r="L27" s="2">
        <v>50.814999999999998</v>
      </c>
      <c r="M27" s="2">
        <v>52.942</v>
      </c>
      <c r="N27" s="2">
        <v>54.61</v>
      </c>
      <c r="O27" s="2">
        <v>56.112000000000002</v>
      </c>
      <c r="P27" s="2">
        <v>57.372</v>
      </c>
      <c r="Q27" s="2">
        <v>59.029000000000003</v>
      </c>
      <c r="R27" s="2">
        <v>61.07</v>
      </c>
      <c r="S27" s="2">
        <v>63.45</v>
      </c>
      <c r="T27" s="2">
        <v>66.418000000000006</v>
      </c>
      <c r="U27" s="2">
        <v>68.849999999999994</v>
      </c>
      <c r="V27" s="2">
        <v>70.995999999999995</v>
      </c>
      <c r="W27" s="2">
        <v>72.793999999999997</v>
      </c>
      <c r="X27" s="2">
        <v>74.933000000000007</v>
      </c>
      <c r="Y27" s="2">
        <v>77.081999999999994</v>
      </c>
      <c r="Z27" s="2">
        <v>79.097999999999999</v>
      </c>
      <c r="AA27" s="2">
        <v>81.41</v>
      </c>
      <c r="AB27" s="2">
        <v>84.781999999999996</v>
      </c>
      <c r="AC27" s="2">
        <v>88.087999999999994</v>
      </c>
      <c r="AD27" s="2">
        <v>90.906999999999996</v>
      </c>
      <c r="AE27" s="2">
        <v>94.156000000000006</v>
      </c>
      <c r="AF27" s="2">
        <v>96.655000000000001</v>
      </c>
      <c r="AG27" s="2">
        <v>100.22199999999999</v>
      </c>
      <c r="AH27" s="2">
        <v>103.458</v>
      </c>
      <c r="AI27" s="2">
        <v>107.687</v>
      </c>
      <c r="AJ27" s="2">
        <v>110.396</v>
      </c>
      <c r="AK27" s="2">
        <v>113.504</v>
      </c>
      <c r="AL27" s="2">
        <v>115.758</v>
      </c>
      <c r="AM27" s="2">
        <v>119.40300000000001</v>
      </c>
      <c r="AN27" s="2">
        <v>123.40600000000001</v>
      </c>
      <c r="AO27" s="2">
        <v>128.10900000000001</v>
      </c>
      <c r="AP27" s="2">
        <v>133.648</v>
      </c>
      <c r="AQ27" s="2">
        <v>139.08799999999999</v>
      </c>
      <c r="AR27" s="2">
        <v>143.76300000000001</v>
      </c>
      <c r="AS27" s="2">
        <v>146.46199999999999</v>
      </c>
      <c r="AT27" s="2">
        <v>149.61199999999999</v>
      </c>
      <c r="AU27" s="2">
        <v>154.297</v>
      </c>
      <c r="AV27" s="2">
        <v>158.578</v>
      </c>
      <c r="AW27" s="2">
        <v>163.04900000000001</v>
      </c>
      <c r="AX27" s="2">
        <v>166.61600000000001</v>
      </c>
      <c r="AY27" s="2">
        <v>170.501</v>
      </c>
      <c r="AZ27" s="2">
        <v>173.58</v>
      </c>
      <c r="BA27" s="2">
        <v>176.904</v>
      </c>
      <c r="BB27" s="2">
        <v>178.51499999999999</v>
      </c>
      <c r="BC27" s="2">
        <v>181.874</v>
      </c>
      <c r="BD27" s="2">
        <v>186.08500000000001</v>
      </c>
      <c r="BE27" s="2">
        <v>189.33699999999999</v>
      </c>
      <c r="BF27" s="2">
        <v>192.845</v>
      </c>
      <c r="BG27" s="2">
        <v>196.75299999999999</v>
      </c>
      <c r="BH27" s="2">
        <v>200.57900000000001</v>
      </c>
      <c r="BI27" s="2">
        <v>204.27099999999999</v>
      </c>
      <c r="BJ27" s="2">
        <v>206.31700000000001</v>
      </c>
      <c r="BK27" s="2">
        <v>206.767</v>
      </c>
      <c r="BL27" s="2">
        <v>210.55099999999999</v>
      </c>
      <c r="BM27" s="2">
        <v>213.721</v>
      </c>
      <c r="BN27" s="2">
        <v>218.08</v>
      </c>
      <c r="BO27" s="2">
        <v>222.74799999999999</v>
      </c>
      <c r="BP27" s="2">
        <v>226.29300000000001</v>
      </c>
      <c r="BQ27" s="2">
        <v>231.756</v>
      </c>
      <c r="BR27" s="2">
        <v>236.31299999999999</v>
      </c>
      <c r="BS27" s="2">
        <v>241.15100000000001</v>
      </c>
      <c r="BT27" s="2">
        <v>244.73</v>
      </c>
      <c r="BU27" s="2">
        <v>249.28200000000001</v>
      </c>
      <c r="BV27" s="2">
        <v>254.43700000000001</v>
      </c>
      <c r="BW27" s="2">
        <v>257.33100000000002</v>
      </c>
      <c r="BX27" s="2">
        <v>260.76600000000002</v>
      </c>
      <c r="BY27" s="2">
        <v>262.30900000000003</v>
      </c>
      <c r="BZ27" s="2">
        <v>264.09800000000001</v>
      </c>
      <c r="CA27" s="2">
        <v>266.14299999999997</v>
      </c>
      <c r="CB27" s="2">
        <v>269.87099999999998</v>
      </c>
      <c r="CC27" s="2">
        <v>272.52199999999999</v>
      </c>
      <c r="CD27" s="2">
        <v>275.24799999999999</v>
      </c>
      <c r="CE27" s="2">
        <v>279.38499999999999</v>
      </c>
      <c r="CF27" s="2">
        <v>279.89400000000001</v>
      </c>
      <c r="CG27" s="2">
        <v>280.86700000000002</v>
      </c>
      <c r="CH27" s="2">
        <v>281.185</v>
      </c>
      <c r="CI27" s="2">
        <v>282.44099999999997</v>
      </c>
      <c r="CJ27" s="2">
        <v>283.005</v>
      </c>
      <c r="CK27" s="2">
        <v>283.61599999999999</v>
      </c>
      <c r="CL27" s="2">
        <v>285.21100000000001</v>
      </c>
      <c r="CM27" s="2">
        <v>287.63200000000001</v>
      </c>
      <c r="CN27" s="2">
        <v>291.60199999999998</v>
      </c>
      <c r="CO27" s="2">
        <v>294.65199999999999</v>
      </c>
      <c r="CP27" s="2">
        <v>298.43</v>
      </c>
      <c r="CQ27" s="2">
        <v>300.39499999999998</v>
      </c>
      <c r="CR27" s="2">
        <v>303.30200000000002</v>
      </c>
      <c r="CS27" s="2">
        <v>304.87400000000002</v>
      </c>
      <c r="CT27" s="2">
        <v>306.33800000000002</v>
      </c>
      <c r="CU27" s="2">
        <v>309.767</v>
      </c>
      <c r="CV27" s="2">
        <v>311.12</v>
      </c>
      <c r="CW27" s="2">
        <v>312.53699999999998</v>
      </c>
      <c r="CX27" s="2">
        <v>314.00900000000001</v>
      </c>
      <c r="CY27" s="2">
        <v>316.24200000000002</v>
      </c>
      <c r="CZ27" s="2">
        <v>320.62200000000001</v>
      </c>
      <c r="DA27" s="2">
        <v>324.435</v>
      </c>
      <c r="DB27" s="2">
        <v>328.81200000000001</v>
      </c>
      <c r="DC27" s="2">
        <v>333.03699999999998</v>
      </c>
      <c r="DD27" s="2">
        <v>336.04899999999998</v>
      </c>
      <c r="DE27" s="2">
        <v>337.702</v>
      </c>
      <c r="DF27" s="2">
        <v>340.16300000000001</v>
      </c>
      <c r="DG27" s="2">
        <v>342.82600000000002</v>
      </c>
      <c r="DH27" s="2">
        <v>345.43599999999998</v>
      </c>
      <c r="DI27" s="2">
        <v>350.36099999999999</v>
      </c>
      <c r="DJ27" s="2">
        <v>355.43099999999998</v>
      </c>
      <c r="DK27" s="2">
        <v>361.61599999999999</v>
      </c>
      <c r="DL27" s="2">
        <v>366.61399999999998</v>
      </c>
      <c r="DM27" s="2">
        <v>371.65699999999998</v>
      </c>
      <c r="DN27" s="2">
        <v>375.58300000000003</v>
      </c>
      <c r="DO27" s="2">
        <v>379.01100000000002</v>
      </c>
      <c r="DP27" s="2">
        <v>381.41199999999998</v>
      </c>
      <c r="DQ27" s="2">
        <v>385.065</v>
      </c>
      <c r="DR27" s="2">
        <v>385.75400000000002</v>
      </c>
      <c r="DS27" s="2">
        <v>390.17700000000002</v>
      </c>
      <c r="DT27" s="2">
        <v>393.488</v>
      </c>
      <c r="DU27" s="2">
        <v>397.28699999999998</v>
      </c>
      <c r="DV27" s="2">
        <v>399.44299999999998</v>
      </c>
      <c r="DW27" s="2">
        <v>401.59699999999998</v>
      </c>
      <c r="DX27" s="2">
        <v>402.15600000000001</v>
      </c>
      <c r="DY27" s="2">
        <v>408.947</v>
      </c>
      <c r="DZ27" s="2">
        <v>412.07799999999997</v>
      </c>
      <c r="EA27" s="2">
        <v>418.05399999999997</v>
      </c>
      <c r="EB27" s="2">
        <v>420.803</v>
      </c>
      <c r="EC27" s="2">
        <v>423.92</v>
      </c>
      <c r="ED27" s="2">
        <v>430.221</v>
      </c>
      <c r="EE27" s="2">
        <v>433.423</v>
      </c>
      <c r="EF27" s="2">
        <v>437.29599999999999</v>
      </c>
      <c r="EG27" s="2">
        <v>442.47500000000002</v>
      </c>
      <c r="EH27" s="2">
        <v>447.33699999999999</v>
      </c>
      <c r="EI27" s="2">
        <v>452.92500000000001</v>
      </c>
      <c r="EJ27" s="2">
        <v>460.34300000000002</v>
      </c>
      <c r="EK27" s="2">
        <v>464.86099999999999</v>
      </c>
      <c r="EL27" s="2">
        <v>469.97899999999998</v>
      </c>
      <c r="EM27" s="2">
        <v>477.22500000000002</v>
      </c>
      <c r="EN27" s="2">
        <v>483.04399999999998</v>
      </c>
      <c r="EO27" s="2">
        <v>487.74799999999999</v>
      </c>
      <c r="EP27" s="2">
        <v>491.31200000000001</v>
      </c>
      <c r="EQ27" s="2">
        <v>499.298</v>
      </c>
      <c r="ER27" s="2">
        <v>499</v>
      </c>
      <c r="ES27" s="2">
        <v>498.12900000000002</v>
      </c>
      <c r="ET27" s="2">
        <v>492.70800000000003</v>
      </c>
      <c r="EU27" s="2">
        <v>482.18599999999998</v>
      </c>
      <c r="EV27" s="2">
        <v>482.51600000000002</v>
      </c>
      <c r="EW27" s="2">
        <v>483.50599999999997</v>
      </c>
      <c r="EX27" s="2">
        <v>488.68799999999999</v>
      </c>
      <c r="EY27" s="2">
        <v>492.27300000000002</v>
      </c>
      <c r="EZ27" s="2">
        <v>496.89600000000002</v>
      </c>
      <c r="FA27" s="2">
        <v>501.46199999999999</v>
      </c>
      <c r="FB27" s="2">
        <v>503.30099999999999</v>
      </c>
      <c r="FC27" s="2">
        <v>512.41399999999999</v>
      </c>
      <c r="FD27" s="2">
        <v>513.74699999999996</v>
      </c>
      <c r="FE27" s="2">
        <v>515.53300000000002</v>
      </c>
      <c r="FF27" s="2">
        <v>519.31100000000004</v>
      </c>
      <c r="FG27" s="2">
        <v>520.45799999999997</v>
      </c>
      <c r="FH27" s="2">
        <v>520.53399999999999</v>
      </c>
      <c r="FI27" s="2">
        <v>523.60500000000002</v>
      </c>
      <c r="FJ27" s="2">
        <v>523.50099999999998</v>
      </c>
      <c r="FK27" s="2">
        <v>527.08699999999999</v>
      </c>
      <c r="FL27" s="2">
        <v>532.50599999999997</v>
      </c>
      <c r="FM27" s="2">
        <v>530.59299999999996</v>
      </c>
      <c r="FN27" s="2">
        <v>532.88</v>
      </c>
      <c r="FO27" s="2">
        <v>535.09500000000003</v>
      </c>
      <c r="FP27" s="2">
        <v>537.51900000000001</v>
      </c>
      <c r="FQ27" s="2">
        <v>541.73400000000004</v>
      </c>
      <c r="FR27" s="2">
        <v>542.12099999999998</v>
      </c>
      <c r="FS27" s="2">
        <v>546.88199999999995</v>
      </c>
      <c r="FT27" s="2">
        <v>548.82500000000005</v>
      </c>
      <c r="FU27" s="2">
        <v>552.38300000000004</v>
      </c>
      <c r="FV27" s="2">
        <v>554.67600000000004</v>
      </c>
      <c r="FW27" s="2">
        <v>557.28700000000003</v>
      </c>
      <c r="FX27" s="2">
        <v>555.57299999999998</v>
      </c>
      <c r="FY27" s="2">
        <v>557.09100000000001</v>
      </c>
      <c r="FZ27" s="2">
        <v>560.68700000000001</v>
      </c>
      <c r="GA27" s="2">
        <v>565.99900000000002</v>
      </c>
      <c r="GB27" s="2">
        <v>571.73199999999997</v>
      </c>
      <c r="GC27" s="2">
        <v>576.00300000000004</v>
      </c>
      <c r="GD27" s="2">
        <v>580.55600000000004</v>
      </c>
      <c r="GE27" s="2">
        <v>583.01300000000003</v>
      </c>
      <c r="GF27" s="2">
        <v>585.25900000000001</v>
      </c>
      <c r="GG27" s="2">
        <v>591.52499999999998</v>
      </c>
      <c r="GH27" s="2">
        <v>597.13699999999994</v>
      </c>
      <c r="GI27" s="2">
        <v>604.30600000000004</v>
      </c>
      <c r="GJ27" s="2">
        <v>609.49199999999996</v>
      </c>
      <c r="GK27" s="2">
        <v>611.34400000000005</v>
      </c>
      <c r="GL27" s="2">
        <v>610.10599999999999</v>
      </c>
      <c r="GM27" s="2">
        <v>586.971</v>
      </c>
      <c r="GN27" s="2">
        <v>533.20600000000002</v>
      </c>
      <c r="GO27" s="2">
        <v>596.10699999999997</v>
      </c>
      <c r="GP27" s="2">
        <v>601.00900000000001</v>
      </c>
      <c r="GQ27" s="2">
        <v>606.95600000000002</v>
      </c>
      <c r="GR27" s="2">
        <v>617.20899999999995</v>
      </c>
      <c r="GS27" s="2">
        <v>637.22900000000004</v>
      </c>
      <c r="GT27" s="2">
        <v>643.47900000000004</v>
      </c>
      <c r="GU27" s="2">
        <v>648.79100000000005</v>
      </c>
      <c r="GV27" s="2">
        <v>655.20500000000004</v>
      </c>
      <c r="GW27" s="2">
        <v>668.11099999999999</v>
      </c>
      <c r="GX27" s="2">
        <v>680.70399999999995</v>
      </c>
      <c r="GY27" s="2">
        <v>691.27499999999998</v>
      </c>
      <c r="GZ27" s="2">
        <v>706.85599999999999</v>
      </c>
      <c r="HA27" s="2">
        <v>711.46900000000005</v>
      </c>
      <c r="HB27" s="2">
        <v>720.59900000000005</v>
      </c>
      <c r="HC27" s="2">
        <v>724.41200000000003</v>
      </c>
      <c r="HD27" s="2">
        <v>725.19799999999998</v>
      </c>
      <c r="HE27" s="2">
        <v>735.96</v>
      </c>
      <c r="HF27" s="2">
        <v>735.63699999999994</v>
      </c>
      <c r="HG27" s="2">
        <v>739.60199999999998</v>
      </c>
      <c r="HH27" s="2">
        <v>743.5</v>
      </c>
      <c r="HI27" s="3">
        <v>748.84990000000005</v>
      </c>
      <c r="HJ27" s="3">
        <v>752.5018</v>
      </c>
      <c r="HK27" s="3">
        <v>757.35299999999995</v>
      </c>
      <c r="HL27" s="3">
        <v>762.12300000000005</v>
      </c>
      <c r="HM27" s="3">
        <v>767.49019999999996</v>
      </c>
      <c r="HN27" s="3">
        <v>773.17330000000004</v>
      </c>
      <c r="HO27" s="3">
        <v>779.54129999999998</v>
      </c>
      <c r="HP27" s="3">
        <v>786.25570000000005</v>
      </c>
      <c r="HQ27" s="3">
        <v>793.25490000000002</v>
      </c>
      <c r="HR27" s="3">
        <v>800.16949999999997</v>
      </c>
      <c r="HS27" s="3">
        <v>807.37929999999994</v>
      </c>
      <c r="HT27" s="3">
        <v>814.65319999999997</v>
      </c>
      <c r="HU27" s="3">
        <v>822.20029999999997</v>
      </c>
      <c r="HV27" s="3">
        <v>829.7867</v>
      </c>
      <c r="HW27" s="3">
        <v>837.38570000000004</v>
      </c>
      <c r="HX27" s="3">
        <v>845.01390000000004</v>
      </c>
      <c r="HY27" s="3">
        <v>852.8306</v>
      </c>
      <c r="HZ27" s="3">
        <v>860.40560000000005</v>
      </c>
      <c r="IA27" s="3">
        <v>868.02809999999999</v>
      </c>
      <c r="IB27" s="3">
        <v>875.36519999999996</v>
      </c>
      <c r="IC27" s="3">
        <v>882.8107</v>
      </c>
      <c r="ID27" s="3">
        <v>890.15650000000005</v>
      </c>
      <c r="IE27" s="3">
        <v>897.72400000000005</v>
      </c>
      <c r="IF27" s="3">
        <v>905.22329999999999</v>
      </c>
      <c r="IG27" s="3">
        <v>912.39440000000002</v>
      </c>
      <c r="IH27" s="3">
        <v>919.03880000000004</v>
      </c>
      <c r="II27" s="3">
        <v>926.03880000000004</v>
      </c>
      <c r="IJ27" s="3">
        <v>932.85410000000002</v>
      </c>
      <c r="IK27" s="3">
        <v>939.70439999999996</v>
      </c>
      <c r="IL27" s="3">
        <v>946.51350000000002</v>
      </c>
      <c r="IM27" s="3">
        <v>952.93020000000001</v>
      </c>
      <c r="IN27" s="3">
        <v>959.63070000000005</v>
      </c>
      <c r="IO27" s="3">
        <v>966.27279999999996</v>
      </c>
      <c r="IP27" s="3">
        <v>973.22249999999997</v>
      </c>
      <c r="IQ27" s="3">
        <v>980.20780000000002</v>
      </c>
      <c r="IR27" s="3">
        <v>987.36659999999995</v>
      </c>
      <c r="IS27" s="3">
        <v>994.54729999999995</v>
      </c>
      <c r="IT27" s="3">
        <v>1001.44</v>
      </c>
      <c r="IU27" s="3">
        <v>1008.741</v>
      </c>
      <c r="IV27" s="3">
        <v>1015.8579999999999</v>
      </c>
      <c r="IW27" s="3">
        <v>1022.803</v>
      </c>
      <c r="IX27" s="3">
        <v>1029.4359999999999</v>
      </c>
      <c r="IY27" s="3">
        <v>1036.3240000000001</v>
      </c>
      <c r="IZ27" s="3">
        <v>1043.222</v>
      </c>
      <c r="JA27" s="3">
        <v>1050.251</v>
      </c>
      <c r="JB27" s="3">
        <v>1056.9960000000001</v>
      </c>
      <c r="JC27" s="3">
        <v>1064.039</v>
      </c>
      <c r="JD27" s="3">
        <v>1070.963</v>
      </c>
      <c r="JE27" s="3">
        <v>1078.2080000000001</v>
      </c>
      <c r="JF27" s="3">
        <v>1085.2239999999999</v>
      </c>
      <c r="JG27" s="3">
        <v>1092.163</v>
      </c>
      <c r="JH27" s="3">
        <v>1098.893</v>
      </c>
      <c r="JI27" s="3">
        <v>1105.52</v>
      </c>
      <c r="JJ27" s="3">
        <v>1112.1690000000001</v>
      </c>
      <c r="JK27" s="3">
        <v>1119.059</v>
      </c>
      <c r="JL27" s="3">
        <v>1126.057</v>
      </c>
      <c r="JM27" s="3">
        <v>1133.2460000000001</v>
      </c>
      <c r="JN27" s="3">
        <v>1140.576</v>
      </c>
      <c r="JO27" s="3">
        <v>1147.6610000000001</v>
      </c>
      <c r="JP27" s="3">
        <v>1154.8340000000001</v>
      </c>
      <c r="JQ27" s="3">
        <v>1161.953</v>
      </c>
      <c r="JR27" s="3">
        <v>1169.152</v>
      </c>
      <c r="JS27" s="3">
        <v>1176.3610000000001</v>
      </c>
      <c r="JT27" s="3">
        <v>1183.7080000000001</v>
      </c>
      <c r="JU27" s="3">
        <v>1191.1320000000001</v>
      </c>
      <c r="JV27" s="3">
        <v>1198.655</v>
      </c>
      <c r="JW27" s="3">
        <v>1206.203</v>
      </c>
      <c r="JX27" s="3">
        <v>1213.9690000000001</v>
      </c>
      <c r="JY27" s="3">
        <v>1221.6669999999999</v>
      </c>
      <c r="JZ27" s="3">
        <v>1229.578</v>
      </c>
      <c r="KA27" s="3">
        <v>1237.278</v>
      </c>
      <c r="KB27" s="3">
        <v>1245.23</v>
      </c>
      <c r="KC27" s="3">
        <v>1253.364</v>
      </c>
      <c r="KD27" s="3">
        <v>1261.3440000000001</v>
      </c>
      <c r="KE27" s="3">
        <v>1269.212</v>
      </c>
      <c r="KF27" s="3">
        <v>1277.001</v>
      </c>
      <c r="KG27" s="3">
        <v>1285.027</v>
      </c>
      <c r="KH27" s="3">
        <v>1293.259</v>
      </c>
      <c r="KI27" s="3">
        <v>1300.99</v>
      </c>
      <c r="KJ27" s="3">
        <v>1309.075</v>
      </c>
      <c r="KK27" s="3">
        <v>1317.3440000000001</v>
      </c>
      <c r="KL27" s="3">
        <v>1325.3320000000001</v>
      </c>
      <c r="KM27" s="3">
        <v>1333.5509999999999</v>
      </c>
      <c r="KN27" s="3">
        <v>1341.644</v>
      </c>
      <c r="KO27" s="3">
        <v>1349.7170000000001</v>
      </c>
      <c r="KP27" s="3">
        <v>1357.8969999999999</v>
      </c>
      <c r="KQ27" s="3">
        <v>1365.749</v>
      </c>
      <c r="KR27" s="3">
        <v>1373.7929999999999</v>
      </c>
      <c r="KS27" s="3">
        <v>1381.723</v>
      </c>
      <c r="KT27" s="3">
        <v>1389.5540000000001</v>
      </c>
      <c r="KU27" s="3">
        <v>1397.7860000000001</v>
      </c>
      <c r="KV27" s="3">
        <v>1405.799</v>
      </c>
      <c r="KW27" s="3">
        <v>1413.7349999999999</v>
      </c>
      <c r="KX27" s="3">
        <v>1421.894</v>
      </c>
      <c r="KY27" s="3">
        <v>1430.021</v>
      </c>
      <c r="KZ27" s="3">
        <v>1438.3</v>
      </c>
      <c r="LA27" s="3">
        <v>1446.6890000000001</v>
      </c>
      <c r="LB27" s="3">
        <v>1454.7449999999999</v>
      </c>
      <c r="LC27" s="3">
        <v>1463.3009999999999</v>
      </c>
      <c r="LD27" s="3">
        <v>1472.02</v>
      </c>
      <c r="LE27" s="3">
        <v>1480.6369999999999</v>
      </c>
      <c r="LF27" s="3">
        <v>1489.271</v>
      </c>
      <c r="LG27" s="3">
        <v>1498.059</v>
      </c>
      <c r="LH27" s="3">
        <v>1506.8309999999999</v>
      </c>
      <c r="LI27" s="3">
        <v>1515.6489999999999</v>
      </c>
      <c r="LJ27" s="3">
        <v>1524.271</v>
      </c>
      <c r="LK27" s="3">
        <v>1533.1289999999999</v>
      </c>
      <c r="LL27" s="3">
        <v>1541.952</v>
      </c>
      <c r="LM27" s="3">
        <v>1550.7750000000001</v>
      </c>
      <c r="LN27" s="3">
        <v>1559.5070000000001</v>
      </c>
      <c r="LO27" s="3">
        <v>1568.4870000000001</v>
      </c>
      <c r="LP27" s="3">
        <v>1577.4870000000001</v>
      </c>
      <c r="LQ27" s="3">
        <v>1586.49</v>
      </c>
      <c r="LR27" s="3">
        <v>1595.4970000000001</v>
      </c>
      <c r="LS27" s="3">
        <v>1604.4659999999999</v>
      </c>
      <c r="LT27" s="3">
        <v>1613.7670000000001</v>
      </c>
      <c r="LU27" s="3">
        <v>1622.829</v>
      </c>
      <c r="LV27" s="3">
        <v>1632.0820000000001</v>
      </c>
      <c r="LW27" s="3">
        <v>1641.165</v>
      </c>
      <c r="LX27" s="3">
        <v>1650.482</v>
      </c>
      <c r="LY27" s="3">
        <v>1659.845</v>
      </c>
      <c r="LZ27" s="3">
        <v>1669.0429999999999</v>
      </c>
      <c r="MA27" s="3">
        <v>1678.4770000000001</v>
      </c>
      <c r="MB27" s="3">
        <v>1687.981</v>
      </c>
      <c r="MC27" s="3">
        <v>1697.509</v>
      </c>
      <c r="MD27" s="3">
        <v>1706.9010000000001</v>
      </c>
      <c r="ME27" s="3">
        <v>1716.4690000000001</v>
      </c>
      <c r="MF27" s="3">
        <v>1726.078</v>
      </c>
      <c r="MG27" s="3">
        <v>1735.548</v>
      </c>
      <c r="MH27" s="3">
        <v>1745.2170000000001</v>
      </c>
      <c r="MI27" s="3">
        <v>1755.124</v>
      </c>
      <c r="MJ27" s="3">
        <v>1764.7149999999999</v>
      </c>
      <c r="MK27" s="3">
        <v>1774.633</v>
      </c>
      <c r="ML27" s="3">
        <v>1784.3050000000001</v>
      </c>
      <c r="MM27" s="3">
        <v>1794.364</v>
      </c>
      <c r="MN27" s="3">
        <v>1804.174</v>
      </c>
      <c r="MO27" s="3">
        <v>1814.277</v>
      </c>
      <c r="MP27" s="3">
        <v>1824.3420000000001</v>
      </c>
      <c r="MQ27" s="3">
        <v>1834.4739999999999</v>
      </c>
      <c r="MR27" s="3">
        <v>1844.8620000000001</v>
      </c>
      <c r="MS27" s="3">
        <v>1855.26</v>
      </c>
      <c r="MT27" s="3">
        <v>1865.4970000000001</v>
      </c>
      <c r="MU27" t="s">
        <v>404</v>
      </c>
      <c r="MV27" t="b">
        <v>1</v>
      </c>
      <c r="MW27" t="s">
        <v>377</v>
      </c>
      <c r="MX27" t="s">
        <v>377</v>
      </c>
      <c r="MY27">
        <v>2025</v>
      </c>
      <c r="MZ27">
        <v>2</v>
      </c>
      <c r="NA27" t="s">
        <v>377</v>
      </c>
      <c r="NB27" s="1" t="s">
        <v>477</v>
      </c>
      <c r="NC27" s="1" t="s">
        <v>478</v>
      </c>
      <c r="ND27" t="s">
        <v>407</v>
      </c>
      <c r="NE27" t="s">
        <v>469</v>
      </c>
      <c r="NF27" s="1" t="s">
        <v>872</v>
      </c>
    </row>
    <row r="28" spans="1:370" x14ac:dyDescent="0.25">
      <c r="A28" t="s">
        <v>408</v>
      </c>
      <c r="B28" t="s">
        <v>466</v>
      </c>
      <c r="C28" s="1" t="s">
        <v>871</v>
      </c>
      <c r="D28" t="s">
        <v>397</v>
      </c>
      <c r="E28" t="s">
        <v>384</v>
      </c>
      <c r="F28" t="s">
        <v>374</v>
      </c>
      <c r="G28" s="2">
        <v>12.115</v>
      </c>
      <c r="H28" s="2">
        <v>13.009</v>
      </c>
      <c r="I28" s="2">
        <v>13.872</v>
      </c>
      <c r="J28" s="2">
        <v>14.297000000000001</v>
      </c>
      <c r="K28" s="2">
        <v>15.444000000000001</v>
      </c>
      <c r="L28" s="2">
        <v>16.495000000000001</v>
      </c>
      <c r="M28" s="2">
        <v>17.571999999999999</v>
      </c>
      <c r="N28" s="2">
        <v>17.898</v>
      </c>
      <c r="O28" s="2">
        <v>18.2</v>
      </c>
      <c r="P28" s="2">
        <v>18.760999999999999</v>
      </c>
      <c r="Q28" s="2">
        <v>19.628</v>
      </c>
      <c r="R28" s="2">
        <v>20.312999999999999</v>
      </c>
      <c r="S28" s="2">
        <v>21.300999999999998</v>
      </c>
      <c r="T28" s="2">
        <v>23.439</v>
      </c>
      <c r="U28" s="2">
        <v>25.045999999999999</v>
      </c>
      <c r="V28" s="2">
        <v>26.776</v>
      </c>
      <c r="W28" s="2">
        <v>27.997</v>
      </c>
      <c r="X28" s="2">
        <v>29.015999999999998</v>
      </c>
      <c r="Y28" s="2">
        <v>29.611999999999998</v>
      </c>
      <c r="Z28" s="2">
        <v>30.690999999999999</v>
      </c>
      <c r="AA28" s="2">
        <v>32.432000000000002</v>
      </c>
      <c r="AB28" s="2">
        <v>34.070999999999998</v>
      </c>
      <c r="AC28" s="2">
        <v>35.048999999999999</v>
      </c>
      <c r="AD28" s="2">
        <v>36.47</v>
      </c>
      <c r="AE28" s="2">
        <v>38.427</v>
      </c>
      <c r="AF28" s="2">
        <v>40.445</v>
      </c>
      <c r="AG28" s="2">
        <v>43.356000000000002</v>
      </c>
      <c r="AH28" s="2">
        <v>46.655999999999999</v>
      </c>
      <c r="AI28" s="2">
        <v>51.17</v>
      </c>
      <c r="AJ28" s="2">
        <v>53.286000000000001</v>
      </c>
      <c r="AK28" s="2">
        <v>55.334000000000003</v>
      </c>
      <c r="AL28" s="2">
        <v>57.710999999999999</v>
      </c>
      <c r="AM28" s="2">
        <v>60.31</v>
      </c>
      <c r="AN28" s="2">
        <v>63.563000000000002</v>
      </c>
      <c r="AO28" s="2">
        <v>66.314999999999998</v>
      </c>
      <c r="AP28" s="2">
        <v>69.872</v>
      </c>
      <c r="AQ28" s="2">
        <v>72.391000000000005</v>
      </c>
      <c r="AR28" s="2">
        <v>74.629000000000005</v>
      </c>
      <c r="AS28" s="2">
        <v>77.846999999999994</v>
      </c>
      <c r="AT28" s="2">
        <v>81.822000000000003</v>
      </c>
      <c r="AU28" s="2">
        <v>84.043999999999997</v>
      </c>
      <c r="AV28" s="2">
        <v>86.783000000000001</v>
      </c>
      <c r="AW28" s="2">
        <v>90.63</v>
      </c>
      <c r="AX28" s="2">
        <v>96.344999999999999</v>
      </c>
      <c r="AY28" s="2">
        <v>98.528000000000006</v>
      </c>
      <c r="AZ28" s="2">
        <v>100.709</v>
      </c>
      <c r="BA28" s="2">
        <v>103.68600000000001</v>
      </c>
      <c r="BB28" s="2">
        <v>106.10299999999999</v>
      </c>
      <c r="BC28" s="2">
        <v>109.245</v>
      </c>
      <c r="BD28" s="2">
        <v>113.411</v>
      </c>
      <c r="BE28" s="2">
        <v>116.569</v>
      </c>
      <c r="BF28" s="2">
        <v>120.004</v>
      </c>
      <c r="BG28" s="2">
        <v>123.011</v>
      </c>
      <c r="BH28" s="2">
        <v>125.68600000000001</v>
      </c>
      <c r="BI28" s="2">
        <v>128.50800000000001</v>
      </c>
      <c r="BJ28" s="2">
        <v>131.06200000000001</v>
      </c>
      <c r="BK28" s="2">
        <v>133.29499999999999</v>
      </c>
      <c r="BL28" s="2">
        <v>137.46899999999999</v>
      </c>
      <c r="BM28" s="2">
        <v>139.80699999999999</v>
      </c>
      <c r="BN28" s="2">
        <v>144.185</v>
      </c>
      <c r="BO28" s="2">
        <v>149.197</v>
      </c>
      <c r="BP28" s="2">
        <v>152.16399999999999</v>
      </c>
      <c r="BQ28" s="2">
        <v>155.96799999999999</v>
      </c>
      <c r="BR28" s="2">
        <v>159.756</v>
      </c>
      <c r="BS28" s="2">
        <v>164.19399999999999</v>
      </c>
      <c r="BT28" s="2">
        <v>166.768</v>
      </c>
      <c r="BU28" s="2">
        <v>170.93700000000001</v>
      </c>
      <c r="BV28" s="2">
        <v>176.2</v>
      </c>
      <c r="BW28" s="2">
        <v>181.97200000000001</v>
      </c>
      <c r="BX28" s="2">
        <v>181.85900000000001</v>
      </c>
      <c r="BY28" s="2">
        <v>185.10300000000001</v>
      </c>
      <c r="BZ28" s="2">
        <v>186.90600000000001</v>
      </c>
      <c r="CA28" s="2">
        <v>198.78800000000001</v>
      </c>
      <c r="CB28" s="2">
        <v>196.97499999999999</v>
      </c>
      <c r="CC28" s="2">
        <v>201.13900000000001</v>
      </c>
      <c r="CD28" s="2">
        <v>206.75299999999999</v>
      </c>
      <c r="CE28" s="2">
        <v>211.16800000000001</v>
      </c>
      <c r="CF28" s="2">
        <v>209.785</v>
      </c>
      <c r="CG28" s="2">
        <v>212.47</v>
      </c>
      <c r="CH28" s="2">
        <v>211.21</v>
      </c>
      <c r="CI28" s="2">
        <v>214.685</v>
      </c>
      <c r="CJ28" s="2">
        <v>216.43199999999999</v>
      </c>
      <c r="CK28" s="2">
        <v>218.01599999999999</v>
      </c>
      <c r="CL28" s="2">
        <v>220.792</v>
      </c>
      <c r="CM28" s="2">
        <v>225.24</v>
      </c>
      <c r="CN28" s="2">
        <v>228.64400000000001</v>
      </c>
      <c r="CO28" s="2">
        <v>231.512</v>
      </c>
      <c r="CP28" s="2">
        <v>235.88499999999999</v>
      </c>
      <c r="CQ28" s="2">
        <v>241.03</v>
      </c>
      <c r="CR28" s="2">
        <v>245.23</v>
      </c>
      <c r="CS28" s="2">
        <v>249.82400000000001</v>
      </c>
      <c r="CT28" s="2">
        <v>255.47499999999999</v>
      </c>
      <c r="CU28" s="2">
        <v>258.87200000000001</v>
      </c>
      <c r="CV28" s="2">
        <v>261.17399999999998</v>
      </c>
      <c r="CW28" s="2">
        <v>262.928</v>
      </c>
      <c r="CX28" s="2">
        <v>264.02800000000002</v>
      </c>
      <c r="CY28" s="2">
        <v>267.57799999999997</v>
      </c>
      <c r="CZ28" s="2">
        <v>272.10300000000001</v>
      </c>
      <c r="DA28" s="2">
        <v>275.53399999999999</v>
      </c>
      <c r="DB28" s="2">
        <v>279.63799999999998</v>
      </c>
      <c r="DC28" s="2">
        <v>281.327</v>
      </c>
      <c r="DD28" s="2">
        <v>285.02100000000002</v>
      </c>
      <c r="DE28" s="2">
        <v>285.202</v>
      </c>
      <c r="DF28" s="2">
        <v>287.58800000000002</v>
      </c>
      <c r="DG28" s="2">
        <v>289.5</v>
      </c>
      <c r="DH28" s="2">
        <v>290.87</v>
      </c>
      <c r="DI28" s="2">
        <v>294.44600000000003</v>
      </c>
      <c r="DJ28" s="2">
        <v>299.97899999999998</v>
      </c>
      <c r="DK28" s="2">
        <v>305.80900000000003</v>
      </c>
      <c r="DL28" s="2">
        <v>308.57799999999997</v>
      </c>
      <c r="DM28" s="2">
        <v>313.20499999999998</v>
      </c>
      <c r="DN28" s="2">
        <v>318.10500000000002</v>
      </c>
      <c r="DO28" s="2">
        <v>323.43799999999999</v>
      </c>
      <c r="DP28" s="2">
        <v>326.096</v>
      </c>
      <c r="DQ28" s="2">
        <v>327.94099999999997</v>
      </c>
      <c r="DR28" s="2">
        <v>330.20600000000002</v>
      </c>
      <c r="DS28" s="2">
        <v>334.06200000000001</v>
      </c>
      <c r="DT28" s="2">
        <v>336.68</v>
      </c>
      <c r="DU28" s="2">
        <v>340.41500000000002</v>
      </c>
      <c r="DV28" s="2">
        <v>343.07400000000001</v>
      </c>
      <c r="DW28" s="2">
        <v>345.62799999999999</v>
      </c>
      <c r="DX28" s="2">
        <v>348.15499999999997</v>
      </c>
      <c r="DY28" s="2">
        <v>352.048</v>
      </c>
      <c r="DZ28" s="2">
        <v>353.37</v>
      </c>
      <c r="EA28" s="2">
        <v>357.07900000000001</v>
      </c>
      <c r="EB28" s="2">
        <v>362.81</v>
      </c>
      <c r="EC28" s="2">
        <v>365.16699999999997</v>
      </c>
      <c r="ED28" s="2">
        <v>368.96</v>
      </c>
      <c r="EE28" s="2">
        <v>369.4</v>
      </c>
      <c r="EF28" s="2">
        <v>372.54899999999998</v>
      </c>
      <c r="EG28" s="2">
        <v>376.61099999999999</v>
      </c>
      <c r="EH28" s="2">
        <v>382.7</v>
      </c>
      <c r="EI28" s="2">
        <v>383.50599999999997</v>
      </c>
      <c r="EJ28" s="2">
        <v>389.38400000000001</v>
      </c>
      <c r="EK28" s="2">
        <v>392.28199999999998</v>
      </c>
      <c r="EL28" s="2">
        <v>398.31299999999999</v>
      </c>
      <c r="EM28" s="2">
        <v>400.03</v>
      </c>
      <c r="EN28" s="2">
        <v>403.62200000000001</v>
      </c>
      <c r="EO28" s="2">
        <v>407.685</v>
      </c>
      <c r="EP28" s="2">
        <v>411.202</v>
      </c>
      <c r="EQ28" s="2">
        <v>414.45699999999999</v>
      </c>
      <c r="ER28" s="2">
        <v>416.29599999999999</v>
      </c>
      <c r="ES28" s="2">
        <v>410.78199999999998</v>
      </c>
      <c r="ET28" s="2">
        <v>402.37900000000002</v>
      </c>
      <c r="EU28" s="2">
        <v>395.81900000000002</v>
      </c>
      <c r="EV28" s="2">
        <v>394.34699999999998</v>
      </c>
      <c r="EW28" s="2">
        <v>396.29700000000003</v>
      </c>
      <c r="EX28" s="2">
        <v>397.54</v>
      </c>
      <c r="EY28" s="2">
        <v>399.339</v>
      </c>
      <c r="EZ28" s="2">
        <v>403.60700000000003</v>
      </c>
      <c r="FA28" s="2">
        <v>404.78800000000001</v>
      </c>
      <c r="FB28" s="2">
        <v>409.32799999999997</v>
      </c>
      <c r="FC28" s="2">
        <v>415.96</v>
      </c>
      <c r="FD28" s="2">
        <v>414.81200000000001</v>
      </c>
      <c r="FE28" s="2">
        <v>415.06099999999998</v>
      </c>
      <c r="FF28" s="2">
        <v>413.233</v>
      </c>
      <c r="FG28" s="2">
        <v>411.38600000000002</v>
      </c>
      <c r="FH28" s="2">
        <v>408.76900000000001</v>
      </c>
      <c r="FI28" s="2">
        <v>407.76</v>
      </c>
      <c r="FJ28" s="2">
        <v>405.83199999999999</v>
      </c>
      <c r="FK28" s="2">
        <v>401.97</v>
      </c>
      <c r="FL28" s="2">
        <v>405.17099999999999</v>
      </c>
      <c r="FM28" s="2">
        <v>407.15</v>
      </c>
      <c r="FN28" s="2">
        <v>407.68599999999998</v>
      </c>
      <c r="FO28" s="2">
        <v>408.36900000000003</v>
      </c>
      <c r="FP28" s="2">
        <v>409.31900000000002</v>
      </c>
      <c r="FQ28" s="2">
        <v>409.351</v>
      </c>
      <c r="FR28" s="2">
        <v>410.82299999999998</v>
      </c>
      <c r="FS28" s="2">
        <v>412.78199999999998</v>
      </c>
      <c r="FT28" s="2">
        <v>415.33800000000002</v>
      </c>
      <c r="FU28" s="2">
        <v>416.76</v>
      </c>
      <c r="FV28" s="2">
        <v>418.11</v>
      </c>
      <c r="FW28" s="2">
        <v>423.584</v>
      </c>
      <c r="FX28" s="2">
        <v>424.649</v>
      </c>
      <c r="FY28" s="2">
        <v>428.27100000000002</v>
      </c>
      <c r="FZ28" s="2">
        <v>430.06299999999999</v>
      </c>
      <c r="GA28" s="2">
        <v>432.68</v>
      </c>
      <c r="GB28" s="2">
        <v>435.93799999999999</v>
      </c>
      <c r="GC28" s="2">
        <v>437.077</v>
      </c>
      <c r="GD28" s="2">
        <v>441.976</v>
      </c>
      <c r="GE28" s="2">
        <v>443.31099999999998</v>
      </c>
      <c r="GF28" s="2">
        <v>444.15800000000002</v>
      </c>
      <c r="GG28" s="2">
        <v>444.54399999999998</v>
      </c>
      <c r="GH28" s="2">
        <v>446.38400000000001</v>
      </c>
      <c r="GI28" s="2">
        <v>448.94400000000002</v>
      </c>
      <c r="GJ28" s="2">
        <v>450.97399999999999</v>
      </c>
      <c r="GK28" s="2">
        <v>451.99299999999999</v>
      </c>
      <c r="GL28" s="2">
        <v>452.59399999999999</v>
      </c>
      <c r="GM28" s="2">
        <v>425.46300000000002</v>
      </c>
      <c r="GN28" s="2">
        <v>378.51</v>
      </c>
      <c r="GO28" s="2">
        <v>431.48099999999999</v>
      </c>
      <c r="GP28" s="2">
        <v>433.40100000000001</v>
      </c>
      <c r="GQ28" s="2">
        <v>439.85300000000001</v>
      </c>
      <c r="GR28" s="2">
        <v>454.12099999999998</v>
      </c>
      <c r="GS28" s="2">
        <v>468.416</v>
      </c>
      <c r="GT28" s="2">
        <v>476.78899999999999</v>
      </c>
      <c r="GU28" s="2">
        <v>485.57400000000001</v>
      </c>
      <c r="GV28" s="2">
        <v>499.15600000000001</v>
      </c>
      <c r="GW28" s="2">
        <v>502.01600000000002</v>
      </c>
      <c r="GX28" s="2">
        <v>510.59300000000002</v>
      </c>
      <c r="GY28" s="2">
        <v>525.42399999999998</v>
      </c>
      <c r="GZ28" s="2">
        <v>533.02099999999996</v>
      </c>
      <c r="HA28" s="2">
        <v>535.57799999999997</v>
      </c>
      <c r="HB28" s="2">
        <v>538.66</v>
      </c>
      <c r="HC28" s="2">
        <v>543.70100000000002</v>
      </c>
      <c r="HD28" s="2">
        <v>545.22699999999998</v>
      </c>
      <c r="HE28" s="2">
        <v>547.89499999999998</v>
      </c>
      <c r="HF28" s="2">
        <v>552.27300000000002</v>
      </c>
      <c r="HG28" s="2">
        <v>555.40700000000004</v>
      </c>
      <c r="HH28" s="2">
        <v>560.43399999999997</v>
      </c>
      <c r="HI28" s="3">
        <v>564.05790000000002</v>
      </c>
      <c r="HJ28" s="3">
        <v>566.43460000000005</v>
      </c>
      <c r="HK28" s="3">
        <v>568.40170000000001</v>
      </c>
      <c r="HL28" s="3">
        <v>570.63009999999997</v>
      </c>
      <c r="HM28" s="3">
        <v>573.57249999999999</v>
      </c>
      <c r="HN28" s="3">
        <v>576.57719999999995</v>
      </c>
      <c r="HO28" s="3">
        <v>579.61559999999997</v>
      </c>
      <c r="HP28" s="3">
        <v>583.09500000000003</v>
      </c>
      <c r="HQ28" s="3">
        <v>586.63250000000005</v>
      </c>
      <c r="HR28" s="3">
        <v>590.18719999999996</v>
      </c>
      <c r="HS28" s="3">
        <v>593.66740000000004</v>
      </c>
      <c r="HT28" s="3">
        <v>597.6028</v>
      </c>
      <c r="HU28" s="3">
        <v>601.45889999999997</v>
      </c>
      <c r="HV28" s="3">
        <v>605.19799999999998</v>
      </c>
      <c r="HW28" s="3">
        <v>608.88509999999997</v>
      </c>
      <c r="HX28" s="3">
        <v>612.60850000000005</v>
      </c>
      <c r="HY28" s="3">
        <v>616.37300000000005</v>
      </c>
      <c r="HZ28" s="3">
        <v>620.10109999999997</v>
      </c>
      <c r="IA28" s="3">
        <v>623.84450000000004</v>
      </c>
      <c r="IB28" s="3">
        <v>627.59609999999998</v>
      </c>
      <c r="IC28" s="3">
        <v>631.36329999999998</v>
      </c>
      <c r="ID28" s="3">
        <v>635.13210000000004</v>
      </c>
      <c r="IE28" s="3">
        <v>638.84820000000002</v>
      </c>
      <c r="IF28" s="3">
        <v>642.59939999999995</v>
      </c>
      <c r="IG28" s="3">
        <v>646.37049999999999</v>
      </c>
      <c r="IH28" s="3">
        <v>650.14080000000001</v>
      </c>
      <c r="II28" s="3">
        <v>653.83609999999999</v>
      </c>
      <c r="IJ28" s="3">
        <v>657.56679999999994</v>
      </c>
      <c r="IK28" s="3">
        <v>661.32690000000002</v>
      </c>
      <c r="IL28" s="3">
        <v>665.10469999999998</v>
      </c>
      <c r="IM28" s="3">
        <v>668.87789999999995</v>
      </c>
      <c r="IN28" s="3">
        <v>672.71749999999997</v>
      </c>
      <c r="IO28" s="3">
        <v>676.57500000000005</v>
      </c>
      <c r="IP28" s="3">
        <v>680.35580000000004</v>
      </c>
      <c r="IQ28" s="3">
        <v>684.13900000000001</v>
      </c>
      <c r="IR28" s="3">
        <v>687.97329999999999</v>
      </c>
      <c r="IS28" s="3">
        <v>691.83590000000004</v>
      </c>
      <c r="IT28" s="3">
        <v>695.70230000000004</v>
      </c>
      <c r="IU28" s="3">
        <v>699.56790000000001</v>
      </c>
      <c r="IV28" s="3">
        <v>703.53579999999999</v>
      </c>
      <c r="IW28" s="3">
        <v>707.49379999999996</v>
      </c>
      <c r="IX28" s="3">
        <v>711.45929999999998</v>
      </c>
      <c r="IY28" s="3">
        <v>715.40250000000003</v>
      </c>
      <c r="IZ28" s="3">
        <v>719.38930000000005</v>
      </c>
      <c r="JA28" s="3">
        <v>723.4067</v>
      </c>
      <c r="JB28" s="3">
        <v>727.43349999999998</v>
      </c>
      <c r="JC28" s="3">
        <v>731.44290000000001</v>
      </c>
      <c r="JD28" s="3">
        <v>735.49620000000004</v>
      </c>
      <c r="JE28" s="3">
        <v>739.57709999999997</v>
      </c>
      <c r="JF28" s="3">
        <v>743.66369999999995</v>
      </c>
      <c r="JG28" s="3">
        <v>747.74680000000001</v>
      </c>
      <c r="JH28" s="3">
        <v>751.87379999999996</v>
      </c>
      <c r="JI28" s="3">
        <v>756.01509999999996</v>
      </c>
      <c r="JJ28" s="3">
        <v>760.15689999999995</v>
      </c>
      <c r="JK28" s="3">
        <v>764.24990000000003</v>
      </c>
      <c r="JL28" s="3">
        <v>768.38779999999997</v>
      </c>
      <c r="JM28" s="3">
        <v>772.54269999999997</v>
      </c>
      <c r="JN28" s="3">
        <v>776.69449999999995</v>
      </c>
      <c r="JO28" s="3">
        <v>780.87819999999999</v>
      </c>
      <c r="JP28" s="3">
        <v>785.10410000000002</v>
      </c>
      <c r="JQ28" s="3">
        <v>789.3519</v>
      </c>
      <c r="JR28" s="3">
        <v>793.59439999999995</v>
      </c>
      <c r="JS28" s="3">
        <v>797.82730000000004</v>
      </c>
      <c r="JT28" s="3">
        <v>802.10739999999998</v>
      </c>
      <c r="JU28" s="3">
        <v>806.40480000000002</v>
      </c>
      <c r="JV28" s="3">
        <v>810.70529999999997</v>
      </c>
      <c r="JW28" s="3">
        <v>815.02980000000002</v>
      </c>
      <c r="JX28" s="3">
        <v>819.40049999999997</v>
      </c>
      <c r="JY28" s="3">
        <v>823.79309999999998</v>
      </c>
      <c r="JZ28" s="3">
        <v>828.18740000000003</v>
      </c>
      <c r="KA28" s="3">
        <v>832.62760000000003</v>
      </c>
      <c r="KB28" s="3">
        <v>837.11120000000005</v>
      </c>
      <c r="KC28" s="3">
        <v>841.50319999999999</v>
      </c>
      <c r="KD28" s="3">
        <v>845.90189999999996</v>
      </c>
      <c r="KE28" s="3">
        <v>850.33190000000002</v>
      </c>
      <c r="KF28" s="3">
        <v>854.80989999999997</v>
      </c>
      <c r="KG28" s="3">
        <v>859.30920000000003</v>
      </c>
      <c r="KH28" s="3">
        <v>863.81590000000006</v>
      </c>
      <c r="KI28" s="3">
        <v>868.44730000000004</v>
      </c>
      <c r="KJ28" s="3">
        <v>873.08759999999995</v>
      </c>
      <c r="KK28" s="3">
        <v>877.75210000000004</v>
      </c>
      <c r="KL28" s="3">
        <v>882.42110000000002</v>
      </c>
      <c r="KM28" s="3">
        <v>887.20429999999999</v>
      </c>
      <c r="KN28" s="3">
        <v>892.05169999999998</v>
      </c>
      <c r="KO28" s="3">
        <v>896.92110000000002</v>
      </c>
      <c r="KP28" s="3">
        <v>901.79359999999997</v>
      </c>
      <c r="KQ28" s="3">
        <v>906.77229999999997</v>
      </c>
      <c r="KR28" s="3">
        <v>911.81510000000003</v>
      </c>
      <c r="KS28" s="3">
        <v>916.88490000000002</v>
      </c>
      <c r="KT28" s="3">
        <v>921.95820000000003</v>
      </c>
      <c r="KU28" s="3">
        <v>927.05859999999996</v>
      </c>
      <c r="KV28" s="3">
        <v>932.22529999999995</v>
      </c>
      <c r="KW28" s="3">
        <v>937.41909999999996</v>
      </c>
      <c r="KX28" s="3">
        <v>942.61779999999999</v>
      </c>
      <c r="KY28" s="3">
        <v>947.94179999999994</v>
      </c>
      <c r="KZ28" s="3">
        <v>953.33609999999999</v>
      </c>
      <c r="LA28" s="3">
        <v>958.76080000000002</v>
      </c>
      <c r="LB28" s="3">
        <v>964.19179999999994</v>
      </c>
      <c r="LC28" s="3">
        <v>969.70590000000004</v>
      </c>
      <c r="LD28" s="3">
        <v>975.29060000000004</v>
      </c>
      <c r="LE28" s="3">
        <v>980.90949999999998</v>
      </c>
      <c r="LF28" s="3">
        <v>986.53560000000004</v>
      </c>
      <c r="LG28" s="3">
        <v>992.21040000000005</v>
      </c>
      <c r="LH28" s="3">
        <v>997.95569999999998</v>
      </c>
      <c r="LI28" s="3">
        <v>1003.7380000000001</v>
      </c>
      <c r="LJ28" s="3">
        <v>1009.528</v>
      </c>
      <c r="LK28" s="3">
        <v>1015.376</v>
      </c>
      <c r="LL28" s="3">
        <v>1021.297</v>
      </c>
      <c r="LM28" s="3">
        <v>1027.252</v>
      </c>
      <c r="LN28" s="3">
        <v>1033.2159999999999</v>
      </c>
      <c r="LO28" s="3">
        <v>1039.2650000000001</v>
      </c>
      <c r="LP28" s="3">
        <v>1045.3969999999999</v>
      </c>
      <c r="LQ28" s="3">
        <v>1051.5650000000001</v>
      </c>
      <c r="LR28" s="3">
        <v>1057.7380000000001</v>
      </c>
      <c r="LS28" s="3">
        <v>1063.9570000000001</v>
      </c>
      <c r="LT28" s="3">
        <v>1070.252</v>
      </c>
      <c r="LU28" s="3">
        <v>1076.5909999999999</v>
      </c>
      <c r="LV28" s="3">
        <v>1082.9359999999999</v>
      </c>
      <c r="LW28" s="3">
        <v>1089.3420000000001</v>
      </c>
      <c r="LX28" s="3">
        <v>1095.827</v>
      </c>
      <c r="LY28" s="3">
        <v>1102.3530000000001</v>
      </c>
      <c r="LZ28" s="3">
        <v>1108.886</v>
      </c>
      <c r="MA28" s="3">
        <v>1115.502</v>
      </c>
      <c r="MB28" s="3">
        <v>1122.2080000000001</v>
      </c>
      <c r="MC28" s="3">
        <v>1128.953</v>
      </c>
      <c r="MD28" s="3">
        <v>1135.71</v>
      </c>
      <c r="ME28" s="3">
        <v>1142.47</v>
      </c>
      <c r="MF28" s="3">
        <v>1149.3130000000001</v>
      </c>
      <c r="MG28" s="3">
        <v>1156.1980000000001</v>
      </c>
      <c r="MH28" s="3">
        <v>1163.095</v>
      </c>
      <c r="MI28" s="3">
        <v>1169.915</v>
      </c>
      <c r="MJ28" s="3">
        <v>1176.816</v>
      </c>
      <c r="MK28" s="3">
        <v>1183.761</v>
      </c>
      <c r="ML28" s="3">
        <v>1190.7159999999999</v>
      </c>
      <c r="MM28" s="3">
        <v>1197.374</v>
      </c>
      <c r="MN28" s="3">
        <v>1204.0989999999999</v>
      </c>
      <c r="MO28" s="3">
        <v>1210.8630000000001</v>
      </c>
      <c r="MP28" s="3">
        <v>1217.636</v>
      </c>
      <c r="MQ28" s="3">
        <v>1224.377</v>
      </c>
      <c r="MR28" s="3">
        <v>1231.1959999999999</v>
      </c>
      <c r="MS28" s="3">
        <v>1238.056</v>
      </c>
      <c r="MT28" s="3">
        <v>1244.9280000000001</v>
      </c>
      <c r="MU28" t="s">
        <v>444</v>
      </c>
      <c r="MV28" t="b">
        <v>1</v>
      </c>
      <c r="MW28" t="s">
        <v>377</v>
      </c>
      <c r="MX28" t="s">
        <v>377</v>
      </c>
      <c r="MY28">
        <v>2025</v>
      </c>
      <c r="MZ28">
        <v>2</v>
      </c>
      <c r="NA28" t="s">
        <v>377</v>
      </c>
      <c r="NB28" s="1" t="s">
        <v>479</v>
      </c>
      <c r="NC28" s="1" t="s">
        <v>480</v>
      </c>
      <c r="ND28" t="s">
        <v>412</v>
      </c>
      <c r="NE28" t="s">
        <v>469</v>
      </c>
      <c r="NF28" s="1" t="s">
        <v>872</v>
      </c>
    </row>
    <row r="29" spans="1:370" x14ac:dyDescent="0.25">
      <c r="A29" t="s">
        <v>413</v>
      </c>
      <c r="B29" t="s">
        <v>466</v>
      </c>
      <c r="C29" s="1" t="s">
        <v>871</v>
      </c>
      <c r="D29" t="s">
        <v>414</v>
      </c>
      <c r="E29" t="s">
        <v>373</v>
      </c>
      <c r="F29" t="s">
        <v>374</v>
      </c>
      <c r="G29" s="2">
        <v>31189</v>
      </c>
      <c r="H29" s="2">
        <v>32510</v>
      </c>
      <c r="I29" s="2">
        <v>33631</v>
      </c>
      <c r="J29" s="2">
        <v>35636</v>
      </c>
      <c r="K29" s="2">
        <v>37325</v>
      </c>
      <c r="L29" s="2">
        <v>38990</v>
      </c>
      <c r="M29" s="2">
        <v>40561</v>
      </c>
      <c r="N29" s="2">
        <v>41300</v>
      </c>
      <c r="O29" s="2">
        <v>41861</v>
      </c>
      <c r="P29" s="2">
        <v>43406</v>
      </c>
      <c r="Q29" s="2">
        <v>45554</v>
      </c>
      <c r="R29" s="2">
        <v>47107</v>
      </c>
      <c r="S29" s="2">
        <v>49062</v>
      </c>
      <c r="T29" s="2">
        <v>51563</v>
      </c>
      <c r="U29" s="2">
        <v>52112</v>
      </c>
      <c r="V29" s="2">
        <v>53249</v>
      </c>
      <c r="W29" s="2">
        <v>54978</v>
      </c>
      <c r="X29" s="2">
        <v>56202</v>
      </c>
      <c r="Y29" s="2">
        <v>57431</v>
      </c>
      <c r="Z29" s="2">
        <v>58990</v>
      </c>
      <c r="AA29" s="2">
        <v>60330</v>
      </c>
      <c r="AB29" s="2">
        <v>62171</v>
      </c>
      <c r="AC29" s="2">
        <v>63801</v>
      </c>
      <c r="AD29" s="2">
        <v>65773</v>
      </c>
      <c r="AE29" s="2">
        <v>67850</v>
      </c>
      <c r="AF29" s="2">
        <v>71043</v>
      </c>
      <c r="AG29" s="2">
        <v>73230</v>
      </c>
      <c r="AH29" s="2">
        <v>75485</v>
      </c>
      <c r="AI29" s="2">
        <v>77446</v>
      </c>
      <c r="AJ29" s="2">
        <v>79307</v>
      </c>
      <c r="AK29" s="2">
        <v>81191</v>
      </c>
      <c r="AL29" s="2">
        <v>84838</v>
      </c>
      <c r="AM29" s="2">
        <v>88998</v>
      </c>
      <c r="AN29" s="2">
        <v>91998</v>
      </c>
      <c r="AO29" s="2">
        <v>93205</v>
      </c>
      <c r="AP29" s="2">
        <v>94157</v>
      </c>
      <c r="AQ29" s="2">
        <v>95751</v>
      </c>
      <c r="AR29" s="2">
        <v>96629</v>
      </c>
      <c r="AS29" s="2">
        <v>97390</v>
      </c>
      <c r="AT29" s="2">
        <v>98411</v>
      </c>
      <c r="AU29" s="2">
        <v>100809</v>
      </c>
      <c r="AV29" s="2">
        <v>103951</v>
      </c>
      <c r="AW29" s="2">
        <v>107240</v>
      </c>
      <c r="AX29" s="2">
        <v>109316</v>
      </c>
      <c r="AY29" s="2">
        <v>111960</v>
      </c>
      <c r="AZ29" s="2">
        <v>114888</v>
      </c>
      <c r="BA29" s="2">
        <v>116295</v>
      </c>
      <c r="BB29" s="2">
        <v>118843</v>
      </c>
      <c r="BC29" s="2">
        <v>121524</v>
      </c>
      <c r="BD29" s="2">
        <v>123838</v>
      </c>
      <c r="BE29" s="2">
        <v>125968</v>
      </c>
      <c r="BF29" s="2">
        <v>128697</v>
      </c>
      <c r="BG29" s="2">
        <v>129653</v>
      </c>
      <c r="BH29" s="2">
        <v>130961</v>
      </c>
      <c r="BI29" s="2">
        <v>132555</v>
      </c>
      <c r="BJ29" s="2">
        <v>133461</v>
      </c>
      <c r="BK29" s="2">
        <v>138121</v>
      </c>
      <c r="BL29" s="2">
        <v>141855</v>
      </c>
      <c r="BM29" s="2">
        <v>145420</v>
      </c>
      <c r="BN29" s="2">
        <v>148940</v>
      </c>
      <c r="BO29" s="2">
        <v>152737</v>
      </c>
      <c r="BP29" s="2">
        <v>155292</v>
      </c>
      <c r="BQ29" s="2">
        <v>157848</v>
      </c>
      <c r="BR29" s="2">
        <v>161017</v>
      </c>
      <c r="BS29" s="2">
        <v>164040</v>
      </c>
      <c r="BT29" s="2">
        <v>167448</v>
      </c>
      <c r="BU29" s="2">
        <v>169783</v>
      </c>
      <c r="BV29" s="2">
        <v>170308</v>
      </c>
      <c r="BW29" s="2">
        <v>172982</v>
      </c>
      <c r="BX29" s="2">
        <v>173906</v>
      </c>
      <c r="BY29" s="2">
        <v>174421</v>
      </c>
      <c r="BZ29" s="2">
        <v>174192</v>
      </c>
      <c r="CA29" s="2">
        <v>173502</v>
      </c>
      <c r="CB29" s="2">
        <v>175393</v>
      </c>
      <c r="CC29" s="2">
        <v>176199</v>
      </c>
      <c r="CD29" s="2">
        <v>176679</v>
      </c>
      <c r="CE29" s="2">
        <v>177502</v>
      </c>
      <c r="CF29" s="2">
        <v>178686</v>
      </c>
      <c r="CG29" s="2">
        <v>180415</v>
      </c>
      <c r="CH29" s="2">
        <v>181833</v>
      </c>
      <c r="CI29" s="2">
        <v>183488</v>
      </c>
      <c r="CJ29" s="2">
        <v>186340</v>
      </c>
      <c r="CK29" s="2">
        <v>187517</v>
      </c>
      <c r="CL29" s="2">
        <v>189692</v>
      </c>
      <c r="CM29" s="2">
        <v>193164</v>
      </c>
      <c r="CN29" s="2">
        <v>195915</v>
      </c>
      <c r="CO29" s="2">
        <v>200196</v>
      </c>
      <c r="CP29" s="2">
        <v>202697</v>
      </c>
      <c r="CQ29" s="2">
        <v>205993</v>
      </c>
      <c r="CR29" s="2">
        <v>207214</v>
      </c>
      <c r="CS29" s="2">
        <v>208244</v>
      </c>
      <c r="CT29" s="2">
        <v>210170</v>
      </c>
      <c r="CU29" s="2">
        <v>211052</v>
      </c>
      <c r="CV29" s="2">
        <v>213226</v>
      </c>
      <c r="CW29" s="2">
        <v>216136</v>
      </c>
      <c r="CX29" s="2">
        <v>219420</v>
      </c>
      <c r="CY29" s="2">
        <v>222937</v>
      </c>
      <c r="CZ29" s="2">
        <v>224853</v>
      </c>
      <c r="DA29" s="2">
        <v>228141</v>
      </c>
      <c r="DB29" s="2">
        <v>230995</v>
      </c>
      <c r="DC29" s="2">
        <v>233653</v>
      </c>
      <c r="DD29" s="2">
        <v>233803</v>
      </c>
      <c r="DE29" s="2">
        <v>234718</v>
      </c>
      <c r="DF29" s="2">
        <v>238374</v>
      </c>
      <c r="DG29" s="2">
        <v>243810</v>
      </c>
      <c r="DH29" s="2">
        <v>248543</v>
      </c>
      <c r="DI29" s="2">
        <v>255327</v>
      </c>
      <c r="DJ29" s="2">
        <v>260247</v>
      </c>
      <c r="DK29" s="2">
        <v>267547</v>
      </c>
      <c r="DL29" s="2">
        <v>274862</v>
      </c>
      <c r="DM29" s="2">
        <v>280442</v>
      </c>
      <c r="DN29" s="2">
        <v>283220</v>
      </c>
      <c r="DO29" s="2">
        <v>287481</v>
      </c>
      <c r="DP29" s="2">
        <v>288215</v>
      </c>
      <c r="DQ29" s="2">
        <v>284701</v>
      </c>
      <c r="DR29" s="2">
        <v>284146</v>
      </c>
      <c r="DS29" s="2">
        <v>289660</v>
      </c>
      <c r="DT29" s="2">
        <v>296473</v>
      </c>
      <c r="DU29" s="2">
        <v>301036</v>
      </c>
      <c r="DV29" s="2">
        <v>306525</v>
      </c>
      <c r="DW29" s="2">
        <v>312522</v>
      </c>
      <c r="DX29" s="2">
        <v>309430</v>
      </c>
      <c r="DY29" s="2">
        <v>314574</v>
      </c>
      <c r="DZ29" s="2">
        <v>318221</v>
      </c>
      <c r="EA29" s="2">
        <v>324054</v>
      </c>
      <c r="EB29" s="2">
        <v>332037</v>
      </c>
      <c r="EC29" s="2">
        <v>337870</v>
      </c>
      <c r="ED29" s="2">
        <v>341770</v>
      </c>
      <c r="EE29" s="2">
        <v>345081</v>
      </c>
      <c r="EF29" s="2">
        <v>349902</v>
      </c>
      <c r="EG29" s="2">
        <v>359248</v>
      </c>
      <c r="EH29" s="2">
        <v>367359</v>
      </c>
      <c r="EI29" s="2">
        <v>369000</v>
      </c>
      <c r="EJ29" s="2">
        <v>372679</v>
      </c>
      <c r="EK29" s="2">
        <v>376234</v>
      </c>
      <c r="EL29" s="2">
        <v>378691</v>
      </c>
      <c r="EM29" s="2">
        <v>386819</v>
      </c>
      <c r="EN29" s="2">
        <v>394153</v>
      </c>
      <c r="EO29" s="2">
        <v>395562</v>
      </c>
      <c r="EP29" s="2">
        <v>401127</v>
      </c>
      <c r="EQ29" s="2">
        <v>409324</v>
      </c>
      <c r="ER29" s="2">
        <v>419362</v>
      </c>
      <c r="ES29" s="2">
        <v>423628</v>
      </c>
      <c r="ET29" s="2">
        <v>404727</v>
      </c>
      <c r="EU29" s="2">
        <v>389308</v>
      </c>
      <c r="EV29" s="2">
        <v>387122</v>
      </c>
      <c r="EW29" s="2">
        <v>391981</v>
      </c>
      <c r="EX29" s="2">
        <v>402923</v>
      </c>
      <c r="EY29" s="2">
        <v>411008</v>
      </c>
      <c r="EZ29" s="2">
        <v>413310</v>
      </c>
      <c r="FA29" s="2">
        <v>416343</v>
      </c>
      <c r="FB29" s="2">
        <v>425387</v>
      </c>
      <c r="FC29" s="2">
        <v>434488</v>
      </c>
      <c r="FD29" s="2">
        <v>439963</v>
      </c>
      <c r="FE29" s="2">
        <v>446437</v>
      </c>
      <c r="FF29" s="2">
        <v>453175</v>
      </c>
      <c r="FG29" s="2">
        <v>453780</v>
      </c>
      <c r="FH29" s="2">
        <v>454746</v>
      </c>
      <c r="FI29" s="2">
        <v>457659</v>
      </c>
      <c r="FJ29" s="2">
        <v>461016</v>
      </c>
      <c r="FK29" s="2">
        <v>469211</v>
      </c>
      <c r="FL29" s="2">
        <v>471648</v>
      </c>
      <c r="FM29" s="2">
        <v>478107</v>
      </c>
      <c r="FN29" s="2">
        <v>483281</v>
      </c>
      <c r="FO29" s="2">
        <v>490863</v>
      </c>
      <c r="FP29" s="2">
        <v>497101</v>
      </c>
      <c r="FQ29" s="2">
        <v>503448</v>
      </c>
      <c r="FR29" s="2">
        <v>503486</v>
      </c>
      <c r="FS29" s="2">
        <v>496075</v>
      </c>
      <c r="FT29" s="2">
        <v>496230</v>
      </c>
      <c r="FU29" s="2">
        <v>500216</v>
      </c>
      <c r="FV29" s="2">
        <v>497920</v>
      </c>
      <c r="FW29" s="2">
        <v>499605</v>
      </c>
      <c r="FX29" s="2">
        <v>500538</v>
      </c>
      <c r="FY29" s="2">
        <v>508855</v>
      </c>
      <c r="FZ29" s="2">
        <v>516537</v>
      </c>
      <c r="GA29" s="2">
        <v>526987</v>
      </c>
      <c r="GB29" s="2">
        <v>532505</v>
      </c>
      <c r="GC29" s="2">
        <v>535438</v>
      </c>
      <c r="GD29" s="2">
        <v>545711</v>
      </c>
      <c r="GE29" s="2">
        <v>551767</v>
      </c>
      <c r="GF29" s="2">
        <v>560017</v>
      </c>
      <c r="GG29" s="2">
        <v>564738</v>
      </c>
      <c r="GH29" s="2">
        <v>559153</v>
      </c>
      <c r="GI29" s="2">
        <v>567228</v>
      </c>
      <c r="GJ29" s="2">
        <v>578170</v>
      </c>
      <c r="GK29" s="2">
        <v>580619</v>
      </c>
      <c r="GL29" s="2">
        <v>587546</v>
      </c>
      <c r="GM29" s="2">
        <v>572004</v>
      </c>
      <c r="GN29" s="2">
        <v>503983</v>
      </c>
      <c r="GO29" s="2">
        <v>561621</v>
      </c>
      <c r="GP29" s="2">
        <v>582919</v>
      </c>
      <c r="GQ29" s="2">
        <v>607847</v>
      </c>
      <c r="GR29" s="2">
        <v>622004</v>
      </c>
      <c r="GS29" s="2">
        <v>640826</v>
      </c>
      <c r="GT29" s="2">
        <v>665141</v>
      </c>
      <c r="GU29" s="2">
        <v>693777</v>
      </c>
      <c r="GV29" s="2">
        <v>722546</v>
      </c>
      <c r="GW29" s="2">
        <v>718002</v>
      </c>
      <c r="GX29" s="2">
        <v>716615</v>
      </c>
      <c r="GY29" s="2">
        <v>720784</v>
      </c>
      <c r="GZ29" s="2">
        <v>726105</v>
      </c>
      <c r="HA29" s="2">
        <v>737792</v>
      </c>
      <c r="HB29" s="2">
        <v>749129</v>
      </c>
      <c r="HC29" s="2">
        <v>751172</v>
      </c>
      <c r="HD29" s="2">
        <v>763813</v>
      </c>
      <c r="HE29" s="2">
        <v>773197</v>
      </c>
      <c r="HF29" s="2">
        <v>784164</v>
      </c>
      <c r="HG29" s="2">
        <v>793762</v>
      </c>
      <c r="HH29" s="2">
        <v>790655</v>
      </c>
      <c r="HI29" s="3">
        <v>790379.6</v>
      </c>
      <c r="HJ29" s="3">
        <v>795608.4</v>
      </c>
      <c r="HK29" s="3">
        <v>800203.4</v>
      </c>
      <c r="HL29" s="3">
        <v>806265.9</v>
      </c>
      <c r="HM29" s="3">
        <v>814686.4</v>
      </c>
      <c r="HN29" s="3">
        <v>825120.3</v>
      </c>
      <c r="HO29" s="3">
        <v>833768.3</v>
      </c>
      <c r="HP29" s="3">
        <v>843685.9</v>
      </c>
      <c r="HQ29" s="3">
        <v>853405.7</v>
      </c>
      <c r="HR29" s="3">
        <v>863031.5</v>
      </c>
      <c r="HS29" s="3">
        <v>872112</v>
      </c>
      <c r="HT29" s="3">
        <v>880291.4</v>
      </c>
      <c r="HU29" s="3">
        <v>888676.2</v>
      </c>
      <c r="HV29" s="3">
        <v>897057.8</v>
      </c>
      <c r="HW29" s="3">
        <v>904985.3</v>
      </c>
      <c r="HX29" s="3">
        <v>913278.8</v>
      </c>
      <c r="HY29" s="3">
        <v>921680.9</v>
      </c>
      <c r="HZ29" s="3">
        <v>930259.3</v>
      </c>
      <c r="IA29" s="3">
        <v>939215.8</v>
      </c>
      <c r="IB29" s="3">
        <v>948357.9</v>
      </c>
      <c r="IC29" s="3">
        <v>957603.3</v>
      </c>
      <c r="ID29" s="3">
        <v>967009.9</v>
      </c>
      <c r="IE29" s="3">
        <v>976372.8</v>
      </c>
      <c r="IF29" s="3">
        <v>985718.9</v>
      </c>
      <c r="IG29" s="3">
        <v>995180.8</v>
      </c>
      <c r="IH29" s="3">
        <v>1004701</v>
      </c>
      <c r="II29" s="3">
        <v>1014262</v>
      </c>
      <c r="IJ29" s="3">
        <v>1023901</v>
      </c>
      <c r="IK29" s="3">
        <v>1033605</v>
      </c>
      <c r="IL29" s="3">
        <v>1043355</v>
      </c>
      <c r="IM29" s="3">
        <v>1053259</v>
      </c>
      <c r="IN29" s="3">
        <v>1063199</v>
      </c>
      <c r="IO29" s="3">
        <v>1073284</v>
      </c>
      <c r="IP29" s="3">
        <v>1083526</v>
      </c>
      <c r="IQ29" s="3">
        <v>1093935</v>
      </c>
      <c r="IR29" s="3">
        <v>1104449</v>
      </c>
      <c r="IS29" s="3">
        <v>1115051</v>
      </c>
      <c r="IT29" s="3">
        <v>1125745</v>
      </c>
      <c r="IU29" s="3">
        <v>1136289</v>
      </c>
      <c r="IV29" s="3">
        <v>1146904</v>
      </c>
      <c r="IW29" s="3">
        <v>1157691</v>
      </c>
      <c r="IX29" s="3">
        <v>1168687</v>
      </c>
      <c r="IY29" s="3">
        <v>1180037</v>
      </c>
      <c r="IZ29" s="3">
        <v>1191548</v>
      </c>
      <c r="JA29" s="3">
        <v>1203194</v>
      </c>
      <c r="JB29" s="3">
        <v>1214976</v>
      </c>
      <c r="JC29" s="3">
        <v>1226907</v>
      </c>
      <c r="JD29" s="3">
        <v>1238925</v>
      </c>
      <c r="JE29" s="3">
        <v>1250971</v>
      </c>
      <c r="JF29" s="3">
        <v>1263052</v>
      </c>
      <c r="JG29" s="3">
        <v>1275211</v>
      </c>
      <c r="JH29" s="3">
        <v>1287520</v>
      </c>
      <c r="JI29" s="3">
        <v>1299965</v>
      </c>
      <c r="JJ29" s="3">
        <v>1312550</v>
      </c>
      <c r="JK29" s="3">
        <v>1325201</v>
      </c>
      <c r="JL29" s="3">
        <v>1337958</v>
      </c>
      <c r="JM29" s="3">
        <v>1350964</v>
      </c>
      <c r="JN29" s="3">
        <v>1364228</v>
      </c>
      <c r="JO29" s="3">
        <v>1377604</v>
      </c>
      <c r="JP29" s="3">
        <v>1391046</v>
      </c>
      <c r="JQ29" s="3">
        <v>1404697</v>
      </c>
      <c r="JR29" s="3">
        <v>1418577</v>
      </c>
      <c r="JS29" s="3">
        <v>1432601</v>
      </c>
      <c r="JT29" s="3">
        <v>1446726</v>
      </c>
      <c r="JU29" s="3">
        <v>1460983</v>
      </c>
      <c r="JV29" s="3">
        <v>1475371</v>
      </c>
      <c r="JW29" s="3">
        <v>1489912</v>
      </c>
      <c r="JX29" s="3">
        <v>1504587</v>
      </c>
      <c r="JY29" s="3">
        <v>1519348</v>
      </c>
      <c r="JZ29" s="3">
        <v>1534213</v>
      </c>
      <c r="KA29" s="3">
        <v>1549254</v>
      </c>
      <c r="KB29" s="3">
        <v>1564447</v>
      </c>
      <c r="KC29" s="3">
        <v>1579766</v>
      </c>
      <c r="KD29" s="3">
        <v>1595184</v>
      </c>
      <c r="KE29" s="3">
        <v>1610735</v>
      </c>
      <c r="KF29" s="3">
        <v>1626356</v>
      </c>
      <c r="KG29" s="3">
        <v>1642045</v>
      </c>
      <c r="KH29" s="3">
        <v>1657923</v>
      </c>
      <c r="KI29" s="3">
        <v>1673885</v>
      </c>
      <c r="KJ29" s="3">
        <v>1689960</v>
      </c>
      <c r="KK29" s="3">
        <v>1706206</v>
      </c>
      <c r="KL29" s="3">
        <v>1722624</v>
      </c>
      <c r="KM29" s="3">
        <v>1739224</v>
      </c>
      <c r="KN29" s="3">
        <v>1755967</v>
      </c>
      <c r="KO29" s="3">
        <v>1772852</v>
      </c>
      <c r="KP29" s="3">
        <v>1789887</v>
      </c>
      <c r="KQ29" s="3">
        <v>1807086</v>
      </c>
      <c r="KR29" s="3">
        <v>1824411</v>
      </c>
      <c r="KS29" s="3">
        <v>1841851</v>
      </c>
      <c r="KT29" s="3">
        <v>1859402</v>
      </c>
      <c r="KU29" s="3">
        <v>1877107</v>
      </c>
      <c r="KV29" s="3">
        <v>1894948</v>
      </c>
      <c r="KW29" s="3">
        <v>1912898</v>
      </c>
      <c r="KX29" s="3">
        <v>1930975</v>
      </c>
      <c r="KY29" s="3">
        <v>1949220</v>
      </c>
      <c r="KZ29" s="3">
        <v>1967667</v>
      </c>
      <c r="LA29" s="3">
        <v>1986279</v>
      </c>
      <c r="LB29" s="3">
        <v>2005051</v>
      </c>
      <c r="LC29" s="3">
        <v>2023987</v>
      </c>
      <c r="LD29" s="3">
        <v>2043087</v>
      </c>
      <c r="LE29" s="3">
        <v>2062337</v>
      </c>
      <c r="LF29" s="3">
        <v>2081765</v>
      </c>
      <c r="LG29" s="3">
        <v>2101348</v>
      </c>
      <c r="LH29" s="3">
        <v>2121060</v>
      </c>
      <c r="LI29" s="3">
        <v>2140938</v>
      </c>
      <c r="LJ29" s="3">
        <v>2160953</v>
      </c>
      <c r="LK29" s="3">
        <v>2181140</v>
      </c>
      <c r="LL29" s="3">
        <v>2201507</v>
      </c>
      <c r="LM29" s="3">
        <v>2222053</v>
      </c>
      <c r="LN29" s="3">
        <v>2242767</v>
      </c>
      <c r="LO29" s="3">
        <v>2263675</v>
      </c>
      <c r="LP29" s="3">
        <v>2284741</v>
      </c>
      <c r="LQ29" s="3">
        <v>2305981</v>
      </c>
      <c r="LR29" s="3">
        <v>2327389</v>
      </c>
      <c r="LS29" s="3">
        <v>2348951</v>
      </c>
      <c r="LT29" s="3">
        <v>2370667</v>
      </c>
      <c r="LU29" s="3">
        <v>2392596</v>
      </c>
      <c r="LV29" s="3">
        <v>2414745</v>
      </c>
      <c r="LW29" s="3">
        <v>2437019</v>
      </c>
      <c r="LX29" s="3">
        <v>2459487</v>
      </c>
      <c r="LY29" s="3">
        <v>2482175</v>
      </c>
      <c r="LZ29" s="3">
        <v>2505093</v>
      </c>
      <c r="MA29" s="3">
        <v>2528067</v>
      </c>
      <c r="MB29" s="3">
        <v>2551381</v>
      </c>
      <c r="MC29" s="3">
        <v>2574974</v>
      </c>
      <c r="MD29" s="3">
        <v>2598844</v>
      </c>
      <c r="ME29" s="3">
        <v>2623116</v>
      </c>
      <c r="MF29" s="3">
        <v>2647426</v>
      </c>
      <c r="MG29" s="3">
        <v>2671912</v>
      </c>
      <c r="MH29" s="3">
        <v>2696629</v>
      </c>
      <c r="MI29" s="3">
        <v>2721446</v>
      </c>
      <c r="MJ29" s="3">
        <v>2746535</v>
      </c>
      <c r="MK29" s="3">
        <v>2771903</v>
      </c>
      <c r="ML29" s="3">
        <v>2797534</v>
      </c>
      <c r="MM29" s="3">
        <v>2823442</v>
      </c>
      <c r="MN29" s="3">
        <v>2849462</v>
      </c>
      <c r="MO29" s="3">
        <v>2875737</v>
      </c>
      <c r="MP29" s="3">
        <v>2902307</v>
      </c>
      <c r="MQ29" s="3">
        <v>2929061</v>
      </c>
      <c r="MR29" s="3">
        <v>2955998</v>
      </c>
      <c r="MS29" s="3">
        <v>2983160</v>
      </c>
      <c r="MT29" s="3">
        <v>3010570</v>
      </c>
      <c r="MU29" t="s">
        <v>415</v>
      </c>
      <c r="MV29" t="b">
        <v>1</v>
      </c>
      <c r="MW29" t="s">
        <v>377</v>
      </c>
      <c r="MX29" t="s">
        <v>377</v>
      </c>
      <c r="MY29">
        <v>2025</v>
      </c>
      <c r="MZ29">
        <v>2</v>
      </c>
      <c r="NA29" t="s">
        <v>377</v>
      </c>
      <c r="NB29" s="1" t="s">
        <v>481</v>
      </c>
      <c r="NC29" t="s">
        <v>482</v>
      </c>
      <c r="ND29" t="s">
        <v>418</v>
      </c>
      <c r="NE29" t="s">
        <v>469</v>
      </c>
      <c r="NF29" s="1" t="s">
        <v>872</v>
      </c>
    </row>
  </sheetData>
  <pageMargins left="0.7" right="0.7" top="0.75" bottom="0.75" header="0.3" footer="0.3"/>
  <customProperties>
    <customPr name="Commands" r:id="rId1"/>
    <customPr name="PostPullCommands" r:id="rId2"/>
    <customPr name="WorksheetI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C62B9-EC5D-49E1-B1DE-7BF3D71C0D9C}">
  <sheetPr>
    <outlinePr summaryBelow="0"/>
    <pageSetUpPr autoPageBreaks="0"/>
  </sheetPr>
  <dimension ref="A1:N320"/>
  <sheetViews>
    <sheetView workbookViewId="0">
      <pane xSplit="1" ySplit="6" topLeftCell="B286" activePane="bottomRight" state="frozen"/>
      <selection pane="topRight" activeCell="B1" sqref="B1"/>
      <selection pane="bottomLeft" activeCell="A7" sqref="A7"/>
      <selection pane="bottomRight" activeCell="C304" sqref="C304"/>
    </sheetView>
  </sheetViews>
  <sheetFormatPr defaultRowHeight="12.75" customHeight="1" x14ac:dyDescent="0.25"/>
  <cols>
    <col min="1" max="1" width="33.42578125" style="11" customWidth="1"/>
    <col min="2" max="2" width="23.5703125" style="11" customWidth="1"/>
    <col min="3" max="3" width="16.140625" style="11" customWidth="1"/>
    <col min="4" max="4" width="14.42578125" style="11" customWidth="1"/>
    <col min="5" max="6" width="6.85546875" style="11" customWidth="1"/>
    <col min="7" max="7" width="19.28515625" style="11" customWidth="1"/>
    <col min="8" max="8" width="6.85546875" style="11" customWidth="1"/>
    <col min="9" max="9" width="12.5703125" style="11" customWidth="1"/>
    <col min="10" max="11" width="6.85546875" style="11" customWidth="1"/>
    <col min="12" max="12" width="13.85546875" style="11" customWidth="1"/>
    <col min="13" max="13" width="14.42578125" style="11" customWidth="1"/>
    <col min="14" max="256" width="6.85546875" style="11" customWidth="1"/>
    <col min="257" max="257" width="33.42578125" style="11" customWidth="1"/>
    <col min="258" max="258" width="23.5703125" style="11" customWidth="1"/>
    <col min="259" max="259" width="16.140625" style="11" customWidth="1"/>
    <col min="260" max="260" width="14.42578125" style="11" customWidth="1"/>
    <col min="261" max="262" width="6.85546875" style="11" customWidth="1"/>
    <col min="263" max="263" width="19.28515625" style="11" customWidth="1"/>
    <col min="264" max="264" width="6.85546875" style="11" customWidth="1"/>
    <col min="265" max="265" width="12.5703125" style="11" customWidth="1"/>
    <col min="266" max="267" width="6.85546875" style="11" customWidth="1"/>
    <col min="268" max="268" width="13.85546875" style="11" customWidth="1"/>
    <col min="269" max="269" width="14.42578125" style="11" customWidth="1"/>
    <col min="270" max="512" width="6.85546875" style="11" customWidth="1"/>
    <col min="513" max="513" width="33.42578125" style="11" customWidth="1"/>
    <col min="514" max="514" width="23.5703125" style="11" customWidth="1"/>
    <col min="515" max="515" width="16.140625" style="11" customWidth="1"/>
    <col min="516" max="516" width="14.42578125" style="11" customWidth="1"/>
    <col min="517" max="518" width="6.85546875" style="11" customWidth="1"/>
    <col min="519" max="519" width="19.28515625" style="11" customWidth="1"/>
    <col min="520" max="520" width="6.85546875" style="11" customWidth="1"/>
    <col min="521" max="521" width="12.5703125" style="11" customWidth="1"/>
    <col min="522" max="523" width="6.85546875" style="11" customWidth="1"/>
    <col min="524" max="524" width="13.85546875" style="11" customWidth="1"/>
    <col min="525" max="525" width="14.42578125" style="11" customWidth="1"/>
    <col min="526" max="768" width="6.85546875" style="11" customWidth="1"/>
    <col min="769" max="769" width="33.42578125" style="11" customWidth="1"/>
    <col min="770" max="770" width="23.5703125" style="11" customWidth="1"/>
    <col min="771" max="771" width="16.140625" style="11" customWidth="1"/>
    <col min="772" max="772" width="14.42578125" style="11" customWidth="1"/>
    <col min="773" max="774" width="6.85546875" style="11" customWidth="1"/>
    <col min="775" max="775" width="19.28515625" style="11" customWidth="1"/>
    <col min="776" max="776" width="6.85546875" style="11" customWidth="1"/>
    <col min="777" max="777" width="12.5703125" style="11" customWidth="1"/>
    <col min="778" max="779" width="6.85546875" style="11" customWidth="1"/>
    <col min="780" max="780" width="13.85546875" style="11" customWidth="1"/>
    <col min="781" max="781" width="14.42578125" style="11" customWidth="1"/>
    <col min="782" max="1024" width="6.85546875" style="11" customWidth="1"/>
    <col min="1025" max="1025" width="33.42578125" style="11" customWidth="1"/>
    <col min="1026" max="1026" width="23.5703125" style="11" customWidth="1"/>
    <col min="1027" max="1027" width="16.140625" style="11" customWidth="1"/>
    <col min="1028" max="1028" width="14.42578125" style="11" customWidth="1"/>
    <col min="1029" max="1030" width="6.85546875" style="11" customWidth="1"/>
    <col min="1031" max="1031" width="19.28515625" style="11" customWidth="1"/>
    <col min="1032" max="1032" width="6.85546875" style="11" customWidth="1"/>
    <col min="1033" max="1033" width="12.5703125" style="11" customWidth="1"/>
    <col min="1034" max="1035" width="6.85546875" style="11" customWidth="1"/>
    <col min="1036" max="1036" width="13.85546875" style="11" customWidth="1"/>
    <col min="1037" max="1037" width="14.42578125" style="11" customWidth="1"/>
    <col min="1038" max="1280" width="6.85546875" style="11" customWidth="1"/>
    <col min="1281" max="1281" width="33.42578125" style="11" customWidth="1"/>
    <col min="1282" max="1282" width="23.5703125" style="11" customWidth="1"/>
    <col min="1283" max="1283" width="16.140625" style="11" customWidth="1"/>
    <col min="1284" max="1284" width="14.42578125" style="11" customWidth="1"/>
    <col min="1285" max="1286" width="6.85546875" style="11" customWidth="1"/>
    <col min="1287" max="1287" width="19.28515625" style="11" customWidth="1"/>
    <col min="1288" max="1288" width="6.85546875" style="11" customWidth="1"/>
    <col min="1289" max="1289" width="12.5703125" style="11" customWidth="1"/>
    <col min="1290" max="1291" width="6.85546875" style="11" customWidth="1"/>
    <col min="1292" max="1292" width="13.85546875" style="11" customWidth="1"/>
    <col min="1293" max="1293" width="14.42578125" style="11" customWidth="1"/>
    <col min="1294" max="1536" width="6.85546875" style="11" customWidth="1"/>
    <col min="1537" max="1537" width="33.42578125" style="11" customWidth="1"/>
    <col min="1538" max="1538" width="23.5703125" style="11" customWidth="1"/>
    <col min="1539" max="1539" width="16.140625" style="11" customWidth="1"/>
    <col min="1540" max="1540" width="14.42578125" style="11" customWidth="1"/>
    <col min="1541" max="1542" width="6.85546875" style="11" customWidth="1"/>
    <col min="1543" max="1543" width="19.28515625" style="11" customWidth="1"/>
    <col min="1544" max="1544" width="6.85546875" style="11" customWidth="1"/>
    <col min="1545" max="1545" width="12.5703125" style="11" customWidth="1"/>
    <col min="1546" max="1547" width="6.85546875" style="11" customWidth="1"/>
    <col min="1548" max="1548" width="13.85546875" style="11" customWidth="1"/>
    <col min="1549" max="1549" width="14.42578125" style="11" customWidth="1"/>
    <col min="1550" max="1792" width="6.85546875" style="11" customWidth="1"/>
    <col min="1793" max="1793" width="33.42578125" style="11" customWidth="1"/>
    <col min="1794" max="1794" width="23.5703125" style="11" customWidth="1"/>
    <col min="1795" max="1795" width="16.140625" style="11" customWidth="1"/>
    <col min="1796" max="1796" width="14.42578125" style="11" customWidth="1"/>
    <col min="1797" max="1798" width="6.85546875" style="11" customWidth="1"/>
    <col min="1799" max="1799" width="19.28515625" style="11" customWidth="1"/>
    <col min="1800" max="1800" width="6.85546875" style="11" customWidth="1"/>
    <col min="1801" max="1801" width="12.5703125" style="11" customWidth="1"/>
    <col min="1802" max="1803" width="6.85546875" style="11" customWidth="1"/>
    <col min="1804" max="1804" width="13.85546875" style="11" customWidth="1"/>
    <col min="1805" max="1805" width="14.42578125" style="11" customWidth="1"/>
    <col min="1806" max="2048" width="6.85546875" style="11" customWidth="1"/>
    <col min="2049" max="2049" width="33.42578125" style="11" customWidth="1"/>
    <col min="2050" max="2050" width="23.5703125" style="11" customWidth="1"/>
    <col min="2051" max="2051" width="16.140625" style="11" customWidth="1"/>
    <col min="2052" max="2052" width="14.42578125" style="11" customWidth="1"/>
    <col min="2053" max="2054" width="6.85546875" style="11" customWidth="1"/>
    <col min="2055" max="2055" width="19.28515625" style="11" customWidth="1"/>
    <col min="2056" max="2056" width="6.85546875" style="11" customWidth="1"/>
    <col min="2057" max="2057" width="12.5703125" style="11" customWidth="1"/>
    <col min="2058" max="2059" width="6.85546875" style="11" customWidth="1"/>
    <col min="2060" max="2060" width="13.85546875" style="11" customWidth="1"/>
    <col min="2061" max="2061" width="14.42578125" style="11" customWidth="1"/>
    <col min="2062" max="2304" width="6.85546875" style="11" customWidth="1"/>
    <col min="2305" max="2305" width="33.42578125" style="11" customWidth="1"/>
    <col min="2306" max="2306" width="23.5703125" style="11" customWidth="1"/>
    <col min="2307" max="2307" width="16.140625" style="11" customWidth="1"/>
    <col min="2308" max="2308" width="14.42578125" style="11" customWidth="1"/>
    <col min="2309" max="2310" width="6.85546875" style="11" customWidth="1"/>
    <col min="2311" max="2311" width="19.28515625" style="11" customWidth="1"/>
    <col min="2312" max="2312" width="6.85546875" style="11" customWidth="1"/>
    <col min="2313" max="2313" width="12.5703125" style="11" customWidth="1"/>
    <col min="2314" max="2315" width="6.85546875" style="11" customWidth="1"/>
    <col min="2316" max="2316" width="13.85546875" style="11" customWidth="1"/>
    <col min="2317" max="2317" width="14.42578125" style="11" customWidth="1"/>
    <col min="2318" max="2560" width="6.85546875" style="11" customWidth="1"/>
    <col min="2561" max="2561" width="33.42578125" style="11" customWidth="1"/>
    <col min="2562" max="2562" width="23.5703125" style="11" customWidth="1"/>
    <col min="2563" max="2563" width="16.140625" style="11" customWidth="1"/>
    <col min="2564" max="2564" width="14.42578125" style="11" customWidth="1"/>
    <col min="2565" max="2566" width="6.85546875" style="11" customWidth="1"/>
    <col min="2567" max="2567" width="19.28515625" style="11" customWidth="1"/>
    <col min="2568" max="2568" width="6.85546875" style="11" customWidth="1"/>
    <col min="2569" max="2569" width="12.5703125" style="11" customWidth="1"/>
    <col min="2570" max="2571" width="6.85546875" style="11" customWidth="1"/>
    <col min="2572" max="2572" width="13.85546875" style="11" customWidth="1"/>
    <col min="2573" max="2573" width="14.42578125" style="11" customWidth="1"/>
    <col min="2574" max="2816" width="6.85546875" style="11" customWidth="1"/>
    <col min="2817" max="2817" width="33.42578125" style="11" customWidth="1"/>
    <col min="2818" max="2818" width="23.5703125" style="11" customWidth="1"/>
    <col min="2819" max="2819" width="16.140625" style="11" customWidth="1"/>
    <col min="2820" max="2820" width="14.42578125" style="11" customWidth="1"/>
    <col min="2821" max="2822" width="6.85546875" style="11" customWidth="1"/>
    <col min="2823" max="2823" width="19.28515625" style="11" customWidth="1"/>
    <col min="2824" max="2824" width="6.85546875" style="11" customWidth="1"/>
    <col min="2825" max="2825" width="12.5703125" style="11" customWidth="1"/>
    <col min="2826" max="2827" width="6.85546875" style="11" customWidth="1"/>
    <col min="2828" max="2828" width="13.85546875" style="11" customWidth="1"/>
    <col min="2829" max="2829" width="14.42578125" style="11" customWidth="1"/>
    <col min="2830" max="3072" width="6.85546875" style="11" customWidth="1"/>
    <col min="3073" max="3073" width="33.42578125" style="11" customWidth="1"/>
    <col min="3074" max="3074" width="23.5703125" style="11" customWidth="1"/>
    <col min="3075" max="3075" width="16.140625" style="11" customWidth="1"/>
    <col min="3076" max="3076" width="14.42578125" style="11" customWidth="1"/>
    <col min="3077" max="3078" width="6.85546875" style="11" customWidth="1"/>
    <col min="3079" max="3079" width="19.28515625" style="11" customWidth="1"/>
    <col min="3080" max="3080" width="6.85546875" style="11" customWidth="1"/>
    <col min="3081" max="3081" width="12.5703125" style="11" customWidth="1"/>
    <col min="3082" max="3083" width="6.85546875" style="11" customWidth="1"/>
    <col min="3084" max="3084" width="13.85546875" style="11" customWidth="1"/>
    <col min="3085" max="3085" width="14.42578125" style="11" customWidth="1"/>
    <col min="3086" max="3328" width="6.85546875" style="11" customWidth="1"/>
    <col min="3329" max="3329" width="33.42578125" style="11" customWidth="1"/>
    <col min="3330" max="3330" width="23.5703125" style="11" customWidth="1"/>
    <col min="3331" max="3331" width="16.140625" style="11" customWidth="1"/>
    <col min="3332" max="3332" width="14.42578125" style="11" customWidth="1"/>
    <col min="3333" max="3334" width="6.85546875" style="11" customWidth="1"/>
    <col min="3335" max="3335" width="19.28515625" style="11" customWidth="1"/>
    <col min="3336" max="3336" width="6.85546875" style="11" customWidth="1"/>
    <col min="3337" max="3337" width="12.5703125" style="11" customWidth="1"/>
    <col min="3338" max="3339" width="6.85546875" style="11" customWidth="1"/>
    <col min="3340" max="3340" width="13.85546875" style="11" customWidth="1"/>
    <col min="3341" max="3341" width="14.42578125" style="11" customWidth="1"/>
    <col min="3342" max="3584" width="6.85546875" style="11" customWidth="1"/>
    <col min="3585" max="3585" width="33.42578125" style="11" customWidth="1"/>
    <col min="3586" max="3586" width="23.5703125" style="11" customWidth="1"/>
    <col min="3587" max="3587" width="16.140625" style="11" customWidth="1"/>
    <col min="3588" max="3588" width="14.42578125" style="11" customWidth="1"/>
    <col min="3589" max="3590" width="6.85546875" style="11" customWidth="1"/>
    <col min="3591" max="3591" width="19.28515625" style="11" customWidth="1"/>
    <col min="3592" max="3592" width="6.85546875" style="11" customWidth="1"/>
    <col min="3593" max="3593" width="12.5703125" style="11" customWidth="1"/>
    <col min="3594" max="3595" width="6.85546875" style="11" customWidth="1"/>
    <col min="3596" max="3596" width="13.85546875" style="11" customWidth="1"/>
    <col min="3597" max="3597" width="14.42578125" style="11" customWidth="1"/>
    <col min="3598" max="3840" width="6.85546875" style="11" customWidth="1"/>
    <col min="3841" max="3841" width="33.42578125" style="11" customWidth="1"/>
    <col min="3842" max="3842" width="23.5703125" style="11" customWidth="1"/>
    <col min="3843" max="3843" width="16.140625" style="11" customWidth="1"/>
    <col min="3844" max="3844" width="14.42578125" style="11" customWidth="1"/>
    <col min="3845" max="3846" width="6.85546875" style="11" customWidth="1"/>
    <col min="3847" max="3847" width="19.28515625" style="11" customWidth="1"/>
    <col min="3848" max="3848" width="6.85546875" style="11" customWidth="1"/>
    <col min="3849" max="3849" width="12.5703125" style="11" customWidth="1"/>
    <col min="3850" max="3851" width="6.85546875" style="11" customWidth="1"/>
    <col min="3852" max="3852" width="13.85546875" style="11" customWidth="1"/>
    <col min="3853" max="3853" width="14.42578125" style="11" customWidth="1"/>
    <col min="3854" max="4096" width="6.85546875" style="11" customWidth="1"/>
    <col min="4097" max="4097" width="33.42578125" style="11" customWidth="1"/>
    <col min="4098" max="4098" width="23.5703125" style="11" customWidth="1"/>
    <col min="4099" max="4099" width="16.140625" style="11" customWidth="1"/>
    <col min="4100" max="4100" width="14.42578125" style="11" customWidth="1"/>
    <col min="4101" max="4102" width="6.85546875" style="11" customWidth="1"/>
    <col min="4103" max="4103" width="19.28515625" style="11" customWidth="1"/>
    <col min="4104" max="4104" width="6.85546875" style="11" customWidth="1"/>
    <col min="4105" max="4105" width="12.5703125" style="11" customWidth="1"/>
    <col min="4106" max="4107" width="6.85546875" style="11" customWidth="1"/>
    <col min="4108" max="4108" width="13.85546875" style="11" customWidth="1"/>
    <col min="4109" max="4109" width="14.42578125" style="11" customWidth="1"/>
    <col min="4110" max="4352" width="6.85546875" style="11" customWidth="1"/>
    <col min="4353" max="4353" width="33.42578125" style="11" customWidth="1"/>
    <col min="4354" max="4354" width="23.5703125" style="11" customWidth="1"/>
    <col min="4355" max="4355" width="16.140625" style="11" customWidth="1"/>
    <col min="4356" max="4356" width="14.42578125" style="11" customWidth="1"/>
    <col min="4357" max="4358" width="6.85546875" style="11" customWidth="1"/>
    <col min="4359" max="4359" width="19.28515625" style="11" customWidth="1"/>
    <col min="4360" max="4360" width="6.85546875" style="11" customWidth="1"/>
    <col min="4361" max="4361" width="12.5703125" style="11" customWidth="1"/>
    <col min="4362" max="4363" width="6.85546875" style="11" customWidth="1"/>
    <col min="4364" max="4364" width="13.85546875" style="11" customWidth="1"/>
    <col min="4365" max="4365" width="14.42578125" style="11" customWidth="1"/>
    <col min="4366" max="4608" width="6.85546875" style="11" customWidth="1"/>
    <col min="4609" max="4609" width="33.42578125" style="11" customWidth="1"/>
    <col min="4610" max="4610" width="23.5703125" style="11" customWidth="1"/>
    <col min="4611" max="4611" width="16.140625" style="11" customWidth="1"/>
    <col min="4612" max="4612" width="14.42578125" style="11" customWidth="1"/>
    <col min="4613" max="4614" width="6.85546875" style="11" customWidth="1"/>
    <col min="4615" max="4615" width="19.28515625" style="11" customWidth="1"/>
    <col min="4616" max="4616" width="6.85546875" style="11" customWidth="1"/>
    <col min="4617" max="4617" width="12.5703125" style="11" customWidth="1"/>
    <col min="4618" max="4619" width="6.85546875" style="11" customWidth="1"/>
    <col min="4620" max="4620" width="13.85546875" style="11" customWidth="1"/>
    <col min="4621" max="4621" width="14.42578125" style="11" customWidth="1"/>
    <col min="4622" max="4864" width="6.85546875" style="11" customWidth="1"/>
    <col min="4865" max="4865" width="33.42578125" style="11" customWidth="1"/>
    <col min="4866" max="4866" width="23.5703125" style="11" customWidth="1"/>
    <col min="4867" max="4867" width="16.140625" style="11" customWidth="1"/>
    <col min="4868" max="4868" width="14.42578125" style="11" customWidth="1"/>
    <col min="4869" max="4870" width="6.85546875" style="11" customWidth="1"/>
    <col min="4871" max="4871" width="19.28515625" style="11" customWidth="1"/>
    <col min="4872" max="4872" width="6.85546875" style="11" customWidth="1"/>
    <col min="4873" max="4873" width="12.5703125" style="11" customWidth="1"/>
    <col min="4874" max="4875" width="6.85546875" style="11" customWidth="1"/>
    <col min="4876" max="4876" width="13.85546875" style="11" customWidth="1"/>
    <col min="4877" max="4877" width="14.42578125" style="11" customWidth="1"/>
    <col min="4878" max="5120" width="6.85546875" style="11" customWidth="1"/>
    <col min="5121" max="5121" width="33.42578125" style="11" customWidth="1"/>
    <col min="5122" max="5122" width="23.5703125" style="11" customWidth="1"/>
    <col min="5123" max="5123" width="16.140625" style="11" customWidth="1"/>
    <col min="5124" max="5124" width="14.42578125" style="11" customWidth="1"/>
    <col min="5125" max="5126" width="6.85546875" style="11" customWidth="1"/>
    <col min="5127" max="5127" width="19.28515625" style="11" customWidth="1"/>
    <col min="5128" max="5128" width="6.85546875" style="11" customWidth="1"/>
    <col min="5129" max="5129" width="12.5703125" style="11" customWidth="1"/>
    <col min="5130" max="5131" width="6.85546875" style="11" customWidth="1"/>
    <col min="5132" max="5132" width="13.85546875" style="11" customWidth="1"/>
    <col min="5133" max="5133" width="14.42578125" style="11" customWidth="1"/>
    <col min="5134" max="5376" width="6.85546875" style="11" customWidth="1"/>
    <col min="5377" max="5377" width="33.42578125" style="11" customWidth="1"/>
    <col min="5378" max="5378" width="23.5703125" style="11" customWidth="1"/>
    <col min="5379" max="5379" width="16.140625" style="11" customWidth="1"/>
    <col min="5380" max="5380" width="14.42578125" style="11" customWidth="1"/>
    <col min="5381" max="5382" width="6.85546875" style="11" customWidth="1"/>
    <col min="5383" max="5383" width="19.28515625" style="11" customWidth="1"/>
    <col min="5384" max="5384" width="6.85546875" style="11" customWidth="1"/>
    <col min="5385" max="5385" width="12.5703125" style="11" customWidth="1"/>
    <col min="5386" max="5387" width="6.85546875" style="11" customWidth="1"/>
    <col min="5388" max="5388" width="13.85546875" style="11" customWidth="1"/>
    <col min="5389" max="5389" width="14.42578125" style="11" customWidth="1"/>
    <col min="5390" max="5632" width="6.85546875" style="11" customWidth="1"/>
    <col min="5633" max="5633" width="33.42578125" style="11" customWidth="1"/>
    <col min="5634" max="5634" width="23.5703125" style="11" customWidth="1"/>
    <col min="5635" max="5635" width="16.140625" style="11" customWidth="1"/>
    <col min="5636" max="5636" width="14.42578125" style="11" customWidth="1"/>
    <col min="5637" max="5638" width="6.85546875" style="11" customWidth="1"/>
    <col min="5639" max="5639" width="19.28515625" style="11" customWidth="1"/>
    <col min="5640" max="5640" width="6.85546875" style="11" customWidth="1"/>
    <col min="5641" max="5641" width="12.5703125" style="11" customWidth="1"/>
    <col min="5642" max="5643" width="6.85546875" style="11" customWidth="1"/>
    <col min="5644" max="5644" width="13.85546875" style="11" customWidth="1"/>
    <col min="5645" max="5645" width="14.42578125" style="11" customWidth="1"/>
    <col min="5646" max="5888" width="6.85546875" style="11" customWidth="1"/>
    <col min="5889" max="5889" width="33.42578125" style="11" customWidth="1"/>
    <col min="5890" max="5890" width="23.5703125" style="11" customWidth="1"/>
    <col min="5891" max="5891" width="16.140625" style="11" customWidth="1"/>
    <col min="5892" max="5892" width="14.42578125" style="11" customWidth="1"/>
    <col min="5893" max="5894" width="6.85546875" style="11" customWidth="1"/>
    <col min="5895" max="5895" width="19.28515625" style="11" customWidth="1"/>
    <col min="5896" max="5896" width="6.85546875" style="11" customWidth="1"/>
    <col min="5897" max="5897" width="12.5703125" style="11" customWidth="1"/>
    <col min="5898" max="5899" width="6.85546875" style="11" customWidth="1"/>
    <col min="5900" max="5900" width="13.85546875" style="11" customWidth="1"/>
    <col min="5901" max="5901" width="14.42578125" style="11" customWidth="1"/>
    <col min="5902" max="6144" width="6.85546875" style="11" customWidth="1"/>
    <col min="6145" max="6145" width="33.42578125" style="11" customWidth="1"/>
    <col min="6146" max="6146" width="23.5703125" style="11" customWidth="1"/>
    <col min="6147" max="6147" width="16.140625" style="11" customWidth="1"/>
    <col min="6148" max="6148" width="14.42578125" style="11" customWidth="1"/>
    <col min="6149" max="6150" width="6.85546875" style="11" customWidth="1"/>
    <col min="6151" max="6151" width="19.28515625" style="11" customWidth="1"/>
    <col min="6152" max="6152" width="6.85546875" style="11" customWidth="1"/>
    <col min="6153" max="6153" width="12.5703125" style="11" customWidth="1"/>
    <col min="6154" max="6155" width="6.85546875" style="11" customWidth="1"/>
    <col min="6156" max="6156" width="13.85546875" style="11" customWidth="1"/>
    <col min="6157" max="6157" width="14.42578125" style="11" customWidth="1"/>
    <col min="6158" max="6400" width="6.85546875" style="11" customWidth="1"/>
    <col min="6401" max="6401" width="33.42578125" style="11" customWidth="1"/>
    <col min="6402" max="6402" width="23.5703125" style="11" customWidth="1"/>
    <col min="6403" max="6403" width="16.140625" style="11" customWidth="1"/>
    <col min="6404" max="6404" width="14.42578125" style="11" customWidth="1"/>
    <col min="6405" max="6406" width="6.85546875" style="11" customWidth="1"/>
    <col min="6407" max="6407" width="19.28515625" style="11" customWidth="1"/>
    <col min="6408" max="6408" width="6.85546875" style="11" customWidth="1"/>
    <col min="6409" max="6409" width="12.5703125" style="11" customWidth="1"/>
    <col min="6410" max="6411" width="6.85546875" style="11" customWidth="1"/>
    <col min="6412" max="6412" width="13.85546875" style="11" customWidth="1"/>
    <col min="6413" max="6413" width="14.42578125" style="11" customWidth="1"/>
    <col min="6414" max="6656" width="6.85546875" style="11" customWidth="1"/>
    <col min="6657" max="6657" width="33.42578125" style="11" customWidth="1"/>
    <col min="6658" max="6658" width="23.5703125" style="11" customWidth="1"/>
    <col min="6659" max="6659" width="16.140625" style="11" customWidth="1"/>
    <col min="6660" max="6660" width="14.42578125" style="11" customWidth="1"/>
    <col min="6661" max="6662" width="6.85546875" style="11" customWidth="1"/>
    <col min="6663" max="6663" width="19.28515625" style="11" customWidth="1"/>
    <col min="6664" max="6664" width="6.85546875" style="11" customWidth="1"/>
    <col min="6665" max="6665" width="12.5703125" style="11" customWidth="1"/>
    <col min="6666" max="6667" width="6.85546875" style="11" customWidth="1"/>
    <col min="6668" max="6668" width="13.85546875" style="11" customWidth="1"/>
    <col min="6669" max="6669" width="14.42578125" style="11" customWidth="1"/>
    <col min="6670" max="6912" width="6.85546875" style="11" customWidth="1"/>
    <col min="6913" max="6913" width="33.42578125" style="11" customWidth="1"/>
    <col min="6914" max="6914" width="23.5703125" style="11" customWidth="1"/>
    <col min="6915" max="6915" width="16.140625" style="11" customWidth="1"/>
    <col min="6916" max="6916" width="14.42578125" style="11" customWidth="1"/>
    <col min="6917" max="6918" width="6.85546875" style="11" customWidth="1"/>
    <col min="6919" max="6919" width="19.28515625" style="11" customWidth="1"/>
    <col min="6920" max="6920" width="6.85546875" style="11" customWidth="1"/>
    <col min="6921" max="6921" width="12.5703125" style="11" customWidth="1"/>
    <col min="6922" max="6923" width="6.85546875" style="11" customWidth="1"/>
    <col min="6924" max="6924" width="13.85546875" style="11" customWidth="1"/>
    <col min="6925" max="6925" width="14.42578125" style="11" customWidth="1"/>
    <col min="6926" max="7168" width="6.85546875" style="11" customWidth="1"/>
    <col min="7169" max="7169" width="33.42578125" style="11" customWidth="1"/>
    <col min="7170" max="7170" width="23.5703125" style="11" customWidth="1"/>
    <col min="7171" max="7171" width="16.140625" style="11" customWidth="1"/>
    <col min="7172" max="7172" width="14.42578125" style="11" customWidth="1"/>
    <col min="7173" max="7174" width="6.85546875" style="11" customWidth="1"/>
    <col min="7175" max="7175" width="19.28515625" style="11" customWidth="1"/>
    <col min="7176" max="7176" width="6.85546875" style="11" customWidth="1"/>
    <col min="7177" max="7177" width="12.5703125" style="11" customWidth="1"/>
    <col min="7178" max="7179" width="6.85546875" style="11" customWidth="1"/>
    <col min="7180" max="7180" width="13.85546875" style="11" customWidth="1"/>
    <col min="7181" max="7181" width="14.42578125" style="11" customWidth="1"/>
    <col min="7182" max="7424" width="6.85546875" style="11" customWidth="1"/>
    <col min="7425" max="7425" width="33.42578125" style="11" customWidth="1"/>
    <col min="7426" max="7426" width="23.5703125" style="11" customWidth="1"/>
    <col min="7427" max="7427" width="16.140625" style="11" customWidth="1"/>
    <col min="7428" max="7428" width="14.42578125" style="11" customWidth="1"/>
    <col min="7429" max="7430" width="6.85546875" style="11" customWidth="1"/>
    <col min="7431" max="7431" width="19.28515625" style="11" customWidth="1"/>
    <col min="7432" max="7432" width="6.85546875" style="11" customWidth="1"/>
    <col min="7433" max="7433" width="12.5703125" style="11" customWidth="1"/>
    <col min="7434" max="7435" width="6.85546875" style="11" customWidth="1"/>
    <col min="7436" max="7436" width="13.85546875" style="11" customWidth="1"/>
    <col min="7437" max="7437" width="14.42578125" style="11" customWidth="1"/>
    <col min="7438" max="7680" width="6.85546875" style="11" customWidth="1"/>
    <col min="7681" max="7681" width="33.42578125" style="11" customWidth="1"/>
    <col min="7682" max="7682" width="23.5703125" style="11" customWidth="1"/>
    <col min="7683" max="7683" width="16.140625" style="11" customWidth="1"/>
    <col min="7684" max="7684" width="14.42578125" style="11" customWidth="1"/>
    <col min="7685" max="7686" width="6.85546875" style="11" customWidth="1"/>
    <col min="7687" max="7687" width="19.28515625" style="11" customWidth="1"/>
    <col min="7688" max="7688" width="6.85546875" style="11" customWidth="1"/>
    <col min="7689" max="7689" width="12.5703125" style="11" customWidth="1"/>
    <col min="7690" max="7691" width="6.85546875" style="11" customWidth="1"/>
    <col min="7692" max="7692" width="13.85546875" style="11" customWidth="1"/>
    <col min="7693" max="7693" width="14.42578125" style="11" customWidth="1"/>
    <col min="7694" max="7936" width="6.85546875" style="11" customWidth="1"/>
    <col min="7937" max="7937" width="33.42578125" style="11" customWidth="1"/>
    <col min="7938" max="7938" width="23.5703125" style="11" customWidth="1"/>
    <col min="7939" max="7939" width="16.140625" style="11" customWidth="1"/>
    <col min="7940" max="7940" width="14.42578125" style="11" customWidth="1"/>
    <col min="7941" max="7942" width="6.85546875" style="11" customWidth="1"/>
    <col min="7943" max="7943" width="19.28515625" style="11" customWidth="1"/>
    <col min="7944" max="7944" width="6.85546875" style="11" customWidth="1"/>
    <col min="7945" max="7945" width="12.5703125" style="11" customWidth="1"/>
    <col min="7946" max="7947" width="6.85546875" style="11" customWidth="1"/>
    <col min="7948" max="7948" width="13.85546875" style="11" customWidth="1"/>
    <col min="7949" max="7949" width="14.42578125" style="11" customWidth="1"/>
    <col min="7950" max="8192" width="6.85546875" style="11" customWidth="1"/>
    <col min="8193" max="8193" width="33.42578125" style="11" customWidth="1"/>
    <col min="8194" max="8194" width="23.5703125" style="11" customWidth="1"/>
    <col min="8195" max="8195" width="16.140625" style="11" customWidth="1"/>
    <col min="8196" max="8196" width="14.42578125" style="11" customWidth="1"/>
    <col min="8197" max="8198" width="6.85546875" style="11" customWidth="1"/>
    <col min="8199" max="8199" width="19.28515625" style="11" customWidth="1"/>
    <col min="8200" max="8200" width="6.85546875" style="11" customWidth="1"/>
    <col min="8201" max="8201" width="12.5703125" style="11" customWidth="1"/>
    <col min="8202" max="8203" width="6.85546875" style="11" customWidth="1"/>
    <col min="8204" max="8204" width="13.85546875" style="11" customWidth="1"/>
    <col min="8205" max="8205" width="14.42578125" style="11" customWidth="1"/>
    <col min="8206" max="8448" width="6.85546875" style="11" customWidth="1"/>
    <col min="8449" max="8449" width="33.42578125" style="11" customWidth="1"/>
    <col min="8450" max="8450" width="23.5703125" style="11" customWidth="1"/>
    <col min="8451" max="8451" width="16.140625" style="11" customWidth="1"/>
    <col min="8452" max="8452" width="14.42578125" style="11" customWidth="1"/>
    <col min="8453" max="8454" width="6.85546875" style="11" customWidth="1"/>
    <col min="8455" max="8455" width="19.28515625" style="11" customWidth="1"/>
    <col min="8456" max="8456" width="6.85546875" style="11" customWidth="1"/>
    <col min="8457" max="8457" width="12.5703125" style="11" customWidth="1"/>
    <col min="8458" max="8459" width="6.85546875" style="11" customWidth="1"/>
    <col min="8460" max="8460" width="13.85546875" style="11" customWidth="1"/>
    <col min="8461" max="8461" width="14.42578125" style="11" customWidth="1"/>
    <col min="8462" max="8704" width="6.85546875" style="11" customWidth="1"/>
    <col min="8705" max="8705" width="33.42578125" style="11" customWidth="1"/>
    <col min="8706" max="8706" width="23.5703125" style="11" customWidth="1"/>
    <col min="8707" max="8707" width="16.140625" style="11" customWidth="1"/>
    <col min="8708" max="8708" width="14.42578125" style="11" customWidth="1"/>
    <col min="8709" max="8710" width="6.85546875" style="11" customWidth="1"/>
    <col min="8711" max="8711" width="19.28515625" style="11" customWidth="1"/>
    <col min="8712" max="8712" width="6.85546875" style="11" customWidth="1"/>
    <col min="8713" max="8713" width="12.5703125" style="11" customWidth="1"/>
    <col min="8714" max="8715" width="6.85546875" style="11" customWidth="1"/>
    <col min="8716" max="8716" width="13.85546875" style="11" customWidth="1"/>
    <col min="8717" max="8717" width="14.42578125" style="11" customWidth="1"/>
    <col min="8718" max="8960" width="6.85546875" style="11" customWidth="1"/>
    <col min="8961" max="8961" width="33.42578125" style="11" customWidth="1"/>
    <col min="8962" max="8962" width="23.5703125" style="11" customWidth="1"/>
    <col min="8963" max="8963" width="16.140625" style="11" customWidth="1"/>
    <col min="8964" max="8964" width="14.42578125" style="11" customWidth="1"/>
    <col min="8965" max="8966" width="6.85546875" style="11" customWidth="1"/>
    <col min="8967" max="8967" width="19.28515625" style="11" customWidth="1"/>
    <col min="8968" max="8968" width="6.85546875" style="11" customWidth="1"/>
    <col min="8969" max="8969" width="12.5703125" style="11" customWidth="1"/>
    <col min="8970" max="8971" width="6.85546875" style="11" customWidth="1"/>
    <col min="8972" max="8972" width="13.85546875" style="11" customWidth="1"/>
    <col min="8973" max="8973" width="14.42578125" style="11" customWidth="1"/>
    <col min="8974" max="9216" width="6.85546875" style="11" customWidth="1"/>
    <col min="9217" max="9217" width="33.42578125" style="11" customWidth="1"/>
    <col min="9218" max="9218" width="23.5703125" style="11" customWidth="1"/>
    <col min="9219" max="9219" width="16.140625" style="11" customWidth="1"/>
    <col min="9220" max="9220" width="14.42578125" style="11" customWidth="1"/>
    <col min="9221" max="9222" width="6.85546875" style="11" customWidth="1"/>
    <col min="9223" max="9223" width="19.28515625" style="11" customWidth="1"/>
    <col min="9224" max="9224" width="6.85546875" style="11" customWidth="1"/>
    <col min="9225" max="9225" width="12.5703125" style="11" customWidth="1"/>
    <col min="9226" max="9227" width="6.85546875" style="11" customWidth="1"/>
    <col min="9228" max="9228" width="13.85546875" style="11" customWidth="1"/>
    <col min="9229" max="9229" width="14.42578125" style="11" customWidth="1"/>
    <col min="9230" max="9472" width="6.85546875" style="11" customWidth="1"/>
    <col min="9473" max="9473" width="33.42578125" style="11" customWidth="1"/>
    <col min="9474" max="9474" width="23.5703125" style="11" customWidth="1"/>
    <col min="9475" max="9475" width="16.140625" style="11" customWidth="1"/>
    <col min="9476" max="9476" width="14.42578125" style="11" customWidth="1"/>
    <col min="9477" max="9478" width="6.85546875" style="11" customWidth="1"/>
    <col min="9479" max="9479" width="19.28515625" style="11" customWidth="1"/>
    <col min="9480" max="9480" width="6.85546875" style="11" customWidth="1"/>
    <col min="9481" max="9481" width="12.5703125" style="11" customWidth="1"/>
    <col min="9482" max="9483" width="6.85546875" style="11" customWidth="1"/>
    <col min="9484" max="9484" width="13.85546875" style="11" customWidth="1"/>
    <col min="9485" max="9485" width="14.42578125" style="11" customWidth="1"/>
    <col min="9486" max="9728" width="6.85546875" style="11" customWidth="1"/>
    <col min="9729" max="9729" width="33.42578125" style="11" customWidth="1"/>
    <col min="9730" max="9730" width="23.5703125" style="11" customWidth="1"/>
    <col min="9731" max="9731" width="16.140625" style="11" customWidth="1"/>
    <col min="9732" max="9732" width="14.42578125" style="11" customWidth="1"/>
    <col min="9733" max="9734" width="6.85546875" style="11" customWidth="1"/>
    <col min="9735" max="9735" width="19.28515625" style="11" customWidth="1"/>
    <col min="9736" max="9736" width="6.85546875" style="11" customWidth="1"/>
    <col min="9737" max="9737" width="12.5703125" style="11" customWidth="1"/>
    <col min="9738" max="9739" width="6.85546875" style="11" customWidth="1"/>
    <col min="9740" max="9740" width="13.85546875" style="11" customWidth="1"/>
    <col min="9741" max="9741" width="14.42578125" style="11" customWidth="1"/>
    <col min="9742" max="9984" width="6.85546875" style="11" customWidth="1"/>
    <col min="9985" max="9985" width="33.42578125" style="11" customWidth="1"/>
    <col min="9986" max="9986" width="23.5703125" style="11" customWidth="1"/>
    <col min="9987" max="9987" width="16.140625" style="11" customWidth="1"/>
    <col min="9988" max="9988" width="14.42578125" style="11" customWidth="1"/>
    <col min="9989" max="9990" width="6.85546875" style="11" customWidth="1"/>
    <col min="9991" max="9991" width="19.28515625" style="11" customWidth="1"/>
    <col min="9992" max="9992" width="6.85546875" style="11" customWidth="1"/>
    <col min="9993" max="9993" width="12.5703125" style="11" customWidth="1"/>
    <col min="9994" max="9995" width="6.85546875" style="11" customWidth="1"/>
    <col min="9996" max="9996" width="13.85546875" style="11" customWidth="1"/>
    <col min="9997" max="9997" width="14.42578125" style="11" customWidth="1"/>
    <col min="9998" max="10240" width="6.85546875" style="11" customWidth="1"/>
    <col min="10241" max="10241" width="33.42578125" style="11" customWidth="1"/>
    <col min="10242" max="10242" width="23.5703125" style="11" customWidth="1"/>
    <col min="10243" max="10243" width="16.140625" style="11" customWidth="1"/>
    <col min="10244" max="10244" width="14.42578125" style="11" customWidth="1"/>
    <col min="10245" max="10246" width="6.85546875" style="11" customWidth="1"/>
    <col min="10247" max="10247" width="19.28515625" style="11" customWidth="1"/>
    <col min="10248" max="10248" width="6.85546875" style="11" customWidth="1"/>
    <col min="10249" max="10249" width="12.5703125" style="11" customWidth="1"/>
    <col min="10250" max="10251" width="6.85546875" style="11" customWidth="1"/>
    <col min="10252" max="10252" width="13.85546875" style="11" customWidth="1"/>
    <col min="10253" max="10253" width="14.42578125" style="11" customWidth="1"/>
    <col min="10254" max="10496" width="6.85546875" style="11" customWidth="1"/>
    <col min="10497" max="10497" width="33.42578125" style="11" customWidth="1"/>
    <col min="10498" max="10498" width="23.5703125" style="11" customWidth="1"/>
    <col min="10499" max="10499" width="16.140625" style="11" customWidth="1"/>
    <col min="10500" max="10500" width="14.42578125" style="11" customWidth="1"/>
    <col min="10501" max="10502" width="6.85546875" style="11" customWidth="1"/>
    <col min="10503" max="10503" width="19.28515625" style="11" customWidth="1"/>
    <col min="10504" max="10504" width="6.85546875" style="11" customWidth="1"/>
    <col min="10505" max="10505" width="12.5703125" style="11" customWidth="1"/>
    <col min="10506" max="10507" width="6.85546875" style="11" customWidth="1"/>
    <col min="10508" max="10508" width="13.85546875" style="11" customWidth="1"/>
    <col min="10509" max="10509" width="14.42578125" style="11" customWidth="1"/>
    <col min="10510" max="10752" width="6.85546875" style="11" customWidth="1"/>
    <col min="10753" max="10753" width="33.42578125" style="11" customWidth="1"/>
    <col min="10754" max="10754" width="23.5703125" style="11" customWidth="1"/>
    <col min="10755" max="10755" width="16.140625" style="11" customWidth="1"/>
    <col min="10756" max="10756" width="14.42578125" style="11" customWidth="1"/>
    <col min="10757" max="10758" width="6.85546875" style="11" customWidth="1"/>
    <col min="10759" max="10759" width="19.28515625" style="11" customWidth="1"/>
    <col min="10760" max="10760" width="6.85546875" style="11" customWidth="1"/>
    <col min="10761" max="10761" width="12.5703125" style="11" customWidth="1"/>
    <col min="10762" max="10763" width="6.85546875" style="11" customWidth="1"/>
    <col min="10764" max="10764" width="13.85546875" style="11" customWidth="1"/>
    <col min="10765" max="10765" width="14.42578125" style="11" customWidth="1"/>
    <col min="10766" max="11008" width="6.85546875" style="11" customWidth="1"/>
    <col min="11009" max="11009" width="33.42578125" style="11" customWidth="1"/>
    <col min="11010" max="11010" width="23.5703125" style="11" customWidth="1"/>
    <col min="11011" max="11011" width="16.140625" style="11" customWidth="1"/>
    <col min="11012" max="11012" width="14.42578125" style="11" customWidth="1"/>
    <col min="11013" max="11014" width="6.85546875" style="11" customWidth="1"/>
    <col min="11015" max="11015" width="19.28515625" style="11" customWidth="1"/>
    <col min="11016" max="11016" width="6.85546875" style="11" customWidth="1"/>
    <col min="11017" max="11017" width="12.5703125" style="11" customWidth="1"/>
    <col min="11018" max="11019" width="6.85546875" style="11" customWidth="1"/>
    <col min="11020" max="11020" width="13.85546875" style="11" customWidth="1"/>
    <col min="11021" max="11021" width="14.42578125" style="11" customWidth="1"/>
    <col min="11022" max="11264" width="6.85546875" style="11" customWidth="1"/>
    <col min="11265" max="11265" width="33.42578125" style="11" customWidth="1"/>
    <col min="11266" max="11266" width="23.5703125" style="11" customWidth="1"/>
    <col min="11267" max="11267" width="16.140625" style="11" customWidth="1"/>
    <col min="11268" max="11268" width="14.42578125" style="11" customWidth="1"/>
    <col min="11269" max="11270" width="6.85546875" style="11" customWidth="1"/>
    <col min="11271" max="11271" width="19.28515625" style="11" customWidth="1"/>
    <col min="11272" max="11272" width="6.85546875" style="11" customWidth="1"/>
    <col min="11273" max="11273" width="12.5703125" style="11" customWidth="1"/>
    <col min="11274" max="11275" width="6.85546875" style="11" customWidth="1"/>
    <col min="11276" max="11276" width="13.85546875" style="11" customWidth="1"/>
    <col min="11277" max="11277" width="14.42578125" style="11" customWidth="1"/>
    <col min="11278" max="11520" width="6.85546875" style="11" customWidth="1"/>
    <col min="11521" max="11521" width="33.42578125" style="11" customWidth="1"/>
    <col min="11522" max="11522" width="23.5703125" style="11" customWidth="1"/>
    <col min="11523" max="11523" width="16.140625" style="11" customWidth="1"/>
    <col min="11524" max="11524" width="14.42578125" style="11" customWidth="1"/>
    <col min="11525" max="11526" width="6.85546875" style="11" customWidth="1"/>
    <col min="11527" max="11527" width="19.28515625" style="11" customWidth="1"/>
    <col min="11528" max="11528" width="6.85546875" style="11" customWidth="1"/>
    <col min="11529" max="11529" width="12.5703125" style="11" customWidth="1"/>
    <col min="11530" max="11531" width="6.85546875" style="11" customWidth="1"/>
    <col min="11532" max="11532" width="13.85546875" style="11" customWidth="1"/>
    <col min="11533" max="11533" width="14.42578125" style="11" customWidth="1"/>
    <col min="11534" max="11776" width="6.85546875" style="11" customWidth="1"/>
    <col min="11777" max="11777" width="33.42578125" style="11" customWidth="1"/>
    <col min="11778" max="11778" width="23.5703125" style="11" customWidth="1"/>
    <col min="11779" max="11779" width="16.140625" style="11" customWidth="1"/>
    <col min="11780" max="11780" width="14.42578125" style="11" customWidth="1"/>
    <col min="11781" max="11782" width="6.85546875" style="11" customWidth="1"/>
    <col min="11783" max="11783" width="19.28515625" style="11" customWidth="1"/>
    <col min="11784" max="11784" width="6.85546875" style="11" customWidth="1"/>
    <col min="11785" max="11785" width="12.5703125" style="11" customWidth="1"/>
    <col min="11786" max="11787" width="6.85546875" style="11" customWidth="1"/>
    <col min="11788" max="11788" width="13.85546875" style="11" customWidth="1"/>
    <col min="11789" max="11789" width="14.42578125" style="11" customWidth="1"/>
    <col min="11790" max="12032" width="6.85546875" style="11" customWidth="1"/>
    <col min="12033" max="12033" width="33.42578125" style="11" customWidth="1"/>
    <col min="12034" max="12034" width="23.5703125" style="11" customWidth="1"/>
    <col min="12035" max="12035" width="16.140625" style="11" customWidth="1"/>
    <col min="12036" max="12036" width="14.42578125" style="11" customWidth="1"/>
    <col min="12037" max="12038" width="6.85546875" style="11" customWidth="1"/>
    <col min="12039" max="12039" width="19.28515625" style="11" customWidth="1"/>
    <col min="12040" max="12040" width="6.85546875" style="11" customWidth="1"/>
    <col min="12041" max="12041" width="12.5703125" style="11" customWidth="1"/>
    <col min="12042" max="12043" width="6.85546875" style="11" customWidth="1"/>
    <col min="12044" max="12044" width="13.85546875" style="11" customWidth="1"/>
    <col min="12045" max="12045" width="14.42578125" style="11" customWidth="1"/>
    <col min="12046" max="12288" width="6.85546875" style="11" customWidth="1"/>
    <col min="12289" max="12289" width="33.42578125" style="11" customWidth="1"/>
    <col min="12290" max="12290" width="23.5703125" style="11" customWidth="1"/>
    <col min="12291" max="12291" width="16.140625" style="11" customWidth="1"/>
    <col min="12292" max="12292" width="14.42578125" style="11" customWidth="1"/>
    <col min="12293" max="12294" width="6.85546875" style="11" customWidth="1"/>
    <col min="12295" max="12295" width="19.28515625" style="11" customWidth="1"/>
    <col min="12296" max="12296" width="6.85546875" style="11" customWidth="1"/>
    <col min="12297" max="12297" width="12.5703125" style="11" customWidth="1"/>
    <col min="12298" max="12299" width="6.85546875" style="11" customWidth="1"/>
    <col min="12300" max="12300" width="13.85546875" style="11" customWidth="1"/>
    <col min="12301" max="12301" width="14.42578125" style="11" customWidth="1"/>
    <col min="12302" max="12544" width="6.85546875" style="11" customWidth="1"/>
    <col min="12545" max="12545" width="33.42578125" style="11" customWidth="1"/>
    <col min="12546" max="12546" width="23.5703125" style="11" customWidth="1"/>
    <col min="12547" max="12547" width="16.140625" style="11" customWidth="1"/>
    <col min="12548" max="12548" width="14.42578125" style="11" customWidth="1"/>
    <col min="12549" max="12550" width="6.85546875" style="11" customWidth="1"/>
    <col min="12551" max="12551" width="19.28515625" style="11" customWidth="1"/>
    <col min="12552" max="12552" width="6.85546875" style="11" customWidth="1"/>
    <col min="12553" max="12553" width="12.5703125" style="11" customWidth="1"/>
    <col min="12554" max="12555" width="6.85546875" style="11" customWidth="1"/>
    <col min="12556" max="12556" width="13.85546875" style="11" customWidth="1"/>
    <col min="12557" max="12557" width="14.42578125" style="11" customWidth="1"/>
    <col min="12558" max="12800" width="6.85546875" style="11" customWidth="1"/>
    <col min="12801" max="12801" width="33.42578125" style="11" customWidth="1"/>
    <col min="12802" max="12802" width="23.5703125" style="11" customWidth="1"/>
    <col min="12803" max="12803" width="16.140625" style="11" customWidth="1"/>
    <col min="12804" max="12804" width="14.42578125" style="11" customWidth="1"/>
    <col min="12805" max="12806" width="6.85546875" style="11" customWidth="1"/>
    <col min="12807" max="12807" width="19.28515625" style="11" customWidth="1"/>
    <col min="12808" max="12808" width="6.85546875" style="11" customWidth="1"/>
    <col min="12809" max="12809" width="12.5703125" style="11" customWidth="1"/>
    <col min="12810" max="12811" width="6.85546875" style="11" customWidth="1"/>
    <col min="12812" max="12812" width="13.85546875" style="11" customWidth="1"/>
    <col min="12813" max="12813" width="14.42578125" style="11" customWidth="1"/>
    <col min="12814" max="13056" width="6.85546875" style="11" customWidth="1"/>
    <col min="13057" max="13057" width="33.42578125" style="11" customWidth="1"/>
    <col min="13058" max="13058" width="23.5703125" style="11" customWidth="1"/>
    <col min="13059" max="13059" width="16.140625" style="11" customWidth="1"/>
    <col min="13060" max="13060" width="14.42578125" style="11" customWidth="1"/>
    <col min="13061" max="13062" width="6.85546875" style="11" customWidth="1"/>
    <col min="13063" max="13063" width="19.28515625" style="11" customWidth="1"/>
    <col min="13064" max="13064" width="6.85546875" style="11" customWidth="1"/>
    <col min="13065" max="13065" width="12.5703125" style="11" customWidth="1"/>
    <col min="13066" max="13067" width="6.85546875" style="11" customWidth="1"/>
    <col min="13068" max="13068" width="13.85546875" style="11" customWidth="1"/>
    <col min="13069" max="13069" width="14.42578125" style="11" customWidth="1"/>
    <col min="13070" max="13312" width="6.85546875" style="11" customWidth="1"/>
    <col min="13313" max="13313" width="33.42578125" style="11" customWidth="1"/>
    <col min="13314" max="13314" width="23.5703125" style="11" customWidth="1"/>
    <col min="13315" max="13315" width="16.140625" style="11" customWidth="1"/>
    <col min="13316" max="13316" width="14.42578125" style="11" customWidth="1"/>
    <col min="13317" max="13318" width="6.85546875" style="11" customWidth="1"/>
    <col min="13319" max="13319" width="19.28515625" style="11" customWidth="1"/>
    <col min="13320" max="13320" width="6.85546875" style="11" customWidth="1"/>
    <col min="13321" max="13321" width="12.5703125" style="11" customWidth="1"/>
    <col min="13322" max="13323" width="6.85546875" style="11" customWidth="1"/>
    <col min="13324" max="13324" width="13.85546875" style="11" customWidth="1"/>
    <col min="13325" max="13325" width="14.42578125" style="11" customWidth="1"/>
    <col min="13326" max="13568" width="6.85546875" style="11" customWidth="1"/>
    <col min="13569" max="13569" width="33.42578125" style="11" customWidth="1"/>
    <col min="13570" max="13570" width="23.5703125" style="11" customWidth="1"/>
    <col min="13571" max="13571" width="16.140625" style="11" customWidth="1"/>
    <col min="13572" max="13572" width="14.42578125" style="11" customWidth="1"/>
    <col min="13573" max="13574" width="6.85546875" style="11" customWidth="1"/>
    <col min="13575" max="13575" width="19.28515625" style="11" customWidth="1"/>
    <col min="13576" max="13576" width="6.85546875" style="11" customWidth="1"/>
    <col min="13577" max="13577" width="12.5703125" style="11" customWidth="1"/>
    <col min="13578" max="13579" width="6.85546875" style="11" customWidth="1"/>
    <col min="13580" max="13580" width="13.85546875" style="11" customWidth="1"/>
    <col min="13581" max="13581" width="14.42578125" style="11" customWidth="1"/>
    <col min="13582" max="13824" width="6.85546875" style="11" customWidth="1"/>
    <col min="13825" max="13825" width="33.42578125" style="11" customWidth="1"/>
    <col min="13826" max="13826" width="23.5703125" style="11" customWidth="1"/>
    <col min="13827" max="13827" width="16.140625" style="11" customWidth="1"/>
    <col min="13828" max="13828" width="14.42578125" style="11" customWidth="1"/>
    <col min="13829" max="13830" width="6.85546875" style="11" customWidth="1"/>
    <col min="13831" max="13831" width="19.28515625" style="11" customWidth="1"/>
    <col min="13832" max="13832" width="6.85546875" style="11" customWidth="1"/>
    <col min="13833" max="13833" width="12.5703125" style="11" customWidth="1"/>
    <col min="13834" max="13835" width="6.85546875" style="11" customWidth="1"/>
    <col min="13836" max="13836" width="13.85546875" style="11" customWidth="1"/>
    <col min="13837" max="13837" width="14.42578125" style="11" customWidth="1"/>
    <col min="13838" max="14080" width="6.85546875" style="11" customWidth="1"/>
    <col min="14081" max="14081" width="33.42578125" style="11" customWidth="1"/>
    <col min="14082" max="14082" width="23.5703125" style="11" customWidth="1"/>
    <col min="14083" max="14083" width="16.140625" style="11" customWidth="1"/>
    <col min="14084" max="14084" width="14.42578125" style="11" customWidth="1"/>
    <col min="14085" max="14086" width="6.85546875" style="11" customWidth="1"/>
    <col min="14087" max="14087" width="19.28515625" style="11" customWidth="1"/>
    <col min="14088" max="14088" width="6.85546875" style="11" customWidth="1"/>
    <col min="14089" max="14089" width="12.5703125" style="11" customWidth="1"/>
    <col min="14090" max="14091" width="6.85546875" style="11" customWidth="1"/>
    <col min="14092" max="14092" width="13.85546875" style="11" customWidth="1"/>
    <col min="14093" max="14093" width="14.42578125" style="11" customWidth="1"/>
    <col min="14094" max="14336" width="6.85546875" style="11" customWidth="1"/>
    <col min="14337" max="14337" width="33.42578125" style="11" customWidth="1"/>
    <col min="14338" max="14338" width="23.5703125" style="11" customWidth="1"/>
    <col min="14339" max="14339" width="16.140625" style="11" customWidth="1"/>
    <col min="14340" max="14340" width="14.42578125" style="11" customWidth="1"/>
    <col min="14341" max="14342" width="6.85546875" style="11" customWidth="1"/>
    <col min="14343" max="14343" width="19.28515625" style="11" customWidth="1"/>
    <col min="14344" max="14344" width="6.85546875" style="11" customWidth="1"/>
    <col min="14345" max="14345" width="12.5703125" style="11" customWidth="1"/>
    <col min="14346" max="14347" width="6.85546875" style="11" customWidth="1"/>
    <col min="14348" max="14348" width="13.85546875" style="11" customWidth="1"/>
    <col min="14349" max="14349" width="14.42578125" style="11" customWidth="1"/>
    <col min="14350" max="14592" width="6.85546875" style="11" customWidth="1"/>
    <col min="14593" max="14593" width="33.42578125" style="11" customWidth="1"/>
    <col min="14594" max="14594" width="23.5703125" style="11" customWidth="1"/>
    <col min="14595" max="14595" width="16.140625" style="11" customWidth="1"/>
    <col min="14596" max="14596" width="14.42578125" style="11" customWidth="1"/>
    <col min="14597" max="14598" width="6.85546875" style="11" customWidth="1"/>
    <col min="14599" max="14599" width="19.28515625" style="11" customWidth="1"/>
    <col min="14600" max="14600" width="6.85546875" style="11" customWidth="1"/>
    <col min="14601" max="14601" width="12.5703125" style="11" customWidth="1"/>
    <col min="14602" max="14603" width="6.85546875" style="11" customWidth="1"/>
    <col min="14604" max="14604" width="13.85546875" style="11" customWidth="1"/>
    <col min="14605" max="14605" width="14.42578125" style="11" customWidth="1"/>
    <col min="14606" max="14848" width="6.85546875" style="11" customWidth="1"/>
    <col min="14849" max="14849" width="33.42578125" style="11" customWidth="1"/>
    <col min="14850" max="14850" width="23.5703125" style="11" customWidth="1"/>
    <col min="14851" max="14851" width="16.140625" style="11" customWidth="1"/>
    <col min="14852" max="14852" width="14.42578125" style="11" customWidth="1"/>
    <col min="14853" max="14854" width="6.85546875" style="11" customWidth="1"/>
    <col min="14855" max="14855" width="19.28515625" style="11" customWidth="1"/>
    <col min="14856" max="14856" width="6.85546875" style="11" customWidth="1"/>
    <col min="14857" max="14857" width="12.5703125" style="11" customWidth="1"/>
    <col min="14858" max="14859" width="6.85546875" style="11" customWidth="1"/>
    <col min="14860" max="14860" width="13.85546875" style="11" customWidth="1"/>
    <col min="14861" max="14861" width="14.42578125" style="11" customWidth="1"/>
    <col min="14862" max="15104" width="6.85546875" style="11" customWidth="1"/>
    <col min="15105" max="15105" width="33.42578125" style="11" customWidth="1"/>
    <col min="15106" max="15106" width="23.5703125" style="11" customWidth="1"/>
    <col min="15107" max="15107" width="16.140625" style="11" customWidth="1"/>
    <col min="15108" max="15108" width="14.42578125" style="11" customWidth="1"/>
    <col min="15109" max="15110" width="6.85546875" style="11" customWidth="1"/>
    <col min="15111" max="15111" width="19.28515625" style="11" customWidth="1"/>
    <col min="15112" max="15112" width="6.85546875" style="11" customWidth="1"/>
    <col min="15113" max="15113" width="12.5703125" style="11" customWidth="1"/>
    <col min="15114" max="15115" width="6.85546875" style="11" customWidth="1"/>
    <col min="15116" max="15116" width="13.85546875" style="11" customWidth="1"/>
    <col min="15117" max="15117" width="14.42578125" style="11" customWidth="1"/>
    <col min="15118" max="15360" width="6.85546875" style="11" customWidth="1"/>
    <col min="15361" max="15361" width="33.42578125" style="11" customWidth="1"/>
    <col min="15362" max="15362" width="23.5703125" style="11" customWidth="1"/>
    <col min="15363" max="15363" width="16.140625" style="11" customWidth="1"/>
    <col min="15364" max="15364" width="14.42578125" style="11" customWidth="1"/>
    <col min="15365" max="15366" width="6.85546875" style="11" customWidth="1"/>
    <col min="15367" max="15367" width="19.28515625" style="11" customWidth="1"/>
    <col min="15368" max="15368" width="6.85546875" style="11" customWidth="1"/>
    <col min="15369" max="15369" width="12.5703125" style="11" customWidth="1"/>
    <col min="15370" max="15371" width="6.85546875" style="11" customWidth="1"/>
    <col min="15372" max="15372" width="13.85546875" style="11" customWidth="1"/>
    <col min="15373" max="15373" width="14.42578125" style="11" customWidth="1"/>
    <col min="15374" max="15616" width="6.85546875" style="11" customWidth="1"/>
    <col min="15617" max="15617" width="33.42578125" style="11" customWidth="1"/>
    <col min="15618" max="15618" width="23.5703125" style="11" customWidth="1"/>
    <col min="15619" max="15619" width="16.140625" style="11" customWidth="1"/>
    <col min="15620" max="15620" width="14.42578125" style="11" customWidth="1"/>
    <col min="15621" max="15622" width="6.85546875" style="11" customWidth="1"/>
    <col min="15623" max="15623" width="19.28515625" style="11" customWidth="1"/>
    <col min="15624" max="15624" width="6.85546875" style="11" customWidth="1"/>
    <col min="15625" max="15625" width="12.5703125" style="11" customWidth="1"/>
    <col min="15626" max="15627" width="6.85546875" style="11" customWidth="1"/>
    <col min="15628" max="15628" width="13.85546875" style="11" customWidth="1"/>
    <col min="15629" max="15629" width="14.42578125" style="11" customWidth="1"/>
    <col min="15630" max="15872" width="6.85546875" style="11" customWidth="1"/>
    <col min="15873" max="15873" width="33.42578125" style="11" customWidth="1"/>
    <col min="15874" max="15874" width="23.5703125" style="11" customWidth="1"/>
    <col min="15875" max="15875" width="16.140625" style="11" customWidth="1"/>
    <col min="15876" max="15876" width="14.42578125" style="11" customWidth="1"/>
    <col min="15877" max="15878" width="6.85546875" style="11" customWidth="1"/>
    <col min="15879" max="15879" width="19.28515625" style="11" customWidth="1"/>
    <col min="15880" max="15880" width="6.85546875" style="11" customWidth="1"/>
    <col min="15881" max="15881" width="12.5703125" style="11" customWidth="1"/>
    <col min="15882" max="15883" width="6.85546875" style="11" customWidth="1"/>
    <col min="15884" max="15884" width="13.85546875" style="11" customWidth="1"/>
    <col min="15885" max="15885" width="14.42578125" style="11" customWidth="1"/>
    <col min="15886" max="16128" width="6.85546875" style="11" customWidth="1"/>
    <col min="16129" max="16129" width="33.42578125" style="11" customWidth="1"/>
    <col min="16130" max="16130" width="23.5703125" style="11" customWidth="1"/>
    <col min="16131" max="16131" width="16.140625" style="11" customWidth="1"/>
    <col min="16132" max="16132" width="14.42578125" style="11" customWidth="1"/>
    <col min="16133" max="16134" width="6.85546875" style="11" customWidth="1"/>
    <col min="16135" max="16135" width="19.28515625" style="11" customWidth="1"/>
    <col min="16136" max="16136" width="6.85546875" style="11" customWidth="1"/>
    <col min="16137" max="16137" width="12.5703125" style="11" customWidth="1"/>
    <col min="16138" max="16139" width="6.85546875" style="11" customWidth="1"/>
    <col min="16140" max="16140" width="13.85546875" style="11" customWidth="1"/>
    <col min="16141" max="16141" width="14.42578125" style="11" customWidth="1"/>
    <col min="16142" max="16384" width="6.85546875" style="11" customWidth="1"/>
  </cols>
  <sheetData>
    <row r="1" spans="1:9" ht="12.75" customHeight="1" x14ac:dyDescent="0.25">
      <c r="A1" s="11" t="s">
        <v>487</v>
      </c>
      <c r="B1" s="11" t="s">
        <v>488</v>
      </c>
      <c r="C1" s="11" t="s">
        <v>489</v>
      </c>
    </row>
    <row r="5" spans="1:9" ht="12.75" customHeight="1" x14ac:dyDescent="0.25">
      <c r="A5" s="11" t="s">
        <v>490</v>
      </c>
      <c r="B5" s="11" t="s">
        <v>491</v>
      </c>
      <c r="C5" s="11" t="s">
        <v>492</v>
      </c>
      <c r="D5" s="11" t="s">
        <v>493</v>
      </c>
      <c r="E5" s="11" t="s">
        <v>494</v>
      </c>
      <c r="F5" s="11" t="s">
        <v>495</v>
      </c>
      <c r="G5" s="11" t="s">
        <v>496</v>
      </c>
      <c r="I5" s="11" t="s">
        <v>497</v>
      </c>
    </row>
    <row r="6" spans="1:9" ht="12.75" customHeight="1" x14ac:dyDescent="0.25">
      <c r="A6" s="11" t="s">
        <v>498</v>
      </c>
    </row>
    <row r="7" spans="1:9" ht="12.75" customHeight="1" x14ac:dyDescent="0.25">
      <c r="A7" s="11" t="s">
        <v>499</v>
      </c>
      <c r="B7" s="11" t="s">
        <v>500</v>
      </c>
      <c r="C7" s="12">
        <v>45489</v>
      </c>
      <c r="D7" s="11" t="s">
        <v>501</v>
      </c>
      <c r="E7" s="11" t="s">
        <v>502</v>
      </c>
      <c r="F7" s="11" t="s">
        <v>502</v>
      </c>
      <c r="G7" s="13">
        <v>409</v>
      </c>
      <c r="I7" s="13">
        <v>40343.001000000004</v>
      </c>
    </row>
    <row r="9" spans="1:9" ht="12.75" customHeight="1" x14ac:dyDescent="0.25">
      <c r="A9" s="11" t="s">
        <v>503</v>
      </c>
      <c r="B9" s="11" t="s">
        <v>504</v>
      </c>
      <c r="C9" s="12">
        <v>45489</v>
      </c>
      <c r="D9" s="11" t="s">
        <v>501</v>
      </c>
      <c r="E9" s="11" t="s">
        <v>502</v>
      </c>
      <c r="F9" s="11" t="s">
        <v>502</v>
      </c>
      <c r="G9" s="13">
        <v>365</v>
      </c>
      <c r="I9" s="13">
        <v>36016.345999999998</v>
      </c>
    </row>
    <row r="11" spans="1:9" ht="12.75" customHeight="1" x14ac:dyDescent="0.25">
      <c r="A11" s="11" t="s">
        <v>505</v>
      </c>
      <c r="B11" s="11" t="s">
        <v>506</v>
      </c>
      <c r="C11" s="12">
        <v>45489</v>
      </c>
      <c r="D11" s="11" t="s">
        <v>501</v>
      </c>
      <c r="E11" s="11" t="s">
        <v>502</v>
      </c>
      <c r="F11" s="11" t="s">
        <v>502</v>
      </c>
      <c r="G11" s="13">
        <v>362</v>
      </c>
      <c r="I11" s="13">
        <v>35677.697999999997</v>
      </c>
    </row>
    <row r="12" spans="1:9" ht="12.75" customHeight="1" x14ac:dyDescent="0.25">
      <c r="A12" s="11" t="s">
        <v>505</v>
      </c>
      <c r="B12" s="11" t="s">
        <v>506</v>
      </c>
      <c r="C12" s="12">
        <v>45548</v>
      </c>
      <c r="D12" s="11" t="s">
        <v>501</v>
      </c>
      <c r="E12" s="11" t="s">
        <v>507</v>
      </c>
      <c r="F12" s="11" t="s">
        <v>508</v>
      </c>
      <c r="G12" s="13">
        <v>2000</v>
      </c>
      <c r="I12" s="13">
        <v>37677.697999999997</v>
      </c>
    </row>
    <row r="13" spans="1:9" ht="12.75" customHeight="1" x14ac:dyDescent="0.25">
      <c r="A13" s="11" t="s">
        <v>505</v>
      </c>
      <c r="B13" s="11" t="s">
        <v>506</v>
      </c>
      <c r="C13" s="12">
        <v>45618</v>
      </c>
      <c r="D13" s="11" t="s">
        <v>501</v>
      </c>
      <c r="E13" s="11" t="s">
        <v>509</v>
      </c>
      <c r="F13" s="11" t="s">
        <v>510</v>
      </c>
      <c r="G13" s="13">
        <v>2000</v>
      </c>
      <c r="I13" s="13">
        <v>39677.697999999997</v>
      </c>
    </row>
    <row r="14" spans="1:9" ht="12.75" customHeight="1" x14ac:dyDescent="0.25">
      <c r="A14" s="11" t="s">
        <v>505</v>
      </c>
      <c r="B14" s="11" t="s">
        <v>506</v>
      </c>
      <c r="C14" s="12">
        <v>45688</v>
      </c>
      <c r="D14" s="11" t="s">
        <v>501</v>
      </c>
      <c r="E14" s="11" t="s">
        <v>511</v>
      </c>
      <c r="F14" s="11" t="s">
        <v>512</v>
      </c>
      <c r="G14" s="13">
        <v>1500</v>
      </c>
      <c r="I14" s="13">
        <v>41177.697999999997</v>
      </c>
    </row>
    <row r="16" spans="1:9" ht="12.75" customHeight="1" x14ac:dyDescent="0.25">
      <c r="A16" s="11" t="s">
        <v>513</v>
      </c>
      <c r="B16" s="11" t="s">
        <v>514</v>
      </c>
      <c r="C16" s="12">
        <v>45489</v>
      </c>
      <c r="D16" s="11" t="s">
        <v>501</v>
      </c>
      <c r="E16" s="11" t="s">
        <v>502</v>
      </c>
      <c r="F16" s="11" t="s">
        <v>502</v>
      </c>
      <c r="G16" s="13">
        <v>447</v>
      </c>
      <c r="I16" s="13">
        <v>44097.738000000005</v>
      </c>
    </row>
    <row r="17" spans="1:9" ht="12.75" customHeight="1" x14ac:dyDescent="0.25">
      <c r="A17" s="11" t="s">
        <v>513</v>
      </c>
      <c r="B17" s="11" t="s">
        <v>514</v>
      </c>
      <c r="C17" s="12">
        <v>45762</v>
      </c>
      <c r="D17" s="11" t="s">
        <v>501</v>
      </c>
      <c r="E17" s="11" t="s">
        <v>502</v>
      </c>
      <c r="F17" s="11" t="s">
        <v>502</v>
      </c>
      <c r="G17" s="13">
        <v>576</v>
      </c>
      <c r="I17" s="13">
        <v>44673.738000000005</v>
      </c>
    </row>
    <row r="19" spans="1:9" ht="12.75" customHeight="1" x14ac:dyDescent="0.25">
      <c r="A19" s="11" t="s">
        <v>515</v>
      </c>
      <c r="B19" s="11" t="s">
        <v>516</v>
      </c>
      <c r="C19" s="12">
        <v>45489</v>
      </c>
      <c r="D19" s="11" t="s">
        <v>501</v>
      </c>
      <c r="E19" s="11" t="s">
        <v>502</v>
      </c>
      <c r="F19" s="11" t="s">
        <v>502</v>
      </c>
      <c r="G19" s="13">
        <v>337</v>
      </c>
      <c r="I19" s="13">
        <v>33226.597999999998</v>
      </c>
    </row>
    <row r="20" spans="1:9" ht="12.75" customHeight="1" x14ac:dyDescent="0.25">
      <c r="A20" s="11" t="s">
        <v>515</v>
      </c>
      <c r="B20" s="11" t="s">
        <v>516</v>
      </c>
      <c r="C20" s="12">
        <v>45762</v>
      </c>
      <c r="D20" s="11" t="s">
        <v>501</v>
      </c>
      <c r="E20" s="11" t="s">
        <v>502</v>
      </c>
      <c r="F20" s="11" t="s">
        <v>502</v>
      </c>
      <c r="G20" s="13">
        <v>434</v>
      </c>
      <c r="I20" s="13">
        <v>33660.597999999998</v>
      </c>
    </row>
    <row r="22" spans="1:9" ht="12.75" customHeight="1" x14ac:dyDescent="0.25">
      <c r="A22" s="11" t="s">
        <v>517</v>
      </c>
      <c r="B22" s="11" t="s">
        <v>518</v>
      </c>
      <c r="C22" s="12">
        <v>45489</v>
      </c>
      <c r="D22" s="11" t="s">
        <v>501</v>
      </c>
      <c r="E22" s="11" t="s">
        <v>502</v>
      </c>
      <c r="F22" s="11" t="s">
        <v>502</v>
      </c>
      <c r="G22" s="13">
        <v>331</v>
      </c>
      <c r="I22" s="13">
        <v>32605.061000000002</v>
      </c>
    </row>
    <row r="23" spans="1:9" ht="12.75" customHeight="1" x14ac:dyDescent="0.25">
      <c r="A23" s="11" t="s">
        <v>517</v>
      </c>
      <c r="B23" s="11" t="s">
        <v>518</v>
      </c>
      <c r="C23" s="12">
        <v>45762</v>
      </c>
      <c r="D23" s="11" t="s">
        <v>501</v>
      </c>
      <c r="E23" s="11" t="s">
        <v>502</v>
      </c>
      <c r="F23" s="11" t="s">
        <v>502</v>
      </c>
      <c r="G23" s="13">
        <v>426</v>
      </c>
      <c r="I23" s="13">
        <v>33031.061000000002</v>
      </c>
    </row>
    <row r="25" spans="1:9" ht="12.75" customHeight="1" x14ac:dyDescent="0.25">
      <c r="A25" s="11" t="s">
        <v>519</v>
      </c>
      <c r="B25" s="11" t="s">
        <v>520</v>
      </c>
      <c r="C25" s="12">
        <v>45476</v>
      </c>
      <c r="D25" s="11" t="s">
        <v>501</v>
      </c>
      <c r="E25" s="11" t="s">
        <v>521</v>
      </c>
      <c r="F25" s="11" t="s">
        <v>522</v>
      </c>
      <c r="G25" s="13">
        <v>4110</v>
      </c>
      <c r="H25" s="11" t="s">
        <v>523</v>
      </c>
      <c r="I25" s="13">
        <v>27797.493999999999</v>
      </c>
    </row>
    <row r="26" spans="1:9" ht="12.75" customHeight="1" x14ac:dyDescent="0.25">
      <c r="A26" s="11" t="s">
        <v>519</v>
      </c>
      <c r="B26" s="11" t="s">
        <v>520</v>
      </c>
      <c r="C26" s="12">
        <v>45489</v>
      </c>
      <c r="D26" s="11" t="s">
        <v>501</v>
      </c>
      <c r="E26" s="11" t="s">
        <v>502</v>
      </c>
      <c r="F26" s="11" t="s">
        <v>502</v>
      </c>
      <c r="G26" s="13">
        <v>285</v>
      </c>
      <c r="I26" s="13">
        <v>28082.493999999999</v>
      </c>
    </row>
    <row r="27" spans="1:9" ht="12.75" customHeight="1" x14ac:dyDescent="0.25">
      <c r="A27" s="11" t="s">
        <v>519</v>
      </c>
      <c r="B27" s="11" t="s">
        <v>520</v>
      </c>
      <c r="C27" s="12">
        <v>45526</v>
      </c>
      <c r="D27" s="11" t="s">
        <v>501</v>
      </c>
      <c r="E27" s="11" t="s">
        <v>524</v>
      </c>
      <c r="F27" s="11" t="s">
        <v>525</v>
      </c>
      <c r="G27" s="13">
        <v>4000.982</v>
      </c>
      <c r="H27" s="11" t="s">
        <v>523</v>
      </c>
      <c r="I27" s="13">
        <v>32083.476000000002</v>
      </c>
    </row>
    <row r="28" spans="1:9" ht="12.75" customHeight="1" x14ac:dyDescent="0.25">
      <c r="A28" s="11" t="s">
        <v>519</v>
      </c>
      <c r="B28" s="11" t="s">
        <v>520</v>
      </c>
      <c r="C28" s="12">
        <v>45589</v>
      </c>
      <c r="D28" s="11" t="s">
        <v>501</v>
      </c>
      <c r="E28" s="11" t="s">
        <v>526</v>
      </c>
      <c r="F28" s="11" t="s">
        <v>527</v>
      </c>
      <c r="G28" s="13">
        <v>4787.2730000000001</v>
      </c>
      <c r="H28" s="11" t="s">
        <v>523</v>
      </c>
      <c r="I28" s="13">
        <v>36870.749000000003</v>
      </c>
    </row>
    <row r="29" spans="1:9" ht="12.75" customHeight="1" x14ac:dyDescent="0.25">
      <c r="A29" s="11" t="s">
        <v>519</v>
      </c>
      <c r="B29" s="11" t="s">
        <v>520</v>
      </c>
      <c r="C29" s="12">
        <v>45762</v>
      </c>
      <c r="D29" s="11" t="s">
        <v>501</v>
      </c>
      <c r="E29" s="11" t="s">
        <v>502</v>
      </c>
      <c r="F29" s="11" t="s">
        <v>502</v>
      </c>
      <c r="G29" s="13">
        <v>482</v>
      </c>
      <c r="I29" s="13">
        <v>37352.749000000003</v>
      </c>
    </row>
    <row r="31" spans="1:9" ht="12.75" customHeight="1" x14ac:dyDescent="0.25">
      <c r="A31" s="11" t="s">
        <v>528</v>
      </c>
      <c r="B31" s="11" t="s">
        <v>529</v>
      </c>
      <c r="C31" s="12">
        <v>45489</v>
      </c>
      <c r="D31" s="11" t="s">
        <v>501</v>
      </c>
      <c r="E31" s="11" t="s">
        <v>502</v>
      </c>
      <c r="F31" s="11" t="s">
        <v>502</v>
      </c>
      <c r="G31" s="13">
        <v>420</v>
      </c>
      <c r="I31" s="13">
        <v>41406.822</v>
      </c>
    </row>
    <row r="32" spans="1:9" ht="12.75" customHeight="1" x14ac:dyDescent="0.25">
      <c r="A32" s="11" t="s">
        <v>528</v>
      </c>
      <c r="B32" s="11" t="s">
        <v>529</v>
      </c>
      <c r="C32" s="12">
        <v>45762</v>
      </c>
      <c r="D32" s="11" t="s">
        <v>501</v>
      </c>
      <c r="E32" s="11" t="s">
        <v>502</v>
      </c>
      <c r="F32" s="11" t="s">
        <v>502</v>
      </c>
      <c r="G32" s="13">
        <v>541</v>
      </c>
      <c r="I32" s="13">
        <v>41947.822</v>
      </c>
    </row>
    <row r="34" spans="1:9" ht="12.75" customHeight="1" x14ac:dyDescent="0.25">
      <c r="A34" s="11" t="s">
        <v>530</v>
      </c>
      <c r="B34" s="11" t="s">
        <v>531</v>
      </c>
      <c r="C34" s="12">
        <v>45489</v>
      </c>
      <c r="D34" s="11" t="s">
        <v>501</v>
      </c>
      <c r="E34" s="11" t="s">
        <v>502</v>
      </c>
      <c r="F34" s="11" t="s">
        <v>502</v>
      </c>
      <c r="G34" s="13">
        <v>338</v>
      </c>
      <c r="I34" s="13">
        <v>33340.822999999997</v>
      </c>
    </row>
    <row r="35" spans="1:9" ht="12.75" customHeight="1" x14ac:dyDescent="0.25">
      <c r="A35" s="11" t="s">
        <v>530</v>
      </c>
      <c r="B35" s="11" t="s">
        <v>531</v>
      </c>
      <c r="C35" s="12">
        <v>45762</v>
      </c>
      <c r="D35" s="11" t="s">
        <v>501</v>
      </c>
      <c r="E35" s="11" t="s">
        <v>502</v>
      </c>
      <c r="F35" s="11" t="s">
        <v>502</v>
      </c>
      <c r="G35" s="13">
        <v>436</v>
      </c>
      <c r="I35" s="13">
        <v>33776.822999999997</v>
      </c>
    </row>
    <row r="37" spans="1:9" ht="12.75" customHeight="1" x14ac:dyDescent="0.25">
      <c r="A37" s="11" t="s">
        <v>532</v>
      </c>
      <c r="B37" s="11" t="s">
        <v>533</v>
      </c>
      <c r="C37" s="12">
        <v>45489</v>
      </c>
      <c r="D37" s="11" t="s">
        <v>501</v>
      </c>
      <c r="E37" s="11" t="s">
        <v>502</v>
      </c>
      <c r="F37" s="11" t="s">
        <v>502</v>
      </c>
      <c r="G37" s="13">
        <v>318</v>
      </c>
      <c r="I37" s="13">
        <v>31350.277000000002</v>
      </c>
    </row>
    <row r="38" spans="1:9" ht="12.75" customHeight="1" x14ac:dyDescent="0.25">
      <c r="A38" s="11" t="s">
        <v>532</v>
      </c>
      <c r="B38" s="11" t="s">
        <v>533</v>
      </c>
      <c r="C38" s="12">
        <v>45762</v>
      </c>
      <c r="D38" s="11" t="s">
        <v>501</v>
      </c>
      <c r="E38" s="11" t="s">
        <v>502</v>
      </c>
      <c r="F38" s="11" t="s">
        <v>502</v>
      </c>
      <c r="G38" s="13">
        <v>410</v>
      </c>
      <c r="I38" s="13">
        <v>31760.277000000002</v>
      </c>
    </row>
    <row r="39" spans="1:9" ht="12.75" customHeight="1" x14ac:dyDescent="0.25">
      <c r="A39" s="11" t="s">
        <v>532</v>
      </c>
      <c r="B39" s="11" t="s">
        <v>533</v>
      </c>
      <c r="C39" s="12">
        <v>45764</v>
      </c>
      <c r="D39" s="11" t="s">
        <v>501</v>
      </c>
      <c r="E39" s="11" t="s">
        <v>534</v>
      </c>
      <c r="F39" s="11" t="s">
        <v>535</v>
      </c>
      <c r="G39" s="13">
        <v>1500</v>
      </c>
      <c r="I39" s="13">
        <v>33260.277000000002</v>
      </c>
    </row>
    <row r="40" spans="1:9" ht="12.75" customHeight="1" x14ac:dyDescent="0.25">
      <c r="A40" s="11" t="s">
        <v>532</v>
      </c>
      <c r="B40" s="11" t="s">
        <v>533</v>
      </c>
      <c r="C40" s="12">
        <v>45793</v>
      </c>
      <c r="D40" s="11" t="s">
        <v>501</v>
      </c>
      <c r="E40" s="11" t="s">
        <v>536</v>
      </c>
      <c r="F40" s="11" t="s">
        <v>537</v>
      </c>
      <c r="G40" s="13">
        <v>2000</v>
      </c>
      <c r="I40" s="13">
        <v>35260.277000000002</v>
      </c>
    </row>
    <row r="42" spans="1:9" ht="12.75" customHeight="1" x14ac:dyDescent="0.25">
      <c r="A42" s="11" t="s">
        <v>538</v>
      </c>
      <c r="B42" s="11" t="s">
        <v>539</v>
      </c>
      <c r="C42" s="12">
        <v>45610</v>
      </c>
      <c r="D42" s="11" t="s">
        <v>501</v>
      </c>
      <c r="E42" s="11" t="s">
        <v>540</v>
      </c>
      <c r="F42" s="11" t="s">
        <v>541</v>
      </c>
      <c r="G42" s="13">
        <v>4068.75</v>
      </c>
      <c r="H42" s="11" t="s">
        <v>523</v>
      </c>
      <c r="I42" s="13">
        <v>4068.75</v>
      </c>
    </row>
    <row r="43" spans="1:9" ht="12.75" customHeight="1" x14ac:dyDescent="0.25">
      <c r="A43" s="11" t="s">
        <v>538</v>
      </c>
      <c r="B43" s="11" t="s">
        <v>539</v>
      </c>
      <c r="C43" s="12">
        <v>45681</v>
      </c>
      <c r="D43" s="11" t="s">
        <v>501</v>
      </c>
      <c r="E43" s="11" t="s">
        <v>542</v>
      </c>
      <c r="F43" s="11" t="s">
        <v>543</v>
      </c>
      <c r="G43" s="13">
        <v>5312.4979999999996</v>
      </c>
      <c r="H43" s="11" t="s">
        <v>523</v>
      </c>
      <c r="I43" s="13">
        <v>9381.2479999999996</v>
      </c>
    </row>
    <row r="44" spans="1:9" ht="12.75" customHeight="1" x14ac:dyDescent="0.25">
      <c r="A44" s="11" t="s">
        <v>538</v>
      </c>
      <c r="B44" s="11" t="s">
        <v>539</v>
      </c>
      <c r="C44" s="12">
        <v>45708</v>
      </c>
      <c r="D44" s="11" t="s">
        <v>501</v>
      </c>
      <c r="E44" s="11" t="s">
        <v>544</v>
      </c>
      <c r="F44" s="11" t="s">
        <v>545</v>
      </c>
      <c r="G44" s="13">
        <v>4250</v>
      </c>
      <c r="I44" s="13">
        <v>13631.247999999998</v>
      </c>
    </row>
    <row r="45" spans="1:9" ht="12.75" customHeight="1" x14ac:dyDescent="0.25">
      <c r="A45" s="11" t="s">
        <v>538</v>
      </c>
      <c r="B45" s="11" t="s">
        <v>539</v>
      </c>
      <c r="C45" s="12">
        <v>45735</v>
      </c>
      <c r="D45" s="11" t="s">
        <v>501</v>
      </c>
      <c r="E45" s="11" t="s">
        <v>546</v>
      </c>
      <c r="F45" s="11" t="s">
        <v>547</v>
      </c>
      <c r="G45" s="13">
        <v>5312.4989999999998</v>
      </c>
      <c r="H45" s="11" t="s">
        <v>523</v>
      </c>
      <c r="I45" s="13">
        <v>18943.746999999996</v>
      </c>
    </row>
    <row r="46" spans="1:9" ht="12.75" customHeight="1" x14ac:dyDescent="0.25">
      <c r="A46" s="11" t="s">
        <v>538</v>
      </c>
      <c r="B46" s="11" t="s">
        <v>539</v>
      </c>
      <c r="C46" s="12">
        <v>45762</v>
      </c>
      <c r="D46" s="11" t="s">
        <v>501</v>
      </c>
      <c r="E46" s="11" t="s">
        <v>502</v>
      </c>
      <c r="F46" s="11" t="s">
        <v>502</v>
      </c>
      <c r="G46" s="13">
        <v>248</v>
      </c>
      <c r="I46" s="13">
        <v>19191.746999999996</v>
      </c>
    </row>
    <row r="47" spans="1:9" ht="12.75" customHeight="1" x14ac:dyDescent="0.25">
      <c r="A47" s="11" t="s">
        <v>538</v>
      </c>
      <c r="B47" s="11" t="s">
        <v>539</v>
      </c>
      <c r="C47" s="12">
        <v>45778</v>
      </c>
      <c r="D47" s="11" t="s">
        <v>501</v>
      </c>
      <c r="E47" s="11" t="s">
        <v>548</v>
      </c>
      <c r="F47" s="11" t="s">
        <v>549</v>
      </c>
      <c r="G47" s="13">
        <v>5624.9979999999996</v>
      </c>
      <c r="H47" s="11" t="s">
        <v>523</v>
      </c>
      <c r="I47" s="13">
        <v>24816.744999999995</v>
      </c>
    </row>
    <row r="48" spans="1:9" ht="12.75" customHeight="1" x14ac:dyDescent="0.25">
      <c r="A48" s="11" t="s">
        <v>538</v>
      </c>
      <c r="B48" s="11" t="s">
        <v>539</v>
      </c>
      <c r="C48" s="12">
        <v>45813</v>
      </c>
      <c r="D48" s="11" t="s">
        <v>501</v>
      </c>
      <c r="E48" s="11" t="s">
        <v>550</v>
      </c>
      <c r="F48" s="11" t="s">
        <v>551</v>
      </c>
      <c r="G48" s="13">
        <v>5925.6229999999996</v>
      </c>
      <c r="H48" s="11" t="s">
        <v>523</v>
      </c>
      <c r="I48" s="13">
        <v>30742.367999999995</v>
      </c>
    </row>
    <row r="49" spans="1:9" ht="12.75" customHeight="1" x14ac:dyDescent="0.25">
      <c r="A49" s="11" t="s">
        <v>538</v>
      </c>
      <c r="B49" s="11" t="s">
        <v>539</v>
      </c>
      <c r="C49" s="12">
        <v>45841</v>
      </c>
      <c r="D49" s="11" t="s">
        <v>501</v>
      </c>
      <c r="E49" s="11" t="s">
        <v>552</v>
      </c>
      <c r="F49" s="11" t="s">
        <v>553</v>
      </c>
      <c r="G49" s="13">
        <v>5049.9999999999991</v>
      </c>
      <c r="H49" s="11" t="s">
        <v>523</v>
      </c>
      <c r="I49" s="13">
        <v>35792.367999999995</v>
      </c>
    </row>
    <row r="50" spans="1:9" ht="12.75" customHeight="1" x14ac:dyDescent="0.25">
      <c r="A50" s="11" t="s">
        <v>538</v>
      </c>
      <c r="B50" s="11" t="s">
        <v>539</v>
      </c>
      <c r="C50" s="12">
        <v>45868</v>
      </c>
      <c r="D50" s="11" t="s">
        <v>501</v>
      </c>
      <c r="E50" s="11" t="s">
        <v>554</v>
      </c>
      <c r="F50" s="11" t="s">
        <v>555</v>
      </c>
      <c r="G50" s="13">
        <v>6249.9980000000005</v>
      </c>
      <c r="H50" s="11" t="s">
        <v>523</v>
      </c>
      <c r="I50" s="13">
        <v>42042.365999999995</v>
      </c>
    </row>
    <row r="51" spans="1:9" ht="12.75" customHeight="1" x14ac:dyDescent="0.25">
      <c r="A51" s="11" t="s">
        <v>538</v>
      </c>
      <c r="B51" s="11" t="s">
        <v>539</v>
      </c>
      <c r="C51" s="12">
        <v>45897</v>
      </c>
      <c r="D51" s="11" t="s">
        <v>501</v>
      </c>
      <c r="E51" s="11" t="s">
        <v>556</v>
      </c>
      <c r="F51" s="11" t="s">
        <v>557</v>
      </c>
      <c r="G51" s="13">
        <v>5156.8230000000003</v>
      </c>
      <c r="H51" s="11" t="s">
        <v>523</v>
      </c>
      <c r="I51" s="13">
        <v>47199.188999999991</v>
      </c>
    </row>
    <row r="53" spans="1:9" ht="12.75" customHeight="1" x14ac:dyDescent="0.25">
      <c r="A53" s="11" t="s">
        <v>558</v>
      </c>
      <c r="B53" s="11" t="s">
        <v>559</v>
      </c>
      <c r="C53" s="12">
        <v>45489</v>
      </c>
      <c r="D53" s="11" t="s">
        <v>501</v>
      </c>
      <c r="E53" s="11" t="s">
        <v>502</v>
      </c>
      <c r="F53" s="11" t="s">
        <v>502</v>
      </c>
      <c r="G53" s="13">
        <v>353</v>
      </c>
      <c r="I53" s="13">
        <v>34762.987999999998</v>
      </c>
    </row>
    <row r="54" spans="1:9" ht="12.75" customHeight="1" x14ac:dyDescent="0.25">
      <c r="A54" s="11" t="s">
        <v>558</v>
      </c>
      <c r="B54" s="11" t="s">
        <v>559</v>
      </c>
      <c r="C54" s="12">
        <v>45762</v>
      </c>
      <c r="D54" s="11" t="s">
        <v>501</v>
      </c>
      <c r="E54" s="11" t="s">
        <v>502</v>
      </c>
      <c r="F54" s="11" t="s">
        <v>502</v>
      </c>
      <c r="G54" s="13">
        <v>454</v>
      </c>
      <c r="I54" s="13">
        <v>35216.987999999998</v>
      </c>
    </row>
    <row r="56" spans="1:9" ht="12.75" customHeight="1" x14ac:dyDescent="0.25">
      <c r="A56" s="11" t="s">
        <v>560</v>
      </c>
      <c r="B56" s="11" t="s">
        <v>561</v>
      </c>
      <c r="C56" s="12">
        <v>45489</v>
      </c>
      <c r="D56" s="11" t="s">
        <v>501</v>
      </c>
      <c r="E56" s="11" t="s">
        <v>502</v>
      </c>
      <c r="F56" s="11" t="s">
        <v>502</v>
      </c>
      <c r="G56" s="13">
        <v>388</v>
      </c>
      <c r="I56" s="13">
        <v>38243.345000000001</v>
      </c>
    </row>
    <row r="57" spans="1:9" ht="12.75" customHeight="1" x14ac:dyDescent="0.25">
      <c r="A57" s="11" t="s">
        <v>560</v>
      </c>
      <c r="B57" s="11" t="s">
        <v>561</v>
      </c>
      <c r="C57" s="12">
        <v>45762</v>
      </c>
      <c r="D57" s="11" t="s">
        <v>501</v>
      </c>
      <c r="E57" s="11" t="s">
        <v>502</v>
      </c>
      <c r="F57" s="11" t="s">
        <v>502</v>
      </c>
      <c r="G57" s="13">
        <v>500</v>
      </c>
      <c r="I57" s="13">
        <v>38743.345000000001</v>
      </c>
    </row>
    <row r="59" spans="1:9" ht="12.75" customHeight="1" x14ac:dyDescent="0.25">
      <c r="A59" s="11" t="s">
        <v>562</v>
      </c>
      <c r="B59" s="11" t="s">
        <v>563</v>
      </c>
      <c r="C59" s="12">
        <v>45489</v>
      </c>
      <c r="D59" s="11" t="s">
        <v>501</v>
      </c>
      <c r="E59" s="11" t="s">
        <v>502</v>
      </c>
      <c r="F59" s="11" t="s">
        <v>502</v>
      </c>
      <c r="G59" s="13">
        <v>208</v>
      </c>
      <c r="I59" s="13">
        <v>20463.55456</v>
      </c>
    </row>
    <row r="60" spans="1:9" ht="12.75" customHeight="1" x14ac:dyDescent="0.25">
      <c r="A60" s="11" t="s">
        <v>562</v>
      </c>
      <c r="B60" s="11" t="s">
        <v>563</v>
      </c>
      <c r="C60" s="12">
        <v>45762</v>
      </c>
      <c r="D60" s="11" t="s">
        <v>501</v>
      </c>
      <c r="E60" s="11" t="s">
        <v>502</v>
      </c>
      <c r="F60" s="11" t="s">
        <v>502</v>
      </c>
      <c r="G60" s="13">
        <v>267</v>
      </c>
      <c r="I60" s="13">
        <v>20730.55456</v>
      </c>
    </row>
    <row r="62" spans="1:9" ht="12.75" customHeight="1" x14ac:dyDescent="0.25">
      <c r="A62" s="11" t="s">
        <v>564</v>
      </c>
      <c r="B62" s="11" t="s">
        <v>565</v>
      </c>
      <c r="C62" s="12">
        <v>45489</v>
      </c>
      <c r="D62" s="11" t="s">
        <v>501</v>
      </c>
      <c r="E62" s="11" t="s">
        <v>502</v>
      </c>
      <c r="F62" s="11" t="s">
        <v>502</v>
      </c>
      <c r="G62" s="13">
        <v>296</v>
      </c>
      <c r="I62" s="13">
        <v>29215.494999999999</v>
      </c>
    </row>
    <row r="63" spans="1:9" ht="12.75" customHeight="1" x14ac:dyDescent="0.25">
      <c r="A63" s="11" t="s">
        <v>564</v>
      </c>
      <c r="B63" s="11" t="s">
        <v>565</v>
      </c>
      <c r="C63" s="12">
        <v>45762</v>
      </c>
      <c r="D63" s="11" t="s">
        <v>501</v>
      </c>
      <c r="E63" s="11" t="s">
        <v>502</v>
      </c>
      <c r="F63" s="11" t="s">
        <v>502</v>
      </c>
      <c r="G63" s="13">
        <v>382</v>
      </c>
      <c r="I63" s="13">
        <v>29597.494999999999</v>
      </c>
    </row>
    <row r="65" spans="1:9" ht="12.75" customHeight="1" x14ac:dyDescent="0.25">
      <c r="A65" s="11" t="s">
        <v>566</v>
      </c>
      <c r="B65" s="11" t="s">
        <v>567</v>
      </c>
      <c r="C65" s="12">
        <v>45489</v>
      </c>
      <c r="D65" s="11" t="s">
        <v>501</v>
      </c>
      <c r="E65" s="11" t="s">
        <v>502</v>
      </c>
      <c r="F65" s="11" t="s">
        <v>502</v>
      </c>
      <c r="G65" s="13">
        <v>139</v>
      </c>
      <c r="I65" s="13">
        <v>13706.748</v>
      </c>
    </row>
    <row r="66" spans="1:9" ht="12.75" customHeight="1" x14ac:dyDescent="0.25">
      <c r="A66" s="11" t="s">
        <v>566</v>
      </c>
      <c r="B66" s="11" t="s">
        <v>567</v>
      </c>
      <c r="C66" s="12">
        <v>45491</v>
      </c>
      <c r="D66" s="11" t="s">
        <v>501</v>
      </c>
      <c r="E66" s="11" t="s">
        <v>568</v>
      </c>
      <c r="F66" s="11" t="s">
        <v>569</v>
      </c>
      <c r="G66" s="13">
        <v>4000</v>
      </c>
      <c r="I66" s="13">
        <v>17706.748</v>
      </c>
    </row>
    <row r="67" spans="1:9" ht="12.75" customHeight="1" x14ac:dyDescent="0.25">
      <c r="A67" s="11" t="s">
        <v>566</v>
      </c>
      <c r="B67" s="11" t="s">
        <v>567</v>
      </c>
      <c r="C67" s="12">
        <v>45512</v>
      </c>
      <c r="D67" s="11" t="s">
        <v>501</v>
      </c>
      <c r="E67" s="11" t="s">
        <v>570</v>
      </c>
      <c r="F67" s="11" t="s">
        <v>571</v>
      </c>
      <c r="G67" s="13">
        <v>4020.25</v>
      </c>
      <c r="H67" s="11" t="s">
        <v>523</v>
      </c>
      <c r="I67" s="13">
        <v>21726.998</v>
      </c>
    </row>
    <row r="68" spans="1:9" ht="12.75" customHeight="1" x14ac:dyDescent="0.25">
      <c r="A68" s="11" t="s">
        <v>566</v>
      </c>
      <c r="B68" s="11" t="s">
        <v>567</v>
      </c>
      <c r="C68" s="12">
        <v>45541</v>
      </c>
      <c r="D68" s="11" t="s">
        <v>501</v>
      </c>
      <c r="E68" s="11" t="s">
        <v>572</v>
      </c>
      <c r="F68" s="11" t="s">
        <v>573</v>
      </c>
      <c r="G68" s="13">
        <v>4000</v>
      </c>
      <c r="I68" s="13">
        <v>25726.998</v>
      </c>
    </row>
    <row r="69" spans="1:9" ht="12.75" customHeight="1" x14ac:dyDescent="0.25">
      <c r="A69" s="11" t="s">
        <v>566</v>
      </c>
      <c r="B69" s="11" t="s">
        <v>567</v>
      </c>
      <c r="C69" s="12">
        <v>45568</v>
      </c>
      <c r="D69" s="11" t="s">
        <v>501</v>
      </c>
      <c r="E69" s="11" t="s">
        <v>554</v>
      </c>
      <c r="F69" s="11" t="s">
        <v>574</v>
      </c>
      <c r="G69" s="13">
        <v>4020</v>
      </c>
      <c r="H69" s="11" t="s">
        <v>523</v>
      </c>
      <c r="I69" s="13">
        <v>29746.998</v>
      </c>
    </row>
    <row r="70" spans="1:9" ht="12.75" customHeight="1" x14ac:dyDescent="0.25">
      <c r="A70" s="11" t="s">
        <v>566</v>
      </c>
      <c r="B70" s="11" t="s">
        <v>567</v>
      </c>
      <c r="C70" s="12">
        <v>45595</v>
      </c>
      <c r="D70" s="11" t="s">
        <v>501</v>
      </c>
      <c r="E70" s="11" t="s">
        <v>575</v>
      </c>
      <c r="F70" s="11" t="s">
        <v>576</v>
      </c>
      <c r="G70" s="13">
        <v>4000</v>
      </c>
      <c r="I70" s="13">
        <v>33746.998</v>
      </c>
    </row>
    <row r="71" spans="1:9" ht="12.75" customHeight="1" x14ac:dyDescent="0.25">
      <c r="A71" s="11" t="s">
        <v>566</v>
      </c>
      <c r="B71" s="11" t="s">
        <v>567</v>
      </c>
      <c r="C71" s="12">
        <v>45644</v>
      </c>
      <c r="D71" s="11" t="s">
        <v>501</v>
      </c>
      <c r="E71" s="11" t="s">
        <v>577</v>
      </c>
      <c r="F71" s="11" t="s">
        <v>578</v>
      </c>
      <c r="G71" s="13">
        <v>3750</v>
      </c>
      <c r="I71" s="13">
        <v>37496.998</v>
      </c>
    </row>
    <row r="72" spans="1:9" ht="12.75" customHeight="1" x14ac:dyDescent="0.25">
      <c r="A72" s="11" t="s">
        <v>566</v>
      </c>
      <c r="B72" s="11" t="s">
        <v>567</v>
      </c>
      <c r="C72" s="12">
        <v>45762</v>
      </c>
      <c r="D72" s="11" t="s">
        <v>501</v>
      </c>
      <c r="E72" s="11" t="s">
        <v>502</v>
      </c>
      <c r="F72" s="11" t="s">
        <v>502</v>
      </c>
      <c r="G72" s="13">
        <v>490</v>
      </c>
      <c r="I72" s="13">
        <v>37986.998</v>
      </c>
    </row>
    <row r="74" spans="1:9" ht="12.75" customHeight="1" x14ac:dyDescent="0.25">
      <c r="A74" s="11" t="s">
        <v>579</v>
      </c>
      <c r="B74" s="11" t="s">
        <v>580</v>
      </c>
      <c r="C74" s="12">
        <v>45489</v>
      </c>
      <c r="D74" s="11" t="s">
        <v>501</v>
      </c>
      <c r="E74" s="11" t="s">
        <v>502</v>
      </c>
      <c r="F74" s="11" t="s">
        <v>502</v>
      </c>
      <c r="G74" s="13">
        <v>447</v>
      </c>
      <c r="I74" s="13">
        <v>44067.059000000001</v>
      </c>
    </row>
    <row r="75" spans="1:9" ht="12.75" customHeight="1" x14ac:dyDescent="0.25">
      <c r="A75" s="11" t="s">
        <v>579</v>
      </c>
      <c r="B75" s="11" t="s">
        <v>580</v>
      </c>
      <c r="C75" s="12">
        <v>45762</v>
      </c>
      <c r="D75" s="11" t="s">
        <v>501</v>
      </c>
      <c r="E75" s="11" t="s">
        <v>502</v>
      </c>
      <c r="F75" s="11" t="s">
        <v>502</v>
      </c>
      <c r="G75" s="13">
        <v>576</v>
      </c>
      <c r="I75" s="13">
        <v>44643.059000000001</v>
      </c>
    </row>
    <row r="77" spans="1:9" ht="12.75" customHeight="1" x14ac:dyDescent="0.25">
      <c r="A77" s="11" t="s">
        <v>581</v>
      </c>
      <c r="B77" s="11" t="s">
        <v>582</v>
      </c>
      <c r="C77" s="12">
        <v>45666</v>
      </c>
      <c r="D77" s="11" t="s">
        <v>501</v>
      </c>
      <c r="E77" s="11" t="s">
        <v>583</v>
      </c>
      <c r="F77" s="11" t="s">
        <v>584</v>
      </c>
      <c r="G77" s="13">
        <v>4250</v>
      </c>
      <c r="I77" s="13">
        <v>4250</v>
      </c>
    </row>
    <row r="78" spans="1:9" ht="12.75" customHeight="1" x14ac:dyDescent="0.25">
      <c r="A78" s="11" t="s">
        <v>581</v>
      </c>
      <c r="B78" s="11" t="s">
        <v>582</v>
      </c>
      <c r="C78" s="12">
        <v>45693</v>
      </c>
      <c r="D78" s="11" t="s">
        <v>501</v>
      </c>
      <c r="E78" s="11" t="s">
        <v>585</v>
      </c>
      <c r="F78" s="11" t="s">
        <v>586</v>
      </c>
      <c r="G78" s="13">
        <v>5312.4989999999998</v>
      </c>
      <c r="H78" s="11" t="s">
        <v>523</v>
      </c>
      <c r="I78" s="13">
        <v>9562.4989999999998</v>
      </c>
    </row>
    <row r="79" spans="1:9" ht="12.75" customHeight="1" x14ac:dyDescent="0.25">
      <c r="A79" s="11" t="s">
        <v>581</v>
      </c>
      <c r="B79" s="11" t="s">
        <v>582</v>
      </c>
      <c r="C79" s="12">
        <v>45722</v>
      </c>
      <c r="D79" s="11" t="s">
        <v>501</v>
      </c>
      <c r="E79" s="11" t="s">
        <v>587</v>
      </c>
      <c r="F79" s="11" t="s">
        <v>588</v>
      </c>
      <c r="G79" s="13">
        <v>4250</v>
      </c>
      <c r="I79" s="13">
        <v>13812.499</v>
      </c>
    </row>
    <row r="80" spans="1:9" ht="12.75" customHeight="1" x14ac:dyDescent="0.25">
      <c r="A80" s="11" t="s">
        <v>581</v>
      </c>
      <c r="B80" s="11" t="s">
        <v>582</v>
      </c>
      <c r="C80" s="12">
        <v>45757</v>
      </c>
      <c r="D80" s="11" t="s">
        <v>501</v>
      </c>
      <c r="E80" s="11" t="s">
        <v>589</v>
      </c>
      <c r="F80" s="11" t="s">
        <v>590</v>
      </c>
      <c r="G80" s="13">
        <v>4522.75</v>
      </c>
      <c r="H80" s="11" t="s">
        <v>523</v>
      </c>
      <c r="I80" s="13">
        <v>18335.249</v>
      </c>
    </row>
    <row r="81" spans="1:9" ht="12.75" customHeight="1" x14ac:dyDescent="0.25">
      <c r="A81" s="11" t="s">
        <v>581</v>
      </c>
      <c r="B81" s="11" t="s">
        <v>582</v>
      </c>
      <c r="C81" s="12">
        <v>45762</v>
      </c>
      <c r="D81" s="11" t="s">
        <v>501</v>
      </c>
      <c r="E81" s="11" t="s">
        <v>502</v>
      </c>
      <c r="F81" s="11" t="s">
        <v>502</v>
      </c>
      <c r="G81" s="13">
        <v>239</v>
      </c>
      <c r="I81" s="13">
        <v>18574.249</v>
      </c>
    </row>
    <row r="82" spans="1:9" ht="12.75" customHeight="1" x14ac:dyDescent="0.25">
      <c r="A82" s="11" t="s">
        <v>581</v>
      </c>
      <c r="B82" s="11" t="s">
        <v>582</v>
      </c>
      <c r="C82" s="12">
        <v>45785</v>
      </c>
      <c r="D82" s="11" t="s">
        <v>501</v>
      </c>
      <c r="E82" s="11" t="s">
        <v>591</v>
      </c>
      <c r="F82" s="11" t="s">
        <v>592</v>
      </c>
      <c r="G82" s="13">
        <v>5624.9979999999996</v>
      </c>
      <c r="H82" s="11" t="s">
        <v>523</v>
      </c>
      <c r="I82" s="13">
        <v>24199.246999999996</v>
      </c>
    </row>
    <row r="83" spans="1:9" ht="12.75" customHeight="1" x14ac:dyDescent="0.25">
      <c r="A83" s="11" t="s">
        <v>581</v>
      </c>
      <c r="B83" s="11" t="s">
        <v>582</v>
      </c>
      <c r="C83" s="12">
        <v>45826</v>
      </c>
      <c r="D83" s="11" t="s">
        <v>501</v>
      </c>
      <c r="E83" s="11" t="s">
        <v>593</v>
      </c>
      <c r="F83" s="11" t="s">
        <v>594</v>
      </c>
      <c r="G83" s="13">
        <v>5624.9989999999998</v>
      </c>
      <c r="H83" s="11" t="s">
        <v>523</v>
      </c>
      <c r="I83" s="13">
        <v>29824.245999999996</v>
      </c>
    </row>
    <row r="84" spans="1:9" ht="12.75" customHeight="1" x14ac:dyDescent="0.25">
      <c r="A84" s="11" t="s">
        <v>581</v>
      </c>
      <c r="B84" s="11" t="s">
        <v>582</v>
      </c>
      <c r="C84" s="12">
        <v>45856</v>
      </c>
      <c r="D84" s="11" t="s">
        <v>501</v>
      </c>
      <c r="E84" s="11" t="s">
        <v>595</v>
      </c>
      <c r="F84" s="11" t="s">
        <v>596</v>
      </c>
      <c r="G84" s="13">
        <v>5891.0980000000009</v>
      </c>
      <c r="H84" s="11" t="s">
        <v>523</v>
      </c>
      <c r="I84" s="13">
        <v>35715.343999999997</v>
      </c>
    </row>
    <row r="85" spans="1:9" ht="12.75" customHeight="1" x14ac:dyDescent="0.25">
      <c r="A85" s="11" t="s">
        <v>581</v>
      </c>
      <c r="B85" s="11" t="s">
        <v>582</v>
      </c>
      <c r="C85" s="12">
        <v>45882</v>
      </c>
      <c r="D85" s="11" t="s">
        <v>501</v>
      </c>
      <c r="E85" s="11" t="s">
        <v>597</v>
      </c>
      <c r="F85" s="11" t="s">
        <v>598</v>
      </c>
      <c r="G85" s="13">
        <v>4750.0000000000009</v>
      </c>
      <c r="I85" s="13">
        <v>40465.343999999997</v>
      </c>
    </row>
    <row r="87" spans="1:9" ht="12.75" customHeight="1" x14ac:dyDescent="0.25">
      <c r="A87" s="11" t="s">
        <v>599</v>
      </c>
      <c r="B87" s="11" t="s">
        <v>600</v>
      </c>
      <c r="C87" s="12">
        <v>45489</v>
      </c>
      <c r="D87" s="11" t="s">
        <v>501</v>
      </c>
      <c r="E87" s="11" t="s">
        <v>502</v>
      </c>
      <c r="F87" s="11" t="s">
        <v>502</v>
      </c>
      <c r="G87" s="13">
        <v>399</v>
      </c>
      <c r="I87" s="13">
        <v>39302.746999999996</v>
      </c>
    </row>
    <row r="88" spans="1:9" ht="12.75" customHeight="1" x14ac:dyDescent="0.25">
      <c r="A88" s="11" t="s">
        <v>599</v>
      </c>
      <c r="B88" s="11" t="s">
        <v>600</v>
      </c>
      <c r="C88" s="12">
        <v>45762</v>
      </c>
      <c r="D88" s="11" t="s">
        <v>501</v>
      </c>
      <c r="E88" s="11" t="s">
        <v>502</v>
      </c>
      <c r="F88" s="11" t="s">
        <v>502</v>
      </c>
      <c r="G88" s="13">
        <v>514</v>
      </c>
      <c r="I88" s="13">
        <v>39816.746999999996</v>
      </c>
    </row>
    <row r="90" spans="1:9" ht="12.75" customHeight="1" x14ac:dyDescent="0.25">
      <c r="A90" s="11" t="s">
        <v>601</v>
      </c>
      <c r="B90" s="11" t="s">
        <v>602</v>
      </c>
      <c r="C90" s="12">
        <v>45489</v>
      </c>
      <c r="D90" s="11" t="s">
        <v>501</v>
      </c>
      <c r="E90" s="11" t="s">
        <v>502</v>
      </c>
      <c r="F90" s="11" t="s">
        <v>502</v>
      </c>
      <c r="G90" s="13">
        <v>439</v>
      </c>
      <c r="I90" s="13">
        <v>43258.380599999997</v>
      </c>
    </row>
    <row r="91" spans="1:9" ht="12.75" customHeight="1" x14ac:dyDescent="0.25">
      <c r="A91" s="11" t="s">
        <v>601</v>
      </c>
      <c r="B91" s="11" t="s">
        <v>602</v>
      </c>
      <c r="C91" s="12">
        <v>45762</v>
      </c>
      <c r="D91" s="11" t="s">
        <v>501</v>
      </c>
      <c r="E91" s="11" t="s">
        <v>502</v>
      </c>
      <c r="F91" s="11" t="s">
        <v>502</v>
      </c>
      <c r="G91" s="13">
        <v>565</v>
      </c>
      <c r="I91" s="13">
        <v>43823.380599999997</v>
      </c>
    </row>
    <row r="93" spans="1:9" ht="12.75" customHeight="1" x14ac:dyDescent="0.25">
      <c r="A93" s="11" t="s">
        <v>603</v>
      </c>
      <c r="B93" s="11" t="s">
        <v>604</v>
      </c>
      <c r="C93" s="12">
        <v>45489</v>
      </c>
      <c r="D93" s="11" t="s">
        <v>501</v>
      </c>
      <c r="E93" s="11" t="s">
        <v>502</v>
      </c>
      <c r="F93" s="11" t="s">
        <v>502</v>
      </c>
      <c r="G93" s="13">
        <v>416</v>
      </c>
      <c r="I93" s="13">
        <v>41051.910999999993</v>
      </c>
    </row>
    <row r="94" spans="1:9" ht="12.75" customHeight="1" x14ac:dyDescent="0.25">
      <c r="A94" s="11" t="s">
        <v>603</v>
      </c>
      <c r="B94" s="11" t="s">
        <v>604</v>
      </c>
      <c r="C94" s="12">
        <v>45762</v>
      </c>
      <c r="D94" s="11" t="s">
        <v>501</v>
      </c>
      <c r="E94" s="11" t="s">
        <v>502</v>
      </c>
      <c r="F94" s="11" t="s">
        <v>502</v>
      </c>
      <c r="G94" s="13">
        <v>536</v>
      </c>
      <c r="I94" s="13">
        <v>41587.910999999993</v>
      </c>
    </row>
    <row r="96" spans="1:9" ht="12.75" customHeight="1" x14ac:dyDescent="0.25">
      <c r="A96" s="11" t="s">
        <v>605</v>
      </c>
      <c r="B96" s="11" t="s">
        <v>606</v>
      </c>
      <c r="C96" s="12">
        <v>45485</v>
      </c>
      <c r="D96" s="11" t="s">
        <v>501</v>
      </c>
      <c r="E96" s="11" t="s">
        <v>607</v>
      </c>
      <c r="F96" s="11" t="s">
        <v>608</v>
      </c>
      <c r="G96" s="13">
        <v>3750</v>
      </c>
      <c r="I96" s="13">
        <v>11500</v>
      </c>
    </row>
    <row r="97" spans="1:9" ht="12.75" customHeight="1" x14ac:dyDescent="0.25">
      <c r="A97" s="11" t="s">
        <v>605</v>
      </c>
      <c r="B97" s="11" t="s">
        <v>606</v>
      </c>
      <c r="C97" s="12">
        <v>45489</v>
      </c>
      <c r="D97" s="11" t="s">
        <v>501</v>
      </c>
      <c r="E97" s="11" t="s">
        <v>502</v>
      </c>
      <c r="F97" s="11" t="s">
        <v>502</v>
      </c>
      <c r="G97" s="13">
        <v>118</v>
      </c>
      <c r="I97" s="13">
        <v>11618</v>
      </c>
    </row>
    <row r="98" spans="1:9" ht="12.75" customHeight="1" x14ac:dyDescent="0.25">
      <c r="A98" s="11" t="s">
        <v>605</v>
      </c>
      <c r="B98" s="11" t="s">
        <v>606</v>
      </c>
      <c r="C98" s="12">
        <v>45561</v>
      </c>
      <c r="D98" s="11" t="s">
        <v>501</v>
      </c>
      <c r="E98" s="11" t="s">
        <v>609</v>
      </c>
      <c r="F98" s="11" t="s">
        <v>610</v>
      </c>
      <c r="G98" s="13">
        <v>3750</v>
      </c>
      <c r="I98" s="13">
        <v>15368</v>
      </c>
    </row>
    <row r="99" spans="1:9" ht="12.75" customHeight="1" x14ac:dyDescent="0.25">
      <c r="A99" s="11" t="s">
        <v>605</v>
      </c>
      <c r="B99" s="11" t="s">
        <v>606</v>
      </c>
      <c r="C99" s="12">
        <v>45582</v>
      </c>
      <c r="D99" s="11" t="s">
        <v>501</v>
      </c>
      <c r="E99" s="11" t="s">
        <v>611</v>
      </c>
      <c r="F99" s="11" t="s">
        <v>612</v>
      </c>
      <c r="G99" s="13">
        <v>4374.9989999999998</v>
      </c>
      <c r="H99" s="11" t="s">
        <v>523</v>
      </c>
      <c r="I99" s="13">
        <v>19742.999</v>
      </c>
    </row>
    <row r="100" spans="1:9" ht="12.75" customHeight="1" x14ac:dyDescent="0.25">
      <c r="A100" s="11" t="s">
        <v>605</v>
      </c>
      <c r="B100" s="11" t="s">
        <v>606</v>
      </c>
      <c r="C100" s="12">
        <v>45631</v>
      </c>
      <c r="D100" s="11" t="s">
        <v>501</v>
      </c>
      <c r="E100" s="11" t="s">
        <v>577</v>
      </c>
      <c r="F100" s="11" t="s">
        <v>613</v>
      </c>
      <c r="G100" s="13">
        <v>4000</v>
      </c>
      <c r="I100" s="13">
        <v>23742.999</v>
      </c>
    </row>
    <row r="101" spans="1:9" ht="12.75" customHeight="1" x14ac:dyDescent="0.25">
      <c r="A101" s="11" t="s">
        <v>605</v>
      </c>
      <c r="B101" s="11" t="s">
        <v>606</v>
      </c>
      <c r="C101" s="12">
        <v>45744</v>
      </c>
      <c r="D101" s="11" t="s">
        <v>501</v>
      </c>
      <c r="E101" s="11" t="s">
        <v>614</v>
      </c>
      <c r="F101" s="11" t="s">
        <v>615</v>
      </c>
      <c r="G101" s="13">
        <v>3749.9970000000003</v>
      </c>
      <c r="H101" s="11" t="s">
        <v>523</v>
      </c>
      <c r="I101" s="13">
        <v>27492.995999999999</v>
      </c>
    </row>
    <row r="102" spans="1:9" ht="12.75" customHeight="1" x14ac:dyDescent="0.25">
      <c r="A102" s="11" t="s">
        <v>605</v>
      </c>
      <c r="B102" s="11" t="s">
        <v>606</v>
      </c>
      <c r="C102" s="12">
        <v>45762</v>
      </c>
      <c r="D102" s="11" t="s">
        <v>501</v>
      </c>
      <c r="E102" s="11" t="s">
        <v>502</v>
      </c>
      <c r="F102" s="11" t="s">
        <v>502</v>
      </c>
      <c r="G102" s="13">
        <v>359</v>
      </c>
      <c r="I102" s="13">
        <v>27851.995999999999</v>
      </c>
    </row>
    <row r="103" spans="1:9" ht="12.75" customHeight="1" x14ac:dyDescent="0.25">
      <c r="A103" s="11" t="s">
        <v>605</v>
      </c>
      <c r="B103" s="11" t="s">
        <v>606</v>
      </c>
      <c r="C103" s="12">
        <v>45799</v>
      </c>
      <c r="D103" s="11" t="s">
        <v>501</v>
      </c>
      <c r="E103" s="11" t="s">
        <v>616</v>
      </c>
      <c r="F103" s="11" t="s">
        <v>617</v>
      </c>
      <c r="G103" s="13">
        <v>4771.375</v>
      </c>
      <c r="H103" s="11" t="s">
        <v>523</v>
      </c>
      <c r="I103" s="13">
        <v>32623.370999999999</v>
      </c>
    </row>
    <row r="105" spans="1:9" ht="12.75" customHeight="1" x14ac:dyDescent="0.25">
      <c r="A105" s="11" t="s">
        <v>618</v>
      </c>
      <c r="B105" s="11" t="s">
        <v>619</v>
      </c>
      <c r="C105" s="12">
        <v>45489</v>
      </c>
      <c r="D105" s="11" t="s">
        <v>501</v>
      </c>
      <c r="E105" s="11" t="s">
        <v>502</v>
      </c>
      <c r="F105" s="11" t="s">
        <v>502</v>
      </c>
      <c r="G105" s="13">
        <v>369</v>
      </c>
      <c r="I105" s="13">
        <v>36326.370999999999</v>
      </c>
    </row>
    <row r="106" spans="1:9" ht="12.75" customHeight="1" x14ac:dyDescent="0.25">
      <c r="A106" s="11" t="s">
        <v>618</v>
      </c>
      <c r="B106" s="11" t="s">
        <v>619</v>
      </c>
      <c r="C106" s="12">
        <v>45762</v>
      </c>
      <c r="D106" s="11" t="s">
        <v>501</v>
      </c>
      <c r="E106" s="11" t="s">
        <v>502</v>
      </c>
      <c r="F106" s="11" t="s">
        <v>502</v>
      </c>
      <c r="G106" s="13">
        <v>475</v>
      </c>
      <c r="I106" s="13">
        <v>36801.370999999999</v>
      </c>
    </row>
    <row r="108" spans="1:9" ht="12.75" customHeight="1" x14ac:dyDescent="0.25">
      <c r="A108" s="11" t="s">
        <v>620</v>
      </c>
      <c r="B108" s="11" t="s">
        <v>621</v>
      </c>
      <c r="C108" s="12">
        <v>45489</v>
      </c>
      <c r="D108" s="11" t="s">
        <v>501</v>
      </c>
      <c r="E108" s="11" t="s">
        <v>502</v>
      </c>
      <c r="F108" s="11" t="s">
        <v>502</v>
      </c>
      <c r="G108" s="13">
        <v>413</v>
      </c>
      <c r="I108" s="13">
        <v>40744.1495</v>
      </c>
    </row>
    <row r="109" spans="1:9" ht="12.75" customHeight="1" x14ac:dyDescent="0.25">
      <c r="A109" s="11" t="s">
        <v>620</v>
      </c>
      <c r="B109" s="11" t="s">
        <v>621</v>
      </c>
      <c r="C109" s="12">
        <v>45762</v>
      </c>
      <c r="D109" s="11" t="s">
        <v>501</v>
      </c>
      <c r="E109" s="11" t="s">
        <v>502</v>
      </c>
      <c r="F109" s="11" t="s">
        <v>502</v>
      </c>
      <c r="G109" s="13">
        <v>532</v>
      </c>
      <c r="I109" s="13">
        <v>41276.1495</v>
      </c>
    </row>
    <row r="110" spans="1:9" ht="12.75" customHeight="1" x14ac:dyDescent="0.25">
      <c r="A110" s="11" t="s">
        <v>620</v>
      </c>
      <c r="B110" s="11" t="s">
        <v>621</v>
      </c>
      <c r="C110" s="12">
        <v>45854</v>
      </c>
      <c r="D110" s="11" t="s">
        <v>501</v>
      </c>
      <c r="E110" s="11" t="s">
        <v>622</v>
      </c>
      <c r="F110" s="11" t="s">
        <v>623</v>
      </c>
      <c r="G110" s="13">
        <v>1000</v>
      </c>
      <c r="I110" s="13">
        <v>42276.1495</v>
      </c>
    </row>
    <row r="112" spans="1:9" ht="12.75" customHeight="1" x14ac:dyDescent="0.25">
      <c r="A112" s="11" t="s">
        <v>624</v>
      </c>
      <c r="B112" s="11" t="s">
        <v>625</v>
      </c>
      <c r="C112" s="12">
        <v>45489</v>
      </c>
      <c r="D112" s="11" t="s">
        <v>501</v>
      </c>
      <c r="E112" s="11" t="s">
        <v>502</v>
      </c>
      <c r="F112" s="11" t="s">
        <v>502</v>
      </c>
      <c r="G112" s="13">
        <v>342</v>
      </c>
      <c r="I112" s="13">
        <v>33734.120000000003</v>
      </c>
    </row>
    <row r="113" spans="1:9" ht="12.75" customHeight="1" x14ac:dyDescent="0.25">
      <c r="A113" s="11" t="s">
        <v>624</v>
      </c>
      <c r="B113" s="11" t="s">
        <v>625</v>
      </c>
      <c r="C113" s="12">
        <v>45762</v>
      </c>
      <c r="D113" s="11" t="s">
        <v>501</v>
      </c>
      <c r="E113" s="11" t="s">
        <v>502</v>
      </c>
      <c r="F113" s="11" t="s">
        <v>502</v>
      </c>
      <c r="G113" s="13">
        <v>441</v>
      </c>
      <c r="I113" s="13">
        <v>34175.120000000003</v>
      </c>
    </row>
    <row r="115" spans="1:9" ht="12.75" customHeight="1" x14ac:dyDescent="0.25">
      <c r="A115" s="11" t="s">
        <v>626</v>
      </c>
      <c r="B115" s="11" t="s">
        <v>627</v>
      </c>
      <c r="C115" s="12">
        <v>45489</v>
      </c>
      <c r="D115" s="11" t="s">
        <v>501</v>
      </c>
      <c r="E115" s="11" t="s">
        <v>502</v>
      </c>
      <c r="F115" s="11" t="s">
        <v>502</v>
      </c>
      <c r="G115" s="13">
        <v>313</v>
      </c>
      <c r="I115" s="13">
        <v>30805</v>
      </c>
    </row>
    <row r="116" spans="1:9" ht="12.75" customHeight="1" x14ac:dyDescent="0.25">
      <c r="A116" s="11" t="s">
        <v>626</v>
      </c>
      <c r="B116" s="11" t="s">
        <v>627</v>
      </c>
      <c r="C116" s="12">
        <v>45554</v>
      </c>
      <c r="D116" s="11" t="s">
        <v>501</v>
      </c>
      <c r="E116" s="11" t="s">
        <v>628</v>
      </c>
      <c r="F116" s="11" t="s">
        <v>629</v>
      </c>
      <c r="G116" s="13">
        <v>2750</v>
      </c>
      <c r="I116" s="13">
        <v>33555</v>
      </c>
    </row>
    <row r="117" spans="1:9" ht="12.75" customHeight="1" x14ac:dyDescent="0.25">
      <c r="A117" s="11" t="s">
        <v>626</v>
      </c>
      <c r="B117" s="11" t="s">
        <v>627</v>
      </c>
      <c r="C117" s="12">
        <v>45687</v>
      </c>
      <c r="D117" s="11" t="s">
        <v>501</v>
      </c>
      <c r="E117" s="11" t="s">
        <v>630</v>
      </c>
      <c r="F117" s="11" t="s">
        <v>631</v>
      </c>
      <c r="G117" s="13">
        <v>3000</v>
      </c>
      <c r="I117" s="13">
        <v>36555</v>
      </c>
    </row>
    <row r="118" spans="1:9" ht="12.75" customHeight="1" x14ac:dyDescent="0.25">
      <c r="A118" s="11" t="s">
        <v>626</v>
      </c>
      <c r="B118" s="11" t="s">
        <v>627</v>
      </c>
      <c r="C118" s="12">
        <v>45762</v>
      </c>
      <c r="D118" s="11" t="s">
        <v>501</v>
      </c>
      <c r="E118" s="11" t="s">
        <v>502</v>
      </c>
      <c r="F118" s="11" t="s">
        <v>502</v>
      </c>
      <c r="G118" s="13">
        <v>478</v>
      </c>
      <c r="I118" s="13">
        <v>37033</v>
      </c>
    </row>
    <row r="119" spans="1:9" ht="12.75" customHeight="1" x14ac:dyDescent="0.25">
      <c r="A119" s="11" t="s">
        <v>626</v>
      </c>
      <c r="B119" s="11" t="s">
        <v>627</v>
      </c>
      <c r="C119" s="12">
        <v>45806</v>
      </c>
      <c r="D119" s="11" t="s">
        <v>501</v>
      </c>
      <c r="E119" s="11" t="s">
        <v>632</v>
      </c>
      <c r="F119" s="11" t="s">
        <v>633</v>
      </c>
      <c r="G119" s="13">
        <v>2750</v>
      </c>
      <c r="I119" s="13">
        <v>39783</v>
      </c>
    </row>
    <row r="121" spans="1:9" ht="12.75" customHeight="1" x14ac:dyDescent="0.25">
      <c r="A121" s="11" t="s">
        <v>634</v>
      </c>
      <c r="B121" s="11" t="s">
        <v>635</v>
      </c>
      <c r="C121" s="12">
        <v>45489</v>
      </c>
      <c r="D121" s="11" t="s">
        <v>501</v>
      </c>
      <c r="E121" s="11" t="s">
        <v>502</v>
      </c>
      <c r="F121" s="11" t="s">
        <v>502</v>
      </c>
      <c r="G121" s="13">
        <v>326</v>
      </c>
      <c r="I121" s="13">
        <v>32093.328999999998</v>
      </c>
    </row>
    <row r="122" spans="1:9" ht="12.75" customHeight="1" x14ac:dyDescent="0.25">
      <c r="A122" s="11" t="s">
        <v>634</v>
      </c>
      <c r="B122" s="11" t="s">
        <v>635</v>
      </c>
      <c r="C122" s="12">
        <v>45762</v>
      </c>
      <c r="D122" s="11" t="s">
        <v>501</v>
      </c>
      <c r="E122" s="11" t="s">
        <v>502</v>
      </c>
      <c r="F122" s="11" t="s">
        <v>502</v>
      </c>
      <c r="G122" s="13">
        <v>419</v>
      </c>
      <c r="I122" s="13">
        <v>32512.328999999998</v>
      </c>
    </row>
    <row r="124" spans="1:9" ht="12.75" customHeight="1" x14ac:dyDescent="0.25">
      <c r="A124" s="11" t="s">
        <v>636</v>
      </c>
      <c r="B124" s="11" t="s">
        <v>637</v>
      </c>
      <c r="C124" s="12">
        <v>45489</v>
      </c>
      <c r="D124" s="11" t="s">
        <v>501</v>
      </c>
      <c r="E124" s="11" t="s">
        <v>502</v>
      </c>
      <c r="F124" s="11" t="s">
        <v>502</v>
      </c>
      <c r="G124" s="13">
        <v>113</v>
      </c>
      <c r="I124" s="13">
        <v>11113</v>
      </c>
    </row>
    <row r="125" spans="1:9" ht="12.75" customHeight="1" x14ac:dyDescent="0.25">
      <c r="A125" s="11" t="s">
        <v>636</v>
      </c>
      <c r="B125" s="11" t="s">
        <v>637</v>
      </c>
      <c r="C125" s="12">
        <v>45504</v>
      </c>
      <c r="D125" s="11" t="s">
        <v>501</v>
      </c>
      <c r="E125" s="11" t="s">
        <v>638</v>
      </c>
      <c r="F125" s="11" t="s">
        <v>527</v>
      </c>
      <c r="G125" s="13">
        <v>4254.8850000000002</v>
      </c>
      <c r="H125" s="11" t="s">
        <v>523</v>
      </c>
      <c r="I125" s="13">
        <v>15367.885</v>
      </c>
    </row>
    <row r="126" spans="1:9" ht="12.75" customHeight="1" x14ac:dyDescent="0.25">
      <c r="A126" s="11" t="s">
        <v>636</v>
      </c>
      <c r="B126" s="11" t="s">
        <v>637</v>
      </c>
      <c r="C126" s="12">
        <v>45547</v>
      </c>
      <c r="D126" s="11" t="s">
        <v>501</v>
      </c>
      <c r="E126" s="11" t="s">
        <v>639</v>
      </c>
      <c r="F126" s="11" t="s">
        <v>640</v>
      </c>
      <c r="G126" s="13">
        <v>3750</v>
      </c>
      <c r="I126" s="13">
        <v>19117.884999999998</v>
      </c>
    </row>
    <row r="127" spans="1:9" ht="12.75" customHeight="1" x14ac:dyDescent="0.25">
      <c r="A127" s="11" t="s">
        <v>636</v>
      </c>
      <c r="B127" s="11" t="s">
        <v>637</v>
      </c>
      <c r="C127" s="12">
        <v>45575</v>
      </c>
      <c r="D127" s="11" t="s">
        <v>501</v>
      </c>
      <c r="E127" s="11" t="s">
        <v>641</v>
      </c>
      <c r="F127" s="11" t="s">
        <v>642</v>
      </c>
      <c r="G127" s="13">
        <v>3768.75</v>
      </c>
      <c r="H127" s="11" t="s">
        <v>523</v>
      </c>
      <c r="I127" s="13">
        <v>22886.634999999998</v>
      </c>
    </row>
    <row r="128" spans="1:9" ht="12.75" customHeight="1" x14ac:dyDescent="0.25">
      <c r="A128" s="11" t="s">
        <v>636</v>
      </c>
      <c r="B128" s="11" t="s">
        <v>637</v>
      </c>
      <c r="C128" s="12">
        <v>45602</v>
      </c>
      <c r="D128" s="11" t="s">
        <v>501</v>
      </c>
      <c r="E128" s="11" t="s">
        <v>643</v>
      </c>
      <c r="F128" s="11" t="s">
        <v>644</v>
      </c>
      <c r="G128" s="13">
        <v>3750</v>
      </c>
      <c r="I128" s="13">
        <v>26636.634999999998</v>
      </c>
    </row>
    <row r="129" spans="1:9" ht="12.75" customHeight="1" x14ac:dyDescent="0.25">
      <c r="A129" s="11" t="s">
        <v>636</v>
      </c>
      <c r="B129" s="11" t="s">
        <v>637</v>
      </c>
      <c r="C129" s="12">
        <v>45638</v>
      </c>
      <c r="D129" s="11" t="s">
        <v>501</v>
      </c>
      <c r="E129" s="11" t="s">
        <v>645</v>
      </c>
      <c r="F129" s="11" t="s">
        <v>646</v>
      </c>
      <c r="G129" s="13">
        <v>4000</v>
      </c>
      <c r="I129" s="13">
        <v>30636.634999999998</v>
      </c>
    </row>
    <row r="130" spans="1:9" ht="12.75" customHeight="1" x14ac:dyDescent="0.25">
      <c r="A130" s="11" t="s">
        <v>636</v>
      </c>
      <c r="B130" s="11" t="s">
        <v>637</v>
      </c>
      <c r="C130" s="12">
        <v>45673</v>
      </c>
      <c r="D130" s="11" t="s">
        <v>501</v>
      </c>
      <c r="E130" s="11" t="s">
        <v>647</v>
      </c>
      <c r="F130" s="11" t="s">
        <v>648</v>
      </c>
      <c r="G130" s="13">
        <v>5000</v>
      </c>
      <c r="H130" s="11" t="s">
        <v>523</v>
      </c>
      <c r="I130" s="13">
        <v>35636.635000000002</v>
      </c>
    </row>
    <row r="131" spans="1:9" ht="12.75" customHeight="1" x14ac:dyDescent="0.25">
      <c r="A131" s="11" t="s">
        <v>636</v>
      </c>
      <c r="B131" s="11" t="s">
        <v>637</v>
      </c>
      <c r="C131" s="12">
        <v>45762</v>
      </c>
      <c r="D131" s="11" t="s">
        <v>501</v>
      </c>
      <c r="E131" s="11" t="s">
        <v>502</v>
      </c>
      <c r="F131" s="11" t="s">
        <v>502</v>
      </c>
      <c r="G131" s="13">
        <v>466</v>
      </c>
      <c r="I131" s="13">
        <v>36102.635000000002</v>
      </c>
    </row>
    <row r="133" spans="1:9" ht="12.75" customHeight="1" x14ac:dyDescent="0.25">
      <c r="A133" s="11" t="s">
        <v>649</v>
      </c>
      <c r="B133" s="11" t="s">
        <v>650</v>
      </c>
      <c r="C133" s="12">
        <v>45489</v>
      </c>
      <c r="D133" s="11" t="s">
        <v>501</v>
      </c>
      <c r="E133" s="11" t="s">
        <v>502</v>
      </c>
      <c r="F133" s="11" t="s">
        <v>502</v>
      </c>
      <c r="G133" s="13">
        <v>372</v>
      </c>
      <c r="I133" s="13">
        <v>36633.282999999996</v>
      </c>
    </row>
    <row r="134" spans="1:9" ht="12.75" customHeight="1" x14ac:dyDescent="0.25">
      <c r="A134" s="11" t="s">
        <v>649</v>
      </c>
      <c r="B134" s="11" t="s">
        <v>650</v>
      </c>
      <c r="C134" s="12">
        <v>45762</v>
      </c>
      <c r="D134" s="11" t="s">
        <v>501</v>
      </c>
      <c r="E134" s="11" t="s">
        <v>502</v>
      </c>
      <c r="F134" s="11" t="s">
        <v>502</v>
      </c>
      <c r="G134" s="13">
        <v>479</v>
      </c>
      <c r="I134" s="13">
        <v>37112.282999999996</v>
      </c>
    </row>
    <row r="135" spans="1:9" ht="12.75" customHeight="1" x14ac:dyDescent="0.25">
      <c r="A135" s="11" t="s">
        <v>649</v>
      </c>
      <c r="B135" s="11" t="s">
        <v>650</v>
      </c>
      <c r="C135" s="12">
        <v>45855</v>
      </c>
      <c r="D135" s="11" t="s">
        <v>501</v>
      </c>
      <c r="E135" s="11" t="s">
        <v>651</v>
      </c>
      <c r="F135" s="11" t="s">
        <v>652</v>
      </c>
      <c r="G135" s="13">
        <v>1500</v>
      </c>
      <c r="I135" s="13">
        <v>38612.282999999996</v>
      </c>
    </row>
    <row r="137" spans="1:9" ht="12.75" customHeight="1" x14ac:dyDescent="0.25">
      <c r="A137" s="11" t="s">
        <v>653</v>
      </c>
      <c r="B137" s="11" t="s">
        <v>654</v>
      </c>
      <c r="C137" s="12">
        <v>45700</v>
      </c>
      <c r="D137" s="11" t="s">
        <v>655</v>
      </c>
      <c r="E137" s="11" t="s">
        <v>656</v>
      </c>
      <c r="F137" s="11" t="s">
        <v>657</v>
      </c>
      <c r="G137" s="13">
        <v>13000</v>
      </c>
      <c r="I137" s="13">
        <v>13000</v>
      </c>
    </row>
    <row r="138" spans="1:9" ht="12.75" customHeight="1" x14ac:dyDescent="0.25">
      <c r="A138" s="11" t="s">
        <v>653</v>
      </c>
      <c r="B138" s="11" t="s">
        <v>654</v>
      </c>
      <c r="C138" s="12">
        <v>45729</v>
      </c>
      <c r="D138" s="11" t="s">
        <v>501</v>
      </c>
      <c r="E138" s="11" t="s">
        <v>658</v>
      </c>
      <c r="F138" s="11" t="s">
        <v>659</v>
      </c>
      <c r="G138" s="13">
        <v>4000</v>
      </c>
      <c r="I138" s="13">
        <v>17000</v>
      </c>
    </row>
    <row r="139" spans="1:9" ht="12.75" customHeight="1" x14ac:dyDescent="0.25">
      <c r="A139" s="11" t="s">
        <v>653</v>
      </c>
      <c r="B139" s="11" t="s">
        <v>654</v>
      </c>
      <c r="C139" s="12">
        <v>45762</v>
      </c>
      <c r="D139" s="11" t="s">
        <v>501</v>
      </c>
      <c r="E139" s="11" t="s">
        <v>502</v>
      </c>
      <c r="F139" s="11" t="s">
        <v>502</v>
      </c>
      <c r="G139" s="13">
        <v>222</v>
      </c>
      <c r="I139" s="13">
        <v>17222</v>
      </c>
    </row>
    <row r="140" spans="1:9" ht="12.75" customHeight="1" x14ac:dyDescent="0.25">
      <c r="A140" s="11" t="s">
        <v>653</v>
      </c>
      <c r="B140" s="11" t="s">
        <v>654</v>
      </c>
      <c r="C140" s="12">
        <v>45763</v>
      </c>
      <c r="D140" s="11" t="s">
        <v>501</v>
      </c>
      <c r="E140" s="11" t="s">
        <v>660</v>
      </c>
      <c r="F140" s="11" t="s">
        <v>661</v>
      </c>
      <c r="G140" s="13">
        <v>4000</v>
      </c>
      <c r="I140" s="13">
        <v>21222</v>
      </c>
    </row>
    <row r="141" spans="1:9" ht="12.75" customHeight="1" x14ac:dyDescent="0.25">
      <c r="A141" s="11" t="s">
        <v>653</v>
      </c>
      <c r="B141" s="11" t="s">
        <v>654</v>
      </c>
      <c r="C141" s="12">
        <v>45792</v>
      </c>
      <c r="D141" s="11" t="s">
        <v>501</v>
      </c>
      <c r="E141" s="11" t="s">
        <v>662</v>
      </c>
      <c r="F141" s="11" t="s">
        <v>663</v>
      </c>
      <c r="G141" s="13">
        <v>4893.41</v>
      </c>
      <c r="H141" s="11" t="s">
        <v>523</v>
      </c>
      <c r="I141" s="13">
        <v>26115.41</v>
      </c>
    </row>
    <row r="142" spans="1:9" ht="12.75" customHeight="1" x14ac:dyDescent="0.25">
      <c r="A142" s="11" t="s">
        <v>653</v>
      </c>
      <c r="B142" s="11" t="s">
        <v>654</v>
      </c>
      <c r="C142" s="12">
        <v>45820</v>
      </c>
      <c r="D142" s="11" t="s">
        <v>501</v>
      </c>
      <c r="E142" s="11" t="s">
        <v>664</v>
      </c>
      <c r="F142" s="11" t="s">
        <v>665</v>
      </c>
      <c r="G142" s="13">
        <v>4250</v>
      </c>
      <c r="I142" s="13">
        <v>30365.41</v>
      </c>
    </row>
    <row r="143" spans="1:9" ht="12.75" customHeight="1" x14ac:dyDescent="0.25">
      <c r="A143" s="11" t="s">
        <v>653</v>
      </c>
      <c r="B143" s="11" t="s">
        <v>654</v>
      </c>
      <c r="C143" s="12">
        <v>45848</v>
      </c>
      <c r="D143" s="11" t="s">
        <v>501</v>
      </c>
      <c r="E143" s="11" t="s">
        <v>666</v>
      </c>
      <c r="F143" s="11" t="s">
        <v>667</v>
      </c>
      <c r="G143" s="13">
        <v>4761.75</v>
      </c>
      <c r="H143" s="11" t="s">
        <v>523</v>
      </c>
      <c r="I143" s="13">
        <v>35127.160000000003</v>
      </c>
    </row>
    <row r="144" spans="1:9" ht="12.75" customHeight="1" x14ac:dyDescent="0.25">
      <c r="A144" s="11" t="s">
        <v>653</v>
      </c>
      <c r="B144" s="11" t="s">
        <v>654</v>
      </c>
      <c r="C144" s="12">
        <v>45875</v>
      </c>
      <c r="D144" s="11" t="s">
        <v>501</v>
      </c>
      <c r="E144" s="11" t="s">
        <v>668</v>
      </c>
      <c r="F144" s="11" t="s">
        <v>669</v>
      </c>
      <c r="G144" s="13">
        <v>5624.9969999999994</v>
      </c>
      <c r="H144" s="11" t="s">
        <v>523</v>
      </c>
      <c r="I144" s="13">
        <v>40752.156999999999</v>
      </c>
    </row>
    <row r="146" spans="1:9" ht="12.75" customHeight="1" x14ac:dyDescent="0.25">
      <c r="A146" s="11" t="s">
        <v>670</v>
      </c>
      <c r="B146" s="11" t="s">
        <v>671</v>
      </c>
      <c r="C146" s="12">
        <v>45489</v>
      </c>
      <c r="D146" s="11" t="s">
        <v>501</v>
      </c>
      <c r="E146" s="11" t="s">
        <v>502</v>
      </c>
      <c r="F146" s="11" t="s">
        <v>502</v>
      </c>
      <c r="G146" s="13">
        <v>357</v>
      </c>
      <c r="I146" s="13">
        <v>35173.85</v>
      </c>
    </row>
    <row r="147" spans="1:9" ht="12.75" customHeight="1" x14ac:dyDescent="0.25">
      <c r="A147" s="11" t="s">
        <v>670</v>
      </c>
      <c r="B147" s="11" t="s">
        <v>671</v>
      </c>
      <c r="C147" s="12">
        <v>45762</v>
      </c>
      <c r="D147" s="11" t="s">
        <v>501</v>
      </c>
      <c r="E147" s="11" t="s">
        <v>502</v>
      </c>
      <c r="F147" s="11" t="s">
        <v>502</v>
      </c>
      <c r="G147" s="13">
        <v>460</v>
      </c>
      <c r="I147" s="13">
        <v>35633.85</v>
      </c>
    </row>
    <row r="149" spans="1:9" ht="12.75" customHeight="1" x14ac:dyDescent="0.25">
      <c r="A149" s="11" t="s">
        <v>672</v>
      </c>
      <c r="B149" s="11" t="s">
        <v>673</v>
      </c>
      <c r="C149" s="12">
        <v>45903</v>
      </c>
      <c r="D149" s="11" t="s">
        <v>655</v>
      </c>
      <c r="E149" s="11" t="s">
        <v>674</v>
      </c>
      <c r="F149" s="11" t="s">
        <v>675</v>
      </c>
      <c r="G149" s="13">
        <v>14000</v>
      </c>
      <c r="I149" s="13">
        <v>14000</v>
      </c>
    </row>
    <row r="151" spans="1:9" ht="12.75" customHeight="1" x14ac:dyDescent="0.25">
      <c r="A151" s="11" t="s">
        <v>676</v>
      </c>
      <c r="B151" s="11" t="s">
        <v>677</v>
      </c>
      <c r="C151" s="12">
        <v>45489</v>
      </c>
      <c r="D151" s="11" t="s">
        <v>501</v>
      </c>
      <c r="E151" s="11" t="s">
        <v>502</v>
      </c>
      <c r="F151" s="11" t="s">
        <v>502</v>
      </c>
      <c r="G151" s="13">
        <v>325</v>
      </c>
      <c r="I151" s="13">
        <v>32006.932999999997</v>
      </c>
    </row>
    <row r="152" spans="1:9" ht="12.75" customHeight="1" x14ac:dyDescent="0.25">
      <c r="A152" s="11" t="s">
        <v>676</v>
      </c>
      <c r="B152" s="11" t="s">
        <v>677</v>
      </c>
      <c r="C152" s="12">
        <v>45762</v>
      </c>
      <c r="D152" s="11" t="s">
        <v>501</v>
      </c>
      <c r="E152" s="11" t="s">
        <v>502</v>
      </c>
      <c r="F152" s="11" t="s">
        <v>502</v>
      </c>
      <c r="G152" s="13">
        <v>418</v>
      </c>
      <c r="I152" s="13">
        <v>32424.932999999997</v>
      </c>
    </row>
    <row r="154" spans="1:9" ht="12.75" customHeight="1" x14ac:dyDescent="0.25">
      <c r="A154" s="11" t="s">
        <v>678</v>
      </c>
      <c r="B154" s="11" t="s">
        <v>679</v>
      </c>
      <c r="C154" s="12">
        <v>45489</v>
      </c>
      <c r="D154" s="11" t="s">
        <v>501</v>
      </c>
      <c r="E154" s="11" t="s">
        <v>502</v>
      </c>
      <c r="F154" s="11" t="s">
        <v>502</v>
      </c>
      <c r="G154" s="13">
        <v>328</v>
      </c>
      <c r="I154" s="13">
        <v>32296.31</v>
      </c>
    </row>
    <row r="155" spans="1:9" ht="12.75" customHeight="1" x14ac:dyDescent="0.25">
      <c r="A155" s="11" t="s">
        <v>678</v>
      </c>
      <c r="B155" s="11" t="s">
        <v>679</v>
      </c>
      <c r="C155" s="12">
        <v>45762</v>
      </c>
      <c r="D155" s="11" t="s">
        <v>501</v>
      </c>
      <c r="E155" s="11" t="s">
        <v>502</v>
      </c>
      <c r="F155" s="11" t="s">
        <v>502</v>
      </c>
      <c r="G155" s="13">
        <v>422</v>
      </c>
      <c r="I155" s="13">
        <v>32718.31</v>
      </c>
    </row>
    <row r="157" spans="1:9" ht="12.75" customHeight="1" x14ac:dyDescent="0.25">
      <c r="A157" s="11" t="s">
        <v>680</v>
      </c>
      <c r="B157" s="11" t="s">
        <v>681</v>
      </c>
      <c r="C157" s="12">
        <v>45489</v>
      </c>
      <c r="D157" s="11" t="s">
        <v>501</v>
      </c>
      <c r="E157" s="11" t="s">
        <v>502</v>
      </c>
      <c r="F157" s="11" t="s">
        <v>502</v>
      </c>
      <c r="G157" s="13">
        <v>258</v>
      </c>
      <c r="I157" s="13">
        <v>25464.558999999997</v>
      </c>
    </row>
    <row r="158" spans="1:9" ht="12.75" customHeight="1" x14ac:dyDescent="0.25">
      <c r="A158" s="11" t="s">
        <v>680</v>
      </c>
      <c r="B158" s="11" t="s">
        <v>681</v>
      </c>
      <c r="C158" s="12">
        <v>45518</v>
      </c>
      <c r="D158" s="11" t="s">
        <v>501</v>
      </c>
      <c r="E158" s="11" t="s">
        <v>682</v>
      </c>
      <c r="F158" s="11" t="s">
        <v>683</v>
      </c>
      <c r="G158" s="13">
        <v>3749.9970000000003</v>
      </c>
      <c r="H158" s="11" t="s">
        <v>523</v>
      </c>
      <c r="I158" s="13">
        <v>29214.556</v>
      </c>
    </row>
    <row r="159" spans="1:9" ht="12.75" customHeight="1" x14ac:dyDescent="0.25">
      <c r="A159" s="11" t="s">
        <v>680</v>
      </c>
      <c r="B159" s="11" t="s">
        <v>681</v>
      </c>
      <c r="C159" s="12">
        <v>45616</v>
      </c>
      <c r="D159" s="11" t="s">
        <v>501</v>
      </c>
      <c r="E159" s="11" t="s">
        <v>684</v>
      </c>
      <c r="F159" s="11" t="s">
        <v>685</v>
      </c>
      <c r="G159" s="13">
        <v>3250</v>
      </c>
      <c r="I159" s="13">
        <v>32464.556</v>
      </c>
    </row>
    <row r="160" spans="1:9" ht="12.75" customHeight="1" x14ac:dyDescent="0.25">
      <c r="A160" s="11" t="s">
        <v>680</v>
      </c>
      <c r="B160" s="11" t="s">
        <v>681</v>
      </c>
      <c r="C160" s="12">
        <v>45762</v>
      </c>
      <c r="D160" s="11" t="s">
        <v>501</v>
      </c>
      <c r="E160" s="11" t="s">
        <v>502</v>
      </c>
      <c r="F160" s="11" t="s">
        <v>502</v>
      </c>
      <c r="G160" s="13">
        <v>424</v>
      </c>
      <c r="I160" s="13">
        <v>32888.556000000004</v>
      </c>
    </row>
    <row r="162" spans="1:9" ht="12.75" customHeight="1" x14ac:dyDescent="0.25">
      <c r="A162" s="11" t="s">
        <v>686</v>
      </c>
      <c r="B162" s="11" t="s">
        <v>687</v>
      </c>
      <c r="C162" s="12">
        <v>45489</v>
      </c>
      <c r="D162" s="11" t="s">
        <v>501</v>
      </c>
      <c r="E162" s="11" t="s">
        <v>502</v>
      </c>
      <c r="F162" s="11" t="s">
        <v>502</v>
      </c>
      <c r="G162" s="13">
        <v>275</v>
      </c>
      <c r="I162" s="13">
        <v>27101.902999999998</v>
      </c>
    </row>
    <row r="163" spans="1:9" ht="12.75" customHeight="1" x14ac:dyDescent="0.25">
      <c r="A163" s="11" t="s">
        <v>686</v>
      </c>
      <c r="B163" s="11" t="s">
        <v>687</v>
      </c>
      <c r="C163" s="12">
        <v>45762</v>
      </c>
      <c r="D163" s="11" t="s">
        <v>501</v>
      </c>
      <c r="E163" s="11" t="s">
        <v>502</v>
      </c>
      <c r="F163" s="11" t="s">
        <v>502</v>
      </c>
      <c r="G163" s="13">
        <v>354</v>
      </c>
      <c r="I163" s="13">
        <v>27455.902999999998</v>
      </c>
    </row>
    <row r="165" spans="1:9" ht="12.75" customHeight="1" x14ac:dyDescent="0.25">
      <c r="A165" s="11" t="s">
        <v>688</v>
      </c>
      <c r="B165" s="11" t="s">
        <v>689</v>
      </c>
      <c r="C165" s="12">
        <v>45489</v>
      </c>
      <c r="D165" s="11" t="s">
        <v>501</v>
      </c>
      <c r="E165" s="11" t="s">
        <v>502</v>
      </c>
      <c r="F165" s="11" t="s">
        <v>502</v>
      </c>
      <c r="G165" s="13">
        <v>250</v>
      </c>
      <c r="I165" s="13">
        <v>24628.623</v>
      </c>
    </row>
    <row r="166" spans="1:9" ht="12.75" customHeight="1" x14ac:dyDescent="0.25">
      <c r="A166" s="11" t="s">
        <v>688</v>
      </c>
      <c r="B166" s="11" t="s">
        <v>689</v>
      </c>
      <c r="C166" s="12">
        <v>45762</v>
      </c>
      <c r="D166" s="11" t="s">
        <v>501</v>
      </c>
      <c r="E166" s="11" t="s">
        <v>502</v>
      </c>
      <c r="F166" s="11" t="s">
        <v>502</v>
      </c>
      <c r="G166" s="13">
        <v>322</v>
      </c>
      <c r="I166" s="13">
        <v>24950.623</v>
      </c>
    </row>
    <row r="168" spans="1:9" ht="12.75" customHeight="1" x14ac:dyDescent="0.25">
      <c r="A168" s="11" t="s">
        <v>690</v>
      </c>
      <c r="B168" s="11" t="s">
        <v>691</v>
      </c>
      <c r="C168" s="12">
        <v>45489</v>
      </c>
      <c r="D168" s="11" t="s">
        <v>501</v>
      </c>
      <c r="E168" s="11" t="s">
        <v>502</v>
      </c>
      <c r="F168" s="11" t="s">
        <v>502</v>
      </c>
      <c r="G168" s="13">
        <v>248</v>
      </c>
      <c r="I168" s="13">
        <v>24482.826999999997</v>
      </c>
    </row>
    <row r="169" spans="1:9" ht="12.75" customHeight="1" x14ac:dyDescent="0.25">
      <c r="A169" s="11" t="s">
        <v>690</v>
      </c>
      <c r="B169" s="11" t="s">
        <v>691</v>
      </c>
      <c r="C169" s="12">
        <v>45762</v>
      </c>
      <c r="D169" s="11" t="s">
        <v>501</v>
      </c>
      <c r="E169" s="11" t="s">
        <v>502</v>
      </c>
      <c r="F169" s="11" t="s">
        <v>502</v>
      </c>
      <c r="G169" s="13">
        <v>320</v>
      </c>
      <c r="I169" s="13">
        <v>24802.826999999997</v>
      </c>
    </row>
    <row r="171" spans="1:9" ht="12.75" customHeight="1" x14ac:dyDescent="0.25">
      <c r="A171" s="11" t="s">
        <v>692</v>
      </c>
      <c r="B171" s="11" t="s">
        <v>693</v>
      </c>
      <c r="C171" s="12">
        <v>45539</v>
      </c>
      <c r="D171" s="11" t="s">
        <v>655</v>
      </c>
      <c r="E171" s="11" t="s">
        <v>694</v>
      </c>
      <c r="F171" s="11" t="s">
        <v>695</v>
      </c>
      <c r="G171" s="13">
        <v>8000</v>
      </c>
      <c r="I171" s="13">
        <v>8000</v>
      </c>
    </row>
    <row r="172" spans="1:9" ht="12.75" customHeight="1" x14ac:dyDescent="0.25">
      <c r="A172" s="11" t="s">
        <v>692</v>
      </c>
      <c r="B172" s="11" t="s">
        <v>693</v>
      </c>
      <c r="C172" s="12">
        <v>45679</v>
      </c>
      <c r="D172" s="11" t="s">
        <v>655</v>
      </c>
      <c r="E172" s="11" t="s">
        <v>696</v>
      </c>
      <c r="F172" s="11" t="s">
        <v>697</v>
      </c>
      <c r="G172" s="13">
        <v>8500</v>
      </c>
      <c r="I172" s="13">
        <v>16500</v>
      </c>
    </row>
    <row r="173" spans="1:9" ht="12.75" customHeight="1" x14ac:dyDescent="0.25">
      <c r="A173" s="11" t="s">
        <v>692</v>
      </c>
      <c r="B173" s="11" t="s">
        <v>693</v>
      </c>
      <c r="C173" s="12">
        <v>45716</v>
      </c>
      <c r="D173" s="11" t="s">
        <v>501</v>
      </c>
      <c r="E173" s="11" t="s">
        <v>698</v>
      </c>
      <c r="F173" s="11" t="s">
        <v>699</v>
      </c>
      <c r="G173" s="13">
        <v>3250</v>
      </c>
      <c r="I173" s="13">
        <v>19750</v>
      </c>
    </row>
    <row r="174" spans="1:9" ht="12.75" customHeight="1" x14ac:dyDescent="0.25">
      <c r="A174" s="11" t="s">
        <v>692</v>
      </c>
      <c r="B174" s="11" t="s">
        <v>693</v>
      </c>
      <c r="C174" s="12">
        <v>45751</v>
      </c>
      <c r="D174" s="11" t="s">
        <v>501</v>
      </c>
      <c r="E174" s="11" t="s">
        <v>700</v>
      </c>
      <c r="F174" s="11" t="s">
        <v>701</v>
      </c>
      <c r="G174" s="13">
        <v>4062.5</v>
      </c>
      <c r="H174" s="11" t="s">
        <v>523</v>
      </c>
      <c r="I174" s="13">
        <v>23812.5</v>
      </c>
    </row>
    <row r="175" spans="1:9" ht="12.75" customHeight="1" x14ac:dyDescent="0.25">
      <c r="A175" s="11" t="s">
        <v>692</v>
      </c>
      <c r="B175" s="11" t="s">
        <v>693</v>
      </c>
      <c r="C175" s="12">
        <v>45762</v>
      </c>
      <c r="D175" s="11" t="s">
        <v>501</v>
      </c>
      <c r="E175" s="11" t="s">
        <v>502</v>
      </c>
      <c r="F175" s="11" t="s">
        <v>502</v>
      </c>
      <c r="G175" s="13">
        <v>301</v>
      </c>
      <c r="I175" s="13">
        <v>24113.5</v>
      </c>
    </row>
    <row r="176" spans="1:9" ht="12.75" customHeight="1" x14ac:dyDescent="0.25">
      <c r="A176" s="11" t="s">
        <v>692</v>
      </c>
      <c r="B176" s="11" t="s">
        <v>693</v>
      </c>
      <c r="C176" s="12">
        <v>45834</v>
      </c>
      <c r="D176" s="11" t="s">
        <v>501</v>
      </c>
      <c r="E176" s="11" t="s">
        <v>702</v>
      </c>
      <c r="F176" s="11" t="s">
        <v>703</v>
      </c>
      <c r="G176" s="13">
        <v>3250</v>
      </c>
      <c r="I176" s="13">
        <v>27363.5</v>
      </c>
    </row>
    <row r="177" spans="1:9" ht="12.75" customHeight="1" x14ac:dyDescent="0.25">
      <c r="A177" s="11" t="s">
        <v>692</v>
      </c>
      <c r="B177" s="11" t="s">
        <v>693</v>
      </c>
      <c r="C177" s="12">
        <v>45862</v>
      </c>
      <c r="D177" s="11" t="s">
        <v>501</v>
      </c>
      <c r="E177" s="11" t="s">
        <v>704</v>
      </c>
      <c r="F177" s="11" t="s">
        <v>705</v>
      </c>
      <c r="G177" s="13">
        <v>3749.998</v>
      </c>
      <c r="H177" s="11" t="s">
        <v>523</v>
      </c>
      <c r="I177" s="13">
        <v>31113.498</v>
      </c>
    </row>
    <row r="179" spans="1:9" ht="12.75" customHeight="1" x14ac:dyDescent="0.25">
      <c r="A179" s="11" t="s">
        <v>706</v>
      </c>
      <c r="B179" s="11" t="s">
        <v>707</v>
      </c>
      <c r="C179" s="12">
        <v>45489</v>
      </c>
      <c r="D179" s="11" t="s">
        <v>501</v>
      </c>
      <c r="E179" s="11" t="s">
        <v>502</v>
      </c>
      <c r="F179" s="11" t="s">
        <v>502</v>
      </c>
      <c r="G179" s="13">
        <v>271</v>
      </c>
      <c r="I179" s="13">
        <v>26720.098999999998</v>
      </c>
    </row>
    <row r="180" spans="1:9" ht="12.75" customHeight="1" x14ac:dyDescent="0.25">
      <c r="A180" s="11" t="s">
        <v>706</v>
      </c>
      <c r="B180" s="11" t="s">
        <v>707</v>
      </c>
      <c r="C180" s="12">
        <v>45762</v>
      </c>
      <c r="D180" s="11" t="s">
        <v>501</v>
      </c>
      <c r="E180" s="11" t="s">
        <v>502</v>
      </c>
      <c r="F180" s="11" t="s">
        <v>502</v>
      </c>
      <c r="G180" s="13">
        <v>349</v>
      </c>
      <c r="I180" s="13">
        <v>27069.098999999998</v>
      </c>
    </row>
    <row r="182" spans="1:9" ht="12.75" customHeight="1" x14ac:dyDescent="0.25">
      <c r="A182" s="11" t="s">
        <v>708</v>
      </c>
      <c r="B182" s="11" t="s">
        <v>709</v>
      </c>
      <c r="C182" s="12">
        <v>45489</v>
      </c>
      <c r="D182" s="11" t="s">
        <v>501</v>
      </c>
      <c r="E182" s="11" t="s">
        <v>502</v>
      </c>
      <c r="F182" s="11" t="s">
        <v>502</v>
      </c>
      <c r="G182" s="13">
        <v>347</v>
      </c>
      <c r="I182" s="13">
        <v>34164.166999999994</v>
      </c>
    </row>
    <row r="183" spans="1:9" ht="12.75" customHeight="1" x14ac:dyDescent="0.25">
      <c r="A183" s="11" t="s">
        <v>708</v>
      </c>
      <c r="B183" s="11" t="s">
        <v>709</v>
      </c>
      <c r="C183" s="12">
        <v>45762</v>
      </c>
      <c r="D183" s="11" t="s">
        <v>501</v>
      </c>
      <c r="E183" s="11" t="s">
        <v>502</v>
      </c>
      <c r="F183" s="11" t="s">
        <v>502</v>
      </c>
      <c r="G183" s="13">
        <v>446</v>
      </c>
      <c r="I183" s="13">
        <v>34610.166999999994</v>
      </c>
    </row>
    <row r="185" spans="1:9" ht="12.75" customHeight="1" x14ac:dyDescent="0.25">
      <c r="A185" s="11" t="s">
        <v>710</v>
      </c>
      <c r="B185" s="11" t="s">
        <v>711</v>
      </c>
      <c r="C185" s="12">
        <v>45489</v>
      </c>
      <c r="D185" s="11" t="s">
        <v>501</v>
      </c>
      <c r="E185" s="11" t="s">
        <v>502</v>
      </c>
      <c r="F185" s="11" t="s">
        <v>502</v>
      </c>
      <c r="G185" s="13">
        <v>291</v>
      </c>
      <c r="I185" s="13">
        <v>28645.282000000007</v>
      </c>
    </row>
    <row r="186" spans="1:9" ht="12.75" customHeight="1" x14ac:dyDescent="0.25">
      <c r="A186" s="11" t="s">
        <v>710</v>
      </c>
      <c r="B186" s="11" t="s">
        <v>711</v>
      </c>
      <c r="C186" s="12">
        <v>45762</v>
      </c>
      <c r="D186" s="11" t="s">
        <v>501</v>
      </c>
      <c r="E186" s="11" t="s">
        <v>502</v>
      </c>
      <c r="F186" s="11" t="s">
        <v>502</v>
      </c>
      <c r="G186" s="13">
        <v>374</v>
      </c>
      <c r="I186" s="13">
        <v>29019.282000000007</v>
      </c>
    </row>
    <row r="188" spans="1:9" ht="12.75" customHeight="1" x14ac:dyDescent="0.25">
      <c r="A188" s="11" t="s">
        <v>712</v>
      </c>
      <c r="B188" s="11" t="s">
        <v>713</v>
      </c>
      <c r="C188" s="12">
        <v>45489</v>
      </c>
      <c r="D188" s="11" t="s">
        <v>501</v>
      </c>
      <c r="E188" s="11" t="s">
        <v>502</v>
      </c>
      <c r="F188" s="11" t="s">
        <v>502</v>
      </c>
      <c r="G188" s="13">
        <v>184</v>
      </c>
      <c r="I188" s="13">
        <v>18092.621999999999</v>
      </c>
    </row>
    <row r="189" spans="1:9" ht="12.75" customHeight="1" x14ac:dyDescent="0.25">
      <c r="A189" s="11" t="s">
        <v>712</v>
      </c>
      <c r="B189" s="11" t="s">
        <v>713</v>
      </c>
      <c r="C189" s="12">
        <v>45490</v>
      </c>
      <c r="D189" s="11" t="s">
        <v>501</v>
      </c>
      <c r="E189" s="11" t="s">
        <v>714</v>
      </c>
      <c r="F189" s="11" t="s">
        <v>715</v>
      </c>
      <c r="G189" s="13">
        <v>2812.4989999999998</v>
      </c>
      <c r="H189" s="11" t="s">
        <v>523</v>
      </c>
      <c r="I189" s="13">
        <v>20905.120999999999</v>
      </c>
    </row>
    <row r="190" spans="1:9" ht="12.75" customHeight="1" x14ac:dyDescent="0.25">
      <c r="A190" s="11" t="s">
        <v>712</v>
      </c>
      <c r="B190" s="11" t="s">
        <v>713</v>
      </c>
      <c r="C190" s="12">
        <v>45511</v>
      </c>
      <c r="D190" s="11" t="s">
        <v>501</v>
      </c>
      <c r="E190" s="11" t="s">
        <v>716</v>
      </c>
      <c r="F190" s="11" t="s">
        <v>717</v>
      </c>
      <c r="G190" s="13">
        <v>2499.9989999999998</v>
      </c>
      <c r="H190" s="11" t="s">
        <v>523</v>
      </c>
      <c r="I190" s="13">
        <v>23405.119999999999</v>
      </c>
    </row>
    <row r="191" spans="1:9" ht="12.75" customHeight="1" x14ac:dyDescent="0.25">
      <c r="A191" s="11" t="s">
        <v>712</v>
      </c>
      <c r="B191" s="11" t="s">
        <v>713</v>
      </c>
      <c r="C191" s="12">
        <v>45567</v>
      </c>
      <c r="D191" s="11" t="s">
        <v>501</v>
      </c>
      <c r="E191" s="11" t="s">
        <v>718</v>
      </c>
      <c r="F191" s="11" t="s">
        <v>719</v>
      </c>
      <c r="G191" s="13">
        <v>2812.4980000000005</v>
      </c>
      <c r="H191" s="11" t="s">
        <v>523</v>
      </c>
      <c r="I191" s="13">
        <v>26217.617999999999</v>
      </c>
    </row>
    <row r="192" spans="1:9" ht="12.75" customHeight="1" x14ac:dyDescent="0.25">
      <c r="A192" s="11" t="s">
        <v>712</v>
      </c>
      <c r="B192" s="11" t="s">
        <v>713</v>
      </c>
      <c r="C192" s="12">
        <v>45609</v>
      </c>
      <c r="D192" s="11" t="s">
        <v>501</v>
      </c>
      <c r="E192" s="11" t="s">
        <v>720</v>
      </c>
      <c r="F192" s="11" t="s">
        <v>699</v>
      </c>
      <c r="G192" s="13">
        <v>2261.8690000000001</v>
      </c>
      <c r="H192" s="11" t="s">
        <v>523</v>
      </c>
      <c r="I192" s="13">
        <v>28479.486999999997</v>
      </c>
    </row>
    <row r="193" spans="1:9" ht="12.75" customHeight="1" x14ac:dyDescent="0.25">
      <c r="A193" s="11" t="s">
        <v>712</v>
      </c>
      <c r="B193" s="11" t="s">
        <v>713</v>
      </c>
      <c r="C193" s="12">
        <v>45742</v>
      </c>
      <c r="D193" s="11" t="s">
        <v>501</v>
      </c>
      <c r="E193" s="11" t="s">
        <v>721</v>
      </c>
      <c r="F193" s="11" t="s">
        <v>722</v>
      </c>
      <c r="G193" s="13">
        <v>2000</v>
      </c>
      <c r="I193" s="13">
        <v>30479.486999999997</v>
      </c>
    </row>
    <row r="194" spans="1:9" ht="12.75" customHeight="1" x14ac:dyDescent="0.25">
      <c r="A194" s="11" t="s">
        <v>712</v>
      </c>
      <c r="B194" s="11" t="s">
        <v>713</v>
      </c>
      <c r="C194" s="12">
        <v>45762</v>
      </c>
      <c r="D194" s="11" t="s">
        <v>501</v>
      </c>
      <c r="E194" s="11" t="s">
        <v>502</v>
      </c>
      <c r="F194" s="11" t="s">
        <v>502</v>
      </c>
      <c r="G194" s="13">
        <v>398</v>
      </c>
      <c r="I194" s="13">
        <v>30877.486999999997</v>
      </c>
    </row>
    <row r="195" spans="1:9" ht="12.75" customHeight="1" x14ac:dyDescent="0.25">
      <c r="A195" s="11" t="s">
        <v>712</v>
      </c>
      <c r="B195" s="11" t="s">
        <v>713</v>
      </c>
      <c r="C195" s="12">
        <v>45772</v>
      </c>
      <c r="D195" s="11" t="s">
        <v>501</v>
      </c>
      <c r="E195" s="11" t="s">
        <v>723</v>
      </c>
      <c r="F195" s="11" t="s">
        <v>724</v>
      </c>
      <c r="G195" s="13">
        <v>2187.5</v>
      </c>
      <c r="H195" s="11" t="s">
        <v>523</v>
      </c>
      <c r="I195" s="13">
        <v>33064.986999999994</v>
      </c>
    </row>
    <row r="197" spans="1:9" ht="12.75" customHeight="1" x14ac:dyDescent="0.25">
      <c r="A197" s="11" t="s">
        <v>725</v>
      </c>
      <c r="B197" s="11" t="s">
        <v>726</v>
      </c>
      <c r="C197" s="12">
        <v>45489</v>
      </c>
      <c r="D197" s="11" t="s">
        <v>501</v>
      </c>
      <c r="E197" s="11" t="s">
        <v>502</v>
      </c>
      <c r="F197" s="11" t="s">
        <v>502</v>
      </c>
      <c r="G197" s="13">
        <v>298</v>
      </c>
      <c r="I197" s="13">
        <v>29406.571</v>
      </c>
    </row>
    <row r="198" spans="1:9" ht="12.75" customHeight="1" x14ac:dyDescent="0.25">
      <c r="A198" s="11" t="s">
        <v>725</v>
      </c>
      <c r="B198" s="11" t="s">
        <v>726</v>
      </c>
      <c r="C198" s="12">
        <v>45762</v>
      </c>
      <c r="D198" s="11" t="s">
        <v>501</v>
      </c>
      <c r="E198" s="11" t="s">
        <v>502</v>
      </c>
      <c r="F198" s="11" t="s">
        <v>502</v>
      </c>
      <c r="G198" s="13">
        <v>384</v>
      </c>
      <c r="I198" s="13">
        <v>29790.571</v>
      </c>
    </row>
    <row r="200" spans="1:9" ht="12.75" customHeight="1" x14ac:dyDescent="0.25">
      <c r="A200" s="11" t="s">
        <v>727</v>
      </c>
      <c r="B200" s="11" t="s">
        <v>728</v>
      </c>
      <c r="C200" s="12">
        <v>45489</v>
      </c>
      <c r="D200" s="11" t="s">
        <v>501</v>
      </c>
      <c r="E200" s="11" t="s">
        <v>502</v>
      </c>
      <c r="F200" s="11" t="s">
        <v>502</v>
      </c>
      <c r="G200" s="13">
        <v>301</v>
      </c>
      <c r="I200" s="13">
        <v>29705.408999999996</v>
      </c>
    </row>
    <row r="201" spans="1:9" ht="12.75" customHeight="1" x14ac:dyDescent="0.25">
      <c r="A201" s="11" t="s">
        <v>727</v>
      </c>
      <c r="B201" s="11" t="s">
        <v>728</v>
      </c>
      <c r="C201" s="12">
        <v>45762</v>
      </c>
      <c r="D201" s="11" t="s">
        <v>501</v>
      </c>
      <c r="E201" s="11" t="s">
        <v>502</v>
      </c>
      <c r="F201" s="11" t="s">
        <v>502</v>
      </c>
      <c r="G201" s="13">
        <v>388</v>
      </c>
      <c r="I201" s="13">
        <v>30093.408999999996</v>
      </c>
    </row>
    <row r="203" spans="1:9" ht="12.75" customHeight="1" x14ac:dyDescent="0.25">
      <c r="A203" s="11" t="s">
        <v>729</v>
      </c>
      <c r="B203" s="11" t="s">
        <v>730</v>
      </c>
      <c r="C203" s="12">
        <v>45489</v>
      </c>
      <c r="D203" s="11" t="s">
        <v>501</v>
      </c>
      <c r="E203" s="11" t="s">
        <v>502</v>
      </c>
      <c r="F203" s="11" t="s">
        <v>502</v>
      </c>
      <c r="G203" s="13">
        <v>236</v>
      </c>
      <c r="I203" s="13">
        <v>23218.624</v>
      </c>
    </row>
    <row r="204" spans="1:9" ht="12.75" customHeight="1" x14ac:dyDescent="0.25">
      <c r="A204" s="11" t="s">
        <v>729</v>
      </c>
      <c r="B204" s="11" t="s">
        <v>730</v>
      </c>
      <c r="C204" s="12">
        <v>45762</v>
      </c>
      <c r="D204" s="11" t="s">
        <v>501</v>
      </c>
      <c r="E204" s="11" t="s">
        <v>502</v>
      </c>
      <c r="F204" s="11" t="s">
        <v>502</v>
      </c>
      <c r="G204" s="13">
        <v>303</v>
      </c>
      <c r="I204" s="13">
        <v>23521.624</v>
      </c>
    </row>
    <row r="206" spans="1:9" ht="12.75" customHeight="1" x14ac:dyDescent="0.25">
      <c r="A206" s="11" t="s">
        <v>731</v>
      </c>
      <c r="B206" s="11" t="s">
        <v>732</v>
      </c>
      <c r="C206" s="12">
        <v>45489</v>
      </c>
      <c r="D206" s="11" t="s">
        <v>501</v>
      </c>
      <c r="E206" s="11" t="s">
        <v>502</v>
      </c>
      <c r="F206" s="11" t="s">
        <v>502</v>
      </c>
      <c r="G206" s="13">
        <v>258</v>
      </c>
      <c r="I206" s="13">
        <v>25382.238999999998</v>
      </c>
    </row>
    <row r="207" spans="1:9" ht="12.75" customHeight="1" x14ac:dyDescent="0.25">
      <c r="A207" s="11" t="s">
        <v>731</v>
      </c>
      <c r="B207" s="11" t="s">
        <v>732</v>
      </c>
      <c r="C207" s="12">
        <v>45762</v>
      </c>
      <c r="D207" s="11" t="s">
        <v>501</v>
      </c>
      <c r="E207" s="11" t="s">
        <v>502</v>
      </c>
      <c r="F207" s="11" t="s">
        <v>502</v>
      </c>
      <c r="G207" s="13">
        <v>332</v>
      </c>
      <c r="I207" s="13">
        <v>25714.238999999998</v>
      </c>
    </row>
    <row r="208" spans="1:9" ht="12.75" customHeight="1" x14ac:dyDescent="0.25">
      <c r="A208" s="11" t="s">
        <v>731</v>
      </c>
      <c r="B208" s="11" t="s">
        <v>732</v>
      </c>
      <c r="C208" s="12">
        <v>45835</v>
      </c>
      <c r="D208" s="11" t="s">
        <v>501</v>
      </c>
      <c r="E208" s="11" t="s">
        <v>733</v>
      </c>
      <c r="F208" s="11" t="s">
        <v>734</v>
      </c>
      <c r="G208" s="13">
        <v>1000</v>
      </c>
      <c r="I208" s="13">
        <v>26714.238999999998</v>
      </c>
    </row>
    <row r="210" spans="1:9" ht="12.75" customHeight="1" x14ac:dyDescent="0.25">
      <c r="A210" s="11" t="s">
        <v>735</v>
      </c>
      <c r="B210" s="11" t="s">
        <v>736</v>
      </c>
      <c r="C210" s="12">
        <v>45489</v>
      </c>
      <c r="D210" s="11" t="s">
        <v>501</v>
      </c>
      <c r="E210" s="11" t="s">
        <v>502</v>
      </c>
      <c r="F210" s="11" t="s">
        <v>502</v>
      </c>
      <c r="G210" s="13">
        <v>264</v>
      </c>
      <c r="I210" s="13">
        <v>25985.428000000004</v>
      </c>
    </row>
    <row r="211" spans="1:9" ht="12.75" customHeight="1" x14ac:dyDescent="0.25">
      <c r="A211" s="11" t="s">
        <v>735</v>
      </c>
      <c r="B211" s="11" t="s">
        <v>736</v>
      </c>
      <c r="C211" s="12">
        <v>45762</v>
      </c>
      <c r="D211" s="11" t="s">
        <v>501</v>
      </c>
      <c r="E211" s="11" t="s">
        <v>502</v>
      </c>
      <c r="F211" s="11" t="s">
        <v>502</v>
      </c>
      <c r="G211" s="13">
        <v>340</v>
      </c>
      <c r="I211" s="13">
        <v>26325.428000000004</v>
      </c>
    </row>
    <row r="213" spans="1:9" ht="12.75" customHeight="1" x14ac:dyDescent="0.25">
      <c r="A213" s="11" t="s">
        <v>737</v>
      </c>
      <c r="B213" s="11" t="s">
        <v>738</v>
      </c>
      <c r="C213" s="12">
        <v>45489</v>
      </c>
      <c r="D213" s="11" t="s">
        <v>501</v>
      </c>
      <c r="E213" s="11" t="s">
        <v>502</v>
      </c>
      <c r="F213" s="11" t="s">
        <v>502</v>
      </c>
      <c r="G213" s="13">
        <v>310</v>
      </c>
      <c r="I213" s="13">
        <v>30533.767000000003</v>
      </c>
    </row>
    <row r="214" spans="1:9" ht="12.75" customHeight="1" x14ac:dyDescent="0.25">
      <c r="A214" s="11" t="s">
        <v>737</v>
      </c>
      <c r="B214" s="11" t="s">
        <v>738</v>
      </c>
      <c r="C214" s="12">
        <v>45762</v>
      </c>
      <c r="D214" s="11" t="s">
        <v>501</v>
      </c>
      <c r="E214" s="11" t="s">
        <v>502</v>
      </c>
      <c r="F214" s="11" t="s">
        <v>502</v>
      </c>
      <c r="G214" s="13">
        <v>399</v>
      </c>
      <c r="I214" s="13">
        <v>30932.767000000003</v>
      </c>
    </row>
    <row r="216" spans="1:9" ht="12.75" customHeight="1" x14ac:dyDescent="0.25">
      <c r="A216" s="11" t="s">
        <v>739</v>
      </c>
      <c r="B216" s="11" t="s">
        <v>740</v>
      </c>
      <c r="C216" s="12">
        <v>45489</v>
      </c>
      <c r="D216" s="11" t="s">
        <v>501</v>
      </c>
      <c r="E216" s="11" t="s">
        <v>502</v>
      </c>
      <c r="F216" s="11" t="s">
        <v>502</v>
      </c>
      <c r="G216" s="13">
        <v>216</v>
      </c>
      <c r="I216" s="13">
        <v>21263.402000000002</v>
      </c>
    </row>
    <row r="217" spans="1:9" ht="12.75" customHeight="1" x14ac:dyDescent="0.25">
      <c r="A217" s="11" t="s">
        <v>739</v>
      </c>
      <c r="B217" s="11" t="s">
        <v>740</v>
      </c>
      <c r="C217" s="12">
        <v>45762</v>
      </c>
      <c r="D217" s="11" t="s">
        <v>501</v>
      </c>
      <c r="E217" s="11" t="s">
        <v>502</v>
      </c>
      <c r="F217" s="11" t="s">
        <v>502</v>
      </c>
      <c r="G217" s="13">
        <v>278</v>
      </c>
      <c r="I217" s="13">
        <v>21541.402000000002</v>
      </c>
    </row>
    <row r="219" spans="1:9" ht="12.75" customHeight="1" x14ac:dyDescent="0.25">
      <c r="A219" s="11" t="s">
        <v>741</v>
      </c>
      <c r="B219" s="11" t="s">
        <v>742</v>
      </c>
      <c r="C219" s="12">
        <v>45489</v>
      </c>
      <c r="D219" s="11" t="s">
        <v>501</v>
      </c>
      <c r="E219" s="11" t="s">
        <v>502</v>
      </c>
      <c r="F219" s="11" t="s">
        <v>502</v>
      </c>
      <c r="G219" s="13">
        <v>327</v>
      </c>
      <c r="I219" s="13">
        <v>32242.870999999996</v>
      </c>
    </row>
    <row r="220" spans="1:9" ht="12.75" customHeight="1" x14ac:dyDescent="0.25">
      <c r="A220" s="11" t="s">
        <v>741</v>
      </c>
      <c r="B220" s="11" t="s">
        <v>742</v>
      </c>
      <c r="C220" s="12">
        <v>45762</v>
      </c>
      <c r="D220" s="11" t="s">
        <v>501</v>
      </c>
      <c r="E220" s="11" t="s">
        <v>502</v>
      </c>
      <c r="F220" s="11" t="s">
        <v>502</v>
      </c>
      <c r="G220" s="13">
        <v>421</v>
      </c>
      <c r="I220" s="13">
        <v>32663.870999999996</v>
      </c>
    </row>
    <row r="222" spans="1:9" ht="12.75" customHeight="1" x14ac:dyDescent="0.25">
      <c r="A222" s="11" t="s">
        <v>743</v>
      </c>
      <c r="B222" s="11" t="s">
        <v>744</v>
      </c>
      <c r="C222" s="12">
        <v>45489</v>
      </c>
      <c r="D222" s="11" t="s">
        <v>501</v>
      </c>
      <c r="E222" s="11" t="s">
        <v>502</v>
      </c>
      <c r="F222" s="11" t="s">
        <v>502</v>
      </c>
      <c r="G222" s="13">
        <v>296</v>
      </c>
      <c r="I222" s="13">
        <v>29157.746999999996</v>
      </c>
    </row>
    <row r="223" spans="1:9" ht="12.75" customHeight="1" x14ac:dyDescent="0.25">
      <c r="A223" s="11" t="s">
        <v>743</v>
      </c>
      <c r="B223" s="11" t="s">
        <v>744</v>
      </c>
      <c r="C223" s="12">
        <v>45762</v>
      </c>
      <c r="D223" s="11" t="s">
        <v>501</v>
      </c>
      <c r="E223" s="11" t="s">
        <v>502</v>
      </c>
      <c r="F223" s="11" t="s">
        <v>502</v>
      </c>
      <c r="G223" s="13">
        <v>381</v>
      </c>
      <c r="I223" s="13">
        <v>29538.746999999996</v>
      </c>
    </row>
    <row r="225" spans="1:9" ht="12.75" customHeight="1" x14ac:dyDescent="0.25">
      <c r="A225" s="11" t="s">
        <v>745</v>
      </c>
      <c r="B225" s="11" t="s">
        <v>746</v>
      </c>
      <c r="C225" s="12">
        <v>45489</v>
      </c>
      <c r="D225" s="11" t="s">
        <v>501</v>
      </c>
      <c r="E225" s="11" t="s">
        <v>502</v>
      </c>
      <c r="F225" s="11" t="s">
        <v>502</v>
      </c>
      <c r="G225" s="13">
        <v>257</v>
      </c>
      <c r="I225" s="13">
        <v>25371.101000000002</v>
      </c>
    </row>
    <row r="226" spans="1:9" ht="12.75" customHeight="1" x14ac:dyDescent="0.25">
      <c r="A226" s="11" t="s">
        <v>745</v>
      </c>
      <c r="B226" s="11" t="s">
        <v>746</v>
      </c>
      <c r="C226" s="12">
        <v>45762</v>
      </c>
      <c r="D226" s="11" t="s">
        <v>501</v>
      </c>
      <c r="E226" s="11" t="s">
        <v>502</v>
      </c>
      <c r="F226" s="11" t="s">
        <v>502</v>
      </c>
      <c r="G226" s="13">
        <v>332</v>
      </c>
      <c r="I226" s="13">
        <v>25703.101000000002</v>
      </c>
    </row>
    <row r="227" spans="1:9" ht="12.75" customHeight="1" x14ac:dyDescent="0.25">
      <c r="A227" s="11" t="s">
        <v>745</v>
      </c>
      <c r="B227" s="11" t="s">
        <v>746</v>
      </c>
      <c r="C227" s="12">
        <v>45869</v>
      </c>
      <c r="D227" s="11" t="s">
        <v>501</v>
      </c>
      <c r="E227" s="11" t="s">
        <v>747</v>
      </c>
      <c r="F227" s="11" t="s">
        <v>748</v>
      </c>
      <c r="G227" s="13">
        <v>300</v>
      </c>
      <c r="I227" s="13">
        <v>26003.101000000002</v>
      </c>
    </row>
    <row r="229" spans="1:9" ht="12.75" customHeight="1" x14ac:dyDescent="0.25">
      <c r="A229" s="11" t="s">
        <v>749</v>
      </c>
      <c r="B229" s="11" t="s">
        <v>750</v>
      </c>
      <c r="C229" s="12">
        <v>45489</v>
      </c>
      <c r="D229" s="11" t="s">
        <v>501</v>
      </c>
      <c r="E229" s="11" t="s">
        <v>502</v>
      </c>
      <c r="F229" s="11" t="s">
        <v>502</v>
      </c>
      <c r="G229" s="13">
        <v>227</v>
      </c>
      <c r="I229" s="13">
        <v>22331</v>
      </c>
    </row>
    <row r="230" spans="1:9" ht="12.75" customHeight="1" x14ac:dyDescent="0.25">
      <c r="A230" s="11" t="s">
        <v>749</v>
      </c>
      <c r="B230" s="11" t="s">
        <v>750</v>
      </c>
      <c r="C230" s="12">
        <v>45597</v>
      </c>
      <c r="D230" s="11" t="s">
        <v>501</v>
      </c>
      <c r="E230" s="11" t="s">
        <v>751</v>
      </c>
      <c r="F230" s="11" t="s">
        <v>752</v>
      </c>
      <c r="G230" s="13">
        <v>2250</v>
      </c>
      <c r="I230" s="13">
        <v>24581</v>
      </c>
    </row>
    <row r="231" spans="1:9" ht="12.75" customHeight="1" x14ac:dyDescent="0.25">
      <c r="A231" s="11" t="s">
        <v>749</v>
      </c>
      <c r="B231" s="11" t="s">
        <v>750</v>
      </c>
      <c r="C231" s="12">
        <v>45694</v>
      </c>
      <c r="D231" s="11" t="s">
        <v>501</v>
      </c>
      <c r="E231" s="11" t="s">
        <v>753</v>
      </c>
      <c r="F231" s="11" t="s">
        <v>754</v>
      </c>
      <c r="G231" s="13">
        <v>2000</v>
      </c>
      <c r="I231" s="13">
        <v>26581</v>
      </c>
    </row>
    <row r="232" spans="1:9" ht="12.75" customHeight="1" x14ac:dyDescent="0.25">
      <c r="A232" s="11" t="s">
        <v>749</v>
      </c>
      <c r="B232" s="11" t="s">
        <v>750</v>
      </c>
      <c r="C232" s="12">
        <v>45762</v>
      </c>
      <c r="D232" s="11" t="s">
        <v>501</v>
      </c>
      <c r="E232" s="11" t="s">
        <v>502</v>
      </c>
      <c r="F232" s="11" t="s">
        <v>502</v>
      </c>
      <c r="G232" s="13">
        <v>347</v>
      </c>
      <c r="I232" s="13">
        <v>26928</v>
      </c>
    </row>
    <row r="233" spans="1:9" ht="12.75" customHeight="1" x14ac:dyDescent="0.25">
      <c r="A233" s="11" t="s">
        <v>749</v>
      </c>
      <c r="B233" s="11" t="s">
        <v>750</v>
      </c>
      <c r="C233" s="12">
        <v>45840</v>
      </c>
      <c r="D233" s="11" t="s">
        <v>501</v>
      </c>
      <c r="E233" s="11" t="s">
        <v>755</v>
      </c>
      <c r="F233" s="11" t="s">
        <v>756</v>
      </c>
      <c r="G233" s="13">
        <v>2000</v>
      </c>
      <c r="I233" s="13">
        <v>28928</v>
      </c>
    </row>
    <row r="235" spans="1:9" ht="12.75" customHeight="1" x14ac:dyDescent="0.25">
      <c r="A235" s="11" t="s">
        <v>757</v>
      </c>
      <c r="B235" s="11" t="s">
        <v>758</v>
      </c>
      <c r="C235" s="12">
        <v>45489</v>
      </c>
      <c r="D235" s="11" t="s">
        <v>501</v>
      </c>
      <c r="E235" s="11" t="s">
        <v>502</v>
      </c>
      <c r="F235" s="11" t="s">
        <v>502</v>
      </c>
      <c r="G235" s="13">
        <v>283</v>
      </c>
      <c r="I235" s="13">
        <v>27922.997000000003</v>
      </c>
    </row>
    <row r="236" spans="1:9" ht="12.75" customHeight="1" x14ac:dyDescent="0.25">
      <c r="A236" s="11" t="s">
        <v>757</v>
      </c>
      <c r="B236" s="11" t="s">
        <v>758</v>
      </c>
      <c r="C236" s="12">
        <v>45762</v>
      </c>
      <c r="D236" s="11" t="s">
        <v>501</v>
      </c>
      <c r="E236" s="11" t="s">
        <v>502</v>
      </c>
      <c r="F236" s="11" t="s">
        <v>502</v>
      </c>
      <c r="G236" s="13">
        <v>365</v>
      </c>
      <c r="I236" s="13">
        <v>28287.997000000003</v>
      </c>
    </row>
    <row r="238" spans="1:9" ht="12.75" customHeight="1" x14ac:dyDescent="0.25">
      <c r="A238" s="11" t="s">
        <v>759</v>
      </c>
      <c r="B238" s="11" t="s">
        <v>760</v>
      </c>
      <c r="C238" s="12">
        <v>45489</v>
      </c>
      <c r="D238" s="11" t="s">
        <v>501</v>
      </c>
      <c r="E238" s="11" t="s">
        <v>502</v>
      </c>
      <c r="F238" s="11" t="s">
        <v>502</v>
      </c>
      <c r="G238" s="13">
        <v>131</v>
      </c>
      <c r="I238" s="13">
        <v>12881</v>
      </c>
    </row>
    <row r="239" spans="1:9" ht="12.75" customHeight="1" x14ac:dyDescent="0.25">
      <c r="A239" s="11" t="s">
        <v>759</v>
      </c>
      <c r="B239" s="11" t="s">
        <v>760</v>
      </c>
      <c r="C239" s="12">
        <v>45498</v>
      </c>
      <c r="D239" s="11" t="s">
        <v>501</v>
      </c>
      <c r="E239" s="11" t="s">
        <v>761</v>
      </c>
      <c r="F239" s="11" t="s">
        <v>667</v>
      </c>
      <c r="G239" s="13">
        <v>2575.2490000000003</v>
      </c>
      <c r="H239" s="11" t="s">
        <v>523</v>
      </c>
      <c r="I239" s="13">
        <v>15456.249</v>
      </c>
    </row>
    <row r="240" spans="1:9" ht="12.75" customHeight="1" x14ac:dyDescent="0.25">
      <c r="A240" s="11" t="s">
        <v>759</v>
      </c>
      <c r="B240" s="11" t="s">
        <v>760</v>
      </c>
      <c r="C240" s="12">
        <v>45553</v>
      </c>
      <c r="D240" s="11" t="s">
        <v>501</v>
      </c>
      <c r="E240" s="11" t="s">
        <v>762</v>
      </c>
      <c r="F240" s="11" t="s">
        <v>763</v>
      </c>
      <c r="G240" s="13">
        <v>2747.75</v>
      </c>
      <c r="H240" s="11" t="s">
        <v>523</v>
      </c>
      <c r="I240" s="13">
        <v>18203.999</v>
      </c>
    </row>
    <row r="241" spans="1:9" ht="12.75" customHeight="1" x14ac:dyDescent="0.25">
      <c r="A241" s="11" t="s">
        <v>759</v>
      </c>
      <c r="B241" s="11" t="s">
        <v>760</v>
      </c>
      <c r="C241" s="12">
        <v>45581</v>
      </c>
      <c r="D241" s="11" t="s">
        <v>501</v>
      </c>
      <c r="E241" s="11" t="s">
        <v>764</v>
      </c>
      <c r="F241" s="11" t="s">
        <v>765</v>
      </c>
      <c r="G241" s="13">
        <v>2812.4989999999998</v>
      </c>
      <c r="H241" s="11" t="s">
        <v>523</v>
      </c>
      <c r="I241" s="13">
        <v>21016.498</v>
      </c>
    </row>
    <row r="242" spans="1:9" ht="12.75" customHeight="1" x14ac:dyDescent="0.25">
      <c r="A242" s="11" t="s">
        <v>759</v>
      </c>
      <c r="B242" s="11" t="s">
        <v>760</v>
      </c>
      <c r="C242" s="12">
        <v>45630</v>
      </c>
      <c r="D242" s="11" t="s">
        <v>501</v>
      </c>
      <c r="E242" s="11" t="s">
        <v>766</v>
      </c>
      <c r="F242" s="11" t="s">
        <v>767</v>
      </c>
      <c r="G242" s="13">
        <v>2812.5</v>
      </c>
      <c r="H242" s="11" t="s">
        <v>523</v>
      </c>
      <c r="I242" s="13">
        <v>23828.998</v>
      </c>
    </row>
    <row r="243" spans="1:9" ht="12.75" customHeight="1" x14ac:dyDescent="0.25">
      <c r="A243" s="11" t="s">
        <v>759</v>
      </c>
      <c r="B243" s="11" t="s">
        <v>760</v>
      </c>
      <c r="C243" s="12">
        <v>45665</v>
      </c>
      <c r="D243" s="11" t="s">
        <v>501</v>
      </c>
      <c r="E243" s="11" t="s">
        <v>768</v>
      </c>
      <c r="F243" s="11" t="s">
        <v>769</v>
      </c>
      <c r="G243" s="13">
        <v>2266.875</v>
      </c>
      <c r="H243" s="11" t="s">
        <v>523</v>
      </c>
      <c r="I243" s="13">
        <v>26095.873</v>
      </c>
    </row>
    <row r="244" spans="1:9" ht="12.75" customHeight="1" x14ac:dyDescent="0.25">
      <c r="A244" s="11" t="s">
        <v>759</v>
      </c>
      <c r="B244" s="11" t="s">
        <v>760</v>
      </c>
      <c r="C244" s="12">
        <v>45721</v>
      </c>
      <c r="D244" s="11" t="s">
        <v>501</v>
      </c>
      <c r="E244" s="11" t="s">
        <v>770</v>
      </c>
      <c r="F244" s="11" t="s">
        <v>771</v>
      </c>
      <c r="G244" s="13">
        <v>2812.4980000000005</v>
      </c>
      <c r="H244" s="11" t="s">
        <v>523</v>
      </c>
      <c r="I244" s="13">
        <v>28908.370999999996</v>
      </c>
    </row>
    <row r="245" spans="1:9" ht="12.75" customHeight="1" x14ac:dyDescent="0.25">
      <c r="A245" s="11" t="s">
        <v>759</v>
      </c>
      <c r="B245" s="11" t="s">
        <v>760</v>
      </c>
      <c r="C245" s="12">
        <v>45756</v>
      </c>
      <c r="D245" s="11" t="s">
        <v>501</v>
      </c>
      <c r="E245" s="11" t="s">
        <v>772</v>
      </c>
      <c r="F245" s="11" t="s">
        <v>773</v>
      </c>
      <c r="G245" s="13">
        <v>2812.4989999999998</v>
      </c>
      <c r="H245" s="11" t="s">
        <v>523</v>
      </c>
      <c r="I245" s="13">
        <v>31720.869999999995</v>
      </c>
    </row>
    <row r="246" spans="1:9" ht="12.75" customHeight="1" x14ac:dyDescent="0.25">
      <c r="A246" s="11" t="s">
        <v>759</v>
      </c>
      <c r="B246" s="11" t="s">
        <v>760</v>
      </c>
      <c r="C246" s="12">
        <v>45762</v>
      </c>
      <c r="D246" s="11" t="s">
        <v>501</v>
      </c>
      <c r="E246" s="11" t="s">
        <v>502</v>
      </c>
      <c r="F246" s="11" t="s">
        <v>502</v>
      </c>
      <c r="G246" s="13">
        <v>407</v>
      </c>
      <c r="I246" s="13">
        <v>32127.869999999995</v>
      </c>
    </row>
    <row r="248" spans="1:9" ht="12.75" customHeight="1" x14ac:dyDescent="0.25">
      <c r="A248" s="11" t="s">
        <v>774</v>
      </c>
      <c r="B248" s="11" t="s">
        <v>775</v>
      </c>
      <c r="C248" s="12">
        <v>45489</v>
      </c>
      <c r="D248" s="11" t="s">
        <v>501</v>
      </c>
      <c r="E248" s="11" t="s">
        <v>502</v>
      </c>
      <c r="F248" s="11" t="s">
        <v>502</v>
      </c>
      <c r="G248" s="13">
        <v>252</v>
      </c>
      <c r="I248" s="13">
        <v>24833.057999999997</v>
      </c>
    </row>
    <row r="249" spans="1:9" ht="12.75" customHeight="1" x14ac:dyDescent="0.25">
      <c r="A249" s="11" t="s">
        <v>774</v>
      </c>
      <c r="B249" s="11" t="s">
        <v>775</v>
      </c>
      <c r="C249" s="12">
        <v>45762</v>
      </c>
      <c r="D249" s="11" t="s">
        <v>501</v>
      </c>
      <c r="E249" s="11" t="s">
        <v>502</v>
      </c>
      <c r="F249" s="11" t="s">
        <v>502</v>
      </c>
      <c r="G249" s="13">
        <v>325</v>
      </c>
      <c r="I249" s="13">
        <v>25158.057999999997</v>
      </c>
    </row>
    <row r="251" spans="1:9" ht="12.75" customHeight="1" x14ac:dyDescent="0.25">
      <c r="A251" s="14" t="s">
        <v>776</v>
      </c>
      <c r="B251" s="14" t="s">
        <v>777</v>
      </c>
      <c r="C251" s="15">
        <v>45489</v>
      </c>
      <c r="D251" s="14" t="s">
        <v>501</v>
      </c>
      <c r="E251" s="14" t="s">
        <v>502</v>
      </c>
      <c r="F251" s="14" t="s">
        <v>502</v>
      </c>
      <c r="G251" s="16">
        <v>284</v>
      </c>
      <c r="H251" s="14"/>
      <c r="I251" s="16">
        <v>27955.177000000003</v>
      </c>
    </row>
    <row r="252" spans="1:9" ht="12.75" customHeight="1" x14ac:dyDescent="0.25">
      <c r="A252" s="14" t="s">
        <v>776</v>
      </c>
      <c r="B252" s="14" t="s">
        <v>777</v>
      </c>
      <c r="C252" s="15">
        <v>45762</v>
      </c>
      <c r="D252" s="14" t="s">
        <v>501</v>
      </c>
      <c r="E252" s="14" t="s">
        <v>502</v>
      </c>
      <c r="F252" s="14" t="s">
        <v>502</v>
      </c>
      <c r="G252" s="16">
        <v>365</v>
      </c>
      <c r="H252" s="14"/>
      <c r="I252" s="16">
        <v>28320.177000000003</v>
      </c>
    </row>
    <row r="253" spans="1:9" ht="12.75" customHeight="1" x14ac:dyDescent="0.25">
      <c r="A253" s="14"/>
      <c r="B253" s="14"/>
      <c r="C253" s="14"/>
      <c r="D253" s="14"/>
      <c r="E253" s="14"/>
      <c r="F253" s="14"/>
      <c r="G253" s="14"/>
      <c r="H253" s="14"/>
      <c r="I253" s="14"/>
    </row>
    <row r="254" spans="1:9" ht="12.75" customHeight="1" x14ac:dyDescent="0.25">
      <c r="A254" s="14" t="s">
        <v>778</v>
      </c>
      <c r="B254" s="14" t="s">
        <v>779</v>
      </c>
      <c r="C254" s="15">
        <v>45798</v>
      </c>
      <c r="D254" s="14" t="s">
        <v>655</v>
      </c>
      <c r="E254" s="14" t="s">
        <v>780</v>
      </c>
      <c r="F254" s="14" t="s">
        <v>781</v>
      </c>
      <c r="G254" s="16">
        <v>4000</v>
      </c>
      <c r="H254" s="14"/>
      <c r="I254" s="16">
        <v>4000</v>
      </c>
    </row>
    <row r="255" spans="1:9" ht="12.75" customHeight="1" x14ac:dyDescent="0.25">
      <c r="A255" s="14"/>
      <c r="B255" s="14"/>
      <c r="C255" s="14"/>
      <c r="D255" s="14"/>
      <c r="E255" s="14"/>
      <c r="F255" s="14"/>
      <c r="G255" s="14"/>
      <c r="H255" s="14"/>
      <c r="I255" s="14"/>
    </row>
    <row r="256" spans="1:9" ht="12.75" customHeight="1" x14ac:dyDescent="0.25">
      <c r="A256" s="14" t="s">
        <v>782</v>
      </c>
      <c r="B256" s="14" t="s">
        <v>783</v>
      </c>
      <c r="C256" s="15">
        <v>45489</v>
      </c>
      <c r="D256" s="14" t="s">
        <v>501</v>
      </c>
      <c r="E256" s="14" t="s">
        <v>502</v>
      </c>
      <c r="F256" s="14" t="s">
        <v>502</v>
      </c>
      <c r="G256" s="16">
        <v>315</v>
      </c>
      <c r="H256" s="14"/>
      <c r="I256" s="16">
        <v>31056.492999999999</v>
      </c>
    </row>
    <row r="257" spans="1:9" ht="12.75" customHeight="1" x14ac:dyDescent="0.25">
      <c r="A257" s="14" t="s">
        <v>782</v>
      </c>
      <c r="B257" s="14" t="s">
        <v>783</v>
      </c>
      <c r="C257" s="15">
        <v>45762</v>
      </c>
      <c r="D257" s="14" t="s">
        <v>501</v>
      </c>
      <c r="E257" s="14" t="s">
        <v>502</v>
      </c>
      <c r="F257" s="14" t="s">
        <v>502</v>
      </c>
      <c r="G257" s="16">
        <v>406</v>
      </c>
      <c r="H257" s="14"/>
      <c r="I257" s="16">
        <v>31462.492999999999</v>
      </c>
    </row>
    <row r="258" spans="1:9" ht="12.75" customHeight="1" x14ac:dyDescent="0.25">
      <c r="A258" s="14"/>
      <c r="B258" s="14"/>
      <c r="C258" s="14"/>
      <c r="D258" s="14"/>
      <c r="E258" s="14"/>
      <c r="F258" s="14"/>
      <c r="G258" s="14"/>
      <c r="H258" s="14"/>
      <c r="I258" s="14"/>
    </row>
    <row r="259" spans="1:9" ht="12.75" customHeight="1" x14ac:dyDescent="0.25">
      <c r="A259" s="14" t="s">
        <v>784</v>
      </c>
      <c r="B259" s="14" t="s">
        <v>785</v>
      </c>
      <c r="C259" s="15">
        <v>45489</v>
      </c>
      <c r="D259" s="14" t="s">
        <v>501</v>
      </c>
      <c r="E259" s="14" t="s">
        <v>502</v>
      </c>
      <c r="F259" s="14" t="s">
        <v>502</v>
      </c>
      <c r="G259" s="16">
        <v>258</v>
      </c>
      <c r="H259" s="14"/>
      <c r="I259" s="16">
        <v>25390.409</v>
      </c>
    </row>
    <row r="260" spans="1:9" ht="12.75" customHeight="1" x14ac:dyDescent="0.25">
      <c r="A260" s="14" t="s">
        <v>784</v>
      </c>
      <c r="B260" s="14" t="s">
        <v>785</v>
      </c>
      <c r="C260" s="15">
        <v>45762</v>
      </c>
      <c r="D260" s="14" t="s">
        <v>501</v>
      </c>
      <c r="E260" s="14" t="s">
        <v>502</v>
      </c>
      <c r="F260" s="14" t="s">
        <v>502</v>
      </c>
      <c r="G260" s="16">
        <v>332</v>
      </c>
      <c r="H260" s="14"/>
      <c r="I260" s="16">
        <v>25722.409</v>
      </c>
    </row>
    <row r="261" spans="1:9" ht="12.75" customHeight="1" x14ac:dyDescent="0.25">
      <c r="A261" s="14"/>
      <c r="B261" s="14"/>
      <c r="C261" s="14"/>
      <c r="D261" s="14"/>
      <c r="E261" s="14"/>
      <c r="F261" s="14"/>
      <c r="G261" s="14"/>
      <c r="H261" s="14"/>
      <c r="I261" s="14"/>
    </row>
    <row r="262" spans="1:9" ht="12.75" customHeight="1" x14ac:dyDescent="0.25">
      <c r="A262" s="14" t="s">
        <v>786</v>
      </c>
      <c r="B262" s="14" t="s">
        <v>787</v>
      </c>
      <c r="C262" s="15">
        <v>45489</v>
      </c>
      <c r="D262" s="14" t="s">
        <v>501</v>
      </c>
      <c r="E262" s="14" t="s">
        <v>502</v>
      </c>
      <c r="F262" s="14" t="s">
        <v>502</v>
      </c>
      <c r="G262" s="16">
        <v>265</v>
      </c>
      <c r="H262" s="14"/>
      <c r="I262" s="16">
        <v>26151.249</v>
      </c>
    </row>
    <row r="263" spans="1:9" ht="12.75" customHeight="1" x14ac:dyDescent="0.25">
      <c r="A263" s="14" t="s">
        <v>786</v>
      </c>
      <c r="B263" s="14" t="s">
        <v>787</v>
      </c>
      <c r="C263" s="15">
        <v>45762</v>
      </c>
      <c r="D263" s="14" t="s">
        <v>501</v>
      </c>
      <c r="E263" s="14" t="s">
        <v>502</v>
      </c>
      <c r="F263" s="14" t="s">
        <v>502</v>
      </c>
      <c r="G263" s="16">
        <v>342</v>
      </c>
      <c r="H263" s="14"/>
      <c r="I263" s="16">
        <v>26493.249</v>
      </c>
    </row>
    <row r="264" spans="1:9" ht="12.75" customHeight="1" x14ac:dyDescent="0.25">
      <c r="A264" s="14"/>
      <c r="B264" s="14"/>
      <c r="C264" s="14"/>
      <c r="D264" s="14"/>
      <c r="E264" s="14"/>
      <c r="F264" s="14"/>
      <c r="G264" s="14"/>
      <c r="H264" s="14"/>
      <c r="I264" s="14"/>
    </row>
    <row r="265" spans="1:9" ht="12.75" customHeight="1" x14ac:dyDescent="0.25">
      <c r="A265" s="14" t="s">
        <v>788</v>
      </c>
      <c r="B265" s="14" t="s">
        <v>789</v>
      </c>
      <c r="C265" s="15">
        <v>45489</v>
      </c>
      <c r="D265" s="14" t="s">
        <v>501</v>
      </c>
      <c r="E265" s="14" t="s">
        <v>502</v>
      </c>
      <c r="F265" s="14" t="s">
        <v>502</v>
      </c>
      <c r="G265" s="16">
        <v>150</v>
      </c>
      <c r="H265" s="14"/>
      <c r="I265" s="16">
        <v>14788.499</v>
      </c>
    </row>
    <row r="266" spans="1:9" ht="12.75" customHeight="1" x14ac:dyDescent="0.25">
      <c r="A266" s="14" t="s">
        <v>788</v>
      </c>
      <c r="B266" s="14" t="s">
        <v>789</v>
      </c>
      <c r="C266" s="15">
        <v>45707</v>
      </c>
      <c r="D266" s="14" t="s">
        <v>501</v>
      </c>
      <c r="E266" s="14" t="s">
        <v>790</v>
      </c>
      <c r="F266" s="14" t="s">
        <v>791</v>
      </c>
      <c r="G266" s="16">
        <v>2109.7489999999998</v>
      </c>
      <c r="H266" s="14" t="s">
        <v>523</v>
      </c>
      <c r="I266" s="16">
        <v>16898.248</v>
      </c>
    </row>
    <row r="267" spans="1:9" ht="12.75" customHeight="1" x14ac:dyDescent="0.25">
      <c r="A267" s="14" t="s">
        <v>788</v>
      </c>
      <c r="B267" s="14" t="s">
        <v>789</v>
      </c>
      <c r="C267" s="15">
        <v>45762</v>
      </c>
      <c r="D267" s="14" t="s">
        <v>501</v>
      </c>
      <c r="E267" s="14" t="s">
        <v>502</v>
      </c>
      <c r="F267" s="14" t="s">
        <v>502</v>
      </c>
      <c r="G267" s="16">
        <v>221</v>
      </c>
      <c r="H267" s="14"/>
      <c r="I267" s="16">
        <v>17119.248</v>
      </c>
    </row>
    <row r="268" spans="1:9" ht="12.75" customHeight="1" x14ac:dyDescent="0.25">
      <c r="A268" s="14" t="s">
        <v>788</v>
      </c>
      <c r="B268" s="14" t="s">
        <v>789</v>
      </c>
      <c r="C268" s="15">
        <v>45812</v>
      </c>
      <c r="D268" s="14" t="s">
        <v>501</v>
      </c>
      <c r="E268" s="14" t="s">
        <v>792</v>
      </c>
      <c r="F268" s="14" t="s">
        <v>793</v>
      </c>
      <c r="G268" s="16">
        <v>1419.25</v>
      </c>
      <c r="H268" s="14" t="s">
        <v>523</v>
      </c>
      <c r="I268" s="16">
        <v>18538.498</v>
      </c>
    </row>
    <row r="269" spans="1:9" ht="12.75" customHeight="1" x14ac:dyDescent="0.25">
      <c r="A269" s="14"/>
      <c r="B269" s="14"/>
      <c r="C269" s="14"/>
      <c r="D269" s="14"/>
      <c r="E269" s="14"/>
      <c r="F269" s="14"/>
      <c r="G269" s="14"/>
      <c r="H269" s="14"/>
      <c r="I269" s="14"/>
    </row>
    <row r="270" spans="1:9" ht="12.75" customHeight="1" x14ac:dyDescent="0.25">
      <c r="A270" s="14" t="s">
        <v>794</v>
      </c>
      <c r="B270" s="14" t="s">
        <v>795</v>
      </c>
      <c r="C270" s="15">
        <v>45489</v>
      </c>
      <c r="D270" s="14" t="s">
        <v>501</v>
      </c>
      <c r="E270" s="14" t="s">
        <v>502</v>
      </c>
      <c r="F270" s="14" t="s">
        <v>502</v>
      </c>
      <c r="G270" s="16">
        <v>211</v>
      </c>
      <c r="H270" s="14"/>
      <c r="I270" s="16">
        <v>20785.883999999998</v>
      </c>
    </row>
    <row r="271" spans="1:9" ht="12.75" customHeight="1" x14ac:dyDescent="0.25">
      <c r="A271" s="14" t="s">
        <v>794</v>
      </c>
      <c r="B271" s="14" t="s">
        <v>795</v>
      </c>
      <c r="C271" s="15">
        <v>45762</v>
      </c>
      <c r="D271" s="14" t="s">
        <v>501</v>
      </c>
      <c r="E271" s="14" t="s">
        <v>502</v>
      </c>
      <c r="F271" s="14" t="s">
        <v>502</v>
      </c>
      <c r="G271" s="16">
        <v>272</v>
      </c>
      <c r="H271" s="14"/>
      <c r="I271" s="16">
        <v>21057.883999999998</v>
      </c>
    </row>
    <row r="272" spans="1:9" ht="12.75" customHeight="1" x14ac:dyDescent="0.25">
      <c r="A272" s="14"/>
      <c r="B272" s="14"/>
      <c r="C272" s="14"/>
      <c r="D272" s="14"/>
      <c r="E272" s="14"/>
      <c r="F272" s="14"/>
      <c r="G272" s="14"/>
      <c r="H272" s="14"/>
      <c r="I272" s="14"/>
    </row>
    <row r="273" spans="1:12" ht="12.75" customHeight="1" x14ac:dyDescent="0.25">
      <c r="A273" s="14" t="s">
        <v>796</v>
      </c>
      <c r="B273" s="14" t="s">
        <v>797</v>
      </c>
      <c r="C273" s="15">
        <v>45489</v>
      </c>
      <c r="D273" s="14" t="s">
        <v>501</v>
      </c>
      <c r="E273" s="14" t="s">
        <v>502</v>
      </c>
      <c r="F273" s="14" t="s">
        <v>502</v>
      </c>
      <c r="G273" s="16">
        <v>213</v>
      </c>
      <c r="H273" s="14"/>
      <c r="I273" s="16">
        <v>20956.448</v>
      </c>
    </row>
    <row r="274" spans="1:12" ht="12.75" customHeight="1" x14ac:dyDescent="0.25">
      <c r="A274" s="14" t="s">
        <v>796</v>
      </c>
      <c r="B274" s="14" t="s">
        <v>797</v>
      </c>
      <c r="C274" s="15">
        <v>45762</v>
      </c>
      <c r="D274" s="14" t="s">
        <v>501</v>
      </c>
      <c r="E274" s="14" t="s">
        <v>502</v>
      </c>
      <c r="F274" s="14" t="s">
        <v>502</v>
      </c>
      <c r="G274" s="16">
        <v>274</v>
      </c>
      <c r="H274" s="14"/>
      <c r="I274" s="16">
        <v>21230.447999999997</v>
      </c>
    </row>
    <row r="275" spans="1:12" ht="12.75" customHeight="1" x14ac:dyDescent="0.25">
      <c r="A275" s="14"/>
      <c r="B275" s="14"/>
      <c r="C275" s="14"/>
      <c r="D275" s="14"/>
      <c r="E275" s="14"/>
      <c r="F275" s="14"/>
      <c r="G275" s="14"/>
      <c r="H275" s="14"/>
      <c r="I275" s="14"/>
    </row>
    <row r="276" spans="1:12" ht="12.75" customHeight="1" x14ac:dyDescent="0.25">
      <c r="A276" s="14" t="s">
        <v>798</v>
      </c>
      <c r="B276" s="14" t="s">
        <v>799</v>
      </c>
      <c r="C276" s="15">
        <v>45489</v>
      </c>
      <c r="D276" s="14" t="s">
        <v>501</v>
      </c>
      <c r="E276" s="14" t="s">
        <v>502</v>
      </c>
      <c r="F276" s="14" t="s">
        <v>502</v>
      </c>
      <c r="G276" s="16">
        <v>248</v>
      </c>
      <c r="H276" s="14"/>
      <c r="I276" s="16">
        <v>24406.322999999997</v>
      </c>
    </row>
    <row r="277" spans="1:12" ht="12.75" customHeight="1" x14ac:dyDescent="0.25">
      <c r="A277" s="14" t="s">
        <v>798</v>
      </c>
      <c r="B277" s="14" t="s">
        <v>799</v>
      </c>
      <c r="C277" s="15">
        <v>45762</v>
      </c>
      <c r="D277" s="14" t="s">
        <v>501</v>
      </c>
      <c r="E277" s="14" t="s">
        <v>502</v>
      </c>
      <c r="F277" s="14" t="s">
        <v>502</v>
      </c>
      <c r="G277" s="16">
        <v>319</v>
      </c>
      <c r="H277" s="14"/>
      <c r="I277" s="16">
        <v>24725.322999999997</v>
      </c>
    </row>
    <row r="278" spans="1:12" ht="12.75" customHeight="1" x14ac:dyDescent="0.25">
      <c r="A278" s="14"/>
      <c r="B278" s="14"/>
      <c r="C278" s="14"/>
      <c r="D278" s="14"/>
      <c r="E278" s="14"/>
      <c r="F278" s="14"/>
      <c r="G278" s="14"/>
      <c r="H278" s="14"/>
      <c r="I278" s="14"/>
    </row>
    <row r="279" spans="1:12" ht="12.75" customHeight="1" x14ac:dyDescent="0.25">
      <c r="A279" s="14" t="s">
        <v>800</v>
      </c>
      <c r="B279" s="14" t="s">
        <v>801</v>
      </c>
      <c r="C279" s="15">
        <v>45489</v>
      </c>
      <c r="D279" s="14" t="s">
        <v>501</v>
      </c>
      <c r="E279" s="14" t="s">
        <v>502</v>
      </c>
      <c r="F279" s="14" t="s">
        <v>502</v>
      </c>
      <c r="G279" s="16">
        <v>111</v>
      </c>
      <c r="H279" s="14"/>
      <c r="I279" s="16">
        <v>10968</v>
      </c>
    </row>
    <row r="280" spans="1:12" ht="12.75" customHeight="1" x14ac:dyDescent="0.25">
      <c r="A280" s="14" t="s">
        <v>800</v>
      </c>
      <c r="B280" s="14" t="s">
        <v>801</v>
      </c>
      <c r="C280" s="15">
        <v>45762</v>
      </c>
      <c r="D280" s="14" t="s">
        <v>501</v>
      </c>
      <c r="E280" s="14" t="s">
        <v>502</v>
      </c>
      <c r="F280" s="14" t="s">
        <v>502</v>
      </c>
      <c r="G280" s="16">
        <v>143</v>
      </c>
      <c r="H280" s="14"/>
      <c r="I280" s="16">
        <v>11111</v>
      </c>
      <c r="L280" s="13">
        <f>SUM(G251:G280)</f>
        <v>12257.999</v>
      </c>
    </row>
    <row r="282" spans="1:12" ht="12.75" customHeight="1" x14ac:dyDescent="0.25">
      <c r="A282" s="11" t="s">
        <v>802</v>
      </c>
    </row>
    <row r="283" spans="1:12" ht="12.75" customHeight="1" x14ac:dyDescent="0.25">
      <c r="A283" s="11" t="s">
        <v>803</v>
      </c>
      <c r="B283" s="11" t="s">
        <v>804</v>
      </c>
      <c r="C283" s="12">
        <v>45807</v>
      </c>
      <c r="D283" s="11" t="s">
        <v>501</v>
      </c>
      <c r="E283" s="11" t="s">
        <v>805</v>
      </c>
      <c r="F283" s="11" t="s">
        <v>806</v>
      </c>
      <c r="G283" s="13">
        <v>1250</v>
      </c>
      <c r="I283" s="13">
        <v>12754.038</v>
      </c>
    </row>
    <row r="285" spans="1:12" ht="12.75" customHeight="1" x14ac:dyDescent="0.25">
      <c r="A285" s="11" t="s">
        <v>807</v>
      </c>
      <c r="B285" s="11" t="s">
        <v>808</v>
      </c>
      <c r="C285" s="12">
        <v>45533</v>
      </c>
      <c r="D285" s="11" t="s">
        <v>501</v>
      </c>
      <c r="E285" s="11" t="s">
        <v>809</v>
      </c>
      <c r="F285" s="11" t="s">
        <v>810</v>
      </c>
      <c r="G285" s="13">
        <v>1547.375</v>
      </c>
      <c r="H285" s="11" t="s">
        <v>523</v>
      </c>
      <c r="I285" s="13">
        <v>14903.198999999999</v>
      </c>
    </row>
    <row r="286" spans="1:12" ht="12.75" customHeight="1" x14ac:dyDescent="0.25">
      <c r="A286" s="11" t="s">
        <v>807</v>
      </c>
      <c r="B286" s="11" t="s">
        <v>808</v>
      </c>
      <c r="C286" s="12">
        <v>45560</v>
      </c>
      <c r="D286" s="11" t="s">
        <v>501</v>
      </c>
      <c r="E286" s="11" t="s">
        <v>811</v>
      </c>
      <c r="F286" s="11" t="s">
        <v>812</v>
      </c>
      <c r="G286" s="13">
        <v>1706.5240000000003</v>
      </c>
      <c r="H286" s="11" t="s">
        <v>523</v>
      </c>
      <c r="I286" s="13">
        <v>16609.722999999998</v>
      </c>
    </row>
    <row r="287" spans="1:12" ht="12.75" customHeight="1" x14ac:dyDescent="0.25">
      <c r="A287" s="11" t="s">
        <v>807</v>
      </c>
      <c r="B287" s="11" t="s">
        <v>808</v>
      </c>
      <c r="C287" s="12">
        <v>45637</v>
      </c>
      <c r="D287" s="11" t="s">
        <v>501</v>
      </c>
      <c r="E287" s="11" t="s">
        <v>813</v>
      </c>
      <c r="F287" s="11" t="s">
        <v>814</v>
      </c>
      <c r="G287" s="13">
        <v>1500</v>
      </c>
      <c r="I287" s="13">
        <v>18109.722999999998</v>
      </c>
    </row>
    <row r="289" spans="1:9" ht="12.75" customHeight="1" x14ac:dyDescent="0.25">
      <c r="A289" s="11" t="s">
        <v>815</v>
      </c>
      <c r="B289" s="11" t="s">
        <v>816</v>
      </c>
      <c r="C289" s="12">
        <v>45686</v>
      </c>
      <c r="D289" s="11" t="s">
        <v>501</v>
      </c>
      <c r="E289" s="11" t="s">
        <v>542</v>
      </c>
      <c r="F289" s="11" t="s">
        <v>817</v>
      </c>
      <c r="G289" s="13">
        <v>1500</v>
      </c>
      <c r="I289" s="13">
        <v>1500</v>
      </c>
    </row>
    <row r="290" spans="1:9" ht="12.75" customHeight="1" x14ac:dyDescent="0.25">
      <c r="A290" s="11" t="s">
        <v>815</v>
      </c>
      <c r="B290" s="11" t="s">
        <v>816</v>
      </c>
      <c r="C290" s="12">
        <v>45714</v>
      </c>
      <c r="D290" s="11" t="s">
        <v>501</v>
      </c>
      <c r="E290" s="11" t="s">
        <v>818</v>
      </c>
      <c r="F290" s="11" t="s">
        <v>819</v>
      </c>
      <c r="G290" s="13">
        <v>1907.675</v>
      </c>
      <c r="H290" s="11" t="s">
        <v>523</v>
      </c>
      <c r="I290" s="13">
        <v>3407.6750000000002</v>
      </c>
    </row>
    <row r="291" spans="1:9" ht="12.75" customHeight="1" x14ac:dyDescent="0.25">
      <c r="A291" s="11" t="s">
        <v>815</v>
      </c>
      <c r="B291" s="11" t="s">
        <v>816</v>
      </c>
      <c r="C291" s="12">
        <v>45750</v>
      </c>
      <c r="D291" s="11" t="s">
        <v>501</v>
      </c>
      <c r="E291" s="11" t="s">
        <v>820</v>
      </c>
      <c r="F291" s="11" t="s">
        <v>821</v>
      </c>
      <c r="G291" s="13">
        <v>1944.6</v>
      </c>
      <c r="H291" s="11" t="s">
        <v>523</v>
      </c>
      <c r="I291" s="13">
        <v>5352.2749999999996</v>
      </c>
    </row>
    <row r="292" spans="1:9" ht="12.75" customHeight="1" x14ac:dyDescent="0.25">
      <c r="A292" s="11" t="s">
        <v>815</v>
      </c>
      <c r="B292" s="11" t="s">
        <v>816</v>
      </c>
      <c r="C292" s="12">
        <v>45833</v>
      </c>
      <c r="D292" s="11" t="s">
        <v>501</v>
      </c>
      <c r="E292" s="11" t="s">
        <v>822</v>
      </c>
      <c r="F292" s="11" t="s">
        <v>823</v>
      </c>
      <c r="G292" s="13">
        <v>1740.7750000000001</v>
      </c>
      <c r="H292" s="11" t="s">
        <v>523</v>
      </c>
      <c r="I292" s="13">
        <v>7093.05</v>
      </c>
    </row>
    <row r="293" spans="1:9" ht="12.75" customHeight="1" x14ac:dyDescent="0.25">
      <c r="A293" s="11" t="s">
        <v>815</v>
      </c>
      <c r="B293" s="11" t="s">
        <v>816</v>
      </c>
      <c r="C293" s="12">
        <v>45861</v>
      </c>
      <c r="D293" s="11" t="s">
        <v>501</v>
      </c>
      <c r="E293" s="11" t="s">
        <v>824</v>
      </c>
      <c r="F293" s="11" t="s">
        <v>825</v>
      </c>
      <c r="G293" s="13">
        <v>2007.85</v>
      </c>
      <c r="H293" s="11" t="s">
        <v>523</v>
      </c>
      <c r="I293" s="13">
        <v>9100.9</v>
      </c>
    </row>
    <row r="294" spans="1:9" ht="12.75" customHeight="1" x14ac:dyDescent="0.25">
      <c r="A294" s="11" t="s">
        <v>815</v>
      </c>
      <c r="B294" s="11" t="s">
        <v>816</v>
      </c>
      <c r="C294" s="12">
        <v>45889</v>
      </c>
      <c r="D294" s="11" t="s">
        <v>501</v>
      </c>
      <c r="E294" s="11" t="s">
        <v>826</v>
      </c>
      <c r="F294" s="11" t="s">
        <v>827</v>
      </c>
      <c r="G294" s="13">
        <v>1956.675</v>
      </c>
      <c r="H294" s="11" t="s">
        <v>523</v>
      </c>
      <c r="I294" s="13">
        <v>11057.575000000001</v>
      </c>
    </row>
    <row r="296" spans="1:9" ht="12.75" customHeight="1" x14ac:dyDescent="0.25">
      <c r="A296" s="11" t="s">
        <v>828</v>
      </c>
      <c r="B296" s="11" t="s">
        <v>829</v>
      </c>
      <c r="C296" s="12">
        <v>45819</v>
      </c>
      <c r="D296" s="11" t="s">
        <v>655</v>
      </c>
      <c r="E296" s="11" t="s">
        <v>830</v>
      </c>
      <c r="F296" s="11" t="s">
        <v>831</v>
      </c>
      <c r="G296" s="13">
        <v>5500</v>
      </c>
      <c r="I296" s="13">
        <v>5500</v>
      </c>
    </row>
    <row r="298" spans="1:9" ht="12.75" customHeight="1" x14ac:dyDescent="0.25">
      <c r="A298" s="11" t="s">
        <v>832</v>
      </c>
      <c r="B298" s="11" t="s">
        <v>833</v>
      </c>
      <c r="C298" s="12">
        <v>45497</v>
      </c>
      <c r="D298" s="11" t="s">
        <v>501</v>
      </c>
      <c r="E298" s="11" t="s">
        <v>834</v>
      </c>
      <c r="F298" s="11" t="s">
        <v>835</v>
      </c>
      <c r="G298" s="13">
        <v>1239.325</v>
      </c>
      <c r="H298" s="11" t="s">
        <v>523</v>
      </c>
      <c r="I298" s="13">
        <v>13469.398999999999</v>
      </c>
    </row>
    <row r="299" spans="1:9" ht="12.75" customHeight="1" x14ac:dyDescent="0.25">
      <c r="A299" s="11" t="s">
        <v>832</v>
      </c>
      <c r="B299" s="11" t="s">
        <v>833</v>
      </c>
      <c r="C299" s="12">
        <v>45574</v>
      </c>
      <c r="D299" s="11" t="s">
        <v>501</v>
      </c>
      <c r="E299" s="11" t="s">
        <v>836</v>
      </c>
      <c r="F299" s="11" t="s">
        <v>837</v>
      </c>
      <c r="G299" s="13">
        <v>1151.6209999999999</v>
      </c>
      <c r="H299" s="11" t="s">
        <v>523</v>
      </c>
      <c r="I299" s="13">
        <v>14621.02</v>
      </c>
    </row>
    <row r="301" spans="1:9" ht="12.75" customHeight="1" x14ac:dyDescent="0.25">
      <c r="A301" s="11" t="s">
        <v>838</v>
      </c>
      <c r="B301" s="11" t="s">
        <v>839</v>
      </c>
      <c r="C301" s="12">
        <v>45546</v>
      </c>
      <c r="D301" s="11" t="s">
        <v>501</v>
      </c>
      <c r="E301" s="11" t="s">
        <v>840</v>
      </c>
      <c r="F301" s="11" t="s">
        <v>841</v>
      </c>
      <c r="G301" s="13">
        <v>998.27499999999998</v>
      </c>
      <c r="H301" s="11" t="s">
        <v>523</v>
      </c>
      <c r="I301" s="13">
        <v>10069.275</v>
      </c>
    </row>
    <row r="302" spans="1:9" ht="12.75" customHeight="1" x14ac:dyDescent="0.25">
      <c r="A302" s="11" t="s">
        <v>838</v>
      </c>
      <c r="B302" s="11" t="s">
        <v>839</v>
      </c>
      <c r="C302" s="12">
        <v>45588</v>
      </c>
      <c r="D302" s="11" t="s">
        <v>501</v>
      </c>
      <c r="E302" s="11" t="s">
        <v>842</v>
      </c>
      <c r="F302" s="11" t="s">
        <v>843</v>
      </c>
      <c r="G302" s="13">
        <v>1084.8489999999999</v>
      </c>
      <c r="H302" s="11" t="s">
        <v>523</v>
      </c>
      <c r="I302" s="13">
        <v>11154.124</v>
      </c>
    </row>
    <row r="303" spans="1:9" ht="12.75" customHeight="1" x14ac:dyDescent="0.25">
      <c r="A303" s="11" t="s">
        <v>838</v>
      </c>
      <c r="B303" s="11" t="s">
        <v>839</v>
      </c>
      <c r="C303" s="12">
        <v>45701</v>
      </c>
      <c r="D303" s="11" t="s">
        <v>501</v>
      </c>
      <c r="E303" s="11" t="s">
        <v>844</v>
      </c>
      <c r="F303" s="11" t="s">
        <v>845</v>
      </c>
      <c r="G303" s="13">
        <v>1000</v>
      </c>
      <c r="I303" s="13">
        <v>12154.124</v>
      </c>
    </row>
    <row r="304" spans="1:9" ht="12.75" customHeight="1" x14ac:dyDescent="0.25">
      <c r="A304" s="11" t="s">
        <v>838</v>
      </c>
      <c r="B304" s="11" t="s">
        <v>839</v>
      </c>
      <c r="C304" s="12">
        <v>45791</v>
      </c>
      <c r="D304" s="11" t="s">
        <v>501</v>
      </c>
      <c r="E304" s="11" t="s">
        <v>846</v>
      </c>
      <c r="F304" s="11" t="s">
        <v>847</v>
      </c>
      <c r="G304" s="13">
        <v>1244.05</v>
      </c>
      <c r="H304" s="11" t="s">
        <v>523</v>
      </c>
      <c r="I304" s="13">
        <v>13398.173999999999</v>
      </c>
    </row>
    <row r="306" spans="1:14" ht="12.75" customHeight="1" x14ac:dyDescent="0.25">
      <c r="A306" s="11" t="s">
        <v>848</v>
      </c>
      <c r="B306" s="11" t="s">
        <v>849</v>
      </c>
      <c r="C306" s="12">
        <v>45728</v>
      </c>
      <c r="D306" s="11" t="s">
        <v>655</v>
      </c>
      <c r="E306" s="11" t="s">
        <v>850</v>
      </c>
      <c r="F306" s="11" t="s">
        <v>851</v>
      </c>
      <c r="G306" s="13">
        <v>5000</v>
      </c>
      <c r="I306" s="13">
        <v>5000</v>
      </c>
    </row>
    <row r="307" spans="1:14" ht="12.75" customHeight="1" x14ac:dyDescent="0.25">
      <c r="A307" s="11" t="s">
        <v>848</v>
      </c>
      <c r="B307" s="11" t="s">
        <v>849</v>
      </c>
      <c r="C307" s="12">
        <v>45847</v>
      </c>
      <c r="D307" s="11" t="s">
        <v>501</v>
      </c>
      <c r="E307" s="11" t="s">
        <v>852</v>
      </c>
      <c r="F307" s="11" t="s">
        <v>853</v>
      </c>
      <c r="G307" s="13">
        <v>900</v>
      </c>
      <c r="I307" s="13">
        <v>5900</v>
      </c>
    </row>
    <row r="309" spans="1:14" ht="12.75" customHeight="1" x14ac:dyDescent="0.25">
      <c r="A309" s="11" t="s">
        <v>854</v>
      </c>
      <c r="B309" s="11" t="s">
        <v>855</v>
      </c>
      <c r="C309" s="12">
        <v>45483</v>
      </c>
      <c r="D309" s="11" t="s">
        <v>655</v>
      </c>
      <c r="E309" s="11" t="s">
        <v>856</v>
      </c>
      <c r="F309" s="11" t="s">
        <v>857</v>
      </c>
      <c r="G309" s="13">
        <v>4500</v>
      </c>
      <c r="I309" s="13">
        <v>8500</v>
      </c>
    </row>
    <row r="310" spans="1:14" ht="12.75" customHeight="1" x14ac:dyDescent="0.25">
      <c r="A310" s="11" t="s">
        <v>854</v>
      </c>
      <c r="B310" s="11" t="s">
        <v>855</v>
      </c>
      <c r="C310" s="12">
        <v>45623</v>
      </c>
      <c r="D310" s="11" t="s">
        <v>655</v>
      </c>
      <c r="E310" s="11" t="s">
        <v>858</v>
      </c>
      <c r="F310" s="11" t="s">
        <v>859</v>
      </c>
      <c r="G310" s="13">
        <v>4250</v>
      </c>
      <c r="I310" s="13">
        <v>12750</v>
      </c>
    </row>
    <row r="311" spans="1:14" ht="12.75" customHeight="1" x14ac:dyDescent="0.25">
      <c r="A311" s="11" t="s">
        <v>854</v>
      </c>
      <c r="B311" s="11" t="s">
        <v>855</v>
      </c>
      <c r="C311" s="12">
        <v>45672</v>
      </c>
      <c r="D311" s="11" t="s">
        <v>501</v>
      </c>
      <c r="E311" s="11" t="s">
        <v>860</v>
      </c>
      <c r="F311" s="11" t="s">
        <v>861</v>
      </c>
      <c r="G311" s="13">
        <v>1183.075</v>
      </c>
      <c r="H311" s="11" t="s">
        <v>523</v>
      </c>
      <c r="I311" s="13">
        <v>13933.075000000001</v>
      </c>
    </row>
    <row r="312" spans="1:14" ht="12.75" customHeight="1" x14ac:dyDescent="0.25">
      <c r="A312" s="11" t="s">
        <v>854</v>
      </c>
      <c r="B312" s="11" t="s">
        <v>855</v>
      </c>
      <c r="C312" s="12">
        <v>45777</v>
      </c>
      <c r="D312" s="11" t="s">
        <v>501</v>
      </c>
      <c r="E312" s="11" t="s">
        <v>862</v>
      </c>
      <c r="F312" s="11" t="s">
        <v>863</v>
      </c>
      <c r="G312" s="13">
        <v>1117</v>
      </c>
      <c r="H312" s="11" t="s">
        <v>523</v>
      </c>
      <c r="I312" s="13">
        <v>15050.075000000001</v>
      </c>
    </row>
    <row r="314" spans="1:14" ht="12.75" customHeight="1" x14ac:dyDescent="0.25">
      <c r="A314" s="11" t="s">
        <v>864</v>
      </c>
      <c r="B314" s="11" t="s">
        <v>865</v>
      </c>
      <c r="C314" s="12">
        <v>45632</v>
      </c>
      <c r="D314" s="11" t="s">
        <v>501</v>
      </c>
      <c r="E314" s="11" t="s">
        <v>866</v>
      </c>
      <c r="F314" s="11" t="s">
        <v>867</v>
      </c>
      <c r="G314" s="13">
        <v>350</v>
      </c>
      <c r="I314" s="13">
        <v>5372.85</v>
      </c>
      <c r="L314" s="13">
        <f>L280+G314</f>
        <v>12607.999</v>
      </c>
      <c r="M314" s="13">
        <f>SUM(G7:G314)</f>
        <v>422320.5990000001</v>
      </c>
      <c r="N314" s="17">
        <f>100*(L314/M314)</f>
        <v>2.9854094329886087</v>
      </c>
    </row>
    <row r="318" spans="1:14" ht="12.75" customHeight="1" x14ac:dyDescent="0.25">
      <c r="A318" s="11" t="s">
        <v>868</v>
      </c>
      <c r="B318" s="11" t="s">
        <v>869</v>
      </c>
    </row>
    <row r="320" spans="1:14" ht="12.75" customHeight="1" x14ac:dyDescent="0.25">
      <c r="A320" s="11" t="s">
        <v>870</v>
      </c>
    </row>
  </sheetData>
  <pageMargins left="0" right="0" top="0" bottom="0" header="0" footer="0"/>
  <pageSetup paperSize="0" fitToWidth="0" fitToHeight="0" orientation="landscape"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Chart Data</vt:lpstr>
      <vt:lpstr>DataA</vt:lpstr>
      <vt:lpstr>DataQ</vt:lpstr>
      <vt:lpstr>GMW</vt:lpstr>
      <vt:lpstr>DMO issuance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2025-08-22T16:01:47Z</dcterms:created>
  <dcterms:modified xsi:type="dcterms:W3CDTF">2025-09-09T08:29:29Z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83b38b-8e91-4f17-8371-95d3d41e26c0_Enabled">
    <vt:lpwstr>true</vt:lpwstr>
  </property>
  <property fmtid="{D5CDD505-2E9C-101B-9397-08002B2CF9AE}" pid="3" name="MSIP_Label_3b83b38b-8e91-4f17-8371-95d3d41e26c0_SetDate">
    <vt:lpwstr>2025-08-22T16:02:30Z</vt:lpwstr>
  </property>
  <property fmtid="{D5CDD505-2E9C-101B-9397-08002B2CF9AE}" pid="4" name="MSIP_Label_3b83b38b-8e91-4f17-8371-95d3d41e26c0_Method">
    <vt:lpwstr>Privileged</vt:lpwstr>
  </property>
  <property fmtid="{D5CDD505-2E9C-101B-9397-08002B2CF9AE}" pid="5" name="MSIP_Label_3b83b38b-8e91-4f17-8371-95d3d41e26c0_Name">
    <vt:lpwstr>Internal</vt:lpwstr>
  </property>
  <property fmtid="{D5CDD505-2E9C-101B-9397-08002B2CF9AE}" pid="6" name="MSIP_Label_3b83b38b-8e91-4f17-8371-95d3d41e26c0_SiteId">
    <vt:lpwstr>2c277f63-6743-4f98-ac15-4851e55c0cc7</vt:lpwstr>
  </property>
  <property fmtid="{D5CDD505-2E9C-101B-9397-08002B2CF9AE}" pid="7" name="MSIP_Label_3b83b38b-8e91-4f17-8371-95d3d41e26c0_ActionId">
    <vt:lpwstr>7122d5c6-3639-49b6-ab0f-1905dc15073b</vt:lpwstr>
  </property>
  <property fmtid="{D5CDD505-2E9C-101B-9397-08002B2CF9AE}" pid="8" name="MSIP_Label_3b83b38b-8e91-4f17-8371-95d3d41e26c0_ContentBits">
    <vt:lpwstr>0</vt:lpwstr>
  </property>
  <property fmtid="{D5CDD505-2E9C-101B-9397-08002B2CF9AE}" pid="9" name="MSIP_Label_3b83b38b-8e91-4f17-8371-95d3d41e26c0_Tag">
    <vt:lpwstr>10, 0, 1, 1</vt:lpwstr>
  </property>
</Properties>
</file>